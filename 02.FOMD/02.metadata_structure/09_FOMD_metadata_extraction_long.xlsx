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1107" documentId="14_{BF77A4DB-2C0A-4862-9CC3-C64A3FB5C01D}" xr6:coauthVersionLast="47" xr6:coauthVersionMax="47" xr10:uidLastSave="{8AB6F779-3A8E-4096-978D-CF635D0ABC17}"/>
  <bookViews>
    <workbookView xWindow="-120" yWindow="-120" windowWidth="29040" windowHeight="15720" xr2:uid="{FAB1A633-BA4D-4813-8605-DC3F4755D7C7}"/>
  </bookViews>
  <sheets>
    <sheet name="09_FOMD_metadata_extraction_lon" sheetId="2" r:id="rId1"/>
    <sheet name="09_FOMD_readme" sheetId="7" r:id="rId2"/>
    <sheet name="REMOVED" sheetId="4" r:id="rId3"/>
  </sheets>
  <externalReferences>
    <externalReference r:id="rId4"/>
    <externalReference r:id="rId5"/>
  </externalReferences>
  <definedNames>
    <definedName name="_xlnm._FilterDatabase" localSheetId="1" hidden="1">'09_FOMD_readme'!$A$7:$O$207</definedName>
    <definedName name="AnimalsList">[1]breeds_lookup!$A$1:$O$1</definedName>
    <definedName name="CountryList">[1]sites_lookup!$A$1:$IA$1</definedName>
    <definedName name="CropList">[1]variety_lookups!$A$1:$EL$1</definedName>
    <definedName name="Till.Code.Base">[2]!Till.Code.Base1[Tillage Codes]</definedName>
    <definedName name="tree.latin.name">'[1]01_trees'!$B$2:$B$218</definedName>
    <definedName name="trees">'[1]01_trees'!$B1048575:$B9997</definedName>
    <definedName name="W.Type">[2]!W.Type1[W.Type]</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N905" i="2" l="1"/>
  <c r="KN904" i="2"/>
  <c r="KN903" i="2"/>
  <c r="KN902" i="2"/>
  <c r="KN894" i="2"/>
  <c r="KN893" i="2"/>
  <c r="KN892" i="2"/>
  <c r="KN891" i="2"/>
  <c r="KN887" i="2"/>
  <c r="KN886" i="2"/>
  <c r="KN885" i="2"/>
  <c r="KN884" i="2"/>
  <c r="KN880" i="2"/>
  <c r="KN879" i="2"/>
  <c r="KN878" i="2"/>
  <c r="KN877" i="2"/>
  <c r="KN873" i="2"/>
  <c r="KN872" i="2"/>
  <c r="KN871" i="2"/>
  <c r="KN870" i="2"/>
  <c r="AW869" i="2"/>
  <c r="AW868" i="2"/>
  <c r="AW867" i="2"/>
  <c r="AW866" i="2"/>
  <c r="AW865" i="2"/>
  <c r="AW864" i="2"/>
  <c r="AW863" i="2"/>
  <c r="AW862" i="2"/>
  <c r="AW861" i="2"/>
  <c r="AW860" i="2"/>
  <c r="AW859" i="2"/>
  <c r="AW858" i="2"/>
  <c r="AW857" i="2"/>
  <c r="AW856" i="2"/>
  <c r="AW855" i="2"/>
  <c r="AW854" i="2"/>
  <c r="AW853" i="2"/>
  <c r="AW852" i="2"/>
  <c r="AW851" i="2"/>
  <c r="AW850" i="2"/>
  <c r="AW849" i="2"/>
  <c r="AW848" i="2"/>
  <c r="AW847" i="2"/>
  <c r="AW846" i="2"/>
  <c r="AW845" i="2"/>
  <c r="AW844" i="2"/>
  <c r="AW843" i="2"/>
  <c r="AW842" i="2"/>
  <c r="AW841" i="2"/>
  <c r="AW840" i="2"/>
  <c r="AW839" i="2"/>
  <c r="AW838" i="2"/>
  <c r="AW837" i="2"/>
  <c r="AW836" i="2"/>
  <c r="AW835" i="2"/>
  <c r="AW834" i="2"/>
  <c r="AW833" i="2"/>
  <c r="AW832" i="2"/>
  <c r="AW831" i="2"/>
  <c r="AW830" i="2"/>
  <c r="AW829" i="2"/>
  <c r="AW828" i="2"/>
  <c r="AW827" i="2"/>
  <c r="AW826" i="2"/>
  <c r="AW825" i="2"/>
  <c r="AW824" i="2"/>
  <c r="AW823" i="2"/>
  <c r="AW822" i="2"/>
  <c r="AW821" i="2"/>
  <c r="AW820" i="2"/>
  <c r="AW819" i="2"/>
  <c r="AW818" i="2"/>
  <c r="AW817" i="2"/>
  <c r="AW816" i="2"/>
  <c r="AW815" i="2"/>
  <c r="AW814" i="2"/>
  <c r="AW813" i="2"/>
  <c r="AW812" i="2"/>
  <c r="AW811" i="2"/>
  <c r="AW810" i="2"/>
  <c r="AW809" i="2"/>
  <c r="AW808" i="2"/>
  <c r="AW807" i="2"/>
  <c r="AW806" i="2"/>
  <c r="AW805" i="2"/>
  <c r="AW804" i="2"/>
  <c r="AW803" i="2"/>
  <c r="AW802" i="2"/>
  <c r="AW801" i="2"/>
  <c r="AW800" i="2"/>
  <c r="AW799" i="2"/>
  <c r="AW798" i="2"/>
  <c r="AW797" i="2"/>
  <c r="AW796" i="2"/>
  <c r="AW795" i="2"/>
  <c r="AW794" i="2"/>
  <c r="AW793" i="2"/>
  <c r="AW792" i="2"/>
  <c r="AW791" i="2"/>
  <c r="AW790" i="2"/>
  <c r="AW789" i="2"/>
  <c r="AW788" i="2"/>
  <c r="AW787" i="2"/>
  <c r="AW786" i="2"/>
  <c r="NX575" i="2"/>
  <c r="NX580" i="2"/>
  <c r="NX578" i="2"/>
  <c r="NX579" i="2"/>
  <c r="NX577" i="2"/>
  <c r="NX574" i="2"/>
  <c r="NX576"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tc={37232256-CEC7-403D-9C45-CE35318A18FB}</author>
    <author>Pete Steward</author>
    <author>tc={6FB11702-965D-4E54-B8F6-E54968BD4B24}</author>
    <author>tc={A036609E-011B-4E77-8B02-041B17A54C36}</author>
  </authors>
  <commentList>
    <comment ref="BC3" authorId="0" shapeId="0" xr:uid="{37232256-CEC7-403D-9C45-CE35318A18FB}">
      <text>
        <t>[Threaded comment]
Your version of Excel allows you to read this threaded comment; however, any edits to it will get removed if the file is opened in a newer version of Excel. Learn more: https://go.microsoft.com/fwlink/?linkid=870924
Comment:
    For me it is not clear what should we put here. Ask Namita or Lolita</t>
      </text>
    </comment>
    <comment ref="HO3" authorId="1" shapeId="0" xr:uid="{72914A39-F22F-41BB-ADC4-477BDB6ADE77}">
      <text>
        <r>
          <rPr>
            <b/>
            <sz val="9"/>
            <color indexed="81"/>
            <rFont val="Tahoma"/>
            <family val="2"/>
          </rPr>
          <t>Rather vague field that needs better definition</t>
        </r>
      </text>
    </comment>
    <comment ref="ML3" authorId="2" shapeId="0" xr:uid="{6FB11702-965D-4E54-B8F6-E54968BD4B24}">
      <text>
        <t>[Threaded comment]
Your version of Excel allows you to read this threaded comment; however, any edits to it will get removed if the file is opened in a newer version of Excel. Learn more: https://go.microsoft.com/fwlink/?linkid=870924
Comment:
    Not sure what is this</t>
      </text>
    </comment>
    <comment ref="MT3" authorId="3" shapeId="0" xr:uid="{A036609E-011B-4E77-8B02-041B17A54C36}">
      <text>
        <t>[Threaded comment]
Your version of Excel allows you to read this threaded comment; however, any edits to it will get removed if the file is opened in a newer version of Excel. Learn more: https://go.microsoft.com/fwlink/?linkid=870924
Comment:
    Not sure what is this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Pete Steward</author>
    <author>tc={2E45A1FD-E58F-4A92-9A9B-4AB17E29AC84}</author>
    <author>tc={D3607ED9-8DCE-4679-889B-60C0AFABED6F}</author>
    <author>tc={B1A97C8B-9FBD-4747-AE70-56D3BEBF50F2}</author>
  </authors>
  <commentList>
    <comment ref="J7" authorId="0" shapeId="0" xr:uid="{04D4E3C8-58F0-4D04-8771-0AFCEB308480}">
      <text>
        <r>
          <rPr>
            <b/>
            <sz val="9"/>
            <color indexed="81"/>
            <rFont val="Tahoma"/>
            <family val="2"/>
          </rPr>
          <t>Corresponding name for the field in the ontology or thesaurus</t>
        </r>
      </text>
    </comment>
    <comment ref="K7" authorId="0" shapeId="0" xr:uid="{37550568-8600-4A4A-BA9D-976814AAC4C1}">
      <text>
        <r>
          <rPr>
            <sz val="9"/>
            <color indexed="81"/>
            <rFont val="Tahoma"/>
            <family val="2"/>
          </rPr>
          <t xml:space="preserve">Link to concept in the ontology or thesaurus
</t>
        </r>
      </text>
    </comment>
    <comment ref="E26" authorId="1" shapeId="0" xr:uid="{2E45A1FD-E58F-4A92-9A9B-4AB17E29AC84}">
      <text>
        <t>[Threaded comment]
Your version of Excel allows you to read this threaded comment; however, any edits to it will get removed if the file is opened in a newer version of Excel. Learn more: https://go.microsoft.com/fwlink/?linkid=870924
Comment:
    For me it is not clear what should we put here. Ask Namita or Lolita</t>
      </text>
    </comment>
    <comment ref="E48" authorId="0" shapeId="0" xr:uid="{C4DE0009-17BF-48FD-A6D7-1B2A1E707C60}">
      <text>
        <r>
          <rPr>
            <b/>
            <sz val="9"/>
            <color indexed="81"/>
            <rFont val="Tahoma"/>
            <family val="2"/>
          </rPr>
          <t>Rather vague field that needs better definition</t>
        </r>
      </text>
    </comment>
    <comment ref="E157" authorId="2" shapeId="0" xr:uid="{D3607ED9-8DCE-4679-889B-60C0AFABED6F}">
      <text>
        <t>[Threaded comment]
Your version of Excel allows you to read this threaded comment; however, any edits to it will get removed if the file is opened in a newer version of Excel. Learn more: https://go.microsoft.com/fwlink/?linkid=870924
Comment:
    Not sure what is this</t>
      </text>
    </comment>
    <comment ref="E162" authorId="3" shapeId="0" xr:uid="{B1A97C8B-9FBD-4747-AE70-56D3BEBF50F2}">
      <text>
        <t>[Threaded comment]
Your version of Excel allows you to read this threaded comment; however, any edits to it will get removed if the file is opened in a newer version of Excel. Learn more: https://go.microsoft.com/fwlink/?linkid=870924
Comment:
    Not sure what is this</t>
      </text>
    </comment>
    <comment ref="H169" authorId="0" shapeId="0" xr:uid="{0AF977BC-0319-41E3-9578-011F1A973E55}">
      <text>
        <r>
          <rPr>
            <b/>
            <sz val="9"/>
            <color indexed="81"/>
            <rFont val="Tahoma"/>
            <family val="2"/>
          </rPr>
          <t>AGROVOC has concepts for this</t>
        </r>
      </text>
    </comment>
  </commentList>
</comments>
</file>

<file path=xl/sharedStrings.xml><?xml version="1.0" encoding="utf-8"?>
<sst xmlns="http://schemas.openxmlformats.org/spreadsheetml/2006/main" count="61636" uniqueCount="2528">
  <si>
    <t>outcome</t>
  </si>
  <si>
    <t>SR</t>
  </si>
  <si>
    <t>No</t>
  </si>
  <si>
    <t>Tab 1; Fig3H (1997)</t>
  </si>
  <si>
    <t>SE (Standard Error)</t>
  </si>
  <si>
    <t xml:space="preserve"> 2.3272116410524166</t>
  </si>
  <si>
    <t>Mean</t>
  </si>
  <si>
    <t>t/ha</t>
  </si>
  <si>
    <t>Crop Yield</t>
  </si>
  <si>
    <t xml:space="preserve">Yield of maize stover </t>
  </si>
  <si>
    <t>Maize Stover</t>
  </si>
  <si>
    <r>
      <t>4 replicates (blocks)</t>
    </r>
    <r>
      <rPr>
        <sz val="11"/>
        <color theme="1"/>
        <rFont val="Aptos Narrow"/>
        <family val="2"/>
        <scheme val="minor"/>
      </rPr>
      <t xml:space="preserve"> in a randomized complete block design</t>
    </r>
  </si>
  <si>
    <t>Hand Hoe</t>
  </si>
  <si>
    <t>kg/ha</t>
  </si>
  <si>
    <t>Inorganic</t>
  </si>
  <si>
    <t>Inorganic Fertilizer</t>
  </si>
  <si>
    <t>MF=continuous maize cropping with fertilizer (60 kg P2O5 + 60 kg N/ha) application</t>
  </si>
  <si>
    <t>MF=continuous maize cropping with fertilizer (60 kg P2O5 + 60 kg N/ha)</t>
  </si>
  <si>
    <t>Removed</t>
  </si>
  <si>
    <t>Monoculture</t>
  </si>
  <si>
    <t>Direct-seeding Planter</t>
  </si>
  <si>
    <t>Direct planting</t>
  </si>
  <si>
    <t>plants/ha</t>
  </si>
  <si>
    <t>Maize</t>
  </si>
  <si>
    <t>C2</t>
  </si>
  <si>
    <t>MF: continuous maize cropping associated with fertilizer  (60 kg P2O5 + 60 kg N/ha/season)</t>
  </si>
  <si>
    <t>LR=long rains period (March-July), SR=short rains period (September-January)</t>
  </si>
  <si>
    <t>1994 (LR, SR), 1995 (LR, SR), 1996 (LR, SR), 1997 (LR, SR), 1998 (SR)</t>
  </si>
  <si>
    <t xml:space="preserve">A randomized complete block design with four replicates experiment (Fig. 2) was established to examine the effect of improved fallow with leguminous shrub Sesbania sesban on maize yields and levels of S. hermonthica infestation on farm land in the bimodal highlands of western Kenya. </t>
  </si>
  <si>
    <t>Unspecified</t>
  </si>
  <si>
    <t>Original</t>
  </si>
  <si>
    <t>Station</t>
  </si>
  <si>
    <t>Ebukanga experimental site</t>
  </si>
  <si>
    <t>Researcher Managed &amp; On-farm</t>
  </si>
  <si>
    <t>Kenya</t>
  </si>
  <si>
    <t>JA_Sjogr_10_Effec_Jo</t>
  </si>
  <si>
    <t>MD_Jones_21_A glo_Sc</t>
  </si>
  <si>
    <t xml:space="preserve"> 1.913895257769406</t>
  </si>
  <si>
    <t>M=continuous maize cropping</t>
  </si>
  <si>
    <t>C1</t>
  </si>
  <si>
    <t>M: continuous maize cropping</t>
  </si>
  <si>
    <t xml:space="preserve"> 1.572291207918095</t>
  </si>
  <si>
    <t>N18=18 months natural re-growth of vegetation fallow without cultivation</t>
  </si>
  <si>
    <t>T4</t>
  </si>
  <si>
    <t>N18: 18 months natural regrowth of vegetation fallow without cultivation</t>
  </si>
  <si>
    <t>Natural fallow</t>
  </si>
  <si>
    <t xml:space="preserve"> 1.5532224013075737</t>
  </si>
  <si>
    <t>N6=six months natural re-growth of vegetation fallow without cultivation</t>
  </si>
  <si>
    <t>T3</t>
  </si>
  <si>
    <t>N6: 6 months natural regrowth of vegetation fallow without cultivation</t>
  </si>
  <si>
    <t xml:space="preserve"> 1.5519284465732888</t>
  </si>
  <si>
    <t>Rhizobium leguminosarium</t>
  </si>
  <si>
    <t>Alleycropping (N fixing)</t>
  </si>
  <si>
    <t>MS18=Maize and Sesbania intercropped</t>
  </si>
  <si>
    <t>S18=18 months tree growth with Sesbania</t>
  </si>
  <si>
    <t>Sesbania sesban</t>
  </si>
  <si>
    <t>-</t>
  </si>
  <si>
    <t>T2</t>
  </si>
  <si>
    <t>S18: 18 months tree growth with Sesbania fallow</t>
  </si>
  <si>
    <t>Improved fallow</t>
  </si>
  <si>
    <t xml:space="preserve"> 1.8555310889650638</t>
  </si>
  <si>
    <t>MS6=Maize and Sesbania intercropped</t>
  </si>
  <si>
    <t>LR</t>
  </si>
  <si>
    <t>S6= six months tree growth with Sesbania fallow</t>
  </si>
  <si>
    <t>T1</t>
  </si>
  <si>
    <t>S6: 6 months tree growth with Sesbania fallow</t>
  </si>
  <si>
    <t>Tab 1; Fig3H (1996)</t>
  </si>
  <si>
    <t xml:space="preserve"> 2.156954439172779</t>
  </si>
  <si>
    <t xml:space="preserve"> 1.887062722753173</t>
  </si>
  <si>
    <t xml:space="preserve"> 2.279675830287621</t>
  </si>
  <si>
    <t xml:space="preserve"> 2.9233842591541617</t>
  </si>
  <si>
    <t xml:space="preserve"> 2.7073619214092766</t>
  </si>
  <si>
    <t xml:space="preserve"> 3.5657306304056657</t>
  </si>
  <si>
    <t>Tab 1; Fig3G (1998)</t>
  </si>
  <si>
    <t xml:space="preserve"> 2.179122748892345</t>
  </si>
  <si>
    <t xml:space="preserve"> 1.715474592736932</t>
  </si>
  <si>
    <t xml:space="preserve"> 1.4123731602266414</t>
  </si>
  <si>
    <t xml:space="preserve"> 1.4842401406117514</t>
  </si>
  <si>
    <t xml:space="preserve"> 1.7168896950229957</t>
  </si>
  <si>
    <t xml:space="preserve"> 1.5745371436272668</t>
  </si>
  <si>
    <t>Tab 1; Fig3G (1997)</t>
  </si>
  <si>
    <t xml:space="preserve"> 2.950623038089837</t>
  </si>
  <si>
    <t xml:space="preserve"> 2.6118071193122154</t>
  </si>
  <si>
    <t xml:space="preserve"> 2.3802020451597325</t>
  </si>
  <si>
    <t xml:space="preserve"> 2.1847157722134556</t>
  </si>
  <si>
    <t xml:space="preserve"> 3.0959068727924124</t>
  </si>
  <si>
    <t>Tab 1; Fig3G (1996)</t>
  </si>
  <si>
    <t xml:space="preserve"> 2.1863330319689576</t>
  </si>
  <si>
    <t xml:space="preserve"> 1.811836319835578</t>
  </si>
  <si>
    <t xml:space="preserve"> 1.6873073186619427</t>
  </si>
  <si>
    <t xml:space="preserve"> 4.455550626407381</t>
  </si>
  <si>
    <t xml:space="preserve"> 2.366758573442125</t>
  </si>
  <si>
    <t xml:space="preserve"> 4.456628799577715</t>
  </si>
  <si>
    <t>Tab 1; Fig3F (1997)</t>
  </si>
  <si>
    <t xml:space="preserve"> 1.9559238072121659</t>
  </si>
  <si>
    <t xml:space="preserve">Yield of maize cob </t>
  </si>
  <si>
    <t>Maize Cob</t>
  </si>
  <si>
    <t xml:space="preserve"> 1.337582815249588</t>
  </si>
  <si>
    <t xml:space="preserve"> 1.2722849561720437</t>
  </si>
  <si>
    <t xml:space="preserve"> 1.0368496830816891</t>
  </si>
  <si>
    <t xml:space="preserve"> 1.0989811172956276</t>
  </si>
  <si>
    <t xml:space="preserve"> 1.4171295862133615</t>
  </si>
  <si>
    <t>Tab 1; Fig3F (1996)</t>
  </si>
  <si>
    <t xml:space="preserve"> 1.774974210738261</t>
  </si>
  <si>
    <t xml:space="preserve"> 1.3906783541210395</t>
  </si>
  <si>
    <t xml:space="preserve"> 1.7506854151381575</t>
  </si>
  <si>
    <t xml:space="preserve"> 2.2600936688051974</t>
  </si>
  <si>
    <t xml:space="preserve"> 1.8756433524385319</t>
  </si>
  <si>
    <t xml:space="preserve"> 3.6404618346508357</t>
  </si>
  <si>
    <t>Tab 1; Fig3E (1998)</t>
  </si>
  <si>
    <t xml:space="preserve"> 4.0387712085940555</t>
  </si>
  <si>
    <t xml:space="preserve"> 1.816848002553562</t>
  </si>
  <si>
    <t xml:space="preserve"> 1.7519358087470485</t>
  </si>
  <si>
    <t xml:space="preserve"> 1.6028111189992682</t>
  </si>
  <si>
    <t xml:space="preserve"> 1.5170576807717921</t>
  </si>
  <si>
    <t xml:space="preserve"> 1.8753652858723102</t>
  </si>
  <si>
    <t>Tab 1; Fig3E (1997)</t>
  </si>
  <si>
    <t xml:space="preserve"> 4.177879773481484</t>
  </si>
  <si>
    <t xml:space="preserve"> 3.0559582184505825</t>
  </si>
  <si>
    <t xml:space="preserve"> 3.1603955818983316</t>
  </si>
  <si>
    <t xml:space="preserve"> 2.8419983820105994</t>
  </si>
  <si>
    <t xml:space="preserve"> 3.0312646183140997</t>
  </si>
  <si>
    <t xml:space="preserve"> 3.9180769040268126</t>
  </si>
  <si>
    <t>Tab 1; Fig3E (1996)</t>
  </si>
  <si>
    <t xml:space="preserve"> 2.985113396842169</t>
  </si>
  <si>
    <t xml:space="preserve"> 2.0110837777300823</t>
  </si>
  <si>
    <t xml:space="preserve"> 2.0731452283071103</t>
  </si>
  <si>
    <t xml:space="preserve"> 5.265707980430033</t>
  </si>
  <si>
    <t xml:space="preserve"> 2.1556626877335487</t>
  </si>
  <si>
    <t xml:space="preserve"> 6.468760146829787</t>
  </si>
  <si>
    <t>Tab 1; Fig3D (1997)</t>
  </si>
  <si>
    <t xml:space="preserve"> 0.38160883351699004</t>
  </si>
  <si>
    <t xml:space="preserve">Yield of maize core </t>
  </si>
  <si>
    <t>Maize Core</t>
  </si>
  <si>
    <t xml:space="preserve"> 0.23595025524546287</t>
  </si>
  <si>
    <t xml:space="preserve"> 0.22362650954640495</t>
  </si>
  <si>
    <t xml:space="preserve"> 0.1506847774754312</t>
  </si>
  <si>
    <t xml:space="preserve"> 0.18683518114556863</t>
  </si>
  <si>
    <t xml:space="preserve"> 0.22606089909370963</t>
  </si>
  <si>
    <t>Tab 1; Fig3D (1996)</t>
  </si>
  <si>
    <t xml:space="preserve"> 0.21930307868756582</t>
  </si>
  <si>
    <t xml:space="preserve"> 0.2827152719994599</t>
  </si>
  <si>
    <t xml:space="preserve"> 0.30369150156295666</t>
  </si>
  <si>
    <t xml:space="preserve"> 0.2913902444509411</t>
  </si>
  <si>
    <t xml:space="preserve"> 0.5306182112577864</t>
  </si>
  <si>
    <t>Tab 1; Fig3C (1998)</t>
  </si>
  <si>
    <t xml:space="preserve"> 0.6638164848254381</t>
  </si>
  <si>
    <t xml:space="preserve"> 0.30059445584641453</t>
  </si>
  <si>
    <t xml:space="preserve"> 0.23770963935599687</t>
  </si>
  <si>
    <t xml:space="preserve"> 0.2378550377756279</t>
  </si>
  <si>
    <t xml:space="preserve"> 0.22001577013628304</t>
  </si>
  <si>
    <t xml:space="preserve"> 0.2832584904288694</t>
  </si>
  <si>
    <t>Tab 1; Fig3C (1997)</t>
  </si>
  <si>
    <t xml:space="preserve"> 0.6289879710768991</t>
  </si>
  <si>
    <t xml:space="preserve"> 0.46998361471655703</t>
  </si>
  <si>
    <t xml:space="preserve"> 0.4671707145213876</t>
  </si>
  <si>
    <t xml:space="preserve"> 0.4252736006800173</t>
  </si>
  <si>
    <t xml:space="preserve"> 0.6087943674889135</t>
  </si>
  <si>
    <t>Tab 1; Fig3C (1996)</t>
  </si>
  <si>
    <t xml:space="preserve"> 0.4590563642565947</t>
  </si>
  <si>
    <t xml:space="preserve"> 0.29403475022229175</t>
  </si>
  <si>
    <t xml:space="preserve"> 0.33921451299917793</t>
  </si>
  <si>
    <t xml:space="preserve"> 0.7207567428517104</t>
  </si>
  <si>
    <t xml:space="preserve"> 0.3275602704410605</t>
  </si>
  <si>
    <t xml:space="preserve"> 0.7811753784553097</t>
  </si>
  <si>
    <t>Tab 1; Fig3B (1997)</t>
  </si>
  <si>
    <t xml:space="preserve"> 1.523809523809522</t>
  </si>
  <si>
    <t xml:space="preserve">Yield of maize grain </t>
  </si>
  <si>
    <t>Maize Grain</t>
  </si>
  <si>
    <t xml:space="preserve"> 0.9904761904761887</t>
  </si>
  <si>
    <t xml:space="preserve"> 0.9523809523809508</t>
  </si>
  <si>
    <t xml:space="preserve"> 0.7999999999999989</t>
  </si>
  <si>
    <t xml:space="preserve"> 0.8190476190476179</t>
  </si>
  <si>
    <t xml:space="preserve"> 1.0857142857142854</t>
  </si>
  <si>
    <t>Tab 1; Fig3B (1996)</t>
  </si>
  <si>
    <t xml:space="preserve"> 1.3904761904761873</t>
  </si>
  <si>
    <t xml:space="preserve"> 1.1428571428571406</t>
  </si>
  <si>
    <t xml:space="preserve"> 1.9047619047619033</t>
  </si>
  <si>
    <t xml:space="preserve"> 1.542857142857141</t>
  </si>
  <si>
    <t xml:space="preserve"> 3.0095238095238077</t>
  </si>
  <si>
    <t>Tab 1; Fig3A (1998)</t>
  </si>
  <si>
    <t xml:space="preserve"> 3.4189168227755964</t>
  </si>
  <si>
    <t xml:space="preserve"> 1.5611927119999036</t>
  </si>
  <si>
    <t xml:space="preserve"> 1.4820126716701072</t>
  </si>
  <si>
    <t xml:space="preserve"> 1.4026894486272354</t>
  </si>
  <si>
    <t xml:space="preserve"> 1.2452600556026203</t>
  </si>
  <si>
    <t xml:space="preserve"> 1.557040413320764</t>
  </si>
  <si>
    <t>Tab 1; Fig3A (1997)</t>
  </si>
  <si>
    <t xml:space="preserve"> 3.528523189633572</t>
  </si>
  <si>
    <t xml:space="preserve"> 2.5893161832261447</t>
  </si>
  <si>
    <t xml:space="preserve"> 2.6271880108341588</t>
  </si>
  <si>
    <t xml:space="preserve"> 2.4696870264530055</t>
  </si>
  <si>
    <t xml:space="preserve"> 2.5275328425348107</t>
  </si>
  <si>
    <t xml:space="preserve"> 3.347182283525635</t>
  </si>
  <si>
    <t>Tab 1; Fig3A (1996)</t>
  </si>
  <si>
    <t xml:space="preserve"> 2.4653915450607924</t>
  </si>
  <si>
    <t xml:space="preserve"> 1.6629956209953578</t>
  </si>
  <si>
    <t xml:space="preserve"> 1.700867448603372</t>
  </si>
  <si>
    <t xml:space="preserve"> 4.494720137455404</t>
  </si>
  <si>
    <t xml:space="preserve"> 1.796513500936653</t>
  </si>
  <si>
    <t xml:space="preserve"> 5.704327697502654</t>
  </si>
  <si>
    <t>Tab 1; Tab 4 (1996 SR 15-30)</t>
  </si>
  <si>
    <t>seeds/kg soil</t>
  </si>
  <si>
    <t>Abundance</t>
  </si>
  <si>
    <t>Number of Striga hermonthica seeds (seeds kg-1 soil)</t>
  </si>
  <si>
    <t>Pest</t>
  </si>
  <si>
    <t>Tab 1; Tab 4 (1996 LR 15-30)</t>
  </si>
  <si>
    <t>Tab 1; Tab 4 (1996 SR 0-15)</t>
  </si>
  <si>
    <t>Tab 1; Tab 4 (1996 LR 0-15)</t>
  </si>
  <si>
    <t>Tab 1; Tab 3</t>
  </si>
  <si>
    <t>10^3 plants/ha</t>
  </si>
  <si>
    <t>Number of Striga plants (x 1000 ha-1) during seven seasons</t>
  </si>
  <si>
    <t>Tab 4</t>
  </si>
  <si>
    <t>Mucuna pruriens Dried</t>
  </si>
  <si>
    <t>Maize, cowpea and mucuna grain and stover (biomass) yields were measured from net plots (area) of 2 rows x 5 m long whilst the net plots for groundnuts and soybeans consisted of four rows that were 5 m long. Six net plots were harvested per each main treatment. Maize grain yield was adjusted to 12.5 % moisture content and expressed to a hectare basis.</t>
  </si>
  <si>
    <t>Hyparrhenia Grass Species</t>
  </si>
  <si>
    <t>Mulch (Non N fixing)</t>
  </si>
  <si>
    <t>Hypharennia grass was applied as mulch at 2.5 t ha-1 in CA treatments at the beginning of each rainy season.</t>
  </si>
  <si>
    <t>carbaryl</t>
  </si>
  <si>
    <t>Insecticide</t>
  </si>
  <si>
    <t>l/ha</t>
  </si>
  <si>
    <t>glyphosate</t>
  </si>
  <si>
    <t>Herbicide</t>
  </si>
  <si>
    <t>Glyphosate (480 g l-1 active ingredient) at 2.5 l ha-1 soon after planting and there-after weeding was done manually using hand hoes.</t>
  </si>
  <si>
    <t>Off-farm (unknown)</t>
  </si>
  <si>
    <t>% of Total</t>
  </si>
  <si>
    <t>Cattle Manure</t>
  </si>
  <si>
    <t>Manure</t>
  </si>
  <si>
    <t xml:space="preserve">basal fertiliser (compound D) </t>
  </si>
  <si>
    <t>Relay Intercropping (N fixing)</t>
  </si>
  <si>
    <t>Mucuna were relayed in between maize rows</t>
  </si>
  <si>
    <t>An animal drawn Fitarelli direct seeder (Brazilian made) was used  for opening planting furrows</t>
  </si>
  <si>
    <t>No or Zero Tillage</t>
  </si>
  <si>
    <t xml:space="preserve">conservation agriculture (CA): Conservation agriculture (CA) which is premised on three main principles namely minimal soil disturbance, crop rotations and mulching is being promoted as a potential solution to declining soil productivity. </t>
  </si>
  <si>
    <t>Unespecified</t>
  </si>
  <si>
    <t>Velvet Bean, Mucuna</t>
  </si>
  <si>
    <t>T6</t>
  </si>
  <si>
    <t>iv CA + maize + mucuna intercropping (F + M)</t>
  </si>
  <si>
    <t>Intercropping</t>
  </si>
  <si>
    <t>2014-15 with manure</t>
  </si>
  <si>
    <t>The experiment was laid out in a randomized complete block design and was run at eight farmer’s ﬁelds for three seasons from 2012/ 13–2014/15. Prior to the experiment, all ﬁelds were under conventional mouldboard tillage (CT) and had maize during the 2011/12 season. Each farmer was treated as a replicate with a set of six treatments testing ﬁve cropping systems where one system was CT and the other four systems were under CA. The six treatments were:</t>
  </si>
  <si>
    <t>31.65</t>
  </si>
  <si>
    <t>-17.71666667</t>
  </si>
  <si>
    <t>District</t>
  </si>
  <si>
    <t>Murehwa</t>
  </si>
  <si>
    <t>Farmer Managed</t>
  </si>
  <si>
    <t>Zimbabwe</t>
  </si>
  <si>
    <t>JA_Mutsa_20_Forag_NJ</t>
  </si>
  <si>
    <t>MA_Sanch_22_Finan_Ec</t>
  </si>
  <si>
    <t>Cowpea Dried</t>
  </si>
  <si>
    <t>Cowpea</t>
  </si>
  <si>
    <t>cowpeas were relayed in between maize rows</t>
  </si>
  <si>
    <t>T5</t>
  </si>
  <si>
    <t>iii CA + maize + cowpea intercropping (F + M)</t>
  </si>
  <si>
    <t>Yes</t>
  </si>
  <si>
    <t>Maize monoculture</t>
  </si>
  <si>
    <t>C4</t>
  </si>
  <si>
    <t>ii CA + sole maize continuous (F + M)</t>
  </si>
  <si>
    <t>iv CA + maize + mucuna intercropping (F only)</t>
  </si>
  <si>
    <t>2012/13-2014/15 no manure</t>
  </si>
  <si>
    <t>iii CA + maize + cowpea intercropping (F only)</t>
  </si>
  <si>
    <t>ii CA + sole maize continuous (F only)</t>
  </si>
  <si>
    <t>Fig 3b</t>
  </si>
  <si>
    <t>98.4251969</t>
  </si>
  <si>
    <t>314.96063</t>
  </si>
  <si>
    <t>USD/ha</t>
  </si>
  <si>
    <t>Gross Margin</t>
  </si>
  <si>
    <t>The proﬁtability of the cropping systems was determined using the gross margin analysis as: Gross Margin = Total Revenue - Total Input Costs. 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 Input costs included cost of inputs such as inorganic and organic fertilizers, seeds, pesticides, labour manure, mulching grass and herbicides. Labour was estimated at $3/labour day. The costs of inputs per hectare were obtained from actual costs/receipted prices during purchasing period (Table 2). Labour costs incurred by farmers were mainly due to land preparation, mulching, planting, weeding, fertilizer, manure and pesticide applications and harvesting (Table 3). The labour costs were calculated according to standard labour rates per acre prevailing in the area at the time of the study whilst labour requirements were obtained by averaging the actual time taken to do each operation in each of the eight fields taking into account number of people working, gender, estimate age, and time taken. This data was supported by information from people who hire out labour who were asked on how much they would charge if hired to weed the plot and the time they will take</t>
  </si>
  <si>
    <t>Gross margin/ha (USD)</t>
  </si>
  <si>
    <t>Nitrogen ﬁxation</t>
  </si>
  <si>
    <t>Soybean Dried</t>
  </si>
  <si>
    <t>Soybean</t>
  </si>
  <si>
    <t>Total Revenue = [(Ylegume × P)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</si>
  <si>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Rotation (N fixing)</t>
  </si>
  <si>
    <t>Crop rotation</t>
  </si>
  <si>
    <t>/</t>
  </si>
  <si>
    <t>Groundnut or Peanut</t>
  </si>
  <si>
    <t>T8</t>
  </si>
  <si>
    <t>vi CA + soybean/groundnut + maize rotation (legume phase) (F + M)</t>
  </si>
  <si>
    <t>2014/15 season</t>
  </si>
  <si>
    <t>157.480315</t>
  </si>
  <si>
    <t>196.850394</t>
  </si>
  <si>
    <t>basal fertiliser (compound D). Soybean seed was inoculated with rhizobia just before planting.</t>
  </si>
  <si>
    <t>Rotation (Non N fixing)</t>
  </si>
  <si>
    <t>T7</t>
  </si>
  <si>
    <t>v CA + maize + soybean/groundnut rotation (maize phase) (F + M)</t>
  </si>
  <si>
    <t>177.165354</t>
  </si>
  <si>
    <t>1456.69291</t>
  </si>
  <si>
    <t>472.440945</t>
  </si>
  <si>
    <t>354.330709</t>
  </si>
  <si>
    <t>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</si>
  <si>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216.535433</t>
  </si>
  <si>
    <t>236.220472</t>
  </si>
  <si>
    <t>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</si>
  <si>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No Glyphosate added</t>
  </si>
  <si>
    <t>In CT treatment, all weeding operations were done manually using a hand hoe.</t>
  </si>
  <si>
    <t>Ox-drawn Mouldboard Plough</t>
  </si>
  <si>
    <t>Conventional Tillage</t>
  </si>
  <si>
    <t>conventional mouldboard tillage (CT): ox-drawn mouldboard plough</t>
  </si>
  <si>
    <t>C3</t>
  </si>
  <si>
    <t>i CT + sole maize continuous (F + M)</t>
  </si>
  <si>
    <t>511.811024</t>
  </si>
  <si>
    <t>vi CA + soybean/groundnut + maize rotation (legume phase)  (F only)</t>
  </si>
  <si>
    <t>413.385827</t>
  </si>
  <si>
    <t>v CA + maize + soybean/groundnut rotation (maize phase)  (F only)</t>
  </si>
  <si>
    <t>2086.61417</t>
  </si>
  <si>
    <t>629.92126</t>
  </si>
  <si>
    <t>393.700787</t>
  </si>
  <si>
    <t>255.905512</t>
  </si>
  <si>
    <t>531.496063</t>
  </si>
  <si>
    <t xml:space="preserve">Gross margin/ha (USD). </t>
  </si>
  <si>
    <t>i CT + sole maize continuous (F only)</t>
  </si>
  <si>
    <t>Tab 3</t>
  </si>
  <si>
    <t>This only required for temporally aggregated observations in areas with more than one growing season (e.g. a result that has been averaged from crop yields reported from 2000 season 1,2001 season 1 and 2002 season 1). Here report the last season of the period over for which observations were aggregated (in the previous example this would be 1).</t>
  </si>
  <si>
    <t>Leave blank where there is only one growing season per year or no seasonal information is presented with the data. Code the season in order 1,2,etc. Determine the season sequence by harvest year. If there are two cropping seasons, with crops harvested in Feb and Sept, Feb = season 1 and Sept = season 2.</t>
  </si>
  <si>
    <t>This only required for temporally aggregated observations (e.g. a result that has been averaged from crop yields reported from 2000,2001 and 2002). Here report the last year of the period over for which observations were aggregated (in the previous example this would be 2002).</t>
  </si>
  <si>
    <t>First year the measurement was taken (YYYY). For yield or similar outcomes this should relate to the harvest year (rather than the planting year). Where data are aggregated across years also complete the Measurement End Year Field.</t>
  </si>
  <si>
    <t>The calendar year the measurement was taken. Seasons in multi-season systems are identified by decimals ‘.1’ or ‘.2’ for the first and second season respectively. When the measurements are average values for more than one year create a decimal for the years covered.</t>
  </si>
  <si>
    <t>Statistics if outcome temporally aggregatted</t>
  </si>
  <si>
    <t>The location in the paper where the data can be found. This should be three letters (fig, tab, or txt) in lowercase and a number (for figures and tables) to signify figure, table or text, respectively.</t>
  </si>
  <si>
    <t xml:space="preserve">Number of independent sampling units on which the sub-outcome estimate is based for this specific practice. </t>
  </si>
  <si>
    <t>Upper limit for variation in suboutcome when  variation is reported as a confidence interval or interquartile range.</t>
  </si>
  <si>
    <t>Lower limit for variation in suboutcome when variation is reported as a confidence interval or interquartile range.</t>
  </si>
  <si>
    <t>Value measure of dispersion when variation is reported as standard deviation or standard error</t>
  </si>
  <si>
    <t>Statistical metric used to quantify variation in the sub-outcome (e.g., standard deviation, standard error, confidence interval, interquartile range).</t>
  </si>
  <si>
    <t>Numerical value corresponding to the reported central tendency of the sub-outcome.</t>
  </si>
  <si>
    <t>Statistical metric used to report the central tendency of the sub-outcome (e.g., mean, median)</t>
  </si>
  <si>
    <t>Comparison Treatment (e.g. for LER or fertilizer use efficiency outcomes)</t>
  </si>
  <si>
    <t>Inputs (e.g., fertilizer, fertilizer application, pesticide, seeds, labor, etc.) included in the financial outcome calculation</t>
  </si>
  <si>
    <t>Duration (Days). Use with Weight Gain subindicator.</t>
  </si>
  <si>
    <t>Mean Starting Weight. Use with Weight Gain subindicator. You may take the average across all treatments if the starting weights are similar and the difference between them is small relative to the total change in wieght.</t>
  </si>
  <si>
    <t>Starting Weight Unit. Use with Weight Gain subindicator.</t>
  </si>
  <si>
    <t>Economic Period (Years). Use with Net Present Value (NPV) outcome or similar only.</t>
  </si>
  <si>
    <t>Economic Discount Rate (%). Typically associated with calculations of Net Present Value (NPV).</t>
  </si>
  <si>
    <t>Soil outcome depths (cm) upper. Upper depth of measurement (cm) for soil outcomes</t>
  </si>
  <si>
    <t>Soil outcome depths (cm) lower. Lower depth of measurement (cm) for soil outcomes</t>
  </si>
  <si>
    <t>For biodiversity outcomes, specify whether the taxa were assessed above or below ground</t>
  </si>
  <si>
    <t>Unit of measurement for the outcome (please use SI units)</t>
  </si>
  <si>
    <t>Harmonised sub-outcome category assigned to the reported outcome, based on the controlled ontology.</t>
  </si>
  <si>
    <t>Description of the suboutcome as reported in the primary study or systematic synthesis. Record sufficient detail to clearly identify what was measured and how it was defined.</t>
  </si>
  <si>
    <t>Suboutcome or component of the outcome as reported (e.g., “yield per plot”, “gross margin”, “labour cost”, “aboveground biomass”). Use when the study reports multiple components under a broader outcome.</t>
  </si>
  <si>
    <t>For biodiversity outcomes, specify the functional group related to taxa assessed, if specified in the article</t>
  </si>
  <si>
    <t>if it is biodiversity put functional group related to the taxa assessed (if specified in the article)</t>
  </si>
  <si>
    <t>taxa details, output from economic indictors</t>
  </si>
  <si>
    <t>Size of Harvested Plot (m2). The area of an treatment plot harvested to estimate crop yields (or other outcomes if crop yield was not the primary focus of the experiment). Size (in square meters) of the smallest experimental plot unit corresponding to the extracted outcome value. If plot dimensions are reported (e.g., 6 m × 4 m), calculate and record the area in m² (e.g., 24).</t>
  </si>
  <si>
    <t>Experimental design information, such as plot size, layout and notes on historical management. A plan specification that states how treatments are allocated to the experimental units during an agronomic trial. It refers to the conceptual framework within which the experiment is conducted. Source: AGRO</t>
  </si>
  <si>
    <t>(Days after Storage for Postharvest)</t>
  </si>
  <si>
    <t>(Storage Date End for Postharvest)</t>
  </si>
  <si>
    <t>(Storage Date Start for Postharvest)</t>
  </si>
  <si>
    <t>Name of the postharvesting subpractice</t>
  </si>
  <si>
    <t>Complete with an easy to recognize name for the practice, you will use this name to reference it when building treatments later in the extraction process. Avoid using special characters.</t>
  </si>
  <si>
    <t>Harvest Days After Planting</t>
  </si>
  <si>
    <t>Harvest Date End (dd/mm/yy)</t>
  </si>
  <si>
    <t>Harvest Date Start (dd/mm/yy)</t>
  </si>
  <si>
    <t>Name the harvest subpractice</t>
  </si>
  <si>
    <t>Name of the water harvesting subpractice</t>
  </si>
  <si>
    <t>Type of Water Applied</t>
  </si>
  <si>
    <t>Amount of Water Applied</t>
  </si>
  <si>
    <t>Unit of Water Application</t>
  </si>
  <si>
    <t>Date End of the irrigation</t>
  </si>
  <si>
    <t>Date Start of the irrigation</t>
  </si>
  <si>
    <t>Name of the irrigation subpractice</t>
  </si>
  <si>
    <t>Amount Applied. Captures the total amount of pH-altering material applied</t>
  </si>
  <si>
    <t>Unit of Application</t>
  </si>
  <si>
    <t>Material applied. Type of material applied to influence soil pH</t>
  </si>
  <si>
    <t>Name of the pH control subpractice</t>
  </si>
  <si>
    <t>Amount of material applied in the study</t>
  </si>
  <si>
    <t>Source of Material. In-field: From inside the experimental field. On-farm: From outside the experimental field within the same landholding. Off-farm: From outside the farm</t>
  </si>
  <si>
    <t>Describes the type of processing applied to the material before application</t>
  </si>
  <si>
    <t>Mulch Material Applied. Choose from the list or add a new material if the list does not contain a suitable match. Please specifiy the type of any new materials add in the column to the left. You do not need to enter any details about mulched crop residues here.</t>
  </si>
  <si>
    <t>Tree (plant species). Only required if a material comes from a tree or shrub</t>
  </si>
  <si>
    <t>Indicates the total amount of elemental potassium (K) from non-composted organic materials</t>
  </si>
  <si>
    <t>Specifies the total amount of elemental phosphorus (P) from non-composted organic materials</t>
  </si>
  <si>
    <t>Represents the total amount of elemental nitrogen (N) added from non-composted organic materials</t>
  </si>
  <si>
    <t>The unit of measurement for total organic NPK numbers.</t>
  </si>
  <si>
    <t>Name of the residues management practice</t>
  </si>
  <si>
    <t>Chemical amount applied</t>
  </si>
  <si>
    <t>unit of measurement for the active ingredient in the chemical application</t>
  </si>
  <si>
    <t>Please use active ingredient name over trade-name of product, unless the  product contains multiple active ingredients then it is acceptible to use the product name.</t>
  </si>
  <si>
    <t>Category of the chemical</t>
  </si>
  <si>
    <t>Complete with an easy to recognize name for the chemical practice, you will use this name to reference it when building treatments later in the extraction process. Avoid using special characters.</t>
  </si>
  <si>
    <t>Frequency of the weeding practice</t>
  </si>
  <si>
    <t>Weeding frequency time unit</t>
  </si>
  <si>
    <t>Name the physical weeding method. If only chemical weed control method was applied, select Chemical weed control and complete the details of the chemical in chemical management section</t>
  </si>
  <si>
    <t>Complete with an easy to recognize name for the weeding practice, you will use this name to reference it when building treatments later in the extraction process. Avoid using special characters.</t>
  </si>
  <si>
    <t>Fertilizer source. Only required for organic materials like compost, manure or residues.</t>
  </si>
  <si>
    <t>Total elemental potassium applied from organic sources (e.g., compost, manure, biosolid).</t>
  </si>
  <si>
    <t>Total elemental phosphorus applied from organic sources (e.g., compost, manure, biosolid).</t>
  </si>
  <si>
    <t>Total elemental nitrogen applied  from organic sources (e.g., compost, manure, biosolid).</t>
  </si>
  <si>
    <t>Total elemental nitrogen, phosphorus, and potassium applied from organic sources (e.g., compost, manure, biosolid).</t>
  </si>
  <si>
    <t>Name of the organic fertilizer</t>
  </si>
  <si>
    <t>Category of organic fertilizer</t>
  </si>
  <si>
    <t>Total potassium applied from inorganic sources presented as potassium oxide (K2O).</t>
  </si>
  <si>
    <t>Total phosphorus applied from inorganic sources presented as phosphorus pentoxide (P2O5) .</t>
  </si>
  <si>
    <t>Total elemental potassium applied from inorganic sources (e.g., potassium chloride or monopotassium phosphate).</t>
  </si>
  <si>
    <t>Total elemental phosphorus applied from inorganic sources (e.g., rock phosphate or DAP).</t>
  </si>
  <si>
    <t>Total elemental nitrogen applied from inorganic sources (e.g., urea or DAP).</t>
  </si>
  <si>
    <t>Total elemental nitrogen, phosphorus, and potassium applied from inorganic sources (e.g., urea or DAP).</t>
  </si>
  <si>
    <t>The unit of measurement for total inorganic NPK numbers.</t>
  </si>
  <si>
    <t>Name of the inorganic fertilizer</t>
  </si>
  <si>
    <t>Category of inorganic fertilizer</t>
  </si>
  <si>
    <t>Name of the nutrient management subpractice</t>
  </si>
  <si>
    <t>Complete with an easy to recognize name for the fertilizer practice, you will use this name to reference it when building treatments later in the extraction process. Avoid using special characters.</t>
  </si>
  <si>
    <t>DHB max</t>
  </si>
  <si>
    <t>DHB min</t>
  </si>
  <si>
    <t>DHB mean</t>
  </si>
  <si>
    <t>Canopy height  max if height is provided by ranges. Ex. If height is 50-70, complete with 70</t>
  </si>
  <si>
    <t>Canopy height  min if height is provided by ranges. Ex. If height is 50-70, complete with 50</t>
  </si>
  <si>
    <t>Canopy height mean if height is provided as mean. Ex. If height is 15 meters, complete with 15</t>
  </si>
  <si>
    <t>Shade max if shade is provided by ranges. Ex. If shade is 50-70, complete with 70</t>
  </si>
  <si>
    <t>Shade min if shade is provided by ranges. Ex. If shade is 50-70, complete with 50</t>
  </si>
  <si>
    <t>Shade mean if shade is provided as mean. Ex. If shade is 52%, complete with 52</t>
  </si>
  <si>
    <t>Name of the agroforestry practice. This dimension captures what components are combined and their ecological complexity.</t>
  </si>
  <si>
    <t>Name of the agroforestry practice. This dimension describes how trees are arranged in space</t>
  </si>
  <si>
    <t>Choose a easy to recognize name for the practice, you will use this name to reference it when building treatments later in the extraction process. Avoid using special characters.</t>
  </si>
  <si>
    <t>Fate of crop residues from the previous season</t>
  </si>
  <si>
    <t xml:space="preserve">Name of the crop sequence subpractice (crop rotation type, fallow type, green manure or cover crop type, </t>
  </si>
  <si>
    <t>Complete with an easy to recognize name for the intercropping practice, you will use this name to reference it when building treatments later in the extraction process. Avoid using special characters.</t>
  </si>
  <si>
    <t>Name of the intercropping subpractice</t>
  </si>
  <si>
    <t xml:space="preserve">Crop trait. Enter any specific info of the variety </t>
  </si>
  <si>
    <t>Type of plant variety or similar. Is it a local variety?</t>
  </si>
  <si>
    <t>Is it an improved, Hybrid or unimproved variety ?</t>
  </si>
  <si>
    <t>Variety, cultivar of the crop</t>
  </si>
  <si>
    <t>Planting Method</t>
  </si>
  <si>
    <t>Name of the planting subpractice</t>
  </si>
  <si>
    <t>Complete with an easy to recognize name for the planting method, you will use this name to reference it when building treatments later in the extraction process. Avoid using special characters.</t>
  </si>
  <si>
    <t xml:space="preserve">How many times was the land tilled during one experimental season </t>
  </si>
  <si>
    <t>Tillage Depth (cm). The depth at which a soil is ploughed or tilled. Source: AGROVOC</t>
  </si>
  <si>
    <t>Other Soil Prep Methods</t>
  </si>
  <si>
    <t>Tillage method or implement</t>
  </si>
  <si>
    <t>Name of the tillage practice</t>
  </si>
  <si>
    <t>Complete with an easy to recognize name for the tillage practice, you will use this name to reference it when building treatments later in the extraction process. Avoid using special characters.</t>
  </si>
  <si>
    <t>Numerical value of tree planting density corresponding to the selected tree and density unit.</t>
  </si>
  <si>
    <t>Unit fo the planting density</t>
  </si>
  <si>
    <t>Name of tree or shrub species used in the specific practice. Please use scientific name and be careful of your spelling. Use full scientific name, do not abbreviate genus (e.g., Mangifera indica should not be abbreviated to M.indica)." "Gliricidia sepium; Acacia abyssinica"</t>
  </si>
  <si>
    <t>Use a dash (-) for intercrops and forward slash (/) for rotation. So we can know the arrangement of crops in the plot</t>
  </si>
  <si>
    <t>Numerical value of crop planting density corresponding to the selected crop and density unit.</t>
  </si>
  <si>
    <t>Commercial or local name of the crop variety associated with the selected crop (e.g., Katumani, G2333, Maasai Red). Do not include the crop species name in this field.</t>
  </si>
  <si>
    <t>Name of crop species including in the practice, first letter of name capitilized and the rest lowercase. Use common names of species. See crop lists in 01_crops$crop_names in 01_FOMD_ontologoies file.</t>
  </si>
  <si>
    <t>Season as stated by the author</t>
  </si>
  <si>
    <t xml:space="preserve">Year when the experiment stopped. Year End as stated by the author </t>
  </si>
  <si>
    <t xml:space="preserve">Year when the experiment started. Year Start as stated by the author </t>
  </si>
  <si>
    <t>Complete with the specific time period name the study provide</t>
  </si>
  <si>
    <t>Length of time the experiment has been ongoing up to the date the data are being reported for in years. In bimodal rainfall systems with multiple growing seasons, seasons are identified by fractions of the year, 0.5, etc. If outcomes are reported in a unimodal rainfall system with one growing season per year, the duration can be equivalent to one year.</t>
  </si>
  <si>
    <t>Field size in hectares</t>
  </si>
  <si>
    <t>A plan specification that states how treatments are allocated to the experimental units during an agronomic trial. It refers to the conceptual framework within which the experiment is conducted. Source: AGRO</t>
  </si>
  <si>
    <t>Manual estimation (e.g. from measuring on google earth) in m of the spatial uncertainty for a point location. The site should within an X m radius (the buffer.manual amount) of the point location specified. Unit is meters</t>
  </si>
  <si>
    <t>Longitude of the study location in decimal degrees, recorded at the precision reported in the publication or derived from place-based geocoding when coordinates are not provided.</t>
  </si>
  <si>
    <t>Latitude of the study location in decimal degrees, recorded at the precision reported in the publication or derived from place-based geocoding when coordinates are not provided.</t>
  </si>
  <si>
    <t>Source and derivation type of the geographic coordinates associated with the study site. Indicates whether coordinates were directly reported in the publication or derived during data extraction.</t>
  </si>
  <si>
    <t>A qualitative measure of how accurate you think the location reporting is. If the study is at a research station, but we only know the location of the city where the station is,  we record "City". If we know the exact location of the station record "Facility".</t>
  </si>
  <si>
    <t>Standardised name of the specific study site</t>
  </si>
  <si>
    <t>Type of research setting in which the data were generated (e.g., experimental, observational, survey-based).</t>
  </si>
  <si>
    <t>Country where the study site is located</t>
  </si>
  <si>
    <t>Unique identifier assigned to each study</t>
  </si>
  <si>
    <t>Unique identifier assigned to the study by the original systematic synthesis.</t>
  </si>
  <si>
    <t>outcome year</t>
  </si>
  <si>
    <t>outcome value</t>
  </si>
  <si>
    <t>product/taxa of outcome</t>
  </si>
  <si>
    <t>outcome experimental design</t>
  </si>
  <si>
    <t>postharvesting: moderator</t>
  </si>
  <si>
    <t>postharvesting: practice</t>
  </si>
  <si>
    <t>harvest: moderator</t>
  </si>
  <si>
    <t>harvest: practice</t>
  </si>
  <si>
    <t>water harvesting: practice</t>
  </si>
  <si>
    <t>irrigation: moderator</t>
  </si>
  <si>
    <t>irrigation: practice</t>
  </si>
  <si>
    <t>pH ammendment: moderator</t>
  </si>
  <si>
    <t>pH ammendment: practice</t>
  </si>
  <si>
    <t>Mulches, residues, prunning: moderator</t>
  </si>
  <si>
    <t>Mulches, residues, prunning: practice</t>
  </si>
  <si>
    <t>chemical management: moderator</t>
  </si>
  <si>
    <t>chemical management: practice</t>
  </si>
  <si>
    <t>weeding management: moderator. This section is for physical weeding only, herbicides application should be noted under the chemicals columns.</t>
  </si>
  <si>
    <t>weeding management: practice. This section is for physical weeding only, herbicides application should be noted under the chemicals columns.</t>
  </si>
  <si>
    <t>nutrient management: moderator</t>
  </si>
  <si>
    <t>nutrient management: practice</t>
  </si>
  <si>
    <t>agroforestry: moderator</t>
  </si>
  <si>
    <t>agroforestry: practice</t>
  </si>
  <si>
    <t>crop sequence (crop rotation, fallow, green manure): moderator</t>
  </si>
  <si>
    <t>crop sequence (crop rotation, fallow, green manure): practice</t>
  </si>
  <si>
    <t>intercropping: moderator</t>
  </si>
  <si>
    <t>intercropping: practice</t>
  </si>
  <si>
    <t>improved varieties: practice</t>
  </si>
  <si>
    <t>planting: moderator</t>
  </si>
  <si>
    <t>planting: practice</t>
  </si>
  <si>
    <t>soil management: moderator</t>
  </si>
  <si>
    <t>soil management: practice</t>
  </si>
  <si>
    <t>commodity: trees</t>
  </si>
  <si>
    <t>commodity_crop</t>
  </si>
  <si>
    <t>practice</t>
  </si>
  <si>
    <t>experiment time</t>
  </si>
  <si>
    <t>experiment details</t>
  </si>
  <si>
    <t>location</t>
  </si>
  <si>
    <t>id</t>
  </si>
  <si>
    <t>out_season_end</t>
  </si>
  <si>
    <t>out_season_start</t>
  </si>
  <si>
    <t>out_year_end</t>
  </si>
  <si>
    <t>out_year_start</t>
  </si>
  <si>
    <t>out_year</t>
  </si>
  <si>
    <t>out_agg_stat</t>
  </si>
  <si>
    <t>data_location</t>
  </si>
  <si>
    <t>out_value</t>
  </si>
  <si>
    <t>out_value_metric</t>
  </si>
  <si>
    <t>out_comparison_treatment</t>
  </si>
  <si>
    <t>out_wg_days</t>
  </si>
  <si>
    <t>out_wg_start_unit</t>
  </si>
  <si>
    <t>out_wg_start</t>
  </si>
  <si>
    <t>out_npv_econ_period</t>
  </si>
  <si>
    <t>out_npv_discount_rate</t>
  </si>
  <si>
    <t>out_soil_depth_u</t>
  </si>
  <si>
    <t>out_soil_depth_l</t>
  </si>
  <si>
    <t>product_component05</t>
  </si>
  <si>
    <t>product_component04</t>
  </si>
  <si>
    <t>product_component03</t>
  </si>
  <si>
    <t>product_component02</t>
  </si>
  <si>
    <t>product_component01</t>
  </si>
  <si>
    <t>product_raw</t>
  </si>
  <si>
    <t>out_exp_plot_size</t>
  </si>
  <si>
    <t>out_exp_design</t>
  </si>
  <si>
    <t>harvest_days_after_planting</t>
  </si>
  <si>
    <t>harvest_date_end</t>
  </si>
  <si>
    <t>harvest_date_start</t>
  </si>
  <si>
    <t>harvest_subpractice</t>
  </si>
  <si>
    <t>harvest_subpractice_raw</t>
  </si>
  <si>
    <t>watharv_subpractice01:04</t>
  </si>
  <si>
    <t>watharv_subpractice_raw</t>
  </si>
  <si>
    <t>irrig_water_type</t>
  </si>
  <si>
    <t>irrig_water_amount</t>
  </si>
  <si>
    <t>irrig_water_unit</t>
  </si>
  <si>
    <t>irrig_date_end</t>
  </si>
  <si>
    <t>irrig_date_start</t>
  </si>
  <si>
    <t>irrig_subpractice</t>
  </si>
  <si>
    <t>irrig_subpractice_raw</t>
  </si>
  <si>
    <t>ph_material_applied</t>
  </si>
  <si>
    <t>ph_subpractice</t>
  </si>
  <si>
    <t>ph_subpractice_raw</t>
  </si>
  <si>
    <t>residues_material_amount</t>
  </si>
  <si>
    <t>residues_material_unit</t>
  </si>
  <si>
    <t>residues_material_source</t>
  </si>
  <si>
    <t>residues_processing</t>
  </si>
  <si>
    <t>residues_material</t>
  </si>
  <si>
    <t>residues_tree</t>
  </si>
  <si>
    <t>residues_K</t>
  </si>
  <si>
    <t>residues_P</t>
  </si>
  <si>
    <t>residues_N</t>
  </si>
  <si>
    <t>residues_unit</t>
  </si>
  <si>
    <t>residues_subpractice01:04</t>
  </si>
  <si>
    <t>residues_subpractice_raw</t>
  </si>
  <si>
    <t>chem_amount03</t>
  </si>
  <si>
    <t>chem_unit03</t>
  </si>
  <si>
    <t>chem_name03</t>
  </si>
  <si>
    <t>chem_subpractice03</t>
  </si>
  <si>
    <t>chem_amount02</t>
  </si>
  <si>
    <t>chem_unit02</t>
  </si>
  <si>
    <t>chem_name02</t>
  </si>
  <si>
    <t>chem_subpractice02</t>
  </si>
  <si>
    <t>chem_amount01</t>
  </si>
  <si>
    <t>chem_unit01</t>
  </si>
  <si>
    <t>chem_name01</t>
  </si>
  <si>
    <t>chem_subpractice01</t>
  </si>
  <si>
    <t>chem_subpractice_raw</t>
  </si>
  <si>
    <t>weed_frequency</t>
  </si>
  <si>
    <t>weed_frequency_unit</t>
  </si>
  <si>
    <t>fert_organic_source</t>
  </si>
  <si>
    <t>fert_organicK</t>
  </si>
  <si>
    <t>fert_organicP</t>
  </si>
  <si>
    <t>fert_organicN</t>
  </si>
  <si>
    <t>fert_organicNPK_unit</t>
  </si>
  <si>
    <t>fert_organic_amount</t>
  </si>
  <si>
    <t>fert_organic_unit</t>
  </si>
  <si>
    <t>fert_organic_type</t>
  </si>
  <si>
    <t>fert_organic_category</t>
  </si>
  <si>
    <t>fert_inorganicK2O</t>
  </si>
  <si>
    <t>fert_inorganicP2O5</t>
  </si>
  <si>
    <t>fert_inorganicK</t>
  </si>
  <si>
    <t>fert_inorganicP</t>
  </si>
  <si>
    <t>fert_inorganicN</t>
  </si>
  <si>
    <t>fert_inorganicNPK_unit</t>
  </si>
  <si>
    <t>fert_inorganic_type</t>
  </si>
  <si>
    <t>fert_inorganic_category</t>
  </si>
  <si>
    <t>fert_subpractice</t>
  </si>
  <si>
    <t>fert_subpractice_raw</t>
  </si>
  <si>
    <t>agrof_dhb_max</t>
  </si>
  <si>
    <t>agrof_dhb_min</t>
  </si>
  <si>
    <t>agrof_dhb_mean</t>
  </si>
  <si>
    <t>agrof_canopy_height_min</t>
  </si>
  <si>
    <t>agrof_canopy_height_mean</t>
  </si>
  <si>
    <t>agrof_shade_max</t>
  </si>
  <si>
    <t>agrof_shade_min</t>
  </si>
  <si>
    <t>agrof_shade_mean</t>
  </si>
  <si>
    <t>agrof_temporal_subpractice</t>
  </si>
  <si>
    <t>agrof_components_subpractice</t>
  </si>
  <si>
    <t>agrof_spatial_arrangement_subpractice</t>
  </si>
  <si>
    <t>crop_seq_residues_fate</t>
  </si>
  <si>
    <t>crop_seq_start_season</t>
  </si>
  <si>
    <t>crop_seq_start_year</t>
  </si>
  <si>
    <t>crop_seq_subpractice03</t>
  </si>
  <si>
    <t>crop_seq_subpractice02</t>
  </si>
  <si>
    <t>crop_seq_subpractice01</t>
  </si>
  <si>
    <t>crop_seq_subpractice_raw</t>
  </si>
  <si>
    <t>intercrop_residues_fate</t>
  </si>
  <si>
    <t>intercrop_start_season</t>
  </si>
  <si>
    <t>intercrop_start_year</t>
  </si>
  <si>
    <t>intercrop_subpractice</t>
  </si>
  <si>
    <t>intercrop_subpractice_raw</t>
  </si>
  <si>
    <t>planting_date_end</t>
  </si>
  <si>
    <t>planting_date_start</t>
  </si>
  <si>
    <t>planting_method</t>
  </si>
  <si>
    <t>planting_subpractice</t>
  </si>
  <si>
    <t>planting_subpractice_raw</t>
  </si>
  <si>
    <t>tillage_frequency</t>
  </si>
  <si>
    <t>tillage_depth</t>
  </si>
  <si>
    <t>tillage_method_other</t>
  </si>
  <si>
    <t>tillage_method</t>
  </si>
  <si>
    <t>tillage_subpractice</t>
  </si>
  <si>
    <t>tillage_subpractice_raw</t>
  </si>
  <si>
    <t>tree_density01</t>
  </si>
  <si>
    <t>tree_density_unit01</t>
  </si>
  <si>
    <t>tree01</t>
  </si>
  <si>
    <t>crop_arrangement03</t>
  </si>
  <si>
    <t>crop_density03</t>
  </si>
  <si>
    <t>crop_density_unit03</t>
  </si>
  <si>
    <t>crop_variety03</t>
  </si>
  <si>
    <t>crop03</t>
  </si>
  <si>
    <t>crop_arrangement02</t>
  </si>
  <si>
    <t>crop_density02</t>
  </si>
  <si>
    <t>crop_density_unit02</t>
  </si>
  <si>
    <t>crop_variety02</t>
  </si>
  <si>
    <t>crop02</t>
  </si>
  <si>
    <t>crop_arrangement01</t>
  </si>
  <si>
    <t>crop_density01</t>
  </si>
  <si>
    <t>crop_density_unit01</t>
  </si>
  <si>
    <t>crop_variety01</t>
  </si>
  <si>
    <t>crop01</t>
  </si>
  <si>
    <t>subpractice_description_raw</t>
  </si>
  <si>
    <t>subpractice_raw</t>
  </si>
  <si>
    <t>time_season</t>
  </si>
  <si>
    <t>time_year_end</t>
  </si>
  <si>
    <t>time_year_start</t>
  </si>
  <si>
    <t>time_raw</t>
  </si>
  <si>
    <t>exp_duration</t>
  </si>
  <si>
    <t>exp_field_size</t>
  </si>
  <si>
    <t>exp_plot_size</t>
  </si>
  <si>
    <t>exp_design</t>
  </si>
  <si>
    <t>site_buffer01</t>
  </si>
  <si>
    <t>site_longitude01</t>
  </si>
  <si>
    <t>site_latitude01</t>
  </si>
  <si>
    <t>site_latlong_type01</t>
  </si>
  <si>
    <t>site_admin01</t>
  </si>
  <si>
    <t>site_id01</t>
  </si>
  <si>
    <t>site_type01</t>
  </si>
  <si>
    <t>study_id</t>
  </si>
  <si>
    <t>Forage yield intercropping (kg/ha) = Maize stover + legume stover + mucuna grain</t>
  </si>
  <si>
    <t>Forage yield</t>
  </si>
  <si>
    <t>Maize grain yield (kg/ha)</t>
  </si>
  <si>
    <t>intercrop_design</t>
  </si>
  <si>
    <t>intercrop_pattern</t>
  </si>
  <si>
    <t>In which design both species were  intercropped</t>
  </si>
  <si>
    <t>In which way both species were spatially  sown</t>
  </si>
  <si>
    <t>Additive</t>
  </si>
  <si>
    <t>Row</t>
  </si>
  <si>
    <t>Type of animal breed or similar. Is it a local breed?</t>
  </si>
  <si>
    <t>improved breeds: practice</t>
  </si>
  <si>
    <t>Is it an improved, Hybrid or unimproved breed ?</t>
  </si>
  <si>
    <t>Breed of the animal</t>
  </si>
  <si>
    <t>Numerical value of animal growing density corresponding to the selected animal and density unit.</t>
  </si>
  <si>
    <t>commodity: animal</t>
  </si>
  <si>
    <t>Unit used to report animal growing density.</t>
  </si>
  <si>
    <t>Commercial or local name of the animal variety associated with the selected animal (e.g., Katumani, G2333, Maasai Red). Do not include the animal species name in this field.</t>
  </si>
  <si>
    <t>Name of animal species including in the practice, first letter of name capitilized and the rest lowercase. Use common names of species. See animal lists in 01_animals$v_product in 01_FOMD_ontologoies file.</t>
  </si>
  <si>
    <t>Labour Cost</t>
  </si>
  <si>
    <t>country01</t>
  </si>
  <si>
    <t>site_buffer02</t>
  </si>
  <si>
    <t>country02</t>
  </si>
  <si>
    <t>site_type02</t>
  </si>
  <si>
    <t>site_id02</t>
  </si>
  <si>
    <t>site_admin02</t>
  </si>
  <si>
    <t>site_agg02</t>
  </si>
  <si>
    <t>site_latlong_type02</t>
  </si>
  <si>
    <t>site_latitude02</t>
  </si>
  <si>
    <t>site_longitude02</t>
  </si>
  <si>
    <t>site_agg01</t>
  </si>
  <si>
    <t>Use a dash (-) for intercrops and forward slash (/) for rotation. So we can know the arrangement of trees in the plot</t>
  </si>
  <si>
    <t>tree_arrangement01</t>
  </si>
  <si>
    <t>tree02</t>
  </si>
  <si>
    <t>tree_density_unit02</t>
  </si>
  <si>
    <t>tree_density02</t>
  </si>
  <si>
    <t>tree_arrangement02</t>
  </si>
  <si>
    <t>animal_density_unit01</t>
  </si>
  <si>
    <t>animal_density01</t>
  </si>
  <si>
    <t>animal01</t>
  </si>
  <si>
    <t>animal_density02</t>
  </si>
  <si>
    <t>animal02</t>
  </si>
  <si>
    <t>animal_density_unit02</t>
  </si>
  <si>
    <t>varietal_crop_variety</t>
  </si>
  <si>
    <t>varietal_crop_subpractice</t>
  </si>
  <si>
    <t>varietal_crop_type</t>
  </si>
  <si>
    <t>varietal_crop_trait</t>
  </si>
  <si>
    <t>animal_breed02</t>
  </si>
  <si>
    <t>animal_breed01</t>
  </si>
  <si>
    <t>varietal_animal_breed</t>
  </si>
  <si>
    <t>varietal_animal_subpractice</t>
  </si>
  <si>
    <t>varietal_animal_type</t>
  </si>
  <si>
    <t>out_subindicator_raw</t>
  </si>
  <si>
    <t>out_subindicator_description_raw</t>
  </si>
  <si>
    <t>out_subindicator</t>
  </si>
  <si>
    <t>out_subindicator_unit</t>
  </si>
  <si>
    <t>bio_ground_ref</t>
  </si>
  <si>
    <t>Striga hermonthica plants</t>
  </si>
  <si>
    <t>Striga hermonthica seeds</t>
  </si>
  <si>
    <t>Above</t>
  </si>
  <si>
    <t>Below</t>
  </si>
  <si>
    <t>econ_inputs</t>
  </si>
  <si>
    <t>bio_func_group</t>
  </si>
  <si>
    <t>agrof_shade_subpractice</t>
  </si>
  <si>
    <t>agrof_canopy_height_max</t>
  </si>
  <si>
    <t>practice_id</t>
  </si>
  <si>
    <t>out_sample_size</t>
  </si>
  <si>
    <t>Seed inoculation</t>
  </si>
  <si>
    <t>No Inoculation Applied</t>
  </si>
  <si>
    <t>No Fertilizers Applied</t>
  </si>
  <si>
    <t>No Insecticide Applied</t>
  </si>
  <si>
    <t>The size of a treatment plot in the experiment in meter squares, if variable use the mean value or mid-point of the size range.</t>
  </si>
  <si>
    <t>Complete with an easy to recognize name for the varietal subpractice, you will use this name to reference it when building treatments later in the extraction process. Avoid using special characters.</t>
  </si>
  <si>
    <t>varietal_animal_subpractice_raw</t>
  </si>
  <si>
    <t>Complete with an easy to recognize name for the animal varietal subpractice, you will use this name to reference it when building treatments later in the extraction process. Avoid using special characters.</t>
  </si>
  <si>
    <t>The start year of the intercropping practice</t>
  </si>
  <si>
    <t>List the starting season of an experimental treatment in systems with &gt;1 growing season. If a region has unimodal rainfall or if seasonality is unespecified please leave this file blanck</t>
  </si>
  <si>
    <t>agrof_subpractice_raw</t>
  </si>
  <si>
    <t>Compound D..Ammonium Nitrate</t>
  </si>
  <si>
    <t>240..200</t>
  </si>
  <si>
    <t>Inorganic Fertilizer..Seeds..Labor Cost..Herbicides</t>
  </si>
  <si>
    <t>C2..T1..T2..T3..T4</t>
  </si>
  <si>
    <t>Inorganic Fertilizer..Seeds..Labor Cost..Organic Mulch..Herbicides</t>
  </si>
  <si>
    <t>T1..T2..T3..T4</t>
  </si>
  <si>
    <t>Direct-seeding Planter..Hand hoes</t>
  </si>
  <si>
    <t>Inorganic Fertilizer..Seeds..Pesticides...Labor Cost..Organic Mulch..Herbicides</t>
  </si>
  <si>
    <t>Compound D..Ammonium Nitrate..Gypsum</t>
  </si>
  <si>
    <t>240..200..Unspecified</t>
  </si>
  <si>
    <t>Inorganic Fertilizer..Organic Fertilizer...Seeds..Labor Cost..Herbicides</t>
  </si>
  <si>
    <t>C4..T5..T6..T7..T8</t>
  </si>
  <si>
    <t>Inorganic Fertilizer..Organic Fertilizer...Seeds..Labor Cost..Organic Mulch..Herbicides</t>
  </si>
  <si>
    <t>T5..T6..T7..T8</t>
  </si>
  <si>
    <t>Inorganic Fertilizer..Organic Fertilizer...Seeds..Pesticides...Labor Cost..Organic Mulch..Herbicides</t>
  </si>
  <si>
    <t>T1..T2</t>
  </si>
  <si>
    <t>T5..T6</t>
  </si>
  <si>
    <t>C1..T1..T2..T3..T4</t>
  </si>
  <si>
    <t>weed_method_raw</t>
  </si>
  <si>
    <t>weed_method</t>
  </si>
  <si>
    <t>Kenya Seed Company*H 511</t>
  </si>
  <si>
    <t>Dataset section</t>
  </si>
  <si>
    <t>File</t>
  </si>
  <si>
    <t>07_FOMD_metadata_original_long</t>
  </si>
  <si>
    <t>Name</t>
  </si>
  <si>
    <t>Content</t>
  </si>
  <si>
    <t>variable</t>
  </si>
  <si>
    <t>data_type</t>
  </si>
  <si>
    <t>variable_unit</t>
  </si>
  <si>
    <t>field_description</t>
  </si>
  <si>
    <t>notes</t>
  </si>
  <si>
    <t>values</t>
  </si>
  <si>
    <t>validation</t>
  </si>
  <si>
    <t>ref_Source</t>
  </si>
  <si>
    <t>Ref_Name</t>
  </si>
  <si>
    <t>Ref_Link</t>
  </si>
  <si>
    <t>variable_rule</t>
  </si>
  <si>
    <t>variable_cell_type</t>
  </si>
  <si>
    <t>rationale</t>
  </si>
  <si>
    <t>ai_possibility_for_extraction</t>
  </si>
  <si>
    <t>table</t>
  </si>
  <si>
    <t>field</t>
  </si>
  <si>
    <t>character</t>
  </si>
  <si>
    <t>Free text</t>
  </si>
  <si>
    <t>Each paper is assigned a unique code that can be used to identify the source of the data in the database.</t>
  </si>
  <si>
    <t>Must match a value listed in the ss_id column of Files 06_FOMD_screening</t>
  </si>
  <si>
    <t>Enables consistent referencing across datasets and links synthesis records to derived files.</t>
  </si>
  <si>
    <t>Character</t>
  </si>
  <si>
    <t>Must match a value listed in 01_countries$country in the 01_FOMD_ontologies file. For studies conducted in multiple countries, record each country in a separate indexed field or row following the predefined structure.</t>
  </si>
  <si>
    <t>Select one (controlled vocabulary).</t>
  </si>
  <si>
    <t>Standardises geographic reporting and enables spatial aggregation and filtering</t>
  </si>
  <si>
    <t xml:space="preserve">This describes the nature of the field and who is managing it  </t>
  </si>
  <si>
    <t>01_lookup_levels[Field$Site.Type]</t>
  </si>
  <si>
    <t>Must match a value listed in 01_lookup_levels$site_type in the 01_FOMD_ontologies file.</t>
  </si>
  <si>
    <t>Distinguishes between study designs and supports methodological stratification in analyses</t>
  </si>
  <si>
    <t>Standardised name of the specific study site. If  you select a site name that already exists in ontologies, the latitude and longitude fields will auto-populate. Please check the auto-generated co-ordinates against the ones reported in the publication and in GoogleMaps/Earth. If there is a mismatch you can overwrite the autogenerated values.</t>
  </si>
  <si>
    <t>Must match a value listed in the 01_sites$site_id column in 01_FOMD_ontologies file. If an existing site is selected, latitude and longitude fields will auto-populate. These coordinates must be verified against the publication and Google Maps/Earth. If discrepancies are detected, coordinates may be corrected and the modification flagged for review. New site names may be added following validation procedures.</t>
  </si>
  <si>
    <t>Free text or select existing value (controlled list).</t>
  </si>
  <si>
    <t>Ensures consistency in site naming, prevents duplication, and maintains spatial data integrity.</t>
  </si>
  <si>
    <t>Must match a value listed in 01_lookup_levels$site_admin in 01_FOMD_ontologies file.</t>
  </si>
  <si>
    <t>Captures spatial reporting accuracy and supports interpretation of geographic precision</t>
  </si>
  <si>
    <t>Does the location contain sub-locations?. State yes if a paper reports a general location which contains sub-locations that you do not know the co-ordinates of. For example a paper might state "we repeated the experiment on 10 farms in 5 villages in Busia county, Kenya" so we have a county location and know there are 5 village sub-locations in this county, we don't know where these villages are and results are reported averaged across all the farms and villages. If we know the location or names of the villages (e.g. results are reported per village) then we create one site per village and state "no" in this field.</t>
  </si>
  <si>
    <t>Yes, No</t>
  </si>
  <si>
    <t>Must match a value listed in 01_lookup_levels$site_location_type in 01_FOMD_ontologies file.</t>
  </si>
  <si>
    <t>Has to match one of the items in the drop down</t>
  </si>
  <si>
    <t>numeric</t>
  </si>
  <si>
    <t>decimal degrees</t>
  </si>
  <si>
    <t xml:space="preserve">If site_location_type1:n = original, enter the latitude reported in the publication (retain the reported precision). If site_location_type1:n = middle point, enter the derived latitude corresponding to the calculated midpoint (e.g., midpoint of multiple reported coordinates or midpoint of a named place such as a city). If site_location_type1:n = Unspecified and the publication provides a place name (e.g., city/administrative unit) via site_id1:n, auto-populate latitude using the centroid (midpoint) of that place (e.g., city centroid from the gazetteer/Google Maps-based lookup). If site_location_type1:n = Unspecified and no place name is available, leave blank. Where coordinates are auto-populated or derived, they must be plausibility-checked (e.g., within the selected country1:n) and corrected if clearly inconsistent, with corrections flagged for review. </t>
  </si>
  <si>
    <t>Numeric (free entry; auto-fill when available).</t>
  </si>
  <si>
    <t>Supports mapping and spatial linkage while documenting whether coordinates are reported or derived.</t>
  </si>
  <si>
    <t>If site_location_type1:n = original, enter the longitude reported in the publication (retain the reported precision). If site_location_type1:n = middle point, enter the derived longitude corresponding to the calculated midpoint (e.g., midpoint of multiple reported coordinates or midpoint of a named place such as a city). If site_location_type1:n = Unspecified and the publication provides a place name (e.g., city/administrative unit) via site_id1:n, auto-populate longitude using the centroid (midpoint) of that place. If site_location_type1:n = Unspecified and no place name is available, leave blank. Where coordinates are auto-populated or derived, they must be plausibility-checked (e.g., within the selected country1:n) and corrected if clearly inconsistent, with corrections flagged for review.</t>
  </si>
  <si>
    <t>meters</t>
  </si>
  <si>
    <t>If site_location_type1:n = original and the publication reports exact coordinates for a specific plot or facility, enter a small buffer reflecting reported precision (e.g., 0–100 m depending on precision and context). If site_location_type1:n = middle point (e.g., midpoint of multiple plots or centroid of a named place), enter a buffer reflecting the spatial extent represented (e.g., radius covering the spread of reported coordinates or the approximate spatial extent of the city/administrative unit). If site_location_type1:n = Unspecified but coordinates are auto-derived from a place name (e.g., city centroid), enter a buffer approximating the spatial extent of that place (e.g., radius covering the urban boundary or administrative polygon). If no coordinates or identifiable place name are available, leave blank. Buffer values should be based on transparent estimation (e.g., Google Earth measurement tools or gazetteer-based administrative boundaries) and must be internally consistent across studies.</t>
  </si>
  <si>
    <t>Complements latitude to enable spatial analysis while preserving transparency on coordinate provenance.</t>
  </si>
  <si>
    <t>Free Text</t>
  </si>
  <si>
    <t>AGROVOC</t>
  </si>
  <si>
    <t>experimental design</t>
  </si>
  <si>
    <t>http://aims.fao.org/aos/agrovoc/c_29466</t>
  </si>
  <si>
    <t>Numeric</t>
  </si>
  <si>
    <t>m2</t>
  </si>
  <si>
    <t>Free numeric entry (positive).</t>
  </si>
  <si>
    <t>Put plot size in meter squares</t>
  </si>
  <si>
    <t>Hectares</t>
  </si>
  <si>
    <t>Put field size in ha</t>
  </si>
  <si>
    <t>yyyy</t>
  </si>
  <si>
    <t>Subpractice or specific implementation detail of the broader practice as reported (e.g., “reduced tillage”, “legume intercrop”, “organic manure application”).</t>
  </si>
  <si>
    <t>Record exactly as reported. Normalise whitespace only. Leave blank if no specific sub-practice is reported.</t>
  </si>
  <si>
    <t>Retains detailed implementation information before controlled coding, supporting traceability and reproducibility.</t>
  </si>
  <si>
    <t>Detailed description of how the practice or sub-practice was implemented, including contextual or methodological qualifiers (e.g., frequency, intensity, timing, species used).</t>
  </si>
  <si>
    <t>Copy verbatim from the study when additional descriptive detail is provided. Do not summarise or interpret. Leave blank if no additional description beyond the sub-practice name is available.</t>
  </si>
  <si>
    <t>Preserves implementation-level detail that may be relevant for subgroup analysis or quality assessment.</t>
  </si>
  <si>
    <t>crop01:15</t>
  </si>
  <si>
    <t>crop_variety01:15</t>
  </si>
  <si>
    <t>Commercial or local name of the crop variety associated with the selected crop (e.g., Katumani, G2333, Maasai Red). Do not include the crop species name in this field. When multiple varieties of the same crop are present, separate varieties using an asterisk (*).</t>
  </si>
  <si>
    <t>(01_vars_crops$V.Var)</t>
  </si>
  <si>
    <t>Allow multiple selection</t>
  </si>
  <si>
    <t>crop_density_unit01:15</t>
  </si>
  <si>
    <t>plants/m2; seeds/m2</t>
  </si>
  <si>
    <t>01_lookup_levels[Field$Plant.Density.Unit]</t>
  </si>
  <si>
    <t>crop_density01:15</t>
  </si>
  <si>
    <t>Depends on Unit</t>
  </si>
  <si>
    <t>crop_arrangement01:15</t>
  </si>
  <si>
    <t>"-", "/"</t>
  </si>
  <si>
    <t>commodity_trees</t>
  </si>
  <si>
    <t>tree01:15</t>
  </si>
  <si>
    <t>01_trees$tree.latin.name</t>
  </si>
  <si>
    <t>NA</t>
  </si>
  <si>
    <t>species (taxa)</t>
  </si>
  <si>
    <t>http://aims.fao.org/aos/agrovoc/c_331243</t>
  </si>
  <si>
    <t>tree_density_unit01:15</t>
  </si>
  <si>
    <t>tree_density01:15</t>
  </si>
  <si>
    <t>tree_arrangement01:15</t>
  </si>
  <si>
    <t>animal01:05</t>
  </si>
  <si>
    <t>unique(01_vars_animals$V.Product)</t>
  </si>
  <si>
    <t>Drop-down menu (controlled vocabulary; single selection per indexed column).</t>
  </si>
  <si>
    <t>Enables standardised crop classification and supports filtering, grouping, and crop-specific analyses.</t>
  </si>
  <si>
    <t>animal_breed01:05</t>
  </si>
  <si>
    <t>Must match a value listed in the 01_animals$v_var in 01_FOMD_ontologies file. Enter only the variety name (e.g., “Maasai Red”, not “Maasai Red Goats”). If the study does not specify the variety, enter NA.</t>
  </si>
  <si>
    <t>Drop-down menu (controlled vocabulary; multi-selection allowed if multiple varieties apply).</t>
  </si>
  <si>
    <t>Enables differentiation of varietal effects and supports more detailed agronomic comparisons.</t>
  </si>
  <si>
    <t>animal_density_unit01:05</t>
  </si>
  <si>
    <t>Must match a value listed in the 01_lookuplevels$density_unit  in 01_FOMD_ontologies file. Required only when animal density is reported.</t>
  </si>
  <si>
    <t>Drop-down menu (controlled vocabulary).</t>
  </si>
  <si>
    <t>Ensures unit harmonisation and supports density standardisation across studies.</t>
  </si>
  <si>
    <t>yes</t>
  </si>
  <si>
    <t>animal_density01:05</t>
  </si>
  <si>
    <t>Enter only when animal density is explicitly reported. Must be numeric. Value must correspond to the selected animal_density_unit1:n.</t>
  </si>
  <si>
    <t>Free numeric entry.</t>
  </si>
  <si>
    <t>Supports agronomic intensity analysis and enables harmonisation or conversion of animal density across studies.</t>
  </si>
  <si>
    <t>soil_management_practice</t>
  </si>
  <si>
    <t>None</t>
  </si>
  <si>
    <t>soil_management_moderator</t>
  </si>
  <si>
    <t>01_lookup_levels[Field$$T.Method]</t>
  </si>
  <si>
    <t>Allows multiple selection</t>
  </si>
  <si>
    <t>tillage equipment</t>
  </si>
  <si>
    <t>http://aims.fao.org/aos/agrovoc/c_25768</t>
  </si>
  <si>
    <t>01_lookup_levels[Field$$Till.Other]</t>
  </si>
  <si>
    <t>Compound and Vague topic</t>
  </si>
  <si>
    <t>Integer</t>
  </si>
  <si>
    <t>cm</t>
  </si>
  <si>
    <t>Range 0-150, warn if &gt;50</t>
  </si>
  <si>
    <t>ploughing depth</t>
  </si>
  <si>
    <t>http://aims.fao.org/aos/agrovoc/c_d349db98</t>
  </si>
  <si>
    <t>None , but could be set to an integer class with lmiited number of tillage passes allowed</t>
  </si>
  <si>
    <t>planting_practice</t>
  </si>
  <si>
    <t>planting_moderator</t>
  </si>
  <si>
    <t>01_lookup_levels[Field$Plant.Method"]</t>
  </si>
  <si>
    <t>Date</t>
  </si>
  <si>
    <t>improved crop varieties: practice</t>
  </si>
  <si>
    <t>Complete with an easy to recognize name for the crop varietal subpractice, you will use this name to reference it when building treatments later in the extraction process. Avoid using special characters.</t>
  </si>
  <si>
    <t>Choose from unique 01_vars_crops[V.Product==V.Product,V.Var] or add new value.</t>
  </si>
  <si>
    <t>01_lookup_levels[Field$$Crop.Trait]</t>
  </si>
  <si>
    <t>Replacement, Additive</t>
  </si>
  <si>
    <t>Paut et al 2024</t>
  </si>
  <si>
    <t>https://www.nature.com/articles/s41597-023-02831-7</t>
  </si>
  <si>
    <t>Strip, Row, Mixed</t>
  </si>
  <si>
    <t>01_lookup_levels[Field$M.Fate]</t>
  </si>
  <si>
    <t>Complete with an easy to recognize name for the crop rotation practice, you will use this name to reference it when building treatments later in the extraction process. Avoid using special characters.</t>
  </si>
  <si>
    <t>crop_seq_subpractice01:03</t>
  </si>
  <si>
    <t>The start year of the crop rotation practice</t>
  </si>
  <si>
    <t>agroforestry</t>
  </si>
  <si>
    <t>https://agrovoc.fao.org/browse/agrovoc/en/page/c_16113</t>
  </si>
  <si>
    <t>percentage</t>
  </si>
  <si>
    <t>Allow for example "&gt;50". No higher than 100</t>
  </si>
  <si>
    <t>Allow for example "&gt;50".</t>
  </si>
  <si>
    <t>Free type cell</t>
  </si>
  <si>
    <t>unique(01_fertiliser$F.Category_New)</t>
  </si>
  <si>
    <t>fertilizers</t>
  </si>
  <si>
    <t>http://aims.fao.org/aos/agrovoc/c_2867</t>
  </si>
  <si>
    <t>Drop down menu</t>
  </si>
  <si>
    <t>01_fertiliser[F.Category_New==fert_inorganic_practice$F.Category_New,F.Type_New] or Free Text</t>
  </si>
  <si>
    <t>If a new value is added it will need to be flagged and the corresponding entry in the fertilizer completed.</t>
  </si>
  <si>
    <t>(kg/ha/y), kg/ha</t>
  </si>
  <si>
    <t>The unit of measurement for total inorganic values. Try to record kg/ha</t>
  </si>
  <si>
    <t>01_lookup_levels[Field$$F.Unit]</t>
  </si>
  <si>
    <t>If any of Fert.Out$F.NO, Fert.Out$F.PO or Fert.Out$F.KO are completed then this field is required.</t>
  </si>
  <si>
    <t>Must be number</t>
  </si>
  <si>
    <t>Unit used to report elemental nutrient quantities (N, P, K) applied from inorganic fertilizers. Try to record kg/ha</t>
  </si>
  <si>
    <t xml:space="preserve">Total elemental nitrogen applied from inorganic sources (e.g., urea or DAP). </t>
  </si>
  <si>
    <t>nitrogen
inorganic fertilizers</t>
  </si>
  <si>
    <t>http://aims.fao.org/aos/agrovoc/c_5192
http://aims.fao.org/aos/agrovoc/c_27870</t>
  </si>
  <si>
    <t>phosphorus
inorganic fertilizers</t>
  </si>
  <si>
    <t>http://aims.fao.org/aos/agrovoc/c_5804
http://aims.fao.org/aos/agrovoc/c_27870</t>
  </si>
  <si>
    <t>potassium
inorganic fertilizers</t>
  </si>
  <si>
    <t>http://aims.fao.org/aos/agrovoc/c_6139
http://aims.fao.org/aos/agrovoc/c_27870</t>
  </si>
  <si>
    <t>01_fertiliser[F.Category==Fert.Method$F.Category,F.Type] or Free Text</t>
  </si>
  <si>
    <t>Unit used to report elemental nutrient quantities (N, P, K) applied from organic fertilizers. Try to record kg/ha</t>
  </si>
  <si>
    <t>nitrogen
organic fertilizers</t>
  </si>
  <si>
    <t>http://aims.fao.org/aos/agrovoc/c_5192
http://aims.fao.org/aos/agrovoc/c_4592</t>
  </si>
  <si>
    <t>phosphorus
organic fertilizers</t>
  </si>
  <si>
    <t>http://aims.fao.org/aos/agrovoc/c_5804
http://aims.fao.org/aos/agrovoc/c_4592</t>
  </si>
  <si>
    <t>potassium
organic fertilizers</t>
  </si>
  <si>
    <t>http://aims.fao.org/aos/agrovoc/c_6139
http://aims.fao.org/aos/agrovoc/c_4592</t>
  </si>
  <si>
    <t>01_lookup_levels[Field$$M.Source]</t>
  </si>
  <si>
    <t>Only required if Fertilizer[F.Type==Fert.Method$F.Type, F.Category == "Organic" ]</t>
  </si>
  <si>
    <t>mechanical weed control</t>
  </si>
  <si>
    <t>http://aims.fao.org/aos/agrovoc/c_24200</t>
  </si>
  <si>
    <t>01_lookup_levels[Field$$W.Time.Units]</t>
  </si>
  <si>
    <t>chem_subpractice01:05</t>
  </si>
  <si>
    <t>Name of the pest management subpractice. Start with Herbicide management-Inoculation management-Insecticide management</t>
  </si>
  <si>
    <t>agrochemicals</t>
  </si>
  <si>
    <t>http://aims.fao.org/aos/agrovoc/c_24430</t>
  </si>
  <si>
    <t>chem_name01:05</t>
  </si>
  <si>
    <t>chem_unit01:05</t>
  </si>
  <si>
    <t>01_lookup_levels[Field$$C.AI.Unit]</t>
  </si>
  <si>
    <t>chem_amount01:05</t>
  </si>
  <si>
    <t>application rates</t>
  </si>
  <si>
    <t>crop residues</t>
  </si>
  <si>
    <t>http://aims.fao.org/aos/agrovoc/c_16118</t>
  </si>
  <si>
    <t>nitrogen content</t>
  </si>
  <si>
    <t>http://aims.fao.org/aos/agrovoc/c_5193</t>
  </si>
  <si>
    <t>phosphorus</t>
  </si>
  <si>
    <t xml:space="preserve">http://aims.fao.org/aos/agrovoc/c_5804
</t>
  </si>
  <si>
    <t>potassium</t>
  </si>
  <si>
    <t>http://aims.fao.org/aos/agrovoc/c_6139</t>
  </si>
  <si>
    <t>01_trees$Tree.Latin.Name</t>
  </si>
  <si>
    <t>woody plants</t>
  </si>
  <si>
    <t>http://aims.fao.org/aos/agrovoc/c_26837</t>
  </si>
  <si>
    <t>01_residues$M.Material or if a tree/shrub entered 01_lookup_levels$Tree.Materials or Free Text</t>
  </si>
  <si>
    <t>mulches</t>
  </si>
  <si>
    <t>http://aims.fao.org/aos/agrovoc/c_4977</t>
  </si>
  <si>
    <t>01_lookup_levels[Field$M.Process]</t>
  </si>
  <si>
    <t>01_lookup_levels[Field$M.Source]</t>
  </si>
  <si>
    <t>01_lookup_levels[Field$$M.Unit"]</t>
  </si>
  <si>
    <t>Required if Res.Method$M.Amount has a value</t>
  </si>
  <si>
    <t>01_practices[practice=="pH Control",subpractice] or Free Text</t>
  </si>
  <si>
    <t>liming</t>
  </si>
  <si>
    <t>http://aims.fao.org/aos/agrovoc/c_25206</t>
  </si>
  <si>
    <t>01_lookup_levels[Field$pH.Material] or Free Text</t>
  </si>
  <si>
    <t>liming materials</t>
  </si>
  <si>
    <t>http://aims.fao.org/aos/agrovoc/c_200</t>
  </si>
  <si>
    <t>01_lookup_levels[Field$F.Unit"]</t>
  </si>
  <si>
    <t>01_lookup_levels[Field$I.Unit"]</t>
  </si>
  <si>
    <t>01_lookup_levels[Field$I.Water.Type] or Free Text</t>
  </si>
  <si>
    <t>irrigation water</t>
  </si>
  <si>
    <t>http://aims.fao.org/aos/agrovoc/c_3958</t>
  </si>
  <si>
    <t>water harvesting</t>
  </si>
  <si>
    <t>http://aims.fao.org/aos/agrovoc/c_25305</t>
  </si>
  <si>
    <t>harvesting</t>
  </si>
  <si>
    <t>http://aims.fao.org/aos/agrovoc/c_3500</t>
  </si>
  <si>
    <t>dd/mm/yy</t>
  </si>
  <si>
    <t>warning if &lt;30</t>
  </si>
  <si>
    <t>ANIMAL PRACTICES MISSING</t>
  </si>
  <si>
    <t>None, but a lookup table could be implemented</t>
  </si>
  <si>
    <t>exp_hplot_size&lt;=exp_plot_size</t>
  </si>
  <si>
    <t>product_component01:05</t>
  </si>
  <si>
    <t>01_lookup_levels[Field$out_bio_ground_ref]</t>
  </si>
  <si>
    <t>01_out_econ$Variable</t>
  </si>
  <si>
    <t xml:space="preserve">Allows multiple selection </t>
  </si>
  <si>
    <t>Complete only when a sub-outcome is explicitly stated in the study/synthesis. Copy verbatim; normalise whitespace only. Leave blank if not reported or not applicable.</t>
  </si>
  <si>
    <t>Copy exactly as provided in the source, including qualifiers or contextual details. Normalise whitespace only (remove extra spaces or line breaks). Do not interpret, summarise, harmonise, or translate. Leave blank if no additional description is provided beyond the sub-outcome name.</t>
  </si>
  <si>
    <t>Preserves the original conceptual and measurement detail of the reported suboutcome prior to ontology-based harmonisation, ensuring transparency and traceability.</t>
  </si>
  <si>
    <t>01_outcomes$subindicator</t>
  </si>
  <si>
    <t>Must match a value listed in 01_outcomes$suboutcome in the 01_FOMD_ontologies file. Assignment requires manual review and interpretation of outcome_raw and suboutcome_raw.</t>
  </si>
  <si>
    <t>Enables standardised aggregation, comparison, and synthesis across studies using consistent outcome terminology.</t>
  </si>
  <si>
    <t>unique[01_suboutcome_units$suboutcome_unit_correct]</t>
  </si>
  <si>
    <t>This needs to be added, it can be derived from a lookup of the existing values for an outcome in ERA.
Always use a "/" separator to indicate "unit x" per "unit y". Refer to number of animals as "individuals" in units. Only capitalize units that require a capital letter, such as megagrams "Mg".</t>
  </si>
  <si>
    <t>Record exactly as reported, but remove special characters/formatting that can break parsing (e.g., convert “ha⁻¹ yr⁻¹” to “per ha per year”, avoid superscripts/subscripts, keep plain text). If the unit is not reported, leave blank.</t>
  </si>
  <si>
    <t>Free text (pattern-validated recommended).</t>
  </si>
  <si>
    <t>Soil outcome depths (cm) lower. Lower depth of measurement (cm) for soil or biodiversity outcomes</t>
  </si>
  <si>
    <t>&gt;0, warning if &gt;200</t>
  </si>
  <si>
    <t>depth</t>
  </si>
  <si>
    <t>http://aims.fao.org/aos/agrovoc/c_2190</t>
  </si>
  <si>
    <t>Soil outcome depths (cm) upper. Upper depth of measurement (cm) for soil or biodiversity outcomes</t>
  </si>
  <si>
    <t>&gt;0, warning if &gt;200, Out.Out$Soil.Depth.Lower&lt;Out.Out$Soil.Depth.Upper</t>
  </si>
  <si>
    <t>%</t>
  </si>
  <si>
    <t>0-100, warn if &gt;50</t>
  </si>
  <si>
    <t>years</t>
  </si>
  <si>
    <t>None,  but should be limited to units of mass (e.g. g, kg)</t>
  </si>
  <si>
    <t>Only required when Out.Out$Subindicator == "Weight Gain" &amp; !Out.Out$Out.WG.Start has data</t>
  </si>
  <si>
    <t>body weight</t>
  </si>
  <si>
    <t>http://aims.fao.org/aos/agrovoc/c_15846</t>
  </si>
  <si>
    <t>Days</t>
  </si>
  <si>
    <t>&gt;0, warning if &gt;1000</t>
  </si>
  <si>
    <t>AGROVOC
UO</t>
  </si>
  <si>
    <t>duration
day</t>
  </si>
  <si>
    <t>http://aims.fao.org/aos/agrovoc/c_2412
http://purl.obolibrary.org/obo/UO_0000002</t>
  </si>
  <si>
    <t>metric</t>
  </si>
  <si>
    <t>01_lookup_levels[Field$suboutcome_value_metric]</t>
  </si>
  <si>
    <t>Must match a value listed in 01_lookuplevels$suboutcome_value_metric in the 01_FOMD_ontologies file.</t>
  </si>
  <si>
    <t>Clarifies how the central value was calculated and enables filtering and harmonisation across studies</t>
  </si>
  <si>
    <t>Must be numeric. Where applicable, standardise values to the harmonised unit (e.g., convert yields to t/ha when required), retaining maximum available precision.</t>
  </si>
  <si>
    <t>Stores the primary quantitative result used for synthesis.</t>
  </si>
  <si>
    <t>01_lookup_levels[Field$Error.Type]</t>
  </si>
  <si>
    <t>Must match a value listed in 01_lookuplevels$suboutcome_variance_metric in the 01_FOMD_ontologies file.</t>
  </si>
  <si>
    <t>Identifies the type of dispersion measure used, enabling correct variance harmonisation.</t>
  </si>
  <si>
    <t>Enter only when suboutcome_variance_metric corresponds to SD, SE OR SEM. Must be numeric. Leave blank otherwise.</t>
  </si>
  <si>
    <t>Enables calculation of effect sizes and weighting in meta-analysis.</t>
  </si>
  <si>
    <t>Enter only when suboutcome_variance_metric corresponds to CV or IQR. Must be numeric. Leave blank otherwise.</t>
  </si>
  <si>
    <t>Preserves full reporting of interval-based uncertainty measures.</t>
  </si>
  <si>
    <t>Double</t>
  </si>
  <si>
    <t>Must be a positive integer. Record as reported. If multiple groups are reported, record the group-specific sample size corresponding to the extracted value.</t>
  </si>
  <si>
    <t>Free numeric entry (integer).</t>
  </si>
  <si>
    <t>Essential for variance estimation, effect size calculation, and weighting in quantitative synthesis.</t>
  </si>
  <si>
    <t>Use the format: figX for figures (e.g., fig1, fig2); tabX for tables (e.g., tab1, tab3); txt when the data are reported only in the main text without a numbered figure or table. Use lowercase letters only. Do not include spaces, punctuation, or additional text. If multiple locations contain relevant data, record the primary location used for extraction.</t>
  </si>
  <si>
    <t>Free text entry</t>
  </si>
  <si>
    <t>Ensures traceability and reproducibility of extracted data by documenting the exact source location within the publication.</t>
  </si>
  <si>
    <t>01_lookup_levels[Field$Out.Agg.Stat]</t>
  </si>
  <si>
    <t>Positive integer</t>
  </si>
  <si>
    <t>sampling date</t>
  </si>
  <si>
    <t>sampling_date_start</t>
  </si>
  <si>
    <t>Sampling Date (Can be used with soil moisture outcomes, for example) - Start</t>
  </si>
  <si>
    <t>dd/mm/yyyy</t>
  </si>
  <si>
    <t>dd/mm/yyyy, warning if year more than 1 different to Time</t>
  </si>
  <si>
    <t>planting date</t>
  </si>
  <si>
    <t>http://aims.fao.org/aos/agrovoc/c_24065</t>
  </si>
  <si>
    <t>sampling_date_end</t>
  </si>
  <si>
    <t>Sampling Date (Can be used with soil moisture outcomes, for example) - End</t>
  </si>
  <si>
    <t>dd/mm/yyyy, warning if year more than 1 different to Time, Times$Plant.End&gt;=Times$Plant.Start</t>
  </si>
  <si>
    <t>sampling_days_after_planting</t>
  </si>
  <si>
    <t>Sampling Date (Can be used with soil moisture outcomes, for example) - Days After Planting</t>
  </si>
  <si>
    <t>sampling</t>
  </si>
  <si>
    <t>sampling_method</t>
  </si>
  <si>
    <t>sampling_duration</t>
  </si>
  <si>
    <t>positive numeric</t>
  </si>
  <si>
    <t>Length of time (in years) that the experiment or observation had been ongoing up to the date for which the outcome is reported.</t>
  </si>
  <si>
    <t>Record duration in years. In bimodal or multi-season systems, represent individual seasons as fractions of a year (e.g., 0.5 for one of two seasons). In unimodal systems with one growing season per year, one season equals one year.</t>
  </si>
  <si>
    <t>Free numeric entry. (positive)</t>
  </si>
  <si>
    <t>Enables assessment of intervention maturity and supports temporal subgroup analyses.</t>
  </si>
  <si>
    <t>sampling_year</t>
  </si>
  <si>
    <t>Calendar year in which the outcome was measured.</t>
  </si>
  <si>
    <t>For single-season observations: record as YYYY (e.g., 1999). For multi-season systems within a year: use decimal notation (e.g., 2002.1 for season 1, 2002.2 for season 2). For measurements aggregated across multiple years: record the range as YYYY.YYYY (e.g., 1999.2004). Must follow one of these formats exactly.</t>
  </si>
  <si>
    <t>Free text (pattern validated)</t>
  </si>
  <si>
    <t>Preserves precise temporal information while allowing season-level resolution.</t>
  </si>
  <si>
    <t>time_start_year</t>
  </si>
  <si>
    <t>positive integer</t>
  </si>
  <si>
    <t>year (YYYY)</t>
  </si>
  <si>
    <t>Record the start year for experimental outcomes reported. This may be different from the start date of experimental treatments (e.g., if a non-till experiment starts in 2000 and the first outcome is reported for 2002, report 2002 here)</t>
  </si>
  <si>
    <t>Free numeric entry (4-digit integer).</t>
  </si>
  <si>
    <t>Record as four-digit year (YYYY). Required for all observations (single-year and multi-year). If the outcome was measured in a single year, enter that year. Must be ≤ sampling_year_end.</t>
  </si>
  <si>
    <t>Defines the start of the temporal observation window for longitudinal or aggregated outcomes.</t>
  </si>
  <si>
    <t>time_end_year</t>
  </si>
  <si>
    <t>Final calendar year in which the outcome was measured.</t>
  </si>
  <si>
    <t>Record as four-digit year (YYYY). If the outcome was measured in a single year, enter the same value as sampling_year_start. If outcomes are aggregated across multiple years, enter the final year of the aggregation period. Must be ≥ sampling_year_start.</t>
  </si>
  <si>
    <t>Defines the end of the temporal observation window and avoids missing or ambiguous temporal data.</t>
  </si>
  <si>
    <t>sampling_season_start</t>
  </si>
  <si>
    <t>First growing season in which the outcome was measured within a given year in systems with multiple growing seasons.</t>
  </si>
  <si>
    <t>This only required in areas where there are mutiple growing seasons in a year (e.g., areas with bimodal rainfall or irrigated cropping in dry seasons of a unimodal system). Leave blank where there is only one growing season per year or no seasonal information is presented with the data. Code the season in order 1,2,etc. Determine the season sequence by harvest year. If there are two cropping seasons, with crops harvested in Feb and Sept, Feb = season 1 and Sept = season 2.</t>
  </si>
  <si>
    <t>Free numeric entry (positive integer).</t>
  </si>
  <si>
    <t>Preserves intra-annual temporal resolution in multi-season production systems.</t>
  </si>
  <si>
    <t>sampling_season_end</t>
  </si>
  <si>
    <t>Final growing season included when outcomes are aggregated across multiple seasons within or across years.</t>
  </si>
  <si>
    <t>automatic</t>
  </si>
  <si>
    <t>practices_components</t>
  </si>
  <si>
    <t>automatic, based on subpractice_list</t>
  </si>
  <si>
    <t>practice_list</t>
  </si>
  <si>
    <t>automatic, based on suboutcome selected</t>
  </si>
  <si>
    <t>taxa_class</t>
  </si>
  <si>
    <t>automatic, based on suboutcome_detail1 or suboutcome_detail2</t>
  </si>
  <si>
    <t>taxa_order</t>
  </si>
  <si>
    <t>automatic, based on suboutcome_detail1 or suboutcome_detail3</t>
  </si>
  <si>
    <t>taxa_phylum</t>
  </si>
  <si>
    <t>automatic, based on suboutcome_detail1 or suboutcome_detail4</t>
  </si>
  <si>
    <t>functional_group</t>
  </si>
  <si>
    <t>automatic, based on suboutcome_detail1 or suboutcome_detail5</t>
  </si>
  <si>
    <t>biodiversity_ground</t>
  </si>
  <si>
    <t>automatic, based on suboutcome_detail1 or suboutcome_detail6</t>
  </si>
  <si>
    <t>subpractice_list</t>
  </si>
  <si>
    <t>automatic, based on subpractice</t>
  </si>
  <si>
    <t>watharv_subpractice02</t>
  </si>
  <si>
    <t>watharv_subpractice03</t>
  </si>
  <si>
    <t>watharv_subpractice04</t>
  </si>
  <si>
    <t>watharv_subpractice01</t>
  </si>
  <si>
    <t xml:space="preserve">Crop trait. Enter any specific info of the variety .  When multiple traits are reported for the same variety, separate traits using two dots (..). </t>
  </si>
  <si>
    <t xml:space="preserve">Name of the intercropping subpractice. When multiple traits are reported for the same variety, separate traits using two dots (-). </t>
  </si>
  <si>
    <t>crop_sequence_practice</t>
  </si>
  <si>
    <t>crop_sequence_moderator</t>
  </si>
  <si>
    <t>animal_arrangement01</t>
  </si>
  <si>
    <t>animal_arrangement02</t>
  </si>
  <si>
    <t>animal_arrangement01:05</t>
  </si>
  <si>
    <t>agroforestry_practice</t>
  </si>
  <si>
    <t>agroforestry_moderator</t>
  </si>
  <si>
    <t>fert_inorganic_unit</t>
  </si>
  <si>
    <t>fert_inorganic_amount</t>
  </si>
  <si>
    <t>Complete with an easy to recognize name for the weeding practice, you will use this name to reference it when building treatments later in the extraction process. Avoid using special characters. This section is for physical weeding only, herbicides application should be noted under the chemicals columns.</t>
  </si>
  <si>
    <t>weeding_management_practice</t>
  </si>
  <si>
    <t>weeding_management_moderator</t>
  </si>
  <si>
    <t>chemical_management_practice</t>
  </si>
  <si>
    <t>chemical_management_moderator</t>
  </si>
  <si>
    <t>List the starting season of an experimental treatment in systems with &gt;1 growing season. If a region has unimodal rainfall or if seasonality is unspecified please leave this file blanck</t>
  </si>
  <si>
    <t>residues_subpractice02</t>
  </si>
  <si>
    <t>residues_subpractice03</t>
  </si>
  <si>
    <t>residues_subpractice04</t>
  </si>
  <si>
    <t>residues_subpractice01</t>
  </si>
  <si>
    <t>Name of the residues management practice (mulches, residues, prunning)</t>
  </si>
  <si>
    <t>residues_practice</t>
  </si>
  <si>
    <t>residues_moderator</t>
  </si>
  <si>
    <t>No mulch Applied</t>
  </si>
  <si>
    <t>ph_material_unit</t>
  </si>
  <si>
    <t>ph_material_amount</t>
  </si>
  <si>
    <t>pH_amendment_moderator</t>
  </si>
  <si>
    <t>pH_amendment_practice</t>
  </si>
  <si>
    <t>irrigation_practice</t>
  </si>
  <si>
    <t>irrigation_moderator</t>
  </si>
  <si>
    <t>Planting Date Start DD/MM/YYYY</t>
  </si>
  <si>
    <t>Planting Date End DD/MM/YYYY</t>
  </si>
  <si>
    <t>Planting Date Start (DD/MM/YYYY)</t>
  </si>
  <si>
    <t>Planting Date End (DD/MM/YYYY)</t>
  </si>
  <si>
    <t>Date Start of the irrigation (DD/MM/YYYY)</t>
  </si>
  <si>
    <t>Date End of the irrigation (DD/MM/YYYY)</t>
  </si>
  <si>
    <t>harvest_practice</t>
  </si>
  <si>
    <t>harvest_moderator</t>
  </si>
  <si>
    <t>postharvesting_practice</t>
  </si>
  <si>
    <t>postharvesting_moderator</t>
  </si>
  <si>
    <t>postharvest_subpractice_raw</t>
  </si>
  <si>
    <t>postharvest_subpractice01:04</t>
  </si>
  <si>
    <t>postharvest_date_start</t>
  </si>
  <si>
    <t>postharvest_date_end</t>
  </si>
  <si>
    <t>postharvest_days_after_storage</t>
  </si>
  <si>
    <t>postharvest_subpractice04</t>
  </si>
  <si>
    <t>postharvest_subpractice03</t>
  </si>
  <si>
    <t>postharvest_subpractice02</t>
  </si>
  <si>
    <t>postharvest_subpractice01</t>
  </si>
  <si>
    <t>01_products$Edge_Value</t>
  </si>
  <si>
    <t>product_outcome</t>
  </si>
  <si>
    <t>input_outcome</t>
  </si>
  <si>
    <t>commodity_animal</t>
  </si>
  <si>
    <t>experiment_details</t>
  </si>
  <si>
    <t>experiment_time</t>
  </si>
  <si>
    <t>outcome_time</t>
  </si>
  <si>
    <t xml:space="preserve">Unique ID assigned to each site/treatment/managment. If a study reports outcomes for multiple intervention (e.g., agroforestry and intercropping), or comparator systems (e.g., simplified agricultural systems and natural), and/or multiple sites (e.g., Huatusco - MX; and Coatepec - MX) data from all interventions and comparators will be extracted and coded separately. For example, for put C1, C2,...giving a unique number to each unique treatment (and same number if only the taxa or biodiversity outcome changes). For the intervention practices, put T1, T2, ....using same logic. This will be used to correctly link comparators and intervention combinations within a single study, for analysis. Notes: If the experiment settings across taxa or biodiversity measure are the same, then use the same C value and T values. Change C and T values if settings like location, pesticide use, etc. change. </t>
  </si>
  <si>
    <t>C2..T1..T2</t>
  </si>
  <si>
    <t>C4..T5..T6</t>
  </si>
  <si>
    <t>Forage yield (kg/ha)= maize stover and Maize grain yield</t>
  </si>
  <si>
    <t>Forage yield, intercropping (kg/ha)= maize stover and legume stover</t>
  </si>
  <si>
    <t>Forage yield (kg/ha)= maize stover</t>
  </si>
  <si>
    <t>Biomass Yield</t>
  </si>
  <si>
    <t>Fig 3a</t>
  </si>
  <si>
    <t xml:space="preserve"> 588.8324873096444</t>
  </si>
  <si>
    <t xml:space="preserve"> 578.6802030456851</t>
  </si>
  <si>
    <t xml:space="preserve"> 639.5939086294416</t>
  </si>
  <si>
    <t xml:space="preserve"> 720.8121827411165</t>
  </si>
  <si>
    <t xml:space="preserve"> 1385.786802030457</t>
  </si>
  <si>
    <t xml:space="preserve"> 487.30964467005066</t>
  </si>
  <si>
    <t>extraction_person</t>
  </si>
  <si>
    <t>extraction_date</t>
  </si>
  <si>
    <t>checking_person</t>
  </si>
  <si>
    <t>checking_date</t>
  </si>
  <si>
    <t>row_status</t>
  </si>
  <si>
    <t>AS</t>
  </si>
  <si>
    <t>checking_obs</t>
  </si>
  <si>
    <t>extraction_obs</t>
  </si>
  <si>
    <t>extraction_details</t>
  </si>
  <si>
    <t>Nigeria</t>
  </si>
  <si>
    <t>Onion</t>
  </si>
  <si>
    <t>mt/ha</t>
  </si>
  <si>
    <t>15x20 cm sole onion</t>
  </si>
  <si>
    <t>15x20 cm onion/60x30 cm pepper</t>
  </si>
  <si>
    <t>Onion Bulb</t>
  </si>
  <si>
    <t>Pepper Fresh Fruit</t>
  </si>
  <si>
    <t>Onion bulb yield (mt/ha)</t>
  </si>
  <si>
    <t>Onion bulb yield (mt/ha) and peper fresh fruit (mt/yield)</t>
  </si>
  <si>
    <t>out_var_metric</t>
  </si>
  <si>
    <t>out_var_value</t>
  </si>
  <si>
    <t>outc_var_value_l</t>
  </si>
  <si>
    <t>outc_var_value_u</t>
  </si>
  <si>
    <t>Pepper</t>
  </si>
  <si>
    <t>15x20 cm onion/60x45 cm pepper</t>
  </si>
  <si>
    <t>15x20 cm onion/60x60 cm pepper</t>
  </si>
  <si>
    <t>15x20 cm onion/60x75 cm pepper</t>
  </si>
  <si>
    <t>Intercrop (Non N fixing)</t>
  </si>
  <si>
    <t>peper fresh fruit (mt/yield)</t>
  </si>
  <si>
    <t>60x30 cm sole pepper</t>
  </si>
  <si>
    <t>Bulb yield &amp; Fresh fruit yield</t>
  </si>
  <si>
    <t>Randomnized complete block design, 3 replicates in 2002 and 3 replicates in 2004= 6 replicates</t>
  </si>
  <si>
    <t>Region</t>
  </si>
  <si>
    <t>01_lookup_levels[Field$site_latlong_type]</t>
  </si>
  <si>
    <t>01_lookup_levels[Field$FieldSite.Admin]</t>
  </si>
  <si>
    <t>01_countries[country]</t>
  </si>
  <si>
    <t>01_sites[Site.Id]  or Free text</t>
  </si>
  <si>
    <t>Sudan Savanna ecological zone</t>
  </si>
  <si>
    <t>The experiment was a two factor experiment i.e., two crops combined under different intercropping spacings laid out in a randomnized complete block design (rcdb), replicated three times. There were ten treatments.</t>
  </si>
  <si>
    <t>Bama red</t>
  </si>
  <si>
    <t>Damasak</t>
  </si>
  <si>
    <t>60x30 cm pepper/15x20 onion</t>
  </si>
  <si>
    <t>60x30 cm pepper/15x30 onion</t>
  </si>
  <si>
    <t>60x30 cm pepper/15x40 onion</t>
  </si>
  <si>
    <t>60x30 cm pepper/15x50 onion</t>
  </si>
  <si>
    <t>Fresh fruit yield</t>
  </si>
  <si>
    <t>2002/2003 and 2004/2005 cool dry seeason of october to march of each year</t>
  </si>
  <si>
    <t>T1..T2..T3..T4..T5..T6..T7..T8</t>
  </si>
  <si>
    <t>product_component_focal_yield</t>
  </si>
  <si>
    <t>out_value_product_component01</t>
  </si>
  <si>
    <t>out_var_value_product_component01</t>
  </si>
  <si>
    <t>out_value_product_component02</t>
  </si>
  <si>
    <t>out_var_value_product_component02</t>
  </si>
  <si>
    <t>out_value_product_component03</t>
  </si>
  <si>
    <t>out_var_value_product_component03</t>
  </si>
  <si>
    <t>out_value_product_component04</t>
  </si>
  <si>
    <t>out_var_value_product_component04</t>
  </si>
  <si>
    <t>out_value_product_component05</t>
  </si>
  <si>
    <t>out_var_value_product_component05</t>
  </si>
  <si>
    <t>commodity_product_component</t>
  </si>
  <si>
    <t>varietal_crop_subpractice_raw</t>
  </si>
  <si>
    <t>intercropping_practice</t>
  </si>
  <si>
    <t>intercropping_moderator</t>
  </si>
  <si>
    <t>Natural Fallow (&gt;6months)</t>
  </si>
  <si>
    <t>Natural Fallow (&gt;1yr)</t>
  </si>
  <si>
    <t>01_practices[subtype %in% c("Agroforestry pruning residues","Mulches","Crop residues"),Subpractice]</t>
  </si>
  <si>
    <r>
      <t xml:space="preserve">Name of the agroforestry practice. This dimension captures </t>
    </r>
    <r>
      <rPr>
        <sz val="11"/>
        <color theme="1"/>
        <rFont val="Aptos Narrow"/>
        <family val="2"/>
        <scheme val="minor"/>
      </rPr>
      <t>the shade management of the agroforestry system.</t>
    </r>
  </si>
  <si>
    <t>01_practices[type=="Crop management" &amp; subtype%in%c("Genetic improvement", "Genetic variation"),subpractice]</t>
  </si>
  <si>
    <t>01_practices[subtype== "Tillage",subpractice]</t>
  </si>
  <si>
    <t>habitat_type</t>
  </si>
  <si>
    <t>cropland</t>
  </si>
  <si>
    <t>outcome_value</t>
  </si>
  <si>
    <t>outcome_experimental_design</t>
  </si>
  <si>
    <t>nutrient_management_practice</t>
  </si>
  <si>
    <t>nutrient_management_fert_moderator</t>
  </si>
  <si>
    <t>nutrient_management_org_moderator</t>
  </si>
  <si>
    <t>crop_arrangement04</t>
  </si>
  <si>
    <t>crop_arrangement05</t>
  </si>
  <si>
    <t>crop_arrangement06</t>
  </si>
  <si>
    <t>crop_arrangement07</t>
  </si>
  <si>
    <t>crop_arrangement08</t>
  </si>
  <si>
    <t>crop04</t>
  </si>
  <si>
    <t>crop_variety04</t>
  </si>
  <si>
    <t>crop_density_unit04</t>
  </si>
  <si>
    <t>crop_density04</t>
  </si>
  <si>
    <t>crop_arrangement09</t>
  </si>
  <si>
    <t>crop05</t>
  </si>
  <si>
    <t>crop_variety05</t>
  </si>
  <si>
    <t>crop_density_unit05</t>
  </si>
  <si>
    <t>crop_density05</t>
  </si>
  <si>
    <t>crop06</t>
  </si>
  <si>
    <t>crop_variety06</t>
  </si>
  <si>
    <t>crop_density_unit06</t>
  </si>
  <si>
    <t>crop_density06</t>
  </si>
  <si>
    <t>crop07</t>
  </si>
  <si>
    <t>crop_variety07</t>
  </si>
  <si>
    <t>crop_density_unit07</t>
  </si>
  <si>
    <t>crop_density07</t>
  </si>
  <si>
    <t>crop08</t>
  </si>
  <si>
    <t>crop_variety08</t>
  </si>
  <si>
    <t>crop_density_unit08</t>
  </si>
  <si>
    <t>crop_density08</t>
  </si>
  <si>
    <t>crop09</t>
  </si>
  <si>
    <t>crop_variety09</t>
  </si>
  <si>
    <t>crop_density_unit09</t>
  </si>
  <si>
    <t>crop_density09</t>
  </si>
  <si>
    <t>crop_arrangement10</t>
  </si>
  <si>
    <t>crop_arrangement11</t>
  </si>
  <si>
    <t>crop_arrangement12</t>
  </si>
  <si>
    <t>crop_arrangement13</t>
  </si>
  <si>
    <t>crop_arrangement14</t>
  </si>
  <si>
    <t>crop_arrangement15</t>
  </si>
  <si>
    <t>crop10</t>
  </si>
  <si>
    <t>crop_variety10</t>
  </si>
  <si>
    <t>crop_density_unit10</t>
  </si>
  <si>
    <t>crop_density10</t>
  </si>
  <si>
    <t>crop11</t>
  </si>
  <si>
    <t>crop_variety11</t>
  </si>
  <si>
    <t>crop_density_unit11</t>
  </si>
  <si>
    <t>crop_density11</t>
  </si>
  <si>
    <t>crop12</t>
  </si>
  <si>
    <t>crop_variety12</t>
  </si>
  <si>
    <t>crop_density_unit12</t>
  </si>
  <si>
    <t>crop_density12</t>
  </si>
  <si>
    <t>crop13</t>
  </si>
  <si>
    <t>crop_variety13</t>
  </si>
  <si>
    <t>crop_density_unit13</t>
  </si>
  <si>
    <t>crop_density13</t>
  </si>
  <si>
    <t>crop14</t>
  </si>
  <si>
    <t>crop_variety14</t>
  </si>
  <si>
    <t>crop_density_unit14</t>
  </si>
  <si>
    <t>crop_density14</t>
  </si>
  <si>
    <t>crop15</t>
  </si>
  <si>
    <t>crop_variety15</t>
  </si>
  <si>
    <t>crop_density_unit15</t>
  </si>
  <si>
    <t>crop_density15</t>
  </si>
  <si>
    <t>country01:05</t>
  </si>
  <si>
    <t>site_type01:05</t>
  </si>
  <si>
    <t>site_id01:05</t>
  </si>
  <si>
    <t>site_admin01:05</t>
  </si>
  <si>
    <t>site_agg01:05</t>
  </si>
  <si>
    <t>site_latlong_type01:05</t>
  </si>
  <si>
    <t>site_latitude01:05</t>
  </si>
  <si>
    <t>site_longitude01:05</t>
  </si>
  <si>
    <t>site_buffer01:05</t>
  </si>
  <si>
    <t>site_buffer03</t>
  </si>
  <si>
    <t>site_buffer04</t>
  </si>
  <si>
    <t>site_buffer05</t>
  </si>
  <si>
    <t>country03</t>
  </si>
  <si>
    <t>site_type03</t>
  </si>
  <si>
    <t>site_id03</t>
  </si>
  <si>
    <t>site_admin03</t>
  </si>
  <si>
    <t>site_agg03</t>
  </si>
  <si>
    <t>site_latlong_type03</t>
  </si>
  <si>
    <t>site_latitude03</t>
  </si>
  <si>
    <t>site_longitude03</t>
  </si>
  <si>
    <t>country04</t>
  </si>
  <si>
    <t>site_type04</t>
  </si>
  <si>
    <t>site_id04</t>
  </si>
  <si>
    <t>site_admin04</t>
  </si>
  <si>
    <t>site_agg04</t>
  </si>
  <si>
    <t>site_latlong_type04</t>
  </si>
  <si>
    <t>site_latitude04</t>
  </si>
  <si>
    <t>site_longitude04</t>
  </si>
  <si>
    <t>country05</t>
  </si>
  <si>
    <t>site_type05</t>
  </si>
  <si>
    <t>site_id05</t>
  </si>
  <si>
    <t>site_admin05</t>
  </si>
  <si>
    <t>site_agg05</t>
  </si>
  <si>
    <t>site_latlong_type05</t>
  </si>
  <si>
    <t>site_latitude05</t>
  </si>
  <si>
    <t>site_longitude05</t>
  </si>
  <si>
    <t>tree_arrangement03</t>
  </si>
  <si>
    <t>tree_arrangement04</t>
  </si>
  <si>
    <t>tree_arrangement05</t>
  </si>
  <si>
    <t>tree_arrangement06</t>
  </si>
  <si>
    <t>tree_arrangement07</t>
  </si>
  <si>
    <t>tree_arrangement08</t>
  </si>
  <si>
    <t>tree_arrangement09</t>
  </si>
  <si>
    <t>tree_arrangement10</t>
  </si>
  <si>
    <t>tree_arrangement11</t>
  </si>
  <si>
    <t>tree_arrangement12</t>
  </si>
  <si>
    <t>tree03</t>
  </si>
  <si>
    <t>tree_density_unit03</t>
  </si>
  <si>
    <t>tree_density03</t>
  </si>
  <si>
    <t>tree04</t>
  </si>
  <si>
    <t>tree_density_unit04</t>
  </si>
  <si>
    <t>tree_density04</t>
  </si>
  <si>
    <t>tree05</t>
  </si>
  <si>
    <t>tree_density_unit05</t>
  </si>
  <si>
    <t>tree_density05</t>
  </si>
  <si>
    <t>tree_arrangement13</t>
  </si>
  <si>
    <t>tree_arrangement14</t>
  </si>
  <si>
    <t>tree_arrangement15</t>
  </si>
  <si>
    <t>tree06</t>
  </si>
  <si>
    <t>tree_density_unit06</t>
  </si>
  <si>
    <t>tree_density06</t>
  </si>
  <si>
    <t>tree07</t>
  </si>
  <si>
    <t>tree_density_unit07</t>
  </si>
  <si>
    <t>tree_density07</t>
  </si>
  <si>
    <t>tree08</t>
  </si>
  <si>
    <t>tree_density_unit08</t>
  </si>
  <si>
    <t>tree_density08</t>
  </si>
  <si>
    <t>tree09</t>
  </si>
  <si>
    <t>tree_density_unit09</t>
  </si>
  <si>
    <t>tree_density09</t>
  </si>
  <si>
    <t>tree10</t>
  </si>
  <si>
    <t>tree_density_unit10</t>
  </si>
  <si>
    <t>tree_density10</t>
  </si>
  <si>
    <t>tree11</t>
  </si>
  <si>
    <t>tree_density_unit11</t>
  </si>
  <si>
    <t>tree_density11</t>
  </si>
  <si>
    <t>tree12</t>
  </si>
  <si>
    <t>tree_density_unit12</t>
  </si>
  <si>
    <t>tree_density12</t>
  </si>
  <si>
    <t>tree13</t>
  </si>
  <si>
    <t>tree_density_unit13</t>
  </si>
  <si>
    <t>tree_density13</t>
  </si>
  <si>
    <t>tree14</t>
  </si>
  <si>
    <t>tree_density_unit14</t>
  </si>
  <si>
    <t>tree_density14</t>
  </si>
  <si>
    <t>tree15</t>
  </si>
  <si>
    <t>tree_density_unit15</t>
  </si>
  <si>
    <t>tree_density15</t>
  </si>
  <si>
    <t>animal_arrangement03</t>
  </si>
  <si>
    <t>animal_arrangement04</t>
  </si>
  <si>
    <t>animal_arrangement05</t>
  </si>
  <si>
    <t>animal03</t>
  </si>
  <si>
    <t>animal_breed03</t>
  </si>
  <si>
    <t>animal_density_unit03</t>
  </si>
  <si>
    <t>animal_density03</t>
  </si>
  <si>
    <t>animal04</t>
  </si>
  <si>
    <t>animal_breed04</t>
  </si>
  <si>
    <t>animal_density_unit04</t>
  </si>
  <si>
    <t>animal_density04</t>
  </si>
  <si>
    <t>animal05</t>
  </si>
  <si>
    <t>animal_breed05</t>
  </si>
  <si>
    <t>animal_density_unit05</t>
  </si>
  <si>
    <t>animal_density05</t>
  </si>
  <si>
    <t>ss_id</t>
  </si>
  <si>
    <t>JA_Berha_21_A sys_AG</t>
  </si>
  <si>
    <t>Ethiopia</t>
  </si>
  <si>
    <t>Study conducted at three sites over 2 years (one cropping season per year), with three farmers per site each hosting one experimental block. So N = 3 farmers per study site x 3 subplots where yield was harvested x 2 years = 18</t>
  </si>
  <si>
    <t>gross margin</t>
  </si>
  <si>
    <t>Yields were obtained through field measurements, while information on seeds, fertilisers and labour inputs were obtained through farmer interviews and field observations with costs obtained from local markets. Total revenue was based on sum of yields of maize, stover and legume biomass. Maize yields were based on harvesting crops from 70 sq m farm section covering three random 5.63 sq m of each subplot. The average of three subplots was taken and used to compute the yield per ha for each farm.</t>
  </si>
  <si>
    <t>Table A1</t>
  </si>
  <si>
    <t>Halaba</t>
  </si>
  <si>
    <t>Table A2</t>
  </si>
  <si>
    <t>Loka-Abaya</t>
  </si>
  <si>
    <t>Table A3</t>
  </si>
  <si>
    <t>total variable cost</t>
  </si>
  <si>
    <t>Lablab</t>
  </si>
  <si>
    <t>Ziway</t>
  </si>
  <si>
    <t>Variable Cost</t>
  </si>
  <si>
    <t>City</t>
  </si>
  <si>
    <t>On-farm experiments were conducted during the 2015 and 2016 cropping seasons, with three farmers at each site, making a total of nine farmers hosting the tests. Each farm hosted one full experimental repetition, thus functioning as an experimental block. The purpose of this trial was to compare the yield responses of five CSA treatments against the recommended levels (see Section 2.2 for details) of treatment (the control).</t>
  </si>
  <si>
    <t>Control: Recommended fertilizer levels, i.e. 100 kg diammonium  phosphate (DAP) ha 1 and 100 kg ha 1 urea at 30 days after planting  (53,333 plants ha 1)</t>
  </si>
  <si>
    <t>Control: maize with recommended fertilizer rates. Recommended fertilizer levels, i.e. 100 kg diammonium  phosphate (DAP) ha 1 and 100 kg ha 1 urea at 30 days after planting  (53,333 plants ha 1)</t>
  </si>
  <si>
    <t>MD: maize with micrrodosed fertilizer. Micro-dosing (point application of 0.5 g of DAP (equivalent to  26.7 kg ha 1) at planting and 0.5 g of urea (equivalent to  26.7 kg ha 1) 30 days after planting per pocket), equivalent to  17.3 kg N/ha (53,333 plants ha 1)</t>
  </si>
  <si>
    <t>SP+M: maize with seeds primed, mulch and recommended fertilizer. Seed priming (soaking seeds in water for 8 h prior to sowing), + 3 Mg/ha mulch, + recommended fertilizer levels (53,333  plants ha 1)</t>
  </si>
  <si>
    <t>SP+MD: maize with seeds primed and microdosed fertilizer. Seed priming + micro-dosing (53,333 plants ha 1)</t>
  </si>
  <si>
    <t>MD+SH: maize intercropped with sunnhemp and microdosed fertilizer. Micro-dosing + maize/sunnhemp intercropping (53,333  and 266,666 plants ha 1)</t>
  </si>
  <si>
    <t>MD+LL: maize intercropped with lablab and microdosed fertilizer. Micro-dosing + maize/lablab intercropping (53,333 and  66,666 plants ha 1)</t>
  </si>
  <si>
    <t>Sunn Hemp</t>
  </si>
  <si>
    <t>Recommend rate of fertilizer</t>
  </si>
  <si>
    <t>MD: Micro-dosing (point application of 0.5 g of DAP (equivalent to  26.7 kg ha 1) at planting and 0.5 g of urea (equivalent to  26.7 kg ha 1) 30 days after planting per pocket), equivalent to  17.3 kg N/ha (53,333 plants ha 1);</t>
  </si>
  <si>
    <t>SP + M: Seed priming (soaking seeds in water for 8 h prior to sowing), + 3 Mg/ha mulch, + recommended fertilizer levels (53,333  plants ha 1)</t>
  </si>
  <si>
    <t>Micro dosing</t>
  </si>
  <si>
    <t>MD + SH: Micro-dosing + maize/sunnhemp intercropping (53,333  and 266,666 plants ha 1)</t>
  </si>
  <si>
    <t>maize/sunnhemp intercropping</t>
  </si>
  <si>
    <t>maize/lablab intercropping</t>
  </si>
  <si>
    <t>Micro-dosing + maize/lablab intercropping (53,333 and  66,666 plants ha 1)</t>
  </si>
  <si>
    <t>Seed priming + micro-dosing (53,333 plants ha 1)</t>
  </si>
  <si>
    <t>Diammonium Phosphate..Urea</t>
  </si>
  <si>
    <t>100..100</t>
  </si>
  <si>
    <t>26.7..26.7</t>
  </si>
  <si>
    <t>Seed priming (soaking seeds in water for 8 h prior to sowing)</t>
  </si>
  <si>
    <t>3 Mg/ha mulch</t>
  </si>
  <si>
    <t>The economic feasibility of the studied practices was evaluated based  on gross margin (GM) (net returns) (CIMMYT, 1988). The GM ha 1 was calculated as the difference between total revenue and total variable costs (TVC). TVC was calculated as the sum of labour and input costs (seed and fertilizers); the latter were obtained from local markets. Total revenue was estimated as the sum of maize yield (grain and stover) and  legume biomass (kg ha 1). Revenue obtained from each crop (maize and  legume) was calculated by multiplying yields/biomass (kg ha 1) with average farm gate price recorded at each site during the two cropping seasons. Monetary values were converted to USD at the rate of USD 1.0 = Ethiopian Birr (ETB) 22.91.</t>
  </si>
  <si>
    <t>Total revenue was estimated as the sum of maize yield (grain and stover) and  legume biomass (kg ha 1). Revenue obtained from each crop (maize and  legume) was calculated by multiplying yields/biomass (kg ha 1) with average farm gate price recorded at each site during the two cropping seasons. Monetary values were converted to USD at the rate of USD 1.0 = Ethiopian Birr (ETB) 22.91.</t>
  </si>
  <si>
    <t>Intercrop (N fixing)</t>
  </si>
  <si>
    <t>Lablab Biomass</t>
  </si>
  <si>
    <t>Seeds..Inorganic Fertilizer..Labor Cost</t>
  </si>
  <si>
    <t>SD (Standard Deviation)</t>
  </si>
  <si>
    <t>C2..C4..T1..T2</t>
  </si>
  <si>
    <t>JA_Moham_08_Produ_Wo</t>
  </si>
  <si>
    <t>Danila: cowpea monoculture</t>
  </si>
  <si>
    <t xml:space="preserve">Delfos (monocrotophos 400 g L of water-soluble concentrate) at the rate of 1.0 L ha </t>
  </si>
  <si>
    <t>gross monetary return</t>
  </si>
  <si>
    <t>IT90K-277-2: cowpea monoculture</t>
  </si>
  <si>
    <t>IT95K-1091-3: cowpea monoculture</t>
  </si>
  <si>
    <t>IT96D-740: cowpea monoculture</t>
  </si>
  <si>
    <t>IT96D-757: cowpea monoculture</t>
  </si>
  <si>
    <t>C5</t>
  </si>
  <si>
    <t>IT96D-722: cowpea monoculture</t>
  </si>
  <si>
    <t>C6</t>
  </si>
  <si>
    <t>Millet</t>
  </si>
  <si>
    <t>IT 95K-277-2</t>
  </si>
  <si>
    <t>IT 95K-1091-3</t>
  </si>
  <si>
    <t>IT 96D-740</t>
  </si>
  <si>
    <t>IT 96D-757</t>
  </si>
  <si>
    <t>IT 96D-772</t>
  </si>
  <si>
    <t>Danila</t>
  </si>
  <si>
    <t>Replacement</t>
  </si>
  <si>
    <t>sole grain yield</t>
  </si>
  <si>
    <t>cowpea grain</t>
  </si>
  <si>
    <t>Local</t>
  </si>
  <si>
    <t>Medium Maturity..Photoperiod Sensitive..Spreading growth habit</t>
  </si>
  <si>
    <t>Medium Maturity..Photoperiod Insensitive..Semi-erect growing habit</t>
  </si>
  <si>
    <t>Improved</t>
  </si>
  <si>
    <t>Danila: cowpea/millet intercrop</t>
  </si>
  <si>
    <t>IT90K-277-2: cowpea /millet intercrop</t>
  </si>
  <si>
    <t>IT95K-1091-3: cowpea /millet intercrop</t>
  </si>
  <si>
    <t>IT96D-740: cowpea /millet intercrop</t>
  </si>
  <si>
    <t>IT96D-757: cowpea /millet intercrop</t>
  </si>
  <si>
    <t>IT96D-722: cowpea /millet intercrop</t>
  </si>
  <si>
    <t>Tab 3 (sole grain yield)</t>
  </si>
  <si>
    <t>Tab 3 (intercrop grain yield)</t>
  </si>
  <si>
    <t>delfos</t>
  </si>
  <si>
    <t>All plots received a basal dressing of 30kg N, 13kg P and 24.3kg K ha-1 as urea, Superphosphate and muriate of potash, respectivelly</t>
  </si>
  <si>
    <t>Urea..Superphosphate..Muriate of Potash</t>
  </si>
  <si>
    <t>30..13..24.3</t>
  </si>
  <si>
    <t>IITA, Minjibir</t>
  </si>
  <si>
    <t>The experiment was conducted during the 1999 and 2000</t>
  </si>
  <si>
    <t>The treatments consisted of a factorial combination of six cowpea genotypes and four row arrangements. The cowpea genotypes were made up of one local (Danila) and five improved (IT95K-222-14, IT90K-277-2,IT95K-1091-3, IT96D-740,IT96D-757),while the row arrangements were 1:1, 1:2, 2:2 and 2:4 millet to cowpea rows.</t>
  </si>
  <si>
    <t>intercrop grain yield</t>
  </si>
  <si>
    <t>CT Maize</t>
  </si>
  <si>
    <t>CA Maize</t>
  </si>
  <si>
    <t>Maize/Cowpea Intercropping</t>
  </si>
  <si>
    <t>Maize/Mucuna Intercropping</t>
  </si>
  <si>
    <t>Maize/Soybean Rotation</t>
  </si>
  <si>
    <t>Soybean/Maize Rotation</t>
  </si>
  <si>
    <t>Maize/Groundnut Rotation</t>
  </si>
  <si>
    <t>Groundnut/Maize Rotation</t>
  </si>
  <si>
    <t>T9</t>
  </si>
  <si>
    <t>T10</t>
  </si>
  <si>
    <t>T11</t>
  </si>
  <si>
    <t>T12</t>
  </si>
  <si>
    <t>Labour costs incurred by farmers were mainly due to land preparation, mulching, planting, weeding, fertilizer, manure and pesticide applications and harvesting (Table 3). The labour costs were calculated according to standard labour rates per acre prevailing in the area at the time of the study whilst labour requirements were obtained by averaging the actual time taken to do each operation in each of the eight fields taking into account number of people working, gender, estimate age and time taken. This data was supported by information from people who hire out labour who were asked on how much they would charge if hired to weed the plot and the time they will take.</t>
  </si>
  <si>
    <t>USD/acre</t>
  </si>
  <si>
    <t>Labour costs</t>
  </si>
  <si>
    <t>Land Clearing..Land Preparation..Sowing..Inorganic Fertilizer Application..Organic Fertilizer Application..Herbicides Application..Pesticides Application..Weeding..Harvesting..Threshing</t>
  </si>
  <si>
    <t>Land Clearing..Sowing..Inorganic Fertilizer Application..Organic Fertilizer Application..Organic Mulch..Herbicides Application..Weeding..Harvesting..Threshing</t>
  </si>
  <si>
    <t>Land Clearing..Sowing..Inorganic Fertilizer Application..Organic Fertilizer Application..Organic Mulch..Herbicides Application..Pesticides Application..Weeding..Harvesting..Threshing</t>
  </si>
  <si>
    <t>Land Clearing..Sowing..Organic Fertilizer Application..Organic Mulch..Herbicides Application..Weeding..Harvesting..Threshing</t>
  </si>
  <si>
    <t>Ammonium Nitrate</t>
  </si>
  <si>
    <t>Top dressing with Ammonium Nitrate</t>
  </si>
  <si>
    <t>T13</t>
  </si>
  <si>
    <t>T14</t>
  </si>
  <si>
    <t>C6..T9..T10..T11..T12..T13..T14</t>
  </si>
  <si>
    <t>T9..T10..T11..T12..T13..T14</t>
  </si>
  <si>
    <t>Tab 2 bulb yield (mt/ha)(2002)</t>
  </si>
  <si>
    <t>Tab 2 bulb yield (mt/ha)(2002); Tab 3 Fresh fruit yield (mt/ha)(2002)</t>
  </si>
  <si>
    <t>Tab 3 Fresh fruit yield (mt/ha)(2004)</t>
  </si>
  <si>
    <t>Tab 2 bulb yield (mt/ha)(2004); Tab 3 Fresh fruit yield (mt/ha)(2004)</t>
  </si>
  <si>
    <t>Gross Return</t>
  </si>
  <si>
    <t>total revenue (USD/ha)</t>
  </si>
  <si>
    <t>Sunn Hemp Biomass</t>
  </si>
  <si>
    <t>yield (kg/ha)</t>
  </si>
  <si>
    <t>The experimental design was split plot with three replications.</t>
  </si>
  <si>
    <t>JA_Muone_07_Effec_Af</t>
  </si>
  <si>
    <t>Sole TGX 1448-2E: soybean varieties (TGX 1448-2E)</t>
  </si>
  <si>
    <t>The experiments were laid out factorially in randomized complete block design (RCBD) with three blocks x two seasons (6 samples per treatment)</t>
  </si>
  <si>
    <t>soybean yield</t>
  </si>
  <si>
    <t>yield x crop price</t>
  </si>
  <si>
    <t>Sole Samsoy-2: Soybean variety (Samsoy-2)</t>
  </si>
  <si>
    <t>Sole Maixe (53,330): maize (TZR-EW)</t>
  </si>
  <si>
    <t>maize yield</t>
  </si>
  <si>
    <t>maize and soybean yield</t>
  </si>
  <si>
    <t>38,000/Samsoy-2: maize (TZR-EW)/Soybean variety (Samsoy-2)</t>
  </si>
  <si>
    <t>44,440/TGX 1448-2E: maize (TZR-EW)/ soybean varieties (TGX 1448-2E)</t>
  </si>
  <si>
    <t>44,440/Samsoy-2: maize (TZR-EW)/Soybean variety (Samsoy-2)</t>
  </si>
  <si>
    <t>53,330/TGX 1448-2E: maize (TZR-EW)/soybean varieties (TGX 1448-2E)</t>
  </si>
  <si>
    <t>53,330/Samsoy-2: maize (TZR-EW)/Soybean variety (Samsoy-2)</t>
  </si>
  <si>
    <t>NGN/ha</t>
  </si>
  <si>
    <t>Tab9 (early season)</t>
  </si>
  <si>
    <t>early season</t>
  </si>
  <si>
    <t>Agricultural Vocational Training Centre (AVTC), Otobi</t>
  </si>
  <si>
    <t>The experiments were laid out factorially in randomized complete block design (RCBD) with three blocks. Each block consisted of nine treatments, involving two soybean varieties (TGX 1448-2E) and (Samsoy-2), each with three maize (TZR-EW) population densities (38,000; 44,440 and 53,330 plants/ha) (2 x 3) factorial and sole crop of each soybean variety at 266,660 plants/ha and maize at 53,330 plants/ha for determining the productivity of the intercropping systems.</t>
  </si>
  <si>
    <t>38,000/TGX 1448-2E: maize (TZR-EW)/soybean varieties (TGX 1448-2E)</t>
  </si>
  <si>
    <t>TGx 1448-2E</t>
  </si>
  <si>
    <t>Samsoy-2</t>
  </si>
  <si>
    <t>TZR-EW</t>
  </si>
  <si>
    <t>Monoculure</t>
  </si>
  <si>
    <t>Mixed fertilizer NPK was separately applied to soybean by drilling at 21 DAP to supply 10 kg N, 36 kg P2 O5 and 20 kg K2O per hectare and this was achieved by mixing 22 kg urea + 200 kg P2O5 + 100 kg K2O per ha. Also 450 kg/ha NPK (20:10:10) compound fertilizer was applied to maize stands by side dressing at the same time with soybean, that is, 21 DAP to supply 90 kg N, 45 kg P2 O5 45 kg K2O per ha as recommended by BNARDA (2000). This was achieved by mixing 450 kg NPK 20:10:10 (BNARDA, 2000).</t>
  </si>
  <si>
    <t>Hand Weeding</t>
  </si>
  <si>
    <t>Two manual weedings were done at three and six weeks after planting (WAP).</t>
  </si>
  <si>
    <t>A broad spectrum insecticide (Cypertex 10EC) was sprayed at 500 ml per 400 litres of water per hectare using an 18 L Jacto sprayer. This was to control leaf hoppers and grass hoppers, which are the devastating leaf eating insects in soybean (Onwueme and Sinha, 1991).</t>
  </si>
  <si>
    <t>cypertex</t>
  </si>
  <si>
    <t>Inorganic and Organic Fertilizers</t>
  </si>
  <si>
    <t>Tab9 (late season)</t>
  </si>
  <si>
    <t>early season (May - August)</t>
  </si>
  <si>
    <t>late season (July November)</t>
  </si>
  <si>
    <t>late season</t>
  </si>
  <si>
    <t>T2..T4..T6</t>
  </si>
  <si>
    <t>T1..T2..T3..T4..T5..T6</t>
  </si>
  <si>
    <t>T1..T3..T5</t>
  </si>
  <si>
    <t>Tab8 (early season)</t>
  </si>
  <si>
    <t>maize and soybean</t>
  </si>
  <si>
    <t>JA_Phill_09_Econo_Wo</t>
  </si>
  <si>
    <t>Sole Telfairia (40 tonnes/ha manure)</t>
  </si>
  <si>
    <t>a total of nine treatment combinations of three replicates each were assigned by randomized complete block design on 27 experimental plots. (3 replications x 2 years = 6=</t>
  </si>
  <si>
    <t>revenue from telfairia</t>
  </si>
  <si>
    <t>Sole Telfairia (80 tonnes/ha manure)</t>
  </si>
  <si>
    <t>Sole Telfairia (no manure)</t>
  </si>
  <si>
    <t>Sole Plantain (no manure)</t>
  </si>
  <si>
    <t>Plantain</t>
  </si>
  <si>
    <t>Sole Plantain (40 tonnes/ha manure)</t>
  </si>
  <si>
    <t>Sole Plantain (80 tonnes/ha manure)</t>
  </si>
  <si>
    <t>Plantain and Telfairia (no manure)</t>
  </si>
  <si>
    <t>Plantain and Telfairia: (40 tonnes/ha manure)</t>
  </si>
  <si>
    <t>Plantain and Telfairia: (80 tonnes/ha manure)</t>
  </si>
  <si>
    <t>Tab1</t>
  </si>
  <si>
    <t>Tab2</t>
  </si>
  <si>
    <t>Tab3</t>
  </si>
  <si>
    <t>University of Agriculture Abeokuta</t>
  </si>
  <si>
    <t>01_product$Product.Simple</t>
  </si>
  <si>
    <t>Fluted Pumpkin</t>
  </si>
  <si>
    <t>Agbagba</t>
  </si>
  <si>
    <t>Unspecified Manure</t>
  </si>
  <si>
    <t>total revenue (Nairas/ha)</t>
  </si>
  <si>
    <t>Plantain Sucker</t>
  </si>
  <si>
    <t>revenue from plantain sucker sales</t>
  </si>
  <si>
    <t>revenue from telfairia and plantain sucker sales</t>
  </si>
  <si>
    <t>Tab4</t>
  </si>
  <si>
    <t>Plantain Fruit</t>
  </si>
  <si>
    <t>labour cost</t>
  </si>
  <si>
    <t>labour cost (N/ha)</t>
  </si>
  <si>
    <t>Total variable cost (N/ha)</t>
  </si>
  <si>
    <t>Labor Cost</t>
  </si>
  <si>
    <t>Seeds or Planting Material..Labor Cost</t>
  </si>
  <si>
    <t>Seeds or Planting Material..Labor Cost..Organic Fertilizer</t>
  </si>
  <si>
    <t>Gross Margin (N/ha)</t>
  </si>
  <si>
    <t>Fig2</t>
  </si>
  <si>
    <t>Benefit - Cost ratio</t>
  </si>
  <si>
    <t>Benefit Cost Ratio (GRVC)</t>
  </si>
  <si>
    <t>Crop yield</t>
  </si>
  <si>
    <t>JA_Saka,_07_An ec_Mi</t>
  </si>
  <si>
    <t>nd</t>
  </si>
  <si>
    <t>Mz: sole maize</t>
  </si>
  <si>
    <t>2 studied years</t>
  </si>
  <si>
    <t>In determining the most economically acceptable treatment, partial budget analysis was carried out to estimate the gross value of the component crops using the adjusted yield [15, 16] at 2004 market price for the crops and inputs. The prevailing rates paid to farm labourers at the location were used to estimate the labour cost that vary.</t>
  </si>
  <si>
    <t>USD</t>
  </si>
  <si>
    <t>standard deviation</t>
  </si>
  <si>
    <t>Kn: sole kenaf</t>
  </si>
  <si>
    <t>Kenaf</t>
  </si>
  <si>
    <t>AYB sole african yam bean</t>
  </si>
  <si>
    <t>Mz/Kn/AY:intercropping maize, kenaf and african yam bean</t>
  </si>
  <si>
    <t>Mz/Kn: intercropping maize and kenaf</t>
  </si>
  <si>
    <t>Mz/AY: intercroppin maize and african yam bean</t>
  </si>
  <si>
    <t>Kn/AYB: intercropping kenaf and african yam bean</t>
  </si>
  <si>
    <t>Ibadan</t>
  </si>
  <si>
    <t>African Yam Bean</t>
  </si>
  <si>
    <t xml:space="preserve">The experiment involved seven treatments namely: AYB/Maize/Kenaf, AYB/Kenaf, AYB/Maize, Maize/Kenaf, sole maize, sole kenaf and sole AYB. </t>
  </si>
  <si>
    <t>Cuba 108</t>
  </si>
  <si>
    <t>DMR-ESR-Y</t>
  </si>
  <si>
    <t>Cuba 109</t>
  </si>
  <si>
    <t>A basal application of 120 kg haG NPK (15-15-15) compound fertilizer was applied to maize and kenaf plants.</t>
  </si>
  <si>
    <t>A basal application of 120 kg haG NPK (15-15-15) compound fertilizer was applied to maize and kenaf plants. At anthesis, a second dose of fertilizer was</t>
  </si>
  <si>
    <t>A basal application of 120 kg haG NPK (15-15-15) compound fertilizer was applied to maize and kenaf plants. applied to maize in form of 40 kgN haG using urea.</t>
  </si>
  <si>
    <t>120..40</t>
  </si>
  <si>
    <t>120..41</t>
  </si>
  <si>
    <t>120..42</t>
  </si>
  <si>
    <t>120..43</t>
  </si>
  <si>
    <t>Compound D..Urea</t>
  </si>
  <si>
    <t>Compound D</t>
  </si>
  <si>
    <t>No fertilizer applied</t>
  </si>
  <si>
    <t>No-fertilizer</t>
  </si>
  <si>
    <t>total benefit</t>
  </si>
  <si>
    <t>Maize value, kenaf value, ayb value</t>
  </si>
  <si>
    <t>Maize value, kenaf value</t>
  </si>
  <si>
    <t>Maize value, ayb value</t>
  </si>
  <si>
    <t>Maize value</t>
  </si>
  <si>
    <t>kenaf value, ayb value</t>
  </si>
  <si>
    <t>kenaf value</t>
  </si>
  <si>
    <t>ayb value</t>
  </si>
  <si>
    <t>Maize monocrop infested with S. hermonthica (henceforth referred to as site A)</t>
  </si>
  <si>
    <t>four replications per treatment</t>
  </si>
  <si>
    <t>maize grain</t>
  </si>
  <si>
    <t>gross benefits</t>
  </si>
  <si>
    <t>maize-beans: intercrop infested with S. hermonthica (henceforth referred to as site A)</t>
  </si>
  <si>
    <t>maize grain, bean grain</t>
  </si>
  <si>
    <t>maize-desmodium: maize and silverleaf desmodium infested with S. hermonthica (henceforth referred to as site A)</t>
  </si>
  <si>
    <t>Desmodium</t>
  </si>
  <si>
    <t>maize grain, desmodium seeds, desmodium forage</t>
  </si>
  <si>
    <t>MDB same hole: maize, desmodium and bean with maize and beans in the same hole; infested with S. hermonthica (henceforth referred to as site A)</t>
  </si>
  <si>
    <t>maize grain, desmodium seeds, bean grain, desmodium forage</t>
  </si>
  <si>
    <t>MDB different holes: maize, desmodium and bean with maize and beans in the same hole; infested with S. hermonthica (henceforth referred to as site A)</t>
  </si>
  <si>
    <t>Maize monocrop; with no S. hermonthica infestation (henceforth referred to as site B).</t>
  </si>
  <si>
    <t>maize-beans: intercrop; with no S. hermonthica infestation (henceforth referred to as site B).</t>
  </si>
  <si>
    <t>maize-desmodium: maize and silverleaf desmodium; with no S. hermonthica infestation (henceforth referred to as site B).</t>
  </si>
  <si>
    <t>MDB same hole: maize, desmodium and bean with maize and beans in the same hole; with no S. hermonthica infestation (henceforth referred to as site B).</t>
  </si>
  <si>
    <t>MDB different holes: maize, desmodium and bean with maize and beans in the same hole; with no S. hermonthica infestation (henceforth referred to as site B).</t>
  </si>
  <si>
    <t>short rains</t>
  </si>
  <si>
    <t>Tab8 (siteA infested with striga, short rains 2007)</t>
  </si>
  <si>
    <t>ICIPE Campus, Mbita Point</t>
  </si>
  <si>
    <t>Common Bean</t>
  </si>
  <si>
    <t>Mwezi moja</t>
  </si>
  <si>
    <t>Maize was planted at a row-to-row distance of 75 cm and a plant-to-plant distance of 30 cm in a row and was intercropped in alternate rows with silverleaf desmodium in three treatments. In two of these, beans (var. ‘mwezi moja’ – matures in one month) were planted either between maize plants in a row, or same holes with maize (henceforth referred to as bean integration plots). An intercrop of maize and beans and a control plot of maize monocrop were also included, giving a total of five treatments. These were completely randomized and planted in four replications in experimental plots measuring 6 m by 6 m at both sites, one infested with S. hermonthica (henceforth referred to as site A) and one with no S. hermonthica infestation (henceforth referred to as site B).</t>
  </si>
  <si>
    <t>H 505</t>
  </si>
  <si>
    <t>Additionally, in all plots, 20 kg nitrogen and 50 kg P/ha were applied as diammonium phosphate at planting of maize and 20 kg N/ha was applied as calcium ammonium nitrate as topdressing 6 weeks later.</t>
  </si>
  <si>
    <t>Diammonium Phosphate..Calcium Ammonium Nitrate</t>
  </si>
  <si>
    <t>Push pull</t>
  </si>
  <si>
    <t>long rains</t>
  </si>
  <si>
    <t>short rains 2007</t>
  </si>
  <si>
    <t>long rains 2008</t>
  </si>
  <si>
    <t>long rains 2007</t>
  </si>
  <si>
    <t>Total revenues minus total variable costs</t>
  </si>
  <si>
    <t>Common Bean Grain</t>
  </si>
  <si>
    <t>MDB different holes: maize, desmodium and bean with maize and beans in the different hole; infested with S. hermonthica (henceforth referred to as site A)</t>
  </si>
  <si>
    <t>Desmodium Seed</t>
  </si>
  <si>
    <t>Desmodium Forage</t>
  </si>
  <si>
    <t>Planting..Weeding..Inorganic Fertilizer Application..Harvesting..Shelling</t>
  </si>
  <si>
    <t>Planting..Weeding..Inorganic Fertilizer Application..Harvesting..Shelling..Threshing</t>
  </si>
  <si>
    <t>Planting..Weeding..Inorganic Fertilizer Application..Harvesting..Shelling..Machinery..Packaging material..Transport..Seeds..Inorganic Fertilizer</t>
  </si>
  <si>
    <t>Planting..Weeding..Inorganic Fertilizer Application..Harvesting..Shelling..Threshing..Machinery..Packaging material..Transport..Seeds..Inorganic Fertilizer</t>
  </si>
  <si>
    <t>total revenue</t>
  </si>
  <si>
    <t>where zi is the amount of money generated from the sale of plot output i, i.e., due to the technology including maize grain, beans, desmodium seeds and desmodium forage.</t>
  </si>
  <si>
    <t>Tab6 (siteA infested with striga, short rains 2007)</t>
  </si>
  <si>
    <t>Tab8 (siteB without striga, short rains 2007)</t>
  </si>
  <si>
    <t>Tab8 (siteB without striga, long rains 2007)</t>
  </si>
  <si>
    <t>Tab6 (siteB without striga, long rains 2007)</t>
  </si>
  <si>
    <t>Tab6 (siteB without striga, short rains 2007)</t>
  </si>
  <si>
    <t>Maize grain yield</t>
  </si>
  <si>
    <t>Tab5 (short rains 2007 7WAE seven weeks after maize emerge)</t>
  </si>
  <si>
    <t>short rains 7WAE</t>
  </si>
  <si>
    <t>Tab5 (short rains 2007 12WAE twelve weeks after maize emerge)</t>
  </si>
  <si>
    <t>short rains 12WAE</t>
  </si>
  <si>
    <t>Tab5 (long rains 2008 7WAE seven weeks after maize emerge)</t>
  </si>
  <si>
    <t>long rains 7WAE</t>
  </si>
  <si>
    <t>long rains 12WAE</t>
  </si>
  <si>
    <t>Tab5 (long rains 2008 12WAE twelve weeks after maize emerge)</t>
  </si>
  <si>
    <t>plants/plot</t>
  </si>
  <si>
    <t>Number of Striga hermonthica plants per plot</t>
  </si>
  <si>
    <t>A total of nine treatment combinations of three replicates each were assigned by randomized complete block design on 27 experimental plots, each of 10m x 12m size. The treatment combinations include sole plantain, sole Telfairia and plantain- Telfairia mix crop, each of which were established either without manure application, with 40ton/ha manure application or with 80ton/ha manure application.</t>
  </si>
  <si>
    <t>01_practices[subtype %in% c("Pest management in plants"),subpractice]</t>
  </si>
  <si>
    <t>01_practices[type =="Nutrient management",subpractice]</t>
  </si>
  <si>
    <t>01_practices[type=="Water management" &amp; theme=="Irrigation",subpractice] or Free Text</t>
  </si>
  <si>
    <t>01_practices[theme %in% c("Water Harvesting"),Subpractice]</t>
  </si>
  <si>
    <t>01_practices[subtype=="Harvesting method",subpractice] or Free Text</t>
  </si>
  <si>
    <t>01_practices[subtype %in% c("Postharvest method"),Subpractice]</t>
  </si>
  <si>
    <t>01_practices[subtype =="Planting method"]</t>
  </si>
  <si>
    <t>landscape_management</t>
  </si>
  <si>
    <t>What ecological function is the structure meant to provide?</t>
  </si>
  <si>
    <t>Name the landscape structure subpractice</t>
  </si>
  <si>
    <t>land_structure_subpractice_raw</t>
  </si>
  <si>
    <t>land_structure_subpractice</t>
  </si>
  <si>
    <t>land_structure_function</t>
  </si>
  <si>
    <t>land_structure_origin</t>
  </si>
  <si>
    <t>land_structure_manage</t>
  </si>
  <si>
    <t>Describe the level of management intensity applied to the structure. Indicate whether it is actively managed (e.g., regularly planted, maintained, or modified), periodically managed (e.g., occasional cutting or maintenance), or passively managed/unmanaged. This reflects the degree of human intervention and effort associated with the practice.</t>
  </si>
  <si>
    <t>Indicate the origin and intentionality of the landscape structure. Specify whether the structure is actively implemented (e.g., planted or established by farmers), maintained (e.g., existing structure preserved or managed), or natural/spontaneous (e.g., unmanaged vegetation).</t>
  </si>
  <si>
    <t>01_lookup_levels[Field$land_structure_function]</t>
  </si>
  <si>
    <t>01_lookup_levels[Field$land_structure_origin]</t>
  </si>
  <si>
    <t>01_lookup_levels[Field$land_structure_manage]</t>
  </si>
  <si>
    <t>Agroforestry Fallow (N fixing) (&gt;=6months)</t>
  </si>
  <si>
    <t>Agroforestry Fallow (N fixing) (&gt;=1yr)</t>
  </si>
  <si>
    <t>agrof_subpractice_age_years</t>
  </si>
  <si>
    <t>01_practices[subtheme %in% c("FMNR","Alleycropping", "Parklands","Boundary Planting", "Homegarden","Other Agroforestry","Monoculture","Timber plantation"),subpractice] &amp;01_practices[type =="Natural/seminatural habitats management,subpractice]</t>
  </si>
  <si>
    <t>01_practices[subtype%in%c( "Diversification (temporal)","Diversification (spatial temporal)"),Subpractice] &amp; &amp;01_practices[type =="Natural/seminatural habitats management,subpractice]</t>
  </si>
  <si>
    <t>01_practices[type%in%c("Crop management", "Soil management) &amp;subtype=="Diversification (spatial)",subpractice]  &amp; 01_practices[type =="Natural/seminatural habitats management,subpractice]</t>
  </si>
  <si>
    <t>01_practices[practice %in% c("Silvopasture","Multistrata Agroforestry","Agroforestry - high diversity","Agroforestry - low diversity","Other Agroforestry","Agrosilvopasture","Aquasilvopasture","Monoculture"),subpractice] &amp;01_practices[type =="Natural/seminatural habitats management,subpractice]</t>
  </si>
  <si>
    <t>01_practices[subtype %in% c("Shade management"),subpractice] &amp;01_practices[type =="Natural/seminatural habitats management,subpractice]</t>
  </si>
  <si>
    <t>01_practices[subtype =="Landscape structure"),Subpractice] &amp;01_practices[type =="Natural/seminatural habitats management,subpractice]</t>
  </si>
  <si>
    <t>system_type</t>
  </si>
  <si>
    <t>Name of animal species including in the practice, first letter of name capitilized and the rest lowercase. Use common names of species.</t>
  </si>
  <si>
    <t>Must match a value listed in the 01_var_animals$V.Var in 01_FOMD_ontologies file. Use controlled vocabulary only (no free typing). If multiple animals are present (e.g., intercropping or rotation), record each animal in a separate indexed column (animal01:05).</t>
  </si>
  <si>
    <t>01_vars_animals$V.Var</t>
  </si>
  <si>
    <t>01_practices[type=="Animal management" &amp;subtype=="Genetic improvement",Subpractice]</t>
  </si>
  <si>
    <t>01_lookup_levels[Field$Var.Type]</t>
  </si>
  <si>
    <t>varietal_animal_trait</t>
  </si>
  <si>
    <t>01_lookup_levels[Field$animal_var_type]</t>
  </si>
  <si>
    <t xml:space="preserve">Animal trait. Enter any specific info of the variety . When multiple traits are reported for the same variety, separate traits using two dots (..). </t>
  </si>
  <si>
    <t>01_lookup_levels[Field$animal_trait]</t>
  </si>
  <si>
    <t>cropland, grassland, natural/seminatural</t>
  </si>
  <si>
    <t>Number of years since the agroforestry system or comparator was established or transitioned to its current state, measured at the time of the study. Report values in years using a numeric format. Convert months into fractions of a year (e.g., 6 months = 0.5), and for reported ranges, use the midpoint (e.g., 10–15 years = 12.5).</t>
  </si>
  <si>
    <t>JA_Mastr_12_Trade_Co</t>
  </si>
  <si>
    <t>Argentina</t>
  </si>
  <si>
    <t>0.3287671232876712</t>
  </si>
  <si>
    <t>FF: forest fragments: that had not been used for agriculture or intensive logging in the past 5 years, were &gt;1000 ha, and had a canopy cover &gt;70%.</t>
  </si>
  <si>
    <t>natural/seminatural</t>
  </si>
  <si>
    <t>all species</t>
  </si>
  <si>
    <t>Birds</t>
  </si>
  <si>
    <t>Shannon Index</t>
  </si>
  <si>
    <t>Pasture not embedding natural habitat</t>
  </si>
  <si>
    <t>HIPS: high-intensity pasture systems, open pastures of non-native grasses growing on areas completely cleared of native vegetation</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</si>
  <si>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HIPS=7*10</t>
  </si>
  <si>
    <t>carnivores</t>
  </si>
  <si>
    <t>Species Richness</t>
  </si>
  <si>
    <t>frugivores</t>
  </si>
  <si>
    <t>Frugivores</t>
  </si>
  <si>
    <t>granivores</t>
  </si>
  <si>
    <t>Granivores</t>
  </si>
  <si>
    <t>insectivores</t>
  </si>
  <si>
    <t>omnivores</t>
  </si>
  <si>
    <t>Omnivores</t>
  </si>
  <si>
    <t>Pasture embedding natural habitat</t>
  </si>
  <si>
    <t>VLIS: very-low intensity systems, closed forests with free-ranging cattle feeding on understory shurbs and ephemeral grasses</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</si>
  <si>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HIPS=7*7</t>
  </si>
  <si>
    <t>LISS: low-intensity silvopastoral systems, open forests with free-ranging cattle feeding on understory selectively cleared to stimulate regeneration of native grasses</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</si>
  <si>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HIPS=7*8</t>
  </si>
  <si>
    <t>IISS: intermediate-intensity silvopastoral systems, stands of native trees of varying densities in which planted non-native grasses have replaced the woody understory</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</si>
  <si>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HIPS=7*9</t>
  </si>
  <si>
    <t>We classified cattle ranches by production strategy on the basis of these practices as a surrogate measure of cattle yield. We validated this classification later by comparing methods for clearing forests and for increasing forage availability with cattle yield declared by ranchers. We collected data on cattle yield and birds on ranches with different production intensities. Measured from the perimeter, ranches with the same type of production system were at least 50 km apart. At least one ranch in every type of production system was located in each zone (premontane, umbral, and chaco) to account for variations in elevation and rainfall. To collect baseline data on birds, we surveyed forest fragments that had not been used for agriculture or intensive logging in the past 5 years, were &gt;1000 ha, and had a canopy cover &gt;70%. Each forest fragment was in the same zone (premontane, umbral, or chaco) of a group of 4–5 selected ranches (to which served as baseline land cover) and at a distance of 5–50 km from those ranches (measured from the perimeter). This selection process yielded a sample of 7 high-intensity pasture systems, 5 intermediate-intensity silvopastoral systems, 7 low-intensity silvopastoral systems, 8 very-low-intensity systems, and 6 forest fragments (Fig. 1).</t>
  </si>
  <si>
    <t>Silvopasture</t>
  </si>
  <si>
    <t>Calycophyllum multiflorum</t>
  </si>
  <si>
    <t>Phyllostylon rhamnoides</t>
  </si>
  <si>
    <t>Bulnesia sarmientoi</t>
  </si>
  <si>
    <t>Chorisia speciosa</t>
  </si>
  <si>
    <t>Prosopis spp.</t>
  </si>
  <si>
    <t>Aspidosperma spp.</t>
  </si>
  <si>
    <t>Schinopsis balansae</t>
  </si>
  <si>
    <t>Cattle</t>
  </si>
  <si>
    <t>Agroforestry (high shaded)</t>
  </si>
  <si>
    <t>Native grasses</t>
  </si>
  <si>
    <t>Agroforestry (moderate shaded)</t>
  </si>
  <si>
    <t>grassland</t>
  </si>
  <si>
    <t>Unshaded</t>
  </si>
  <si>
    <t>Panicum maximum</t>
  </si>
  <si>
    <t>Ephemeral</t>
  </si>
  <si>
    <t>forest specialist</t>
  </si>
  <si>
    <t>generalist</t>
  </si>
  <si>
    <t>open-land specialist</t>
  </si>
  <si>
    <t>Forest specialist</t>
  </si>
  <si>
    <t>Generalist</t>
  </si>
  <si>
    <t>Open-land specialist</t>
  </si>
  <si>
    <t>Carnivores</t>
  </si>
  <si>
    <t>Insectivores</t>
  </si>
  <si>
    <t>Secondary Forest</t>
  </si>
  <si>
    <t>Farmer Managed Natural Regeneration</t>
  </si>
  <si>
    <t>Open pasture</t>
  </si>
  <si>
    <t>Exotic</t>
  </si>
  <si>
    <t>Native</t>
  </si>
  <si>
    <t>kg/ha/yr</t>
  </si>
  <si>
    <t>cattle yield</t>
  </si>
  <si>
    <t>Weight Gain</t>
  </si>
  <si>
    <t>cattle yield based on this question How many kilograms of meat yield each cattle head</t>
  </si>
  <si>
    <t>cattle weight</t>
  </si>
  <si>
    <t>individuals/km2</t>
  </si>
  <si>
    <t>From text in Results &gt; Production Intensity, Cattle Yield and Tree Cover</t>
  </si>
  <si>
    <t>May to August 2010</t>
  </si>
  <si>
    <t>Farm</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</si>
  <si>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t>
  </si>
  <si>
    <t>The Bermejo-Pilcomayo Interfluve</t>
  </si>
  <si>
    <t>JA_Hylan_09_compl_Co</t>
  </si>
  <si>
    <t>upland rainforest, with canopy trees, such as Olea welwitschii, Sapium ellipticum, Schefflera abyssinica, Syzygium guineense,and Pouteria adolfi-friderici,that reach 20â€“30 m (Friis</t>
  </si>
  <si>
    <t>Schefflera abyssinica</t>
  </si>
  <si>
    <t>Pouteria adolfi-friderici</t>
  </si>
  <si>
    <t>Olea welwitschii</t>
  </si>
  <si>
    <t>Sapium ellipticum</t>
  </si>
  <si>
    <t>Syzygium guineense</t>
  </si>
  <si>
    <t>A quadrat (various sizes depending on taxa) in each 1km2 site, including 13 sites for plantation, 15 for forest, 14 for home gardens</t>
  </si>
  <si>
    <t>Bryophyta (Liverworts)</t>
  </si>
  <si>
    <t>Confidence intervals</t>
  </si>
  <si>
    <t>Figure 2. Coordinates are for the centroid of the area. Sites are located at max 30km. The home gardens of the southwestern Ethiopian highlands could be classified as an agroforestry system even though the density of trees is relatively low compared with many shaded coffee or cacao farm systems described from other parts of the world (e.g., Perfecto et al. 1996; Bos et al. 2007; LÂ´opez-GÂ´omez et al. 2008). The overall number of tree species in the home garden system over a landscape can, however, be relatively high (Abebe 2005).</t>
  </si>
  <si>
    <t>Bryophyta (Mosses)</t>
  </si>
  <si>
    <t>Plants (Trees and Shrubs)</t>
  </si>
  <si>
    <t>Plants (Vascular Epiphytic Species)</t>
  </si>
  <si>
    <t>Coffee</t>
  </si>
  <si>
    <t xml:space="preserve">Home Garden </t>
  </si>
  <si>
    <t>shaded coffee home gardens</t>
  </si>
  <si>
    <t>Homegarden</t>
  </si>
  <si>
    <t>Dry tropical forest</t>
  </si>
  <si>
    <t>Upland rainforest</t>
  </si>
  <si>
    <t>T1..T2..T3..C2</t>
  </si>
  <si>
    <t>T1..T2..T3</t>
  </si>
  <si>
    <t>May to August 2011</t>
  </si>
  <si>
    <t>May to August 2012</t>
  </si>
  <si>
    <t>May to August 2013</t>
  </si>
  <si>
    <t>May to August 2014</t>
  </si>
  <si>
    <t>Town</t>
  </si>
  <si>
    <t>Bonga</t>
  </si>
  <si>
    <t>Based on aerial photographs from 1996 (and in some cases 1984–1985) we selected all forest patches of more than 1 km2. Of these (approximately 40), we selected 15 areas evenly distributed in the elevational range of 1700–2000 m asl. In a similar manner we selected all agricultural areas of more than 1 km2 from aerial photos from 1967, 1975, and 1984–1985. To be considered an agricultural site, the area had to have been in cultivation on the oldest available aerial photo. On the basis of this initial selection we selected 15 sites that were evenly distributed in the area and in the same elevational range as the forest sites. Finally, we selected all stands (around 20) that appeared to be exotic tree plantations (i.e., dense tree cover in an area that in the oldest aerial photos was treeless). In the field we randomly selected one tree in each of the forest sites in an area that was minimally disturbed by humans (selective logging, beehives, coffee production) and &gt;200 m from the forest edge. In the center of the agricultural sites, we selected a mature shade tree in a home garden with coffee (in one site we found no such home garden, hence n = 14). In the plantations we selected a random tree in the middle of the stand. We selected 7 Cupressus-plantations and six Eucalyptus plantations (n = 13 exotic plantations) to get an even distribution between the two plantation types. (See Supporting Information for a list of the sites and Fig. 1 for the distribution of the sites across the investigated landscape.)</t>
  </si>
  <si>
    <t>Forest (pristine/primary/unmanaged)</t>
  </si>
  <si>
    <t>Trees and Shrubs</t>
  </si>
  <si>
    <t>Vascular epiphytes</t>
  </si>
  <si>
    <t>Species density</t>
  </si>
  <si>
    <t>Mosses</t>
  </si>
  <si>
    <t>Liverworts</t>
  </si>
  <si>
    <t>Based on aerial photographs from 1996 (and in some cases 1984–1985)</t>
  </si>
  <si>
    <t>JA_Siles_08_Mixed_So</t>
  </si>
  <si>
    <t>Zambia</t>
  </si>
  <si>
    <t>Soil samples were collected using a steel monolith sampler (25 ? 25 ? 25 cm) placed over a randomly selected spot and driven into the soil to ground level using a metallic mallet. Three monoliths (within 3â€“5 m of each other) were taken from each of the replicate plots bringing the total number of sampling units per treatment to nine. The soil was removed from the sampler, macrofauna were hand-sorted and separated into higher taxa (family and order). In some taxa such as Coleoptera, where both larvae and adults were encountered, adults Ã¾ larvae were recorded as total beetles. Samples were taken on 4 different occasions, but results in this database are for each occasion separately so n=9</t>
  </si>
  <si>
    <t>earthworms</t>
  </si>
  <si>
    <t>Figure 4 A</t>
  </si>
  <si>
    <t>Fallow (regular, &gt;1yr)</t>
  </si>
  <si>
    <t>Pigeon pea</t>
  </si>
  <si>
    <t>millipedes</t>
  </si>
  <si>
    <t>Figure 4 B</t>
  </si>
  <si>
    <t>termites</t>
  </si>
  <si>
    <t>Figure 4 C</t>
  </si>
  <si>
    <t>Figure 4 D</t>
  </si>
  <si>
    <t>Figure 4 E</t>
  </si>
  <si>
    <t>Msekera RS</t>
  </si>
  <si>
    <t>between 1999 and 2007.</t>
  </si>
  <si>
    <t>MM 604</t>
  </si>
  <si>
    <t>Compound..Urea</t>
  </si>
  <si>
    <t>200..200</t>
  </si>
  <si>
    <t>100..92</t>
  </si>
  <si>
    <t>The treatments were arranged in a randomized complete block design with three replicates.</t>
  </si>
  <si>
    <t>01_practices[theme =="Weed control",subpractice]</t>
  </si>
  <si>
    <t>Weeding was done manually once to help seedling establishment and all weeds were incorporated into the soil.</t>
  </si>
  <si>
    <t>Earthworms</t>
  </si>
  <si>
    <t>Millipedes</t>
  </si>
  <si>
    <t>Termites</t>
  </si>
  <si>
    <t>Beetles</t>
  </si>
  <si>
    <t>Centipedes</t>
  </si>
  <si>
    <t>Integration of edible beans (Phaseolus vulgaris L.) into the push–pull technology developed for stemborer and Striga control in maize-based cropping systems</t>
  </si>
  <si>
    <t>Cc: pigeon pea in fallow. Fallow (12/1999-10/2001); M-F (12/2001-4/2002); M-F (12/2002-4/2003); fallow (12/2023-10/2005); M-F (12/2005-4/2006); M-F (12/2006-4/2007)</t>
  </si>
  <si>
    <t xml:space="preserve">Tv: tephrosia in fallow. Fallow (12/1999-10/2001); M-F (12/2001-4/2002); M-F (12/2002-4/2003); fallow (12/2023-10/2005); M-F (12/2005-4/2006); M-F (12/2006-4/2007) </t>
  </si>
  <si>
    <t>SsTv: 1:1 mixtures of sesbania + tephrosia in fallow. Fallow (12/1999-10/2001); M-F (12/2001-4/2002); M-F (12/2002-4/2003); fallow (12/2023-10/2005); M-F (12/2005-4/2006); M-F (12/2006-4/2007)</t>
  </si>
  <si>
    <t>SsCc: 1:1 mixtures of sesbania + pigeon pea in fallow. Fallow (12/1999-10/2001); M-F (12/2001-4/2002); M-F (12/2002-4/2003); fallow (12/2023-10/2005); M-F (12/2005-4/2006); M-F (12/2006-4/2007)</t>
  </si>
  <si>
    <t xml:space="preserve">Ss: sesbania in fallow. Fallow (12/1999-10/2001); M-F (12/2001-4/2002); M-F (12/2002-4/2003); fallow (12/2023-10/2005); M-F (12/2005-4/2006); M-F (12/2006-4/2007) </t>
  </si>
  <si>
    <t>M + F: monoculture maize receiving recommended fertilizer. M+F (12/1999-10/2001); M+F (12/2001-4/2002); M+F (12/2002-4/2003); M+F (12/2023-10/2005); M+F (12/2005-4/2006); M+F (12/2006-4/2007)</t>
  </si>
  <si>
    <t>Tephrosia vogelii</t>
  </si>
  <si>
    <t>MVF: mixed vegetation fallow. The mixed vegetation fallow consisted of natural regenerations of native legume and grass species. Continuously cropped monoculture maize receiving the recommended fertilizer rate served as the control since it represents a simplified and highinput agro-ecosystem.</t>
  </si>
  <si>
    <t>Incorporated</t>
  </si>
  <si>
    <t>Improved Fallow (N fixing) (&gt;6months)</t>
  </si>
  <si>
    <t>MVF: mixed vegetation fallow. The mixed vegetation fallow consisted of natural regenerations of native legume and grass species.</t>
  </si>
  <si>
    <t>M + F: monoculture maize receiving recommended fertilizer. M+F (12/1999-10/2001); M+F (12/2001-4/2002); M+F (12/2002-4/2003); M+F (12/2023-10/2005); M+F (12/2005-4/2006); M+F (12/2006-4/2007).  Continuously cropped monoculture maize receiving the recommended fertilizer rate served as the control since it represents a simplified and highinput agro-ecosystem.</t>
  </si>
  <si>
    <t>Feb</t>
  </si>
  <si>
    <t>JA_Kaur,_21_Produ_IN</t>
  </si>
  <si>
    <t>India</t>
  </si>
  <si>
    <t>Crop rotation - low diversity</t>
  </si>
  <si>
    <t>M-W: maize (Zea mays)-wheat (Triticum aestivum)</t>
  </si>
  <si>
    <t>Wheat</t>
  </si>
  <si>
    <t>Maize- Wheat yield</t>
  </si>
  <si>
    <t>Net income</t>
  </si>
  <si>
    <t>Crop rotation - high diversity</t>
  </si>
  <si>
    <t>M-P-Me:maize-potato (Solanum tuberosum)-mentha (Mentha arvensis)  onion (Allium cepa)</t>
  </si>
  <si>
    <t>Mentha</t>
  </si>
  <si>
    <t>Potato</t>
  </si>
  <si>
    <t>Maize- Mentha- Onion- Potato yield</t>
  </si>
  <si>
    <t>M(f)-P- Me: maize  cowpea (Vigna unguiculata) (f)-potato-mentha  onion</t>
  </si>
  <si>
    <t>Cowpea- Maize- Mentha- Onion- Potato yield</t>
  </si>
  <si>
    <t>M(f)-P-SpM: maize  cowpea (f)-potato-spring maize</t>
  </si>
  <si>
    <t>Cowpea- Maize- Potato yield</t>
  </si>
  <si>
    <t>M(f)-Gs-SuMo: maize  cowpea (f)-gobhi sarson-summer moong (Vigna radiata)</t>
  </si>
  <si>
    <t>Cowpea- Gobhi sarson- Maize- Summer moong yield</t>
  </si>
  <si>
    <t>M-TSuMo: maize-toria (Brassica rapa)  gobhi sarson (Brassica napus)- summer moong</t>
  </si>
  <si>
    <t>Gobhi sarson- Maize- Moong- Toria yield</t>
  </si>
  <si>
    <t>M(f)-TSuMo: maize  cowpea (f)-toria- gobhi sarson-summer moong (Vigna radiata)</t>
  </si>
  <si>
    <t>Cowpea- Gobhi sarson- Maize- Moong- Toria yield</t>
  </si>
  <si>
    <t>M-P-Me+O:maize-potato (Solanum tuberosum)-mentha (Mentha arvensis)  onion (Allium cepa)</t>
  </si>
  <si>
    <t>M(f)-P- Me+O: maize  cowpea (Vigna unguiculata) (f)-potato-mentha  onion</t>
  </si>
  <si>
    <t>B:C ratio</t>
  </si>
  <si>
    <t>Net returns: Net returns were calculated by subtracting total variable cost from the gross returns.</t>
  </si>
  <si>
    <t>Net Return</t>
  </si>
  <si>
    <t>Benefit cost ratio was calculated by dividing the net returns with total variable cost under the respective treatment.</t>
  </si>
  <si>
    <t>Benefit Cost Ratio (NRVC)</t>
  </si>
  <si>
    <t>INR/ha</t>
  </si>
  <si>
    <t>PMH 1</t>
  </si>
  <si>
    <t>M(f)-Gs-SuMo: maize  cowpea (f)-gobhi sarson (Brassica napus)-summer moong (Vigna radiata)</t>
  </si>
  <si>
    <t>Canola</t>
  </si>
  <si>
    <t>Mung Bean</t>
  </si>
  <si>
    <t>Turnip</t>
  </si>
  <si>
    <t>Crop rotation (High diversity)</t>
  </si>
  <si>
    <t>Crop rotation (Low diversity)</t>
  </si>
  <si>
    <t>Two hand weedings were given to control weeds.</t>
  </si>
  <si>
    <t>pendimethalin</t>
  </si>
  <si>
    <t>deltamethrin</t>
  </si>
  <si>
    <t>Table 2</t>
  </si>
  <si>
    <t>mm</t>
  </si>
  <si>
    <t>3 replications</t>
  </si>
  <si>
    <t>kharif maize grain yield</t>
  </si>
  <si>
    <t>Table 1</t>
  </si>
  <si>
    <t>q/ha</t>
  </si>
  <si>
    <t>kg/m3</t>
  </si>
  <si>
    <t>Water Use Efficiency</t>
  </si>
  <si>
    <t>kharif maize grain yield (pooled)</t>
  </si>
  <si>
    <t>Irrigation</t>
  </si>
  <si>
    <t>AWP (kg/m3) is the ratio of grain yield to irrigation water applied.</t>
  </si>
  <si>
    <t>Apparent water productivity (kg/m3) of kharif maize</t>
  </si>
  <si>
    <t>Researcher Managed &amp; Research Facility</t>
  </si>
  <si>
    <t>crop growing seasons (2016-2017, 2017-2018)</t>
  </si>
  <si>
    <t>The experiment was laid out in split-plot design with seven crop sequences in main plots, viz. maize (Zea mays)-wheat (Triticum aestivum), maize-potato (Solanum tuberosum)mentha (Mentha arvensis) + onion (Allium cepa), maize + cowpea (Vigna unguiculata) (f)-potato-mentha + onion, maize + cowpea (f)-potato-spring maize, maize + cowpea (f)-gobhi sarson-summer moong (Vigna radiata), maizetoria (Brassica rapa) + gobhi sarson (Brassica napus)summer moong and maize + cowpea (f)-toria + gobhi sarson-summer moong and four irrigation schedules in sub plots: 0.75 IW/CPE, 1.0 IW/CPE, 1.25 IW/CPE and recommended schedule with three replications.</t>
  </si>
  <si>
    <t>Total fertilizer application was 125 kg N/ha, 60 kg P2O5/ha and 30 kg K2O/ha. One third of N and entire quantity of P2O5 and K2O were applied at the time of sowing.</t>
  </si>
  <si>
    <t>Seeds were treated with Bavistin 50 WP (carbendazim) @ 3 g/kg seed. Pre-emergence herbicide Stomp 30 EC (pendimethalin) was sprayed within 2 days of sowing. Decis 2.8 EC (deltamethrin) was sprayed to control maize borer.</t>
  </si>
  <si>
    <t>times</t>
  </si>
  <si>
    <t>01_chemicals[C.Name] &amp; Free Text</t>
  </si>
  <si>
    <t>carbendazim</t>
  </si>
  <si>
    <t>g/kg seed</t>
  </si>
  <si>
    <t>The amount of irrigation water applied (mm) was calculated from the initial and the final flow meter readings divided by the area of the sub plot. First irrigation was applied before sowing and further irrigations were applied at the pre-tasseling, silking and grain filling stages.</t>
  </si>
  <si>
    <t>g/MJ</t>
  </si>
  <si>
    <t>Energy Use Efficiency</t>
  </si>
  <si>
    <t>Energy productivity  (g grain/MJ)</t>
  </si>
  <si>
    <t>Energy productivity (g grain per MJ energy): The energy productivity (EP) was worked out as ratio of grain yield (g/ha) to the energy input (MJ/ha) as suggested by Demicran et al. (2006).</t>
  </si>
  <si>
    <t>Machinery..Inorganic Fertilizer..Pesticides..Irrigation..Organic Fertilizer</t>
  </si>
  <si>
    <t>M+C(f)-P- Me+O: maize  cowpea (Vigna unguiculata) (f)-potato-mentha  onion</t>
  </si>
  <si>
    <t>M+C(f)-P-SpM: maize  cowpea (f)-potato-spring maize</t>
  </si>
  <si>
    <t>M+C(f)-Gs-SuMo: maize  cowpea (f)-gobhi sarson (Brassica napus)-summer moong (Vigna radiata)</t>
  </si>
  <si>
    <t>M+C(f)-TSuMo: maize  cowpea (f)-toria- gobhi sarson-summer moong (Vigna radiata)</t>
  </si>
  <si>
    <t>Punjab Agricultural University (PAU), Ludhiana.</t>
  </si>
  <si>
    <t>JA_Perry_16_how n_Fo</t>
  </si>
  <si>
    <t>Peru</t>
  </si>
  <si>
    <t>Macuya</t>
  </si>
  <si>
    <t>Facility</t>
  </si>
  <si>
    <t>Pimental</t>
  </si>
  <si>
    <t>Village</t>
  </si>
  <si>
    <t>Comparison of 5 land-use systems (natural forest, multistrata agroforest, cocoa agroforest, cassava monoculture, weedy grassland) across several villages near Pucallpa city, Peruvian Amazon. Four sampling plots per village (25 x 25 m); each plot sampled six times with monthly repetition (Macuya forest only four times). Insects collected using one Malaise trap, nine pitfall traps in a 5 x 5 m grid, and sweeping net zigzag transects (80 m) per plot, between 6:30-10:30 am, March-August 2009 and February-November 2010. Per Table 1, not all habitats occur in all villages.</t>
  </si>
  <si>
    <t>March to August 2009, and February to November 2010</t>
  </si>
  <si>
    <t>Wet and dry seasons</t>
  </si>
  <si>
    <t>Macuya primary natural forest (selectively logged 20+ yrs ago; closed canopy; 9 trees/25 m2; 95% ground shade) and ~20 yr old closed-canopy forest in Pimental</t>
  </si>
  <si>
    <t>Primary forest</t>
  </si>
  <si>
    <t>No tillage (natural forest)</t>
  </si>
  <si>
    <t>12 plots of 25 x 25 m sampled (4 per village x 3 villages), plus Macuya forest plots. Each plot sampled with 1 Malaise trap + 9 pitfall traps (5x5 m grid) + sweep net (80 m zigzag transect). Samples collected after 24 h. Insects sorted into morphospecies; Coleoptera, Hymenoptera, Orthoptera, Homoptera and Dictyoptera (Blattodea) retained for analysis.</t>
  </si>
  <si>
    <t>insect morphospecies (5 orders)</t>
  </si>
  <si>
    <t>Abundance (total number of individuals)</t>
  </si>
  <si>
    <t>Total number of individuals collected across all samples per habitat.</t>
  </si>
  <si>
    <t>n</t>
  </si>
  <si>
    <t>Coleoptera</t>
  </si>
  <si>
    <t>Hymenoptera</t>
  </si>
  <si>
    <t>Orthoptera</t>
  </si>
  <si>
    <t>Homoptera</t>
  </si>
  <si>
    <t>Dictyoptera</t>
  </si>
  <si>
    <t>T1..T2..C2..C3</t>
  </si>
  <si>
    <t>Total</t>
  </si>
  <si>
    <t>tab2</t>
  </si>
  <si>
    <t>Lolita</t>
  </si>
  <si>
    <t>Antonio Raimondi</t>
  </si>
  <si>
    <t>Agroforestry</t>
  </si>
  <si>
    <t>Multistrata agroforest: Inga edulis + pineapples, 6 yrs old, tree density 5-7 trees/25 m2, trees 6-9 m high, 75-80% ground shade</t>
  </si>
  <si>
    <t>Pineapple</t>
  </si>
  <si>
    <t>Inga edulis</t>
  </si>
  <si>
    <t>trees/m2</t>
  </si>
  <si>
    <t>Slash-and-burn used to establish plots; no regular tillage within agroforest</t>
  </si>
  <si>
    <t>Multistrata agroforest (Inga + pineapples)</t>
  </si>
  <si>
    <t>Multistrata Agroforestry</t>
  </si>
  <si>
    <t>Agroforestry - high diversity</t>
  </si>
  <si>
    <t>C1..T2..C2..C3</t>
  </si>
  <si>
    <t>Porvenir, San Alejandro</t>
  </si>
  <si>
    <t>Cocoa agroforest: Theobroma cacao shaded by Piper nigrum (Pimental) or various shade trees (Inga sp., Calycophyllum sp., Dipteryx sp., Tabebuia sp.) in San Alejandro. 6 yrs old; tree density 6 trees/25 m2; trees 12 m; 50% ground shade; little herbaceous undergrowth</t>
  </si>
  <si>
    <t>Cocoa</t>
  </si>
  <si>
    <t>Theobroma cacao</t>
  </si>
  <si>
    <t>Inga sp.</t>
  </si>
  <si>
    <t>Calycophyllum spruceanum</t>
  </si>
  <si>
    <t>Dipteryx alata</t>
  </si>
  <si>
    <t>Tabebuia rosea</t>
  </si>
  <si>
    <t>Cocoa agroforest (cocoa + shade trees)</t>
  </si>
  <si>
    <t>Agroforestry - low diversity</t>
  </si>
  <si>
    <t>C1..T1..C2..C3</t>
  </si>
  <si>
    <t>Cassava monoculture; low vegetation density; no shade; established after slash-and-burn clearing</t>
  </si>
  <si>
    <t>Cassava</t>
  </si>
  <si>
    <t>Slash-and-burn clearing followed by hand-hoe land preparation</t>
  </si>
  <si>
    <t>C1..T1..T2..C3</t>
  </si>
  <si>
    <t>Weedy grassland on degraded soils; dominated by Imperata brasiliensis; compact 1.2 m tall grass vegetation; some grasslands burned up to three times per year</t>
  </si>
  <si>
    <t>Imperata brasiliensis</t>
  </si>
  <si>
    <t>No tillage; degraded land</t>
  </si>
  <si>
    <t>C1..T1..T2..C2</t>
  </si>
  <si>
    <t>Observed species richness (total no. of morphospecies)</t>
  </si>
  <si>
    <t>Total number of morphospecies observed across all samples per habitat.</t>
  </si>
  <si>
    <t>Jackknife species richness (total)</t>
  </si>
  <si>
    <t>Jackknife estimator of species richness based on total pooled samples per habitat. Accounts for unseen rare species.</t>
  </si>
  <si>
    <t>Jack-knife Species Richness</t>
  </si>
  <si>
    <t>Shannon-Weiner diversity index</t>
  </si>
  <si>
    <t>Shannon-Weiner diversity index (H', log base e) computed on total pooled morphospecies abundances per habitat.</t>
  </si>
  <si>
    <t>Shannon-Wiener Index</t>
  </si>
  <si>
    <t>Shannon-Weaver Index (H')</t>
  </si>
  <si>
    <t>Simpson's diversity index (1-D)</t>
  </si>
  <si>
    <t>Simpson's diversity index (1-D) computed on total pooled morphospecies abundances per habitat.</t>
  </si>
  <si>
    <t>Simpson Index</t>
  </si>
  <si>
    <t>Simpson's diversity index</t>
  </si>
  <si>
    <t>Observed species richness per sample</t>
  </si>
  <si>
    <t>Mean observed species richness per sample (no. of morphospecies per sample plot/trap-round), with SD.</t>
  </si>
  <si>
    <t>n per sample</t>
  </si>
  <si>
    <t>Jackknife species richness per sample</t>
  </si>
  <si>
    <t>Mean Jackknife estimate of species richness per sample, with SD.</t>
  </si>
  <si>
    <t>Species density computed as observed species per square meter of total sampled area per habitat.</t>
  </si>
  <si>
    <t>species per m2</t>
  </si>
  <si>
    <t>Shannon-Weiner diversity index per sample</t>
  </si>
  <si>
    <t>Mean Shannon-Weiner diversity index (H', log base e) per sample, with SD.</t>
  </si>
  <si>
    <t>Simpson's diversity index (1-D) per sample</t>
  </si>
  <si>
    <t>Mean Simpson's diversity index (1-D) per sample, with SD.</t>
  </si>
  <si>
    <t>Grassland (semi natural)</t>
  </si>
  <si>
    <t>Other Agroforestry</t>
  </si>
  <si>
    <t>JA_Kapoor_07_Effec_Jo</t>
  </si>
  <si>
    <t>Researcher Managed</t>
  </si>
  <si>
    <t>Iyerpadi-Akkamalai (IYAK), Valparai plateau, Anamalai Hills</t>
  </si>
  <si>
    <t>January to May 2005</t>
  </si>
  <si>
    <t>Dry season (January-May)</t>
  </si>
  <si>
    <t>Cullenia exarillata</t>
  </si>
  <si>
    <t>trees/ha</t>
  </si>
  <si>
    <t>Mesua ferrea</t>
  </si>
  <si>
    <t>Palaquium ellipticum</t>
  </si>
  <si>
    <t>understorey spider morphospecies (Araneae; 21 families, 8 functional groups)</t>
  </si>
  <si>
    <t>Araneae</t>
  </si>
  <si>
    <t>21/04/2026</t>
  </si>
  <si>
    <t>Draft</t>
  </si>
  <si>
    <t>Andiparai (AN), Valparai plateau, Anamalai Hills</t>
  </si>
  <si>
    <t>Manamboli (MA), Valparai plateau, Anamalai Hills</t>
  </si>
  <si>
    <t>Iyerpadi Top (IT), Valparai plateau, Anamalai Hills</t>
  </si>
  <si>
    <t>Forest (disturbed/managed)</t>
  </si>
  <si>
    <t>C1..T2..T3</t>
  </si>
  <si>
    <t>Tata Finley (TF), Valparai plateau, Anamalai Hills</t>
  </si>
  <si>
    <t>Pannimade (PA), Valparai plateau, Anamalai Hills</t>
  </si>
  <si>
    <t>Varattuparai 1-3 (V3), Valparai plateau, Anamalai Hills</t>
  </si>
  <si>
    <t>Puthuthottam (PU), Valparai plateau, Anamalai Hills</t>
  </si>
  <si>
    <t>Maesopsis eminii</t>
  </si>
  <si>
    <t>Spathodea campanulata</t>
  </si>
  <si>
    <t>C1..T1..T3</t>
  </si>
  <si>
    <t>Korangumudi (KO), Valparai plateau, Anamalai Hills</t>
  </si>
  <si>
    <t>Injipara (IN), Valparai plateau, Anamalai Hills</t>
  </si>
  <si>
    <t>BBTC Coffee (BC), Valparai plateau, Anamalai Hills</t>
  </si>
  <si>
    <t>Eucalyptus sp.</t>
  </si>
  <si>
    <t>Shade coffee plantation</t>
  </si>
  <si>
    <t>Organic management reported (no synthetic fertilizer)</t>
  </si>
  <si>
    <t>Organic Fertilizer</t>
  </si>
  <si>
    <t>C1..T1..T2</t>
  </si>
  <si>
    <t>Tata Coffee (TC), Valparai plateau, Anamalai Hills</t>
  </si>
  <si>
    <t>Erythrina indica</t>
  </si>
  <si>
    <t>n araneae/m2</t>
  </si>
  <si>
    <t>fig2a (visual estimate)</t>
  </si>
  <si>
    <t>species per 100 m2</t>
  </si>
  <si>
    <t>fig2b (visual estimate)</t>
  </si>
  <si>
    <t>Rareified Species Richness</t>
  </si>
  <si>
    <t>expected species count</t>
  </si>
  <si>
    <t>fig3 (visual estimate)</t>
  </si>
  <si>
    <t>estimated species count</t>
  </si>
  <si>
    <t>Estimated</t>
  </si>
  <si>
    <t>Code</t>
  </si>
  <si>
    <t>Site</t>
  </si>
  <si>
    <t>Area (ha)</t>
  </si>
  <si>
    <t>Alt (m)</t>
  </si>
  <si>
    <t>Lat (°N)</t>
  </si>
  <si>
    <t>Lon (°E)</t>
  </si>
  <si>
    <t>Buffer (m)</t>
  </si>
  <si>
    <t>Confidence</t>
  </si>
  <si>
    <t>Source / reasoning</t>
  </si>
  <si>
    <t>IYAK</t>
  </si>
  <si>
    <t>Iyerpadi–Akkamalai</t>
  </si>
  <si>
    <t>High</t>
  </si>
  <si>
    <t>Iyerpadi village centre from elevationmap.net (10.362248, 76.980171, 1224 m); Akkamalai 3.5 km east (10.3246, 77.008, 1338 m). Fragment is large (2600 ha) so buffer reflects fragment spatial extent, not GPS error.</t>
  </si>
  <si>
    <t>AN</t>
  </si>
  <si>
    <t>Andiparai</t>
  </si>
  <si>
    <t>Medium</t>
  </si>
  <si>
    <t>Andiparai shola is inside ATR just N of Valparai plateau edge; position triangulated from Fig. 1 (the paper shows it NW of IYAK, N of Valparai). Companion NCF studies place it ~3-4 km N of Valparai town at high elevation.</t>
  </si>
  <si>
    <t>MA</t>
  </si>
  <si>
    <t>Manamboli</t>
  </si>
  <si>
    <t>Medium-High</t>
  </si>
  <si>
    <t>Manamboli is a known range of the ATR; the 785 m elevation locates it at the lower-elevation edge near the Manamboli/Sholayar area. Lat/lon from ATR range centroid + Fig. 1 (south/southwest of plateau at low elevation).</t>
  </si>
  <si>
    <t>IT</t>
  </si>
  <si>
    <t>Iyerpadi Top</t>
  </si>
  <si>
    <t>"Iyerpadi Top" = the high point immediately adjacent to Iyerpadi village, at elevation ~1400 m (matches paper). Positioned just north/above Iyerpadi centre from elevationmap.net coordinates.</t>
  </si>
  <si>
    <t>PU</t>
  </si>
  <si>
    <t>Puthuthottam</t>
  </si>
  <si>
    <t>Adjacent to Valparai town (10.3278, 76.9556; ~1089 m) — literature explicitly states Puthuthottam "borders the Valparai town" and is "less than a kilometer from Valparai". Placed just east of town centre.</t>
  </si>
  <si>
    <t>KO</t>
  </si>
  <si>
    <t>Korangumudi</t>
  </si>
  <si>
    <t>Direct gazetteer match: Korangumudi 10.308293, 76.899948, elevation 1073 m (close to paper's 995 m). From elevationmap.net.</t>
  </si>
  <si>
    <t>IN</t>
  </si>
  <si>
    <t>Injipara</t>
  </si>
  <si>
    <t>No direct gazetteer match, but "Injipara" references (Stanmore/Injipara bungalow of Hindustan Unilever's Nallakathu-Injiparai estate complex) place it on the south side of Valparai plateau at similar elevation to Korangumudi. Small fragment (19 ha) so tight buffer.</t>
  </si>
  <si>
    <t>TF</t>
  </si>
  <si>
    <t>Tata Finley (= Old Valparai)</t>
  </si>
  <si>
    <t>Direct gazetteer match: Old Valparai 10.351159, 76.938382, elevation 1067 m. Confirmed by NCF dataset: "Current Name of TF (Tata Finlay) site is Old Valparai". Paper's 980 m matches within SRTM uncertainty.</t>
  </si>
  <si>
    <t>PA</t>
  </si>
  <si>
    <t>Pannimade</t>
  </si>
  <si>
    <t>Direct gazetteer match: Pannimade 10.279004, 76.887396, elevation 982 m (paper says 1032 m — likely paper rounded). From elevationmap.net.</t>
  </si>
  <si>
    <t>V3</t>
  </si>
  <si>
    <t>Varattuparai 1–3</t>
  </si>
  <si>
    <t>Varattuparai is the location of NCF's rainforest nursery in land provided by Tata Coffee. No exact gazetteer hit, but Fig. 1 places V3 between MA and TC/TF. Small fragment (11 ha).</t>
  </si>
  <si>
    <t>BC</t>
  </si>
  <si>
    <t>BBTC Coffee</t>
  </si>
  <si>
    <t>Paper says BC is adjacent to a degraded fragment "along the Sholayar river" and surrounded by tea plantations. Placed near the Sholayar river valley on the SW edge of the plateau, consistent with Fig. 1.</t>
  </si>
  <si>
    <t>TC</t>
  </si>
  <si>
    <t>Tata Coffee</t>
  </si>
  <si>
    <t>Paper says TC "bordered a forest fragment (TF)" = Tata Finley/Old Valparai. So placed adjacent to TF (10.3512, 76.9384), slightly south/west.</t>
  </si>
  <si>
    <t>Observational study comparing spider communities across four disturbance categories in a plantation-rainforest mosaic in the Anamalai Hills, Western Ghats, southern India. Four practice groups: C1 undisturbed primary rainforest (3 sites within Indira Gandhi Wildlife Sanctuary), T1 disturbed rainforest with primary vegetation retained (4 privately-owned sites), T2 highly disturbed rainforest in abandoned plantations (3 privately-owned sites), T3 shade-coffee plantation (2 sites). Total 12 sites ranging 11-2600 ha and 785-1400 m elevation. Spiders sampled by visual searches along belt transects (2 m width, 1.6 m max height, ~30-50 m from edge); each transect ~180 min duration. 5 transects per site (7 in IYAK; 4 in MA, AN); repeated monthly Jan-May 2005. Total sampled area 5.757 ha.</t>
  </si>
  <si>
    <t>Relatively undisturbed primary tropical wet evergreen rainforest fragments (Cullenia exarillata-Mesua ferrea-Palaquium ellipticum type) within the Indira Gandhi Wildlife Sanctuary; 3 sites: IYAK (2600 ha, 1380 m), AN (185 ha, 1270 m), MA (200 ha, 785 m). Tree densities 505-517/ha (MA not quantified).</t>
  </si>
  <si>
    <t>Visual searches for spiders along belt transects (2 m wide, 1.6 m max height, ~180 min each; 07:15-14:30 h on non-rainy days). Practice C1 aggregates 3 sites: IYAK (7 transects, 3.09 km, 1219 min); AN (4 transects, 2.04 km, 893 min); MA (4 transects, 2.06 km, 851 min).</t>
  </si>
  <si>
    <t>Disturbed privately-owned rainforest fragments with primary rainforest vegetation retained; 4 sites: IT (100 ha, 1400 m), TF (32.6 ha, 980 m), PA (88 ha, 1032 m), V3 (11 ha, 975 m). Tree densities 370-601/ha. Subject to fuel wood collection, cattle grazing, and occasional tree cutting; variable Lantana camara presence (notable at IT).</t>
  </si>
  <si>
    <t>Visual searches for spiders along belt transects (2 m wide, 1.6 m max height, ~180 min each; 07:15-14:30 h on non-rainy days). Practice T1 aggregates 4 sites: IT (5 transects, 2.24 km, 906 min); TF (5 transects, 2.2 km, 900 min); PA (5 transects, 2.39 km, 915 min); V3 (5 transects, 2.26 km, 915 min).</t>
  </si>
  <si>
    <t>Highly disturbed privately-owned rainforest fragments; originally coffee or cardamom plantations now abandoned; mixed canopy of native rainforest trees and planted exotics (Maesopsis eminii, Spathodea campanulata). 3 sites: PU (92 ha, 1120 m), KO (56 ha, 995 m), IN (19.1 ha, 992 m). Tree densities 257-404/ha (lower than disturbed T1); high Lantana camara invasion across all sites.</t>
  </si>
  <si>
    <t>Visual searches for spiders along belt transects (2 m wide, 1.6 m max height, ~180 min each; 07:15-14:30 h on non-rainy days). Practice T2 aggregates 3 sites: PU (5 transects, 3.0 km, 894 min); KO (5 transects, 2.53 km, 908 min); IN (5 transects, 2.34 km, 900 min).</t>
  </si>
  <si>
    <t>Organically grown shade-coffee plantations; 2 sites: BC (83.8 ha, 1000 m) — Eucalyptus sp. monoculture shade, certified organic, young/short coffee plants, poor connectivity to rainforest; TC (100 ha, 980 m) — mixed native (Palaquium ellipticum, Cullenia exarillata, Mesua ferrea) + exotic (Erythrina indica, Maesopsis eminii) shade, older/taller coffee plants, borders rainforest fragments TF and V3.</t>
  </si>
  <si>
    <t>Manual weeding of undergrowth under coffee rows</t>
  </si>
  <si>
    <t>Visual searches for spiders along belt transects (2 m wide, 1.6 m max height, ~180 min each; 07:15-14:30 h on non-rainy days). Practice T3 aggregates 2 sites: BC (5 transects, 2.51 km, 868 min); TC (5 transects, 2.12 km, 903 min).</t>
  </si>
  <si>
    <t>Mean individual spider density per 100 m2, aggregated across sites</t>
  </si>
  <si>
    <t>Mean number of individual spiders per 100 m2 of transect area across sites within the treatment. Per-site values visually estimated from Fig 2a; treatment-level mean = mean of per-site means; SD combines between-site variation and pooled within-site SD. [VISUAL APPROXIMATION from Fig 2a: per-site values read from published graph (+/- 0.5 precision on mean, +/- 0.5 on within-site SD). Treatment-level aggregation: mean across sites; SD = sqrt(between-site variance + mean within-site variance). Paper text confirms overall range 5-12 individuals/100 m2.]</t>
  </si>
  <si>
    <t>Mean spider species density per 100 m2, aggregated across sites</t>
  </si>
  <si>
    <t>Mean number of distinct spider morphospecies per 100 m2 of transect area across sites within the treatment (Gotelli and Colwell 2001 definition). Per-site values visually estimated from Fig 2b. [VISUAL APPROXIMATION from Fig 2b: per-site values read from published graph (+/- 0.3 precision). Treatment-level SD combines between-site and within-site variation. Paper text confirms overall range 2-3.6 species/100 m2 with highest at TC.]</t>
  </si>
  <si>
    <t>Mean rarefaction species richness per 200 individuals, aggregated across sites</t>
  </si>
  <si>
    <t>Expected number of spider morphospecies for a standardised sample of 200 individuals (EcoSim rarefaction; Gotelli and Entsminger 2001), averaged across sites within the treatment. Per-site values visually estimated from Fig 3 (open symbols). [VISUAL APPROXIMATION from Fig 3 open symbols: per-site values read from published graph (+/- 5 precision). Paper text confirms V3 has the highest rarefaction richness.]</t>
  </si>
  <si>
    <t>Mean Jackknife 1 estimated species richness, aggregated across sites</t>
  </si>
  <si>
    <t>First-order Jackknife estimate of total spider species richness per site (EstimateS; Colwell 2000), averaged across sites within the treatment. Per-site values visually estimated from Fig 3 (filled symbols). [VISUAL APPROXIMATION from Fig 3 filled symbols: per-site values read from published graph (+/- 5 precision). Paper text confirms MA has the highest estimated richness, closely followed by TC, while IYAK and AN have relatively low values.]</t>
  </si>
  <si>
    <t>density, fertilizers from table 1. chemicals from table3.yield year 3 from table 6</t>
  </si>
  <si>
    <t>outputs maize year 3</t>
  </si>
  <si>
    <t>yield (sweet potato, bean, maize), sweet potato leaves, sweet potato vines, bean leaves</t>
  </si>
  <si>
    <t>4 smallholders per district</t>
  </si>
  <si>
    <t>No Herbicide Applied</t>
  </si>
  <si>
    <t>Weeds were controlled by hand-hoeing.</t>
  </si>
  <si>
    <t>Inorganic fertilizer</t>
  </si>
  <si>
    <t>CTR: conventional tillage rotation (sweet potato, bean, maize)</t>
  </si>
  <si>
    <t>Conventional tillage</t>
  </si>
  <si>
    <t>DK 9089</t>
  </si>
  <si>
    <t>Khulophete</t>
  </si>
  <si>
    <t>Mugamba</t>
  </si>
  <si>
    <t>Sweet Potato</t>
  </si>
  <si>
    <t>the 2011/12, 2012/13, and 2013/14 growing seasons in the Central region of Malawi</t>
  </si>
  <si>
    <t>Research plots were established on four smallholder farms in each district in November 2011. On each farm three plots were established: continuous no-till maize (NTM), conservation agriculture rotation (CAR), and conventional tillage rotation (CTR). Individual research plots were small–0.13 ha in Nkhotakota and 0.25 ha in Dowa–due to the already limited landholding size farmers typically possess in Malawi</t>
  </si>
  <si>
    <t>Dowa</t>
  </si>
  <si>
    <t>Malawi</t>
  </si>
  <si>
    <t>JA_TerAv_19_Diver_AG</t>
  </si>
  <si>
    <t>yield (sweet potato, pigeon pea, bean, maize), sweet potato leaves, sweet potato vines, bean leaves</t>
  </si>
  <si>
    <t>harness</t>
  </si>
  <si>
    <t>roundup</t>
  </si>
  <si>
    <t>Intercrop Rotation</t>
  </si>
  <si>
    <t>CAR: conservation agriculture rotation (Sweet potato, pigeon pea, bean, maize)</t>
  </si>
  <si>
    <t>No Tillage</t>
  </si>
  <si>
    <t>Mwaiwathu alimi</t>
  </si>
  <si>
    <t>Pigeon Pea</t>
  </si>
  <si>
    <t>T3..T4</t>
  </si>
  <si>
    <t>yield maize</t>
  </si>
  <si>
    <t>NTM: continuous no-till maize</t>
  </si>
  <si>
    <t>density, fertilizers from table 1. chemicals from table 2. yield year 3 from table 5</t>
  </si>
  <si>
    <t>yield (cassava, soybean, maize), cassava leaves, cassava stems, firewood</t>
  </si>
  <si>
    <t>CTR: conventional tillage rotation (Cassava, soybean, maize)</t>
  </si>
  <si>
    <t>Nasoko</t>
  </si>
  <si>
    <t>Manyakola</t>
  </si>
  <si>
    <t>Nkhotakota</t>
  </si>
  <si>
    <t>yield (cassava, pigeon pea,cowpea, maize), cassava leaves, cassava stems, firewood, cowpea leaves</t>
  </si>
  <si>
    <t>ml/l</t>
  </si>
  <si>
    <t>dimethoate</t>
  </si>
  <si>
    <t>CAR: conservation agriculture rotation (Cassava, pigeon pea, cowpea, pigeon pea, maize</t>
  </si>
  <si>
    <t>IT 82E-16</t>
  </si>
  <si>
    <t>Sum</t>
  </si>
  <si>
    <t>density, fertilizers from table 1. chemicals from table3.economic output from table 7</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</si>
  <si>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ha−6</t>
  </si>
  <si>
    <t>gross margin With opportunity cost of labor</t>
  </si>
  <si>
    <t>Seeds..Inorganic Fertilizer..Transport..Labor Cost</t>
  </si>
  <si>
    <t>Common Bean Grain..Common Bean Leaves</t>
  </si>
  <si>
    <t>Sweet Potato Tuber..Sweet Potato Leaves</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</si>
  <si>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ha−5</t>
  </si>
  <si>
    <t>Seeds..Inorganic Fertilizer..Herbicides..Transport..Equipment..Labor Cost</t>
  </si>
  <si>
    <t>Pigeon Pea Grain</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</si>
  <si>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ha−4</t>
  </si>
  <si>
    <t>density, fertilizers from table 1. chemicals from table 2. economic output from table 7</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</si>
  <si>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ha−3</t>
  </si>
  <si>
    <t>Cassava Tuber..Cassava Stems..Cassava Leaves</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</si>
  <si>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ha−2</t>
  </si>
  <si>
    <t>Seeds..Inorganic Fertilizer..Herbicides..Insecticides..Transport..Equipment..Labor Cost</t>
  </si>
  <si>
    <t>Cowpea leaves..Cowpea</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</si>
  <si>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ha−1</t>
  </si>
  <si>
    <t>USD/d</t>
  </si>
  <si>
    <t>Return to Labour</t>
  </si>
  <si>
    <t>Labor costs were based on time. Some labor time was measured directly (e.g., planting, applying fertilizer, spraying herbicides and pesticides, and harvesting crops and firewood), while other time was determined through farmer interviews (e.g., cultivating ridges, laying out crop residue, and hand-weeding). Labor costs were based on Malawi's official minimum daily wage and converted from the Malawi kwacha to US dollars. The minimum daily wage was about $1.00 per 8h day ($1.02, $0.98, and $1.07, in years 1, 2 and 3, respectively).</t>
  </si>
  <si>
    <t>labor productivity</t>
  </si>
  <si>
    <t>Planting..Inorganic Fertilizer Application..Herbicides Application..Harvesting..Weeding</t>
  </si>
  <si>
    <t>Planting..Inorganic Fertilizer Application..Herbicides Application..Insecticides Application..Harvesting..Weeding</t>
  </si>
  <si>
    <t>Labor costs were based on Malawi's official minimum daily wage and converted from the Malawi kwacha to US dollars. The minimum daily wage was about $1.00 per 8-h day ($1.02, $0.98, and $1.07, in years 1, 2 and 3, respectively). Market and market analogue prices were based on input and output price surveys conducted at agricultural retailers and markets in the communities near research plots as well as from markets and wholesale distributers in Lilongwe, the largest regional city and the capital of Malawi. Output price surveys for storable crops took place at harvest, 2 months after harvest, and in November, when most smallholder farmers sell any remaining produce in order to purchase inputs for the subsequent season. These prices were used  irectly for products sold and as opportunity cost based inferred values for output eaten or retained for seed.</t>
  </si>
  <si>
    <t>net revenue</t>
  </si>
  <si>
    <t>Total Cost</t>
  </si>
  <si>
    <t>total costs</t>
  </si>
  <si>
    <t>labor cost</t>
  </si>
  <si>
    <t>Market and market analogue prices were based on input and output price surveys conducted at agricultural retailers and markets in the communities near research plots as well as from markets and wholesale distributers in Lilongwe, the largest regional city and the capital of Malawi. Output price surveys for storable crops took place at harvest, 2 months after harvest, and in November, when most smallholder farmers sell any remaining produce in order to purchase inputs for the subsequent season. These prices were used  irectly for products sold and as opportunity cost based inferred values for output eaten or retained for seed.</t>
  </si>
  <si>
    <t>gross revenue</t>
  </si>
  <si>
    <t>JA_Mideg_10_Integ_In</t>
  </si>
  <si>
    <t>Finger millet (var. Local) was planted either in sole stands (monocrop) or intercropped in alternate rows with D. intortum in experimental plots following the methodologies of Khan et al. (2006b). Finger millet was planted at a row-to-row distance of 60 cm and a plant-to-plant distance of 15 cm within a row. The layout comprised four large plots each measuring, 30 6 30 m where finger millet – D. intortum intercrop and the control were diagonally placed, with 2-m buffer strips between plots as described in Khan et al. (2006b). To facilitate sampling a method adapted from Khan et al. (2001) was used, with modifications, to create subplots within the established plots. Random-paired subplots of 8 6 8 m along perpendicular transect lines bisecting both treatment and control plots were demarcated with four replications in each plot.</t>
  </si>
  <si>
    <t>The study was conducted between the long (March to August) rainy season of 2007 and short (October to January) rainy season of 2008</t>
  </si>
  <si>
    <t>Monocrop</t>
  </si>
  <si>
    <t>Finger Millet</t>
  </si>
  <si>
    <t>Finger millet (var. Local) was planted either in sole stands (monocrop) or intercropped in alternate rows with D. intortum in experimental plots following the methodologies of Khan et al. (2006b).</t>
  </si>
  <si>
    <t>Random-paired subplots of 8 6 8 m along perpendicular transect lines bisecting both treatment and control plots were demarcated with four replications in each plot.</t>
  </si>
  <si>
    <t>Planting..Weeding..Inorganic Fertilizer Application..Harvesting..Threshing</t>
  </si>
  <si>
    <t>total labour cost</t>
  </si>
  <si>
    <t>is the amount of money paid for the labour of carrying out activity i.</t>
  </si>
  <si>
    <t>Table 7</t>
  </si>
  <si>
    <t>Intercrop</t>
  </si>
  <si>
    <t>Desmodium distortum</t>
  </si>
  <si>
    <t>Planting..Weeding..Inorganic Fertilizer Application..Harvesting..Threshing..Land Preparation..Seeds..Inorganic Fertilizer</t>
  </si>
  <si>
    <t>total variable costs</t>
  </si>
  <si>
    <t>total labour cost plus total non-labour costs</t>
  </si>
  <si>
    <t>the amount of money generated from the sale of plot output i, including finger millet grain and stover, and desmodium forage.</t>
  </si>
  <si>
    <t>Finger Millet Grain</t>
  </si>
  <si>
    <t>Finger Millet Straw</t>
  </si>
  <si>
    <t>Desmodium intortum</t>
  </si>
  <si>
    <t>total revenue minus total variable costs</t>
  </si>
  <si>
    <t>yield</t>
  </si>
  <si>
    <t>Grain yields of finger millet and finger millet stover</t>
  </si>
  <si>
    <t>Table 4 and Table 5</t>
  </si>
  <si>
    <t>Grain yields of finger millet, finger millet stover and desmodium intortum forage</t>
  </si>
  <si>
    <t>striga harmonica counts at 10 weeks after crop emergence</t>
  </si>
  <si>
    <t>Striga hermonthica</t>
  </si>
  <si>
    <t>Striga hermonthica counts in finger millet plots planted in sole stands or intercropped with Desmodium intortum, at 10 weeks after crop emergence</t>
  </si>
  <si>
    <t>striga/84 finger millet plants</t>
  </si>
  <si>
    <t>year 5</t>
  </si>
  <si>
    <t>table 5</t>
  </si>
  <si>
    <t>TZS/ha</t>
  </si>
  <si>
    <t>wood yield</t>
  </si>
  <si>
    <t>total benefits</t>
  </si>
  <si>
    <t>Trees</t>
  </si>
  <si>
    <t>bags/ha</t>
  </si>
  <si>
    <t>Urea</t>
  </si>
  <si>
    <t>Data on tree height, root collar diameter (the diameter of the lowest part of the stem), and canopy cover (a mean of the longest axis of canopy cover and the axis perpendicular to it) were collected at 3, 6, 18, 27, 39 and 51 months after planting from 15 farmers, five in each village. These 15 farmers were those who planted in 1993/94 and 1994/95.</t>
  </si>
  <si>
    <t>Rotational woodlots: In the rotational woodlot system, farmers intercrop food crops with leguminous trees during the first 2–3 years, to maximise returns to their scarce labor. Then they leave the trees to grow, harvest the trees in about the 5th year, and replant food crops (Otsyina et al., 1996a). The most promising species tested by the farmers, in terms of growth, are three newly introduced species from Australia: Acacia crassicarpa (also known as northern or red wattle), A. jurifera, and Acacia leptocarpa (A. Cunn. ex Benth.). The food crops grown following the tree harvest are expected to benefit from the increase in soil organic matter, nutrient recycling, and nitrogen fixed by the leguminous trees, but research results to confirm this are not yet available. Maize is intercropped with the trees during the first 2 years. There are no benefits or costs during years 3 and 4. All costs and benefits are discounted over a 5-year period</t>
  </si>
  <si>
    <t>Hand hoes</t>
  </si>
  <si>
    <t>Acacia leptocarpa</t>
  </si>
  <si>
    <t>Acacia julifera</t>
  </si>
  <si>
    <t>Acacia crassicarpa</t>
  </si>
  <si>
    <t>kg seed/ha</t>
  </si>
  <si>
    <t>Kilima</t>
  </si>
  <si>
    <t>Rotational woodlots: In the rotational woodlot system, farmers intercrop food crops with leguminous trees during the first 2–3 years, to maximise returns to their scarce labor. Then they leave the trees to grow, harvest the trees in about the 5th year, and replant food crops (Otsyina et al., 1996a). The most promising species tested by the farmers, in terms of growth, are three newly introduced species from Australia: Acacia crassicarpa (also known as northern or red wattle), A. jurifera, and Acacia leptocarpa (A. Cunn. ex Benth.). The food crops grown following the tree harvest are expected to benefit from the increase in soil organic matter, nutrient recycling, and nitrogen fixed by the leguminous trees, but research results to confirm this are not yet available.</t>
  </si>
  <si>
    <t>Five farmers planted in 1993/94 (the planting season extends from December to February); 10 in 1994/95; 8 in 1995/96; and 37 in 1996/97.</t>
  </si>
  <si>
    <t>Farmers were chosen randomly from three tobacco-growing villages in three districts, using lists of farmers available at village offices. The selected farmers were then visited to see if they were interested in hosting the on-farm trial. Five farmers planted in 1993/94 (the planting season extends from December to February); 10 in 1994/95; 8 in 1995/96; and 37 in 1996/97. Seedlings of A. crassicarpa, A. jurifera and A. leptocarpa were raised in a nursery at ARTI-Tumbi and transported to farmers’ fields. The trial was researcher-designed and farmer-managed; researchers marked out plots and advised on management, but farmers conducted all operations. The trial included three plots, one for each species, planted at a spacing of 4 m × 4 m (625 trees ha−1). Plot size ranged from 0.07 to 0.16 ha depending on the land the farmer had available, thus, each farmer planted about 44–100 trees of each species.</t>
  </si>
  <si>
    <t>Tanzania</t>
  </si>
  <si>
    <t>JA_Ramad_02_Impro_</t>
  </si>
  <si>
    <t>no yield</t>
  </si>
  <si>
    <t>Maize-fallow system: Maize is cultivated for 2 years followed by 3 years of fallow.</t>
  </si>
  <si>
    <r>
      <t xml:space="preserve">Maize-fallow system: </t>
    </r>
    <r>
      <rPr>
        <b/>
        <sz val="11"/>
        <color theme="1"/>
        <rFont val="Aptos Narrow"/>
        <family val="2"/>
        <scheme val="minor"/>
      </rPr>
      <t>farmers planted woodlots on fields that they indicated would have been used for growing maize for 2 years followed by a 3-year fallow.</t>
    </r>
  </si>
  <si>
    <t>year 2</t>
  </si>
  <si>
    <t>maize grain yield and pruning yield</t>
  </si>
  <si>
    <t>maize grain yield and pruning yield. Wood yield was measured from four of the 15 farmers who planted in 1993/94 and 1994/95; only five farmers had harvested their trees at the time of writing. Of the four farmers from whom data were obtained, three harvested 4 years after planting. Their yield data were converted to 5th year yields by adding 20%, a conservative estimate of the yield increase during the 5th year. The remaining farmer harvested during the 5th year after planting.</t>
  </si>
  <si>
    <t>maize grain yield</t>
  </si>
  <si>
    <t>year 1</t>
  </si>
  <si>
    <t>total labor costs</t>
  </si>
  <si>
    <t>pla</t>
  </si>
  <si>
    <t>Land Preparation..Planting..1</t>
  </si>
  <si>
    <t>study_id_ss</t>
  </si>
  <si>
    <t>varietal_crop_name</t>
  </si>
  <si>
    <t>varietal_animal_name</t>
  </si>
  <si>
    <t>agro_subpractice_raw</t>
  </si>
  <si>
    <t>fert_inorganic_applied_unit</t>
  </si>
  <si>
    <t>fert_inorganic_applied</t>
  </si>
  <si>
    <t>weed_subpractice_raw</t>
  </si>
  <si>
    <t>weed_subpractice</t>
  </si>
  <si>
    <t>ph_amount_unit</t>
  </si>
  <si>
    <t>ph_amount</t>
  </si>
  <si>
    <t>out_variance_metric</t>
  </si>
  <si>
    <t>out_variance_value</t>
  </si>
  <si>
    <t>outc_variance_value_l</t>
  </si>
  <si>
    <t>outc_variance_value_u</t>
  </si>
  <si>
    <t>Table 12</t>
  </si>
  <si>
    <t>Seeds..Inorganic Fertilizer..Pesticides..Fuel..Labor Cost..Electricity</t>
  </si>
  <si>
    <t>Rice Grain</t>
  </si>
  <si>
    <t>aman rice, potato, maize</t>
  </si>
  <si>
    <t>Treatments referred to as scenarios 1–4 (S1–S4) were assigned to individual plots and replicated thrice in a randomized complete block design. Scenario details involving crop management and various field activities are provided in Tables 2 and 3, respectively.</t>
  </si>
  <si>
    <t>Manually and machine</t>
  </si>
  <si>
    <t>Ground</t>
  </si>
  <si>
    <t>Irrigation (Other)</t>
  </si>
  <si>
    <t>BORO: Pre-sown irrigation followed by 2 irrigations in 2009–2010 and 1 irrigation in 2010–2011 and 2011–2012 (P). 1 irrigation in 2009–2010 (M) and no irrigation for Mb. AMAN:Supplemental irrigation applied following AWD method. No irrigation required in 2010 and 2012. Irrigation applied at booting stage in 2011.</t>
  </si>
  <si>
    <t>cm (depth)</t>
  </si>
  <si>
    <t>In-field</t>
  </si>
  <si>
    <t>Crop Residue Incorporated</t>
  </si>
  <si>
    <t>Incorporated 30-cm standing rice biomass, and full residues of potato, maize, and mungbean retained on surface</t>
  </si>
  <si>
    <t>sulfur</t>
  </si>
  <si>
    <t>see table 3</t>
  </si>
  <si>
    <t>total</t>
  </si>
  <si>
    <t>1 in 2009-2011, 1 in 2010-2011, 2 in 2011-2012</t>
  </si>
  <si>
    <t>boro</t>
  </si>
  <si>
    <t>Crop rotation (seasonal)</t>
  </si>
  <si>
    <t>scenario 4: (crop diversification with best management practices and reduced to zero tillage) potato (Boro)?relay maize (or mungbean) (Aus)?rice (Aman). This scenario was designed for water- and labor-scarce environments to improve system productivity and profitability through diversified cereal-based cropping systems with BMPs and CA. In this scenario, the crop rotation was potato (Boro)-relay maize (or mungbean) (Aus)-rice (Aman). In 2011, maize failed to grow because of untimely and excessive rainfall. In 2012, mungbean instead of maize was grown after the harvest of potato. Rice was transplanted into reduced-till non-puddled soils prepared by one to two passes of a power tiller in wet condition. Transplanting was done manually in 2010 and 2011 and with a mechanical transplanter in 2012. Potato was planted manually into soils prepared with reduced tillage (four to five passes of a power tiller followed by two passes of laddering) while maize and mungbean were sown with zero tillage (ZT). At harvest, 30 cm standing rice biomass was left and incorporated during land preparation of the next crop and full residues of non-rice crops were retained on soil surface.</t>
  </si>
  <si>
    <t>Transplanting</t>
  </si>
  <si>
    <t>Rice transplanted in 2012 by machine and in other years manually Potato, maize, and mungbean planted in line manually</t>
  </si>
  <si>
    <t>Reduced or Minimum Tillage</t>
  </si>
  <si>
    <t>Zero tillage for maize and mungbean RT-nonPd for rice</t>
  </si>
  <si>
    <t>BRRI dhan 56</t>
  </si>
  <si>
    <t>Rice</t>
  </si>
  <si>
    <t>BINA 7</t>
  </si>
  <si>
    <t>BARI mung 6</t>
  </si>
  <si>
    <t>NK 40</t>
  </si>
  <si>
    <t>Diamond</t>
  </si>
  <si>
    <t>Crop production was distributed across the three seasons common in the country: Rabi, also called Boro (November to March); premonsoon Kharif-1, also called Aus (April to June); and monsoon Kharif-2, also called Aman (July to October). The trial began in Boro 2009–2010.</t>
  </si>
  <si>
    <t>the entire field was divided into three blocks separated by a 1.5-m walkway and each block was subdivided into four plots each measuring 35 m × 41 m separated by earthen bunds (0.6 m wide and 0.3 m high). Four cropping system treatments referred to as scenarios (S) were designed based on different drivers of agricultural change (Table 2). The scenarios varied from each other in tillage, crop establishment, residue management, crop rotation and other management practices. Treatments referred to as scenarios 1–4 (S1–S4) were assigned to individual plots and replicated thrice in a randomized complete block design. Scenario details involving crop management and various field activities are provided in Tables 2 and 3, respectively.</t>
  </si>
  <si>
    <t>Bangladesh Agricultural Research Institute (BARI), Gazipur</t>
  </si>
  <si>
    <t>JA_Alam,_15_Impro_FI</t>
  </si>
  <si>
    <t>MJ/kg</t>
  </si>
  <si>
    <t>The energy equivalent was calculated for each input (seed, fertilizer, irrigation water, pesticides, fuel, electricity, machinery use and labor) and output (economic yield [grain and tuber] and crop residue [straw, stover, shoot]) by multiplying by a respective energy value provided in Table 4. Fuel consumption was recorded during each field operation, which includes land preparation, transplanting and harvesting. The energy usage in irrigation was calculated from the amount of total irrigation water and electricity consumption. The total energy input (EI) and output (EO) were computed by summing the energy equivalents of all the inputs and outputs. Specific energy (SE) was calculated by using the following equations (Moraditochaee, 2012):</t>
  </si>
  <si>
    <t>specific energy</t>
  </si>
  <si>
    <t>boro rice, aman rice</t>
  </si>
  <si>
    <t>Manually</t>
  </si>
  <si>
    <t>BORO: Irrigated, water applied at 3–4 cm depth following AWD method. AMAN: Supplemental irrigation applied following AWD method. No irrigation required in 2010. Irrigation applied at early tillering, booting, and flowering stage in 2011 and at booting and flowering stage in 2012.</t>
  </si>
  <si>
    <t>ncorporated 30-cm standing rice biomass</t>
  </si>
  <si>
    <t>cartap</t>
  </si>
  <si>
    <t>3 in 2009-2011, 1 in 2010-2011, 3 in 2011-2012</t>
  </si>
  <si>
    <t>Natural Fallow (&lt;6months)</t>
  </si>
  <si>
    <t>scenario 3: (best management practices with reduced tillage): rice (Boro)-fallow (Aus)-rice (Aman) crop rotation. Similar to S2, S3 had the objective of increasing productivity, input use efficiency and profitability of the rice (Boro)–fallow (Aus)–rice (Aman) crop rotation through the use of BMPs. In addition some components of CA were included to specifically address shortages of labor and water. Intensive wet tillage (puddling) was avoided by transplanting in non-puddled soil. At harvest, 30 cm standing biomass was left and incorporated during land preparation of the next crop. Boro rice was transplanted manually and Aman rice with a mechanical transplanter into reduced-till nonpuddled soils. In Boro, soils prepared by one to two passes of a power tiller operated seeder (PTOS) in dry condition and prior to transplanting water applied. In Aman, soils prepared by two passes of a power tiller in wet condition.</t>
  </si>
  <si>
    <t>Transplanted in Aman by machine and in Boro manually</t>
  </si>
  <si>
    <t>Reduced tillage  non-puddled (RT-nonPd)</t>
  </si>
  <si>
    <t>BRRI dhan 49</t>
  </si>
  <si>
    <t>BRRI dhan 28</t>
  </si>
  <si>
    <t>T1..C3</t>
  </si>
  <si>
    <t>BORO: Irrigated, water applied at 3–4-cm depth following AWD method. AMAN: Supplemental irrigation applied following AWD method. No irrigation required in 2010. In 2011 and 2012, irrigation applied at booting and flowering stage.</t>
  </si>
  <si>
    <t>Incorporated 30-cm standing rice biomass</t>
  </si>
  <si>
    <t>3 in 2009-2011, 1 in 2010-2011, 2 in 2011-2012</t>
  </si>
  <si>
    <t>scenario 2: (best management practices with conventional tillage): rice (Boro)Â–fallow (Aus)?rice (Aman) crop rotation. Scenario 2 was designed to increase productivity, input use efficiency and profitability of the rice (Boro)–fallow (Aus)–rice (Aman) crop rotation through the use of BMPs. Rice was manually transplanted into puddled and leveled soils prepared by three to four passes of a power tiller followed by two passes of the power tiller with wooden plank for leveling. At harvest, 30 cm standing rice biomass was incorporated during land preparation of the next crop.</t>
  </si>
  <si>
    <t>Transplanted  manually</t>
  </si>
  <si>
    <t>Puddling</t>
  </si>
  <si>
    <t>Conventional  tillage–puddling(CTPd)</t>
  </si>
  <si>
    <t>BORO: Irrigated, water applied at  5–6-cm depth when no standing water in the field without any soil crack. AMAN: Rainfed—no irrigation  applied in 2010 and 2012, irrigation applied at booting in 2011.</t>
  </si>
  <si>
    <t>Incorporated 5–10-cm standing rice biomass</t>
  </si>
  <si>
    <t>hand weeding 3 in all years</t>
  </si>
  <si>
    <t>scenario 1: 1(business as usual–farmers practice): Rice (Boro)-fallow (Aus)-rice (Aman). This scenario represents current farmers’ practices of crop rotation, crop varieties and management (tillage and crop establishment, and residue), which were based on an on-farm survey conducted in 263 farmers’ fields during 2006–2008 in the neighboring area. Rice (Boro)–fallow (Aus)–rice (Aman) was the crop rotation because it is the predominant cropping pattern covering more than 80% of the cultivated area in the region. In both seasons (Boro and Aman), rice was grown by transplanting four to six seedlings per hill in puddled soil prepared by intensive wet tillage. Boro rice was irrigated but Aman rice was rainfed. Rice was harvested manually at or near ground level, leaving 5–10 cm standing biomass from the ground which was incorporated during land preparation of the next crop.</t>
  </si>
  <si>
    <t>BR11</t>
  </si>
  <si>
    <t>chlorpyrifos</t>
  </si>
  <si>
    <t>carbofuran</t>
  </si>
  <si>
    <t>Table 11</t>
  </si>
  <si>
    <t>BC Ratio (GRVC)</t>
  </si>
  <si>
    <t>The benefit–cost ratio (BCR) was calculated by dividing gross returns by TVC (BCR = GR/TVC).</t>
  </si>
  <si>
    <t>BCR</t>
  </si>
  <si>
    <t>net return</t>
  </si>
  <si>
    <t>Gross returns were calculated by multiplying the economic yields of crops by the farm-gate price at harvest time.</t>
  </si>
  <si>
    <t>gross return</t>
  </si>
  <si>
    <t>Table 10</t>
  </si>
  <si>
    <t>The variable costs included human labor, machinery (power tiller, transplanter and reaper) rent and the cost of production inputs (seed, fertilizer, pesticides, fuel and electricity). The cost of human labor used for tillage, seedling raising, transplanting or planting, irrigation, fertilizer and pesticide application, weeding, harvesting and threshing of crops was calculated by multiplying the person-days ha−1 required for an operation by wage rate.</t>
  </si>
  <si>
    <t>total variable cost for cropping system</t>
  </si>
  <si>
    <t>table 9</t>
  </si>
  <si>
    <t>The productivity of irrigation (WPI) and total water (WPI+R) was calculated using the following equations: WPI  (kg grain m−3 of irrigation water)  = grain yield (kg ha−1) /irrigation water (mm)  10</t>
  </si>
  <si>
    <t>total water (irrigation + rainfall) productivity (WPI+R) based on rice equivalent yield (REY) of crop and cropping system in different scenarios.</t>
  </si>
  <si>
    <t>table 7</t>
  </si>
  <si>
    <t>Mg/ha</t>
  </si>
  <si>
    <t>aman</t>
  </si>
  <si>
    <t>Net returns (NR) were calculated as the difference between Gross Revenue and Total Variable Cost (NR = GR − TVC).</t>
  </si>
  <si>
    <t>Net revenue was calculated as gross revenue minus total production costs.</t>
  </si>
  <si>
    <t>JA_Husso_22_Desig_FI</t>
  </si>
  <si>
    <t>Ivory Coast</t>
  </si>
  <si>
    <t>Mbe Africa Rice Center (AfricaRice)</t>
  </si>
  <si>
    <t>Three growing seasons-sowing dates were considered, as a function of the cropping systems: spring (sowing in March), summer (sowing in June), and late summer (sowing in July).</t>
  </si>
  <si>
    <t>Crop rotation and cover crop</t>
  </si>
  <si>
    <t>1.1: Rice+stylo // Maize+Stylo. CA system with rice in rotation with maize, both associated to stylo (Stylosanthes guianensis), sown in June.</t>
  </si>
  <si>
    <t>NERICA 4</t>
  </si>
  <si>
    <t>seeds/ha</t>
  </si>
  <si>
    <t>Stylosanthes guianensis</t>
  </si>
  <si>
    <t>CIAT</t>
  </si>
  <si>
    <t>conservation agriculture</t>
  </si>
  <si>
    <t>Mulched (left on surface)</t>
  </si>
  <si>
    <t>Weeds were controlled by hand weeding starting 3 weeks after sowing, when needed.</t>
  </si>
  <si>
    <t>Manual</t>
  </si>
  <si>
    <t>g/ha</t>
  </si>
  <si>
    <t>2,4-D</t>
  </si>
  <si>
    <t>control of crop residues or cover crops for CA systems: A knife-roller  was passed twice on crop residues or on stylo, dolichos bean or sunn hemp cover crops. Pigeon pea was manually cut just above the soil surface with a machete.</t>
  </si>
  <si>
    <t>Mulch (N fixing)</t>
  </si>
  <si>
    <t>Crop Residue</t>
  </si>
  <si>
    <t>Overall, the new design was a split-plot design with three replicates. Cropping systems were fully randomized as main plot and main plots were further split with two fertilization levels (F1, as in 2015 and 2016, and F0, without fertilizer). The sub-plot size was reduced to 17 m × 8 m  (136 m2). There were three replicates, except for one system (conventional system with plowing and burning of the crop residues, system 5.1) for which only two replicates were possible.</t>
  </si>
  <si>
    <t>Herbicides..Seeds</t>
  </si>
  <si>
    <t>mean net margin</t>
  </si>
  <si>
    <t>Net margins were calculated as ((the crop harvest × market price) – (herbicide + seed costs))</t>
  </si>
  <si>
    <t>Gross margin</t>
  </si>
  <si>
    <t>CFA/ha</t>
  </si>
  <si>
    <t>Table 8</t>
  </si>
  <si>
    <t>Cover crops - low diversity</t>
  </si>
  <si>
    <t>2.1: Rice+stylo//Rice+stylo: CA system with rice associated to stylo, rice ë‹œ cultivated every year, sown in June.</t>
  </si>
  <si>
    <t>3.1: Rice+Stylo // Stylo //  Rice+Stylo: CA system with rice associated to stylo, rice cultivated every other year (with stylo in pure stand the other year), sown in June.</t>
  </si>
  <si>
    <t>4.1: Rice // Maize conventional  (removing crop residues): CT system with soil tillage, rice sown in June.</t>
  </si>
  <si>
    <t>conventional tillage</t>
  </si>
  <si>
    <t>Disc Plough..Harrow</t>
  </si>
  <si>
    <t>Burned</t>
  </si>
  <si>
    <t>6.1: Maize+Pigeon pea //  Rice+Crotalaria juncea: and various plots of the other systems burnt in 2017: CA system with maizeçŠŒâ¥¹ (sown in March) in rotation with rice sown in June.</t>
  </si>
  <si>
    <t>CRF0025</t>
  </si>
  <si>
    <t>Complex Rotation</t>
  </si>
  <si>
    <t>Rotation (N fixing and Non N fixing)</t>
  </si>
  <si>
    <t>oxadiazon</t>
  </si>
  <si>
    <t>Crop Residues Burnt</t>
  </si>
  <si>
    <t>8.1: Maize+Groundnut/  Maize+Dolichos // Rice</t>
  </si>
  <si>
    <t>Groundnut</t>
  </si>
  <si>
    <t>Reunion Island</t>
  </si>
  <si>
    <t>10.1: Cassava+Stylo //  Cassava+Stylo // Rice+Stylo</t>
  </si>
  <si>
    <t>Unspecified..CIAT</t>
  </si>
  <si>
    <t>Cassava Tuber</t>
  </si>
  <si>
    <t>Labor day equivalent 2017–2020 (person day year-1)</t>
  </si>
  <si>
    <t>Labor day equivalent was calculated as the net margin divided by 2 500 CFA day-1.</t>
  </si>
  <si>
    <t>Labour Person Hours</t>
  </si>
  <si>
    <t>person-d/y</t>
  </si>
  <si>
    <t>Return on labor day 2017–2020 (CFA person day-1)</t>
  </si>
  <si>
    <t>Return on labor day was calculated as the net margin divided by the estimated manpower.</t>
  </si>
  <si>
    <t>CFA/person-d</t>
  </si>
  <si>
    <t>Impact of fertilization level on mean rice yield (kg ha-1) over the 2017–2020</t>
  </si>
  <si>
    <t>1.2 Rice+Stylo // Maize+Stylo</t>
  </si>
  <si>
    <t>3.0 Rice+Stylo // Stylo //  Rice+Stylo</t>
  </si>
  <si>
    <t>T1..T2..T3..T4..T5..T6..T7..T8..T9</t>
  </si>
  <si>
    <t>5.1 Rice // Maize conventional +  Burning</t>
  </si>
  <si>
    <t>7.2 Maize sc+Cowpea sc/Maize  sc+Pigeon pea // Rice</t>
  </si>
  <si>
    <t>David</t>
  </si>
  <si>
    <t>9.1 Maize+Soybean/Sorghum +  Pigeon pea // Rice</t>
  </si>
  <si>
    <t>Sorghum</t>
  </si>
  <si>
    <t>souna 3</t>
  </si>
  <si>
    <t>Mulch (N fixing and Non N fixing)</t>
  </si>
  <si>
    <t>NPK..Urea</t>
  </si>
  <si>
    <t>200..87</t>
  </si>
  <si>
    <t>T10..T11.T12..T13..T14..T15..T16..T17..18</t>
  </si>
  <si>
    <t>T15</t>
  </si>
  <si>
    <t>T16</t>
  </si>
  <si>
    <t>T17</t>
  </si>
  <si>
    <t>T18</t>
  </si>
  <si>
    <t>ler_value_product_component01</t>
  </si>
  <si>
    <t>ler_var_value_product_component01</t>
  </si>
  <si>
    <t>ler_value_product_component02</t>
  </si>
  <si>
    <t>ler_var_value_product_component02</t>
  </si>
  <si>
    <t>complete only when the study provides ler. Complete only for the intercropping system</t>
  </si>
  <si>
    <t>ler_value_total</t>
  </si>
  <si>
    <t>ler_var_total</t>
  </si>
  <si>
    <t>Cereal and Legume Forages</t>
  </si>
  <si>
    <t>Tab 2 bulb yield (mt/ha)(2002); Tab 3 Fresh fruit yield (mt/ha)(2002). Tab 4 (LER) (2002)</t>
  </si>
  <si>
    <t>MD_Paut,_24_A glo_Sc</t>
  </si>
  <si>
    <t>Land Equivalent Ratio</t>
  </si>
  <si>
    <t>yield from telfairia, plantain fruits and plantain suckers</t>
  </si>
  <si>
    <t>yield from plantain fruits and plantain suckers</t>
  </si>
  <si>
    <t>yield from telfairia</t>
  </si>
  <si>
    <t>Damaged caused by pest</t>
  </si>
  <si>
    <t>Table 6</t>
  </si>
  <si>
    <t>Mean % stemborer damaged plants</t>
  </si>
  <si>
    <t>% plants damaged (striga)</t>
  </si>
  <si>
    <t>aman rice yield</t>
  </si>
  <si>
    <t>Grain yields of  Aman rice</t>
  </si>
  <si>
    <t>JA_Ronne_21_Inter_Ex</t>
  </si>
  <si>
    <t>Uganda</t>
  </si>
  <si>
    <t>Kapchorwa</t>
  </si>
  <si>
    <t>Each experimental field within a farm covered an area of 12 × 12 m, consisting of four subplots of 6 × 6 m in a split-plot design with two levels of pruning and two climbing bean varieties, and two separate plots of 6 × 6 m with the sole-cropped bean varieties (Supplementary Material Appendix I).</t>
  </si>
  <si>
    <t>In Kapchorwa, 13 trials were established in 2016A and 10 in 2016B. Each farm hosted one unreplicated trial; hence, each farm represents one replicate.</t>
  </si>
  <si>
    <t>season A</t>
  </si>
  <si>
    <t>Common bean and banana intercropping. No pruning variety improved: In both seasons, NABE 12C (released in 2005) was planted as the improved climbing bean variety. Pruning on the intercropped plots implied that all banana leaves were removed except the eight youngest leaves from the top. We tested this single pruning level which matches the moderate pruning levels practiced by farmers who intercrop their bananas.</t>
  </si>
  <si>
    <t>Common_Bean</t>
  </si>
  <si>
    <t>NABE 12C</t>
  </si>
  <si>
    <t>Banana</t>
  </si>
  <si>
    <t>No pruning variety improved: In both seasons, NABE 12C (released in 2005) was planted as the improved climbing bean variety.</t>
  </si>
  <si>
    <t>Improved Seeds</t>
  </si>
  <si>
    <t>Common bean and banana intercropping. No pruning variety improved: In both seasons, NABE 12C (released in 2005) was planted as the improved climbing bean variety.</t>
  </si>
  <si>
    <t>Strip</t>
  </si>
  <si>
    <t>No pruning</t>
  </si>
  <si>
    <t>season</t>
  </si>
  <si>
    <t>The yields of the two strips and of the remainder of the subplot together established the total climbing bean yield per subplot, for the assessment of bean yields per treatment and the assessment of differences between sole and intercropped beans including the reduction in plant population as a result of the banana intercrop.</t>
  </si>
  <si>
    <t>climbing bean grain yield</t>
  </si>
  <si>
    <t>Grain yield</t>
  </si>
  <si>
    <t>climbing bean grain yield per pruning treatment and variety</t>
  </si>
  <si>
    <t>Common bean and banana intercropping. Pruning variety improved: In both seasons, NABE 12C (released in 2005) was planted as the improved climbing bean variety. Pruning on the intercropped plots implied that all banana leaves were removed except the eight youngest leaves from the top. We tested this single pruning level which matches the moderate pruning levels practiced by farmers who intercrop their bananas.</t>
  </si>
  <si>
    <t>Pruning variety improved: In both seasons, NABE 12C (released in 2005) was planted as the improved climbing bean variety.</t>
  </si>
  <si>
    <t>Common bean and banana intercropping. Pruning variety improved: In both seasons, NABE 12C (released in 2005) was planted as the improved climbing bean variety.</t>
  </si>
  <si>
    <t>Moderate pruning</t>
  </si>
  <si>
    <t>Common bean and banana intercropping. No pruning variety local: The local climbing bean varieties included in the experiment were NABE 10C in 2016A. Pruning on the intercropped plots implied that all banana leaves were removed except the eight youngest leaves from the top. We tested this single pruning level which matches the moderate pruning levels practiced by farmers who intercrop their bananas.</t>
  </si>
  <si>
    <t>NABE 10C</t>
  </si>
  <si>
    <t>No pruning variety local: The local climbing bean varieties included in the experiment were NABE 10C in 2016A</t>
  </si>
  <si>
    <t>Unimproved Variety</t>
  </si>
  <si>
    <t>Common bean and banana intercropping. No pruning variety local: The local climbing bean varieties included in the experiment were NABE 10C in 2016A</t>
  </si>
  <si>
    <t>Common bean and banana intercropping. No pruning variety local: The local climbing bean varieties included in the experiment were NABE 10C in 2016A.</t>
  </si>
  <si>
    <t>Common bean and banana intercropping. Pruning variety local: The local climbing bean varieties included in the experiment were NABE 10C in 2016A. Pruning on the intercropped plots implied that all banana leaves were removed except the eight youngest leaves from the top. We tested this single pruning level which matches the moderate pruning levels practiced by farmers who intercrop their bananas.</t>
  </si>
  <si>
    <t>Pruning variety local: The local climbing bean varieties included in the experiment were NABE 10C in 2016A</t>
  </si>
  <si>
    <t>Common bean and banana intercropping. Pruning variety local: The local climbing bean varieties included in the experiment were NABE 10C in 2016A</t>
  </si>
  <si>
    <t>Common bean monoculture. Sole cropping variety improved:  In both seasons, NABE 12C (released in 2005) was planted as the improved climbing bean variety.</t>
  </si>
  <si>
    <t>Sole cropping variety improved:  In both seasons, NABE 12C (released in 2005) was planted as the improved climbing bean variety.</t>
  </si>
  <si>
    <t>Common bean monoculture. Sole cropping variety local: The local climbing bean varieties included in the experiment were NABE 10C in 2016A</t>
  </si>
  <si>
    <t>Sole cropping variety local: The local climbing bean varieties included in the experiment were NABE 10C in 2016A</t>
  </si>
  <si>
    <t>Kanungu</t>
  </si>
  <si>
    <t>0.88333333000000003</t>
  </si>
  <si>
    <t>In Kanungu 15 trials were established in 2016A and 14 in 2016B. Each farm hosted one unreplicated trial; hence, each farm represents one replicate.</t>
  </si>
  <si>
    <t>season B</t>
  </si>
  <si>
    <t>Common bean and banana intercropping. No pruning variety local: The local climbing bean varieties included in the experiment were NABE 8C in 2016B. Pruning on the intercropped plots implied that all banana leaves were removed except the eight youngest leaves from the top. We tested this single pruning level which matches the moderate pruning levels practiced by farmers who intercrop their bananas.</t>
  </si>
  <si>
    <t>NABE 8C</t>
  </si>
  <si>
    <t>Common bean and banana intercropping. Pruning variety local: The local climbing bean varieties included in the experiment were NABE 8C in 2016B. Pruning on the intercropped plots implied that all banana leaves were removed except the eight youngest leaves from the top. We tested this single pruning level which matches the moderate pruning levels practiced by farmers who intercrop their bananas.</t>
  </si>
  <si>
    <t>Common bean monoculture. Sole cropping variety local: The local climbing bean varieties included in the experiment were NABE 8C in 2016B</t>
  </si>
  <si>
    <t>JA_Kabur_08_Evalu_J.</t>
  </si>
  <si>
    <t>residues_N_unit</t>
  </si>
  <si>
    <t>residues_P_unit</t>
  </si>
  <si>
    <t>residues_K_unit</t>
  </si>
  <si>
    <t>residues_CO_unit</t>
  </si>
  <si>
    <t>residues_CO</t>
  </si>
  <si>
    <t>residues_unit_K</t>
  </si>
  <si>
    <t>irrig_method</t>
  </si>
  <si>
    <t>water_harvesting_practice</t>
  </si>
  <si>
    <t>Experimental design information, such as plot size, layout and notes on historical management, replications, etc.</t>
  </si>
  <si>
    <t>Size of Harvested Plot (m2). The area of an treatment plot harvested/measure to estimate crop yields (or other outcomes if crop yield was not the primary focus of the experiment). Size (in square meters) of the smallest experimental plot unit corresponding to the extracted outcome value. If plot dimensions are reported (e.g., 6 m × 4 m), calculate and record the area in m² (e.g., 24).</t>
  </si>
  <si>
    <t>ler_values</t>
  </si>
  <si>
    <t>ler_var_value_product_component01:05</t>
  </si>
  <si>
    <t>ler_value_product_component01:05</t>
  </si>
  <si>
    <t>out_var_value_product_component01:05</t>
  </si>
  <si>
    <t>yield_values_for_lear_calculation</t>
  </si>
  <si>
    <t>out_value_product_component01:05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</si>
</sst>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6">
    <font>
      <sz val="11"/>
      <color theme="1"/>
      <name val="Aptos Narrow"/>
      <family val="2"/>
      <scheme val="minor"/>
    </font>
    <font>
      <b/>
      <sz val="11"/>
      <color theme="0"/>
      <name val="Aptos Narrow"/>
      <family val="2"/>
      <scheme val="minor"/>
    </font>
    <font>
      <sz val="11"/>
      <color theme="1"/>
      <name val="Aptos Narrow"/>
      <family val="2"/>
      <scheme val="minor"/>
    </font>
    <font>
      <sz val="11"/>
      <color rgb="FFFF0000"/>
      <name val="Aptos Narrow"/>
      <family val="2"/>
      <scheme val="minor"/>
    </font>
    <font>
      <sz val="11"/>
      <name val="Aptos Narrow"/>
      <family val="2"/>
      <scheme val="minor"/>
    </font>
    <font>
      <sz val="11"/>
      <color rgb="FF000000"/>
      <name val="Calibri"/>
      <family val="2"/>
    </font>
    <font>
      <sz val="11"/>
      <color theme="1"/>
      <name val="Courier New"/>
      <family val="1"/>
    </font>
    <font>
      <sz val="10"/>
      <color theme="1"/>
      <name val="Arial"/>
      <family val="2"/>
    </font>
    <font>
      <sz val="8"/>
      <color theme="1"/>
      <name val="Aptos Narrow"/>
      <family val="2"/>
      <scheme val="minor"/>
    </font>
    <font>
      <sz val="11"/>
      <color theme="1"/>
      <name val="Calibri"/>
      <family val="2"/>
    </font>
    <font>
      <sz val="10"/>
      <name val="Arial"/>
      <family val="2"/>
    </font>
    <font>
      <sz val="10"/>
      <color rgb="FF000000"/>
      <name val="Helvetica Neue"/>
      <family val="2"/>
    </font>
    <font>
      <sz val="10"/>
      <color rgb="FFFF0000"/>
      <name val="Arial"/>
      <family val="2"/>
    </font>
    <font>
      <sz val="11"/>
      <name val="Calibri"/>
      <family val="2"/>
    </font>
    <font>
      <b/>
      <sz val="10"/>
      <color theme="0"/>
      <name val="Arial"/>
      <family val="2"/>
    </font>
    <font>
      <b/>
      <sz val="9"/>
      <color indexed="81"/>
      <name val="Tahoma"/>
      <family val="2"/>
    </font>
    <font>
      <sz val="8"/>
      <name val="Aptos Narrow"/>
      <family val="2"/>
      <scheme val="minor"/>
    </font>
    <font>
      <sz val="11"/>
      <color theme="0"/>
      <name val="Aptos Narrow"/>
      <family val="2"/>
      <scheme val="minor"/>
    </font>
    <font>
      <b/>
      <sz val="11"/>
      <color theme="1"/>
      <name val="Aptos Narrow"/>
      <family val="2"/>
      <scheme val="minor"/>
    </font>
    <font>
      <u/>
      <sz val="11"/>
      <color theme="10"/>
      <name val="Aptos Narrow"/>
      <family val="2"/>
      <scheme val="minor"/>
    </font>
    <font>
      <sz val="11"/>
      <color rgb="FFED0000"/>
      <name val="Aptos Narrow"/>
      <family val="2"/>
      <scheme val="minor"/>
    </font>
    <font>
      <sz val="11"/>
      <color rgb="FF242424"/>
      <name val="Aptos Narrow"/>
      <family val="2"/>
    </font>
    <font>
      <sz val="11"/>
      <color rgb="FFE40000"/>
      <name val="Aptos Narrow"/>
      <family val="2"/>
      <scheme val="minor"/>
    </font>
    <font>
      <sz val="9"/>
      <color indexed="81"/>
      <name val="Tahoma"/>
      <family val="2"/>
    </font>
    <font>
      <sz val="11"/>
      <name val="Courier New"/>
      <family val="1"/>
    </font>
    <font>
      <sz val="11"/>
      <name val="Aptos Narrow"/>
      <family val="2"/>
    </font>
    <font>
      <b/>
      <sz val="11"/>
      <color rgb="FFFFFFFF"/>
      <name val="Aptos Narrow"/>
      <family val="2"/>
    </font>
    <font>
      <sz val="10"/>
      <color rgb="FF000000"/>
      <name val="Arial"/>
      <family val="2"/>
      <charset val="1"/>
    </font>
    <font>
      <sz val="8"/>
      <color rgb="FF000000"/>
      <name val="Calibri"/>
      <family val="2"/>
    </font>
    <font>
      <sz val="11"/>
      <color theme="1"/>
      <name val="Arial"/>
      <family val="2"/>
    </font>
    <font>
      <sz val="11"/>
      <color theme="1"/>
      <name val="Aptos Narrow"/>
      <family val="2"/>
    </font>
    <font>
      <sz val="11"/>
      <color rgb="FF000000"/>
      <name val="Courier New"/>
      <family val="1"/>
    </font>
    <font>
      <sz val="11"/>
      <color rgb="FF3B4045"/>
      <name val="Segoe UI"/>
      <family val="2"/>
    </font>
    <font>
      <b/>
      <sz val="10"/>
      <name val="Arial"/>
      <family val="2"/>
    </font>
    <font>
      <b/>
      <sz val="11"/>
      <name val="Calibri"/>
      <family val="2"/>
    </font>
    <font>
      <b/>
      <sz val="11"/>
      <name val="Aptos Narrow"/>
      <family val="2"/>
      <scheme val="minor"/>
    </font>
  </fonts>
  <fills count="28">
    <fill>
      <patternFill patternType="none"/>
    </fill>
    <fill>
      <patternFill patternType="gray125"/>
    </fill>
    <fill>
      <patternFill patternType="solid">
        <fgColor theme="5"/>
        <bgColor indexed="64"/>
      </patternFill>
    </fill>
    <fill>
      <patternFill patternType="solid">
        <fgColor theme="4" tint="0.79998168889431442"/>
        <bgColor theme="4" tint="0.79998168889431442"/>
      </patternFill>
    </fill>
    <fill>
      <patternFill patternType="solid">
        <fgColor theme="2"/>
        <bgColor indexed="64"/>
      </patternFill>
    </fill>
    <fill>
      <patternFill patternType="solid">
        <fgColor rgb="FF29B95C"/>
        <bgColor indexed="64"/>
      </patternFill>
    </fill>
    <fill>
      <patternFill patternType="solid">
        <fgColor rgb="FFFF0000"/>
        <bgColor indexed="64"/>
      </patternFill>
    </fill>
    <fill>
      <patternFill patternType="solid">
        <fgColor rgb="FF007BB8"/>
        <bgColor indexed="64"/>
      </patternFill>
    </fill>
    <fill>
      <patternFill patternType="solid">
        <fgColor theme="9"/>
        <bgColor indexed="64"/>
      </patternFill>
    </fill>
    <fill>
      <patternFill patternType="solid">
        <fgColor rgb="FFFFFD78"/>
        <bgColor indexed="64"/>
      </patternFill>
    </fill>
    <fill>
      <patternFill patternType="solid">
        <fgColor rgb="FFDC3939"/>
        <bgColor indexed="64"/>
      </patternFill>
    </fill>
    <fill>
      <patternFill patternType="solid">
        <fgColor rgb="FFD5FC79"/>
        <bgColor indexed="64"/>
      </patternFill>
    </fill>
    <fill>
      <patternFill patternType="solid">
        <fgColor theme="8"/>
        <bgColor indexed="64"/>
      </patternFill>
    </fill>
    <fill>
      <patternFill patternType="solid">
        <fgColor rgb="FFFF85FF"/>
        <bgColor indexed="64"/>
      </patternFill>
    </fill>
    <fill>
      <patternFill patternType="solid">
        <fgColor rgb="FFFFE599"/>
        <bgColor indexed="64"/>
      </patternFill>
    </fill>
    <fill>
      <patternFill patternType="solid">
        <fgColor rgb="FFD883FF"/>
        <bgColor indexed="64"/>
      </patternFill>
    </fill>
    <fill>
      <patternFill patternType="solid">
        <fgColor rgb="FF7A81FF"/>
        <bgColor indexed="64"/>
      </patternFill>
    </fill>
    <fill>
      <patternFill patternType="solid">
        <fgColor rgb="FF76D6FF"/>
        <bgColor indexed="64"/>
      </patternFill>
    </fill>
    <fill>
      <patternFill patternType="solid">
        <fgColor theme="3" tint="0.749992370372631"/>
        <bgColor indexed="64"/>
      </patternFill>
    </fill>
    <fill>
      <patternFill patternType="solid">
        <fgColor rgb="FFFF8AD8"/>
        <bgColor indexed="64"/>
      </patternFill>
    </fill>
    <fill>
      <patternFill patternType="solid">
        <fgColor theme="4" tint="0.39997558519241921"/>
        <bgColor indexed="64"/>
      </patternFill>
    </fill>
    <fill>
      <patternFill patternType="solid">
        <fgColor theme="4"/>
        <bgColor theme="4"/>
      </patternFill>
    </fill>
    <fill>
      <patternFill patternType="solid">
        <fgColor theme="4"/>
        <bgColor indexed="64"/>
      </patternFill>
    </fill>
    <fill>
      <patternFill patternType="solid">
        <fgColor rgb="FFFFFF00"/>
        <bgColor indexed="64"/>
      </patternFill>
    </fill>
    <fill>
      <patternFill patternType="solid">
        <fgColor rgb="FFFF0000"/>
        <bgColor theme="4" tint="0.79998168889431442"/>
      </patternFill>
    </fill>
    <fill>
      <patternFill patternType="solid">
        <fgColor rgb="FFFF8F8F"/>
        <bgColor indexed="64"/>
      </patternFill>
    </fill>
    <fill>
      <patternFill patternType="solid">
        <fgColor rgb="FFFF7474"/>
        <bgColor indexed="64"/>
      </patternFill>
    </fill>
    <fill>
      <patternFill patternType="solid">
        <fgColor rgb="FF227ACB"/>
        <bgColor indexed="64"/>
      </patternFill>
    </fill>
  </fills>
  <borders count="14">
    <border>
      <left/>
      <right/>
      <top/>
      <bottom/>
      <diagonal/>
    </border>
    <border>
      <left/>
      <right/>
      <top style="thin">
        <color theme="4" tint="0.39997558519241921"/>
      </top>
      <bottom style="thin">
        <color theme="4" tint="0.39997558519241921"/>
      </bottom>
      <diagonal/>
    </border>
    <border>
      <left/>
      <right/>
      <top style="thin">
        <color theme="4" tint="0.39997558519241921"/>
      </top>
      <bottom/>
      <diagonal/>
    </border>
    <border>
      <left style="medium">
        <color rgb="FFCCCCCC"/>
      </left>
      <right style="medium">
        <color rgb="FFCCCCCC"/>
      </right>
      <top style="medium">
        <color rgb="FFCCCCCC"/>
      </top>
      <bottom/>
      <diagonal/>
    </border>
    <border>
      <left style="medium">
        <color rgb="FFCCCCCC"/>
      </left>
      <right style="medium">
        <color rgb="FFCCCCCC"/>
      </right>
      <top style="medium">
        <color rgb="FFCCCCCC"/>
      </top>
      <bottom style="medium">
        <color rgb="FFCCCCCC"/>
      </bottom>
      <diagonal/>
    </border>
    <border>
      <left style="thin">
        <color theme="4" tint="0.39997558519241921"/>
      </left>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right style="thin">
        <color theme="4" tint="0.39997558519241921"/>
      </right>
      <top style="thin">
        <color theme="4" tint="0.39997558519241921"/>
      </top>
      <bottom style="thin">
        <color theme="4" tint="0.39997558519241921"/>
      </bottom>
      <diagonal/>
    </border>
    <border>
      <left/>
      <right/>
      <top/>
      <bottom style="thin">
        <color rgb="FF8ED973"/>
      </bottom>
      <diagonal/>
    </border>
    <border>
      <left/>
      <right/>
      <top style="thin">
        <color theme="4" tint="0.39997558519241921"/>
      </top>
      <bottom style="thin">
        <color rgb="FF8ED973"/>
      </bottom>
      <diagonal/>
    </border>
    <border>
      <left/>
      <right/>
      <top style="medium">
        <color rgb="FFCCCCCC"/>
      </top>
      <bottom/>
      <diagonal/>
    </border>
    <border>
      <left style="medium">
        <color rgb="FFCCCCCC"/>
      </left>
      <right/>
      <top style="medium">
        <color rgb="FFCCCCCC"/>
      </top>
      <bottom/>
      <diagonal/>
    </border>
    <border>
      <left style="medium">
        <color rgb="FFCCCCCC"/>
      </left>
      <right/>
      <top style="thin">
        <color theme="4" tint="0.39997558519241921"/>
      </top>
      <bottom/>
      <diagonal/>
    </border>
    <border>
      <left style="thin">
        <color theme="4" tint="0.39997558519241921"/>
      </left>
      <right/>
      <top style="thin">
        <color theme="4" tint="0.39997558519241921"/>
      </top>
      <bottom/>
      <diagonal/>
    </border>
  </borders>
  <cellStyleXfs count="3">
    <xf numFmtId="0" fontId="0" fillId="0" borderId="0"/>
    <xf numFmtId="0" fontId="19" fillId="0" borderId="0" applyNumberFormat="0" applyFill="0" applyBorder="0" applyAlignment="0" applyProtection="0"/>
    <xf numFmtId="0" fontId="29" fillId="0" borderId="0"/>
  </cellStyleXfs>
  <cellXfs count="229">
    <xf numFmtId="0" fontId="0" fillId="0" borderId="0" xfId="0"/>
    <xf numFmtId="0" fontId="1" fillId="2" borderId="1" xfId="0" applyFont="1" applyFill="1" applyBorder="1"/>
    <xf numFmtId="0" fontId="0" fillId="0" borderId="2" xfId="0" applyBorder="1"/>
    <xf numFmtId="0" fontId="4" fillId="0" borderId="0" xfId="0" applyFont="1"/>
    <xf numFmtId="0" fontId="5" fillId="0" borderId="0" xfId="0" applyFont="1"/>
    <xf numFmtId="0" fontId="0" fillId="0" borderId="0" xfId="0" quotePrefix="1"/>
    <xf numFmtId="0" fontId="6" fillId="0" borderId="0" xfId="0" applyFont="1"/>
    <xf numFmtId="0" fontId="7" fillId="0" borderId="3" xfId="0" applyFont="1" applyBorder="1"/>
    <xf numFmtId="0" fontId="8" fillId="0" borderId="0" xfId="0" applyFont="1"/>
    <xf numFmtId="3" fontId="0" fillId="0" borderId="0" xfId="0" applyNumberFormat="1"/>
    <xf numFmtId="0" fontId="2" fillId="0" borderId="0" xfId="0" applyFont="1"/>
    <xf numFmtId="0" fontId="0" fillId="0" borderId="0" xfId="0" applyAlignment="1">
      <alignment horizontal="left"/>
    </xf>
    <xf numFmtId="0" fontId="9" fillId="0" borderId="4" xfId="0" applyFont="1" applyBorder="1"/>
    <xf numFmtId="0" fontId="7" fillId="0" borderId="4" xfId="0" applyFont="1" applyBorder="1"/>
    <xf numFmtId="0" fontId="9" fillId="0" borderId="3" xfId="0" applyFont="1" applyBorder="1"/>
    <xf numFmtId="0" fontId="3" fillId="0" borderId="0" xfId="0" applyFont="1"/>
    <xf numFmtId="0" fontId="10" fillId="4" borderId="0" xfId="0" applyFont="1" applyFill="1" applyAlignment="1">
      <alignment vertical="center"/>
    </xf>
    <xf numFmtId="0" fontId="11" fillId="5" borderId="0" xfId="0" applyFont="1" applyFill="1"/>
    <xf numFmtId="0" fontId="10" fillId="4" borderId="4" xfId="0" applyFont="1" applyFill="1" applyBorder="1" applyAlignment="1">
      <alignment vertical="center"/>
    </xf>
    <xf numFmtId="0" fontId="0" fillId="6" borderId="0" xfId="0" applyFill="1"/>
    <xf numFmtId="0" fontId="12" fillId="4" borderId="4" xfId="0" applyFont="1" applyFill="1" applyBorder="1" applyAlignment="1">
      <alignment vertical="center"/>
    </xf>
    <xf numFmtId="0" fontId="0" fillId="7" borderId="0" xfId="0" applyFill="1"/>
    <xf numFmtId="0" fontId="10" fillId="8" borderId="0" xfId="0" applyFont="1" applyFill="1" applyAlignment="1">
      <alignment vertical="center"/>
    </xf>
    <xf numFmtId="0" fontId="9" fillId="9" borderId="0" xfId="0" applyFont="1" applyFill="1"/>
    <xf numFmtId="0" fontId="10" fillId="8" borderId="4" xfId="0" applyFont="1" applyFill="1" applyBorder="1" applyAlignment="1">
      <alignment vertical="center"/>
    </xf>
    <xf numFmtId="0" fontId="10" fillId="6" borderId="4" xfId="0" applyFont="1" applyFill="1" applyBorder="1" applyAlignment="1">
      <alignment vertical="center"/>
    </xf>
    <xf numFmtId="0" fontId="10" fillId="6" borderId="0" xfId="0" applyFont="1" applyFill="1" applyAlignment="1">
      <alignment vertical="center"/>
    </xf>
    <xf numFmtId="0" fontId="10" fillId="10" borderId="4" xfId="0" applyFont="1" applyFill="1" applyBorder="1" applyAlignment="1">
      <alignment vertical="center"/>
    </xf>
    <xf numFmtId="0" fontId="9" fillId="11" borderId="0" xfId="0" applyFont="1" applyFill="1"/>
    <xf numFmtId="0" fontId="1" fillId="8" borderId="0" xfId="0" applyFont="1" applyFill="1"/>
    <xf numFmtId="0" fontId="1" fillId="8" borderId="1" xfId="0" applyFont="1" applyFill="1" applyBorder="1"/>
    <xf numFmtId="0" fontId="1" fillId="12" borderId="1" xfId="0" applyFont="1" applyFill="1" applyBorder="1"/>
    <xf numFmtId="0" fontId="1" fillId="7" borderId="1" xfId="0" applyFont="1" applyFill="1" applyBorder="1"/>
    <xf numFmtId="0" fontId="9" fillId="13" borderId="0" xfId="0" applyFont="1" applyFill="1"/>
    <xf numFmtId="0" fontId="10" fillId="14" borderId="0" xfId="0" applyFont="1" applyFill="1" applyAlignment="1">
      <alignment vertical="center"/>
    </xf>
    <xf numFmtId="0" fontId="9" fillId="15" borderId="0" xfId="0" applyFont="1" applyFill="1"/>
    <xf numFmtId="0" fontId="0" fillId="16" borderId="0" xfId="0" applyFill="1"/>
    <xf numFmtId="0" fontId="9" fillId="17" borderId="0" xfId="0" applyFont="1" applyFill="1"/>
    <xf numFmtId="0" fontId="10" fillId="18" borderId="4" xfId="0" applyFont="1" applyFill="1" applyBorder="1" applyAlignment="1">
      <alignment vertical="center"/>
    </xf>
    <xf numFmtId="0" fontId="13" fillId="19" borderId="0" xfId="0" applyFont="1" applyFill="1"/>
    <xf numFmtId="0" fontId="14" fillId="14" borderId="0" xfId="0" applyFont="1" applyFill="1" applyAlignment="1">
      <alignment vertical="center"/>
    </xf>
    <xf numFmtId="0" fontId="10" fillId="20" borderId="0" xfId="0" applyFont="1" applyFill="1" applyAlignment="1">
      <alignment vertical="center"/>
    </xf>
    <xf numFmtId="0" fontId="10" fillId="4" borderId="4" xfId="0" applyFont="1" applyFill="1" applyBorder="1" applyAlignment="1">
      <alignment vertical="center" wrapText="1"/>
    </xf>
    <xf numFmtId="0" fontId="10" fillId="6" borderId="4" xfId="0" applyFont="1" applyFill="1" applyBorder="1" applyAlignment="1">
      <alignment vertical="center" wrapText="1"/>
    </xf>
    <xf numFmtId="0" fontId="10" fillId="4" borderId="0" xfId="0" applyFont="1" applyFill="1" applyAlignment="1">
      <alignment vertical="center" wrapText="1"/>
    </xf>
    <xf numFmtId="0" fontId="9" fillId="0" borderId="0" xfId="0" applyFont="1"/>
    <xf numFmtId="0" fontId="7" fillId="0" borderId="0" xfId="0" applyFont="1"/>
    <xf numFmtId="0" fontId="4" fillId="12" borderId="0" xfId="0" applyFont="1" applyFill="1"/>
    <xf numFmtId="0" fontId="0" fillId="0" borderId="0" xfId="0" applyAlignment="1">
      <alignment vertical="center" wrapText="1"/>
    </xf>
    <xf numFmtId="0" fontId="1" fillId="12" borderId="1" xfId="0" applyFont="1" applyFill="1" applyBorder="1" applyAlignment="1">
      <alignment vertical="center" wrapText="1"/>
    </xf>
    <xf numFmtId="0" fontId="13" fillId="19" borderId="0" xfId="0" applyFont="1" applyFill="1" applyAlignment="1">
      <alignment vertical="center" wrapText="1"/>
    </xf>
    <xf numFmtId="0" fontId="0" fillId="6" borderId="0" xfId="0" applyFill="1" applyAlignment="1">
      <alignment vertical="center" wrapText="1"/>
    </xf>
    <xf numFmtId="1" fontId="4" fillId="0" borderId="0" xfId="0" applyNumberFormat="1" applyFont="1"/>
    <xf numFmtId="0" fontId="0" fillId="8" borderId="0" xfId="0" applyFill="1" applyAlignment="1">
      <alignment horizontal="left"/>
    </xf>
    <xf numFmtId="0" fontId="7" fillId="8" borderId="4" xfId="0" applyFont="1" applyFill="1" applyBorder="1"/>
    <xf numFmtId="0" fontId="17" fillId="21" borderId="5" xfId="0" applyFont="1" applyFill="1" applyBorder="1"/>
    <xf numFmtId="0" fontId="17" fillId="12" borderId="1" xfId="0" applyFont="1" applyFill="1" applyBorder="1"/>
    <xf numFmtId="0" fontId="1" fillId="12" borderId="0" xfId="0" applyFont="1" applyFill="1"/>
    <xf numFmtId="14" fontId="0" fillId="0" borderId="0" xfId="0" applyNumberFormat="1"/>
    <xf numFmtId="0" fontId="18" fillId="0" borderId="0" xfId="0" applyFont="1"/>
    <xf numFmtId="0" fontId="18" fillId="0" borderId="0" xfId="0" applyFont="1" applyAlignment="1">
      <alignment wrapText="1"/>
    </xf>
    <xf numFmtId="0" fontId="1" fillId="21" borderId="5" xfId="0" applyFont="1" applyFill="1" applyBorder="1"/>
    <xf numFmtId="0" fontId="0" fillId="16" borderId="0" xfId="0" applyFill="1" applyAlignment="1">
      <alignment wrapText="1"/>
    </xf>
    <xf numFmtId="0" fontId="9" fillId="6" borderId="0" xfId="0" applyFont="1" applyFill="1"/>
    <xf numFmtId="0" fontId="22" fillId="0" borderId="0" xfId="0" applyFont="1"/>
    <xf numFmtId="0" fontId="1" fillId="22" borderId="1" xfId="0" applyFont="1" applyFill="1" applyBorder="1"/>
    <xf numFmtId="0" fontId="1" fillId="2" borderId="0" xfId="0" applyFont="1" applyFill="1"/>
    <xf numFmtId="0" fontId="13" fillId="0" borderId="0" xfId="0" applyFont="1"/>
    <xf numFmtId="3" fontId="4" fillId="0" borderId="0" xfId="0" applyNumberFormat="1" applyFont="1"/>
    <xf numFmtId="0" fontId="10" fillId="0" borderId="4" xfId="0" applyFont="1" applyBorder="1"/>
    <xf numFmtId="0" fontId="10" fillId="0" borderId="0" xfId="0" applyFont="1"/>
    <xf numFmtId="0" fontId="16" fillId="0" borderId="0" xfId="0" applyFont="1"/>
    <xf numFmtId="0" fontId="10" fillId="0" borderId="3" xfId="0" applyFont="1" applyBorder="1"/>
    <xf numFmtId="0" fontId="24" fillId="0" borderId="0" xfId="0" applyFont="1"/>
    <xf numFmtId="0" fontId="4" fillId="0" borderId="0" xfId="0" quotePrefix="1" applyFont="1"/>
    <xf numFmtId="0" fontId="25" fillId="0" borderId="0" xfId="0" applyFont="1"/>
    <xf numFmtId="0" fontId="4" fillId="0" borderId="1" xfId="0" applyFont="1" applyBorder="1"/>
    <xf numFmtId="0" fontId="13" fillId="0" borderId="4" xfId="0" applyFont="1" applyBorder="1"/>
    <xf numFmtId="0" fontId="4" fillId="3" borderId="1" xfId="0" applyFont="1" applyFill="1" applyBorder="1"/>
    <xf numFmtId="0" fontId="17" fillId="0" borderId="0" xfId="0" applyFont="1" applyAlignment="1">
      <alignment vertical="center" wrapText="1"/>
    </xf>
    <xf numFmtId="0" fontId="26" fillId="0" borderId="8" xfId="0" applyFont="1" applyBorder="1" applyAlignment="1">
      <alignment vertical="center" wrapText="1"/>
    </xf>
    <xf numFmtId="0" fontId="26" fillId="0" borderId="0" xfId="0" applyFont="1" applyAlignment="1">
      <alignment vertical="center" wrapText="1"/>
    </xf>
    <xf numFmtId="0" fontId="26" fillId="21" borderId="9" xfId="0" applyFont="1" applyFill="1" applyBorder="1" applyAlignment="1">
      <alignment vertical="center" wrapText="1"/>
    </xf>
    <xf numFmtId="14" fontId="4" fillId="0" borderId="0" xfId="0" applyNumberFormat="1" applyFont="1"/>
    <xf numFmtId="0" fontId="9" fillId="8" borderId="4" xfId="0" applyFont="1" applyFill="1" applyBorder="1"/>
    <xf numFmtId="0" fontId="17" fillId="12" borderId="0" xfId="0" applyFont="1" applyFill="1"/>
    <xf numFmtId="0" fontId="1" fillId="0" borderId="5" xfId="0" applyFont="1" applyBorder="1"/>
    <xf numFmtId="0" fontId="0" fillId="3" borderId="1" xfId="0" applyFill="1" applyBorder="1"/>
    <xf numFmtId="0" fontId="0" fillId="0" borderId="1" xfId="0" applyBorder="1"/>
    <xf numFmtId="0" fontId="0" fillId="3" borderId="2" xfId="0" applyFill="1" applyBorder="1"/>
    <xf numFmtId="0" fontId="28" fillId="0" borderId="0" xfId="0" applyFont="1"/>
    <xf numFmtId="0" fontId="5" fillId="6" borderId="0" xfId="0" applyFont="1" applyFill="1"/>
    <xf numFmtId="0" fontId="8" fillId="6" borderId="0" xfId="0" applyFont="1" applyFill="1"/>
    <xf numFmtId="0" fontId="27" fillId="0" borderId="0" xfId="0" applyFont="1"/>
    <xf numFmtId="0" fontId="28" fillId="0" borderId="1" xfId="0" applyFont="1" applyBorder="1"/>
    <xf numFmtId="0" fontId="5" fillId="0" borderId="1" xfId="0" applyFont="1" applyBorder="1"/>
    <xf numFmtId="0" fontId="28" fillId="0" borderId="2" xfId="0" applyFont="1" applyBorder="1"/>
    <xf numFmtId="0" fontId="4" fillId="3" borderId="2" xfId="0" applyFont="1" applyFill="1" applyBorder="1"/>
    <xf numFmtId="0" fontId="9" fillId="8" borderId="3" xfId="0" applyFont="1" applyFill="1" applyBorder="1"/>
    <xf numFmtId="0" fontId="5" fillId="0" borderId="2" xfId="0" applyFont="1" applyBorder="1"/>
    <xf numFmtId="0" fontId="28" fillId="3" borderId="1" xfId="0" applyFont="1" applyFill="1" applyBorder="1"/>
    <xf numFmtId="14" fontId="0" fillId="0" borderId="1" xfId="0" applyNumberFormat="1" applyBorder="1"/>
    <xf numFmtId="0" fontId="6" fillId="0" borderId="1" xfId="0" applyFont="1" applyBorder="1"/>
    <xf numFmtId="0" fontId="5" fillId="3" borderId="1" xfId="0" applyFont="1" applyFill="1" applyBorder="1"/>
    <xf numFmtId="2" fontId="0" fillId="0" borderId="0" xfId="0" applyNumberFormat="1"/>
    <xf numFmtId="0" fontId="18" fillId="0" borderId="0" xfId="0" applyFont="1" applyAlignment="1">
      <alignment horizontal="left" wrapText="1"/>
    </xf>
    <xf numFmtId="0" fontId="10" fillId="0" borderId="4" xfId="0" applyFont="1" applyBorder="1" applyAlignment="1">
      <alignment vertical="center"/>
    </xf>
    <xf numFmtId="0" fontId="10" fillId="0" borderId="0" xfId="0" applyFont="1" applyAlignment="1">
      <alignment vertical="center"/>
    </xf>
    <xf numFmtId="0" fontId="4" fillId="0" borderId="6" xfId="0" applyFont="1" applyBorder="1" applyAlignment="1">
      <alignment vertical="center"/>
    </xf>
    <xf numFmtId="0" fontId="4" fillId="0" borderId="0" xfId="0" applyFont="1" applyAlignment="1">
      <alignment vertical="center"/>
    </xf>
    <xf numFmtId="0" fontId="20" fillId="0" borderId="0" xfId="0" applyFont="1"/>
    <xf numFmtId="0" fontId="19" fillId="0" borderId="4" xfId="1" applyFill="1" applyBorder="1" applyAlignment="1">
      <alignment vertical="center"/>
    </xf>
    <xf numFmtId="0" fontId="21" fillId="0" borderId="0" xfId="0" applyFont="1"/>
    <xf numFmtId="0" fontId="9" fillId="0" borderId="0" xfId="0" applyFont="1" applyAlignment="1">
      <alignment wrapText="1"/>
    </xf>
    <xf numFmtId="0" fontId="12" fillId="0" borderId="4" xfId="0" applyFont="1" applyBorder="1" applyAlignment="1">
      <alignment vertical="center"/>
    </xf>
    <xf numFmtId="0" fontId="11" fillId="0" borderId="0" xfId="0" applyFont="1"/>
    <xf numFmtId="0" fontId="1" fillId="0" borderId="0" xfId="0" applyFont="1" applyAlignment="1">
      <alignment vertical="center" wrapText="1"/>
    </xf>
    <xf numFmtId="0" fontId="1" fillId="0" borderId="1" xfId="0" applyFont="1" applyBorder="1"/>
    <xf numFmtId="0" fontId="1" fillId="0" borderId="0" xfId="0" applyFont="1"/>
    <xf numFmtId="0" fontId="10" fillId="14" borderId="0" xfId="0" applyFont="1" applyFill="1" applyAlignment="1">
      <alignment vertical="center" wrapText="1"/>
    </xf>
    <xf numFmtId="0" fontId="13" fillId="13" borderId="0" xfId="0" applyFont="1" applyFill="1" applyAlignment="1">
      <alignment wrapText="1"/>
    </xf>
    <xf numFmtId="0" fontId="9" fillId="15" borderId="1" xfId="0" applyFont="1" applyFill="1" applyBorder="1"/>
    <xf numFmtId="0" fontId="2" fillId="0" borderId="0" xfId="2" applyFont="1"/>
    <xf numFmtId="0" fontId="9" fillId="0" borderId="4" xfId="0" applyFont="1" applyBorder="1" applyAlignment="1">
      <alignment vertical="center"/>
    </xf>
    <xf numFmtId="0" fontId="12" fillId="23" borderId="0" xfId="0" applyFont="1" applyFill="1" applyAlignment="1">
      <alignment vertical="center"/>
    </xf>
    <xf numFmtId="0" fontId="0" fillId="0" borderId="0" xfId="0" applyAlignment="1">
      <alignment horizontal="center" vertical="center" wrapText="1"/>
    </xf>
    <xf numFmtId="0" fontId="1" fillId="12" borderId="1" xfId="0" applyFont="1" applyFill="1" applyBorder="1" applyAlignment="1">
      <alignment horizontal="center" vertical="center" wrapText="1"/>
    </xf>
    <xf numFmtId="0" fontId="13" fillId="19" borderId="0" xfId="0" applyFont="1" applyFill="1" applyAlignment="1">
      <alignment horizontal="center" vertical="center" wrapText="1"/>
    </xf>
    <xf numFmtId="0" fontId="10" fillId="6" borderId="4" xfId="0" applyFont="1" applyFill="1" applyBorder="1" applyAlignment="1">
      <alignment horizontal="center" vertical="center" wrapText="1"/>
    </xf>
    <xf numFmtId="0" fontId="10" fillId="4" borderId="4" xfId="0" applyFont="1" applyFill="1" applyBorder="1" applyAlignment="1">
      <alignment horizontal="center" vertical="center" wrapText="1"/>
    </xf>
    <xf numFmtId="0" fontId="10" fillId="4" borderId="0" xfId="0" applyFont="1" applyFill="1" applyAlignment="1">
      <alignment horizontal="center" vertical="center" wrapText="1"/>
    </xf>
    <xf numFmtId="0" fontId="10" fillId="14" borderId="0" xfId="0" applyFont="1" applyFill="1" applyAlignment="1">
      <alignment horizontal="center" vertical="center" wrapText="1"/>
    </xf>
    <xf numFmtId="0" fontId="26" fillId="0" borderId="8" xfId="0" applyFont="1" applyBorder="1" applyAlignment="1">
      <alignment horizontal="center" vertical="center" wrapText="1"/>
    </xf>
    <xf numFmtId="0" fontId="26" fillId="0" borderId="0" xfId="0" applyFont="1" applyAlignment="1">
      <alignment horizontal="center" vertical="center" wrapText="1"/>
    </xf>
    <xf numFmtId="0" fontId="17" fillId="0" borderId="0" xfId="0" applyFont="1" applyAlignment="1">
      <alignment horizontal="center" vertical="center" wrapText="1"/>
    </xf>
    <xf numFmtId="0" fontId="1" fillId="0" borderId="5" xfId="0" applyFont="1" applyBorder="1" applyAlignment="1">
      <alignment horizontal="center" vertical="center" wrapText="1"/>
    </xf>
    <xf numFmtId="0" fontId="1" fillId="2" borderId="1" xfId="0" applyFont="1" applyFill="1" applyBorder="1" applyAlignment="1">
      <alignment horizontal="center" vertical="center" wrapText="1"/>
    </xf>
    <xf numFmtId="0" fontId="13" fillId="13" borderId="0" xfId="0" applyFont="1" applyFill="1" applyAlignment="1">
      <alignment horizontal="center" vertical="center" wrapText="1"/>
    </xf>
    <xf numFmtId="0" fontId="0" fillId="3" borderId="7" xfId="0" applyFill="1" applyBorder="1"/>
    <xf numFmtId="3" fontId="0" fillId="3" borderId="1" xfId="0" applyNumberFormat="1" applyFill="1" applyBorder="1"/>
    <xf numFmtId="14" fontId="0" fillId="3" borderId="1" xfId="0" applyNumberFormat="1" applyFill="1" applyBorder="1"/>
    <xf numFmtId="0" fontId="30" fillId="0" borderId="0" xfId="0" applyFont="1"/>
    <xf numFmtId="14" fontId="30" fillId="0" borderId="0" xfId="0" applyNumberFormat="1" applyFont="1"/>
    <xf numFmtId="0" fontId="31" fillId="0" borderId="0" xfId="0" applyFont="1"/>
    <xf numFmtId="0" fontId="0" fillId="24" borderId="1" xfId="0" applyFill="1" applyBorder="1"/>
    <xf numFmtId="3" fontId="30" fillId="0" borderId="0" xfId="0" applyNumberFormat="1" applyFont="1"/>
    <xf numFmtId="3" fontId="0" fillId="0" borderId="1" xfId="0" applyNumberFormat="1" applyBorder="1"/>
    <xf numFmtId="0" fontId="5" fillId="3" borderId="2" xfId="0" applyFont="1" applyFill="1" applyBorder="1"/>
    <xf numFmtId="0" fontId="0" fillId="3" borderId="10" xfId="0" applyFill="1" applyBorder="1"/>
    <xf numFmtId="0" fontId="5" fillId="3" borderId="10" xfId="0" applyFont="1" applyFill="1" applyBorder="1"/>
    <xf numFmtId="3" fontId="0" fillId="3" borderId="10" xfId="0" applyNumberFormat="1" applyFill="1" applyBorder="1"/>
    <xf numFmtId="0" fontId="32" fillId="3" borderId="10" xfId="0" applyFont="1" applyFill="1" applyBorder="1"/>
    <xf numFmtId="0" fontId="7" fillId="3" borderId="11" xfId="0" applyFont="1" applyFill="1" applyBorder="1"/>
    <xf numFmtId="0" fontId="7" fillId="3" borderId="10" xfId="0" applyFont="1" applyFill="1" applyBorder="1"/>
    <xf numFmtId="0" fontId="8" fillId="3" borderId="2" xfId="0" applyFont="1" applyFill="1" applyBorder="1"/>
    <xf numFmtId="0" fontId="8" fillId="0" borderId="10" xfId="0" applyFont="1" applyBorder="1"/>
    <xf numFmtId="0" fontId="8" fillId="3" borderId="10" xfId="0" applyFont="1" applyFill="1" applyBorder="1"/>
    <xf numFmtId="0" fontId="0" fillId="3" borderId="11" xfId="0" applyFill="1" applyBorder="1"/>
    <xf numFmtId="0" fontId="7" fillId="8" borderId="11" xfId="0" applyFont="1" applyFill="1" applyBorder="1"/>
    <xf numFmtId="0" fontId="0" fillId="3" borderId="0" xfId="0" applyFill="1"/>
    <xf numFmtId="0" fontId="6" fillId="3" borderId="10" xfId="0" applyFont="1" applyFill="1" applyBorder="1"/>
    <xf numFmtId="0" fontId="4" fillId="3" borderId="10" xfId="0" applyFont="1" applyFill="1" applyBorder="1"/>
    <xf numFmtId="0" fontId="3" fillId="3" borderId="10" xfId="0" applyFont="1" applyFill="1" applyBorder="1"/>
    <xf numFmtId="0" fontId="7" fillId="0" borderId="11" xfId="0" applyFont="1" applyBorder="1"/>
    <xf numFmtId="0" fontId="7" fillId="0" borderId="12" xfId="0" applyFont="1" applyBorder="1"/>
    <xf numFmtId="0" fontId="7" fillId="0" borderId="2" xfId="0" applyFont="1" applyBorder="1"/>
    <xf numFmtId="0" fontId="8" fillId="0" borderId="2" xfId="0" applyFont="1" applyBorder="1"/>
    <xf numFmtId="0" fontId="0" fillId="0" borderId="12" xfId="0" applyBorder="1"/>
    <xf numFmtId="0" fontId="4" fillId="0" borderId="2" xfId="0" applyFont="1" applyBorder="1"/>
    <xf numFmtId="0" fontId="3" fillId="0" borderId="2" xfId="0" applyFont="1" applyBorder="1"/>
    <xf numFmtId="3" fontId="0" fillId="3" borderId="2" xfId="0" applyNumberFormat="1" applyFill="1" applyBorder="1"/>
    <xf numFmtId="0" fontId="9" fillId="3" borderId="12" xfId="0" applyFont="1" applyFill="1" applyBorder="1"/>
    <xf numFmtId="0" fontId="9" fillId="3" borderId="2" xfId="0" applyFont="1" applyFill="1" applyBorder="1"/>
    <xf numFmtId="0" fontId="0" fillId="3" borderId="12" xfId="0" applyFill="1" applyBorder="1"/>
    <xf numFmtId="0" fontId="8" fillId="3" borderId="12" xfId="0" applyFont="1" applyFill="1" applyBorder="1"/>
    <xf numFmtId="0" fontId="3" fillId="3" borderId="2" xfId="0" applyFont="1" applyFill="1" applyBorder="1"/>
    <xf numFmtId="0" fontId="8" fillId="0" borderId="12" xfId="0" applyFont="1" applyBorder="1"/>
    <xf numFmtId="0" fontId="0" fillId="8" borderId="2" xfId="0" applyFill="1" applyBorder="1" applyAlignment="1">
      <alignment horizontal="left"/>
    </xf>
    <xf numFmtId="0" fontId="0" fillId="6" borderId="2" xfId="0" applyFill="1" applyBorder="1"/>
    <xf numFmtId="0" fontId="1" fillId="21" borderId="13" xfId="0" applyFont="1" applyFill="1" applyBorder="1" applyAlignment="1">
      <alignment vertical="center" wrapText="1"/>
    </xf>
    <xf numFmtId="0" fontId="1" fillId="21" borderId="2" xfId="0" applyFont="1" applyFill="1" applyBorder="1" applyAlignment="1">
      <alignment vertical="center" wrapText="1"/>
    </xf>
    <xf numFmtId="0" fontId="1" fillId="12" borderId="2" xfId="0" applyFont="1" applyFill="1" applyBorder="1" applyAlignment="1">
      <alignment vertical="center" wrapText="1"/>
    </xf>
    <xf numFmtId="0" fontId="34" fillId="19" borderId="2" xfId="0" applyFont="1" applyFill="1" applyBorder="1" applyAlignment="1">
      <alignment vertical="center" wrapText="1"/>
    </xf>
    <xf numFmtId="0" fontId="33" fillId="6" borderId="11" xfId="0" applyFont="1" applyFill="1" applyBorder="1" applyAlignment="1">
      <alignment vertical="center" wrapText="1"/>
    </xf>
    <xf numFmtId="0" fontId="33" fillId="4" borderId="11" xfId="0" applyFont="1" applyFill="1" applyBorder="1" applyAlignment="1">
      <alignment vertical="center" wrapText="1"/>
    </xf>
    <xf numFmtId="0" fontId="33" fillId="2" borderId="11" xfId="0" applyFont="1" applyFill="1" applyBorder="1" applyAlignment="1">
      <alignment vertical="center" wrapText="1"/>
    </xf>
    <xf numFmtId="0" fontId="33" fillId="4" borderId="11" xfId="0" applyFont="1" applyFill="1" applyBorder="1" applyAlignment="1">
      <alignment vertical="center"/>
    </xf>
    <xf numFmtId="0" fontId="33" fillId="4" borderId="12" xfId="0" applyFont="1" applyFill="1" applyBorder="1" applyAlignment="1">
      <alignment vertical="center" wrapText="1"/>
    </xf>
    <xf numFmtId="0" fontId="33" fillId="4" borderId="2" xfId="0" applyFont="1" applyFill="1" applyBorder="1" applyAlignment="1">
      <alignment vertical="center" wrapText="1"/>
    </xf>
    <xf numFmtId="0" fontId="33" fillId="0" borderId="11" xfId="0" applyFont="1" applyBorder="1" applyAlignment="1">
      <alignment vertical="center" wrapText="1"/>
    </xf>
    <xf numFmtId="0" fontId="33" fillId="4" borderId="1" xfId="0" applyFont="1" applyFill="1" applyBorder="1" applyAlignment="1">
      <alignment horizontal="center" vertical="center" wrapText="1"/>
    </xf>
    <xf numFmtId="0" fontId="33" fillId="14" borderId="1" xfId="0" applyFont="1" applyFill="1" applyBorder="1" applyAlignment="1">
      <alignment horizontal="center" vertical="center" wrapText="1"/>
    </xf>
    <xf numFmtId="0" fontId="34" fillId="13" borderId="1" xfId="0" applyFont="1" applyFill="1" applyBorder="1" applyAlignment="1">
      <alignment horizontal="center" vertical="center" wrapText="1"/>
    </xf>
    <xf numFmtId="0" fontId="33" fillId="21" borderId="1" xfId="0" applyFont="1" applyFill="1" applyBorder="1" applyAlignment="1">
      <alignment horizontal="center" vertical="center" wrapText="1"/>
    </xf>
    <xf numFmtId="0" fontId="1" fillId="6" borderId="1" xfId="0" applyFont="1" applyFill="1" applyBorder="1" applyAlignment="1">
      <alignment horizontal="center" vertical="center" wrapText="1"/>
    </xf>
    <xf numFmtId="0" fontId="33" fillId="4" borderId="4" xfId="0" applyFont="1" applyFill="1" applyBorder="1" applyAlignment="1">
      <alignment horizontal="center" vertical="center" wrapText="1"/>
    </xf>
    <xf numFmtId="0" fontId="26" fillId="21" borderId="9" xfId="0" applyFont="1" applyFill="1" applyBorder="1" applyAlignment="1">
      <alignment horizontal="center" vertical="center" wrapText="1"/>
    </xf>
    <xf numFmtId="0" fontId="26" fillId="21" borderId="1" xfId="0" applyFont="1" applyFill="1" applyBorder="1" applyAlignment="1">
      <alignment horizontal="center" vertical="center" wrapText="1"/>
    </xf>
    <xf numFmtId="0" fontId="1" fillId="21" borderId="7" xfId="0" applyFont="1" applyFill="1" applyBorder="1" applyAlignment="1">
      <alignment horizontal="center" vertical="center" wrapText="1"/>
    </xf>
    <xf numFmtId="0" fontId="6" fillId="3" borderId="2" xfId="0" applyFont="1" applyFill="1" applyBorder="1"/>
    <xf numFmtId="0" fontId="9" fillId="8" borderId="11" xfId="0" applyFont="1" applyFill="1" applyBorder="1"/>
    <xf numFmtId="0" fontId="9" fillId="3" borderId="11" xfId="0" applyFont="1" applyFill="1" applyBorder="1"/>
    <xf numFmtId="0" fontId="0" fillId="3" borderId="13" xfId="0" applyFill="1" applyBorder="1" applyAlignment="1">
      <alignment horizontal="left"/>
    </xf>
    <xf numFmtId="0" fontId="6" fillId="0" borderId="2" xfId="0" applyFont="1" applyBorder="1"/>
    <xf numFmtId="0" fontId="0" fillId="0" borderId="13" xfId="0" applyBorder="1" applyAlignment="1">
      <alignment horizontal="left"/>
    </xf>
    <xf numFmtId="3" fontId="0" fillId="0" borderId="2" xfId="0" applyNumberFormat="1" applyBorder="1"/>
    <xf numFmtId="0" fontId="9" fillId="0" borderId="11" xfId="0" applyFont="1" applyBorder="1"/>
    <xf numFmtId="0" fontId="0" fillId="0" borderId="10" xfId="0" applyBorder="1"/>
    <xf numFmtId="17" fontId="0" fillId="0" borderId="0" xfId="0" applyNumberFormat="1"/>
    <xf numFmtId="0" fontId="0" fillId="25" borderId="0" xfId="0" applyFill="1"/>
    <xf numFmtId="0" fontId="10" fillId="26" borderId="4" xfId="0" applyFont="1" applyFill="1" applyBorder="1" applyAlignment="1">
      <alignment horizontal="center" vertical="center" wrapText="1"/>
    </xf>
    <xf numFmtId="0" fontId="10" fillId="27" borderId="4" xfId="0" applyFont="1" applyFill="1" applyBorder="1" applyAlignment="1">
      <alignment horizontal="center" vertical="center" wrapText="1"/>
    </xf>
    <xf numFmtId="0" fontId="4" fillId="12" borderId="0" xfId="0" applyFont="1" applyFill="1" applyAlignment="1">
      <alignment wrapText="1"/>
    </xf>
    <xf numFmtId="0" fontId="10" fillId="18" borderId="4" xfId="0" applyFont="1" applyFill="1" applyBorder="1" applyAlignment="1">
      <alignment vertical="center" wrapText="1"/>
    </xf>
    <xf numFmtId="0" fontId="13" fillId="19" borderId="0" xfId="0" applyFont="1" applyFill="1" applyAlignment="1">
      <alignment wrapText="1"/>
    </xf>
    <xf numFmtId="0" fontId="1" fillId="12" borderId="0" xfId="0" applyFont="1" applyFill="1" applyAlignment="1">
      <alignment horizontal="center" vertical="center" wrapText="1"/>
    </xf>
    <xf numFmtId="0" fontId="10" fillId="18" borderId="4" xfId="0" applyFont="1" applyFill="1" applyBorder="1" applyAlignment="1">
      <alignment horizontal="center" vertical="center" wrapText="1"/>
    </xf>
    <xf numFmtId="0" fontId="7" fillId="0" borderId="0" xfId="0" applyFont="1" applyBorder="1"/>
    <xf numFmtId="0" fontId="10" fillId="0" borderId="0" xfId="0" applyFont="1" applyBorder="1"/>
    <xf numFmtId="0" fontId="13" fillId="17" borderId="0" xfId="0" applyFont="1" applyFill="1" applyAlignment="1">
      <alignment vertical="center" wrapText="1"/>
    </xf>
    <xf numFmtId="0" fontId="4" fillId="16" borderId="0" xfId="0" applyFont="1" applyFill="1" applyAlignment="1">
      <alignment horizontal="center" vertical="center" wrapText="1"/>
    </xf>
    <xf numFmtId="0" fontId="13" fillId="15" borderId="0" xfId="0" applyFont="1" applyFill="1" applyAlignment="1">
      <alignment vertical="center" wrapText="1"/>
    </xf>
    <xf numFmtId="0" fontId="10" fillId="6" borderId="0" xfId="0" applyFont="1" applyFill="1" applyBorder="1" applyAlignment="1">
      <alignment vertical="center"/>
    </xf>
    <xf numFmtId="0" fontId="35" fillId="7" borderId="1" xfId="0" applyFont="1" applyFill="1" applyBorder="1" applyAlignment="1">
      <alignment horizontal="center" vertical="center" wrapText="1"/>
    </xf>
    <xf numFmtId="0" fontId="1" fillId="2" borderId="1" xfId="0" applyFont="1" applyFill="1" applyBorder="1" applyAlignment="1">
      <alignment wrapText="1"/>
    </xf>
    <xf numFmtId="0" fontId="1" fillId="8" borderId="1" xfId="0" applyFont="1" applyFill="1" applyBorder="1" applyAlignment="1">
      <alignment horizontal="center" vertical="center" wrapText="1"/>
    </xf>
    <xf numFmtId="0" fontId="34" fillId="19" borderId="0" xfId="0" applyFont="1" applyFill="1" applyAlignment="1">
      <alignment horizontal="center" vertical="center" wrapText="1"/>
    </xf>
    <xf numFmtId="0" fontId="10" fillId="26" borderId="4" xfId="0" applyFont="1" applyFill="1" applyBorder="1" applyAlignment="1">
      <alignment horizontal="left" vertical="center"/>
    </xf>
    <xf numFmtId="0" fontId="10" fillId="27" borderId="4" xfId="0" applyFont="1" applyFill="1" applyBorder="1" applyAlignment="1">
      <alignment horizontal="left" vertical="center"/>
    </xf>
  </cellXfs>
  <cellStyles count="3">
    <cellStyle name="Hyperlink" xfId="1" builtinId="8"/>
    <cellStyle name="Normal" xfId="0" builtinId="0"/>
    <cellStyle name="Normal 2" xfId="2" xr:uid="{32479CF1-84BD-4AA2-81B8-3F678C6B99A9}"/>
  </cellStyles>
  <dxfs count="798">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DAE9F8"/>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bgColor rgb="FFFF7C8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bgColor rgb="FFFF7C80"/>
        </patternFill>
      </fill>
    </dxf>
    <dxf>
      <fill>
        <patternFill>
          <bgColor rgb="FFFF7C80"/>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DAE9F8"/>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DAE9F8"/>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numFmt numFmtId="19" formatCode="dd/mm/yyyy"/>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externalLink" Target="externalLinks/externalLink2.xml"/><Relationship Id="rId10" Type="http://schemas.openxmlformats.org/officeDocument/2006/relationships/calcChain" Target="calcChain.xml"/><Relationship Id="rId4" Type="http://schemas.openxmlformats.org/officeDocument/2006/relationships/externalLink" Target="externalLinks/externalLink1.xml"/><Relationship Id="rId9" Type="http://schemas.microsoft.com/office/2017/10/relationships/person" Target="persons/person.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partners/Stats4SD/09_FOMD_metadata_extraction_long_stats4sd.xlsm" TargetMode="External"/><Relationship Id="rId2" Type="http://schemas.openxmlformats.org/officeDocument/2006/relationships/externalLinkPath" Target="https://cgiar.sharepoint.com/sites/Alliance-AgroecologyKnowledgeHub/Shared%20Documents/General/partners/Stats4SD/09_FOMD_metadata_extraction_long_stats4sd.xlsm" TargetMode="External"/><Relationship Id="rId1" Type="http://schemas.openxmlformats.org/officeDocument/2006/relationships/externalLinkPath" Target="/sites/Alliance-AgroecologyKnowledgeHub/Shared%20Documents/General/partners/Stats4SD/09_FOMD_metadata_extraction_long_stats4sd.xlsm"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cgiar-my.sharepoint.com/personal/andrea_sanchez_cgiar_org/Documents/Bioversity/meta-analysis/ERA/V1.14.3%20-%20Majestic%20Hippo.xlsm" TargetMode="External"/><Relationship Id="rId1" Type="http://schemas.openxmlformats.org/officeDocument/2006/relationships/externalLinkPath" Target="https://cgiar-my.sharepoint.com/personal/andrea_sanchez_cgiar_org/Documents/Bioversity/meta-analysis/ERA/V1.14.3%20-%20Majestic%20Hipp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09_FOMD_metadata_extraction_lon"/>
      <sheetName val="09_FOMD_readme"/>
      <sheetName val="01_lookuplevels"/>
      <sheetName val="09_look_up_levels"/>
      <sheetName val="01_suboutcome_units"/>
      <sheetName val="01_sites"/>
      <sheetName val="01_outcomes"/>
      <sheetName val="01_out_econ"/>
      <sheetName val="01_practices"/>
      <sheetName val="01_products"/>
      <sheetName val="01_residues"/>
      <sheetName val="01_trees"/>
      <sheetName val="01_chemicals "/>
      <sheetName val="chemical_lookups"/>
      <sheetName val="01_fertiliser"/>
      <sheetName val="fertiliser_lookups"/>
      <sheetName val="01_vars_animals"/>
      <sheetName val="breeds_lookup"/>
      <sheetName val="01_countries"/>
      <sheetName val="sites_lookup"/>
      <sheetName val="01_vars_crops"/>
      <sheetName val="variety_lookups"/>
    </sheetNames>
    <sheetDataSet>
      <sheetData sheetId="0"/>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ow r="2">
          <cell r="B2" t="str">
            <v>Acacia albida Delile</v>
          </cell>
        </row>
        <row r="3">
          <cell r="B3" t="str">
            <v>Acacia albida</v>
          </cell>
        </row>
        <row r="4">
          <cell r="B4" t="str">
            <v>Acacia karroo</v>
          </cell>
        </row>
        <row r="5">
          <cell r="B5" t="str">
            <v>Leucaena diversifolia</v>
          </cell>
        </row>
        <row r="6">
          <cell r="B6" t="str">
            <v>Leucaena leucocephala</v>
          </cell>
        </row>
        <row r="7">
          <cell r="B7" t="str">
            <v>Leucaena pallida</v>
          </cell>
        </row>
        <row r="8">
          <cell r="B8" t="str">
            <v>Leucaena trichandra</v>
          </cell>
        </row>
        <row r="9">
          <cell r="B9" t="str">
            <v>Lippia javanica</v>
          </cell>
        </row>
        <row r="10">
          <cell r="B10" t="str">
            <v>Maesopsis eminii</v>
          </cell>
        </row>
        <row r="11">
          <cell r="B11" t="str">
            <v>Mangifera indica</v>
          </cell>
        </row>
        <row r="12">
          <cell r="B12" t="str">
            <v>Acacia leptocarpa</v>
          </cell>
        </row>
        <row r="13">
          <cell r="B13" t="str">
            <v>Markhamia lutea</v>
          </cell>
        </row>
        <row r="14">
          <cell r="B14" t="str">
            <v>Melia azedarach</v>
          </cell>
        </row>
        <row r="15">
          <cell r="B15" t="str">
            <v>Melia volkensii</v>
          </cell>
        </row>
        <row r="16">
          <cell r="B16" t="str">
            <v>Milicia excelsa</v>
          </cell>
        </row>
        <row r="17">
          <cell r="B17" t="str">
            <v>Milletia ferruginea</v>
          </cell>
        </row>
        <row r="18">
          <cell r="B18" t="str">
            <v>Millettia thonningii</v>
          </cell>
        </row>
        <row r="19">
          <cell r="B19" t="str">
            <v>Moringa oleifera</v>
          </cell>
        </row>
        <row r="20">
          <cell r="B20" t="str">
            <v>Moringa stenopetala</v>
          </cell>
        </row>
        <row r="21">
          <cell r="B21" t="str">
            <v>Newbouldia laevis</v>
          </cell>
        </row>
        <row r="22">
          <cell r="B22" t="str">
            <v>Olea europaea</v>
          </cell>
        </row>
        <row r="23">
          <cell r="B23" t="str">
            <v>Acacia mangium</v>
          </cell>
        </row>
        <row r="24">
          <cell r="B24" t="str">
            <v>Opuntia ficus-indica</v>
          </cell>
        </row>
        <row r="25">
          <cell r="B25" t="str">
            <v>Palm</v>
          </cell>
        </row>
        <row r="26">
          <cell r="B26" t="str">
            <v>Parkia biglobosa</v>
          </cell>
        </row>
        <row r="27">
          <cell r="B27" t="str">
            <v>Paulownia fortunei</v>
          </cell>
        </row>
        <row r="28">
          <cell r="B28" t="str">
            <v>Bauhinia reticulata</v>
          </cell>
        </row>
        <row r="29">
          <cell r="B29" t="str">
            <v>Pinus patula</v>
          </cell>
        </row>
        <row r="30">
          <cell r="B30" t="str">
            <v>Pithecellobium dulce</v>
          </cell>
        </row>
        <row r="31">
          <cell r="B31" t="str">
            <v>Podocarpus falcatus</v>
          </cell>
        </row>
        <row r="32">
          <cell r="B32" t="str">
            <v>Prosopis africana</v>
          </cell>
        </row>
        <row r="33">
          <cell r="B33" t="str">
            <v>Prosopis juliflora</v>
          </cell>
        </row>
        <row r="34">
          <cell r="B34" t="str">
            <v>Acacia nilotica</v>
          </cell>
        </row>
        <row r="35">
          <cell r="B35" t="str">
            <v>Prunus africana</v>
          </cell>
        </row>
        <row r="36">
          <cell r="B36" t="str">
            <v>Prunus persica</v>
          </cell>
        </row>
        <row r="37">
          <cell r="B37" t="str">
            <v>Pterocarpus erinaceus</v>
          </cell>
        </row>
        <row r="38">
          <cell r="B38" t="str">
            <v>Pterocarpus lucens</v>
          </cell>
        </row>
        <row r="39">
          <cell r="B39" t="str">
            <v>Pterocarpus santalinoides</v>
          </cell>
        </row>
        <row r="40">
          <cell r="B40" t="str">
            <v>Pueraria phaseoloides</v>
          </cell>
        </row>
        <row r="41">
          <cell r="B41" t="str">
            <v>Quillaja saponaria</v>
          </cell>
        </row>
        <row r="42">
          <cell r="B42" t="str">
            <v>Ricinodendron heudelotii</v>
          </cell>
        </row>
        <row r="43">
          <cell r="B43" t="str">
            <v>Rosmarinus officinalis</v>
          </cell>
        </row>
        <row r="44">
          <cell r="B44" t="str">
            <v>Schefflera abyssinica</v>
          </cell>
        </row>
        <row r="45">
          <cell r="B45" t="str">
            <v>Acacia polyacantha</v>
          </cell>
        </row>
        <row r="46">
          <cell r="B46" t="str">
            <v>Senna didymobotrya</v>
          </cell>
        </row>
        <row r="47">
          <cell r="B47" t="str">
            <v>Senna occidentalis</v>
          </cell>
        </row>
        <row r="48">
          <cell r="B48" t="str">
            <v>Sesbania cinerascens</v>
          </cell>
        </row>
        <row r="49">
          <cell r="B49" t="str">
            <v>Sesbania goetzei</v>
          </cell>
        </row>
        <row r="50">
          <cell r="B50" t="str">
            <v>Sesbania macrantha</v>
          </cell>
        </row>
        <row r="51">
          <cell r="B51" t="str">
            <v>Sesbania rostrata</v>
          </cell>
        </row>
        <row r="52">
          <cell r="B52" t="str">
            <v>Sesbania sesban</v>
          </cell>
        </row>
        <row r="53">
          <cell r="B53" t="str">
            <v>Spathodea campanulata</v>
          </cell>
        </row>
        <row r="54">
          <cell r="B54" t="str">
            <v>Acacia tortilis</v>
          </cell>
        </row>
        <row r="55">
          <cell r="B55" t="str">
            <v>Syzygium guineense</v>
          </cell>
        </row>
        <row r="56">
          <cell r="B56" t="str">
            <v>Tephrosia candida</v>
          </cell>
        </row>
        <row r="57">
          <cell r="B57" t="str">
            <v>Tephrosia diversifolia</v>
          </cell>
        </row>
        <row r="58">
          <cell r="B58" t="str">
            <v>Tephrosia vogelii</v>
          </cell>
        </row>
        <row r="59">
          <cell r="B59" t="str">
            <v>Terminalia brownii</v>
          </cell>
        </row>
        <row r="60">
          <cell r="B60" t="str">
            <v>Terminalia ivoresensis</v>
          </cell>
        </row>
        <row r="61">
          <cell r="B61" t="str">
            <v>Terminalia sericea</v>
          </cell>
        </row>
        <row r="62">
          <cell r="B62" t="str">
            <v>Terminalia superba</v>
          </cell>
        </row>
        <row r="63">
          <cell r="B63" t="str">
            <v>Plukenetia conophora</v>
          </cell>
        </row>
        <row r="64">
          <cell r="B64" t="str">
            <v>Tithonia diversifolia</v>
          </cell>
        </row>
        <row r="65">
          <cell r="B65" t="str">
            <v>Acacia saligna</v>
          </cell>
        </row>
        <row r="66">
          <cell r="B66" t="str">
            <v>Uapaca kirkiana</v>
          </cell>
        </row>
        <row r="67">
          <cell r="B67" t="str">
            <v>Vitellaria paradoxa</v>
          </cell>
        </row>
        <row r="68">
          <cell r="B68" t="str">
            <v>Ziziphus mauritiana</v>
          </cell>
        </row>
        <row r="69">
          <cell r="B69" t="str">
            <v>Vachellia seyal</v>
          </cell>
        </row>
        <row r="70">
          <cell r="B70" t="str">
            <v>Acacia senegal</v>
          </cell>
        </row>
        <row r="71">
          <cell r="B71" t="str">
            <v>Acacia decurrens</v>
          </cell>
        </row>
        <row r="72">
          <cell r="B72" t="str">
            <v>Acacia sieberiana</v>
          </cell>
        </row>
        <row r="73">
          <cell r="B73" t="str">
            <v>Tephrosia sp.</v>
          </cell>
        </row>
        <row r="74">
          <cell r="B74" t="str">
            <v>Acacia toxicaria</v>
          </cell>
        </row>
        <row r="75">
          <cell r="B75" t="str">
            <v>Unspecified Tree</v>
          </cell>
        </row>
        <row r="76">
          <cell r="B76" t="str">
            <v>Acacia julifera</v>
          </cell>
        </row>
        <row r="77">
          <cell r="B77" t="str">
            <v>Acacia mearnsii</v>
          </cell>
        </row>
        <row r="78">
          <cell r="B78" t="str">
            <v>Acrocomia aculeata</v>
          </cell>
        </row>
        <row r="79">
          <cell r="B79" t="str">
            <v>Aeschynomene histrix</v>
          </cell>
        </row>
        <row r="80">
          <cell r="B80" t="str">
            <v>Albizia falcataria</v>
          </cell>
        </row>
        <row r="81">
          <cell r="B81" t="str">
            <v>Albizia harveyi</v>
          </cell>
        </row>
        <row r="82">
          <cell r="B82" t="str">
            <v>Albizia versicolor</v>
          </cell>
        </row>
        <row r="83">
          <cell r="B83" t="str">
            <v>Allanblackia floribunda</v>
          </cell>
        </row>
        <row r="84">
          <cell r="B84" t="str">
            <v>Auxemma oncocalyx</v>
          </cell>
        </row>
        <row r="85">
          <cell r="B85" t="str">
            <v>Acacia angustissima</v>
          </cell>
        </row>
        <row r="86">
          <cell r="B86" t="str">
            <v>Acacia tumida</v>
          </cell>
        </row>
        <row r="87">
          <cell r="B87" t="str">
            <v>Balanites aegyptica</v>
          </cell>
        </row>
        <row r="88">
          <cell r="B88" t="str">
            <v>Caesalpinia bracteosa</v>
          </cell>
        </row>
        <row r="89">
          <cell r="B89" t="str">
            <v>Calliandra houstoniana</v>
          </cell>
        </row>
        <row r="90">
          <cell r="B90" t="str">
            <v>Chloroleucon eurycyclum</v>
          </cell>
        </row>
        <row r="91">
          <cell r="B91" t="str">
            <v>Cordia alliodora</v>
          </cell>
        </row>
        <row r="92">
          <cell r="B92" t="str">
            <v>Cytisus proliferus var. palmensis</v>
          </cell>
        </row>
        <row r="93">
          <cell r="B93" t="str">
            <v>Dipteryx alata</v>
          </cell>
        </row>
        <row r="94">
          <cell r="B94" t="str">
            <v>Dombeya goetzenii</v>
          </cell>
        </row>
        <row r="95">
          <cell r="B95" t="str">
            <v>Dracaena steudneri</v>
          </cell>
        </row>
        <row r="96">
          <cell r="B96" t="str">
            <v>Ehretia abyssinica</v>
          </cell>
        </row>
        <row r="97">
          <cell r="B97" t="str">
            <v>Dactyladenia barteri</v>
          </cell>
        </row>
        <row r="98">
          <cell r="B98" t="str">
            <v>Ehretia cymosa</v>
          </cell>
        </row>
        <row r="99">
          <cell r="B99" t="str">
            <v>Eucalyptus deglupta</v>
          </cell>
        </row>
        <row r="100">
          <cell r="B100" t="str">
            <v>Eucalyptus urograndis</v>
          </cell>
        </row>
        <row r="101">
          <cell r="B101" t="str">
            <v>Euclea racemosa subsp. schimperi</v>
          </cell>
        </row>
        <row r="102">
          <cell r="B102" t="str">
            <v>Ficus thonningii</v>
          </cell>
        </row>
        <row r="103">
          <cell r="B103" t="str">
            <v>Ficus vallis-choudae</v>
          </cell>
        </row>
        <row r="104">
          <cell r="B104" t="str">
            <v>Ficus vasta</v>
          </cell>
        </row>
        <row r="105">
          <cell r="B105" t="str">
            <v>Gliricidia sepium</v>
          </cell>
        </row>
        <row r="106">
          <cell r="B106" t="str">
            <v>Gliricidia sp.</v>
          </cell>
        </row>
        <row r="107">
          <cell r="B107" t="str">
            <v>Hyptis suaveolens</v>
          </cell>
        </row>
        <row r="108">
          <cell r="B108" t="str">
            <v>Acrocarpus fraxinifolius</v>
          </cell>
        </row>
        <row r="109">
          <cell r="B109" t="str">
            <v>Inga densiflora</v>
          </cell>
        </row>
        <row r="110">
          <cell r="B110" t="str">
            <v>Inga edulis</v>
          </cell>
        </row>
        <row r="111">
          <cell r="B111" t="str">
            <v>Inga laurina</v>
          </cell>
        </row>
        <row r="112">
          <cell r="B112" t="str">
            <v>Inga oerstediana</v>
          </cell>
        </row>
        <row r="113">
          <cell r="B113" t="str">
            <v>Inga sp.</v>
          </cell>
        </row>
        <row r="114">
          <cell r="B114" t="str">
            <v>Juglans steyermarkii</v>
          </cell>
        </row>
        <row r="115">
          <cell r="B115" t="str">
            <v>Millettia ferruginea</v>
          </cell>
        </row>
        <row r="116">
          <cell r="B116" t="str">
            <v>Mimosa caesalpiniifolia</v>
          </cell>
        </row>
        <row r="117">
          <cell r="B117" t="str">
            <v>Mimosa tenuiflora</v>
          </cell>
        </row>
        <row r="118">
          <cell r="B118" t="str">
            <v>Olea welwitschii</v>
          </cell>
        </row>
        <row r="119">
          <cell r="B119" t="str">
            <v>Adansonia digitata</v>
          </cell>
        </row>
        <row r="120">
          <cell r="B120" t="str">
            <v>Olea welwitshii</v>
          </cell>
        </row>
        <row r="121">
          <cell r="B121" t="str">
            <v>Pavetta ternifolia</v>
          </cell>
        </row>
        <row r="122">
          <cell r="B122" t="str">
            <v>Peltophorum dubium</v>
          </cell>
        </row>
        <row r="123">
          <cell r="B123" t="str">
            <v>Persea americana</v>
          </cell>
        </row>
        <row r="124">
          <cell r="B124" t="str">
            <v>Phoenix reclinata</v>
          </cell>
        </row>
        <row r="125">
          <cell r="B125" t="str">
            <v>Polyscias fulva</v>
          </cell>
        </row>
        <row r="126">
          <cell r="B126" t="str">
            <v>Pouteria adolfi-friedericii</v>
          </cell>
        </row>
        <row r="127">
          <cell r="B127" t="str">
            <v>Quercus constaricensis</v>
          </cell>
        </row>
        <row r="128">
          <cell r="B128" t="str">
            <v>Samanea saman</v>
          </cell>
        </row>
        <row r="129">
          <cell r="B129" t="str">
            <v>Senna sp.</v>
          </cell>
        </row>
        <row r="130">
          <cell r="B130" t="str">
            <v>Afzelia africana</v>
          </cell>
        </row>
        <row r="131">
          <cell r="B131" t="str">
            <v>Sesbania aculeata</v>
          </cell>
        </row>
        <row r="132">
          <cell r="B132" t="str">
            <v>Sesbania bispinosa</v>
          </cell>
        </row>
        <row r="133">
          <cell r="B133" t="str">
            <v>Sesbania cannabina</v>
          </cell>
        </row>
        <row r="134">
          <cell r="B134" t="str">
            <v>Sesbania sp.</v>
          </cell>
        </row>
        <row r="135">
          <cell r="B135" t="str">
            <v>Simarouba glauca</v>
          </cell>
        </row>
        <row r="136">
          <cell r="B136" t="str">
            <v>Solanum sp.</v>
          </cell>
        </row>
        <row r="137">
          <cell r="B137" t="str">
            <v>Tabebuia rosea</v>
          </cell>
        </row>
        <row r="138">
          <cell r="B138" t="str">
            <v>Tectona grandis</v>
          </cell>
        </row>
        <row r="139">
          <cell r="B139" t="str">
            <v>Terminalia amazonia</v>
          </cell>
        </row>
        <row r="140">
          <cell r="B140" t="str">
            <v>Terminalia ivorensis</v>
          </cell>
        </row>
        <row r="141">
          <cell r="B141" t="str">
            <v>Albizia chinensis</v>
          </cell>
        </row>
        <row r="142">
          <cell r="B142" t="str">
            <v>Theobroma cacao</v>
          </cell>
        </row>
        <row r="143">
          <cell r="B143" t="str">
            <v>Toona ciliata</v>
          </cell>
        </row>
        <row r="144">
          <cell r="B144" t="str">
            <v>Unspecified Tree (N-fixing)</v>
          </cell>
        </row>
        <row r="145">
          <cell r="B145" t="str">
            <v>Unspecified Tree (Non N-fixing)</v>
          </cell>
        </row>
        <row r="146">
          <cell r="B146" t="str">
            <v>Vachellia xanthophloea</v>
          </cell>
        </row>
        <row r="147">
          <cell r="B147" t="str">
            <v>Vepris dainellii</v>
          </cell>
        </row>
        <row r="148">
          <cell r="B148" t="str">
            <v>Ziziphus spina-christi</v>
          </cell>
        </row>
        <row r="149">
          <cell r="B149" t="str">
            <v>Albizia coriaria</v>
          </cell>
        </row>
        <row r="150">
          <cell r="B150" t="str">
            <v>Albizia gummifera</v>
          </cell>
        </row>
        <row r="151">
          <cell r="B151" t="str">
            <v>Albizia lebbeck</v>
          </cell>
        </row>
        <row r="152">
          <cell r="B152" t="str">
            <v>Albizia zygia</v>
          </cell>
        </row>
        <row r="153">
          <cell r="B153" t="str">
            <v>Acacia auriculiformis</v>
          </cell>
        </row>
        <row r="154">
          <cell r="B154" t="str">
            <v>Alchornea cordifolia</v>
          </cell>
        </row>
        <row r="155">
          <cell r="B155" t="str">
            <v>Alnus acuminata</v>
          </cell>
        </row>
        <row r="156">
          <cell r="B156" t="str">
            <v>Antiaris toxicaria</v>
          </cell>
        </row>
        <row r="157">
          <cell r="B157" t="str">
            <v>Argyrolobium uniflorum</v>
          </cell>
        </row>
        <row r="158">
          <cell r="B158" t="str">
            <v>Artocarpus heterophyllus</v>
          </cell>
        </row>
        <row r="159">
          <cell r="B159" t="str">
            <v>Artocarpus altilis</v>
          </cell>
        </row>
        <row r="160">
          <cell r="B160" t="str">
            <v>Atriplex nummularia</v>
          </cell>
        </row>
        <row r="161">
          <cell r="B161" t="str">
            <v>Azadirachta indica</v>
          </cell>
        </row>
        <row r="162">
          <cell r="B162" t="str">
            <v>Bauhinia rufescens</v>
          </cell>
        </row>
        <row r="163">
          <cell r="B163" t="str">
            <v>Berchemia discolor</v>
          </cell>
        </row>
        <row r="164">
          <cell r="B164" t="str">
            <v>Acacia brevispica</v>
          </cell>
        </row>
        <row r="165">
          <cell r="B165" t="str">
            <v>Brachystegia spiciformis</v>
          </cell>
        </row>
        <row r="166">
          <cell r="B166" t="str">
            <v>Cajanus cajan</v>
          </cell>
        </row>
        <row r="167">
          <cell r="B167" t="str">
            <v>Calliandra calothyrsus</v>
          </cell>
        </row>
        <row r="168">
          <cell r="B168" t="str">
            <v>Senna siamea</v>
          </cell>
        </row>
        <row r="169">
          <cell r="B169" t="str">
            <v>Senna spectabilis</v>
          </cell>
        </row>
        <row r="170">
          <cell r="B170" t="str">
            <v>Casuarina equisetifolia</v>
          </cell>
        </row>
        <row r="171">
          <cell r="B171" t="str">
            <v>Casuarina glauca</v>
          </cell>
        </row>
        <row r="172">
          <cell r="B172" t="str">
            <v>Catha edulis</v>
          </cell>
        </row>
        <row r="173">
          <cell r="B173" t="str">
            <v>Cedrela odorata</v>
          </cell>
        </row>
        <row r="174">
          <cell r="B174" t="str">
            <v>Acacia caerulescens</v>
          </cell>
        </row>
        <row r="175">
          <cell r="B175" t="str">
            <v>Cedrela serrata</v>
          </cell>
        </row>
        <row r="176">
          <cell r="B176" t="str">
            <v>Centrosema pubescens</v>
          </cell>
        </row>
        <row r="177">
          <cell r="B177" t="str">
            <v>Cytisus proliferus</v>
          </cell>
        </row>
        <row r="178">
          <cell r="B178" t="str">
            <v>Chromolaena odorata</v>
          </cell>
        </row>
        <row r="179">
          <cell r="B179" t="str">
            <v>Cinnamomum cassia</v>
          </cell>
        </row>
        <row r="180">
          <cell r="B180" t="str">
            <v>Combretum apiculatum</v>
          </cell>
        </row>
        <row r="181">
          <cell r="B181" t="str">
            <v>Cordia africana</v>
          </cell>
        </row>
        <row r="182">
          <cell r="B182" t="str">
            <v>Crotalaria sp.</v>
          </cell>
        </row>
        <row r="183">
          <cell r="B183" t="str">
            <v>Crotalaria agatiflora</v>
          </cell>
        </row>
        <row r="184">
          <cell r="B184" t="str">
            <v>Crotalaria grahamiana</v>
          </cell>
        </row>
        <row r="185">
          <cell r="B185" t="str">
            <v>Acacia crassicarpa</v>
          </cell>
        </row>
        <row r="186">
          <cell r="B186" t="str">
            <v>Crotalaria juncea</v>
          </cell>
        </row>
        <row r="187">
          <cell r="B187" t="str">
            <v>Crotalaria ochrolueca</v>
          </cell>
        </row>
        <row r="188">
          <cell r="B188" t="str">
            <v>Crotalaria trichotoma</v>
          </cell>
        </row>
        <row r="189">
          <cell r="B189" t="str">
            <v>Croton macrostachyus</v>
          </cell>
        </row>
        <row r="190">
          <cell r="B190" t="str">
            <v>Croton megalocarpus</v>
          </cell>
        </row>
        <row r="191">
          <cell r="B191" t="str">
            <v>Cupressus lusitanica</v>
          </cell>
        </row>
        <row r="192">
          <cell r="B192" t="str">
            <v>Acacia cyanophylla</v>
          </cell>
        </row>
        <row r="193">
          <cell r="B193" t="str">
            <v>Dodonaea Viscosa</v>
          </cell>
        </row>
        <row r="194">
          <cell r="B194" t="str">
            <v>Elaeis guineensis</v>
          </cell>
        </row>
        <row r="195">
          <cell r="B195" t="str">
            <v>Entada abyssinica</v>
          </cell>
        </row>
        <row r="196">
          <cell r="B196" t="str">
            <v>Erythrina abyssinica</v>
          </cell>
        </row>
        <row r="197">
          <cell r="B197" t="str">
            <v>Erythrina poeppigiana</v>
          </cell>
        </row>
        <row r="198">
          <cell r="B198" t="str">
            <v>Eucalyptus alba</v>
          </cell>
        </row>
        <row r="199">
          <cell r="B199" t="str">
            <v>Eucalyptus camaldulensis</v>
          </cell>
        </row>
        <row r="200">
          <cell r="B200" t="str">
            <v>Eucalyptus globulus</v>
          </cell>
        </row>
        <row r="201">
          <cell r="B201" t="str">
            <v>Eucalyptus saligna</v>
          </cell>
        </row>
        <row r="202">
          <cell r="B202" t="str">
            <v>Acacia ferruginea</v>
          </cell>
        </row>
        <row r="203">
          <cell r="B203" t="str">
            <v>Ficus natalensis</v>
          </cell>
        </row>
        <row r="204">
          <cell r="B204" t="str">
            <v>Ficus laurifolia</v>
          </cell>
        </row>
        <row r="205">
          <cell r="B205" t="str">
            <v>Ficus polita</v>
          </cell>
        </row>
        <row r="206">
          <cell r="B206" t="str">
            <v>Ficus sur</v>
          </cell>
        </row>
        <row r="207">
          <cell r="B207" t="str">
            <v>Flemingia sp.</v>
          </cell>
        </row>
        <row r="208">
          <cell r="B208" t="str">
            <v>Flemingia macrophylla</v>
          </cell>
        </row>
        <row r="209">
          <cell r="B209" t="str">
            <v>Acacia holosericea</v>
          </cell>
        </row>
        <row r="210">
          <cell r="B210" t="str">
            <v>Gliricidia maculata</v>
          </cell>
        </row>
        <row r="211">
          <cell r="B211" t="str">
            <v>Glycine wightii</v>
          </cell>
        </row>
        <row r="212">
          <cell r="B212" t="str">
            <v>Gmelina arborea</v>
          </cell>
        </row>
        <row r="213">
          <cell r="B213" t="str">
            <v>Grevillea robusta</v>
          </cell>
        </row>
        <row r="214">
          <cell r="B214" t="str">
            <v>Guiera senegalensis</v>
          </cell>
        </row>
        <row r="215">
          <cell r="B215" t="str">
            <v>Harrisonia abyssinica</v>
          </cell>
        </row>
        <row r="216">
          <cell r="B216" t="str">
            <v>Jatropha curcas</v>
          </cell>
        </row>
        <row r="217">
          <cell r="B217" t="str">
            <v>Julbernardia globiflora</v>
          </cell>
        </row>
        <row r="218">
          <cell r="B218" t="str">
            <v>Khaya senegalensis</v>
          </cell>
        </row>
      </sheetData>
      <sheetData sheetId="12" refreshError="1"/>
      <sheetData sheetId="13" refreshError="1"/>
      <sheetData sheetId="14" refreshError="1"/>
      <sheetData sheetId="15" refreshError="1"/>
      <sheetData sheetId="16" refreshError="1"/>
      <sheetData sheetId="17">
        <row r="1">
          <cell r="A1" t="str">
            <v>Buffalo</v>
          </cell>
          <cell r="B1" t="str">
            <v>Camel</v>
          </cell>
          <cell r="C1" t="str">
            <v>Cattle</v>
          </cell>
          <cell r="D1" t="str">
            <v>Chicken</v>
          </cell>
          <cell r="E1" t="str">
            <v>Crustacean</v>
          </cell>
          <cell r="F1" t="str">
            <v>Duck</v>
          </cell>
          <cell r="G1" t="str">
            <v>Fish</v>
          </cell>
          <cell r="H1" t="str">
            <v>Goat</v>
          </cell>
          <cell r="I1" t="str">
            <v>Guinea Pig</v>
          </cell>
          <cell r="J1" t="str">
            <v>Pig</v>
          </cell>
          <cell r="K1" t="str">
            <v>Quail</v>
          </cell>
          <cell r="L1" t="str">
            <v>Rabbit</v>
          </cell>
          <cell r="M1" t="str">
            <v>Sheep</v>
          </cell>
          <cell r="N1" t="str">
            <v>Snail</v>
          </cell>
          <cell r="O1" t="str">
            <v>Turkey</v>
          </cell>
        </row>
      </sheetData>
      <sheetData sheetId="18" refreshError="1"/>
      <sheetData sheetId="19">
        <row r="1">
          <cell r="A1" t="str">
            <v>Afghanistan</v>
          </cell>
          <cell r="B1" t="str">
            <v>Albania</v>
          </cell>
          <cell r="C1" t="str">
            <v>Algeria</v>
          </cell>
          <cell r="D1" t="str">
            <v>Andorra</v>
          </cell>
          <cell r="E1" t="str">
            <v>Angola</v>
          </cell>
          <cell r="F1" t="str">
            <v>Antigua and Barbuda</v>
          </cell>
          <cell r="G1" t="str">
            <v>Argentina</v>
          </cell>
          <cell r="H1" t="str">
            <v>Armenia</v>
          </cell>
          <cell r="I1" t="str">
            <v>Australia</v>
          </cell>
          <cell r="J1" t="str">
            <v>Austria</v>
          </cell>
          <cell r="K1" t="str">
            <v>Azerbaijan</v>
          </cell>
          <cell r="L1" t="str">
            <v>Bahamas</v>
          </cell>
          <cell r="M1" t="str">
            <v>Bahrain</v>
          </cell>
          <cell r="N1" t="str">
            <v>Bangladesh</v>
          </cell>
          <cell r="O1" t="str">
            <v>Barbados</v>
          </cell>
          <cell r="P1" t="str">
            <v>Belarus</v>
          </cell>
          <cell r="Q1" t="str">
            <v>Belgium</v>
          </cell>
          <cell r="R1" t="str">
            <v>Belize</v>
          </cell>
          <cell r="S1" t="str">
            <v>Benin</v>
          </cell>
          <cell r="T1" t="str">
            <v>Bhutan</v>
          </cell>
          <cell r="U1" t="str">
            <v>Bolivia</v>
          </cell>
          <cell r="V1" t="str">
            <v>Bosnia and Herzegovina</v>
          </cell>
          <cell r="W1" t="str">
            <v>Botswana</v>
          </cell>
          <cell r="X1" t="str">
            <v>Brazil</v>
          </cell>
          <cell r="Y1" t="str">
            <v>Brunei</v>
          </cell>
          <cell r="Z1" t="str">
            <v>Bulgaria</v>
          </cell>
          <cell r="AA1" t="str">
            <v>Burkina Faso</v>
          </cell>
          <cell r="AB1" t="str">
            <v>Burundi</v>
          </cell>
          <cell r="AC1" t="str">
            <v>Cabo Verde</v>
          </cell>
          <cell r="AD1" t="str">
            <v>Cambodia</v>
          </cell>
          <cell r="AE1" t="str">
            <v>Cameroon</v>
          </cell>
          <cell r="AF1" t="str">
            <v>Canada</v>
          </cell>
          <cell r="AG1" t="str">
            <v>Central African Republic</v>
          </cell>
          <cell r="AH1" t="str">
            <v>Chad</v>
          </cell>
          <cell r="AI1" t="str">
            <v>Chile</v>
          </cell>
          <cell r="AJ1" t="str">
            <v>China</v>
          </cell>
          <cell r="AK1" t="str">
            <v>Colombia</v>
          </cell>
          <cell r="AL1" t="str">
            <v>Comoros</v>
          </cell>
          <cell r="AM1" t="str">
            <v>Congo (Democratic Republic of the)</v>
          </cell>
          <cell r="AN1" t="str">
            <v>Congo (Republic of the)</v>
          </cell>
          <cell r="AO1" t="str">
            <v>Costa Rica</v>
          </cell>
          <cell r="AP1" t="str">
            <v>Croatia</v>
          </cell>
          <cell r="AQ1" t="str">
            <v>Cuba</v>
          </cell>
          <cell r="AR1" t="str">
            <v>Cyprus</v>
          </cell>
          <cell r="AS1" t="str">
            <v>Czech Republic</v>
          </cell>
          <cell r="AT1" t="str">
            <v>Denmark</v>
          </cell>
          <cell r="AU1" t="str">
            <v>Djibouti</v>
          </cell>
          <cell r="AV1" t="str">
            <v>Dominica</v>
          </cell>
          <cell r="AW1" t="str">
            <v>Dominican Republic</v>
          </cell>
          <cell r="AX1" t="str">
            <v>Ecuador</v>
          </cell>
          <cell r="AY1" t="str">
            <v>Egypt</v>
          </cell>
          <cell r="AZ1" t="str">
            <v>El Salvador</v>
          </cell>
          <cell r="BA1" t="str">
            <v>Equatorial Guinea</v>
          </cell>
          <cell r="BB1" t="str">
            <v>Eritrea</v>
          </cell>
          <cell r="BC1" t="str">
            <v>Estonia</v>
          </cell>
          <cell r="BD1" t="str">
            <v>Ethiopia</v>
          </cell>
          <cell r="BE1" t="str">
            <v>Fiji</v>
          </cell>
          <cell r="BF1" t="str">
            <v>Finland</v>
          </cell>
          <cell r="BG1" t="str">
            <v>France (Metropolitan)</v>
          </cell>
          <cell r="BH1" t="str">
            <v>Gabon</v>
          </cell>
          <cell r="BI1" t="str">
            <v>Gambia</v>
          </cell>
          <cell r="BJ1" t="str">
            <v>Georgia</v>
          </cell>
          <cell r="BK1" t="str">
            <v>Germany</v>
          </cell>
          <cell r="BL1" t="str">
            <v>Ghana</v>
          </cell>
          <cell r="BM1" t="str">
            <v>Greece</v>
          </cell>
          <cell r="BN1" t="str">
            <v>Grenada</v>
          </cell>
          <cell r="BO1" t="str">
            <v>Guatemala</v>
          </cell>
          <cell r="BP1" t="str">
            <v>Guinea</v>
          </cell>
          <cell r="BQ1" t="str">
            <v>Guinea Bissau</v>
          </cell>
          <cell r="BR1" t="str">
            <v>Guyana</v>
          </cell>
          <cell r="BS1" t="str">
            <v>Haiti</v>
          </cell>
          <cell r="BT1" t="str">
            <v>Honduras</v>
          </cell>
          <cell r="BU1" t="str">
            <v>Hungary</v>
          </cell>
          <cell r="BV1" t="str">
            <v>Iceland</v>
          </cell>
          <cell r="BW1" t="str">
            <v>India</v>
          </cell>
          <cell r="BX1" t="str">
            <v>Indonesia</v>
          </cell>
          <cell r="BY1" t="str">
            <v>Iran</v>
          </cell>
          <cell r="BZ1" t="str">
            <v>Iraq</v>
          </cell>
          <cell r="CA1" t="str">
            <v>Ireland</v>
          </cell>
          <cell r="CB1" t="str">
            <v>Israel</v>
          </cell>
          <cell r="CC1" t="str">
            <v>Italy</v>
          </cell>
          <cell r="CD1" t="str">
            <v>Ivory Coast</v>
          </cell>
          <cell r="CE1" t="str">
            <v>Jamaica</v>
          </cell>
          <cell r="CF1" t="str">
            <v>Japan</v>
          </cell>
          <cell r="CG1" t="str">
            <v>Jordan</v>
          </cell>
          <cell r="CH1" t="str">
            <v>Kazakhstan</v>
          </cell>
          <cell r="CI1" t="str">
            <v>Kenya</v>
          </cell>
          <cell r="CJ1" t="str">
            <v>Kiribati</v>
          </cell>
          <cell r="CK1" t="str">
            <v>Kosovo</v>
          </cell>
          <cell r="CL1" t="str">
            <v>Kuwait</v>
          </cell>
          <cell r="CM1" t="str">
            <v>Kyrgyzstan</v>
          </cell>
          <cell r="CN1" t="str">
            <v>Laos</v>
          </cell>
          <cell r="CO1" t="str">
            <v>Latvia</v>
          </cell>
          <cell r="CP1" t="str">
            <v>Lebanon</v>
          </cell>
          <cell r="CQ1" t="str">
            <v>Lesotho</v>
          </cell>
          <cell r="CR1" t="str">
            <v>Liberia</v>
          </cell>
          <cell r="CS1" t="str">
            <v>Libya</v>
          </cell>
          <cell r="CT1" t="str">
            <v>Liechtenstein</v>
          </cell>
          <cell r="CU1" t="str">
            <v>Lithuania</v>
          </cell>
          <cell r="CV1" t="str">
            <v>Luxembourg</v>
          </cell>
          <cell r="CW1" t="str">
            <v>Madagascar</v>
          </cell>
          <cell r="CX1" t="str">
            <v>Malawi</v>
          </cell>
          <cell r="CY1" t="str">
            <v>Malaysia</v>
          </cell>
          <cell r="CZ1" t="str">
            <v>Maldives</v>
          </cell>
          <cell r="DA1" t="str">
            <v>Mali</v>
          </cell>
          <cell r="DB1" t="str">
            <v>Malta</v>
          </cell>
          <cell r="DC1" t="str">
            <v>Marshall Islands</v>
          </cell>
          <cell r="DD1" t="str">
            <v>Mauritania</v>
          </cell>
          <cell r="DE1" t="str">
            <v>Mauritius</v>
          </cell>
          <cell r="DF1" t="str">
            <v>Mexico</v>
          </cell>
          <cell r="DG1" t="str">
            <v>Micronesia</v>
          </cell>
          <cell r="DH1" t="str">
            <v>Moldova</v>
          </cell>
          <cell r="DI1" t="str">
            <v>Monaco</v>
          </cell>
          <cell r="DJ1" t="str">
            <v>Mongolia</v>
          </cell>
          <cell r="DK1" t="str">
            <v>Montenegro</v>
          </cell>
          <cell r="DL1" t="str">
            <v>Morocco</v>
          </cell>
          <cell r="DM1" t="str">
            <v>Mozambique</v>
          </cell>
          <cell r="DN1" t="str">
            <v>Myanmar</v>
          </cell>
          <cell r="DO1" t="str">
            <v>Namibia</v>
          </cell>
          <cell r="DP1" t="str">
            <v>Nauru</v>
          </cell>
          <cell r="DQ1" t="str">
            <v>Nepal</v>
          </cell>
          <cell r="DR1" t="str">
            <v>Netherlands</v>
          </cell>
          <cell r="DS1" t="str">
            <v>New Zealand</v>
          </cell>
          <cell r="DT1" t="str">
            <v>Nicaragua</v>
          </cell>
          <cell r="DU1" t="str">
            <v>Niger</v>
          </cell>
          <cell r="DV1" t="str">
            <v>Nigeria</v>
          </cell>
          <cell r="DW1" t="str">
            <v>North Korea</v>
          </cell>
          <cell r="DX1" t="str">
            <v>North Macedonia</v>
          </cell>
          <cell r="DY1" t="str">
            <v>Norway</v>
          </cell>
          <cell r="DZ1" t="str">
            <v>Oman</v>
          </cell>
          <cell r="EA1" t="str">
            <v>Pakistan</v>
          </cell>
          <cell r="EB1" t="str">
            <v>Palau</v>
          </cell>
          <cell r="EC1" t="str">
            <v>Palestine</v>
          </cell>
          <cell r="ED1" t="str">
            <v>Panama</v>
          </cell>
          <cell r="EE1" t="str">
            <v>Papua New Guinea</v>
          </cell>
          <cell r="EF1" t="str">
            <v>Paraguay</v>
          </cell>
          <cell r="EG1" t="str">
            <v>Peru</v>
          </cell>
          <cell r="EH1" t="str">
            <v>Philippines</v>
          </cell>
          <cell r="EI1" t="str">
            <v>Poland</v>
          </cell>
          <cell r="EJ1" t="str">
            <v>Portugal</v>
          </cell>
          <cell r="EK1" t="str">
            <v>Qatar</v>
          </cell>
          <cell r="EL1" t="str">
            <v>Romania</v>
          </cell>
          <cell r="EM1" t="str">
            <v>Russia (European + Asian)</v>
          </cell>
          <cell r="EN1" t="str">
            <v>Rwanda</v>
          </cell>
          <cell r="EO1" t="str">
            <v>Saint Kitts and Nevis</v>
          </cell>
          <cell r="EP1" t="str">
            <v>Saint Lucia</v>
          </cell>
          <cell r="EQ1" t="str">
            <v>Saint Vincent and the Grenadines</v>
          </cell>
          <cell r="ER1" t="str">
            <v>Samoa</v>
          </cell>
          <cell r="ES1" t="str">
            <v>San Marino</v>
          </cell>
          <cell r="ET1" t="str">
            <v>Sao Tome &amp; Principe</v>
          </cell>
          <cell r="EU1" t="str">
            <v>Saudi Arabia</v>
          </cell>
          <cell r="EV1" t="str">
            <v>Senegal</v>
          </cell>
          <cell r="EW1" t="str">
            <v>Serbia</v>
          </cell>
          <cell r="EX1" t="str">
            <v>Seychelles</v>
          </cell>
          <cell r="EY1" t="str">
            <v>Sierra Leone</v>
          </cell>
          <cell r="EZ1" t="str">
            <v>Singapore</v>
          </cell>
          <cell r="FA1" t="str">
            <v>Slovakia</v>
          </cell>
          <cell r="FB1" t="str">
            <v>Slovenia</v>
          </cell>
          <cell r="FC1" t="str">
            <v>Solomon Islands</v>
          </cell>
          <cell r="FD1" t="str">
            <v>Somalia</v>
          </cell>
          <cell r="FE1" t="str">
            <v>South Africa</v>
          </cell>
          <cell r="FF1" t="str">
            <v>South Korea</v>
          </cell>
          <cell r="FG1" t="str">
            <v>South Sudan</v>
          </cell>
          <cell r="FH1" t="str">
            <v>Spain</v>
          </cell>
          <cell r="FI1" t="str">
            <v>Sri Lanka</v>
          </cell>
          <cell r="FJ1" t="str">
            <v>Sudan</v>
          </cell>
          <cell r="FK1" t="str">
            <v>Suriname</v>
          </cell>
          <cell r="FL1" t="str">
            <v>Swaziland</v>
          </cell>
          <cell r="FM1" t="str">
            <v>Sweden</v>
          </cell>
          <cell r="FN1" t="str">
            <v>Switzerland</v>
          </cell>
          <cell r="FO1" t="str">
            <v>Syria</v>
          </cell>
          <cell r="FP1" t="str">
            <v>Taiwan</v>
          </cell>
          <cell r="FQ1" t="str">
            <v>Tajikistan</v>
          </cell>
          <cell r="FR1" t="str">
            <v>Tanzania</v>
          </cell>
          <cell r="FS1" t="str">
            <v>Thailand</v>
          </cell>
          <cell r="FT1" t="str">
            <v>Timor-Leste</v>
          </cell>
          <cell r="FU1" t="str">
            <v>Togo</v>
          </cell>
          <cell r="FV1" t="str">
            <v>Tonga</v>
          </cell>
          <cell r="FW1" t="str">
            <v>Trinidad and Tobago</v>
          </cell>
          <cell r="FX1" t="str">
            <v>Tunisia</v>
          </cell>
          <cell r="FY1" t="str">
            <v>Turkey</v>
          </cell>
          <cell r="FZ1" t="str">
            <v>Turkmenistan</v>
          </cell>
          <cell r="GA1" t="str">
            <v>Tuvalu</v>
          </cell>
          <cell r="GB1" t="str">
            <v>Uganda</v>
          </cell>
          <cell r="GC1" t="str">
            <v>Ukraine</v>
          </cell>
          <cell r="GD1" t="str">
            <v>United Arab Emirates</v>
          </cell>
          <cell r="GE1" t="str">
            <v>United Kingdom</v>
          </cell>
          <cell r="GF1" t="str">
            <v>United States (Contiguous)</v>
          </cell>
          <cell r="GG1" t="str">
            <v>Uruguay</v>
          </cell>
          <cell r="GH1" t="str">
            <v>Uzbekistan</v>
          </cell>
          <cell r="GI1" t="str">
            <v>Vanuatu</v>
          </cell>
          <cell r="GJ1" t="str">
            <v>Vatican City</v>
          </cell>
          <cell r="GK1" t="str">
            <v>Venezuela</v>
          </cell>
          <cell r="GL1" t="str">
            <v>Vietnam</v>
          </cell>
          <cell r="GM1" t="str">
            <v>Yemen</v>
          </cell>
          <cell r="GN1" t="str">
            <v>Zambia</v>
          </cell>
          <cell r="GO1" t="str">
            <v>Zimbabwe</v>
          </cell>
          <cell r="GP1" t="str">
            <v>Alaska (US)</v>
          </cell>
          <cell r="GQ1" t="str">
            <v>American Samoa</v>
          </cell>
          <cell r="GR1" t="str">
            <v>Anguilla</v>
          </cell>
          <cell r="GS1" t="str">
            <v>Aruba</v>
          </cell>
          <cell r="GT1" t="str">
            <v>Bermuda</v>
          </cell>
          <cell r="GU1" t="str">
            <v>Bonaire, Sint Eustatius and Saba</v>
          </cell>
          <cell r="GV1" t="str">
            <v>British Virgin Islands</v>
          </cell>
          <cell r="GW1" t="str">
            <v>Cayman Islands</v>
          </cell>
          <cell r="GX1" t="str">
            <v>Cook Islands</v>
          </cell>
          <cell r="GY1" t="str">
            <v>Curacao</v>
          </cell>
          <cell r="GZ1" t="str">
            <v>Falkland Islands</v>
          </cell>
          <cell r="HA1" t="str">
            <v>Faroe Islands</v>
          </cell>
          <cell r="HB1" t="str">
            <v>French Guiana</v>
          </cell>
          <cell r="HC1" t="str">
            <v>French Polynesia</v>
          </cell>
          <cell r="HD1" t="str">
            <v>Gibraltar</v>
          </cell>
          <cell r="HE1" t="str">
            <v>Greenland</v>
          </cell>
          <cell r="HF1" t="str">
            <v>Guadeloupe</v>
          </cell>
          <cell r="HG1" t="str">
            <v>Guam</v>
          </cell>
          <cell r="HH1" t="str">
            <v>Hawaii (US)</v>
          </cell>
          <cell r="HI1" t="str">
            <v>Hong Kong</v>
          </cell>
          <cell r="HJ1" t="str">
            <v>Macau</v>
          </cell>
          <cell r="HK1" t="str">
            <v>Martinique</v>
          </cell>
          <cell r="HL1" t="str">
            <v>Mayotte</v>
          </cell>
          <cell r="HM1" t="str">
            <v>Montserrat</v>
          </cell>
          <cell r="HN1" t="str">
            <v>New Caledonia</v>
          </cell>
          <cell r="HO1" t="str">
            <v>Niue</v>
          </cell>
          <cell r="HP1" t="str">
            <v>Northern Mariana Islands</v>
          </cell>
          <cell r="HQ1" t="str">
            <v>Puerto Rico</v>
          </cell>
          <cell r="HR1" t="str">
            <v>Reunion</v>
          </cell>
          <cell r="HS1" t="str">
            <v>Saint Barthelemy</v>
          </cell>
          <cell r="HT1" t="str">
            <v>Saint Martin (French)</v>
          </cell>
          <cell r="HU1" t="str">
            <v>Saint Pierre and Miquelon</v>
          </cell>
          <cell r="HV1" t="str">
            <v>Sint Maarten (Dutch)</v>
          </cell>
          <cell r="HW1" t="str">
            <v>Tokelau</v>
          </cell>
          <cell r="HX1" t="str">
            <v>Turks and Caicos</v>
          </cell>
          <cell r="HY1" t="str">
            <v>US Virgin Islands</v>
          </cell>
          <cell r="HZ1" t="str">
            <v>Wallis and Futuna</v>
          </cell>
          <cell r="IA1" t="str">
            <v>Western Sahara</v>
          </cell>
        </row>
      </sheetData>
      <sheetData sheetId="20" refreshError="1"/>
      <sheetData sheetId="21">
        <row r="1">
          <cell r="A1" t="str">
            <v>African Yam Bean</v>
          </cell>
          <cell r="B1" t="str">
            <v>Alfalfa</v>
          </cell>
          <cell r="C1" t="str">
            <v>Banana Sweet</v>
          </cell>
          <cell r="D1" t="str">
            <v>Barley</v>
          </cell>
          <cell r="E1" t="str">
            <v>Basil</v>
          </cell>
          <cell r="F1" t="str">
            <v>Bell pepper</v>
          </cell>
          <cell r="G1" t="str">
            <v>Black Oats</v>
          </cell>
          <cell r="H1" t="str">
            <v>Brachiaria brizantha</v>
          </cell>
          <cell r="I1" t="str">
            <v>Brachiaria decumbens</v>
          </cell>
          <cell r="J1" t="str">
            <v>Brachiaria humidicola</v>
          </cell>
          <cell r="K1" t="str">
            <v>Brachiaria hybrid</v>
          </cell>
          <cell r="L1" t="str">
            <v>Buffalo</v>
          </cell>
          <cell r="M1" t="str">
            <v>Butter Bean</v>
          </cell>
          <cell r="N1" t="str">
            <v>Cabbage</v>
          </cell>
          <cell r="O1" t="str">
            <v>Calabash</v>
          </cell>
          <cell r="P1" t="str">
            <v>Canola</v>
          </cell>
          <cell r="Q1" t="str">
            <v>Capsicum</v>
          </cell>
          <cell r="R1" t="str">
            <v>Carrot</v>
          </cell>
          <cell r="S1" t="str">
            <v>Carrot &amp; Parsnip</v>
          </cell>
          <cell r="T1" t="str">
            <v>Cassava</v>
          </cell>
          <cell r="U1" t="str">
            <v>Castor</v>
          </cell>
          <cell r="V1" t="str">
            <v>Cattle</v>
          </cell>
          <cell r="W1" t="str">
            <v>Cauliflower &amp; Broccoli</v>
          </cell>
          <cell r="X1" t="str">
            <v>Chicken</v>
          </cell>
          <cell r="Y1" t="str">
            <v>Chickpea</v>
          </cell>
          <cell r="Z1" t="str">
            <v>Chili</v>
          </cell>
          <cell r="AA1" t="str">
            <v>Chloris gayana</v>
          </cell>
          <cell r="AB1" t="str">
            <v>Cocoa</v>
          </cell>
          <cell r="AC1" t="str">
            <v>Coffee</v>
          </cell>
          <cell r="AD1" t="str">
            <v>Common Bean</v>
          </cell>
          <cell r="AE1" t="str">
            <v>Congo Grass</v>
          </cell>
          <cell r="AF1" t="str">
            <v>Cooking Banana</v>
          </cell>
          <cell r="AG1" t="str">
            <v>Cookstove</v>
          </cell>
          <cell r="AH1" t="str">
            <v>Cotton</v>
          </cell>
          <cell r="AI1" t="str">
            <v>Cowpea</v>
          </cell>
          <cell r="AJ1" t="str">
            <v>Cucumber</v>
          </cell>
          <cell r="AK1" t="str">
            <v>Date</v>
          </cell>
          <cell r="AL1" t="str">
            <v>Duck</v>
          </cell>
          <cell r="AM1" t="str">
            <v>Durum Wheat</v>
          </cell>
          <cell r="AN1" t="str">
            <v>Eggplant</v>
          </cell>
          <cell r="AO1" t="str">
            <v>Egyptian Clover</v>
          </cell>
          <cell r="AP1" t="str">
            <v>Ethiopian Mustard</v>
          </cell>
          <cell r="AQ1" t="str">
            <v>Fava Bean</v>
          </cell>
          <cell r="AR1" t="str">
            <v>Fennel</v>
          </cell>
          <cell r="AS1" t="str">
            <v>Fenugreek</v>
          </cell>
          <cell r="AT1" t="str">
            <v>Finger Millet</v>
          </cell>
          <cell r="AU1" t="str">
            <v>Fish</v>
          </cell>
          <cell r="AV1" t="str">
            <v>Flax</v>
          </cell>
          <cell r="AW1" t="str">
            <v>Fonio</v>
          </cell>
          <cell r="AX1" t="str">
            <v>Garlic</v>
          </cell>
          <cell r="AY1" t="str">
            <v>Goat</v>
          </cell>
          <cell r="AZ1" t="str">
            <v>Grape</v>
          </cell>
          <cell r="BA1" t="str">
            <v>Green gram</v>
          </cell>
          <cell r="BB1" t="str">
            <v>Groundnut</v>
          </cell>
          <cell r="BC1" t="str">
            <v>Guar Gum</v>
          </cell>
          <cell r="BD1" t="str">
            <v>Guinea Grass</v>
          </cell>
          <cell r="BE1" t="str">
            <v>Hairy Vetch</v>
          </cell>
          <cell r="BF1" t="str">
            <v>Hibiscus</v>
          </cell>
          <cell r="BG1" t="str">
            <v>Jack Bean</v>
          </cell>
          <cell r="BH1" t="str">
            <v>Jujube</v>
          </cell>
          <cell r="BI1" t="str">
            <v>Jute mallow</v>
          </cell>
          <cell r="BJ1" t="str">
            <v>Kale</v>
          </cell>
          <cell r="BK1" t="str">
            <v>Kikuyu Grass</v>
          </cell>
          <cell r="BL1" t="str">
            <v>Lablab</v>
          </cell>
          <cell r="BM1" t="str">
            <v>Lentil</v>
          </cell>
          <cell r="BN1" t="str">
            <v>Leucaena leucocephala</v>
          </cell>
          <cell r="BO1" t="str">
            <v>Lupin</v>
          </cell>
          <cell r="BP1" t="str">
            <v>Macadamia</v>
          </cell>
          <cell r="BQ1" t="str">
            <v>Maize</v>
          </cell>
          <cell r="BR1" t="str">
            <v>Maize-Common Bean</v>
          </cell>
          <cell r="BS1" t="str">
            <v>Maize-Cowpea</v>
          </cell>
          <cell r="BT1" t="str">
            <v>Maize-Sweet Potato</v>
          </cell>
          <cell r="BU1" t="str">
            <v>Mangifera indica</v>
          </cell>
          <cell r="BV1" t="str">
            <v>Mango</v>
          </cell>
          <cell r="BW1" t="str">
            <v>Melon</v>
          </cell>
          <cell r="BX1" t="str">
            <v>Mung Bean</v>
          </cell>
          <cell r="BY1" t="str">
            <v>Napier Grass</v>
          </cell>
          <cell r="BZ1" t="str">
            <v>New Cocoyam</v>
          </cell>
          <cell r="CA1" t="str">
            <v>Oats</v>
          </cell>
          <cell r="CB1" t="str">
            <v>Okra</v>
          </cell>
          <cell r="CC1" t="str">
            <v>Olive</v>
          </cell>
          <cell r="CD1" t="str">
            <v>Olive Oil</v>
          </cell>
          <cell r="CE1" t="str">
            <v>Onion</v>
          </cell>
          <cell r="CF1" t="str">
            <v>Orange</v>
          </cell>
          <cell r="CG1" t="str">
            <v>Orange-Pepper-Amaranth</v>
          </cell>
          <cell r="CH1" t="str">
            <v>Ornithopus sativus</v>
          </cell>
          <cell r="CI1" t="str">
            <v>Palisade Grass</v>
          </cell>
          <cell r="CJ1" t="str">
            <v>Palm Oil</v>
          </cell>
          <cell r="CK1" t="str">
            <v>Passionfruit</v>
          </cell>
          <cell r="CL1" t="str">
            <v>Peach &amp; Nectarine</v>
          </cell>
          <cell r="CM1" t="str">
            <v>Pearl Millet</v>
          </cell>
          <cell r="CN1" t="str">
            <v>Pearl Millet-Sorghum-Cowpea</v>
          </cell>
          <cell r="CO1" t="str">
            <v>Peas</v>
          </cell>
          <cell r="CP1" t="str">
            <v>Pepper</v>
          </cell>
          <cell r="CQ1" t="str">
            <v>Pigeon Pea</v>
          </cell>
          <cell r="CR1" t="str">
            <v>Pigs</v>
          </cell>
          <cell r="CS1" t="str">
            <v>Pineapple</v>
          </cell>
          <cell r="CT1" t="str">
            <v>Pomegranate</v>
          </cell>
          <cell r="CU1" t="str">
            <v>Potato</v>
          </cell>
          <cell r="CV1" t="str">
            <v>Pueraria phaseoloides</v>
          </cell>
          <cell r="CW1" t="str">
            <v>Pumpkin</v>
          </cell>
          <cell r="CX1" t="str">
            <v>Quinoa</v>
          </cell>
          <cell r="CY1" t="str">
            <v>Rabbit</v>
          </cell>
          <cell r="CZ1" t="str">
            <v>Rape</v>
          </cell>
          <cell r="DA1" t="str">
            <v>Rice</v>
          </cell>
          <cell r="DB1" t="str">
            <v>Rice Bean</v>
          </cell>
          <cell r="DC1" t="str">
            <v>Rubber</v>
          </cell>
          <cell r="DD1" t="str">
            <v>Ruzi grass</v>
          </cell>
          <cell r="DE1" t="str">
            <v>Rye</v>
          </cell>
          <cell r="DF1" t="str">
            <v>Ryegrass Sp.</v>
          </cell>
          <cell r="DG1" t="str">
            <v>Safflower</v>
          </cell>
          <cell r="DH1" t="str">
            <v>Sesame</v>
          </cell>
          <cell r="DI1" t="str">
            <v>Sheep</v>
          </cell>
          <cell r="DJ1" t="str">
            <v>Snail</v>
          </cell>
          <cell r="DK1" t="str">
            <v>Sorghum</v>
          </cell>
          <cell r="DL1" t="str">
            <v>Soybean</v>
          </cell>
          <cell r="DM1" t="str">
            <v>Spinach</v>
          </cell>
          <cell r="DN1" t="str">
            <v>Spring Onion</v>
          </cell>
          <cell r="DO1" t="str">
            <v>Squash</v>
          </cell>
          <cell r="DP1" t="str">
            <v>Strawberry</v>
          </cell>
          <cell r="DQ1" t="str">
            <v>Stylosanthes guianensis</v>
          </cell>
          <cell r="DR1" t="str">
            <v>Subterranean Clover</v>
          </cell>
          <cell r="DS1" t="str">
            <v>Sugar Beet</v>
          </cell>
          <cell r="DT1" t="str">
            <v>Sugar Cane</v>
          </cell>
          <cell r="DU1" t="str">
            <v>Sunflower</v>
          </cell>
          <cell r="DV1" t="str">
            <v>Sunn Hemp</v>
          </cell>
          <cell r="DW1" t="str">
            <v>Sweet Potato</v>
          </cell>
          <cell r="DX1" t="str">
            <v>Swiss Chard</v>
          </cell>
          <cell r="DY1" t="str">
            <v>Tall Fescue</v>
          </cell>
          <cell r="DZ1" t="str">
            <v>Taro</v>
          </cell>
          <cell r="EA1" t="str">
            <v>Tea</v>
          </cell>
          <cell r="EB1" t="str">
            <v>Teff</v>
          </cell>
          <cell r="EC1" t="str">
            <v>Tomato</v>
          </cell>
          <cell r="ED1" t="str">
            <v>Triticale</v>
          </cell>
          <cell r="EE1" t="str">
            <v>Turkey</v>
          </cell>
          <cell r="EF1" t="str">
            <v>Turmeric</v>
          </cell>
          <cell r="EG1" t="str">
            <v>Turnip</v>
          </cell>
          <cell r="EH1" t="str">
            <v>Velvet Bean</v>
          </cell>
          <cell r="EI1" t="str">
            <v>Watermelon</v>
          </cell>
          <cell r="EJ1" t="str">
            <v>Wheat</v>
          </cell>
          <cell r="EK1" t="str">
            <v>Yam</v>
          </cell>
          <cell r="EL1" t="str">
            <v>Zucchini</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tro"/>
      <sheetName val="Pub"/>
      <sheetName val="Pub.Out"/>
      <sheetName val="Site"/>
      <sheetName val="Site.Out"/>
      <sheetName val="Site.L"/>
      <sheetName val="Site.Soils"/>
      <sheetName val="Soils.Out"/>
      <sheetName val="Lists"/>
      <sheetName val="Products"/>
      <sheetName val="Times"/>
      <sheetName val="ExpD.Out"/>
      <sheetName val="ExpD"/>
      <sheetName val="Prod.Out"/>
      <sheetName val="EUs"/>
      <sheetName val="Var.Out"/>
      <sheetName val="Var.L"/>
      <sheetName val="Prac.L"/>
      <sheetName val="Plant"/>
      <sheetName val="AgFor"/>
      <sheetName val="AF.Out"/>
      <sheetName val="Tree.L"/>
      <sheetName val="Tillage"/>
      <sheetName val="Till.Out"/>
      <sheetName val="Plant.Out"/>
      <sheetName val="Fert.Out"/>
      <sheetName val="Fert.L"/>
      <sheetName val="Fertilizer"/>
      <sheetName val="Chems"/>
      <sheetName val="Chems.Out"/>
      <sheetName val="Chem.L"/>
      <sheetName val="Residues"/>
      <sheetName val="Residues.Out"/>
      <sheetName val="Residue.L"/>
      <sheetName val="Weed"/>
      <sheetName val="Weed.Out"/>
      <sheetName val="Harvest"/>
      <sheetName val="Harvest.Out"/>
      <sheetName val="pH"/>
      <sheetName val="pH.Out"/>
      <sheetName val="Other.Out"/>
      <sheetName val="Variety"/>
      <sheetName val="WaterHarvest"/>
      <sheetName val="WH.Out"/>
      <sheetName val="Irrigat"/>
      <sheetName val="Irrig.Out"/>
      <sheetName val="Animals.Out"/>
      <sheetName val="Other"/>
      <sheetName val="Animals"/>
      <sheetName val="PH.Energy"/>
      <sheetName val="PH.E.Out"/>
      <sheetName val="Make.Trt"/>
      <sheetName val="MT.Out"/>
      <sheetName val="Intercrop"/>
      <sheetName val="Int.Out"/>
      <sheetName val="Rotation"/>
      <sheetName val="Rot.Out"/>
      <sheetName val="Outcomes"/>
      <sheetName val="Out.Out"/>
      <sheetName val="Outcodes"/>
      <sheetName val="ED.LookUps"/>
      <sheetName val="Data.Out"/>
      <sheetName val="Bib.L"/>
      <sheetName val="EnterData"/>
      <sheetName val="Evaluate"/>
      <sheetName val="T.List"/>
      <sheetName val="Base.Out"/>
      <sheetName val="Sheet2"/>
      <sheetName val="Sheet3"/>
      <sheetName val="Out.L"/>
      <sheetName val="V1.14.3 - Majestic Hipp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Set>
  </externalBook>
</externalLink>
</file>

<file path=xl/persons/person.xml><?xml version="1.0" encoding="utf-8"?>
<personList xmlns="http://schemas.microsoft.com/office/spreadsheetml/2018/threadedcomments" xmlns:x="http://schemas.openxmlformats.org/spreadsheetml/2006/main">
  <person displayName="Sanchez, Andrea Cecilia (Alliance Bioversity-CIAT)" id="{C40DBF99-73A9-49FC-BB57-336111A2E5F3}" userId="S::andrea.sanchez@cgiar.org::1c01d433-d123-45b5-bcb7-0c97fcfb82b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9DA8E5E-EA60-42D7-9917-355E36134E10}" name="Table1" displayName="Table1" ref="A1:PG1086" totalsRowShown="0" headerRowDxfId="797">
  <autoFilter ref="A1:PG1086" xr:uid="{0217B3CA-C858-4B6B-BFA0-ECFB79516A94}"/>
  <tableColumns count="423">
    <tableColumn id="166" xr3:uid="{C8A23CA5-2F91-4A1F-AB24-6ABD039E8CB8}" name="ss_id"/>
    <tableColumn id="1" xr3:uid="{5390AEBA-E3D4-4949-9289-6C8261D10889}" name="study_id"/>
    <tableColumn id="411" xr3:uid="{9DDC3AC8-DB78-40B5-A3A4-A056715EE8EB}" name="country01"/>
    <tableColumn id="51" xr3:uid="{15414CFF-6F88-4104-BE61-F6BB44168E39}" name="site_type01"/>
    <tableColumn id="3" xr3:uid="{215F2DD3-B5CE-46E5-94EF-81DBD53F4AB8}" name="site_id01"/>
    <tableColumn id="4" xr3:uid="{AA45F56E-B660-4ACD-AEED-2B7C19642D75}" name="site_admin01"/>
    <tableColumn id="5" xr3:uid="{615F1628-56B0-48C7-A350-87D32A67D73C}" name="site_agg01"/>
    <tableColumn id="6" xr3:uid="{FDB16181-30A9-4271-959B-953B8F8E47B1}" name="site_latlong_type01"/>
    <tableColumn id="234" xr3:uid="{96E3D02C-F4F9-4EDB-B594-D1AD78139FCC}" name="site_latitude01"/>
    <tableColumn id="7" xr3:uid="{70588788-95A8-4C9B-9E1D-C6B0F7BF700E}" name="site_longitude01"/>
    <tableColumn id="8" xr3:uid="{4AB6FAF6-6620-473E-8891-B87DB482B57D}" name="site_buffer01"/>
    <tableColumn id="9" xr3:uid="{022E02F0-05AC-4DEC-8BB8-67B6B130BCCE}" name="country02"/>
    <tableColumn id="10" xr3:uid="{973E52B3-8F1A-4353-8923-26BB9169804C}" name="site_type02"/>
    <tableColumn id="150" xr3:uid="{C88CB27B-71BB-4443-A91E-7135D8CCA3BA}" name="site_id02"/>
    <tableColumn id="151" xr3:uid="{98E179D2-4087-4126-B687-27BA90C2C9CE}" name="site_admin02"/>
    <tableColumn id="152" xr3:uid="{5F680741-072E-430A-9CD7-5A1757F8620D}" name="site_agg02"/>
    <tableColumn id="153" xr3:uid="{703012A0-8AE5-440C-8D17-F2F980643EB1}" name="site_latlong_type02"/>
    <tableColumn id="154" xr3:uid="{243A6FF9-5E70-4383-B1D7-C933D7CEA59E}" name="site_latitude02"/>
    <tableColumn id="155" xr3:uid="{E640138C-3D59-40A8-AB2E-71B54454A979}" name="site_longitude02"/>
    <tableColumn id="156" xr3:uid="{16117F78-42EC-4C77-A65A-BC1F0431EDEA}" name="site_buffer02"/>
    <tableColumn id="157" xr3:uid="{6561E364-D03B-4709-AB65-6778FADE5BBA}" name="country03"/>
    <tableColumn id="158" xr3:uid="{533D097C-0941-45C2-84D6-22304B689F0B}" name="site_type03"/>
    <tableColumn id="314" xr3:uid="{908921D1-44D4-40D2-9BC3-97177F1C2684}" name="site_id03"/>
    <tableColumn id="315" xr3:uid="{B847205C-52A7-46F7-9FAD-911AA7BDD3A6}" name="site_admin03"/>
    <tableColumn id="316" xr3:uid="{B17027F9-14F6-4569-8DEC-51FD17AE4B0E}" name="site_agg03"/>
    <tableColumn id="317" xr3:uid="{D7B96E3C-E08E-431B-9F8E-0C29342C8F14}" name="site_latlong_type03"/>
    <tableColumn id="318" xr3:uid="{2822A039-DF86-47F3-954E-FFBF046F4FC5}" name="site_latitude03"/>
    <tableColumn id="319" xr3:uid="{B795B3C4-E0FA-4078-A8FD-E07CFF9AC7DC}" name="site_longitude03"/>
    <tableColumn id="320" xr3:uid="{E9268791-2B87-4953-93EA-6908C84149EE}" name="site_buffer03"/>
    <tableColumn id="321" xr3:uid="{51EE724C-1269-4867-A38A-E014F0D41DA5}" name="country04"/>
    <tableColumn id="322" xr3:uid="{3BCF742A-6B1B-4E65-A575-9449E82E208E}" name="site_type04"/>
    <tableColumn id="323" xr3:uid="{9A882D00-D100-4EBF-838D-D1D7421448A5}" name="site_id04"/>
    <tableColumn id="324" xr3:uid="{C747739E-D4A5-4177-9589-A72072C0B6F4}" name="site_admin04"/>
    <tableColumn id="325" xr3:uid="{4A83A85B-3B0A-4342-B79A-5A9EB9508E7E}" name="site_agg04"/>
    <tableColumn id="326" xr3:uid="{848513F5-7B33-4F96-AC3F-CEC2409B1829}" name="site_latlong_type04"/>
    <tableColumn id="327" xr3:uid="{FBD48422-8A75-41EE-BBF9-0AEF6B82F3FF}" name="site_latitude04"/>
    <tableColumn id="328" xr3:uid="{F91856A8-B0CD-485B-8F93-3E4C9C9046C6}" name="site_longitude04"/>
    <tableColumn id="329" xr3:uid="{5468A62D-4517-4776-9876-FFA1F8775531}" name="site_buffer04"/>
    <tableColumn id="330" xr3:uid="{5CF2BD09-A541-46FA-9618-D70C6B5A5898}" name="country05"/>
    <tableColumn id="331" xr3:uid="{96FFB049-3638-4345-9EB4-BF22FECB3659}" name="site_type05"/>
    <tableColumn id="332" xr3:uid="{A3C62F05-54E8-4191-A48F-EE139104D330}" name="site_id05"/>
    <tableColumn id="333" xr3:uid="{C49FBADF-31E9-4193-8BAC-ADEC43FAE967}" name="site_admin05"/>
    <tableColumn id="334" xr3:uid="{405D636C-2903-4475-AB5A-76AC4729D8D6}" name="site_agg05"/>
    <tableColumn id="335" xr3:uid="{21EDFE88-E090-47B4-8FF9-544C81D21F67}" name="site_latlong_type05"/>
    <tableColumn id="336" xr3:uid="{2421032F-AAED-4789-A69A-E56C9890790E}" name="site_latitude05"/>
    <tableColumn id="337" xr3:uid="{E34DC352-4FF7-4DDC-9530-F8FADB66E408}" name="site_longitude05"/>
    <tableColumn id="338" xr3:uid="{E7461BFD-F0EB-443A-BEF2-9A74A7313DFC}" name="site_buffer05"/>
    <tableColumn id="339" xr3:uid="{682F3FD6-DE8E-4864-8AA3-832E18B86A81}" name="exp_design"/>
    <tableColumn id="340" xr3:uid="{714A9EA6-7099-4B59-A73E-C1E5DE034DCC}" name="exp_plot_size"/>
    <tableColumn id="11" xr3:uid="{52149835-4FC4-4B99-BF1A-D3B67B8434D7}" name="exp_field_size"/>
    <tableColumn id="255" xr3:uid="{E2495AA5-FF51-46B5-B81E-6C0E1A864DB8}" name="exp_duration"/>
    <tableColumn id="12" xr3:uid="{D04C69F6-450E-408A-BFBB-F569D810BF62}" name="time_raw"/>
    <tableColumn id="274" xr3:uid="{59D3F969-C59F-482E-B40E-62FCF7E9CD88}" name="time_year_start"/>
    <tableColumn id="241" xr3:uid="{0679227E-4B1E-45B9-8B9C-2037B9FA2FA6}" name="time_year_end"/>
    <tableColumn id="238" xr3:uid="{C7B8319E-5CF7-45EE-AF51-AB3AE7AF9876}" name="time_season"/>
    <tableColumn id="239" xr3:uid="{38276269-A647-458A-AC89-14CC81139D19}" name="subpractice_raw"/>
    <tableColumn id="240" xr3:uid="{B8406A8A-4191-47A8-BFE7-6903A0D99F37}" name="subpractice_description_raw"/>
    <tableColumn id="236" xr3:uid="{5AF666CD-31C4-45EC-9797-672E461A2671}" name="practice_id"/>
    <tableColumn id="237" xr3:uid="{4B3609F5-4392-4D7C-B954-1357D9E6E5B1}" name="system_type"/>
    <tableColumn id="253" xr3:uid="{AD7A952E-F8A5-4AF2-AAA9-AE63AFAD99D5}" name="crop01"/>
    <tableColumn id="13" xr3:uid="{2AF7E8B5-4BF9-4C5E-87D9-FA3D60E1E4C8}" name="crop_variety01"/>
    <tableColumn id="14" xr3:uid="{7CB0140C-1190-4917-A800-AF6CE3FC6D37}" name="crop_density_unit01"/>
    <tableColumn id="15" xr3:uid="{935D12D9-6223-44A0-9080-D10344274400}" name="crop_density01"/>
    <tableColumn id="16" xr3:uid="{B4AAE87D-112A-4406-9515-E1D7619AC366}" name="crop_arrangement01"/>
    <tableColumn id="17" xr3:uid="{6E3E59CD-844D-4014-89D0-9C864BACC6F6}" name="crop02"/>
    <tableColumn id="18" xr3:uid="{7A28EB50-C486-4A75-A671-CDA46011EBEB}" name="crop_variety02"/>
    <tableColumn id="19" xr3:uid="{25025CF8-777C-4C99-A5BC-2C2100ABB1A0}" name="crop_density_unit02"/>
    <tableColumn id="20" xr3:uid="{A711CC0F-1173-4B06-97D4-E56A2C28C8AE}" name="crop_density02"/>
    <tableColumn id="21" xr3:uid="{67C5DCF2-6858-4ED9-8516-5B6013421571}" name="crop_arrangement02"/>
    <tableColumn id="22" xr3:uid="{C26CB542-5C00-411A-B2F7-97B2C742C2CE}" name="crop03"/>
    <tableColumn id="23" xr3:uid="{671A5CAC-BF6C-40A1-A074-115B14563590}" name="crop_variety03"/>
    <tableColumn id="24" xr3:uid="{B0BF4B85-7F1D-417B-BB01-ACBDD675B3F0}" name="crop_density_unit03"/>
    <tableColumn id="25" xr3:uid="{699B540B-6BF5-494A-9373-5B65409029B3}" name="crop_density03"/>
    <tableColumn id="26" xr3:uid="{C3EB7F52-1FAD-4B7B-9734-4FA99411C374}" name="crop_arrangement03"/>
    <tableColumn id="27" xr3:uid="{FEEAB8A8-C353-47C7-984E-04EE0574FF42}" name="crop04"/>
    <tableColumn id="28" xr3:uid="{B507E60B-44D0-45F4-90A3-54A8E0CE9DE6}" name="crop_variety04"/>
    <tableColumn id="50" xr3:uid="{33D8CFBC-C0BE-4692-9A1C-8830989ADC3B}" name="crop_density_unit04"/>
    <tableColumn id="279" xr3:uid="{C39E630F-770A-458F-B400-3FB457EA7FC3}" name="crop_density04"/>
    <tableColumn id="280" xr3:uid="{C06DC4E6-0445-4898-9E95-46850E34A3CB}" name="crop_arrangement04"/>
    <tableColumn id="281" xr3:uid="{E8C71341-4216-442C-B1C9-872D5EB7540A}" name="crop05"/>
    <tableColumn id="282" xr3:uid="{B076ECCF-4B85-42EA-B6C6-F5CB4511EF41}" name="crop_variety05"/>
    <tableColumn id="223" xr3:uid="{972DF35E-839A-477F-955B-A9A557864902}" name="crop_density_unit05"/>
    <tableColumn id="224" xr3:uid="{16859438-BDE1-4442-A8CB-1113C94A0126}" name="crop_density05"/>
    <tableColumn id="225" xr3:uid="{D1ECCD8D-5BA2-4ED9-A434-BC513AC5B6F1}" name="crop_arrangement05"/>
    <tableColumn id="226" xr3:uid="{9976316A-EFEB-46CD-9BE2-38ABF40E42E1}" name="crop06"/>
    <tableColumn id="227" xr3:uid="{1ADE19A9-BAB6-44AD-B2D3-43AF2833837C}" name="crop_variety06"/>
    <tableColumn id="228" xr3:uid="{8CD970C5-CB64-49EE-B99F-220B4761B99A}" name="crop_density_unit06"/>
    <tableColumn id="229" xr3:uid="{7A0416A7-323D-41E8-8169-05D6FBCC12D7}" name="crop_density06"/>
    <tableColumn id="230" xr3:uid="{06B712C1-4CB1-4E4C-8E3E-0AFAE912590C}" name="crop_arrangement06"/>
    <tableColumn id="231" xr3:uid="{B1907580-1019-42E0-AED5-3C2F3F43A401}" name="crop07"/>
    <tableColumn id="232" xr3:uid="{AA0FF5DC-2D4C-4D95-B837-D51D8919058B}" name="crop_variety07"/>
    <tableColumn id="233" xr3:uid="{F93DB958-EAF2-438C-97E5-E13F748A8380}" name="crop_density_unit07"/>
    <tableColumn id="235" xr3:uid="{D6F491F2-2EF3-4629-BE70-A162B60F231B}" name="crop_density07"/>
    <tableColumn id="246" xr3:uid="{37841259-2846-48E6-8DA7-11DE27E5A36F}" name="crop_arrangement07"/>
    <tableColumn id="247" xr3:uid="{E473DD4A-A39E-4887-BB2B-FC42E38F5D2E}" name="crop08"/>
    <tableColumn id="248" xr3:uid="{9B5206FB-E899-4164-9569-DC49D729AFFE}" name="crop_variety08"/>
    <tableColumn id="249" xr3:uid="{5ADDFE33-6BA4-4249-A037-BA178F859A32}" name="crop_density_unit08"/>
    <tableColumn id="251" xr3:uid="{42DA5040-E0B6-49F6-9AE0-E4BBC7422325}" name="crop_density08"/>
    <tableColumn id="254" xr3:uid="{0B036375-1817-46B1-9E4F-FD5326F0CB4B}" name="crop_arrangement08"/>
    <tableColumn id="260" xr3:uid="{31E634A5-804D-4A5E-9561-963D9CFCE6D5}" name="crop09"/>
    <tableColumn id="262" xr3:uid="{277B6443-EC0B-43D2-8344-1B6F02544DD8}" name="crop_variety09"/>
    <tableColumn id="271" xr3:uid="{40A372F6-7933-4C09-9D5B-1FB0AD702693}" name="crop_density_unit09"/>
    <tableColumn id="272" xr3:uid="{5DDAA75B-5BF6-4DC6-B189-74C9ED8A717B}" name="crop_density09"/>
    <tableColumn id="273" xr3:uid="{B1047361-086B-42A3-B425-2AF185013C7F}" name="crop_arrangement09"/>
    <tableColumn id="283" xr3:uid="{AAC0ADC7-E27C-4562-8DA9-ED8C87E51DA7}" name="crop10"/>
    <tableColumn id="278" xr3:uid="{B33BAA51-A88F-420A-9365-ABEB1B6E1663}" name="crop_variety10"/>
    <tableColumn id="284" xr3:uid="{34A92F84-EE92-4010-9493-7C75A9D28F6E}" name="crop_density_unit10"/>
    <tableColumn id="285" xr3:uid="{830232AB-B839-4F35-AB9E-3D559B0F8078}" name="crop_density10"/>
    <tableColumn id="286" xr3:uid="{C6A55642-43D6-4FD0-AF66-DF78C1429C98}" name="crop_arrangement10"/>
    <tableColumn id="287" xr3:uid="{2BFC0D97-2FD4-473F-8D14-3D73D759D49D}" name="crop11"/>
    <tableColumn id="288" xr3:uid="{508538AB-B141-4138-AEB0-47F1400E7E37}" name="crop_variety11"/>
    <tableColumn id="289" xr3:uid="{6629875A-76A5-45C9-A156-760A58EA78C6}" name="crop_density_unit11"/>
    <tableColumn id="290" xr3:uid="{5CC86C03-707D-49CC-AF3E-B4533FCB8F2D}" name="crop_density11"/>
    <tableColumn id="291" xr3:uid="{A5B6E3C5-82C9-45D0-82E6-0749492E4453}" name="crop_arrangement11"/>
    <tableColumn id="292" xr3:uid="{02231E45-E4C5-44D0-A129-D9C3009FD40D}" name="crop12"/>
    <tableColumn id="293" xr3:uid="{7C902E07-FB29-4DC9-839F-35623EE1A472}" name="crop_variety12"/>
    <tableColumn id="294" xr3:uid="{955E072A-60E8-46B2-998E-76DED63F95D0}" name="crop_density_unit12"/>
    <tableColumn id="295" xr3:uid="{B62A6BAC-9FB4-4985-AF84-2537D7D1D288}" name="crop_density12"/>
    <tableColumn id="296" xr3:uid="{1AB1E4D8-DBEA-424D-88C7-CC8FA4D33A89}" name="crop_arrangement12"/>
    <tableColumn id="297" xr3:uid="{FAAC874E-BC41-4397-A214-70327EED879D}" name="crop13"/>
    <tableColumn id="298" xr3:uid="{C215C47C-42C5-45EB-B6DF-A75BA36E9077}" name="crop_variety13"/>
    <tableColumn id="299" xr3:uid="{9C7D8725-2C10-4D8E-892F-5481705B99BE}" name="crop_density_unit13"/>
    <tableColumn id="300" xr3:uid="{81A5BC6D-2F8F-45C9-9DD4-F42462B05C3B}" name="crop_density13"/>
    <tableColumn id="301" xr3:uid="{24E4998D-A511-4F1D-B93B-AE33B01E355C}" name="crop_arrangement13"/>
    <tableColumn id="302" xr3:uid="{2941AF45-011D-4CF2-BAB7-2A822216F238}" name="crop14"/>
    <tableColumn id="303" xr3:uid="{A91F43E9-2787-49A9-A4ED-E3924563BBD7}" name="crop_variety14"/>
    <tableColumn id="313" xr3:uid="{2E4D66DA-04AE-4301-93B3-97F3D361F0CB}" name="crop_density_unit14"/>
    <tableColumn id="304" xr3:uid="{9F4C2F90-D188-4802-89B7-2B6689DF04F4}" name="crop_density14"/>
    <tableColumn id="305" xr3:uid="{404C7DDA-0E54-494B-9E47-8363F2469676}" name="crop_arrangement14"/>
    <tableColumn id="306" xr3:uid="{D6267014-5916-440E-83F3-6E9C404E69D1}" name="crop15"/>
    <tableColumn id="307" xr3:uid="{1844FBC4-747F-45B9-BDCB-E3910E9A4CCF}" name="crop_variety15"/>
    <tableColumn id="308" xr3:uid="{CF240B26-B935-4BAB-99DF-A06369B73AE6}" name="crop_density_unit15"/>
    <tableColumn id="309" xr3:uid="{7DB275D6-2FA3-496A-9460-D644F545DC7E}" name="crop_density15"/>
    <tableColumn id="310" xr3:uid="{55E44F80-97F7-4581-A835-E24140D2B51E}" name="crop_arrangement15"/>
    <tableColumn id="311" xr3:uid="{64A8C3A3-B371-40EA-BC77-AD170730D710}" name="tree01"/>
    <tableColumn id="312" xr3:uid="{41082E9B-03AD-4CA4-8C18-5D4F6D027575}" name="tree_density_unit01"/>
    <tableColumn id="268" xr3:uid="{360CFBC2-6F4C-4E57-8754-FBDE7ED9CE85}" name="tree_density01"/>
    <tableColumn id="269" xr3:uid="{259B8EA4-64A0-4113-A6CD-64849CA730A3}" name="tree_arrangement01"/>
    <tableColumn id="270" xr3:uid="{481C50B0-3680-4BC5-8914-BD84510E0E40}" name="tree02"/>
    <tableColumn id="162" xr3:uid="{67C3B592-D290-4165-88AF-79A047956B0B}" name="tree_density_unit02" dataDxfId="796"/>
    <tableColumn id="159" xr3:uid="{0321910E-E48E-4AAC-9CD3-6A77D4A10F8C}" name="tree_density02" dataDxfId="795"/>
    <tableColumn id="160" xr3:uid="{FF1A0174-7C22-450F-A789-AAAADE9A74A4}" name="tree_arrangement02" dataDxfId="794"/>
    <tableColumn id="161" xr3:uid="{C0EC0A3F-C938-4443-BF86-FC9B4244DB01}" name="tree03" dataDxfId="793"/>
    <tableColumn id="163" xr3:uid="{6DF4F6FF-1D7C-4FA1-99C9-F7CF69A1BBB3}" name="tree_density_unit03" dataDxfId="792"/>
    <tableColumn id="341" xr3:uid="{ED7654E3-DD55-4A2A-A187-A133397CCAE5}" name="tree_density03" dataDxfId="791"/>
    <tableColumn id="342" xr3:uid="{7DB88D77-C92D-413D-A77C-69EFE6350AA2}" name="tree_arrangement03" dataDxfId="790"/>
    <tableColumn id="343" xr3:uid="{FD3367C7-4C84-4EF8-B6AC-F88FD444AD69}" name="tree04" dataDxfId="789"/>
    <tableColumn id="344" xr3:uid="{07FAD3A1-9249-4B69-B1D3-E19AF8A7E99C}" name="tree_density_unit04" dataDxfId="788"/>
    <tableColumn id="345" xr3:uid="{45CB8A60-5DAE-4F74-B5E9-78D78DBE1535}" name="tree_density04" dataDxfId="787"/>
    <tableColumn id="346" xr3:uid="{D81CA74A-71AC-4AB4-899F-4462ABE950F0}" name="tree_arrangement04" dataDxfId="786"/>
    <tableColumn id="347" xr3:uid="{F20290B1-E7A2-4E30-867E-7AFDDF3EE536}" name="tree05" dataDxfId="785"/>
    <tableColumn id="348" xr3:uid="{45F9A1D4-3408-437A-8152-4758219BE659}" name="tree_density_unit05" dataDxfId="784"/>
    <tableColumn id="349" xr3:uid="{AEB83B46-8A38-471A-A132-BCC8FAA81B69}" name="tree_density05" dataDxfId="783"/>
    <tableColumn id="350" xr3:uid="{C7EEB6CC-AB1F-4AAD-8BA3-8F4FAC1FF4B0}" name="tree_arrangement05" dataDxfId="782"/>
    <tableColumn id="351" xr3:uid="{D5936058-8DBB-4182-A7C6-E5939A10946C}" name="tree06" dataDxfId="781"/>
    <tableColumn id="352" xr3:uid="{DD6F006E-DFAC-4BB0-AAF5-91435C4222F4}" name="tree_density_unit06" dataDxfId="780"/>
    <tableColumn id="353" xr3:uid="{651AF64A-167F-4AD1-BBFF-FCA154A69675}" name="tree_density06" dataDxfId="779"/>
    <tableColumn id="354" xr3:uid="{ED291335-AEAF-455F-82FB-DA21DE128416}" name="tree_arrangement06" dataDxfId="778"/>
    <tableColumn id="355" xr3:uid="{1989D979-2636-4321-89A9-0DB56912062B}" name="tree07" dataDxfId="777"/>
    <tableColumn id="356" xr3:uid="{91D54373-2686-4101-8CF7-E35E2E7915CE}" name="tree_density_unit07" dataDxfId="776"/>
    <tableColumn id="357" xr3:uid="{03425170-6807-4CFD-B921-98522BE53439}" name="tree_density07" dataDxfId="775"/>
    <tableColumn id="358" xr3:uid="{714D6E92-A818-4B45-9948-A652D8B7AC8B}" name="tree_arrangement07" dataDxfId="774"/>
    <tableColumn id="359" xr3:uid="{9B3E0F7F-292C-46BB-B463-9AD791D7E3D3}" name="tree08" dataDxfId="773"/>
    <tableColumn id="360" xr3:uid="{145EF881-B18B-43E4-842E-6D21CCB737E6}" name="tree_density_unit08" dataDxfId="772"/>
    <tableColumn id="361" xr3:uid="{A264EF10-F58B-45FB-81AE-51764C6FE113}" name="tree_density08" dataDxfId="771"/>
    <tableColumn id="362" xr3:uid="{D89DAAD3-E3BD-4598-810E-356038236E61}" name="tree_arrangement08" dataDxfId="770"/>
    <tableColumn id="363" xr3:uid="{6B7D8A8E-467F-432D-B36B-D99C979F05C8}" name="tree09" dataDxfId="769"/>
    <tableColumn id="364" xr3:uid="{E7AED1D8-91A7-4EE2-BCE7-300596E85AD0}" name="tree_density_unit09" dataDxfId="768"/>
    <tableColumn id="365" xr3:uid="{620A20FA-B777-4166-92B7-36DCAA860B9C}" name="tree_density09" dataDxfId="767"/>
    <tableColumn id="366" xr3:uid="{2EE71C52-8756-4FD2-8FF4-61EDCEC1A26F}" name="tree_arrangement09" dataDxfId="766"/>
    <tableColumn id="367" xr3:uid="{EBB65759-792A-42DB-95C4-69473B9AD5CE}" name="tree10" dataDxfId="765"/>
    <tableColumn id="368" xr3:uid="{B00B3FC5-EDC0-4CAA-90EE-0BE717BBECAE}" name="tree_density_unit10" dataDxfId="764"/>
    <tableColumn id="369" xr3:uid="{BB1859C2-D384-4ACD-8F4C-B8F7124F1F7A}" name="tree_density10" dataDxfId="763"/>
    <tableColumn id="370" xr3:uid="{A4CB551B-DD37-4969-ADAA-199B947F76A3}" name="tree_arrangement10" dataDxfId="762"/>
    <tableColumn id="371" xr3:uid="{E6F09058-689E-4A99-B062-B417476C1B92}" name="tree11" dataDxfId="761"/>
    <tableColumn id="372" xr3:uid="{1D1C89EF-ED33-4804-A325-DFE3028A7810}" name="tree_density_unit11" dataDxfId="760"/>
    <tableColumn id="373" xr3:uid="{D86F4952-CF9E-4268-A6F5-0814AEE3AAE0}" name="tree_density11" dataDxfId="759"/>
    <tableColumn id="374" xr3:uid="{3BDEE12F-0A1B-44DC-9B2E-069D92A0BBA3}" name="tree_arrangement11" dataDxfId="758"/>
    <tableColumn id="375" xr3:uid="{55C93E3B-146C-4619-9B8F-18BC4BAC778B}" name="tree12" dataDxfId="757"/>
    <tableColumn id="376" xr3:uid="{F9E3EDC1-C841-40FB-ABB3-C33808C60667}" name="tree_density_unit12" dataDxfId="756"/>
    <tableColumn id="377" xr3:uid="{EED6ADB0-1D9A-45A3-B42D-94C98DB627F9}" name="tree_density12" dataDxfId="755"/>
    <tableColumn id="378" xr3:uid="{014669D2-0F5E-4968-804D-AF52F873233A}" name="tree_arrangement12" dataDxfId="754"/>
    <tableColumn id="379" xr3:uid="{BDE1287B-FCA6-4829-A189-E958764713F2}" name="tree13" dataDxfId="753"/>
    <tableColumn id="380" xr3:uid="{51F57FA1-94C8-4C1F-99BD-FF62A25DC8B0}" name="tree_density_unit13" dataDxfId="752"/>
    <tableColumn id="381" xr3:uid="{2FBAE601-C061-49CD-9F9E-82A0CA361353}" name="tree_density13" dataDxfId="751"/>
    <tableColumn id="382" xr3:uid="{DF5D14C1-9069-426E-9915-51041D65AD4B}" name="tree_arrangement13" dataDxfId="750"/>
    <tableColumn id="383" xr3:uid="{FD6D77A7-0937-405C-BC0A-A1BC4F4817E0}" name="tree14" dataDxfId="749"/>
    <tableColumn id="384" xr3:uid="{7B2D3EB2-A606-47D8-A0AF-FBF62EEC9C21}" name="tree_density_unit14" dataDxfId="748"/>
    <tableColumn id="385" xr3:uid="{A3825A04-630C-4E36-AEB7-755E8FFFBC86}" name="tree_density14" dataDxfId="747"/>
    <tableColumn id="386" xr3:uid="{25BF84F6-72CF-420C-97B6-351007017D84}" name="tree_arrangement14" dataDxfId="746"/>
    <tableColumn id="387" xr3:uid="{96E0AB0E-02ED-4446-97DE-795691A9EECC}" name="tree15" dataDxfId="745"/>
    <tableColumn id="388" xr3:uid="{79CE56B6-CD55-4F3F-AD58-F4CD20DACADE}" name="tree_density_unit15" dataDxfId="744"/>
    <tableColumn id="389" xr3:uid="{F9AC5F0A-015B-4446-90CA-8DD1840DF369}" name="tree_density15" dataDxfId="743"/>
    <tableColumn id="390" xr3:uid="{25F60004-3BB4-457C-AC05-A79003F9E188}" name="tree_arrangement15" dataDxfId="742"/>
    <tableColumn id="391" xr3:uid="{519E05BC-962A-4377-928D-71714092EB4A}" name="animal01" dataDxfId="741"/>
    <tableColumn id="392" xr3:uid="{9E8BC561-A91F-4C84-B359-360BA87F4A30}" name="animal_breed01" dataDxfId="740"/>
    <tableColumn id="164" xr3:uid="{364EBEDB-5E6E-4AA9-ADD5-D96829D18E90}" name="animal_density_unit01" dataDxfId="739"/>
    <tableColumn id="168" xr3:uid="{2868DC60-603A-4777-BCA2-674B94674D1E}" name="animal_density01" dataDxfId="738"/>
    <tableColumn id="169" xr3:uid="{F5D34A2F-27A2-49E6-AA09-FDD3E3E83AAC}" name="animal_arrangement01" dataDxfId="737"/>
    <tableColumn id="173" xr3:uid="{7FFBAC95-5C85-46BF-B668-E34C4320628F}" name="animal02" dataDxfId="736"/>
    <tableColumn id="2" xr3:uid="{B1BD080D-7F71-4205-9D5F-106DC407ADB8}" name="animal_breed02" dataDxfId="735"/>
    <tableColumn id="184" xr3:uid="{32F7EA72-5EEB-4FAD-873E-78FE758EA34E}" name="animal_density_unit02" dataDxfId="734"/>
    <tableColumn id="185" xr3:uid="{17625798-2A82-4581-854E-A3A708139535}" name="animal_density02" dataDxfId="733"/>
    <tableColumn id="186" xr3:uid="{7757E5BF-F4A5-4FC2-ACDC-35CF44B75242}" name="animal_arrangement02" dataDxfId="732"/>
    <tableColumn id="187" xr3:uid="{0DE85C29-3B7C-4160-B792-90A50C4A55E5}" name="animal03" dataDxfId="731"/>
    <tableColumn id="121" xr3:uid="{61070040-F53D-4A6F-AB55-A14F50122C5F}" name="animal_breed03" dataDxfId="730"/>
    <tableColumn id="394" xr3:uid="{FFEC33EE-D05E-46F5-B3D2-C18839DF499D}" name="animal_density_unit03" dataDxfId="729"/>
    <tableColumn id="395" xr3:uid="{25BB282A-44C6-49BD-B913-12F90A239D09}" name="animal_density03" dataDxfId="728"/>
    <tableColumn id="396" xr3:uid="{E33A2945-7697-446B-8493-2A74237BDB4F}" name="animal_arrangement03" dataDxfId="727"/>
    <tableColumn id="397" xr3:uid="{76F70A87-63B1-4FBA-8088-B66FA9B7CDA8}" name="animal04" dataDxfId="726"/>
    <tableColumn id="398" xr3:uid="{28CEF047-4930-4A2F-9138-9F50FF75B498}" name="animal_breed04" dataDxfId="725"/>
    <tableColumn id="399" xr3:uid="{36AC6548-7D81-4EC7-8190-FDAFA37D00F6}" name="animal_density_unit04" dataDxfId="724"/>
    <tableColumn id="400" xr3:uid="{2700FAC8-5222-4F69-B8DE-2592AD0323B6}" name="animal_density04" dataDxfId="723"/>
    <tableColumn id="401" xr3:uid="{7B987B24-4453-442D-970D-814014599D91}" name="animal_arrangement04" dataDxfId="722"/>
    <tableColumn id="402" xr3:uid="{3C3F83F9-47E4-48C0-AA86-B4CCEE4A88BD}" name="animal05" dataDxfId="721"/>
    <tableColumn id="403" xr3:uid="{730709D0-0BE3-4E3E-B097-CA27D253BCF4}" name="animal_breed05" dataDxfId="720"/>
    <tableColumn id="404" xr3:uid="{58CE66C8-F76E-4386-85BC-2CA90F75C8EA}" name="animal_density_unit05" dataDxfId="719"/>
    <tableColumn id="405" xr3:uid="{CCEBE2F8-41C7-486A-A3CD-FC5CA0877CE0}" name="animal_density05" dataDxfId="718"/>
    <tableColumn id="406" xr3:uid="{74D87670-21DF-493F-8E34-FB31006D9ADD}" name="animal_arrangement05" dataDxfId="717"/>
    <tableColumn id="407" xr3:uid="{74C09784-004B-4F46-B880-46A2895C8686}" name="tillage_subpractice_raw" dataDxfId="716"/>
    <tableColumn id="408" xr3:uid="{5B2C3A21-663A-4167-B19A-376B3E94B378}" name="tillage_subpractice" dataDxfId="715"/>
    <tableColumn id="29" xr3:uid="{0BA130AD-FAC3-423F-9650-DA46698D2F9A}" name="tillage_method"/>
    <tableColumn id="30" xr3:uid="{DA5D0DB0-11ED-44F3-80AC-AB94ADFC0B54}" name="tillage_method_other"/>
    <tableColumn id="31" xr3:uid="{E6746894-7C9C-46FA-9C3D-01D0639DE90B}" name="tillage_depth"/>
    <tableColumn id="32" xr3:uid="{1DCD5E76-D842-432C-85A4-8AA97D3AEADC}" name="tillage_frequency"/>
    <tableColumn id="33" xr3:uid="{A2C0EB1C-C72F-45E6-8529-8DADEDB9B02B}" name="planting_subpractice_raw"/>
    <tableColumn id="34" xr3:uid="{B4E64218-1E15-4EE0-AE0A-5362365AA016}" name="planting_subpractice"/>
    <tableColumn id="35" xr3:uid="{8A77E082-8D54-4E43-BE34-9FF6C3974D67}" name="planting_method"/>
    <tableColumn id="55" xr3:uid="{918B8654-0EEE-4FFB-A770-2AE344120D24}" name="planting_date_start"/>
    <tableColumn id="56" xr3:uid="{70912182-113F-4574-B6BD-A6DA39845709}" name="planting_date_end"/>
    <tableColumn id="57" xr3:uid="{03F40C69-2394-4CA0-AF80-347CBFEB5B36}" name="varietal_crop_subpractice_raw"/>
    <tableColumn id="44" xr3:uid="{A3322B1F-3181-4EB3-9B0A-8D3CED2C2240}" name="varietal_crop_name"/>
    <tableColumn id="58" xr3:uid="{194FDC9A-A037-482A-AA79-BE762495F5C0}" name="varietal_crop_variety"/>
    <tableColumn id="132" xr3:uid="{4B1D6D9B-8D62-4F13-A622-5418F6AA59A3}" name="varietal_crop_subpractice" dataDxfId="714"/>
    <tableColumn id="36" xr3:uid="{57E4FEE0-C518-4EAD-A038-A01FF0948B47}" name="varietal_crop_type"/>
    <tableColumn id="37" xr3:uid="{0245BC23-8A2C-487C-8CBF-D1EC5332DB11}" name="varietal_crop_trait"/>
    <tableColumn id="38" xr3:uid="{2725F37A-53D6-49A9-9AB2-F25AAEC10B96}" name="varietal_animal_subpractice_raw"/>
    <tableColumn id="418" xr3:uid="{B5751C9B-206C-4544-AF05-57A8ACED6A48}" name="varietal_animal_name"/>
    <tableColumn id="175" xr3:uid="{70819A19-159C-49C5-98EE-B7F064247C73}" name="varietal_animal_breed"/>
    <tableColumn id="188" xr3:uid="{652048D8-79FB-4F4F-AA1F-C5291907714A}" name="varietal_animal_subpractice"/>
    <tableColumn id="189" xr3:uid="{0D6DEC79-4CC9-421E-9AF7-D8FD85D73438}" name="varietal_animal_type"/>
    <tableColumn id="52" xr3:uid="{89DC98D1-41E3-4AD1-BCBD-57047F8A4F32}" name="varietal_animal_trait"/>
    <tableColumn id="190" xr3:uid="{1F0CB4D1-928D-4766-A690-CB0B8F41CA77}" name="intercrop_subpractice_raw"/>
    <tableColumn id="191" xr3:uid="{864B955C-C153-4C23-B702-E85AE9867164}" name="intercrop_subpractice"/>
    <tableColumn id="176" xr3:uid="{41052F7D-FC40-4482-AA07-94278A8E82FF}" name="intercrop_design"/>
    <tableColumn id="60" xr3:uid="{1FFFEB54-C652-449F-B672-473F5A671A28}" name="intercrop_pattern"/>
    <tableColumn id="148" xr3:uid="{09EBEF5B-B8BA-4FB5-B332-872A556B5459}" name="intercrop_start_year"/>
    <tableColumn id="149" xr3:uid="{9E521CF7-B71B-4B30-9BC9-372F98AE44D6}" name="intercrop_start_season"/>
    <tableColumn id="177" xr3:uid="{B515C0F7-E8CD-4506-B28B-715B1A88FCD1}" name="intercrop_residues_fate"/>
    <tableColumn id="178" xr3:uid="{8DE5080C-05C6-4E57-993C-AEB319B35516}" name="crop_seq_subpractice_raw"/>
    <tableColumn id="179" xr3:uid="{2587485F-20AA-4701-9FF9-F02620806C3C}" name="crop_seq_subpractice01"/>
    <tableColumn id="53" xr3:uid="{962489B2-0D0C-4FE7-A2E7-84503BB38268}" name="crop_seq_subpractice02"/>
    <tableColumn id="180" xr3:uid="{2EF2C85E-B3F0-425C-BCDB-77A4566DA971}" name="crop_seq_subpractice03"/>
    <tableColumn id="245" xr3:uid="{5EF28E37-E073-47F2-8E91-873AAA0F8B4C}" name="crop_seq_start_year"/>
    <tableColumn id="244" xr3:uid="{9C428573-589A-43C9-A85E-031987393586}" name="crop_seq_start_season"/>
    <tableColumn id="181" xr3:uid="{5B15F8B5-F624-4F99-9537-E100103038B7}" name="crop_seq_residues_fate"/>
    <tableColumn id="182" xr3:uid="{A0B1F11C-7193-4C48-AF63-1D863A1F903C}" name="agrof_subpractice_raw"/>
    <tableColumn id="214" xr3:uid="{8FEA64FD-4BC2-4BB8-9758-EEA37CBFEA81}" name="agrof_spatial_arrangement_subpractice"/>
    <tableColumn id="183" xr3:uid="{CBCAAF3C-B671-4630-83AC-A5F43F908247}" name="agrof_components_subpractice"/>
    <tableColumn id="165" xr3:uid="{4F1581B8-F50D-48FC-9B84-222D15CB86A5}" name="agrof_shade_subpractice"/>
    <tableColumn id="193" xr3:uid="{BF776449-431F-478B-90B1-9E71C7DFA626}" name="agrof_subpractice_age_years"/>
    <tableColumn id="167" xr3:uid="{BE716256-F10E-4801-A1FF-CB5BB21F4F5A}" name="agrof_shade_mean"/>
    <tableColumn id="170" xr3:uid="{3DC7AADF-653E-4139-9B96-446919F45ADC}" name="agrof_shade_min"/>
    <tableColumn id="171" xr3:uid="{970FF208-DB31-4BD9-AC8F-563FCA36BF46}" name="agrof_shade_max"/>
    <tableColumn id="172" xr3:uid="{DB1C39DD-FEC9-4B1E-8C6D-079092E8F7DC}" name="agrof_canopy_height_mean"/>
    <tableColumn id="215" xr3:uid="{8F1FC4D0-7402-4BCC-AF7E-3AB0D81A06F4}" name="agrof_canopy_height_min"/>
    <tableColumn id="61" xr3:uid="{17F6940C-5B8A-4597-B081-2289CB197B2C}" name="agrof_canopy_height_max"/>
    <tableColumn id="62" xr3:uid="{9FD840E4-608D-4534-A05E-7DEAFFD4FEB4}" name="agrof_dhb_mean"/>
    <tableColumn id="63" xr3:uid="{60804766-C3FF-42B4-AFB0-1BFF9D978EF5}" name="agrof_dhb_min"/>
    <tableColumn id="64" xr3:uid="{06EDB666-993F-4730-8834-3C5689717158}" name="agrof_dhb_max"/>
    <tableColumn id="65" xr3:uid="{486A2D7F-C350-4272-80FB-DDEE9D4F858A}" name="fert_subpractice_raw"/>
    <tableColumn id="66" xr3:uid="{A6AD3744-C3DA-4EC3-8E92-07BC2DCE1823}" name="fert_subpractice"/>
    <tableColumn id="67" xr3:uid="{E3645A11-BE11-486B-BD3F-2F70D0F26BDF}" name="fert_inorganic_category"/>
    <tableColumn id="216" xr3:uid="{155FFC81-06B0-4C19-AC8C-615ADE48B401}" name="fert_inorganic_type"/>
    <tableColumn id="45" xr3:uid="{2B0B35CC-98DA-4DC3-8E42-CE38AA7109FA}" name="fert_inorganic_unit"/>
    <tableColumn id="46" xr3:uid="{50ABD9F3-86E0-4E0E-A9F8-72D7C1F1EB75}" name="fert_inorganic_amount"/>
    <tableColumn id="243" xr3:uid="{A75D39BC-4537-479B-B991-91D212F16613}" name="fert_inorganicNPK_unit" dataDxfId="713"/>
    <tableColumn id="54" xr3:uid="{FBF459DB-705D-40B3-95F8-150CDDFAC44F}" name="fert_inorganicN"/>
    <tableColumn id="47" xr3:uid="{358291DB-EDF6-4D51-9C2C-7AE01B1236A3}" name="fert_inorganicP"/>
    <tableColumn id="75" xr3:uid="{BAE808A6-3D76-4377-AD99-1B8FE3B27DC3}" name="fert_inorganicK"/>
    <tableColumn id="74" xr3:uid="{26255856-965E-4C86-90B8-E51AE84710C8}" name="fert_inorganicP2O5"/>
    <tableColumn id="128" xr3:uid="{7ED4B943-424A-462A-BA79-9F31F2292200}" name="fert_inorganicK2O"/>
    <tableColumn id="73" xr3:uid="{82F404E2-6458-4407-92A8-DCA41FFE7B7B}" name="fert_organic_category"/>
    <tableColumn id="77" xr3:uid="{2CE9CA95-1CED-403F-8953-282857E9ECAF}" name="fert_organic_type"/>
    <tableColumn id="78" xr3:uid="{4E10768E-71CF-44A5-9023-22BA7A1CABB2}" name="fert_organic_unit"/>
    <tableColumn id="79" xr3:uid="{FA2723AF-F27C-478E-922B-DFAA99CFD3F3}" name="fert_organic_amount"/>
    <tableColumn id="242" xr3:uid="{B6D9ED6B-E6A2-46A2-8D53-C5C5CD1EAAD3}" name="fert_organicNPK_unit" dataDxfId="712"/>
    <tableColumn id="80" xr3:uid="{293D47A5-6091-4499-B772-1C438A06DA6A}" name="fert_organicN"/>
    <tableColumn id="81" xr3:uid="{FB1D1C30-2AB2-4831-B5D4-D0AF800AFD1B}" name="fert_organicP"/>
    <tableColumn id="82" xr3:uid="{3E08A228-8D1F-4B5D-96FC-F384054AA6AA}" name="fert_organicK"/>
    <tableColumn id="110" xr3:uid="{09044BC8-6E54-4B4E-82B6-F627420D91AC}" name="fert_organic_source"/>
    <tableColumn id="144" xr3:uid="{97F8BC1D-2133-4225-ACAC-696058F4371B}" name="weed_method_raw"/>
    <tableColumn id="111" xr3:uid="{891DD9E4-23E4-4FC0-983A-A5628972AB01}" name="weed_method"/>
    <tableColumn id="137" xr3:uid="{86257C9C-8463-4FE4-8F83-CA94C70405DE}" name="weed_frequency_unit"/>
    <tableColumn id="83" xr3:uid="{B35F2297-CC88-4775-8371-BA0B8FE96189}" name="weed_frequency"/>
    <tableColumn id="85" xr3:uid="{45452095-00C2-4E71-8F8E-D2E0728EBC85}" name="chem_subpractice_raw"/>
    <tableColumn id="125" xr3:uid="{70F48D63-B85D-42CA-9122-7F774D208DE4}" name="chem_subpractice01"/>
    <tableColumn id="124" xr3:uid="{6B163157-F070-4A0D-BE42-46D646DEDA00}" name="chem_name01"/>
    <tableColumn id="69" xr3:uid="{21005658-E754-44F1-B4EF-B8E3224425D5}" name="chem_unit01"/>
    <tableColumn id="70" xr3:uid="{97B01FA7-AE91-4E5C-B6CA-C35242EF08FC}" name="chem_amount01"/>
    <tableColumn id="256" xr3:uid="{181130BD-B7EF-416F-ADB7-96269551FA9A}" name="chem_subpractice02"/>
    <tableColumn id="257" xr3:uid="{8D5EAB4F-DA3C-48B1-9916-96D5631B7907}" name="chem_name02"/>
    <tableColumn id="258" xr3:uid="{0ED5AD6D-8C5E-4113-84E0-634C0D9D4337}" name="chem_unit02"/>
    <tableColumn id="259" xr3:uid="{C03DB076-EAD8-4E2B-B49E-8118B1128D8F}" name="chem_amount02"/>
    <tableColumn id="264" xr3:uid="{12DDC123-F530-4D58-A27C-F5D3B1BD50B1}" name="chem_subpractice03" dataDxfId="711"/>
    <tableColumn id="265" xr3:uid="{FD1F3321-599E-4C3C-AB7D-0FAEFF17BB1E}" name="chem_name03" dataDxfId="710"/>
    <tableColumn id="266" xr3:uid="{1B11E53A-7535-47EB-93BF-714B7FE7FF11}" name="chem_unit03" dataDxfId="709"/>
    <tableColumn id="267" xr3:uid="{F808183A-533E-4812-B6DD-E59A71739723}" name="chem_amount03" dataDxfId="708"/>
    <tableColumn id="71" xr3:uid="{693EE5C5-4FCB-46AA-8630-97CDA8DB2B6A}" name="residues_subpractice_raw"/>
    <tableColumn id="72" xr3:uid="{53752156-2096-4FCC-B1FD-3F4A30AC762C}" name="residues_subpractice01"/>
    <tableColumn id="196" xr3:uid="{4D48F3F5-5E15-4EC4-A081-187901FC5437}" name="residues_subpractice02"/>
    <tableColumn id="197" xr3:uid="{46ED67A3-0ACE-4296-BDB8-C6696134C927}" name="residues_subpractice03"/>
    <tableColumn id="198" xr3:uid="{1FF400A5-93BC-4E6F-A776-1ACF17ACC489}" name="residues_subpractice04"/>
    <tableColumn id="421" xr3:uid="{E25ACB7F-5AF2-460E-9910-486DD3CF9041}" name="residues_CO_unit"/>
    <tableColumn id="422" xr3:uid="{06241E57-7AD9-47C0-916B-CEC65820E7D9}" name="residues_CO"/>
    <tableColumn id="76" xr3:uid="{4999139C-016C-40EE-ACAD-0BE8F5FEA7DD}" name="residues_N_unit"/>
    <tableColumn id="84" xr3:uid="{57A4FC28-2AB1-4774-8694-C1C4A37CD102}" name="residues_N"/>
    <tableColumn id="419" xr3:uid="{42B3EC46-3BFC-413F-9BD9-6F03C4648A03}" name="residues_P_unit"/>
    <tableColumn id="86" xr3:uid="{0E614474-D4C5-4436-8FBB-444118F190E5}" name="residues_P"/>
    <tableColumn id="420" xr3:uid="{A31012F9-E936-4804-B1BC-E57C3A2A6FF1}" name="residues_unit_K"/>
    <tableColumn id="87" xr3:uid="{EBDAC0EA-7BAD-41E8-A813-299B572A9583}" name="residues_K"/>
    <tableColumn id="88" xr3:uid="{B68972FA-9359-4EF2-BF4E-43BBBDEB4EE5}" name="residues_tree"/>
    <tableColumn id="89" xr3:uid="{25BE4AA8-67FE-4700-8376-A9ECB3C5DA75}" name="residues_material"/>
    <tableColumn id="90" xr3:uid="{EDA12915-E41A-4AAD-A283-5EFED0B7E87C}" name="residues_processing"/>
    <tableColumn id="91" xr3:uid="{5E92794A-5D9A-4D08-96AA-6CC91D2A1C72}" name="residues_material_source"/>
    <tableColumn id="92" xr3:uid="{6D10E9C1-6C29-4F4E-9F86-10FD1498EB13}" name="residues_material_unit"/>
    <tableColumn id="93" xr3:uid="{29641DBF-ED22-4C10-8C9A-3AE7D2DDA701}" name="residues_material_amount"/>
    <tableColumn id="94" xr3:uid="{70A60611-629F-466B-91B2-D9463E05A9B3}" name="ph_subpractice_raw"/>
    <tableColumn id="95" xr3:uid="{0CAACD1A-663A-4F5B-B5BE-51D0A71FA43A}" name="ph_subpractice"/>
    <tableColumn id="96" xr3:uid="{73D2A6B1-58E3-4988-A054-E2CC64E0D01F}" name="ph_material_applied"/>
    <tableColumn id="97" xr3:uid="{BA48DA89-E334-4FA7-9DF1-2BFF031D8BE1}" name="ph_material_unit"/>
    <tableColumn id="98" xr3:uid="{EFDCEAB1-53B1-4E97-BEA2-145E230CC7A7}" name="ph_material_amount"/>
    <tableColumn id="99" xr3:uid="{4BC69875-5DC8-4918-B894-6E72A3B68DC1}" name="irrig_subpractice_raw"/>
    <tableColumn id="100" xr3:uid="{9CA7D4C6-151C-4383-94BC-A0B1361375D9}" name="irrig_subpractice"/>
    <tableColumn id="423" xr3:uid="{2C92AC51-4617-4AB5-95A2-C1E75F8BF99D}" name="irrig_method"/>
    <tableColumn id="101" xr3:uid="{2AC27C83-F8A1-4223-B710-A2C1B810F598}" name="irrig_date_start"/>
    <tableColumn id="102" xr3:uid="{FBCE7012-4943-442F-8E2F-33A2BCE2EBCC}" name="irrig_date_end"/>
    <tableColumn id="103" xr3:uid="{88926600-DB4E-4665-B62C-328761EFA05B}" name="irrig_water_unit"/>
    <tableColumn id="104" xr3:uid="{B33EE80C-40C5-4636-BF9C-99039299A08F}" name="irrig_water_amount"/>
    <tableColumn id="105" xr3:uid="{6A1702DA-0FD6-4A32-89A7-B49F8DB36B71}" name="irrig_water_type"/>
    <tableColumn id="106" xr3:uid="{BC7F8086-33FF-4996-B668-0F10315057CB}" name="watharv_subpractice_raw"/>
    <tableColumn id="107" xr3:uid="{253FF347-667F-4539-96EE-9622A5AA2878}" name="watharv_subpractice01"/>
    <tableColumn id="59" xr3:uid="{F6024316-1C3B-4303-B389-E2EF4E42B37A}" name="watharv_subpractice02"/>
    <tableColumn id="194" xr3:uid="{07E18812-73BA-401A-83D5-53BE282DBFA4}" name="watharv_subpractice03"/>
    <tableColumn id="195" xr3:uid="{4E1130CD-F366-43A1-A5FF-247E987DF835}" name="watharv_subpractice04"/>
    <tableColumn id="108" xr3:uid="{FAF34F59-63E1-4849-AB7F-0A81D6542B48}" name="harvest_subpractice_raw"/>
    <tableColumn id="109" xr3:uid="{7D4ABFAF-5A4E-4814-BC3E-7F10713536E4}" name="harvest_subpractice"/>
    <tableColumn id="112" xr3:uid="{66931167-4307-4815-A898-729506260E4D}" name="harvest_date_start"/>
    <tableColumn id="113" xr3:uid="{3C56C8BD-D972-4AA0-B152-0BF3FB3AC79C}" name="harvest_date_end"/>
    <tableColumn id="114" xr3:uid="{6C958996-D525-4B75-9B36-551A81A201BA}" name="harvest_days_after_planting"/>
    <tableColumn id="115" xr3:uid="{453FEED7-6B60-47FB-ACC1-6AD31C4C578C}" name="postharvest_subpractice_raw"/>
    <tableColumn id="116" xr3:uid="{0CD311FD-1EB8-4C32-9506-D2757124386F}" name="postharvest_subpractice01"/>
    <tableColumn id="199" xr3:uid="{922F844B-7937-4D47-BEEE-B95CAC671B6C}" name="postharvest_subpractice02"/>
    <tableColumn id="200" xr3:uid="{56123415-091F-46C2-8E16-F061AEAC0BF1}" name="postharvest_subpractice03"/>
    <tableColumn id="201" xr3:uid="{2BD981CB-DE9D-4281-904A-6BF01AAED943}" name="postharvest_subpractice04"/>
    <tableColumn id="117" xr3:uid="{D3AB7313-AAD5-4994-8F12-BC9A100B42FC}" name="postharvest_date_start"/>
    <tableColumn id="39" xr3:uid="{EF6DAF33-B2DD-4338-8A62-515C8DA8064E}" name="postharvest_date_end"/>
    <tableColumn id="40" xr3:uid="{2C15F80A-B4C3-48C5-8461-920011B40FFE}" name="postharvest_days_after_storage"/>
    <tableColumn id="213" xr3:uid="{AE170034-5A87-48BD-B231-DDAC307C1FB7}" name="land_structure_subpractice_raw"/>
    <tableColumn id="277" xr3:uid="{FE64E026-7DF9-439C-A2C7-B14510B7BC88}" name="land_structure_subpractice"/>
    <tableColumn id="393" xr3:uid="{EBFDD32A-E8A7-41AA-8084-25A533705B3B}" name="land_structure_function"/>
    <tableColumn id="409" xr3:uid="{DE04B882-15A2-474E-9CA1-B2F3630B0014}" name="land_structure_origin"/>
    <tableColumn id="410" xr3:uid="{57A60126-59E8-44D9-B574-58B2D62976E0}" name="land_structure_manage"/>
    <tableColumn id="41" xr3:uid="{1A0205B9-D75A-4E16-9BE5-C01280E52757}" name="out_exp_design"/>
    <tableColumn id="42" xr3:uid="{9652C2BC-AC51-42AE-937D-43E5569B6CFA}" name="out_exp_plot_size"/>
    <tableColumn id="43" xr3:uid="{814ECB06-544E-4213-83F7-39FF7EFC1C42}" name="product_raw"/>
    <tableColumn id="48" xr3:uid="{5EF40663-F561-43F2-A591-DCF2A6DB4C93}" name="product_component01"/>
    <tableColumn id="250" xr3:uid="{98D125CC-BFB9-4F59-BEFE-17A105B26E92}" name="product_component02"/>
    <tableColumn id="252" xr3:uid="{1A61BB2F-2BB6-42AE-AA27-E0FAC681A4F9}" name="product_component03"/>
    <tableColumn id="261" xr3:uid="{007B18F2-9BEB-43C2-A4C5-E2BE6EE32007}" name="product_component04"/>
    <tableColumn id="263" xr3:uid="{C9C8E50C-EB81-49DA-A6FB-1535B9E1A71F}" name="product_component05"/>
    <tableColumn id="49" xr3:uid="{13A4CE93-0BA2-465A-A1D3-FBA999805EF3}" name="bio_func_group"/>
    <tableColumn id="192" xr3:uid="{8F6C2C49-A3A7-4A0A-A092-CFE24017D00F}" name="bio_ground_ref"/>
    <tableColumn id="174" xr3:uid="{9724FAF9-10E1-4844-9F59-696105F9B186}" name="econ_inputs"/>
    <tableColumn id="68" xr3:uid="{FF059607-3519-4D5D-9592-D2230665D558}" name="out_subindicator_raw"/>
    <tableColumn id="118" xr3:uid="{405CEDF3-8431-422E-A2B6-428DDCAE7016}" name="out_subindicator_description_raw"/>
    <tableColumn id="119" xr3:uid="{0574D15D-3714-4716-B567-5D9F3A2AF784}" name="out_subindicator"/>
    <tableColumn id="120" xr3:uid="{F80F6865-20A3-463C-9217-17E164A56114}" name="out_subindicator_unit"/>
    <tableColumn id="122" xr3:uid="{0A9B5B1D-7991-41A1-B987-558A43AC0EDA}" name="out_soil_depth_l"/>
    <tableColumn id="123" xr3:uid="{962C3893-39AF-4468-9724-765AE0A5F087}" name="out_soil_depth_u"/>
    <tableColumn id="126" xr3:uid="{81339580-13E0-477F-8B94-764B8699B9D5}" name="out_npv_discount_rate"/>
    <tableColumn id="127" xr3:uid="{9FA674FE-21F2-4FE3-8BAF-CA095FDD853B}" name="out_npv_econ_period"/>
    <tableColumn id="129" xr3:uid="{CDF3AB92-70DD-4727-84A3-07BEFAC32F1C}" name="out_wg_start"/>
    <tableColumn id="130" xr3:uid="{71FA23B9-FF39-4050-B545-5948FFDD24A5}" name="out_wg_start_unit"/>
    <tableColumn id="131" xr3:uid="{CF74B041-C50C-48AE-A370-2FCC683A97F5}" name="out_wg_days"/>
    <tableColumn id="133" xr3:uid="{A2DDB6D0-15FC-4070-BBED-7253C7380296}" name="out_comparison_treatment"/>
    <tableColumn id="134" xr3:uid="{634F4F6E-D7FE-43A5-9A9F-D3EA22A2DED9}" name="out_value_metric"/>
    <tableColumn id="135" xr3:uid="{7888AA9B-6220-44C9-AE02-EFDA531C65FA}" name="out_value"/>
    <tableColumn id="136" xr3:uid="{5CA6C7B3-54CE-45C2-B3F1-61C81830693C}" name="out_var_metric"/>
    <tableColumn id="138" xr3:uid="{A51AA032-9DA7-4196-990C-83748D791F0E}" name="out_var_value"/>
    <tableColumn id="139" xr3:uid="{D14CB834-4995-4B5E-9B4D-2EBE960A3028}" name="outc_var_value_l"/>
    <tableColumn id="140" xr3:uid="{C9CCFE54-9CDD-4BE0-ADE1-3E8A8D28F3F4}" name="outc_var_value_u"/>
    <tableColumn id="141" xr3:uid="{487BDF59-F2DB-498D-97F6-FFF300B530A4}" name="out_sample_size"/>
    <tableColumn id="202" xr3:uid="{DC2515EC-2E7A-4FA4-9B41-0AB6177FD872}" name="out_value_product_component01"/>
    <tableColumn id="220" xr3:uid="{4075FE6A-0327-41DF-9823-13BBDEE46D10}" name="out_var_value_product_component01"/>
    <tableColumn id="210" xr3:uid="{F7C9BB1E-2910-48DB-A837-AEF8E25550F4}" name="out_value_product_component02"/>
    <tableColumn id="221" xr3:uid="{7BB5F10F-ADC7-4E93-BB27-039EB82C4A00}" name="out_var_value_product_component02"/>
    <tableColumn id="217" xr3:uid="{AD896618-0FCD-469B-885E-983FF9C644D7}" name="out_value_product_component03"/>
    <tableColumn id="222" xr3:uid="{D182E797-CA29-4E6A-8AD8-BFF077E8D9E4}" name="out_var_value_product_component03"/>
    <tableColumn id="218" xr3:uid="{889E60A0-F4A0-4D1A-9AF6-BE8C91AF85F5}" name="out_value_product_component04"/>
    <tableColumn id="219" xr3:uid="{4CE87424-C59C-4FCA-A5AC-4D23E13D3F70}" name="out_var_value_product_component04"/>
    <tableColumn id="211" xr3:uid="{64EF697B-2A0B-4153-BB94-118B1959066E}" name="out_value_product_component05"/>
    <tableColumn id="212" xr3:uid="{3DA245CB-308A-4B3F-93AB-2DB399851BD0}" name="out_var_value_product_component05"/>
    <tableColumn id="413" xr3:uid="{E57D2242-B037-416A-BBD2-3BB2CD62B2EA}" name="ler_value_product_component01"/>
    <tableColumn id="415" xr3:uid="{8361ACCD-B61A-4272-9DB8-FDF4CBD28D9A}" name="ler_var_value_product_component01"/>
    <tableColumn id="414" xr3:uid="{CF6E8AA2-D9D9-401B-ACCC-3DF6F0797B21}" name="ler_value_product_component02"/>
    <tableColumn id="412" xr3:uid="{2191ECA8-0FC5-47D8-8DB8-5958D4AF2CDC}" name="ler_var_value_product_component02"/>
    <tableColumn id="416" xr3:uid="{7071C41B-CE78-466F-88AC-EEA2108DA28B}" name="ler_value_total"/>
    <tableColumn id="417" xr3:uid="{F0411CB3-2947-4F7A-8DC6-DCFA15A70038}" name="ler_var_total"/>
    <tableColumn id="142" xr3:uid="{BE5F9334-DA22-4EC7-9121-F5A77BDDA2C6}" name="data_location"/>
    <tableColumn id="143" xr3:uid="{61B6318D-ED27-44DC-90FE-CDB5DB67C86D}" name="out_agg_stat"/>
    <tableColumn id="275" xr3:uid="{074B1E49-D19B-4571-BFD3-A9FB0E4AAA2D}" name="out_year"/>
    <tableColumn id="145" xr3:uid="{80921E8B-D492-4FD4-AEA9-4E9102F0F8E7}" name="out_year_start"/>
    <tableColumn id="146" xr3:uid="{9BCD7EEE-CA0F-4A43-928B-E43510B1CA38}" name="out_year_end"/>
    <tableColumn id="147" xr3:uid="{A1988F63-5085-44F6-AA18-8345C1B3EA29}" name="out_season_start"/>
    <tableColumn id="276" xr3:uid="{0C295053-4D3C-4373-A31D-E5C8B1E2E4CA}" name="out_season_end"/>
    <tableColumn id="203" xr3:uid="{6A654C9A-E222-4ACB-B05B-42033A5D0210}" name="extraction_person"/>
    <tableColumn id="204" xr3:uid="{60250E0C-C01E-4A2A-AAE2-ED4656604BAA}" name="extraction_date"/>
    <tableColumn id="208" xr3:uid="{001CAD15-87BF-4727-8674-A330FF26C9CC}" name="extraction_obs"/>
    <tableColumn id="206" xr3:uid="{0D703778-7DD5-49CB-894D-95DF6BB42CB5}" name="checking_person"/>
    <tableColumn id="207" xr3:uid="{B610709E-873B-492B-B998-C20E484F0A05}" name="checking_date"/>
    <tableColumn id="209" xr3:uid="{0E69BB0B-2671-4BC4-BA18-423954F76ACA}" name="checking_obs"/>
    <tableColumn id="205" xr3:uid="{6BFDFF9B-F77A-4D12-972A-01512BEFDBB2}" name="row_statu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C3" dT="2026-02-20T15:03:48.65" personId="{C40DBF99-73A9-49FC-BB57-336111A2E5F3}" id="{37232256-CEC7-403D-9C45-CE35318A18FB}">
    <text>For me it is not clear what should we put here. Ask Namita or Lolita</text>
  </threadedComment>
  <threadedComment ref="ML3" dT="2026-02-20T20:50:13.23" personId="{C40DBF99-73A9-49FC-BB57-336111A2E5F3}" id="{6FB11702-965D-4E54-B8F6-E54968BD4B24}">
    <text>Not sure what is this</text>
  </threadedComment>
  <threadedComment ref="MT3" dT="2026-02-20T20:51:05.06" personId="{C40DBF99-73A9-49FC-BB57-336111A2E5F3}" id="{A036609E-011B-4E77-8B02-041B17A54C36}">
    <text>Not sure what is this</text>
  </threadedComment>
</ThreadedComments>
</file>

<file path=xl/threadedComments/threadedComment2.xml><?xml version="1.0" encoding="utf-8"?>
<ThreadedComments xmlns="http://schemas.microsoft.com/office/spreadsheetml/2018/threadedcomments" xmlns:x="http://schemas.openxmlformats.org/spreadsheetml/2006/main">
  <threadedComment ref="E26" dT="2026-02-20T15:03:48.65" personId="{C40DBF99-73A9-49FC-BB57-336111A2E5F3}" id="{2E45A1FD-E58F-4A92-9A9B-4AB17E29AC84}">
    <text>For me it is not clear what should we put here. Ask Namita or Lolita</text>
  </threadedComment>
  <threadedComment ref="E157" dT="2026-02-20T20:50:13.23" personId="{C40DBF99-73A9-49FC-BB57-336111A2E5F3}" id="{D3607ED9-8DCE-4679-889B-60C0AFABED6F}">
    <text>Not sure what is this</text>
  </threadedComment>
  <threadedComment ref="E162" dT="2026-02-20T20:51:05.06" personId="{C40DBF99-73A9-49FC-BB57-336111A2E5F3}" id="{B1A97C8B-9FBD-4747-AE70-56D3BEBF50F2}">
    <text>Not sure what is this</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3" Type="http://schemas.openxmlformats.org/officeDocument/2006/relationships/hyperlink" Target="http://aims.fao.org/aos/agrovoc/c_24430" TargetMode="External"/><Relationship Id="rId18" Type="http://schemas.openxmlformats.org/officeDocument/2006/relationships/hyperlink" Target="http://aims.fao.org/aos/agrovoc/c_6139" TargetMode="External"/><Relationship Id="rId26" Type="http://schemas.openxmlformats.org/officeDocument/2006/relationships/hyperlink" Target="http://aims.fao.org/aos/agrovoc/c_25305" TargetMode="External"/><Relationship Id="rId3" Type="http://schemas.openxmlformats.org/officeDocument/2006/relationships/hyperlink" Target="http://aims.fao.org/aos/agrovoc/c_5192" TargetMode="External"/><Relationship Id="rId21" Type="http://schemas.openxmlformats.org/officeDocument/2006/relationships/hyperlink" Target="http://aims.fao.org/aos/agrovoc/c_25768" TargetMode="External"/><Relationship Id="rId34" Type="http://schemas.openxmlformats.org/officeDocument/2006/relationships/vmlDrawing" Target="../drawings/vmlDrawing2.vml"/><Relationship Id="rId7" Type="http://schemas.openxmlformats.org/officeDocument/2006/relationships/hyperlink" Target="http://aims.fao.org/aos/agrovoc/c_5192" TargetMode="External"/><Relationship Id="rId12" Type="http://schemas.openxmlformats.org/officeDocument/2006/relationships/hyperlink" Target="http://aims.fao.org/aos/agrovoc/c_24430" TargetMode="External"/><Relationship Id="rId17" Type="http://schemas.openxmlformats.org/officeDocument/2006/relationships/hyperlink" Target="http://aims.fao.org/aos/agrovoc/c_5804" TargetMode="External"/><Relationship Id="rId25" Type="http://schemas.openxmlformats.org/officeDocument/2006/relationships/hyperlink" Target="http://aims.fao.org/aos/agrovoc/c_3958" TargetMode="External"/><Relationship Id="rId33" Type="http://schemas.openxmlformats.org/officeDocument/2006/relationships/hyperlink" Target="http://aims.fao.org/aos/agrovoc/c_24065" TargetMode="External"/><Relationship Id="rId2" Type="http://schemas.openxmlformats.org/officeDocument/2006/relationships/hyperlink" Target="http://aims.fao.org/aos/agrovoc/c_5192" TargetMode="External"/><Relationship Id="rId16" Type="http://schemas.openxmlformats.org/officeDocument/2006/relationships/hyperlink" Target="http://aims.fao.org/aos/agrovoc/c_16118" TargetMode="External"/><Relationship Id="rId20" Type="http://schemas.openxmlformats.org/officeDocument/2006/relationships/hyperlink" Target="http://aims.fao.org/aos/agrovoc/c_4977" TargetMode="External"/><Relationship Id="rId29" Type="http://schemas.openxmlformats.org/officeDocument/2006/relationships/hyperlink" Target="http://aims.fao.org/aos/agrovoc/c_29466" TargetMode="External"/><Relationship Id="rId1" Type="http://schemas.openxmlformats.org/officeDocument/2006/relationships/hyperlink" Target="http://aims.fao.org/aos/agrovoc/c_5192" TargetMode="External"/><Relationship Id="rId6" Type="http://schemas.openxmlformats.org/officeDocument/2006/relationships/hyperlink" Target="http://aims.fao.org/aos/agrovoc/c_5192" TargetMode="External"/><Relationship Id="rId11" Type="http://schemas.openxmlformats.org/officeDocument/2006/relationships/hyperlink" Target="http://aims.fao.org/aos/agrovoc/c_2867" TargetMode="External"/><Relationship Id="rId24" Type="http://schemas.openxmlformats.org/officeDocument/2006/relationships/hyperlink" Target="http://aims.fao.org/aos/agrovoc/c_200" TargetMode="External"/><Relationship Id="rId32" Type="http://schemas.openxmlformats.org/officeDocument/2006/relationships/hyperlink" Target="http://aims.fao.org/aos/agrovoc/c_24065" TargetMode="External"/><Relationship Id="rId5" Type="http://schemas.openxmlformats.org/officeDocument/2006/relationships/hyperlink" Target="http://aims.fao.org/aos/agrovoc/c_5192" TargetMode="External"/><Relationship Id="rId15" Type="http://schemas.openxmlformats.org/officeDocument/2006/relationships/hyperlink" Target="http://aims.fao.org/aos/agrovoc/c_24200" TargetMode="External"/><Relationship Id="rId23" Type="http://schemas.openxmlformats.org/officeDocument/2006/relationships/hyperlink" Target="http://aims.fao.org/aos/agrovoc/c_25206" TargetMode="External"/><Relationship Id="rId28" Type="http://schemas.openxmlformats.org/officeDocument/2006/relationships/hyperlink" Target="http://aims.fao.org/aos/agrovoc/c_331243" TargetMode="External"/><Relationship Id="rId36" Type="http://schemas.microsoft.com/office/2017/10/relationships/threadedComment" Target="../threadedComments/threadedComment2.xml"/><Relationship Id="rId10" Type="http://schemas.openxmlformats.org/officeDocument/2006/relationships/hyperlink" Target="http://aims.fao.org/aos/agrovoc/c_2867" TargetMode="External"/><Relationship Id="rId19" Type="http://schemas.openxmlformats.org/officeDocument/2006/relationships/hyperlink" Target="http://aims.fao.org/aos/agrovoc/c_26837" TargetMode="External"/><Relationship Id="rId31" Type="http://schemas.openxmlformats.org/officeDocument/2006/relationships/hyperlink" Target="http://aims.fao.org/aos/agrovoc/c_2412" TargetMode="External"/><Relationship Id="rId4" Type="http://schemas.openxmlformats.org/officeDocument/2006/relationships/hyperlink" Target="http://aims.fao.org/aos/agrovoc/c_5192" TargetMode="External"/><Relationship Id="rId9" Type="http://schemas.openxmlformats.org/officeDocument/2006/relationships/hyperlink" Target="http://aims.fao.org/aos/agrovoc/c_2867" TargetMode="External"/><Relationship Id="rId14" Type="http://schemas.openxmlformats.org/officeDocument/2006/relationships/hyperlink" Target="https://agrovoc.fao.org/browse/agrovoc/en/page/c_16113" TargetMode="External"/><Relationship Id="rId22" Type="http://schemas.openxmlformats.org/officeDocument/2006/relationships/hyperlink" Target="http://aims.fao.org/aos/agrovoc/c_29466" TargetMode="External"/><Relationship Id="rId27" Type="http://schemas.openxmlformats.org/officeDocument/2006/relationships/hyperlink" Target="https://agrovoc.fao.org/browse/agrovoc/en/page/c_16113" TargetMode="External"/><Relationship Id="rId30" Type="http://schemas.openxmlformats.org/officeDocument/2006/relationships/hyperlink" Target="http://aims.fao.org/aos/agrovoc/c_15846" TargetMode="External"/><Relationship Id="rId35" Type="http://schemas.openxmlformats.org/officeDocument/2006/relationships/comments" Target="../comments2.xml"/><Relationship Id="rId8" Type="http://schemas.openxmlformats.org/officeDocument/2006/relationships/hyperlink" Target="http://aims.fao.org/aos/agrovoc/c_2867"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DFFF17-92E5-46E4-AC0E-78C563C39BDF}">
  <dimension ref="A1:PG1086"/>
  <sheetViews>
    <sheetView tabSelected="1" zoomScale="84" zoomScaleNormal="84" workbookViewId="0">
      <pane xSplit="2" ySplit="3" topLeftCell="OG29" activePane="bottomRight" state="frozen"/>
      <selection pane="topRight" activeCell="C1" sqref="C1"/>
      <selection pane="bottomLeft" activeCell="A4" sqref="A4"/>
      <selection pane="bottomRight" activeCell="OK9" sqref="OK9"/>
    </sheetView>
  </sheetViews>
  <sheetFormatPr defaultRowHeight="15"/>
  <cols>
    <col min="1" max="1" width="24.85546875" customWidth="1"/>
    <col min="2" max="2" width="21.5703125" customWidth="1"/>
    <col min="3" max="4" width="10.42578125" customWidth="1"/>
    <col min="5" max="5" width="24.28515625" customWidth="1"/>
    <col min="6" max="10" width="10.42578125" customWidth="1"/>
    <col min="11" max="54" width="11.42578125" customWidth="1"/>
    <col min="55" max="55" width="18.85546875" customWidth="1"/>
    <col min="56" max="56" width="11.42578125" customWidth="1"/>
    <col min="57" max="57" width="73.5703125" customWidth="1"/>
    <col min="58" max="59" width="17.140625" customWidth="1"/>
    <col min="60" max="256" width="11.42578125" customWidth="1"/>
    <col min="257" max="257" width="21" customWidth="1"/>
    <col min="258" max="270" width="11.42578125" customWidth="1"/>
    <col min="271" max="271" width="15.85546875" customWidth="1"/>
    <col min="272" max="274" width="11.42578125" customWidth="1"/>
    <col min="275" max="278" width="16.140625" customWidth="1"/>
    <col min="279" max="284" width="15.85546875" customWidth="1"/>
    <col min="348" max="349" width="10.42578125" bestFit="1" customWidth="1"/>
    <col min="364" max="364" width="12" customWidth="1"/>
    <col min="365" max="365" width="19.28515625" customWidth="1"/>
    <col min="367" max="367" width="18.42578125" customWidth="1"/>
    <col min="375" max="375" width="20.7109375" customWidth="1"/>
    <col min="377" max="377" width="12.85546875" customWidth="1"/>
    <col min="386" max="386" width="18.5703125" customWidth="1"/>
    <col min="388" max="388" width="15.7109375" bestFit="1" customWidth="1"/>
    <col min="391" max="391" width="14.140625" customWidth="1"/>
    <col min="392" max="392" width="13.28515625" customWidth="1"/>
    <col min="418" max="418" width="12.28515625" customWidth="1"/>
    <col min="419" max="419" width="10.42578125" customWidth="1"/>
    <col min="421" max="421" width="9.140625" customWidth="1"/>
  </cols>
  <sheetData>
    <row r="1" spans="1:423" s="125" customFormat="1" ht="64.5" thickBot="1">
      <c r="A1" s="135" t="s">
        <v>1402</v>
      </c>
      <c r="B1" s="125" t="s">
        <v>652</v>
      </c>
      <c r="C1" s="126" t="s">
        <v>672</v>
      </c>
      <c r="D1" s="126" t="s">
        <v>651</v>
      </c>
      <c r="E1" s="126" t="s">
        <v>650</v>
      </c>
      <c r="F1" s="126" t="s">
        <v>649</v>
      </c>
      <c r="G1" s="126" t="s">
        <v>682</v>
      </c>
      <c r="H1" s="126" t="s">
        <v>648</v>
      </c>
      <c r="I1" s="126" t="s">
        <v>647</v>
      </c>
      <c r="J1" s="126" t="s">
        <v>646</v>
      </c>
      <c r="K1" s="126" t="s">
        <v>645</v>
      </c>
      <c r="L1" s="126" t="s">
        <v>674</v>
      </c>
      <c r="M1" s="126" t="s">
        <v>675</v>
      </c>
      <c r="N1" s="126" t="s">
        <v>676</v>
      </c>
      <c r="O1" s="126" t="s">
        <v>677</v>
      </c>
      <c r="P1" s="126" t="s">
        <v>678</v>
      </c>
      <c r="Q1" s="126" t="s">
        <v>679</v>
      </c>
      <c r="R1" s="126" t="s">
        <v>680</v>
      </c>
      <c r="S1" s="126" t="s">
        <v>681</v>
      </c>
      <c r="T1" s="126" t="s">
        <v>673</v>
      </c>
      <c r="U1" s="126" t="s">
        <v>1311</v>
      </c>
      <c r="V1" s="126" t="s">
        <v>1312</v>
      </c>
      <c r="W1" s="126" t="s">
        <v>1313</v>
      </c>
      <c r="X1" s="126" t="s">
        <v>1314</v>
      </c>
      <c r="Y1" s="126" t="s">
        <v>1315</v>
      </c>
      <c r="Z1" s="126" t="s">
        <v>1316</v>
      </c>
      <c r="AA1" s="126" t="s">
        <v>1317</v>
      </c>
      <c r="AB1" s="126" t="s">
        <v>1318</v>
      </c>
      <c r="AC1" s="126" t="s">
        <v>1308</v>
      </c>
      <c r="AD1" s="126" t="s">
        <v>1319</v>
      </c>
      <c r="AE1" s="126" t="s">
        <v>1320</v>
      </c>
      <c r="AF1" s="126" t="s">
        <v>1321</v>
      </c>
      <c r="AG1" s="126" t="s">
        <v>1322</v>
      </c>
      <c r="AH1" s="126" t="s">
        <v>1323</v>
      </c>
      <c r="AI1" s="126" t="s">
        <v>1324</v>
      </c>
      <c r="AJ1" s="126" t="s">
        <v>1325</v>
      </c>
      <c r="AK1" s="126" t="s">
        <v>1326</v>
      </c>
      <c r="AL1" s="126" t="s">
        <v>1309</v>
      </c>
      <c r="AM1" s="126" t="s">
        <v>1327</v>
      </c>
      <c r="AN1" s="126" t="s">
        <v>1328</v>
      </c>
      <c r="AO1" s="126" t="s">
        <v>1329</v>
      </c>
      <c r="AP1" s="126" t="s">
        <v>1330</v>
      </c>
      <c r="AQ1" s="126" t="s">
        <v>1331</v>
      </c>
      <c r="AR1" s="126" t="s">
        <v>1332</v>
      </c>
      <c r="AS1" s="126" t="s">
        <v>1333</v>
      </c>
      <c r="AT1" s="126" t="s">
        <v>1334</v>
      </c>
      <c r="AU1" s="126" t="s">
        <v>1310</v>
      </c>
      <c r="AV1" s="127" t="s">
        <v>644</v>
      </c>
      <c r="AW1" s="127" t="s">
        <v>643</v>
      </c>
      <c r="AX1" s="127" t="s">
        <v>642</v>
      </c>
      <c r="AY1" s="127" t="s">
        <v>641</v>
      </c>
      <c r="AZ1" s="128" t="s">
        <v>640</v>
      </c>
      <c r="BA1" s="128" t="s">
        <v>639</v>
      </c>
      <c r="BB1" s="128" t="s">
        <v>638</v>
      </c>
      <c r="BC1" s="128" t="s">
        <v>637</v>
      </c>
      <c r="BD1" s="129" t="s">
        <v>636</v>
      </c>
      <c r="BE1" s="129" t="s">
        <v>635</v>
      </c>
      <c r="BF1" s="129" t="s">
        <v>717</v>
      </c>
      <c r="BG1" s="130" t="s">
        <v>1727</v>
      </c>
      <c r="BH1" s="136" t="s">
        <v>634</v>
      </c>
      <c r="BI1" s="136" t="s">
        <v>633</v>
      </c>
      <c r="BJ1" s="136" t="s">
        <v>632</v>
      </c>
      <c r="BK1" s="136" t="s">
        <v>631</v>
      </c>
      <c r="BL1" s="136" t="s">
        <v>630</v>
      </c>
      <c r="BM1" s="136" t="s">
        <v>629</v>
      </c>
      <c r="BN1" s="136" t="s">
        <v>628</v>
      </c>
      <c r="BO1" s="136" t="s">
        <v>627</v>
      </c>
      <c r="BP1" s="136" t="s">
        <v>626</v>
      </c>
      <c r="BQ1" s="136" t="s">
        <v>625</v>
      </c>
      <c r="BR1" s="136" t="s">
        <v>624</v>
      </c>
      <c r="BS1" s="136" t="s">
        <v>623</v>
      </c>
      <c r="BT1" s="136" t="s">
        <v>622</v>
      </c>
      <c r="BU1" s="136" t="s">
        <v>621</v>
      </c>
      <c r="BV1" s="136" t="s">
        <v>620</v>
      </c>
      <c r="BW1" s="136" t="s">
        <v>1244</v>
      </c>
      <c r="BX1" s="136" t="s">
        <v>1245</v>
      </c>
      <c r="BY1" s="136" t="s">
        <v>1246</v>
      </c>
      <c r="BZ1" s="136" t="s">
        <v>1247</v>
      </c>
      <c r="CA1" s="136" t="s">
        <v>1239</v>
      </c>
      <c r="CB1" s="136" t="s">
        <v>1249</v>
      </c>
      <c r="CC1" s="136" t="s">
        <v>1250</v>
      </c>
      <c r="CD1" s="136" t="s">
        <v>1251</v>
      </c>
      <c r="CE1" s="136" t="s">
        <v>1252</v>
      </c>
      <c r="CF1" s="136" t="s">
        <v>1240</v>
      </c>
      <c r="CG1" s="136" t="s">
        <v>1253</v>
      </c>
      <c r="CH1" s="136" t="s">
        <v>1254</v>
      </c>
      <c r="CI1" s="136" t="s">
        <v>1255</v>
      </c>
      <c r="CJ1" s="136" t="s">
        <v>1256</v>
      </c>
      <c r="CK1" s="136" t="s">
        <v>1241</v>
      </c>
      <c r="CL1" s="136" t="s">
        <v>1257</v>
      </c>
      <c r="CM1" s="136" t="s">
        <v>1258</v>
      </c>
      <c r="CN1" s="136" t="s">
        <v>1259</v>
      </c>
      <c r="CO1" s="136" t="s">
        <v>1260</v>
      </c>
      <c r="CP1" s="136" t="s">
        <v>1242</v>
      </c>
      <c r="CQ1" s="136" t="s">
        <v>1261</v>
      </c>
      <c r="CR1" s="136" t="s">
        <v>1262</v>
      </c>
      <c r="CS1" s="136" t="s">
        <v>1263</v>
      </c>
      <c r="CT1" s="136" t="s">
        <v>1264</v>
      </c>
      <c r="CU1" s="136" t="s">
        <v>1243</v>
      </c>
      <c r="CV1" s="136" t="s">
        <v>1265</v>
      </c>
      <c r="CW1" s="136" t="s">
        <v>1266</v>
      </c>
      <c r="CX1" s="136" t="s">
        <v>1267</v>
      </c>
      <c r="CY1" s="136" t="s">
        <v>1268</v>
      </c>
      <c r="CZ1" s="136" t="s">
        <v>1248</v>
      </c>
      <c r="DA1" s="136" t="s">
        <v>1275</v>
      </c>
      <c r="DB1" s="136" t="s">
        <v>1276</v>
      </c>
      <c r="DC1" s="136" t="s">
        <v>1277</v>
      </c>
      <c r="DD1" s="136" t="s">
        <v>1278</v>
      </c>
      <c r="DE1" s="136" t="s">
        <v>1269</v>
      </c>
      <c r="DF1" s="136" t="s">
        <v>1279</v>
      </c>
      <c r="DG1" s="136" t="s">
        <v>1280</v>
      </c>
      <c r="DH1" s="136" t="s">
        <v>1281</v>
      </c>
      <c r="DI1" s="136" t="s">
        <v>1282</v>
      </c>
      <c r="DJ1" s="136" t="s">
        <v>1270</v>
      </c>
      <c r="DK1" s="136" t="s">
        <v>1283</v>
      </c>
      <c r="DL1" s="136" t="s">
        <v>1284</v>
      </c>
      <c r="DM1" s="136" t="s">
        <v>1285</v>
      </c>
      <c r="DN1" s="136" t="s">
        <v>1286</v>
      </c>
      <c r="DO1" s="136" t="s">
        <v>1271</v>
      </c>
      <c r="DP1" s="136" t="s">
        <v>1287</v>
      </c>
      <c r="DQ1" s="136" t="s">
        <v>1288</v>
      </c>
      <c r="DR1" s="136" t="s">
        <v>1289</v>
      </c>
      <c r="DS1" s="136" t="s">
        <v>1290</v>
      </c>
      <c r="DT1" s="136" t="s">
        <v>1272</v>
      </c>
      <c r="DU1" s="136" t="s">
        <v>1291</v>
      </c>
      <c r="DV1" s="136" t="s">
        <v>1292</v>
      </c>
      <c r="DW1" s="136" t="s">
        <v>1293</v>
      </c>
      <c r="DX1" s="136" t="s">
        <v>1294</v>
      </c>
      <c r="DY1" s="136" t="s">
        <v>1273</v>
      </c>
      <c r="DZ1" s="136" t="s">
        <v>1295</v>
      </c>
      <c r="EA1" s="136" t="s">
        <v>1296</v>
      </c>
      <c r="EB1" s="136" t="s">
        <v>1297</v>
      </c>
      <c r="EC1" s="136" t="s">
        <v>1298</v>
      </c>
      <c r="ED1" s="136" t="s">
        <v>1274</v>
      </c>
      <c r="EE1" s="129" t="s">
        <v>619</v>
      </c>
      <c r="EF1" s="129" t="s">
        <v>618</v>
      </c>
      <c r="EG1" s="129" t="s">
        <v>617</v>
      </c>
      <c r="EH1" s="129" t="s">
        <v>684</v>
      </c>
      <c r="EI1" s="129" t="s">
        <v>685</v>
      </c>
      <c r="EJ1" s="129" t="s">
        <v>686</v>
      </c>
      <c r="EK1" s="129" t="s">
        <v>687</v>
      </c>
      <c r="EL1" s="129" t="s">
        <v>688</v>
      </c>
      <c r="EM1" s="129" t="s">
        <v>1345</v>
      </c>
      <c r="EN1" s="129" t="s">
        <v>1346</v>
      </c>
      <c r="EO1" s="129" t="s">
        <v>1347</v>
      </c>
      <c r="EP1" s="129" t="s">
        <v>1335</v>
      </c>
      <c r="EQ1" s="129" t="s">
        <v>1348</v>
      </c>
      <c r="ER1" s="129" t="s">
        <v>1349</v>
      </c>
      <c r="ES1" s="129" t="s">
        <v>1350</v>
      </c>
      <c r="ET1" s="129" t="s">
        <v>1336</v>
      </c>
      <c r="EU1" s="129" t="s">
        <v>1351</v>
      </c>
      <c r="EV1" s="129" t="s">
        <v>1352</v>
      </c>
      <c r="EW1" s="129" t="s">
        <v>1353</v>
      </c>
      <c r="EX1" s="129" t="s">
        <v>1337</v>
      </c>
      <c r="EY1" s="129" t="s">
        <v>1357</v>
      </c>
      <c r="EZ1" s="129" t="s">
        <v>1358</v>
      </c>
      <c r="FA1" s="129" t="s">
        <v>1359</v>
      </c>
      <c r="FB1" s="129" t="s">
        <v>1338</v>
      </c>
      <c r="FC1" s="129" t="s">
        <v>1360</v>
      </c>
      <c r="FD1" s="129" t="s">
        <v>1361</v>
      </c>
      <c r="FE1" s="129" t="s">
        <v>1362</v>
      </c>
      <c r="FF1" s="129" t="s">
        <v>1339</v>
      </c>
      <c r="FG1" s="129" t="s">
        <v>1363</v>
      </c>
      <c r="FH1" s="129" t="s">
        <v>1364</v>
      </c>
      <c r="FI1" s="129" t="s">
        <v>1365</v>
      </c>
      <c r="FJ1" s="129" t="s">
        <v>1340</v>
      </c>
      <c r="FK1" s="129" t="s">
        <v>1366</v>
      </c>
      <c r="FL1" s="129" t="s">
        <v>1367</v>
      </c>
      <c r="FM1" s="129" t="s">
        <v>1368</v>
      </c>
      <c r="FN1" s="129" t="s">
        <v>1341</v>
      </c>
      <c r="FO1" s="129" t="s">
        <v>1369</v>
      </c>
      <c r="FP1" s="129" t="s">
        <v>1370</v>
      </c>
      <c r="FQ1" s="129" t="s">
        <v>1371</v>
      </c>
      <c r="FR1" s="129" t="s">
        <v>1342</v>
      </c>
      <c r="FS1" s="129" t="s">
        <v>1372</v>
      </c>
      <c r="FT1" s="129" t="s">
        <v>1373</v>
      </c>
      <c r="FU1" s="129" t="s">
        <v>1374</v>
      </c>
      <c r="FV1" s="129" t="s">
        <v>1343</v>
      </c>
      <c r="FW1" s="129" t="s">
        <v>1375</v>
      </c>
      <c r="FX1" s="129" t="s">
        <v>1376</v>
      </c>
      <c r="FY1" s="129" t="s">
        <v>1377</v>
      </c>
      <c r="FZ1" s="129" t="s">
        <v>1344</v>
      </c>
      <c r="GA1" s="129" t="s">
        <v>1378</v>
      </c>
      <c r="GB1" s="129" t="s">
        <v>1379</v>
      </c>
      <c r="GC1" s="129" t="s">
        <v>1380</v>
      </c>
      <c r="GD1" s="129" t="s">
        <v>1354</v>
      </c>
      <c r="GE1" s="129" t="s">
        <v>1381</v>
      </c>
      <c r="GF1" s="129" t="s">
        <v>1382</v>
      </c>
      <c r="GG1" s="129" t="s">
        <v>1383</v>
      </c>
      <c r="GH1" s="129" t="s">
        <v>1355</v>
      </c>
      <c r="GI1" s="129" t="s">
        <v>1384</v>
      </c>
      <c r="GJ1" s="129" t="s">
        <v>1385</v>
      </c>
      <c r="GK1" s="129" t="s">
        <v>1386</v>
      </c>
      <c r="GL1" s="129" t="s">
        <v>1356</v>
      </c>
      <c r="GM1" s="215" t="s">
        <v>691</v>
      </c>
      <c r="GN1" s="215" t="s">
        <v>700</v>
      </c>
      <c r="GO1" s="215" t="s">
        <v>689</v>
      </c>
      <c r="GP1" s="215" t="s">
        <v>690</v>
      </c>
      <c r="GQ1" s="215" t="s">
        <v>1097</v>
      </c>
      <c r="GR1" s="215" t="s">
        <v>693</v>
      </c>
      <c r="GS1" s="215" t="s">
        <v>699</v>
      </c>
      <c r="GT1" s="215" t="s">
        <v>694</v>
      </c>
      <c r="GU1" s="215" t="s">
        <v>692</v>
      </c>
      <c r="GV1" s="215" t="s">
        <v>1098</v>
      </c>
      <c r="GW1" s="215" t="s">
        <v>1390</v>
      </c>
      <c r="GX1" s="215" t="s">
        <v>1391</v>
      </c>
      <c r="GY1" s="215" t="s">
        <v>1392</v>
      </c>
      <c r="GZ1" s="215" t="s">
        <v>1393</v>
      </c>
      <c r="HA1" s="215" t="s">
        <v>1387</v>
      </c>
      <c r="HB1" s="215" t="s">
        <v>1394</v>
      </c>
      <c r="HC1" s="215" t="s">
        <v>1395</v>
      </c>
      <c r="HD1" s="215" t="s">
        <v>1396</v>
      </c>
      <c r="HE1" s="215" t="s">
        <v>1397</v>
      </c>
      <c r="HF1" s="215" t="s">
        <v>1388</v>
      </c>
      <c r="HG1" s="215" t="s">
        <v>1398</v>
      </c>
      <c r="HH1" s="215" t="s">
        <v>1399</v>
      </c>
      <c r="HI1" s="215" t="s">
        <v>1400</v>
      </c>
      <c r="HJ1" s="215" t="s">
        <v>1401</v>
      </c>
      <c r="HK1" s="215" t="s">
        <v>1389</v>
      </c>
      <c r="HL1" s="131" t="s">
        <v>616</v>
      </c>
      <c r="HM1" s="131" t="s">
        <v>615</v>
      </c>
      <c r="HN1" s="131" t="s">
        <v>614</v>
      </c>
      <c r="HO1" s="131" t="s">
        <v>613</v>
      </c>
      <c r="HP1" s="131" t="s">
        <v>612</v>
      </c>
      <c r="HQ1" s="131" t="s">
        <v>611</v>
      </c>
      <c r="HR1" s="214" t="s">
        <v>610</v>
      </c>
      <c r="HS1" s="214" t="s">
        <v>609</v>
      </c>
      <c r="HT1" s="214" t="s">
        <v>608</v>
      </c>
      <c r="HU1" s="214" t="s">
        <v>607</v>
      </c>
      <c r="HV1" s="214" t="s">
        <v>606</v>
      </c>
      <c r="HW1" s="129" t="s">
        <v>1223</v>
      </c>
      <c r="HX1" s="184" t="s">
        <v>2281</v>
      </c>
      <c r="HY1" s="129" t="s">
        <v>695</v>
      </c>
      <c r="HZ1" s="129" t="s">
        <v>696</v>
      </c>
      <c r="IA1" s="129" t="s">
        <v>697</v>
      </c>
      <c r="IB1" s="129" t="s">
        <v>698</v>
      </c>
      <c r="IC1" s="212" t="s">
        <v>725</v>
      </c>
      <c r="ID1" s="212" t="s">
        <v>2282</v>
      </c>
      <c r="IE1" s="212" t="s">
        <v>701</v>
      </c>
      <c r="IF1" s="212" t="s">
        <v>702</v>
      </c>
      <c r="IG1" s="212" t="s">
        <v>703</v>
      </c>
      <c r="IH1" s="212" t="s">
        <v>1733</v>
      </c>
      <c r="II1" s="213" t="s">
        <v>605</v>
      </c>
      <c r="IJ1" s="213" t="s">
        <v>604</v>
      </c>
      <c r="IK1" s="213" t="s">
        <v>656</v>
      </c>
      <c r="IL1" s="213" t="s">
        <v>657</v>
      </c>
      <c r="IM1" s="213" t="s">
        <v>603</v>
      </c>
      <c r="IN1" s="213" t="s">
        <v>602</v>
      </c>
      <c r="IO1" s="213" t="s">
        <v>601</v>
      </c>
      <c r="IP1" s="119" t="s">
        <v>600</v>
      </c>
      <c r="IQ1" s="119" t="s">
        <v>599</v>
      </c>
      <c r="IR1" s="119" t="s">
        <v>598</v>
      </c>
      <c r="IS1" s="119" t="s">
        <v>597</v>
      </c>
      <c r="IT1" s="119" t="s">
        <v>596</v>
      </c>
      <c r="IU1" s="119" t="s">
        <v>595</v>
      </c>
      <c r="IV1" s="119" t="s">
        <v>594</v>
      </c>
      <c r="IW1" s="127" t="s">
        <v>729</v>
      </c>
      <c r="IX1" s="127" t="s">
        <v>593</v>
      </c>
      <c r="IY1" s="127" t="s">
        <v>592</v>
      </c>
      <c r="IZ1" s="127" t="s">
        <v>715</v>
      </c>
      <c r="JA1" s="127" t="s">
        <v>1720</v>
      </c>
      <c r="JB1" s="127" t="s">
        <v>590</v>
      </c>
      <c r="JC1" s="127" t="s">
        <v>589</v>
      </c>
      <c r="JD1" s="127" t="s">
        <v>588</v>
      </c>
      <c r="JE1" s="127" t="s">
        <v>587</v>
      </c>
      <c r="JF1" s="127" t="s">
        <v>586</v>
      </c>
      <c r="JG1" s="127" t="s">
        <v>716</v>
      </c>
      <c r="JH1" s="127" t="s">
        <v>585</v>
      </c>
      <c r="JI1" s="127" t="s">
        <v>584</v>
      </c>
      <c r="JJ1" s="127" t="s">
        <v>583</v>
      </c>
      <c r="JK1" s="213" t="s">
        <v>582</v>
      </c>
      <c r="JL1" s="213" t="s">
        <v>581</v>
      </c>
      <c r="JM1" s="213" t="s">
        <v>580</v>
      </c>
      <c r="JN1" s="213" t="s">
        <v>579</v>
      </c>
      <c r="JO1" s="213" t="s">
        <v>1102</v>
      </c>
      <c r="JP1" s="213" t="s">
        <v>1103</v>
      </c>
      <c r="JQ1" s="213" t="s">
        <v>578</v>
      </c>
      <c r="JR1" s="213" t="s">
        <v>577</v>
      </c>
      <c r="JS1" s="213" t="s">
        <v>576</v>
      </c>
      <c r="JT1" s="213" t="s">
        <v>575</v>
      </c>
      <c r="JU1" s="213" t="s">
        <v>574</v>
      </c>
      <c r="JV1" s="213" t="s">
        <v>573</v>
      </c>
      <c r="JW1" s="131" t="s">
        <v>572</v>
      </c>
      <c r="JX1" s="131" t="s">
        <v>571</v>
      </c>
      <c r="JY1" s="131" t="s">
        <v>570</v>
      </c>
      <c r="JZ1" s="131" t="s">
        <v>569</v>
      </c>
      <c r="KA1" s="131" t="s">
        <v>568</v>
      </c>
      <c r="KB1" s="131" t="s">
        <v>567</v>
      </c>
      <c r="KC1" s="131" t="s">
        <v>566</v>
      </c>
      <c r="KD1" s="131" t="s">
        <v>565</v>
      </c>
      <c r="KE1" s="131" t="s">
        <v>564</v>
      </c>
      <c r="KF1" s="216" t="s">
        <v>748</v>
      </c>
      <c r="KG1" s="216" t="s">
        <v>749</v>
      </c>
      <c r="KH1" s="216" t="s">
        <v>563</v>
      </c>
      <c r="KI1" s="216" t="s">
        <v>562</v>
      </c>
      <c r="KJ1" s="119" t="s">
        <v>561</v>
      </c>
      <c r="KK1" s="119" t="s">
        <v>560</v>
      </c>
      <c r="KL1" s="119" t="s">
        <v>559</v>
      </c>
      <c r="KM1" s="119" t="s">
        <v>558</v>
      </c>
      <c r="KN1" s="119" t="s">
        <v>557</v>
      </c>
      <c r="KO1" s="119" t="s">
        <v>556</v>
      </c>
      <c r="KP1" s="119" t="s">
        <v>555</v>
      </c>
      <c r="KQ1" s="119" t="s">
        <v>554</v>
      </c>
      <c r="KR1" s="119" t="s">
        <v>553</v>
      </c>
      <c r="KS1" s="119" t="s">
        <v>552</v>
      </c>
      <c r="KT1" s="119" t="s">
        <v>551</v>
      </c>
      <c r="KU1" s="119" t="s">
        <v>550</v>
      </c>
      <c r="KV1" s="119" t="s">
        <v>549</v>
      </c>
      <c r="KW1" s="213" t="s">
        <v>548</v>
      </c>
      <c r="KX1" s="213" t="s">
        <v>1113</v>
      </c>
      <c r="KY1" s="213" t="s">
        <v>1110</v>
      </c>
      <c r="KZ1" s="213" t="s">
        <v>1111</v>
      </c>
      <c r="LA1" s="213" t="s">
        <v>1112</v>
      </c>
      <c r="LB1" s="213" t="s">
        <v>2515</v>
      </c>
      <c r="LC1" s="213" t="s">
        <v>2516</v>
      </c>
      <c r="LD1" s="213" t="s">
        <v>2512</v>
      </c>
      <c r="LE1" s="213" t="s">
        <v>545</v>
      </c>
      <c r="LF1" s="213" t="s">
        <v>2513</v>
      </c>
      <c r="LG1" s="213" t="s">
        <v>544</v>
      </c>
      <c r="LH1" s="213" t="s">
        <v>2517</v>
      </c>
      <c r="LI1" s="213" t="s">
        <v>543</v>
      </c>
      <c r="LJ1" s="213" t="s">
        <v>542</v>
      </c>
      <c r="LK1" s="213" t="s">
        <v>541</v>
      </c>
      <c r="LL1" s="213" t="s">
        <v>540</v>
      </c>
      <c r="LM1" s="213" t="s">
        <v>539</v>
      </c>
      <c r="LN1" s="213" t="s">
        <v>538</v>
      </c>
      <c r="LO1" s="213" t="s">
        <v>537</v>
      </c>
      <c r="LP1" s="219" t="s">
        <v>536</v>
      </c>
      <c r="LQ1" s="219" t="s">
        <v>535</v>
      </c>
      <c r="LR1" s="219" t="s">
        <v>534</v>
      </c>
      <c r="LS1" s="219" t="s">
        <v>1118</v>
      </c>
      <c r="LT1" s="219" t="s">
        <v>1119</v>
      </c>
      <c r="LU1" s="220" t="s">
        <v>533</v>
      </c>
      <c r="LV1" s="220" t="s">
        <v>532</v>
      </c>
      <c r="LW1" s="220" t="s">
        <v>2518</v>
      </c>
      <c r="LX1" s="220" t="s">
        <v>531</v>
      </c>
      <c r="LY1" s="220" t="s">
        <v>530</v>
      </c>
      <c r="LZ1" s="220" t="s">
        <v>529</v>
      </c>
      <c r="MA1" s="220" t="s">
        <v>528</v>
      </c>
      <c r="MB1" s="220" t="s">
        <v>527</v>
      </c>
      <c r="MC1" s="221" t="s">
        <v>526</v>
      </c>
      <c r="MD1" s="221" t="s">
        <v>1092</v>
      </c>
      <c r="ME1" s="221" t="s">
        <v>1089</v>
      </c>
      <c r="MF1" s="221" t="s">
        <v>1090</v>
      </c>
      <c r="MG1" s="221" t="s">
        <v>1091</v>
      </c>
      <c r="MH1" s="131" t="s">
        <v>524</v>
      </c>
      <c r="MI1" s="131" t="s">
        <v>523</v>
      </c>
      <c r="MJ1" s="131" t="s">
        <v>522</v>
      </c>
      <c r="MK1" s="131" t="s">
        <v>521</v>
      </c>
      <c r="ML1" s="131" t="s">
        <v>520</v>
      </c>
      <c r="MM1" s="137" t="s">
        <v>1134</v>
      </c>
      <c r="MN1" s="137" t="s">
        <v>1142</v>
      </c>
      <c r="MO1" s="137" t="s">
        <v>1141</v>
      </c>
      <c r="MP1" s="137" t="s">
        <v>1140</v>
      </c>
      <c r="MQ1" s="137" t="s">
        <v>1139</v>
      </c>
      <c r="MR1" s="137" t="s">
        <v>1136</v>
      </c>
      <c r="MS1" s="137" t="s">
        <v>1137</v>
      </c>
      <c r="MT1" s="137" t="s">
        <v>1138</v>
      </c>
      <c r="MU1" s="213" t="s">
        <v>1708</v>
      </c>
      <c r="MV1" s="213" t="s">
        <v>1709</v>
      </c>
      <c r="MW1" s="213" t="s">
        <v>1710</v>
      </c>
      <c r="MX1" s="213" t="s">
        <v>1711</v>
      </c>
      <c r="MY1" s="213" t="s">
        <v>1712</v>
      </c>
      <c r="MZ1" s="223" t="s">
        <v>519</v>
      </c>
      <c r="NA1" s="223" t="s">
        <v>518</v>
      </c>
      <c r="NB1" s="126" t="s">
        <v>517</v>
      </c>
      <c r="NC1" s="126" t="s">
        <v>516</v>
      </c>
      <c r="ND1" s="126" t="s">
        <v>515</v>
      </c>
      <c r="NE1" s="126" t="s">
        <v>514</v>
      </c>
      <c r="NF1" s="126" t="s">
        <v>513</v>
      </c>
      <c r="NG1" s="126" t="s">
        <v>512</v>
      </c>
      <c r="NH1" s="126" t="s">
        <v>714</v>
      </c>
      <c r="NI1" s="126" t="s">
        <v>708</v>
      </c>
      <c r="NJ1" s="126" t="s">
        <v>713</v>
      </c>
      <c r="NK1" s="224" t="s">
        <v>704</v>
      </c>
      <c r="NL1" s="224" t="s">
        <v>705</v>
      </c>
      <c r="NM1" s="224" t="s">
        <v>706</v>
      </c>
      <c r="NN1" s="224" t="s">
        <v>707</v>
      </c>
      <c r="NO1" s="224" t="s">
        <v>511</v>
      </c>
      <c r="NP1" s="224" t="s">
        <v>510</v>
      </c>
      <c r="NQ1" s="224" t="s">
        <v>509</v>
      </c>
      <c r="NR1" s="224" t="s">
        <v>508</v>
      </c>
      <c r="NS1" s="224" t="s">
        <v>507</v>
      </c>
      <c r="NT1" s="224" t="s">
        <v>506</v>
      </c>
      <c r="NU1" s="224" t="s">
        <v>505</v>
      </c>
      <c r="NV1" s="224" t="s">
        <v>504</v>
      </c>
      <c r="NW1" s="225" t="s">
        <v>503</v>
      </c>
      <c r="NX1" s="225" t="s">
        <v>502</v>
      </c>
      <c r="NY1" s="225" t="s">
        <v>1182</v>
      </c>
      <c r="NZ1" s="225" t="s">
        <v>1183</v>
      </c>
      <c r="OA1" s="225" t="s">
        <v>1184</v>
      </c>
      <c r="OB1" s="225" t="s">
        <v>1185</v>
      </c>
      <c r="OC1" s="225" t="s">
        <v>718</v>
      </c>
      <c r="OD1" s="211" t="s">
        <v>1212</v>
      </c>
      <c r="OE1" s="211" t="s">
        <v>1213</v>
      </c>
      <c r="OF1" s="211" t="s">
        <v>1214</v>
      </c>
      <c r="OG1" s="211" t="s">
        <v>1215</v>
      </c>
      <c r="OH1" s="211" t="s">
        <v>1216</v>
      </c>
      <c r="OI1" s="211" t="s">
        <v>1217</v>
      </c>
      <c r="OJ1" s="211" t="s">
        <v>1218</v>
      </c>
      <c r="OK1" s="211" t="s">
        <v>1219</v>
      </c>
      <c r="OL1" s="211" t="s">
        <v>1220</v>
      </c>
      <c r="OM1" s="211" t="s">
        <v>1221</v>
      </c>
      <c r="ON1" s="210" t="s">
        <v>2446</v>
      </c>
      <c r="OO1" s="210" t="s">
        <v>2447</v>
      </c>
      <c r="OP1" s="210" t="s">
        <v>2448</v>
      </c>
      <c r="OQ1" s="210" t="s">
        <v>2449</v>
      </c>
      <c r="OR1" s="210" t="s">
        <v>2451</v>
      </c>
      <c r="OS1" s="210" t="s">
        <v>2452</v>
      </c>
      <c r="OT1" s="225" t="s">
        <v>501</v>
      </c>
      <c r="OU1" s="226" t="s">
        <v>500</v>
      </c>
      <c r="OV1" s="226" t="s">
        <v>499</v>
      </c>
      <c r="OW1" s="226" t="s">
        <v>498</v>
      </c>
      <c r="OX1" s="226" t="s">
        <v>497</v>
      </c>
      <c r="OY1" s="226" t="s">
        <v>496</v>
      </c>
      <c r="OZ1" s="226" t="s">
        <v>495</v>
      </c>
      <c r="PA1" s="132" t="s">
        <v>1164</v>
      </c>
      <c r="PB1" s="132" t="s">
        <v>1165</v>
      </c>
      <c r="PC1" s="133" t="s">
        <v>1171</v>
      </c>
      <c r="PD1" s="133" t="s">
        <v>1166</v>
      </c>
      <c r="PE1" s="133" t="s">
        <v>1167</v>
      </c>
      <c r="PF1" s="133" t="s">
        <v>1170</v>
      </c>
      <c r="PG1" s="134" t="s">
        <v>1168</v>
      </c>
    </row>
    <row r="2" spans="1:423" ht="15.75" thickBot="1">
      <c r="A2" s="55" t="s">
        <v>494</v>
      </c>
      <c r="B2" s="55" t="s">
        <v>494</v>
      </c>
      <c r="C2" s="56" t="s">
        <v>493</v>
      </c>
      <c r="D2" s="56" t="s">
        <v>493</v>
      </c>
      <c r="E2" s="56" t="s">
        <v>493</v>
      </c>
      <c r="F2" s="56" t="s">
        <v>493</v>
      </c>
      <c r="G2" s="56" t="s">
        <v>493</v>
      </c>
      <c r="H2" s="56" t="s">
        <v>493</v>
      </c>
      <c r="I2" s="56" t="s">
        <v>493</v>
      </c>
      <c r="J2" s="56" t="s">
        <v>493</v>
      </c>
      <c r="K2" s="56" t="s">
        <v>493</v>
      </c>
      <c r="L2" s="56" t="s">
        <v>493</v>
      </c>
      <c r="M2" s="56" t="s">
        <v>493</v>
      </c>
      <c r="N2" s="56" t="s">
        <v>493</v>
      </c>
      <c r="O2" s="56" t="s">
        <v>493</v>
      </c>
      <c r="P2" s="56" t="s">
        <v>493</v>
      </c>
      <c r="Q2" s="56" t="s">
        <v>493</v>
      </c>
      <c r="R2" s="56" t="s">
        <v>493</v>
      </c>
      <c r="S2" s="56" t="s">
        <v>493</v>
      </c>
      <c r="T2" s="56" t="s">
        <v>493</v>
      </c>
      <c r="U2" s="85"/>
      <c r="V2" s="85"/>
      <c r="W2" s="85"/>
      <c r="X2" s="85"/>
      <c r="Y2" s="85"/>
      <c r="Z2" s="85"/>
      <c r="AA2" s="85"/>
      <c r="AB2" s="85"/>
      <c r="AC2" s="85"/>
      <c r="AD2" s="85"/>
      <c r="AE2" s="85"/>
      <c r="AF2" s="85"/>
      <c r="AG2" s="85"/>
      <c r="AH2" s="85"/>
      <c r="AI2" s="85"/>
      <c r="AJ2" s="85"/>
      <c r="AK2" s="85"/>
      <c r="AL2" s="85"/>
      <c r="AM2" s="85"/>
      <c r="AN2" s="85"/>
      <c r="AO2" s="85"/>
      <c r="AP2" s="85"/>
      <c r="AQ2" s="85"/>
      <c r="AR2" s="85"/>
      <c r="AS2" s="85"/>
      <c r="AT2" s="85"/>
      <c r="AU2" s="85"/>
      <c r="AV2" s="39" t="s">
        <v>492</v>
      </c>
      <c r="AW2" s="39" t="s">
        <v>492</v>
      </c>
      <c r="AX2" s="39" t="s">
        <v>492</v>
      </c>
      <c r="AY2" s="39" t="s">
        <v>492</v>
      </c>
      <c r="AZ2" s="34" t="s">
        <v>491</v>
      </c>
      <c r="BA2" s="34" t="s">
        <v>491</v>
      </c>
      <c r="BB2" s="34" t="s">
        <v>491</v>
      </c>
      <c r="BC2" s="34" t="s">
        <v>491</v>
      </c>
      <c r="BD2" s="22" t="s">
        <v>490</v>
      </c>
      <c r="BE2" s="22" t="s">
        <v>490</v>
      </c>
      <c r="BF2" s="22" t="s">
        <v>490</v>
      </c>
      <c r="BG2" s="22" t="s">
        <v>490</v>
      </c>
      <c r="BH2" s="1" t="s">
        <v>1222</v>
      </c>
      <c r="BI2" s="1" t="s">
        <v>489</v>
      </c>
      <c r="BJ2" s="1" t="s">
        <v>489</v>
      </c>
      <c r="BK2" s="1" t="s">
        <v>489</v>
      </c>
      <c r="BL2" s="1" t="s">
        <v>489</v>
      </c>
      <c r="BM2" s="1" t="s">
        <v>489</v>
      </c>
      <c r="BN2" s="1" t="s">
        <v>489</v>
      </c>
      <c r="BO2" s="1" t="s">
        <v>489</v>
      </c>
      <c r="BP2" s="1" t="s">
        <v>489</v>
      </c>
      <c r="BQ2" s="1" t="s">
        <v>489</v>
      </c>
      <c r="BR2" s="1" t="s">
        <v>489</v>
      </c>
      <c r="BS2" s="1" t="s">
        <v>489</v>
      </c>
      <c r="BT2" s="1" t="s">
        <v>489</v>
      </c>
      <c r="BU2" s="1" t="s">
        <v>489</v>
      </c>
      <c r="BV2" s="1" t="s">
        <v>489</v>
      </c>
      <c r="BW2" s="66"/>
      <c r="BX2" s="66"/>
      <c r="BY2" s="66"/>
      <c r="BZ2" s="66"/>
      <c r="CA2" s="66"/>
      <c r="CB2" s="66"/>
      <c r="CC2" s="66"/>
      <c r="CD2" s="66"/>
      <c r="CE2" s="66"/>
      <c r="CF2" s="66"/>
      <c r="CG2" s="66"/>
      <c r="CH2" s="66"/>
      <c r="CI2" s="66"/>
      <c r="CJ2" s="66"/>
      <c r="CK2" s="66"/>
      <c r="CL2" s="66"/>
      <c r="CM2" s="66"/>
      <c r="CN2" s="66"/>
      <c r="CO2" s="66"/>
      <c r="CP2" s="66"/>
      <c r="CQ2" s="66"/>
      <c r="CR2" s="66"/>
      <c r="CS2" s="66"/>
      <c r="CT2" s="66"/>
      <c r="CU2" s="66"/>
      <c r="CV2" s="66"/>
      <c r="CW2" s="66"/>
      <c r="CX2" s="66"/>
      <c r="CY2" s="66"/>
      <c r="CZ2" s="66"/>
      <c r="DA2" s="66"/>
      <c r="DB2" s="66"/>
      <c r="DC2" s="66"/>
      <c r="DD2" s="66"/>
      <c r="DE2" s="66"/>
      <c r="DF2" s="66"/>
      <c r="DG2" s="66"/>
      <c r="DH2" s="66"/>
      <c r="DI2" s="66"/>
      <c r="DJ2" s="66"/>
      <c r="DK2" s="66"/>
      <c r="DL2" s="66"/>
      <c r="DM2" s="66"/>
      <c r="DN2" s="66"/>
      <c r="DO2" s="66"/>
      <c r="DP2" s="66"/>
      <c r="DQ2" s="66"/>
      <c r="DR2" s="66"/>
      <c r="DS2" s="66"/>
      <c r="DT2" s="66"/>
      <c r="DU2" s="66"/>
      <c r="DV2" s="66"/>
      <c r="DW2" s="66"/>
      <c r="DX2" s="66"/>
      <c r="DY2" s="66"/>
      <c r="DZ2" s="66"/>
      <c r="EA2" s="66"/>
      <c r="EB2" s="66"/>
      <c r="EC2" s="66"/>
      <c r="ED2" s="66"/>
      <c r="EE2" s="39" t="s">
        <v>488</v>
      </c>
      <c r="EF2" s="39" t="s">
        <v>488</v>
      </c>
      <c r="EG2" s="39" t="s">
        <v>488</v>
      </c>
      <c r="EH2" s="39" t="s">
        <v>488</v>
      </c>
      <c r="EI2" s="39" t="s">
        <v>488</v>
      </c>
      <c r="EJ2" s="39" t="s">
        <v>488</v>
      </c>
      <c r="EK2" s="39" t="s">
        <v>488</v>
      </c>
      <c r="EL2" s="39" t="s">
        <v>488</v>
      </c>
      <c r="EM2" s="39"/>
      <c r="EN2" s="39"/>
      <c r="EO2" s="39"/>
      <c r="EP2" s="39"/>
      <c r="EQ2" s="39"/>
      <c r="ER2" s="39"/>
      <c r="ES2" s="39"/>
      <c r="ET2" s="39"/>
      <c r="EU2" s="39"/>
      <c r="EV2" s="39"/>
      <c r="EW2" s="39"/>
      <c r="EX2" s="39"/>
      <c r="EY2" s="39"/>
      <c r="EZ2" s="39"/>
      <c r="FA2" s="39"/>
      <c r="FB2" s="39"/>
      <c r="FC2" s="39"/>
      <c r="FD2" s="39"/>
      <c r="FE2" s="39"/>
      <c r="FF2" s="39"/>
      <c r="FG2" s="39"/>
      <c r="FH2" s="39"/>
      <c r="FI2" s="39"/>
      <c r="FJ2" s="39"/>
      <c r="FK2" s="39"/>
      <c r="FL2" s="39"/>
      <c r="FM2" s="39"/>
      <c r="FN2" s="39"/>
      <c r="FO2" s="39"/>
      <c r="FP2" s="39"/>
      <c r="FQ2" s="39"/>
      <c r="FR2" s="39"/>
      <c r="FS2" s="39"/>
      <c r="FT2" s="39"/>
      <c r="FU2" s="39"/>
      <c r="FV2" s="39"/>
      <c r="FW2" s="39"/>
      <c r="FX2" s="39"/>
      <c r="FY2" s="39"/>
      <c r="FZ2" s="39"/>
      <c r="GA2" s="39"/>
      <c r="GB2" s="39"/>
      <c r="GC2" s="39"/>
      <c r="GD2" s="39"/>
      <c r="GE2" s="39"/>
      <c r="GF2" s="39"/>
      <c r="GG2" s="39"/>
      <c r="GH2" s="39"/>
      <c r="GI2" s="39"/>
      <c r="GJ2" s="39"/>
      <c r="GK2" s="39"/>
      <c r="GL2" s="39"/>
      <c r="GM2" s="31" t="s">
        <v>667</v>
      </c>
      <c r="GN2" s="31" t="s">
        <v>667</v>
      </c>
      <c r="GO2" s="31" t="s">
        <v>667</v>
      </c>
      <c r="GP2" s="31" t="s">
        <v>667</v>
      </c>
      <c r="GQ2" s="31"/>
      <c r="GR2" s="31" t="s">
        <v>667</v>
      </c>
      <c r="GS2" s="31" t="s">
        <v>667</v>
      </c>
      <c r="GT2" s="31" t="s">
        <v>667</v>
      </c>
      <c r="GU2" s="31" t="s">
        <v>667</v>
      </c>
      <c r="GV2" s="57"/>
      <c r="GW2" s="57"/>
      <c r="GX2" s="57"/>
      <c r="GY2" s="57"/>
      <c r="GZ2" s="57"/>
      <c r="HA2" s="57"/>
      <c r="HB2" s="57"/>
      <c r="HC2" s="57"/>
      <c r="HD2" s="57"/>
      <c r="HE2" s="57"/>
      <c r="HF2" s="57"/>
      <c r="HG2" s="57"/>
      <c r="HH2" s="57"/>
      <c r="HI2" s="57"/>
      <c r="HJ2" s="57"/>
      <c r="HK2" s="57"/>
      <c r="HL2" s="34" t="s">
        <v>487</v>
      </c>
      <c r="HM2" s="34" t="s">
        <v>487</v>
      </c>
      <c r="HN2" s="34" t="s">
        <v>486</v>
      </c>
      <c r="HO2" s="34" t="s">
        <v>486</v>
      </c>
      <c r="HP2" s="34" t="s">
        <v>486</v>
      </c>
      <c r="HQ2" s="34" t="s">
        <v>486</v>
      </c>
      <c r="HR2" s="39" t="s">
        <v>485</v>
      </c>
      <c r="HS2" s="39" t="s">
        <v>485</v>
      </c>
      <c r="HT2" s="39" t="s">
        <v>484</v>
      </c>
      <c r="HU2" s="39" t="s">
        <v>484</v>
      </c>
      <c r="HV2" s="39" t="s">
        <v>484</v>
      </c>
      <c r="HW2" s="41" t="s">
        <v>483</v>
      </c>
      <c r="HX2" s="41"/>
      <c r="HY2" s="41" t="s">
        <v>483</v>
      </c>
      <c r="HZ2" s="41" t="s">
        <v>483</v>
      </c>
      <c r="IA2" s="41" t="s">
        <v>483</v>
      </c>
      <c r="IB2" s="41" t="s">
        <v>483</v>
      </c>
      <c r="IC2" s="47" t="s">
        <v>663</v>
      </c>
      <c r="ID2" s="47"/>
      <c r="IE2" s="47" t="s">
        <v>663</v>
      </c>
      <c r="IF2" s="47" t="s">
        <v>663</v>
      </c>
      <c r="IG2" s="47" t="s">
        <v>663</v>
      </c>
      <c r="IH2" s="47"/>
      <c r="II2" s="38" t="s">
        <v>482</v>
      </c>
      <c r="IJ2" s="38" t="s">
        <v>482</v>
      </c>
      <c r="IK2" s="38" t="s">
        <v>481</v>
      </c>
      <c r="IL2" s="38" t="s">
        <v>481</v>
      </c>
      <c r="IM2" s="38" t="s">
        <v>481</v>
      </c>
      <c r="IN2" s="38" t="s">
        <v>481</v>
      </c>
      <c r="IO2" s="38" t="s">
        <v>481</v>
      </c>
      <c r="IP2" s="34" t="s">
        <v>480</v>
      </c>
      <c r="IQ2" s="34" t="s">
        <v>480</v>
      </c>
      <c r="IR2" s="34"/>
      <c r="IS2" s="34"/>
      <c r="IT2" s="40" t="s">
        <v>479</v>
      </c>
      <c r="IU2" s="40" t="s">
        <v>479</v>
      </c>
      <c r="IV2" s="40" t="s">
        <v>479</v>
      </c>
      <c r="IW2" s="39" t="s">
        <v>478</v>
      </c>
      <c r="IX2" s="39" t="s">
        <v>478</v>
      </c>
      <c r="IY2" s="39" t="s">
        <v>478</v>
      </c>
      <c r="IZ2" s="39" t="s">
        <v>478</v>
      </c>
      <c r="JA2" s="39"/>
      <c r="JB2" s="39" t="s">
        <v>477</v>
      </c>
      <c r="JC2" s="39" t="s">
        <v>477</v>
      </c>
      <c r="JD2" s="39" t="s">
        <v>477</v>
      </c>
      <c r="JE2" s="39" t="s">
        <v>477</v>
      </c>
      <c r="JF2" s="39" t="s">
        <v>477</v>
      </c>
      <c r="JG2" s="39" t="s">
        <v>477</v>
      </c>
      <c r="JH2" s="39" t="s">
        <v>477</v>
      </c>
      <c r="JI2" s="39" t="s">
        <v>477</v>
      </c>
      <c r="JJ2" s="39" t="s">
        <v>477</v>
      </c>
      <c r="JK2" s="38" t="s">
        <v>476</v>
      </c>
      <c r="JL2" s="38" t="s">
        <v>476</v>
      </c>
      <c r="JM2" s="38" t="s">
        <v>475</v>
      </c>
      <c r="JN2" s="38" t="s">
        <v>475</v>
      </c>
      <c r="JO2" s="38" t="s">
        <v>475</v>
      </c>
      <c r="JP2" s="38" t="s">
        <v>475</v>
      </c>
      <c r="JQ2" s="38" t="s">
        <v>475</v>
      </c>
      <c r="JR2" s="38" t="s">
        <v>475</v>
      </c>
      <c r="JS2" s="38" t="s">
        <v>475</v>
      </c>
      <c r="JT2" s="38" t="s">
        <v>475</v>
      </c>
      <c r="JU2" s="38" t="s">
        <v>475</v>
      </c>
      <c r="JV2" s="38" t="s">
        <v>475</v>
      </c>
      <c r="JW2" s="34" t="s">
        <v>475</v>
      </c>
      <c r="JX2" s="34" t="s">
        <v>475</v>
      </c>
      <c r="JY2" s="34" t="s">
        <v>475</v>
      </c>
      <c r="JZ2" s="34" t="s">
        <v>475</v>
      </c>
      <c r="KA2" s="34" t="s">
        <v>475</v>
      </c>
      <c r="KB2" s="34" t="s">
        <v>475</v>
      </c>
      <c r="KC2" s="34" t="s">
        <v>475</v>
      </c>
      <c r="KD2" s="34" t="s">
        <v>475</v>
      </c>
      <c r="KE2" s="34" t="s">
        <v>475</v>
      </c>
      <c r="KF2" s="38" t="s">
        <v>474</v>
      </c>
      <c r="KG2" s="38" t="s">
        <v>474</v>
      </c>
      <c r="KH2" s="38" t="s">
        <v>473</v>
      </c>
      <c r="KI2" s="38" t="s">
        <v>473</v>
      </c>
      <c r="KJ2" s="34" t="s">
        <v>472</v>
      </c>
      <c r="KK2" s="34" t="s">
        <v>472</v>
      </c>
      <c r="KL2" s="34" t="s">
        <v>471</v>
      </c>
      <c r="KM2" s="34" t="s">
        <v>471</v>
      </c>
      <c r="KN2" s="34" t="s">
        <v>471</v>
      </c>
      <c r="KO2" s="34" t="s">
        <v>472</v>
      </c>
      <c r="KP2" s="34" t="s">
        <v>471</v>
      </c>
      <c r="KQ2" s="34" t="s">
        <v>471</v>
      </c>
      <c r="KR2" s="34" t="s">
        <v>471</v>
      </c>
      <c r="KS2" s="34"/>
      <c r="KT2" s="34"/>
      <c r="KU2" s="34"/>
      <c r="KV2" s="34"/>
      <c r="KW2" s="38" t="s">
        <v>470</v>
      </c>
      <c r="KX2" s="38" t="s">
        <v>470</v>
      </c>
      <c r="KY2" s="38" t="s">
        <v>470</v>
      </c>
      <c r="KZ2" s="38" t="s">
        <v>470</v>
      </c>
      <c r="LA2" s="38" t="s">
        <v>470</v>
      </c>
      <c r="LB2" s="38"/>
      <c r="LC2" s="38"/>
      <c r="LD2" s="38" t="s">
        <v>469</v>
      </c>
      <c r="LE2" s="38" t="s">
        <v>469</v>
      </c>
      <c r="LF2" s="38"/>
      <c r="LG2" s="38" t="s">
        <v>469</v>
      </c>
      <c r="LH2" s="38"/>
      <c r="LI2" s="38" t="s">
        <v>469</v>
      </c>
      <c r="LJ2" s="38" t="s">
        <v>469</v>
      </c>
      <c r="LK2" s="38" t="s">
        <v>469</v>
      </c>
      <c r="LL2" s="38" t="s">
        <v>469</v>
      </c>
      <c r="LM2" s="38" t="s">
        <v>469</v>
      </c>
      <c r="LN2" s="38" t="s">
        <v>469</v>
      </c>
      <c r="LO2" s="38" t="s">
        <v>469</v>
      </c>
      <c r="LP2" s="37" t="s">
        <v>468</v>
      </c>
      <c r="LQ2" s="37" t="s">
        <v>468</v>
      </c>
      <c r="LR2" s="37" t="s">
        <v>468</v>
      </c>
      <c r="LS2" s="37" t="s">
        <v>467</v>
      </c>
      <c r="LT2" s="37" t="s">
        <v>467</v>
      </c>
      <c r="LU2" s="36" t="s">
        <v>466</v>
      </c>
      <c r="LV2" s="36" t="s">
        <v>466</v>
      </c>
      <c r="LW2" s="36"/>
      <c r="LX2" s="36" t="s">
        <v>465</v>
      </c>
      <c r="LY2" s="36" t="s">
        <v>465</v>
      </c>
      <c r="LZ2" s="36" t="s">
        <v>465</v>
      </c>
      <c r="MA2" s="36" t="s">
        <v>465</v>
      </c>
      <c r="MB2" s="36" t="s">
        <v>465</v>
      </c>
      <c r="MC2" s="35" t="s">
        <v>464</v>
      </c>
      <c r="MD2" s="35" t="s">
        <v>464</v>
      </c>
      <c r="ME2" s="35" t="s">
        <v>464</v>
      </c>
      <c r="MF2" s="35" t="s">
        <v>464</v>
      </c>
      <c r="MG2" s="35" t="s">
        <v>464</v>
      </c>
      <c r="MH2" s="34" t="s">
        <v>463</v>
      </c>
      <c r="MI2" s="34" t="s">
        <v>463</v>
      </c>
      <c r="MJ2" s="34" t="s">
        <v>462</v>
      </c>
      <c r="MK2" s="34" t="s">
        <v>462</v>
      </c>
      <c r="ML2" s="34" t="s">
        <v>462</v>
      </c>
      <c r="MM2" s="33" t="s">
        <v>461</v>
      </c>
      <c r="MN2" s="33" t="s">
        <v>461</v>
      </c>
      <c r="MO2" s="33"/>
      <c r="MP2" s="33"/>
      <c r="MQ2" s="33"/>
      <c r="MR2" s="33" t="s">
        <v>460</v>
      </c>
      <c r="MS2" s="33" t="s">
        <v>460</v>
      </c>
      <c r="MT2" s="33" t="s">
        <v>460</v>
      </c>
      <c r="MU2" s="38" t="s">
        <v>1705</v>
      </c>
      <c r="MV2" s="38" t="s">
        <v>1705</v>
      </c>
      <c r="MW2" s="38" t="s">
        <v>1705</v>
      </c>
      <c r="MX2" s="38" t="s">
        <v>1705</v>
      </c>
      <c r="MY2" s="38" t="s">
        <v>1705</v>
      </c>
      <c r="MZ2" s="32" t="s">
        <v>459</v>
      </c>
      <c r="NA2" s="32" t="s">
        <v>459</v>
      </c>
      <c r="NB2" s="31" t="s">
        <v>458</v>
      </c>
      <c r="NC2" s="31" t="s">
        <v>458</v>
      </c>
      <c r="ND2" s="31"/>
      <c r="NE2" s="31"/>
      <c r="NF2" s="31"/>
      <c r="NG2" s="31"/>
      <c r="NH2" s="31" t="s">
        <v>458</v>
      </c>
      <c r="NI2" s="31" t="s">
        <v>458</v>
      </c>
      <c r="NJ2" s="1" t="s">
        <v>0</v>
      </c>
      <c r="NK2" s="1" t="s">
        <v>0</v>
      </c>
      <c r="NL2" s="1" t="s">
        <v>0</v>
      </c>
      <c r="NM2" s="1" t="s">
        <v>0</v>
      </c>
      <c r="NN2" s="1" t="s">
        <v>0</v>
      </c>
      <c r="NO2" s="1" t="s">
        <v>0</v>
      </c>
      <c r="NP2" s="1" t="s">
        <v>0</v>
      </c>
      <c r="NQ2" s="1" t="s">
        <v>0</v>
      </c>
      <c r="NR2" s="1" t="s">
        <v>0</v>
      </c>
      <c r="NS2" s="1" t="s">
        <v>0</v>
      </c>
      <c r="NT2" s="1" t="s">
        <v>0</v>
      </c>
      <c r="NU2" s="1" t="s">
        <v>0</v>
      </c>
      <c r="NV2" s="1" t="s">
        <v>0</v>
      </c>
      <c r="NW2" s="30" t="s">
        <v>457</v>
      </c>
      <c r="NX2" s="30" t="s">
        <v>457</v>
      </c>
      <c r="NY2" s="30" t="s">
        <v>457</v>
      </c>
      <c r="NZ2" s="30" t="s">
        <v>457</v>
      </c>
      <c r="OA2" s="30" t="s">
        <v>457</v>
      </c>
      <c r="OB2" s="30" t="s">
        <v>457</v>
      </c>
      <c r="OC2" s="30" t="s">
        <v>457</v>
      </c>
      <c r="OD2" s="30"/>
      <c r="OE2" s="30"/>
      <c r="OF2" s="30"/>
      <c r="OG2" s="30"/>
      <c r="OH2" s="30"/>
      <c r="OI2" s="30"/>
      <c r="OJ2" s="30"/>
      <c r="OK2" s="30"/>
      <c r="OL2" s="30"/>
      <c r="OM2" s="30"/>
      <c r="ON2" s="30"/>
      <c r="OO2" s="30"/>
      <c r="OP2" s="30"/>
      <c r="OQ2" s="30"/>
      <c r="OR2" s="30"/>
      <c r="OS2" s="30"/>
      <c r="OT2" s="30" t="s">
        <v>457</v>
      </c>
      <c r="OU2" s="30" t="s">
        <v>457</v>
      </c>
      <c r="OV2" s="29" t="s">
        <v>456</v>
      </c>
      <c r="OW2" s="29" t="s">
        <v>456</v>
      </c>
      <c r="OX2" s="29" t="s">
        <v>456</v>
      </c>
      <c r="OY2" s="29" t="s">
        <v>456</v>
      </c>
      <c r="OZ2" s="29" t="s">
        <v>456</v>
      </c>
    </row>
    <row r="3" spans="1:423" ht="15" customHeight="1" thickBot="1">
      <c r="A3" t="s">
        <v>455</v>
      </c>
      <c r="B3" t="s">
        <v>454</v>
      </c>
      <c r="C3" t="s">
        <v>453</v>
      </c>
      <c r="D3" t="s">
        <v>452</v>
      </c>
      <c r="E3" t="s">
        <v>451</v>
      </c>
      <c r="F3" t="s">
        <v>450</v>
      </c>
      <c r="H3" t="s">
        <v>449</v>
      </c>
      <c r="I3" t="s">
        <v>448</v>
      </c>
      <c r="J3" t="s">
        <v>447</v>
      </c>
      <c r="K3" t="s">
        <v>446</v>
      </c>
      <c r="AV3" s="18" t="s">
        <v>445</v>
      </c>
      <c r="AW3" s="28" t="s">
        <v>723</v>
      </c>
      <c r="AX3" s="18" t="s">
        <v>444</v>
      </c>
      <c r="AY3" s="18" t="s">
        <v>443</v>
      </c>
      <c r="AZ3" s="18" t="s">
        <v>442</v>
      </c>
      <c r="BA3" s="18" t="s">
        <v>441</v>
      </c>
      <c r="BB3" s="18" t="s">
        <v>440</v>
      </c>
      <c r="BC3" s="18" t="s">
        <v>439</v>
      </c>
      <c r="BD3" s="20"/>
      <c r="BE3" s="20"/>
      <c r="BF3" s="20"/>
      <c r="BG3" s="20"/>
      <c r="BH3" s="18" t="s">
        <v>438</v>
      </c>
      <c r="BI3" s="18" t="s">
        <v>437</v>
      </c>
      <c r="BJ3" s="18" t="s">
        <v>433</v>
      </c>
      <c r="BK3" s="18" t="s">
        <v>436</v>
      </c>
      <c r="BL3" s="18" t="s">
        <v>435</v>
      </c>
      <c r="BM3" s="18" t="s">
        <v>438</v>
      </c>
      <c r="BN3" s="18" t="s">
        <v>437</v>
      </c>
      <c r="BO3" s="18" t="s">
        <v>433</v>
      </c>
      <c r="BP3" s="18" t="s">
        <v>436</v>
      </c>
      <c r="BQ3" s="18" t="s">
        <v>435</v>
      </c>
      <c r="BR3" s="18" t="s">
        <v>438</v>
      </c>
      <c r="BS3" s="18" t="s">
        <v>437</v>
      </c>
      <c r="BT3" s="18" t="s">
        <v>433</v>
      </c>
      <c r="BU3" s="18" t="s">
        <v>436</v>
      </c>
      <c r="BV3" s="18" t="s">
        <v>435</v>
      </c>
      <c r="BW3" s="18"/>
      <c r="BX3" s="18"/>
      <c r="BY3" s="18"/>
      <c r="BZ3" s="18"/>
      <c r="CA3" s="18"/>
      <c r="CB3" s="18"/>
      <c r="CC3" s="18"/>
      <c r="CD3" s="18"/>
      <c r="CE3" s="18"/>
      <c r="CF3" s="18"/>
      <c r="CG3" s="18"/>
      <c r="CH3" s="18"/>
      <c r="CI3" s="18"/>
      <c r="CJ3" s="18"/>
      <c r="CK3" s="18"/>
      <c r="CL3" s="18"/>
      <c r="CM3" s="18"/>
      <c r="CN3" s="18"/>
      <c r="CO3" s="18"/>
      <c r="CP3" s="18"/>
      <c r="CQ3" s="18"/>
      <c r="CR3" s="18"/>
      <c r="CS3" s="18"/>
      <c r="CT3" s="18"/>
      <c r="CU3" s="18"/>
      <c r="CV3" s="18"/>
      <c r="CW3" s="18"/>
      <c r="CX3" s="18"/>
      <c r="CY3" s="18"/>
      <c r="CZ3" s="18"/>
      <c r="DA3" s="18"/>
      <c r="DB3" s="18"/>
      <c r="DC3" s="18"/>
      <c r="DD3" s="18"/>
      <c r="DE3" s="18"/>
      <c r="DF3" s="18"/>
      <c r="DG3" s="18"/>
      <c r="DH3" s="18"/>
      <c r="DI3" s="18"/>
      <c r="DJ3" s="18"/>
      <c r="DK3" s="18"/>
      <c r="DL3" s="18"/>
      <c r="DM3" s="18"/>
      <c r="DN3" s="18"/>
      <c r="DO3" s="18"/>
      <c r="DP3" s="18"/>
      <c r="DQ3" s="18"/>
      <c r="DR3" s="18"/>
      <c r="DS3" s="18"/>
      <c r="DT3" s="18"/>
      <c r="DU3" s="18"/>
      <c r="DV3" s="18"/>
      <c r="DW3" s="18"/>
      <c r="DX3" s="18"/>
      <c r="DY3" s="18"/>
      <c r="DZ3" s="18"/>
      <c r="EA3" s="18"/>
      <c r="EB3" s="18"/>
      <c r="EC3" s="18"/>
      <c r="ED3" s="18"/>
      <c r="EE3" s="18" t="s">
        <v>434</v>
      </c>
      <c r="EF3" s="18" t="s">
        <v>433</v>
      </c>
      <c r="EG3" s="18" t="s">
        <v>432</v>
      </c>
      <c r="EH3" s="18" t="s">
        <v>683</v>
      </c>
      <c r="EI3" s="18" t="s">
        <v>434</v>
      </c>
      <c r="EJ3" s="18" t="s">
        <v>433</v>
      </c>
      <c r="EK3" s="18" t="s">
        <v>432</v>
      </c>
      <c r="EL3" s="18" t="s">
        <v>683</v>
      </c>
      <c r="EM3" s="18"/>
      <c r="EN3" s="18"/>
      <c r="EO3" s="18"/>
      <c r="EP3" s="18"/>
      <c r="EQ3" s="18"/>
      <c r="ER3" s="18"/>
      <c r="ES3" s="18"/>
      <c r="ET3" s="18"/>
      <c r="EU3" s="18"/>
      <c r="EV3" s="18"/>
      <c r="EW3" s="18"/>
      <c r="EX3" s="18"/>
      <c r="EY3" s="18"/>
      <c r="EZ3" s="18"/>
      <c r="FA3" s="18"/>
      <c r="FB3" s="18"/>
      <c r="FC3" s="18"/>
      <c r="FD3" s="18"/>
      <c r="FE3" s="18"/>
      <c r="FF3" s="18"/>
      <c r="FG3" s="18"/>
      <c r="FH3" s="18"/>
      <c r="FI3" s="18"/>
      <c r="FJ3" s="18"/>
      <c r="FK3" s="18"/>
      <c r="FL3" s="18"/>
      <c r="FM3" s="18"/>
      <c r="FN3" s="18"/>
      <c r="FO3" s="18"/>
      <c r="FP3" s="18"/>
      <c r="FQ3" s="18"/>
      <c r="FR3" s="18"/>
      <c r="FS3" s="18"/>
      <c r="FT3" s="18"/>
      <c r="FU3" s="18"/>
      <c r="FV3" s="18"/>
      <c r="FW3" s="18"/>
      <c r="FX3" s="18"/>
      <c r="FY3" s="18"/>
      <c r="FZ3" s="18"/>
      <c r="GA3" s="18"/>
      <c r="GB3" s="18"/>
      <c r="GC3" s="18"/>
      <c r="GD3" s="18"/>
      <c r="GE3" s="18"/>
      <c r="GF3" s="18"/>
      <c r="GG3" s="18"/>
      <c r="GH3" s="18"/>
      <c r="GI3" s="18"/>
      <c r="GJ3" s="18"/>
      <c r="GK3" s="18"/>
      <c r="GL3" s="18"/>
      <c r="GM3" s="18" t="s">
        <v>670</v>
      </c>
      <c r="GN3" s="18" t="s">
        <v>669</v>
      </c>
      <c r="GO3" s="18" t="s">
        <v>668</v>
      </c>
      <c r="GP3" s="18" t="s">
        <v>666</v>
      </c>
      <c r="GQ3" s="18"/>
      <c r="GR3" s="18" t="s">
        <v>670</v>
      </c>
      <c r="GS3" s="18" t="s">
        <v>669</v>
      </c>
      <c r="GT3" s="18" t="s">
        <v>668</v>
      </c>
      <c r="GU3" s="18" t="s">
        <v>666</v>
      </c>
      <c r="GV3" s="18"/>
      <c r="GW3" s="18"/>
      <c r="GX3" s="18"/>
      <c r="GY3" s="18"/>
      <c r="GZ3" s="18"/>
      <c r="HA3" s="18"/>
      <c r="HB3" s="18"/>
      <c r="HC3" s="18"/>
      <c r="HD3" s="18"/>
      <c r="HE3" s="18"/>
      <c r="HF3" s="18"/>
      <c r="HG3" s="18"/>
      <c r="HH3" s="18"/>
      <c r="HI3" s="18"/>
      <c r="HJ3" s="18"/>
      <c r="HK3" s="18"/>
      <c r="HL3" s="18" t="s">
        <v>431</v>
      </c>
      <c r="HM3" s="24" t="s">
        <v>430</v>
      </c>
      <c r="HN3" s="18" t="s">
        <v>429</v>
      </c>
      <c r="HO3" s="18" t="s">
        <v>428</v>
      </c>
      <c r="HP3" s="18" t="s">
        <v>427</v>
      </c>
      <c r="HQ3" s="18" t="s">
        <v>426</v>
      </c>
      <c r="HR3" s="18" t="s">
        <v>425</v>
      </c>
      <c r="HS3" s="24" t="s">
        <v>424</v>
      </c>
      <c r="HT3" s="18" t="s">
        <v>423</v>
      </c>
      <c r="HU3" s="23" t="s">
        <v>1124</v>
      </c>
      <c r="HV3" s="23" t="s">
        <v>1125</v>
      </c>
      <c r="HW3" s="18" t="s">
        <v>724</v>
      </c>
      <c r="HX3" s="18"/>
      <c r="HY3" s="18" t="s">
        <v>422</v>
      </c>
      <c r="HZ3" s="24" t="s">
        <v>421</v>
      </c>
      <c r="IA3" s="18" t="s">
        <v>420</v>
      </c>
      <c r="IB3" s="18" t="s">
        <v>419</v>
      </c>
      <c r="IC3" s="18" t="s">
        <v>726</v>
      </c>
      <c r="ID3" s="18"/>
      <c r="IE3" s="18" t="s">
        <v>665</v>
      </c>
      <c r="IF3" s="24" t="s">
        <v>664</v>
      </c>
      <c r="IG3" s="18" t="s">
        <v>662</v>
      </c>
      <c r="IH3" s="18"/>
      <c r="II3" s="18" t="s">
        <v>417</v>
      </c>
      <c r="IJ3" s="24" t="s">
        <v>418</v>
      </c>
      <c r="IK3" s="24" t="s">
        <v>658</v>
      </c>
      <c r="IL3" s="24" t="s">
        <v>659</v>
      </c>
      <c r="IM3" s="24" t="s">
        <v>727</v>
      </c>
      <c r="IN3" s="24" t="s">
        <v>1109</v>
      </c>
      <c r="IO3" s="24" t="s">
        <v>415</v>
      </c>
      <c r="IP3" s="18" t="s">
        <v>417</v>
      </c>
      <c r="IQ3" s="24" t="s">
        <v>416</v>
      </c>
      <c r="IR3" s="24"/>
      <c r="IS3" s="24"/>
      <c r="IT3" s="27"/>
      <c r="IU3" s="27"/>
      <c r="IV3" s="27" t="s">
        <v>415</v>
      </c>
      <c r="IW3" s="18" t="s">
        <v>414</v>
      </c>
      <c r="IX3" s="24" t="s">
        <v>413</v>
      </c>
      <c r="IY3" s="22" t="s">
        <v>412</v>
      </c>
      <c r="IZ3" s="22"/>
      <c r="JA3" s="22"/>
      <c r="JB3" s="16" t="s">
        <v>411</v>
      </c>
      <c r="JC3" s="16" t="s">
        <v>410</v>
      </c>
      <c r="JD3" s="16" t="s">
        <v>409</v>
      </c>
      <c r="JE3" s="16" t="s">
        <v>408</v>
      </c>
      <c r="JF3" s="16" t="s">
        <v>407</v>
      </c>
      <c r="JG3" s="16" t="s">
        <v>406</v>
      </c>
      <c r="JH3" s="26" t="s">
        <v>405</v>
      </c>
      <c r="JI3" s="26" t="s">
        <v>404</v>
      </c>
      <c r="JJ3" s="26" t="s">
        <v>403</v>
      </c>
      <c r="JK3" s="18" t="s">
        <v>402</v>
      </c>
      <c r="JL3" s="18" t="s">
        <v>401</v>
      </c>
      <c r="JM3" s="18" t="s">
        <v>400</v>
      </c>
      <c r="JN3" s="18" t="s">
        <v>399</v>
      </c>
      <c r="JO3" s="18" t="s">
        <v>398</v>
      </c>
      <c r="JP3" s="18" t="s">
        <v>397</v>
      </c>
      <c r="JQ3" s="18"/>
      <c r="JR3" s="18" t="s">
        <v>396</v>
      </c>
      <c r="JS3" s="18" t="s">
        <v>395</v>
      </c>
      <c r="JT3" s="18" t="s">
        <v>394</v>
      </c>
      <c r="JU3" s="18" t="s">
        <v>393</v>
      </c>
      <c r="JV3" s="18" t="s">
        <v>392</v>
      </c>
      <c r="JW3" s="18" t="s">
        <v>391</v>
      </c>
      <c r="JX3" s="18" t="s">
        <v>390</v>
      </c>
      <c r="JY3" s="18" t="s">
        <v>374</v>
      </c>
      <c r="JZ3" s="18" t="s">
        <v>389</v>
      </c>
      <c r="KA3" s="18"/>
      <c r="KB3" s="18" t="s">
        <v>388</v>
      </c>
      <c r="KC3" s="18" t="s">
        <v>387</v>
      </c>
      <c r="KD3" s="18" t="s">
        <v>386</v>
      </c>
      <c r="KE3" s="18" t="s">
        <v>385</v>
      </c>
      <c r="KF3" s="18" t="s">
        <v>384</v>
      </c>
      <c r="KG3" s="13" t="s">
        <v>383</v>
      </c>
      <c r="KH3" s="13" t="s">
        <v>382</v>
      </c>
      <c r="KI3" s="13" t="s">
        <v>381</v>
      </c>
      <c r="KJ3" s="13" t="s">
        <v>380</v>
      </c>
      <c r="KK3" s="13" t="s">
        <v>379</v>
      </c>
      <c r="KL3" s="13" t="s">
        <v>378</v>
      </c>
      <c r="KM3" s="13" t="s">
        <v>377</v>
      </c>
      <c r="KN3" s="13" t="s">
        <v>376</v>
      </c>
      <c r="KO3" s="13" t="s">
        <v>379</v>
      </c>
      <c r="KP3" s="13" t="s">
        <v>378</v>
      </c>
      <c r="KQ3" s="13" t="s">
        <v>377</v>
      </c>
      <c r="KR3" s="13" t="s">
        <v>376</v>
      </c>
      <c r="KS3" s="13"/>
      <c r="KT3" s="13"/>
      <c r="KU3" s="13"/>
      <c r="KV3" s="13"/>
      <c r="KW3" s="13" t="s">
        <v>350</v>
      </c>
      <c r="KX3" s="13" t="s">
        <v>375</v>
      </c>
      <c r="KY3" s="13"/>
      <c r="KZ3" s="13"/>
      <c r="LA3" s="13"/>
      <c r="LB3" s="13"/>
      <c r="LC3" s="13"/>
      <c r="LD3" s="13" t="s">
        <v>374</v>
      </c>
      <c r="LE3" s="13" t="s">
        <v>373</v>
      </c>
      <c r="LF3" s="13"/>
      <c r="LG3" s="18" t="s">
        <v>372</v>
      </c>
      <c r="LH3" s="18"/>
      <c r="LI3" s="18" t="s">
        <v>371</v>
      </c>
      <c r="LJ3" s="18" t="s">
        <v>370</v>
      </c>
      <c r="LK3" s="18" t="s">
        <v>369</v>
      </c>
      <c r="LL3" s="18" t="s">
        <v>368</v>
      </c>
      <c r="LM3" s="18" t="s">
        <v>367</v>
      </c>
      <c r="LN3" s="18" t="s">
        <v>363</v>
      </c>
      <c r="LO3" s="18" t="s">
        <v>366</v>
      </c>
      <c r="LP3" s="18" t="s">
        <v>350</v>
      </c>
      <c r="LQ3" s="24" t="s">
        <v>365</v>
      </c>
      <c r="LR3" s="18" t="s">
        <v>364</v>
      </c>
      <c r="LS3" s="18" t="s">
        <v>363</v>
      </c>
      <c r="LT3" s="18" t="s">
        <v>362</v>
      </c>
      <c r="LU3" s="18" t="s">
        <v>350</v>
      </c>
      <c r="LV3" s="25" t="s">
        <v>361</v>
      </c>
      <c r="LW3" s="222"/>
      <c r="LX3" s="16" t="s">
        <v>360</v>
      </c>
      <c r="LY3" s="16" t="s">
        <v>359</v>
      </c>
      <c r="LZ3" s="16" t="s">
        <v>358</v>
      </c>
      <c r="MA3" s="16" t="s">
        <v>357</v>
      </c>
      <c r="MB3" s="16" t="s">
        <v>356</v>
      </c>
      <c r="MC3" s="16" t="s">
        <v>350</v>
      </c>
      <c r="MD3" s="22" t="s">
        <v>355</v>
      </c>
      <c r="ME3" s="22" t="s">
        <v>355</v>
      </c>
      <c r="MF3" s="22" t="s">
        <v>355</v>
      </c>
      <c r="MG3" s="22" t="s">
        <v>355</v>
      </c>
      <c r="MH3" s="18" t="s">
        <v>350</v>
      </c>
      <c r="MI3" s="24" t="s">
        <v>354</v>
      </c>
      <c r="MJ3" s="18" t="s">
        <v>353</v>
      </c>
      <c r="MK3" s="18" t="s">
        <v>352</v>
      </c>
      <c r="ML3" s="18" t="s">
        <v>351</v>
      </c>
      <c r="MM3" s="16" t="s">
        <v>350</v>
      </c>
      <c r="MN3" s="22" t="s">
        <v>349</v>
      </c>
      <c r="MO3" s="22"/>
      <c r="MP3" s="22"/>
      <c r="MQ3" s="22"/>
      <c r="MR3" s="23" t="s">
        <v>348</v>
      </c>
      <c r="MS3" s="23" t="s">
        <v>347</v>
      </c>
      <c r="MT3" s="22" t="s">
        <v>346</v>
      </c>
      <c r="MU3" s="22"/>
      <c r="MV3" s="22"/>
      <c r="MW3" s="22"/>
      <c r="MX3" s="22"/>
      <c r="MY3" s="22"/>
      <c r="MZ3" s="21" t="s">
        <v>345</v>
      </c>
      <c r="NA3" s="20" t="s">
        <v>344</v>
      </c>
      <c r="NB3" s="19" t="s">
        <v>343</v>
      </c>
      <c r="NC3" s="19" t="s">
        <v>342</v>
      </c>
      <c r="ND3" s="19"/>
      <c r="NE3" s="19"/>
      <c r="NF3" s="19"/>
      <c r="NG3" s="19"/>
      <c r="NH3" s="19" t="s">
        <v>341</v>
      </c>
      <c r="NI3" s="18" t="s">
        <v>336</v>
      </c>
      <c r="NJ3" s="18" t="s">
        <v>328</v>
      </c>
      <c r="NK3" s="18" t="s">
        <v>340</v>
      </c>
      <c r="NL3" s="18" t="s">
        <v>339</v>
      </c>
      <c r="NM3" s="18" t="s">
        <v>338</v>
      </c>
      <c r="NN3" s="18" t="s">
        <v>337</v>
      </c>
      <c r="NO3" s="18" t="s">
        <v>335</v>
      </c>
      <c r="NP3" s="18" t="s">
        <v>334</v>
      </c>
      <c r="NQ3" s="18" t="s">
        <v>333</v>
      </c>
      <c r="NR3" s="18" t="s">
        <v>332</v>
      </c>
      <c r="NS3" s="18" t="s">
        <v>331</v>
      </c>
      <c r="NT3" s="18" t="s">
        <v>330</v>
      </c>
      <c r="NU3" s="18" t="s">
        <v>329</v>
      </c>
      <c r="NV3" s="18" t="s">
        <v>327</v>
      </c>
      <c r="NW3" s="18" t="s">
        <v>326</v>
      </c>
      <c r="NX3" s="18" t="s">
        <v>325</v>
      </c>
      <c r="NY3" s="18" t="s">
        <v>324</v>
      </c>
      <c r="NZ3" s="18" t="s">
        <v>323</v>
      </c>
      <c r="OA3" s="18" t="s">
        <v>322</v>
      </c>
      <c r="OB3" s="18" t="s">
        <v>321</v>
      </c>
      <c r="OC3" s="18" t="s">
        <v>320</v>
      </c>
      <c r="OD3" s="18"/>
      <c r="OE3" s="18"/>
      <c r="OF3" s="18"/>
      <c r="OG3" s="18"/>
      <c r="OH3" s="18"/>
      <c r="OI3" s="18"/>
      <c r="OJ3" s="18"/>
      <c r="OK3" s="18"/>
      <c r="OL3" s="18"/>
      <c r="OM3" s="18"/>
      <c r="ON3" s="18" t="s">
        <v>2450</v>
      </c>
      <c r="OO3" s="18" t="s">
        <v>2450</v>
      </c>
      <c r="OP3" s="18" t="s">
        <v>2450</v>
      </c>
      <c r="OQ3" s="18" t="s">
        <v>2450</v>
      </c>
      <c r="OR3" s="18" t="s">
        <v>2450</v>
      </c>
      <c r="OS3" s="18" t="s">
        <v>2450</v>
      </c>
      <c r="OT3" s="18" t="s">
        <v>319</v>
      </c>
      <c r="OU3" s="18" t="s">
        <v>318</v>
      </c>
      <c r="OV3" s="16" t="s">
        <v>317</v>
      </c>
      <c r="OW3" s="17" t="s">
        <v>316</v>
      </c>
      <c r="OX3" s="17" t="s">
        <v>315</v>
      </c>
      <c r="OY3" s="16" t="s">
        <v>314</v>
      </c>
      <c r="OZ3" s="16" t="s">
        <v>313</v>
      </c>
    </row>
    <row r="4" spans="1:423" s="3" customFormat="1" ht="14.45" customHeight="1" thickBot="1">
      <c r="A4" s="3" t="s">
        <v>248</v>
      </c>
      <c r="B4" s="3" t="s">
        <v>247</v>
      </c>
      <c r="C4" s="3" t="s">
        <v>246</v>
      </c>
      <c r="D4" s="67" t="s">
        <v>245</v>
      </c>
      <c r="E4" s="3" t="s">
        <v>244</v>
      </c>
      <c r="F4" s="67" t="s">
        <v>243</v>
      </c>
      <c r="G4" s="3" t="s">
        <v>2</v>
      </c>
      <c r="H4" s="3" t="s">
        <v>30</v>
      </c>
      <c r="I4" s="3" t="s">
        <v>242</v>
      </c>
      <c r="J4" s="3" t="s">
        <v>241</v>
      </c>
      <c r="K4" s="3" t="s">
        <v>29</v>
      </c>
      <c r="AV4" s="3" t="s">
        <v>240</v>
      </c>
      <c r="AW4" s="3">
        <v>400</v>
      </c>
      <c r="AX4" s="3" t="s">
        <v>29</v>
      </c>
      <c r="AY4" s="3">
        <v>3</v>
      </c>
      <c r="AZ4" s="3" t="s">
        <v>259</v>
      </c>
      <c r="BA4" s="3">
        <v>2012</v>
      </c>
      <c r="BB4" s="3">
        <v>2015</v>
      </c>
      <c r="BC4" s="3" t="s">
        <v>29</v>
      </c>
      <c r="BD4" s="3" t="s">
        <v>19</v>
      </c>
      <c r="BE4" s="3" t="s">
        <v>261</v>
      </c>
      <c r="BF4" s="3" t="s">
        <v>24</v>
      </c>
      <c r="BG4" s="3" t="s">
        <v>1233</v>
      </c>
      <c r="BH4" s="3" t="s">
        <v>23</v>
      </c>
      <c r="BI4" s="3" t="s">
        <v>29</v>
      </c>
      <c r="BJ4" s="67" t="s">
        <v>22</v>
      </c>
      <c r="BK4" s="68">
        <v>44000</v>
      </c>
      <c r="HL4" s="3" t="s">
        <v>233</v>
      </c>
      <c r="HM4" s="3" t="s">
        <v>232</v>
      </c>
      <c r="HR4" s="3" t="s">
        <v>231</v>
      </c>
      <c r="HT4" s="67" t="s">
        <v>20</v>
      </c>
      <c r="HU4" s="3" t="s">
        <v>29</v>
      </c>
      <c r="HV4" s="3" t="s">
        <v>29</v>
      </c>
      <c r="II4" s="3" t="s">
        <v>255</v>
      </c>
      <c r="IJ4" s="54" t="s">
        <v>19</v>
      </c>
      <c r="IK4" s="70"/>
      <c r="IL4" s="70"/>
      <c r="IP4" s="3" t="s">
        <v>255</v>
      </c>
      <c r="IQ4" s="54" t="s">
        <v>19</v>
      </c>
      <c r="JK4" s="3" t="s">
        <v>228</v>
      </c>
      <c r="JL4" s="3" t="s">
        <v>15</v>
      </c>
      <c r="JM4" s="71" t="s">
        <v>14</v>
      </c>
      <c r="JN4" s="71" t="s">
        <v>730</v>
      </c>
      <c r="JO4" s="67" t="s">
        <v>13</v>
      </c>
      <c r="JP4" s="3" t="s">
        <v>731</v>
      </c>
      <c r="JW4" s="67"/>
      <c r="JX4" s="67"/>
      <c r="JY4" s="67"/>
      <c r="JZ4" s="67"/>
      <c r="KA4" s="67"/>
      <c r="KB4" s="67"/>
      <c r="KC4" s="67"/>
      <c r="KD4" s="67"/>
      <c r="KE4" s="67"/>
      <c r="KF4" s="3" t="s">
        <v>223</v>
      </c>
      <c r="KG4" s="69" t="s">
        <v>12</v>
      </c>
      <c r="KH4" s="69" t="s">
        <v>29</v>
      </c>
      <c r="KI4" s="3" t="s">
        <v>29</v>
      </c>
      <c r="KJ4" s="3" t="s">
        <v>223</v>
      </c>
      <c r="KK4" s="3" t="s">
        <v>222</v>
      </c>
      <c r="KL4" s="3" t="s">
        <v>221</v>
      </c>
      <c r="KM4" s="67" t="s">
        <v>220</v>
      </c>
      <c r="KN4" s="3">
        <v>2.5</v>
      </c>
      <c r="KO4" s="72"/>
      <c r="KP4" s="72"/>
      <c r="KQ4" s="72"/>
      <c r="KR4" s="69"/>
      <c r="KS4" s="72" t="s">
        <v>722</v>
      </c>
      <c r="KT4" s="72"/>
      <c r="KU4" s="72"/>
      <c r="KV4" s="69"/>
      <c r="KW4" s="3" t="s">
        <v>217</v>
      </c>
      <c r="KX4" s="3" t="s">
        <v>216</v>
      </c>
      <c r="LC4" s="67" t="s">
        <v>29</v>
      </c>
      <c r="LD4" s="67"/>
      <c r="LE4" s="67" t="s">
        <v>29</v>
      </c>
      <c r="LF4" s="67"/>
      <c r="LG4" s="67" t="s">
        <v>29</v>
      </c>
      <c r="LH4" s="67"/>
      <c r="LI4" s="67" t="s">
        <v>29</v>
      </c>
      <c r="LJ4" s="67"/>
      <c r="LK4" s="3" t="s">
        <v>215</v>
      </c>
      <c r="LL4" s="67" t="s">
        <v>29</v>
      </c>
      <c r="LM4" s="67" t="s">
        <v>29</v>
      </c>
      <c r="LN4" s="67" t="s">
        <v>13</v>
      </c>
      <c r="LO4" s="3">
        <v>2500</v>
      </c>
      <c r="MZ4" s="3" t="s">
        <v>214</v>
      </c>
      <c r="NA4" s="3">
        <v>30</v>
      </c>
      <c r="NB4" s="3" t="s">
        <v>293</v>
      </c>
      <c r="NC4" s="67" t="s">
        <v>10</v>
      </c>
      <c r="NJ4" s="3" t="s">
        <v>734</v>
      </c>
      <c r="NK4" s="3" t="s">
        <v>310</v>
      </c>
      <c r="NL4" s="3" t="s">
        <v>267</v>
      </c>
      <c r="NM4" s="67" t="s">
        <v>266</v>
      </c>
      <c r="NN4" s="73" t="s">
        <v>265</v>
      </c>
      <c r="NV4" s="3" t="s">
        <v>735</v>
      </c>
      <c r="NW4" s="3" t="s">
        <v>6</v>
      </c>
      <c r="NX4" s="74" t="s">
        <v>1158</v>
      </c>
      <c r="NY4" s="67" t="s">
        <v>4</v>
      </c>
      <c r="NZ4" s="75">
        <v>147.20812182741099</v>
      </c>
      <c r="OC4" s="3">
        <v>8</v>
      </c>
      <c r="OT4" s="3" t="s">
        <v>1157</v>
      </c>
      <c r="OU4" s="3" t="s">
        <v>6</v>
      </c>
      <c r="OW4" s="76">
        <v>2012</v>
      </c>
      <c r="OX4" s="76">
        <v>2015</v>
      </c>
      <c r="OY4" s="76"/>
      <c r="PA4" s="3" t="s">
        <v>1169</v>
      </c>
      <c r="PB4" s="83">
        <v>46094</v>
      </c>
      <c r="PC4" s="83"/>
    </row>
    <row r="5" spans="1:423" s="3" customFormat="1" ht="15.75" thickBot="1">
      <c r="A5" s="3" t="s">
        <v>248</v>
      </c>
      <c r="B5" s="3" t="s">
        <v>247</v>
      </c>
      <c r="C5" s="3" t="s">
        <v>246</v>
      </c>
      <c r="D5" s="67" t="s">
        <v>245</v>
      </c>
      <c r="E5" s="3" t="s">
        <v>244</v>
      </c>
      <c r="F5" s="67" t="s">
        <v>243</v>
      </c>
      <c r="G5" s="3" t="s">
        <v>2</v>
      </c>
      <c r="H5" s="3" t="s">
        <v>30</v>
      </c>
      <c r="I5" s="3" t="s">
        <v>242</v>
      </c>
      <c r="J5" s="3" t="s">
        <v>241</v>
      </c>
      <c r="K5" s="3" t="s">
        <v>29</v>
      </c>
      <c r="AV5" s="3" t="s">
        <v>240</v>
      </c>
      <c r="AW5" s="3">
        <v>400</v>
      </c>
      <c r="AX5" s="3" t="s">
        <v>29</v>
      </c>
      <c r="AY5" s="3">
        <v>3</v>
      </c>
      <c r="AZ5" s="3" t="s">
        <v>259</v>
      </c>
      <c r="BA5" s="3">
        <v>2012</v>
      </c>
      <c r="BB5" s="3">
        <v>2015</v>
      </c>
      <c r="BC5" s="3" t="s">
        <v>29</v>
      </c>
      <c r="BD5" s="3" t="s">
        <v>19</v>
      </c>
      <c r="BE5" s="3" t="s">
        <v>311</v>
      </c>
      <c r="BF5" s="3" t="s">
        <v>39</v>
      </c>
      <c r="BG5" s="3" t="s">
        <v>1233</v>
      </c>
      <c r="BH5" s="3" t="s">
        <v>23</v>
      </c>
      <c r="BI5" s="3" t="s">
        <v>29</v>
      </c>
      <c r="BJ5" s="67" t="s">
        <v>22</v>
      </c>
      <c r="BK5" s="68">
        <v>44000</v>
      </c>
      <c r="HL5" s="3" t="s">
        <v>298</v>
      </c>
      <c r="HM5" s="3" t="s">
        <v>297</v>
      </c>
      <c r="HN5" s="3" t="s">
        <v>296</v>
      </c>
      <c r="HP5" s="3" t="s">
        <v>29</v>
      </c>
      <c r="HQ5" s="3">
        <v>1</v>
      </c>
      <c r="HR5" s="3" t="s">
        <v>231</v>
      </c>
      <c r="HT5" s="67" t="s">
        <v>20</v>
      </c>
      <c r="HU5" s="3" t="s">
        <v>29</v>
      </c>
      <c r="HV5" s="3" t="s">
        <v>29</v>
      </c>
      <c r="II5" s="3" t="s">
        <v>255</v>
      </c>
      <c r="IJ5" s="54" t="s">
        <v>19</v>
      </c>
      <c r="IK5" s="70"/>
      <c r="IL5" s="70"/>
      <c r="IP5" s="3" t="s">
        <v>255</v>
      </c>
      <c r="IQ5" s="54" t="s">
        <v>19</v>
      </c>
      <c r="JK5" s="3" t="s">
        <v>228</v>
      </c>
      <c r="JL5" s="3" t="s">
        <v>15</v>
      </c>
      <c r="JM5" s="71" t="s">
        <v>14</v>
      </c>
      <c r="JN5" s="71" t="s">
        <v>730</v>
      </c>
      <c r="JO5" s="67" t="s">
        <v>13</v>
      </c>
      <c r="JP5" s="3" t="s">
        <v>731</v>
      </c>
      <c r="JW5" s="67"/>
      <c r="JX5" s="67"/>
      <c r="JY5" s="67"/>
      <c r="JZ5" s="67"/>
      <c r="KA5" s="67"/>
      <c r="KB5" s="67"/>
      <c r="KC5" s="67"/>
      <c r="KD5" s="67"/>
      <c r="KE5" s="67"/>
      <c r="KF5" s="67" t="s">
        <v>295</v>
      </c>
      <c r="KG5" s="69" t="s">
        <v>12</v>
      </c>
      <c r="KH5" s="69" t="s">
        <v>29</v>
      </c>
      <c r="KI5" s="3" t="s">
        <v>29</v>
      </c>
      <c r="KJ5" s="3" t="s">
        <v>294</v>
      </c>
      <c r="KK5" s="69" t="s">
        <v>12</v>
      </c>
      <c r="KM5" s="67"/>
      <c r="KO5" s="72"/>
      <c r="KP5" s="72"/>
      <c r="KQ5" s="72"/>
      <c r="KR5" s="69"/>
      <c r="KS5" s="72" t="s">
        <v>722</v>
      </c>
      <c r="KT5" s="72"/>
      <c r="KU5" s="72"/>
      <c r="KV5" s="69"/>
      <c r="KX5" s="69" t="s">
        <v>1117</v>
      </c>
      <c r="LC5" s="69"/>
      <c r="LD5" s="67"/>
      <c r="LE5" s="69"/>
      <c r="LF5" s="69"/>
      <c r="LG5" s="69"/>
      <c r="LH5" s="69"/>
      <c r="LI5" s="69"/>
      <c r="LJ5" s="67"/>
      <c r="LK5" s="67"/>
      <c r="LL5" s="67"/>
      <c r="LM5" s="67"/>
      <c r="LN5" s="67"/>
      <c r="MZ5" s="3" t="s">
        <v>214</v>
      </c>
      <c r="NA5" s="3">
        <v>30</v>
      </c>
      <c r="NB5" s="3" t="s">
        <v>293</v>
      </c>
      <c r="NC5" s="67" t="s">
        <v>10</v>
      </c>
      <c r="NJ5" s="3" t="s">
        <v>732</v>
      </c>
      <c r="NK5" s="3" t="s">
        <v>310</v>
      </c>
      <c r="NL5" s="3" t="s">
        <v>267</v>
      </c>
      <c r="NM5" s="67" t="s">
        <v>266</v>
      </c>
      <c r="NN5" s="73" t="s">
        <v>265</v>
      </c>
      <c r="NV5" s="3" t="s">
        <v>733</v>
      </c>
      <c r="NW5" s="3" t="s">
        <v>6</v>
      </c>
      <c r="NX5" s="74" t="s">
        <v>1159</v>
      </c>
      <c r="NY5" s="67" t="s">
        <v>4</v>
      </c>
      <c r="NZ5" s="75">
        <v>172.58883248730911</v>
      </c>
      <c r="OC5" s="3">
        <v>8</v>
      </c>
      <c r="OT5" s="3" t="s">
        <v>1157</v>
      </c>
      <c r="OU5" t="s">
        <v>6</v>
      </c>
      <c r="OW5" s="76">
        <v>2012</v>
      </c>
      <c r="OX5" s="76">
        <v>2015</v>
      </c>
      <c r="PA5" s="3" t="s">
        <v>1169</v>
      </c>
      <c r="PB5" s="83">
        <v>46094</v>
      </c>
      <c r="PC5" s="83"/>
    </row>
    <row r="6" spans="1:423" s="3" customFormat="1" ht="15.75" thickBot="1">
      <c r="A6" s="3" t="s">
        <v>248</v>
      </c>
      <c r="B6" s="3" t="s">
        <v>247</v>
      </c>
      <c r="C6" s="3" t="s">
        <v>246</v>
      </c>
      <c r="D6" s="67" t="s">
        <v>245</v>
      </c>
      <c r="E6" s="3" t="s">
        <v>244</v>
      </c>
      <c r="F6" s="67" t="s">
        <v>243</v>
      </c>
      <c r="G6" s="3" t="s">
        <v>2</v>
      </c>
      <c r="H6" s="3" t="s">
        <v>30</v>
      </c>
      <c r="I6" s="3" t="s">
        <v>242</v>
      </c>
      <c r="J6" s="3" t="s">
        <v>241</v>
      </c>
      <c r="K6" s="3" t="s">
        <v>29</v>
      </c>
      <c r="AV6" s="3" t="s">
        <v>240</v>
      </c>
      <c r="AW6" s="3">
        <v>400</v>
      </c>
      <c r="AX6" s="3" t="s">
        <v>29</v>
      </c>
      <c r="AY6" s="3">
        <v>3</v>
      </c>
      <c r="AZ6" s="3" t="s">
        <v>259</v>
      </c>
      <c r="BA6" s="3">
        <v>2012</v>
      </c>
      <c r="BB6" s="3">
        <v>2015</v>
      </c>
      <c r="BC6" s="3" t="s">
        <v>29</v>
      </c>
      <c r="BD6" s="3" t="s">
        <v>238</v>
      </c>
      <c r="BE6" s="3" t="s">
        <v>260</v>
      </c>
      <c r="BF6" s="3" t="s">
        <v>64</v>
      </c>
      <c r="BG6" s="3" t="s">
        <v>1233</v>
      </c>
      <c r="BH6" s="3" t="s">
        <v>23</v>
      </c>
      <c r="BI6" s="3" t="s">
        <v>29</v>
      </c>
      <c r="BJ6" s="67" t="s">
        <v>22</v>
      </c>
      <c r="BK6" s="68">
        <v>44000</v>
      </c>
      <c r="BL6" s="3" t="s">
        <v>56</v>
      </c>
      <c r="BM6" s="3" t="s">
        <v>250</v>
      </c>
      <c r="BN6" s="3" t="s">
        <v>29</v>
      </c>
      <c r="BO6" s="67" t="s">
        <v>22</v>
      </c>
      <c r="BP6" s="68">
        <v>44444</v>
      </c>
      <c r="HL6" s="3" t="s">
        <v>233</v>
      </c>
      <c r="HM6" s="3" t="s">
        <v>232</v>
      </c>
      <c r="HR6" s="3" t="s">
        <v>231</v>
      </c>
      <c r="HT6" s="67" t="s">
        <v>736</v>
      </c>
      <c r="HU6" s="3" t="s">
        <v>29</v>
      </c>
      <c r="HV6" s="3" t="s">
        <v>29</v>
      </c>
      <c r="II6" s="3" t="s">
        <v>251</v>
      </c>
      <c r="IJ6" s="77" t="s">
        <v>229</v>
      </c>
      <c r="IK6" s="67" t="s">
        <v>660</v>
      </c>
      <c r="IL6" s="67" t="s">
        <v>661</v>
      </c>
      <c r="IM6" s="3">
        <v>2012</v>
      </c>
      <c r="IN6" s="78" t="s">
        <v>29</v>
      </c>
      <c r="IO6" s="67" t="s">
        <v>18</v>
      </c>
      <c r="JK6" s="3" t="s">
        <v>228</v>
      </c>
      <c r="JL6" s="3" t="s">
        <v>15</v>
      </c>
      <c r="JM6" s="71" t="s">
        <v>14</v>
      </c>
      <c r="JN6" s="71" t="s">
        <v>730</v>
      </c>
      <c r="JO6" s="67" t="s">
        <v>13</v>
      </c>
      <c r="JP6" s="3" t="s">
        <v>731</v>
      </c>
      <c r="JW6" s="67"/>
      <c r="JX6" s="67"/>
      <c r="JY6" s="67"/>
      <c r="JZ6" s="67"/>
      <c r="KA6" s="67"/>
      <c r="KB6" s="67"/>
      <c r="KC6" s="67"/>
      <c r="KD6" s="67"/>
      <c r="KE6" s="67"/>
      <c r="KF6" s="3" t="s">
        <v>223</v>
      </c>
      <c r="KG6" s="69" t="s">
        <v>12</v>
      </c>
      <c r="KH6" s="69" t="s">
        <v>29</v>
      </c>
      <c r="KI6" s="3" t="s">
        <v>29</v>
      </c>
      <c r="KJ6" s="3" t="s">
        <v>223</v>
      </c>
      <c r="KK6" s="3" t="s">
        <v>222</v>
      </c>
      <c r="KL6" s="3" t="s">
        <v>221</v>
      </c>
      <c r="KM6" s="67" t="s">
        <v>220</v>
      </c>
      <c r="KN6" s="3">
        <v>2.5</v>
      </c>
      <c r="KO6" s="72"/>
      <c r="KP6" s="72"/>
      <c r="KQ6" s="72"/>
      <c r="KR6" s="69"/>
      <c r="KS6" s="72" t="s">
        <v>219</v>
      </c>
      <c r="KT6" s="72" t="s">
        <v>218</v>
      </c>
      <c r="KU6" s="72"/>
      <c r="KV6" s="3" t="s">
        <v>29</v>
      </c>
      <c r="KW6" s="3" t="s">
        <v>217</v>
      </c>
      <c r="KX6" s="3" t="s">
        <v>216</v>
      </c>
      <c r="LC6" s="67" t="s">
        <v>29</v>
      </c>
      <c r="LD6" s="67"/>
      <c r="LE6" s="67" t="s">
        <v>29</v>
      </c>
      <c r="LF6" s="67"/>
      <c r="LG6" s="67" t="s">
        <v>29</v>
      </c>
      <c r="LH6" s="67"/>
      <c r="LI6" s="67" t="s">
        <v>29</v>
      </c>
      <c r="LJ6" s="67"/>
      <c r="LK6" s="3" t="s">
        <v>215</v>
      </c>
      <c r="LL6" s="67" t="s">
        <v>29</v>
      </c>
      <c r="LM6" s="67" t="s">
        <v>29</v>
      </c>
      <c r="LN6" s="67" t="s">
        <v>13</v>
      </c>
      <c r="LO6" s="3">
        <v>2500</v>
      </c>
      <c r="MZ6" s="3" t="s">
        <v>214</v>
      </c>
      <c r="NA6" s="3">
        <v>30</v>
      </c>
      <c r="NB6" s="3" t="s">
        <v>272</v>
      </c>
      <c r="NC6" s="67" t="s">
        <v>10</v>
      </c>
      <c r="ND6" s="67" t="s">
        <v>168</v>
      </c>
      <c r="NE6" s="3" t="s">
        <v>249</v>
      </c>
      <c r="NJ6" s="3" t="s">
        <v>737</v>
      </c>
      <c r="NK6" s="3" t="s">
        <v>310</v>
      </c>
      <c r="NL6" s="3" t="s">
        <v>267</v>
      </c>
      <c r="NM6" s="67" t="s">
        <v>266</v>
      </c>
      <c r="NN6" s="73" t="s">
        <v>265</v>
      </c>
      <c r="NW6" s="3" t="s">
        <v>6</v>
      </c>
      <c r="NX6" s="74" t="s">
        <v>1160</v>
      </c>
      <c r="NY6" s="67" t="s">
        <v>4</v>
      </c>
      <c r="NZ6" s="75">
        <v>91.370558375635028</v>
      </c>
      <c r="OC6" s="3">
        <v>8</v>
      </c>
      <c r="OT6" s="3" t="s">
        <v>1157</v>
      </c>
      <c r="OU6" t="s">
        <v>6</v>
      </c>
      <c r="OW6" s="76">
        <v>2012</v>
      </c>
      <c r="OX6" s="76">
        <v>2015</v>
      </c>
      <c r="OY6" s="76"/>
      <c r="PA6" s="3" t="s">
        <v>1169</v>
      </c>
      <c r="PB6" s="83">
        <v>46094</v>
      </c>
      <c r="PC6" s="83"/>
    </row>
    <row r="7" spans="1:423" s="3" customFormat="1" ht="15.75" thickBot="1">
      <c r="A7" s="3" t="s">
        <v>248</v>
      </c>
      <c r="B7" s="3" t="s">
        <v>247</v>
      </c>
      <c r="C7" s="3" t="s">
        <v>246</v>
      </c>
      <c r="D7" s="67" t="s">
        <v>245</v>
      </c>
      <c r="E7" s="3" t="s">
        <v>244</v>
      </c>
      <c r="F7" s="67" t="s">
        <v>243</v>
      </c>
      <c r="G7" s="3" t="s">
        <v>2</v>
      </c>
      <c r="H7" s="3" t="s">
        <v>30</v>
      </c>
      <c r="I7" s="3" t="s">
        <v>242</v>
      </c>
      <c r="J7" s="3" t="s">
        <v>241</v>
      </c>
      <c r="K7" s="3" t="s">
        <v>29</v>
      </c>
      <c r="AV7" s="3" t="s">
        <v>240</v>
      </c>
      <c r="AW7" s="3">
        <v>400</v>
      </c>
      <c r="AX7" s="3" t="s">
        <v>29</v>
      </c>
      <c r="AY7" s="3">
        <v>3</v>
      </c>
      <c r="AZ7" s="3" t="s">
        <v>259</v>
      </c>
      <c r="BA7" s="3">
        <v>2012</v>
      </c>
      <c r="BB7" s="3">
        <v>2015</v>
      </c>
      <c r="BC7" s="3" t="s">
        <v>29</v>
      </c>
      <c r="BD7" s="3" t="s">
        <v>274</v>
      </c>
      <c r="BE7" s="3" t="s">
        <v>302</v>
      </c>
      <c r="BF7" s="3" t="s">
        <v>43</v>
      </c>
      <c r="BG7" s="3" t="s">
        <v>1233</v>
      </c>
      <c r="BH7" s="3" t="s">
        <v>271</v>
      </c>
      <c r="BI7" s="3" t="s">
        <v>29</v>
      </c>
      <c r="BJ7" s="67" t="s">
        <v>22</v>
      </c>
      <c r="BK7" s="68">
        <v>44444</v>
      </c>
      <c r="BL7" s="3" t="s">
        <v>275</v>
      </c>
      <c r="BM7" s="3" t="s">
        <v>276</v>
      </c>
      <c r="BN7" s="3" t="s">
        <v>29</v>
      </c>
      <c r="BO7" s="67" t="s">
        <v>22</v>
      </c>
      <c r="BP7" s="68">
        <v>148000</v>
      </c>
      <c r="BQ7" s="3" t="s">
        <v>275</v>
      </c>
      <c r="BR7" s="3" t="s">
        <v>23</v>
      </c>
      <c r="BS7" s="3" t="s">
        <v>29</v>
      </c>
      <c r="BT7" s="67" t="s">
        <v>22</v>
      </c>
      <c r="BU7" s="3">
        <v>44000</v>
      </c>
      <c r="HL7" s="3" t="s">
        <v>233</v>
      </c>
      <c r="HM7" s="3" t="s">
        <v>232</v>
      </c>
      <c r="HR7" s="3" t="s">
        <v>231</v>
      </c>
      <c r="HT7" s="67" t="s">
        <v>20</v>
      </c>
      <c r="HU7" s="3" t="s">
        <v>29</v>
      </c>
      <c r="HV7" s="3" t="s">
        <v>29</v>
      </c>
      <c r="IP7" s="3" t="s">
        <v>274</v>
      </c>
      <c r="IQ7" s="3" t="s">
        <v>273</v>
      </c>
      <c r="IT7" s="3" t="s">
        <v>29</v>
      </c>
      <c r="IU7" s="3" t="s">
        <v>29</v>
      </c>
      <c r="IV7" s="67" t="s">
        <v>18</v>
      </c>
      <c r="JK7" s="3" t="s">
        <v>228</v>
      </c>
      <c r="JL7" s="3" t="s">
        <v>15</v>
      </c>
      <c r="JM7" s="71" t="s">
        <v>14</v>
      </c>
      <c r="JN7" s="71" t="s">
        <v>738</v>
      </c>
      <c r="JO7" s="67" t="s">
        <v>13</v>
      </c>
      <c r="JP7" s="3" t="s">
        <v>739</v>
      </c>
      <c r="JW7" s="67"/>
      <c r="JX7" s="67"/>
      <c r="JY7" s="67"/>
      <c r="JZ7" s="67"/>
      <c r="KA7" s="67"/>
      <c r="KB7" s="67"/>
      <c r="KC7" s="67"/>
      <c r="KD7" s="67"/>
      <c r="KE7" s="67"/>
      <c r="KF7" s="3" t="s">
        <v>223</v>
      </c>
      <c r="KG7" s="69" t="s">
        <v>12</v>
      </c>
      <c r="KH7" s="69" t="s">
        <v>29</v>
      </c>
      <c r="KI7" s="3" t="s">
        <v>29</v>
      </c>
      <c r="KJ7" s="3" t="s">
        <v>223</v>
      </c>
      <c r="KK7" s="3" t="s">
        <v>222</v>
      </c>
      <c r="KL7" s="3" t="s">
        <v>221</v>
      </c>
      <c r="KM7" s="67" t="s">
        <v>220</v>
      </c>
      <c r="KN7" s="3">
        <v>2.5</v>
      </c>
      <c r="KO7" s="72"/>
      <c r="KP7" s="72" t="s">
        <v>51</v>
      </c>
      <c r="KQ7" s="72"/>
      <c r="KR7" s="72" t="s">
        <v>29</v>
      </c>
      <c r="KS7" s="72" t="s">
        <v>722</v>
      </c>
      <c r="KT7" s="72"/>
      <c r="KU7" s="72"/>
      <c r="KV7" s="69"/>
      <c r="KW7" s="3" t="s">
        <v>217</v>
      </c>
      <c r="KX7" s="3" t="s">
        <v>216</v>
      </c>
      <c r="LC7" s="67" t="s">
        <v>29</v>
      </c>
      <c r="LD7" s="67"/>
      <c r="LE7" s="67" t="s">
        <v>29</v>
      </c>
      <c r="LF7" s="67"/>
      <c r="LG7" s="67" t="s">
        <v>29</v>
      </c>
      <c r="LH7" s="67"/>
      <c r="LI7" s="67" t="s">
        <v>29</v>
      </c>
      <c r="LJ7" s="67"/>
      <c r="LK7" s="3" t="s">
        <v>215</v>
      </c>
      <c r="LL7" s="67" t="s">
        <v>29</v>
      </c>
      <c r="LM7" s="67" t="s">
        <v>29</v>
      </c>
      <c r="LN7" s="67" t="s">
        <v>13</v>
      </c>
      <c r="LO7" s="3">
        <v>2500</v>
      </c>
      <c r="MZ7" s="3" t="s">
        <v>214</v>
      </c>
      <c r="NA7" s="3">
        <v>30</v>
      </c>
      <c r="NB7" s="3" t="s">
        <v>293</v>
      </c>
      <c r="NC7" s="67" t="s">
        <v>10</v>
      </c>
      <c r="ND7" s="67" t="s">
        <v>168</v>
      </c>
      <c r="NE7" s="3" t="s">
        <v>270</v>
      </c>
      <c r="NJ7" s="3" t="s">
        <v>734</v>
      </c>
      <c r="NK7" s="3" t="s">
        <v>310</v>
      </c>
      <c r="NL7" s="3" t="s">
        <v>267</v>
      </c>
      <c r="NM7" s="67" t="s">
        <v>266</v>
      </c>
      <c r="NN7" s="73" t="s">
        <v>265</v>
      </c>
      <c r="NW7" s="3" t="s">
        <v>6</v>
      </c>
      <c r="NX7" s="74" t="s">
        <v>1161</v>
      </c>
      <c r="NY7" s="67" t="s">
        <v>4</v>
      </c>
      <c r="NZ7" s="75">
        <v>81.218274111674987</v>
      </c>
      <c r="OC7" s="3">
        <v>8</v>
      </c>
      <c r="OT7" s="3" t="s">
        <v>1157</v>
      </c>
      <c r="OU7" t="s">
        <v>6</v>
      </c>
      <c r="OW7" s="76">
        <v>2012</v>
      </c>
      <c r="OX7" s="76">
        <v>2015</v>
      </c>
      <c r="PA7" s="3" t="s">
        <v>1169</v>
      </c>
      <c r="PB7" s="83">
        <v>46094</v>
      </c>
      <c r="PC7" s="83"/>
    </row>
    <row r="8" spans="1:423" s="3" customFormat="1" ht="15.75" thickBot="1">
      <c r="A8" s="3" t="s">
        <v>248</v>
      </c>
      <c r="B8" s="3" t="s">
        <v>247</v>
      </c>
      <c r="C8" s="3" t="s">
        <v>246</v>
      </c>
      <c r="D8" s="67" t="s">
        <v>245</v>
      </c>
      <c r="E8" s="3" t="s">
        <v>244</v>
      </c>
      <c r="F8" s="67" t="s">
        <v>243</v>
      </c>
      <c r="G8" s="3" t="s">
        <v>2</v>
      </c>
      <c r="H8" s="3" t="s">
        <v>30</v>
      </c>
      <c r="I8" s="3" t="s">
        <v>242</v>
      </c>
      <c r="J8" s="3" t="s">
        <v>241</v>
      </c>
      <c r="K8" s="3" t="s">
        <v>29</v>
      </c>
      <c r="AV8" s="3" t="s">
        <v>240</v>
      </c>
      <c r="AW8" s="3">
        <v>400</v>
      </c>
      <c r="AX8" s="3" t="s">
        <v>29</v>
      </c>
      <c r="AY8" s="3">
        <v>3</v>
      </c>
      <c r="AZ8" s="3" t="s">
        <v>259</v>
      </c>
      <c r="BA8" s="3">
        <v>2012</v>
      </c>
      <c r="BB8" s="3">
        <v>2015</v>
      </c>
      <c r="BC8" s="3" t="s">
        <v>29</v>
      </c>
      <c r="BD8" s="3" t="s">
        <v>238</v>
      </c>
      <c r="BE8" s="3" t="s">
        <v>258</v>
      </c>
      <c r="BF8" s="3" t="s">
        <v>57</v>
      </c>
      <c r="BG8" s="3" t="s">
        <v>1233</v>
      </c>
      <c r="BH8" s="3" t="s">
        <v>23</v>
      </c>
      <c r="BI8" s="3" t="s">
        <v>29</v>
      </c>
      <c r="BJ8" s="67" t="s">
        <v>22</v>
      </c>
      <c r="BK8" s="68">
        <v>44000</v>
      </c>
      <c r="BL8" s="3" t="s">
        <v>56</v>
      </c>
      <c r="BM8" s="3" t="s">
        <v>235</v>
      </c>
      <c r="BN8" s="3" t="s">
        <v>29</v>
      </c>
      <c r="BO8" s="67" t="s">
        <v>22</v>
      </c>
      <c r="BP8" s="68">
        <v>44444</v>
      </c>
      <c r="HL8" s="3" t="s">
        <v>233</v>
      </c>
      <c r="HM8" s="3" t="s">
        <v>232</v>
      </c>
      <c r="HR8" s="3" t="s">
        <v>231</v>
      </c>
      <c r="HT8" s="67" t="s">
        <v>736</v>
      </c>
      <c r="HU8" s="3" t="s">
        <v>29</v>
      </c>
      <c r="HV8" s="3" t="s">
        <v>29</v>
      </c>
      <c r="II8" s="3" t="s">
        <v>230</v>
      </c>
      <c r="IJ8" s="77" t="s">
        <v>229</v>
      </c>
      <c r="IK8" s="67" t="s">
        <v>660</v>
      </c>
      <c r="IL8" s="67" t="s">
        <v>661</v>
      </c>
      <c r="IM8" s="3">
        <v>2012</v>
      </c>
      <c r="IN8" s="78" t="s">
        <v>29</v>
      </c>
      <c r="IO8" s="67" t="s">
        <v>18</v>
      </c>
      <c r="JK8" s="3" t="s">
        <v>228</v>
      </c>
      <c r="JL8" s="3" t="s">
        <v>15</v>
      </c>
      <c r="JM8" s="71" t="s">
        <v>14</v>
      </c>
      <c r="JN8" s="71" t="s">
        <v>730</v>
      </c>
      <c r="JO8" s="67" t="s">
        <v>13</v>
      </c>
      <c r="JP8" s="3" t="s">
        <v>731</v>
      </c>
      <c r="JW8" s="67"/>
      <c r="JX8" s="67"/>
      <c r="JY8" s="67"/>
      <c r="JZ8" s="67"/>
      <c r="KA8" s="67"/>
      <c r="KB8" s="67"/>
      <c r="KC8" s="67"/>
      <c r="KD8" s="67"/>
      <c r="KE8" s="67"/>
      <c r="KF8" s="3" t="s">
        <v>223</v>
      </c>
      <c r="KG8" s="69" t="s">
        <v>12</v>
      </c>
      <c r="KH8" s="69" t="s">
        <v>29</v>
      </c>
      <c r="KI8" s="3" t="s">
        <v>29</v>
      </c>
      <c r="KJ8" s="3" t="s">
        <v>223</v>
      </c>
      <c r="KK8" s="3" t="s">
        <v>222</v>
      </c>
      <c r="KL8" s="3" t="s">
        <v>221</v>
      </c>
      <c r="KM8" s="67" t="s">
        <v>220</v>
      </c>
      <c r="KN8" s="3">
        <v>2.5</v>
      </c>
      <c r="KO8" s="72"/>
      <c r="KP8" s="72"/>
      <c r="KQ8" s="72"/>
      <c r="KR8" s="69"/>
      <c r="KS8" s="72" t="s">
        <v>219</v>
      </c>
      <c r="KT8" s="72" t="s">
        <v>218</v>
      </c>
      <c r="KU8" s="72"/>
      <c r="KV8" s="3" t="s">
        <v>29</v>
      </c>
      <c r="KW8" s="3" t="s">
        <v>217</v>
      </c>
      <c r="KX8" s="3" t="s">
        <v>216</v>
      </c>
      <c r="LC8" s="67" t="s">
        <v>29</v>
      </c>
      <c r="LD8" s="67"/>
      <c r="LE8" s="67" t="s">
        <v>29</v>
      </c>
      <c r="LF8" s="67"/>
      <c r="LG8" s="67" t="s">
        <v>29</v>
      </c>
      <c r="LH8" s="67"/>
      <c r="LI8" s="67" t="s">
        <v>29</v>
      </c>
      <c r="LJ8" s="67"/>
      <c r="LK8" s="3" t="s">
        <v>215</v>
      </c>
      <c r="LL8" s="67" t="s">
        <v>29</v>
      </c>
      <c r="LM8" s="67" t="s">
        <v>29</v>
      </c>
      <c r="LN8" s="67" t="s">
        <v>13</v>
      </c>
      <c r="LO8" s="3">
        <v>2500</v>
      </c>
      <c r="MZ8" s="3" t="s">
        <v>214</v>
      </c>
      <c r="NA8" s="3">
        <v>30</v>
      </c>
      <c r="NB8" s="3" t="s">
        <v>272</v>
      </c>
      <c r="NC8" s="67" t="s">
        <v>10</v>
      </c>
      <c r="ND8" s="67" t="s">
        <v>168</v>
      </c>
      <c r="NE8" s="3" t="s">
        <v>213</v>
      </c>
      <c r="NJ8" s="3" t="s">
        <v>734</v>
      </c>
      <c r="NK8" s="3" t="s">
        <v>310</v>
      </c>
      <c r="NL8" s="3" t="s">
        <v>267</v>
      </c>
      <c r="NM8" s="67" t="s">
        <v>266</v>
      </c>
      <c r="NN8" s="73" t="s">
        <v>265</v>
      </c>
      <c r="NW8" s="3" t="s">
        <v>6</v>
      </c>
      <c r="NX8" s="74" t="s">
        <v>1162</v>
      </c>
      <c r="NY8" s="67" t="s">
        <v>4</v>
      </c>
      <c r="NZ8" s="75">
        <v>461.92893401014999</v>
      </c>
      <c r="OC8" s="3">
        <v>8</v>
      </c>
      <c r="OT8" s="3" t="s">
        <v>1157</v>
      </c>
      <c r="OU8" t="s">
        <v>6</v>
      </c>
      <c r="OW8" s="76">
        <v>2012</v>
      </c>
      <c r="OX8" s="76">
        <v>2015</v>
      </c>
      <c r="OY8" s="76"/>
      <c r="PA8" s="3" t="s">
        <v>1169</v>
      </c>
      <c r="PB8" s="83">
        <v>46094</v>
      </c>
      <c r="PC8" s="83"/>
    </row>
    <row r="9" spans="1:423" s="3" customFormat="1" ht="15.75" thickBot="1">
      <c r="A9" s="3" t="s">
        <v>248</v>
      </c>
      <c r="B9" s="3" t="s">
        <v>247</v>
      </c>
      <c r="C9" s="3" t="s">
        <v>246</v>
      </c>
      <c r="D9" s="67" t="s">
        <v>245</v>
      </c>
      <c r="E9" s="3" t="s">
        <v>244</v>
      </c>
      <c r="F9" s="67" t="s">
        <v>243</v>
      </c>
      <c r="G9" s="3" t="s">
        <v>2</v>
      </c>
      <c r="H9" s="3" t="s">
        <v>30</v>
      </c>
      <c r="I9" s="3" t="s">
        <v>242</v>
      </c>
      <c r="J9" s="3" t="s">
        <v>241</v>
      </c>
      <c r="K9" s="3" t="s">
        <v>29</v>
      </c>
      <c r="AV9" s="3" t="s">
        <v>240</v>
      </c>
      <c r="AW9" s="3">
        <v>400</v>
      </c>
      <c r="AX9" s="3" t="s">
        <v>29</v>
      </c>
      <c r="AY9" s="3">
        <v>3</v>
      </c>
      <c r="AZ9" s="3" t="s">
        <v>259</v>
      </c>
      <c r="BA9" s="3">
        <v>2012</v>
      </c>
      <c r="BB9" s="3">
        <v>2015</v>
      </c>
      <c r="BC9" s="3" t="s">
        <v>29</v>
      </c>
      <c r="BD9" s="3" t="s">
        <v>274</v>
      </c>
      <c r="BE9" s="3" t="s">
        <v>304</v>
      </c>
      <c r="BF9" s="3" t="s">
        <v>48</v>
      </c>
      <c r="BG9" s="3" t="s">
        <v>1233</v>
      </c>
      <c r="BH9" s="3" t="s">
        <v>23</v>
      </c>
      <c r="BI9" s="3" t="s">
        <v>29</v>
      </c>
      <c r="BJ9" s="67" t="s">
        <v>22</v>
      </c>
      <c r="BK9" s="68">
        <v>44000</v>
      </c>
      <c r="BL9" s="3" t="s">
        <v>275</v>
      </c>
      <c r="BM9" s="3" t="s">
        <v>271</v>
      </c>
      <c r="BN9" s="3" t="s">
        <v>29</v>
      </c>
      <c r="BO9" s="67" t="s">
        <v>22</v>
      </c>
      <c r="BP9" s="68">
        <v>444444</v>
      </c>
      <c r="BQ9" s="3" t="s">
        <v>275</v>
      </c>
      <c r="BR9" s="3" t="s">
        <v>276</v>
      </c>
      <c r="BS9" s="3" t="s">
        <v>29</v>
      </c>
      <c r="BT9" s="67" t="s">
        <v>22</v>
      </c>
      <c r="BU9" s="68">
        <v>148000</v>
      </c>
      <c r="HL9" s="3" t="s">
        <v>233</v>
      </c>
      <c r="HM9" s="3" t="s">
        <v>232</v>
      </c>
      <c r="HR9" s="3" t="s">
        <v>231</v>
      </c>
      <c r="HT9" s="67" t="s">
        <v>20</v>
      </c>
      <c r="HU9" s="3" t="s">
        <v>29</v>
      </c>
      <c r="HV9" s="3" t="s">
        <v>29</v>
      </c>
      <c r="IP9" s="3" t="s">
        <v>274</v>
      </c>
      <c r="IQ9" s="3" t="s">
        <v>283</v>
      </c>
      <c r="IT9" s="3" t="s">
        <v>29</v>
      </c>
      <c r="IU9" s="3" t="s">
        <v>29</v>
      </c>
      <c r="IV9" s="67" t="s">
        <v>18</v>
      </c>
      <c r="JK9" s="3" t="s">
        <v>282</v>
      </c>
      <c r="JL9" s="3" t="s">
        <v>15</v>
      </c>
      <c r="JM9" s="71" t="s">
        <v>14</v>
      </c>
      <c r="JN9" s="71" t="s">
        <v>738</v>
      </c>
      <c r="JO9" s="67" t="s">
        <v>13</v>
      </c>
      <c r="JP9" s="3" t="s">
        <v>739</v>
      </c>
      <c r="JW9" s="67"/>
      <c r="JX9" s="67"/>
      <c r="JY9" s="67"/>
      <c r="JZ9" s="67"/>
      <c r="KA9" s="67"/>
      <c r="KB9" s="67"/>
      <c r="KC9" s="67"/>
      <c r="KD9" s="67"/>
      <c r="KE9" s="67"/>
      <c r="KF9" s="3" t="s">
        <v>223</v>
      </c>
      <c r="KG9" s="69" t="s">
        <v>12</v>
      </c>
      <c r="KH9" s="69" t="s">
        <v>29</v>
      </c>
      <c r="KI9" s="3" t="s">
        <v>29</v>
      </c>
      <c r="KJ9" s="3" t="s">
        <v>223</v>
      </c>
      <c r="KK9" s="3" t="s">
        <v>222</v>
      </c>
      <c r="KL9" s="3" t="s">
        <v>221</v>
      </c>
      <c r="KM9" s="67" t="s">
        <v>220</v>
      </c>
      <c r="KN9" s="3">
        <v>2.5</v>
      </c>
      <c r="KO9" s="72"/>
      <c r="KP9" s="72" t="s">
        <v>51</v>
      </c>
      <c r="KQ9" s="72"/>
      <c r="KR9" s="72" t="s">
        <v>29</v>
      </c>
      <c r="KS9" s="72" t="s">
        <v>722</v>
      </c>
      <c r="KT9" s="72"/>
      <c r="KU9" s="72"/>
      <c r="KV9" s="69"/>
      <c r="KW9" s="3" t="s">
        <v>217</v>
      </c>
      <c r="KX9" s="3" t="s">
        <v>216</v>
      </c>
      <c r="LC9" s="67" t="s">
        <v>29</v>
      </c>
      <c r="LD9" s="67"/>
      <c r="LE9" s="67" t="s">
        <v>29</v>
      </c>
      <c r="LF9" s="67"/>
      <c r="LG9" s="67" t="s">
        <v>29</v>
      </c>
      <c r="LH9" s="67"/>
      <c r="LI9" s="67" t="s">
        <v>29</v>
      </c>
      <c r="LJ9" s="67"/>
      <c r="LK9" s="3" t="s">
        <v>215</v>
      </c>
      <c r="LL9" s="67" t="s">
        <v>29</v>
      </c>
      <c r="LM9" s="67" t="s">
        <v>29</v>
      </c>
      <c r="LN9" s="67" t="s">
        <v>13</v>
      </c>
      <c r="LO9" s="3">
        <v>2500</v>
      </c>
      <c r="MZ9" s="3" t="s">
        <v>214</v>
      </c>
      <c r="NA9" s="3">
        <v>30</v>
      </c>
      <c r="NB9" s="3" t="s">
        <v>293</v>
      </c>
      <c r="NC9" s="67" t="s">
        <v>10</v>
      </c>
      <c r="ND9" s="67" t="s">
        <v>168</v>
      </c>
      <c r="NE9" s="3" t="s">
        <v>270</v>
      </c>
      <c r="NJ9" s="3" t="s">
        <v>734</v>
      </c>
      <c r="NK9" s="3" t="s">
        <v>310</v>
      </c>
      <c r="NL9" s="3" t="s">
        <v>267</v>
      </c>
      <c r="NM9" s="67" t="s">
        <v>266</v>
      </c>
      <c r="NN9" s="73" t="s">
        <v>265</v>
      </c>
      <c r="NW9" s="3" t="s">
        <v>6</v>
      </c>
      <c r="NX9" s="74" t="s">
        <v>1163</v>
      </c>
      <c r="NY9" s="67" t="s">
        <v>4</v>
      </c>
      <c r="NZ9" s="75">
        <v>50.76142131979708</v>
      </c>
      <c r="OC9" s="3">
        <v>8</v>
      </c>
      <c r="OT9" s="3" t="s">
        <v>1157</v>
      </c>
      <c r="OU9" t="s">
        <v>6</v>
      </c>
      <c r="OW9" s="76">
        <v>2012</v>
      </c>
      <c r="OX9" s="76">
        <v>2015</v>
      </c>
      <c r="PA9" s="3" t="s">
        <v>1169</v>
      </c>
      <c r="PB9" s="83">
        <v>46094</v>
      </c>
      <c r="PC9" s="83"/>
    </row>
    <row r="10" spans="1:423" ht="15.75" thickBot="1">
      <c r="A10" t="s">
        <v>248</v>
      </c>
      <c r="B10" t="s">
        <v>247</v>
      </c>
      <c r="C10" t="s">
        <v>246</v>
      </c>
      <c r="D10" s="4" t="s">
        <v>245</v>
      </c>
      <c r="E10" t="s">
        <v>244</v>
      </c>
      <c r="F10" s="4" t="s">
        <v>243</v>
      </c>
      <c r="G10" t="s">
        <v>2</v>
      </c>
      <c r="H10" t="s">
        <v>30</v>
      </c>
      <c r="I10" t="s">
        <v>242</v>
      </c>
      <c r="J10" t="s">
        <v>241</v>
      </c>
      <c r="K10" t="s">
        <v>29</v>
      </c>
      <c r="AV10" t="s">
        <v>240</v>
      </c>
      <c r="AW10">
        <v>200</v>
      </c>
      <c r="AX10" t="s">
        <v>29</v>
      </c>
      <c r="AY10">
        <v>1</v>
      </c>
      <c r="AZ10" t="s">
        <v>279</v>
      </c>
      <c r="BA10">
        <v>2014</v>
      </c>
      <c r="BB10">
        <v>2015</v>
      </c>
      <c r="BC10" t="s">
        <v>29</v>
      </c>
      <c r="BD10" t="s">
        <v>19</v>
      </c>
      <c r="BE10" t="s">
        <v>311</v>
      </c>
      <c r="BF10" t="s">
        <v>39</v>
      </c>
      <c r="BG10" s="3" t="s">
        <v>1233</v>
      </c>
      <c r="BH10" t="s">
        <v>23</v>
      </c>
      <c r="BI10" t="s">
        <v>29</v>
      </c>
      <c r="BJ10" s="4" t="s">
        <v>22</v>
      </c>
      <c r="BK10" s="9">
        <v>44000</v>
      </c>
      <c r="HL10" t="s">
        <v>298</v>
      </c>
      <c r="HM10" t="s">
        <v>297</v>
      </c>
      <c r="HN10" t="s">
        <v>296</v>
      </c>
      <c r="HP10" t="s">
        <v>29</v>
      </c>
      <c r="HQ10">
        <v>1</v>
      </c>
      <c r="HR10" t="s">
        <v>231</v>
      </c>
      <c r="HT10" s="4" t="s">
        <v>20</v>
      </c>
      <c r="HU10" t="s">
        <v>29</v>
      </c>
      <c r="HV10" t="s">
        <v>29</v>
      </c>
      <c r="II10" t="s">
        <v>255</v>
      </c>
      <c r="IJ10" s="54" t="s">
        <v>19</v>
      </c>
      <c r="IK10" s="46"/>
      <c r="IL10" s="46"/>
      <c r="IP10" t="s">
        <v>255</v>
      </c>
      <c r="IQ10" s="54" t="s">
        <v>19</v>
      </c>
      <c r="JK10" t="s">
        <v>228</v>
      </c>
      <c r="JL10" s="3" t="s">
        <v>15</v>
      </c>
      <c r="JM10" s="8" t="s">
        <v>14</v>
      </c>
      <c r="JN10" s="8" t="s">
        <v>730</v>
      </c>
      <c r="JO10" s="4" t="s">
        <v>13</v>
      </c>
      <c r="JP10" t="s">
        <v>731</v>
      </c>
      <c r="JW10" s="8"/>
      <c r="JY10" s="4"/>
      <c r="KA10" s="4"/>
      <c r="KB10" s="4"/>
      <c r="KC10" s="4"/>
      <c r="KD10" s="4"/>
      <c r="KE10" s="4"/>
      <c r="KF10" s="4" t="s">
        <v>295</v>
      </c>
      <c r="KG10" s="13" t="s">
        <v>12</v>
      </c>
      <c r="KH10" s="13" t="s">
        <v>29</v>
      </c>
      <c r="KI10" s="13" t="s">
        <v>29</v>
      </c>
      <c r="KJ10" s="13" t="s">
        <v>294</v>
      </c>
      <c r="KK10" s="13" t="s">
        <v>12</v>
      </c>
      <c r="KL10" s="13"/>
      <c r="KM10" s="4"/>
      <c r="KN10" s="13"/>
      <c r="KO10" s="13"/>
      <c r="KP10" s="13"/>
      <c r="KQ10" s="13"/>
      <c r="KR10" s="13"/>
      <c r="KS10" s="13" t="s">
        <v>722</v>
      </c>
      <c r="KT10" s="13"/>
      <c r="KU10" s="13"/>
      <c r="KV10" s="13"/>
      <c r="KW10" s="13"/>
      <c r="KX10" s="13" t="s">
        <v>1117</v>
      </c>
      <c r="KY10" s="13"/>
      <c r="KZ10" s="13"/>
      <c r="LA10" s="13"/>
      <c r="LB10" s="13"/>
      <c r="LC10" s="13"/>
      <c r="LD10" s="13"/>
      <c r="LE10" s="13"/>
      <c r="LF10" s="13"/>
      <c r="LG10" s="13"/>
      <c r="LH10" s="13"/>
      <c r="LI10" s="13"/>
      <c r="LJ10" s="4"/>
      <c r="LK10" s="4"/>
      <c r="LL10" s="4"/>
      <c r="LM10" s="4"/>
      <c r="LN10" s="4"/>
      <c r="NB10" t="s">
        <v>293</v>
      </c>
      <c r="NC10" s="4" t="s">
        <v>10</v>
      </c>
      <c r="ND10" s="4" t="s">
        <v>168</v>
      </c>
      <c r="NJ10" t="s">
        <v>732</v>
      </c>
      <c r="NK10" t="s">
        <v>310</v>
      </c>
      <c r="NL10" t="s">
        <v>267</v>
      </c>
      <c r="NM10" s="4" t="s">
        <v>266</v>
      </c>
      <c r="NN10" s="6" t="s">
        <v>265</v>
      </c>
      <c r="NV10" t="s">
        <v>733</v>
      </c>
      <c r="NW10" t="s">
        <v>6</v>
      </c>
      <c r="NX10" t="s">
        <v>309</v>
      </c>
      <c r="NY10" s="4" t="s">
        <v>4</v>
      </c>
      <c r="NZ10" t="s">
        <v>308</v>
      </c>
      <c r="OC10">
        <v>8</v>
      </c>
      <c r="OT10" t="s">
        <v>262</v>
      </c>
      <c r="OU10" t="s">
        <v>6</v>
      </c>
      <c r="OW10">
        <v>2014</v>
      </c>
      <c r="OX10">
        <v>2015</v>
      </c>
      <c r="PA10" s="3" t="s">
        <v>1169</v>
      </c>
      <c r="PB10" s="83">
        <v>46094</v>
      </c>
      <c r="PC10" s="83"/>
    </row>
    <row r="11" spans="1:423" ht="15.75" thickBot="1">
      <c r="A11" t="s">
        <v>248</v>
      </c>
      <c r="B11" t="s">
        <v>247</v>
      </c>
      <c r="C11" t="s">
        <v>246</v>
      </c>
      <c r="D11" s="4" t="s">
        <v>245</v>
      </c>
      <c r="E11" t="s">
        <v>244</v>
      </c>
      <c r="F11" s="4" t="s">
        <v>243</v>
      </c>
      <c r="G11" t="s">
        <v>2</v>
      </c>
      <c r="H11" t="s">
        <v>30</v>
      </c>
      <c r="I11" t="s">
        <v>242</v>
      </c>
      <c r="J11" t="s">
        <v>241</v>
      </c>
      <c r="K11" t="s">
        <v>29</v>
      </c>
      <c r="AV11" t="s">
        <v>240</v>
      </c>
      <c r="AW11">
        <v>200</v>
      </c>
      <c r="AX11" t="s">
        <v>29</v>
      </c>
      <c r="AY11">
        <v>1</v>
      </c>
      <c r="AZ11" t="s">
        <v>279</v>
      </c>
      <c r="BA11">
        <v>2014</v>
      </c>
      <c r="BB11">
        <v>2015</v>
      </c>
      <c r="BC11" t="s">
        <v>29</v>
      </c>
      <c r="BD11" t="s">
        <v>19</v>
      </c>
      <c r="BE11" t="s">
        <v>261</v>
      </c>
      <c r="BF11" t="s">
        <v>24</v>
      </c>
      <c r="BG11" s="3" t="s">
        <v>1233</v>
      </c>
      <c r="BH11" t="s">
        <v>23</v>
      </c>
      <c r="BI11" t="s">
        <v>29</v>
      </c>
      <c r="BJ11" s="4" t="s">
        <v>22</v>
      </c>
      <c r="BK11" s="9">
        <v>44000</v>
      </c>
      <c r="HL11" t="s">
        <v>233</v>
      </c>
      <c r="HM11" t="s">
        <v>232</v>
      </c>
      <c r="HR11" t="s">
        <v>231</v>
      </c>
      <c r="HT11" s="4" t="s">
        <v>20</v>
      </c>
      <c r="HU11" t="s">
        <v>29</v>
      </c>
      <c r="HV11" t="s">
        <v>29</v>
      </c>
      <c r="II11" t="s">
        <v>255</v>
      </c>
      <c r="IJ11" s="54" t="s">
        <v>19</v>
      </c>
      <c r="IK11" s="46"/>
      <c r="IL11" s="46"/>
      <c r="IP11" t="s">
        <v>255</v>
      </c>
      <c r="IQ11" s="54" t="s">
        <v>19</v>
      </c>
      <c r="JK11" t="s">
        <v>228</v>
      </c>
      <c r="JL11" s="3" t="s">
        <v>15</v>
      </c>
      <c r="JM11" s="8" t="s">
        <v>14</v>
      </c>
      <c r="JN11" s="8" t="s">
        <v>730</v>
      </c>
      <c r="JO11" s="4" t="s">
        <v>13</v>
      </c>
      <c r="JP11" t="s">
        <v>731</v>
      </c>
      <c r="JW11" s="8"/>
      <c r="JY11" s="4"/>
      <c r="KA11" s="4"/>
      <c r="KB11" s="4"/>
      <c r="KC11" s="4"/>
      <c r="KD11" s="4"/>
      <c r="KE11" s="4"/>
      <c r="KF11" t="s">
        <v>223</v>
      </c>
      <c r="KG11" s="13" t="s">
        <v>12</v>
      </c>
      <c r="KH11" s="13" t="s">
        <v>29</v>
      </c>
      <c r="KI11" s="13" t="s">
        <v>29</v>
      </c>
      <c r="KJ11" s="13" t="s">
        <v>223</v>
      </c>
      <c r="KK11" s="13" t="s">
        <v>222</v>
      </c>
      <c r="KL11" s="13" t="s">
        <v>221</v>
      </c>
      <c r="KM11" s="13" t="s">
        <v>220</v>
      </c>
      <c r="KN11" s="13">
        <v>2.5</v>
      </c>
      <c r="KO11" s="13"/>
      <c r="KP11" s="13"/>
      <c r="KQ11" s="13"/>
      <c r="KR11" s="13"/>
      <c r="KS11" s="13" t="s">
        <v>722</v>
      </c>
      <c r="KT11" s="13"/>
      <c r="KU11" s="13"/>
      <c r="KV11" s="13"/>
      <c r="KW11" s="13" t="s">
        <v>217</v>
      </c>
      <c r="KX11" s="13" t="s">
        <v>216</v>
      </c>
      <c r="KY11" s="13"/>
      <c r="KZ11" s="13"/>
      <c r="LA11" s="13"/>
      <c r="LB11" s="13"/>
      <c r="LC11" s="13" t="s">
        <v>29</v>
      </c>
      <c r="LD11" s="13"/>
      <c r="LE11" s="13" t="s">
        <v>29</v>
      </c>
      <c r="LF11" s="217"/>
      <c r="LG11" s="4" t="s">
        <v>29</v>
      </c>
      <c r="LH11" s="4"/>
      <c r="LI11" s="4" t="s">
        <v>29</v>
      </c>
      <c r="LJ11" s="4"/>
      <c r="LK11" t="s">
        <v>215</v>
      </c>
      <c r="LL11" s="4" t="s">
        <v>29</v>
      </c>
      <c r="LM11" s="4" t="s">
        <v>29</v>
      </c>
      <c r="LN11" s="4" t="s">
        <v>13</v>
      </c>
      <c r="LO11">
        <v>2500</v>
      </c>
      <c r="NB11" t="s">
        <v>290</v>
      </c>
      <c r="NC11" s="4" t="s">
        <v>10</v>
      </c>
      <c r="ND11" s="4" t="s">
        <v>168</v>
      </c>
      <c r="NJ11" t="s">
        <v>734</v>
      </c>
      <c r="NK11" t="s">
        <v>268</v>
      </c>
      <c r="NL11" t="s">
        <v>267</v>
      </c>
      <c r="NM11" s="4" t="s">
        <v>266</v>
      </c>
      <c r="NN11" s="6" t="s">
        <v>265</v>
      </c>
      <c r="NV11" t="s">
        <v>735</v>
      </c>
      <c r="NW11" t="s">
        <v>6</v>
      </c>
      <c r="NX11" t="s">
        <v>307</v>
      </c>
      <c r="NY11" s="4" t="s">
        <v>4</v>
      </c>
      <c r="NZ11" t="s">
        <v>292</v>
      </c>
      <c r="OC11">
        <v>8</v>
      </c>
      <c r="OT11" t="s">
        <v>262</v>
      </c>
      <c r="OU11" t="s">
        <v>6</v>
      </c>
      <c r="OW11">
        <v>2014</v>
      </c>
      <c r="OX11">
        <v>2015</v>
      </c>
      <c r="PA11" s="3" t="s">
        <v>1169</v>
      </c>
      <c r="PB11" s="83">
        <v>46094</v>
      </c>
      <c r="PC11" s="83"/>
    </row>
    <row r="12" spans="1:423" ht="15.75" thickBot="1">
      <c r="A12" t="s">
        <v>248</v>
      </c>
      <c r="B12" t="s">
        <v>247</v>
      </c>
      <c r="C12" t="s">
        <v>246</v>
      </c>
      <c r="D12" s="4" t="s">
        <v>245</v>
      </c>
      <c r="E12" t="s">
        <v>244</v>
      </c>
      <c r="F12" s="4" t="s">
        <v>243</v>
      </c>
      <c r="G12" t="s">
        <v>2</v>
      </c>
      <c r="H12" t="s">
        <v>30</v>
      </c>
      <c r="I12" t="s">
        <v>242</v>
      </c>
      <c r="J12" t="s">
        <v>241</v>
      </c>
      <c r="K12" t="s">
        <v>29</v>
      </c>
      <c r="AV12" t="s">
        <v>240</v>
      </c>
      <c r="AW12">
        <v>200</v>
      </c>
      <c r="AX12" t="s">
        <v>29</v>
      </c>
      <c r="AY12">
        <v>1</v>
      </c>
      <c r="AZ12" t="s">
        <v>279</v>
      </c>
      <c r="BA12">
        <v>2014</v>
      </c>
      <c r="BB12">
        <v>2015</v>
      </c>
      <c r="BC12" t="s">
        <v>29</v>
      </c>
      <c r="BD12" t="s">
        <v>238</v>
      </c>
      <c r="BE12" t="s">
        <v>260</v>
      </c>
      <c r="BF12" t="s">
        <v>64</v>
      </c>
      <c r="BG12" s="3" t="s">
        <v>1233</v>
      </c>
      <c r="BH12" t="s">
        <v>23</v>
      </c>
      <c r="BI12" t="s">
        <v>29</v>
      </c>
      <c r="BJ12" s="4" t="s">
        <v>22</v>
      </c>
      <c r="BK12" s="9">
        <v>44000</v>
      </c>
      <c r="BL12" t="s">
        <v>56</v>
      </c>
      <c r="BM12" t="s">
        <v>250</v>
      </c>
      <c r="BN12" t="s">
        <v>29</v>
      </c>
      <c r="BO12" s="4" t="s">
        <v>22</v>
      </c>
      <c r="BP12" s="9">
        <v>44444</v>
      </c>
      <c r="HL12" t="s">
        <v>233</v>
      </c>
      <c r="HM12" t="s">
        <v>232</v>
      </c>
      <c r="HR12" t="s">
        <v>231</v>
      </c>
      <c r="HT12" s="4" t="s">
        <v>736</v>
      </c>
      <c r="HU12" t="s">
        <v>29</v>
      </c>
      <c r="HV12" t="s">
        <v>29</v>
      </c>
      <c r="II12" t="s">
        <v>251</v>
      </c>
      <c r="IJ12" s="12" t="s">
        <v>229</v>
      </c>
      <c r="IK12" s="45" t="s">
        <v>660</v>
      </c>
      <c r="IL12" s="45" t="s">
        <v>661</v>
      </c>
      <c r="IM12">
        <v>2012</v>
      </c>
      <c r="IN12" t="s">
        <v>29</v>
      </c>
      <c r="IO12" s="4" t="s">
        <v>18</v>
      </c>
      <c r="JK12" t="s">
        <v>228</v>
      </c>
      <c r="JL12" s="3" t="s">
        <v>15</v>
      </c>
      <c r="JM12" s="8" t="s">
        <v>14</v>
      </c>
      <c r="JN12" s="8" t="s">
        <v>730</v>
      </c>
      <c r="JO12" s="4" t="s">
        <v>13</v>
      </c>
      <c r="JP12" t="s">
        <v>731</v>
      </c>
      <c r="JW12" s="8"/>
      <c r="JY12" s="4"/>
      <c r="KA12" s="4"/>
      <c r="KB12" s="4"/>
      <c r="KC12" s="4"/>
      <c r="KD12" s="4"/>
      <c r="KE12" s="4"/>
      <c r="KF12" t="s">
        <v>223</v>
      </c>
      <c r="KG12" s="13" t="s">
        <v>12</v>
      </c>
      <c r="KH12" s="13" t="s">
        <v>29</v>
      </c>
      <c r="KI12" t="s">
        <v>29</v>
      </c>
      <c r="KJ12" t="s">
        <v>223</v>
      </c>
      <c r="KK12" t="s">
        <v>222</v>
      </c>
      <c r="KL12" t="s">
        <v>221</v>
      </c>
      <c r="KM12" s="4" t="s">
        <v>220</v>
      </c>
      <c r="KN12">
        <v>2.5</v>
      </c>
      <c r="KO12" s="7"/>
      <c r="KP12" s="7"/>
      <c r="KQ12" s="7"/>
      <c r="KR12" s="13"/>
      <c r="KS12" s="7" t="s">
        <v>219</v>
      </c>
      <c r="KT12" s="7" t="s">
        <v>218</v>
      </c>
      <c r="KU12" s="7"/>
      <c r="KV12" t="s">
        <v>29</v>
      </c>
      <c r="KW12" t="s">
        <v>217</v>
      </c>
      <c r="KX12" t="s">
        <v>216</v>
      </c>
      <c r="LC12" s="4" t="s">
        <v>29</v>
      </c>
      <c r="LD12" s="4"/>
      <c r="LE12" s="4" t="s">
        <v>29</v>
      </c>
      <c r="LF12" s="4"/>
      <c r="LG12" s="4" t="s">
        <v>29</v>
      </c>
      <c r="LH12" s="4"/>
      <c r="LI12" s="4" t="s">
        <v>29</v>
      </c>
      <c r="LJ12" s="4"/>
      <c r="LK12" t="s">
        <v>215</v>
      </c>
      <c r="LL12" s="4" t="s">
        <v>29</v>
      </c>
      <c r="LM12" s="4" t="s">
        <v>29</v>
      </c>
      <c r="LN12" s="4" t="s">
        <v>13</v>
      </c>
      <c r="LO12">
        <v>2500</v>
      </c>
      <c r="NB12" t="s">
        <v>272</v>
      </c>
      <c r="NC12" s="4" t="s">
        <v>10</v>
      </c>
      <c r="ND12" s="4" t="s">
        <v>168</v>
      </c>
      <c r="NE12" t="s">
        <v>249</v>
      </c>
      <c r="NG12" t="s">
        <v>269</v>
      </c>
      <c r="NJ12" t="s">
        <v>737</v>
      </c>
      <c r="NK12" t="s">
        <v>268</v>
      </c>
      <c r="NL12" t="s">
        <v>267</v>
      </c>
      <c r="NM12" s="4" t="s">
        <v>266</v>
      </c>
      <c r="NN12" s="6" t="s">
        <v>265</v>
      </c>
      <c r="NW12" t="s">
        <v>6</v>
      </c>
      <c r="NX12" t="s">
        <v>306</v>
      </c>
      <c r="NY12" s="4" t="s">
        <v>4</v>
      </c>
      <c r="NZ12" t="s">
        <v>291</v>
      </c>
      <c r="OC12">
        <v>8</v>
      </c>
      <c r="OT12" t="s">
        <v>262</v>
      </c>
      <c r="OU12" t="s">
        <v>6</v>
      </c>
      <c r="OW12">
        <v>2014</v>
      </c>
      <c r="OX12">
        <v>2015</v>
      </c>
      <c r="PA12" s="3" t="s">
        <v>1169</v>
      </c>
      <c r="PB12" s="83">
        <v>46094</v>
      </c>
      <c r="PC12" s="83"/>
    </row>
    <row r="13" spans="1:423" ht="15.75" thickBot="1">
      <c r="A13" t="s">
        <v>248</v>
      </c>
      <c r="B13" t="s">
        <v>247</v>
      </c>
      <c r="C13" t="s">
        <v>246</v>
      </c>
      <c r="D13" s="4" t="s">
        <v>245</v>
      </c>
      <c r="E13" t="s">
        <v>244</v>
      </c>
      <c r="F13" s="4" t="s">
        <v>243</v>
      </c>
      <c r="G13" t="s">
        <v>2</v>
      </c>
      <c r="H13" t="s">
        <v>30</v>
      </c>
      <c r="I13" t="s">
        <v>242</v>
      </c>
      <c r="J13" t="s">
        <v>241</v>
      </c>
      <c r="K13" t="s">
        <v>29</v>
      </c>
      <c r="AV13" t="s">
        <v>240</v>
      </c>
      <c r="AW13">
        <v>200</v>
      </c>
      <c r="AX13" t="s">
        <v>29</v>
      </c>
      <c r="AY13">
        <v>1</v>
      </c>
      <c r="AZ13" t="s">
        <v>279</v>
      </c>
      <c r="BA13">
        <v>2014</v>
      </c>
      <c r="BB13">
        <v>2015</v>
      </c>
      <c r="BC13" t="s">
        <v>29</v>
      </c>
      <c r="BD13" t="s">
        <v>238</v>
      </c>
      <c r="BE13" t="s">
        <v>258</v>
      </c>
      <c r="BF13" t="s">
        <v>57</v>
      </c>
      <c r="BG13" s="3" t="s">
        <v>1233</v>
      </c>
      <c r="BH13" t="s">
        <v>23</v>
      </c>
      <c r="BI13" t="s">
        <v>29</v>
      </c>
      <c r="BJ13" s="4" t="s">
        <v>22</v>
      </c>
      <c r="BK13" s="9">
        <v>44000</v>
      </c>
      <c r="BL13" t="s">
        <v>56</v>
      </c>
      <c r="BM13" t="s">
        <v>235</v>
      </c>
      <c r="BN13" t="s">
        <v>29</v>
      </c>
      <c r="BO13" s="4" t="s">
        <v>22</v>
      </c>
      <c r="BP13" s="9">
        <v>44444</v>
      </c>
      <c r="HL13" t="s">
        <v>233</v>
      </c>
      <c r="HM13" t="s">
        <v>232</v>
      </c>
      <c r="HR13" t="s">
        <v>231</v>
      </c>
      <c r="HT13" s="4" t="s">
        <v>736</v>
      </c>
      <c r="HU13" t="s">
        <v>29</v>
      </c>
      <c r="HV13" t="s">
        <v>29</v>
      </c>
      <c r="II13" t="s">
        <v>230</v>
      </c>
      <c r="IJ13" s="12" t="s">
        <v>229</v>
      </c>
      <c r="IK13" s="45" t="s">
        <v>660</v>
      </c>
      <c r="IL13" s="45" t="s">
        <v>661</v>
      </c>
      <c r="IM13">
        <v>2012</v>
      </c>
      <c r="IN13" t="s">
        <v>29</v>
      </c>
      <c r="IO13" s="4" t="s">
        <v>18</v>
      </c>
      <c r="JK13" t="s">
        <v>228</v>
      </c>
      <c r="JL13" s="3" t="s">
        <v>15</v>
      </c>
      <c r="JM13" s="8" t="s">
        <v>14</v>
      </c>
      <c r="JN13" s="8" t="s">
        <v>730</v>
      </c>
      <c r="JO13" s="4" t="s">
        <v>13</v>
      </c>
      <c r="JP13" t="s">
        <v>731</v>
      </c>
      <c r="JW13" s="8"/>
      <c r="JY13" s="4"/>
      <c r="KA13" s="4"/>
      <c r="KB13" s="4"/>
      <c r="KC13" s="4"/>
      <c r="KD13" s="4"/>
      <c r="KE13" s="4"/>
      <c r="KF13" t="s">
        <v>223</v>
      </c>
      <c r="KG13" s="13" t="s">
        <v>12</v>
      </c>
      <c r="KH13" s="13" t="s">
        <v>29</v>
      </c>
      <c r="KI13" t="s">
        <v>29</v>
      </c>
      <c r="KJ13" t="s">
        <v>223</v>
      </c>
      <c r="KK13" t="s">
        <v>222</v>
      </c>
      <c r="KL13" t="s">
        <v>221</v>
      </c>
      <c r="KM13" s="4" t="s">
        <v>220</v>
      </c>
      <c r="KN13">
        <v>2.5</v>
      </c>
      <c r="KO13" s="7"/>
      <c r="KP13" s="7"/>
      <c r="KQ13" s="7"/>
      <c r="KR13" s="13"/>
      <c r="KS13" s="7" t="s">
        <v>219</v>
      </c>
      <c r="KT13" s="7" t="s">
        <v>218</v>
      </c>
      <c r="KU13" s="7"/>
      <c r="KV13" t="s">
        <v>29</v>
      </c>
      <c r="KW13" t="s">
        <v>217</v>
      </c>
      <c r="KX13" t="s">
        <v>216</v>
      </c>
      <c r="LC13" s="4" t="s">
        <v>29</v>
      </c>
      <c r="LD13" s="4"/>
      <c r="LE13" s="4" t="s">
        <v>29</v>
      </c>
      <c r="LF13" s="4"/>
      <c r="LG13" s="4" t="s">
        <v>29</v>
      </c>
      <c r="LH13" s="4"/>
      <c r="LI13" s="4" t="s">
        <v>29</v>
      </c>
      <c r="LJ13" s="4"/>
      <c r="LK13" t="s">
        <v>215</v>
      </c>
      <c r="LL13" s="4" t="s">
        <v>29</v>
      </c>
      <c r="LM13" s="4" t="s">
        <v>29</v>
      </c>
      <c r="LN13" s="4" t="s">
        <v>13</v>
      </c>
      <c r="LO13">
        <v>2500</v>
      </c>
      <c r="NB13" t="s">
        <v>272</v>
      </c>
      <c r="NC13" s="4" t="s">
        <v>10</v>
      </c>
      <c r="ND13" s="4" t="s">
        <v>168</v>
      </c>
      <c r="NE13" t="s">
        <v>213</v>
      </c>
      <c r="NG13" t="s">
        <v>269</v>
      </c>
      <c r="NJ13" t="s">
        <v>737</v>
      </c>
      <c r="NK13" t="s">
        <v>268</v>
      </c>
      <c r="NL13" t="s">
        <v>267</v>
      </c>
      <c r="NM13" s="4" t="s">
        <v>266</v>
      </c>
      <c r="NN13" s="6" t="s">
        <v>265</v>
      </c>
      <c r="NW13" t="s">
        <v>6</v>
      </c>
      <c r="NX13" t="s">
        <v>305</v>
      </c>
      <c r="NY13" s="4" t="s">
        <v>4</v>
      </c>
      <c r="NZ13" t="s">
        <v>281</v>
      </c>
      <c r="OC13">
        <v>8</v>
      </c>
      <c r="OT13" t="s">
        <v>262</v>
      </c>
      <c r="OU13" t="s">
        <v>6</v>
      </c>
      <c r="OW13">
        <v>2014</v>
      </c>
      <c r="OX13">
        <v>2015</v>
      </c>
      <c r="PA13" s="3" t="s">
        <v>1169</v>
      </c>
      <c r="PB13" s="83">
        <v>46094</v>
      </c>
      <c r="PC13" s="83"/>
    </row>
    <row r="14" spans="1:423" ht="15.75" thickBot="1">
      <c r="A14" t="s">
        <v>248</v>
      </c>
      <c r="B14" t="s">
        <v>247</v>
      </c>
      <c r="C14" t="s">
        <v>246</v>
      </c>
      <c r="D14" s="4" t="s">
        <v>245</v>
      </c>
      <c r="E14" t="s">
        <v>244</v>
      </c>
      <c r="F14" s="4" t="s">
        <v>243</v>
      </c>
      <c r="G14" t="s">
        <v>2</v>
      </c>
      <c r="H14" t="s">
        <v>30</v>
      </c>
      <c r="I14" t="s">
        <v>242</v>
      </c>
      <c r="J14" t="s">
        <v>241</v>
      </c>
      <c r="K14" t="s">
        <v>29</v>
      </c>
      <c r="AV14" t="s">
        <v>240</v>
      </c>
      <c r="AW14">
        <v>200</v>
      </c>
      <c r="AX14" t="s">
        <v>29</v>
      </c>
      <c r="AY14">
        <v>1</v>
      </c>
      <c r="AZ14" t="s">
        <v>279</v>
      </c>
      <c r="BA14">
        <v>2014</v>
      </c>
      <c r="BB14">
        <v>2015</v>
      </c>
      <c r="BC14" t="s">
        <v>29</v>
      </c>
      <c r="BD14" t="s">
        <v>274</v>
      </c>
      <c r="BE14" t="s">
        <v>304</v>
      </c>
      <c r="BF14" t="s">
        <v>48</v>
      </c>
      <c r="BG14" s="3" t="s">
        <v>1233</v>
      </c>
      <c r="BH14" t="s">
        <v>23</v>
      </c>
      <c r="BI14" t="s">
        <v>29</v>
      </c>
      <c r="BJ14" s="4" t="s">
        <v>22</v>
      </c>
      <c r="BK14" s="9">
        <v>44000</v>
      </c>
      <c r="BL14" t="s">
        <v>275</v>
      </c>
      <c r="BM14" t="s">
        <v>271</v>
      </c>
      <c r="BN14" t="s">
        <v>29</v>
      </c>
      <c r="BO14" s="4" t="s">
        <v>22</v>
      </c>
      <c r="BP14" s="9">
        <v>444444</v>
      </c>
      <c r="BQ14" t="s">
        <v>275</v>
      </c>
      <c r="BR14" t="s">
        <v>276</v>
      </c>
      <c r="BS14" t="s">
        <v>29</v>
      </c>
      <c r="BT14" s="4" t="s">
        <v>22</v>
      </c>
      <c r="BU14" s="9">
        <v>148000</v>
      </c>
      <c r="HL14" t="s">
        <v>233</v>
      </c>
      <c r="HM14" t="s">
        <v>232</v>
      </c>
      <c r="HR14" t="s">
        <v>231</v>
      </c>
      <c r="HT14" s="4" t="s">
        <v>20</v>
      </c>
      <c r="HU14" t="s">
        <v>29</v>
      </c>
      <c r="HV14" t="s">
        <v>29</v>
      </c>
      <c r="IP14" t="s">
        <v>274</v>
      </c>
      <c r="IQ14" t="s">
        <v>283</v>
      </c>
      <c r="IT14" t="s">
        <v>29</v>
      </c>
      <c r="IU14" t="s">
        <v>29</v>
      </c>
      <c r="IV14" s="4" t="s">
        <v>18</v>
      </c>
      <c r="JK14" t="s">
        <v>282</v>
      </c>
      <c r="JL14" s="3" t="s">
        <v>15</v>
      </c>
      <c r="JM14" s="8" t="s">
        <v>14</v>
      </c>
      <c r="JN14" s="8" t="s">
        <v>738</v>
      </c>
      <c r="JO14" s="4" t="s">
        <v>13</v>
      </c>
      <c r="JP14" t="s">
        <v>739</v>
      </c>
      <c r="JW14" s="4"/>
      <c r="JX14" s="4"/>
      <c r="JY14" s="4"/>
      <c r="JZ14" s="4"/>
      <c r="KA14" s="4"/>
      <c r="KB14" s="4"/>
      <c r="KC14" s="4"/>
      <c r="KD14" s="4"/>
      <c r="KE14" s="4"/>
      <c r="KF14" t="s">
        <v>223</v>
      </c>
      <c r="KG14" s="13" t="s">
        <v>12</v>
      </c>
      <c r="KH14" s="13" t="s">
        <v>29</v>
      </c>
      <c r="KI14" t="s">
        <v>29</v>
      </c>
      <c r="KJ14" t="s">
        <v>223</v>
      </c>
      <c r="KK14" t="s">
        <v>222</v>
      </c>
      <c r="KL14" t="s">
        <v>221</v>
      </c>
      <c r="KM14" s="4" t="s">
        <v>220</v>
      </c>
      <c r="KN14">
        <v>2.5</v>
      </c>
      <c r="KO14" s="7"/>
      <c r="KP14" s="7" t="s">
        <v>51</v>
      </c>
      <c r="KQ14" s="7"/>
      <c r="KR14" s="7" t="s">
        <v>29</v>
      </c>
      <c r="KS14" s="7" t="s">
        <v>722</v>
      </c>
      <c r="KT14" s="7"/>
      <c r="KU14" s="7"/>
      <c r="KV14" s="13"/>
      <c r="KW14" t="s">
        <v>217</v>
      </c>
      <c r="KX14" t="s">
        <v>216</v>
      </c>
      <c r="LC14" s="4" t="s">
        <v>29</v>
      </c>
      <c r="LD14" s="4"/>
      <c r="LE14" s="4" t="s">
        <v>29</v>
      </c>
      <c r="LF14" s="4"/>
      <c r="LG14" s="4" t="s">
        <v>29</v>
      </c>
      <c r="LH14" s="4"/>
      <c r="LI14" s="4" t="s">
        <v>29</v>
      </c>
      <c r="LJ14" s="4"/>
      <c r="LK14" t="s">
        <v>215</v>
      </c>
      <c r="LL14" s="4" t="s">
        <v>29</v>
      </c>
      <c r="LM14" s="4" t="s">
        <v>29</v>
      </c>
      <c r="LN14" s="4" t="s">
        <v>13</v>
      </c>
      <c r="LO14">
        <v>2500</v>
      </c>
      <c r="NB14" t="s">
        <v>272</v>
      </c>
      <c r="NC14" s="4" t="s">
        <v>10</v>
      </c>
      <c r="ND14" s="4" t="s">
        <v>168</v>
      </c>
      <c r="NE14" t="s">
        <v>270</v>
      </c>
      <c r="NG14" t="s">
        <v>269</v>
      </c>
      <c r="NJ14" t="s">
        <v>734</v>
      </c>
      <c r="NK14" t="s">
        <v>268</v>
      </c>
      <c r="NL14" t="s">
        <v>267</v>
      </c>
      <c r="NM14" s="4" t="s">
        <v>266</v>
      </c>
      <c r="NN14" s="6" t="s">
        <v>265</v>
      </c>
      <c r="NW14" t="s">
        <v>6</v>
      </c>
      <c r="NX14" t="s">
        <v>303</v>
      </c>
      <c r="NY14" s="4" t="s">
        <v>4</v>
      </c>
      <c r="NZ14" t="s">
        <v>280</v>
      </c>
      <c r="OC14">
        <v>8</v>
      </c>
      <c r="OT14" t="s">
        <v>262</v>
      </c>
      <c r="OU14" t="s">
        <v>6</v>
      </c>
      <c r="OW14">
        <v>2014</v>
      </c>
      <c r="OX14">
        <v>2015</v>
      </c>
      <c r="PA14" s="3" t="s">
        <v>1169</v>
      </c>
      <c r="PB14" s="83">
        <v>46094</v>
      </c>
      <c r="PC14" s="83"/>
    </row>
    <row r="15" spans="1:423" ht="15.75" thickBot="1">
      <c r="A15" t="s">
        <v>248</v>
      </c>
      <c r="B15" t="s">
        <v>247</v>
      </c>
      <c r="C15" t="s">
        <v>246</v>
      </c>
      <c r="D15" s="4" t="s">
        <v>245</v>
      </c>
      <c r="E15" t="s">
        <v>244</v>
      </c>
      <c r="F15" s="4" t="s">
        <v>243</v>
      </c>
      <c r="G15" t="s">
        <v>2</v>
      </c>
      <c r="H15" t="s">
        <v>30</v>
      </c>
      <c r="I15" t="s">
        <v>242</v>
      </c>
      <c r="J15" t="s">
        <v>241</v>
      </c>
      <c r="K15" t="s">
        <v>29</v>
      </c>
      <c r="AV15" t="s">
        <v>240</v>
      </c>
      <c r="AW15">
        <v>200</v>
      </c>
      <c r="AX15" t="s">
        <v>29</v>
      </c>
      <c r="AY15">
        <v>1</v>
      </c>
      <c r="AZ15" t="s">
        <v>279</v>
      </c>
      <c r="BA15">
        <v>2014</v>
      </c>
      <c r="BB15">
        <v>2015</v>
      </c>
      <c r="BC15" t="s">
        <v>29</v>
      </c>
      <c r="BD15" t="s">
        <v>274</v>
      </c>
      <c r="BE15" t="s">
        <v>302</v>
      </c>
      <c r="BF15" t="s">
        <v>43</v>
      </c>
      <c r="BG15" s="3" t="s">
        <v>1233</v>
      </c>
      <c r="BH15" t="s">
        <v>271</v>
      </c>
      <c r="BI15" t="s">
        <v>29</v>
      </c>
      <c r="BJ15" s="4" t="s">
        <v>22</v>
      </c>
      <c r="BK15" s="9">
        <v>44444</v>
      </c>
      <c r="BL15" t="s">
        <v>275</v>
      </c>
      <c r="BM15" t="s">
        <v>276</v>
      </c>
      <c r="BN15" t="s">
        <v>29</v>
      </c>
      <c r="BO15" s="4" t="s">
        <v>22</v>
      </c>
      <c r="BP15" s="9">
        <v>148000</v>
      </c>
      <c r="BQ15" t="s">
        <v>275</v>
      </c>
      <c r="BR15" t="s">
        <v>23</v>
      </c>
      <c r="BS15" t="s">
        <v>29</v>
      </c>
      <c r="BT15" s="4" t="s">
        <v>22</v>
      </c>
      <c r="BU15">
        <v>44000</v>
      </c>
      <c r="HL15" t="s">
        <v>233</v>
      </c>
      <c r="HM15" t="s">
        <v>232</v>
      </c>
      <c r="HR15" t="s">
        <v>231</v>
      </c>
      <c r="HT15" s="4" t="s">
        <v>20</v>
      </c>
      <c r="HU15" t="s">
        <v>29</v>
      </c>
      <c r="HV15" t="s">
        <v>29</v>
      </c>
      <c r="IP15" t="s">
        <v>274</v>
      </c>
      <c r="IQ15" t="s">
        <v>273</v>
      </c>
      <c r="IT15" t="s">
        <v>29</v>
      </c>
      <c r="IU15" t="s">
        <v>29</v>
      </c>
      <c r="IV15" s="4" t="s">
        <v>18</v>
      </c>
      <c r="JK15" t="s">
        <v>228</v>
      </c>
      <c r="JL15" s="3" t="s">
        <v>15</v>
      </c>
      <c r="JM15" s="8" t="s">
        <v>14</v>
      </c>
      <c r="JN15" s="8" t="s">
        <v>738</v>
      </c>
      <c r="JO15" s="4" t="s">
        <v>13</v>
      </c>
      <c r="JP15" t="s">
        <v>739</v>
      </c>
      <c r="JW15" s="4"/>
      <c r="JX15" s="4"/>
      <c r="JY15" s="4"/>
      <c r="JZ15" s="4"/>
      <c r="KA15" s="4"/>
      <c r="KB15" s="4"/>
      <c r="KC15" s="4"/>
      <c r="KD15" s="4"/>
      <c r="KE15" s="4"/>
      <c r="KF15" t="s">
        <v>223</v>
      </c>
      <c r="KG15" s="13" t="s">
        <v>12</v>
      </c>
      <c r="KH15" s="13" t="s">
        <v>29</v>
      </c>
      <c r="KI15" t="s">
        <v>29</v>
      </c>
      <c r="KJ15" t="s">
        <v>223</v>
      </c>
      <c r="KK15" t="s">
        <v>222</v>
      </c>
      <c r="KL15" t="s">
        <v>221</v>
      </c>
      <c r="KM15" s="4" t="s">
        <v>220</v>
      </c>
      <c r="KN15">
        <v>2.5</v>
      </c>
      <c r="KO15" s="7"/>
      <c r="KP15" s="7" t="s">
        <v>51</v>
      </c>
      <c r="KQ15" s="7"/>
      <c r="KR15" s="7" t="s">
        <v>29</v>
      </c>
      <c r="KS15" s="7" t="s">
        <v>722</v>
      </c>
      <c r="KT15" s="7"/>
      <c r="KU15" s="7"/>
      <c r="KV15" s="13"/>
      <c r="KW15" t="s">
        <v>217</v>
      </c>
      <c r="KX15" t="s">
        <v>216</v>
      </c>
      <c r="LC15" s="4" t="s">
        <v>29</v>
      </c>
      <c r="LD15" s="4"/>
      <c r="LE15" s="4" t="s">
        <v>29</v>
      </c>
      <c r="LF15" s="4"/>
      <c r="LG15" s="4" t="s">
        <v>29</v>
      </c>
      <c r="LH15" s="4"/>
      <c r="LI15" s="4" t="s">
        <v>29</v>
      </c>
      <c r="LJ15" s="4"/>
      <c r="LK15" t="s">
        <v>215</v>
      </c>
      <c r="LL15" s="4" t="s">
        <v>29</v>
      </c>
      <c r="LM15" s="4" t="s">
        <v>29</v>
      </c>
      <c r="LN15" s="4" t="s">
        <v>13</v>
      </c>
      <c r="LO15">
        <v>2500</v>
      </c>
      <c r="NB15" t="s">
        <v>272</v>
      </c>
      <c r="NC15" s="4" t="s">
        <v>10</v>
      </c>
      <c r="ND15" s="4" t="s">
        <v>168</v>
      </c>
      <c r="NE15" t="s">
        <v>270</v>
      </c>
      <c r="NG15" t="s">
        <v>269</v>
      </c>
      <c r="NJ15" t="s">
        <v>734</v>
      </c>
      <c r="NK15" t="s">
        <v>268</v>
      </c>
      <c r="NL15" t="s">
        <v>267</v>
      </c>
      <c r="NM15" s="4" t="s">
        <v>266</v>
      </c>
      <c r="NN15" s="6" t="s">
        <v>265</v>
      </c>
      <c r="NW15" t="s">
        <v>6</v>
      </c>
      <c r="NX15" t="s">
        <v>301</v>
      </c>
      <c r="NY15" s="4" t="s">
        <v>4</v>
      </c>
      <c r="NZ15" t="s">
        <v>291</v>
      </c>
      <c r="OC15">
        <v>8</v>
      </c>
      <c r="OT15" t="s">
        <v>262</v>
      </c>
      <c r="OU15" t="s">
        <v>6</v>
      </c>
      <c r="OW15">
        <v>2014</v>
      </c>
      <c r="OX15">
        <v>2015</v>
      </c>
      <c r="PA15" s="3" t="s">
        <v>1169</v>
      </c>
      <c r="PB15" s="83">
        <v>46094</v>
      </c>
      <c r="PC15" s="83"/>
    </row>
    <row r="16" spans="1:423" ht="15.75" thickBot="1">
      <c r="A16" t="s">
        <v>248</v>
      </c>
      <c r="B16" t="s">
        <v>247</v>
      </c>
      <c r="C16" t="s">
        <v>246</v>
      </c>
      <c r="D16" s="4" t="s">
        <v>245</v>
      </c>
      <c r="E16" t="s">
        <v>244</v>
      </c>
      <c r="F16" s="4" t="s">
        <v>243</v>
      </c>
      <c r="G16" t="s">
        <v>2</v>
      </c>
      <c r="H16" t="s">
        <v>30</v>
      </c>
      <c r="I16" t="s">
        <v>242</v>
      </c>
      <c r="J16" t="s">
        <v>241</v>
      </c>
      <c r="K16" t="s">
        <v>29</v>
      </c>
      <c r="AV16" t="s">
        <v>240</v>
      </c>
      <c r="AW16">
        <v>200</v>
      </c>
      <c r="AX16" t="s">
        <v>29</v>
      </c>
      <c r="AY16">
        <v>1</v>
      </c>
      <c r="AZ16" t="s">
        <v>279</v>
      </c>
      <c r="BA16">
        <v>2014</v>
      </c>
      <c r="BB16">
        <v>2015</v>
      </c>
      <c r="BC16" t="s">
        <v>29</v>
      </c>
      <c r="BD16" t="s">
        <v>19</v>
      </c>
      <c r="BE16" t="s">
        <v>300</v>
      </c>
      <c r="BF16" t="s">
        <v>299</v>
      </c>
      <c r="BG16" s="3" t="s">
        <v>1233</v>
      </c>
      <c r="BH16" t="s">
        <v>23</v>
      </c>
      <c r="BI16" t="s">
        <v>29</v>
      </c>
      <c r="BJ16" s="4" t="s">
        <v>22</v>
      </c>
      <c r="BK16" s="9">
        <v>44000</v>
      </c>
      <c r="HL16" t="s">
        <v>298</v>
      </c>
      <c r="HM16" t="s">
        <v>297</v>
      </c>
      <c r="HN16" t="s">
        <v>296</v>
      </c>
      <c r="HP16" t="s">
        <v>29</v>
      </c>
      <c r="HQ16">
        <v>1</v>
      </c>
      <c r="HR16" t="s">
        <v>231</v>
      </c>
      <c r="HT16" s="4" t="s">
        <v>20</v>
      </c>
      <c r="HU16" t="s">
        <v>29</v>
      </c>
      <c r="HV16" t="s">
        <v>29</v>
      </c>
      <c r="II16" t="s">
        <v>255</v>
      </c>
      <c r="IJ16" s="54" t="s">
        <v>19</v>
      </c>
      <c r="IK16" s="46"/>
      <c r="IL16" s="46"/>
      <c r="IP16" t="s">
        <v>255</v>
      </c>
      <c r="IQ16" s="54" t="s">
        <v>19</v>
      </c>
      <c r="JK16" t="s">
        <v>228</v>
      </c>
      <c r="JL16" s="54" t="s">
        <v>1552</v>
      </c>
      <c r="JM16" s="8" t="s">
        <v>14</v>
      </c>
      <c r="JN16" s="8" t="s">
        <v>730</v>
      </c>
      <c r="JO16" s="4" t="s">
        <v>13</v>
      </c>
      <c r="JP16" t="s">
        <v>731</v>
      </c>
      <c r="JW16" s="4" t="s">
        <v>227</v>
      </c>
      <c r="JX16" s="4" t="s">
        <v>226</v>
      </c>
      <c r="JY16" s="4" t="s">
        <v>13</v>
      </c>
      <c r="JZ16" s="4">
        <v>5000</v>
      </c>
      <c r="KA16" s="4" t="s">
        <v>225</v>
      </c>
      <c r="KB16" s="4">
        <v>0.74</v>
      </c>
      <c r="KC16">
        <v>0.12</v>
      </c>
      <c r="KD16">
        <v>0.69</v>
      </c>
      <c r="KE16" s="4" t="s">
        <v>224</v>
      </c>
      <c r="KF16" s="4" t="s">
        <v>295</v>
      </c>
      <c r="KG16" s="13" t="s">
        <v>12</v>
      </c>
      <c r="KH16" s="13" t="s">
        <v>29</v>
      </c>
      <c r="KI16" t="s">
        <v>29</v>
      </c>
      <c r="KJ16" t="s">
        <v>294</v>
      </c>
      <c r="KK16" s="13" t="s">
        <v>12</v>
      </c>
      <c r="KM16" s="4"/>
      <c r="KO16" s="7"/>
      <c r="KP16" s="7"/>
      <c r="KQ16" s="7"/>
      <c r="KR16" s="13"/>
      <c r="KS16" s="7" t="s">
        <v>722</v>
      </c>
      <c r="KT16" s="7"/>
      <c r="KU16" s="7"/>
      <c r="KV16" s="13"/>
      <c r="KX16" s="13" t="s">
        <v>1117</v>
      </c>
      <c r="LC16" s="13"/>
      <c r="LD16" s="4"/>
      <c r="LE16" s="13"/>
      <c r="LF16" s="13"/>
      <c r="LG16" s="13"/>
      <c r="LH16" s="13"/>
      <c r="LI16" s="13"/>
      <c r="LJ16" s="4"/>
      <c r="LK16" s="4"/>
      <c r="LL16" s="4"/>
      <c r="LM16" s="4"/>
      <c r="LN16" s="4"/>
      <c r="NB16" t="s">
        <v>293</v>
      </c>
      <c r="NC16" s="4" t="s">
        <v>10</v>
      </c>
      <c r="ND16" s="4" t="s">
        <v>168</v>
      </c>
      <c r="NJ16" t="s">
        <v>740</v>
      </c>
      <c r="NK16" t="s">
        <v>268</v>
      </c>
      <c r="NL16" t="s">
        <v>267</v>
      </c>
      <c r="NM16" s="4" t="s">
        <v>266</v>
      </c>
      <c r="NN16" s="6" t="s">
        <v>265</v>
      </c>
      <c r="NV16" t="s">
        <v>741</v>
      </c>
      <c r="NW16" t="s">
        <v>6</v>
      </c>
      <c r="NX16" t="s">
        <v>292</v>
      </c>
      <c r="NY16" s="4" t="s">
        <v>4</v>
      </c>
      <c r="NZ16" t="s">
        <v>291</v>
      </c>
      <c r="OC16">
        <v>8</v>
      </c>
      <c r="OT16" t="s">
        <v>262</v>
      </c>
      <c r="OU16" t="s">
        <v>6</v>
      </c>
      <c r="OW16">
        <v>2014</v>
      </c>
      <c r="OX16">
        <v>2015</v>
      </c>
      <c r="PA16" s="3" t="s">
        <v>1169</v>
      </c>
      <c r="PB16" s="83">
        <v>46094</v>
      </c>
      <c r="PC16" s="83"/>
    </row>
    <row r="17" spans="1:419" ht="15.75" thickBot="1">
      <c r="A17" t="s">
        <v>248</v>
      </c>
      <c r="B17" t="s">
        <v>247</v>
      </c>
      <c r="C17" t="s">
        <v>246</v>
      </c>
      <c r="D17" s="4" t="s">
        <v>245</v>
      </c>
      <c r="E17" t="s">
        <v>244</v>
      </c>
      <c r="F17" s="4" t="s">
        <v>243</v>
      </c>
      <c r="G17" t="s">
        <v>2</v>
      </c>
      <c r="H17" t="s">
        <v>30</v>
      </c>
      <c r="I17" t="s">
        <v>242</v>
      </c>
      <c r="J17" t="s">
        <v>241</v>
      </c>
      <c r="K17" t="s">
        <v>29</v>
      </c>
      <c r="AV17" t="s">
        <v>240</v>
      </c>
      <c r="AW17">
        <v>200</v>
      </c>
      <c r="AX17" t="s">
        <v>29</v>
      </c>
      <c r="AY17">
        <v>1</v>
      </c>
      <c r="AZ17" t="s">
        <v>279</v>
      </c>
      <c r="BA17">
        <v>2014</v>
      </c>
      <c r="BB17">
        <v>2015</v>
      </c>
      <c r="BC17" t="s">
        <v>29</v>
      </c>
      <c r="BD17" t="s">
        <v>19</v>
      </c>
      <c r="BE17" t="s">
        <v>257</v>
      </c>
      <c r="BF17" t="s">
        <v>256</v>
      </c>
      <c r="BG17" s="3" t="s">
        <v>1233</v>
      </c>
      <c r="BH17" t="s">
        <v>23</v>
      </c>
      <c r="BI17" t="s">
        <v>29</v>
      </c>
      <c r="BJ17" s="4" t="s">
        <v>22</v>
      </c>
      <c r="BK17" s="9">
        <v>44000</v>
      </c>
      <c r="HL17" t="s">
        <v>233</v>
      </c>
      <c r="HM17" t="s">
        <v>232</v>
      </c>
      <c r="HR17" t="s">
        <v>231</v>
      </c>
      <c r="HT17" s="4" t="s">
        <v>20</v>
      </c>
      <c r="HU17" t="s">
        <v>29</v>
      </c>
      <c r="HV17" t="s">
        <v>29</v>
      </c>
      <c r="II17" t="s">
        <v>255</v>
      </c>
      <c r="IJ17" s="54" t="s">
        <v>19</v>
      </c>
      <c r="IK17" s="46"/>
      <c r="IL17" s="46"/>
      <c r="IP17" s="15" t="s">
        <v>255</v>
      </c>
      <c r="IQ17" s="54" t="s">
        <v>19</v>
      </c>
      <c r="JK17" t="s">
        <v>228</v>
      </c>
      <c r="JL17" s="54" t="s">
        <v>1552</v>
      </c>
      <c r="JM17" s="8" t="s">
        <v>14</v>
      </c>
      <c r="JN17" s="8" t="s">
        <v>730</v>
      </c>
      <c r="JO17" s="4" t="s">
        <v>13</v>
      </c>
      <c r="JP17" t="s">
        <v>731</v>
      </c>
      <c r="JW17" s="4" t="s">
        <v>227</v>
      </c>
      <c r="JX17" s="4" t="s">
        <v>226</v>
      </c>
      <c r="JY17" s="4" t="s">
        <v>13</v>
      </c>
      <c r="JZ17" s="4">
        <v>5000</v>
      </c>
      <c r="KA17" s="4" t="s">
        <v>225</v>
      </c>
      <c r="KB17" s="4">
        <v>0.74</v>
      </c>
      <c r="KC17">
        <v>0.12</v>
      </c>
      <c r="KD17">
        <v>0.69</v>
      </c>
      <c r="KE17" s="4" t="s">
        <v>224</v>
      </c>
      <c r="KF17" t="s">
        <v>223</v>
      </c>
      <c r="KG17" s="13" t="s">
        <v>12</v>
      </c>
      <c r="KH17" s="13" t="s">
        <v>29</v>
      </c>
      <c r="KI17" t="s">
        <v>29</v>
      </c>
      <c r="KJ17" t="s">
        <v>223</v>
      </c>
      <c r="KK17" t="s">
        <v>222</v>
      </c>
      <c r="KL17" t="s">
        <v>221</v>
      </c>
      <c r="KM17" s="4" t="s">
        <v>220</v>
      </c>
      <c r="KN17">
        <v>2.5</v>
      </c>
      <c r="KO17" s="7"/>
      <c r="KP17" s="7"/>
      <c r="KQ17" s="7"/>
      <c r="KR17" s="13"/>
      <c r="KS17" s="7" t="s">
        <v>722</v>
      </c>
      <c r="KT17" s="7"/>
      <c r="KU17" s="7"/>
      <c r="KV17" s="13"/>
      <c r="KW17" t="s">
        <v>217</v>
      </c>
      <c r="KX17" t="s">
        <v>216</v>
      </c>
      <c r="LC17" s="4" t="s">
        <v>29</v>
      </c>
      <c r="LD17" s="4"/>
      <c r="LE17" s="4" t="s">
        <v>29</v>
      </c>
      <c r="LF17" s="4"/>
      <c r="LG17" s="4" t="s">
        <v>29</v>
      </c>
      <c r="LH17" s="4"/>
      <c r="LI17" s="4" t="s">
        <v>29</v>
      </c>
      <c r="LJ17" s="4"/>
      <c r="LK17" t="s">
        <v>215</v>
      </c>
      <c r="LL17" s="4" t="s">
        <v>29</v>
      </c>
      <c r="LM17" s="4" t="s">
        <v>29</v>
      </c>
      <c r="LN17" s="4" t="s">
        <v>13</v>
      </c>
      <c r="LO17">
        <v>2500</v>
      </c>
      <c r="NB17" t="s">
        <v>290</v>
      </c>
      <c r="NC17" s="4" t="s">
        <v>10</v>
      </c>
      <c r="ND17" s="4" t="s">
        <v>168</v>
      </c>
      <c r="NJ17" t="s">
        <v>742</v>
      </c>
      <c r="NK17" t="s">
        <v>268</v>
      </c>
      <c r="NL17" t="s">
        <v>267</v>
      </c>
      <c r="NM17" s="4" t="s">
        <v>266</v>
      </c>
      <c r="NN17" s="6" t="s">
        <v>265</v>
      </c>
      <c r="NV17" t="s">
        <v>743</v>
      </c>
      <c r="NW17" t="s">
        <v>6</v>
      </c>
      <c r="NX17" t="s">
        <v>289</v>
      </c>
      <c r="NY17" s="4" t="s">
        <v>4</v>
      </c>
      <c r="NZ17" t="s">
        <v>280</v>
      </c>
      <c r="OC17">
        <v>8</v>
      </c>
      <c r="OT17" t="s">
        <v>262</v>
      </c>
      <c r="OU17" t="s">
        <v>6</v>
      </c>
      <c r="OW17">
        <v>2014</v>
      </c>
      <c r="OX17">
        <v>2015</v>
      </c>
      <c r="PA17" s="3" t="s">
        <v>1169</v>
      </c>
      <c r="PB17" s="83">
        <v>46094</v>
      </c>
      <c r="PC17" s="83"/>
    </row>
    <row r="18" spans="1:419" ht="15.75" thickBot="1">
      <c r="A18" t="s">
        <v>248</v>
      </c>
      <c r="B18" t="s">
        <v>247</v>
      </c>
      <c r="C18" t="s">
        <v>246</v>
      </c>
      <c r="D18" s="4" t="s">
        <v>245</v>
      </c>
      <c r="E18" t="s">
        <v>244</v>
      </c>
      <c r="F18" s="4" t="s">
        <v>243</v>
      </c>
      <c r="G18" t="s">
        <v>2</v>
      </c>
      <c r="H18" t="s">
        <v>30</v>
      </c>
      <c r="I18" t="s">
        <v>242</v>
      </c>
      <c r="J18" t="s">
        <v>241</v>
      </c>
      <c r="K18" t="s">
        <v>29</v>
      </c>
      <c r="AV18" t="s">
        <v>240</v>
      </c>
      <c r="AW18">
        <v>200</v>
      </c>
      <c r="AX18" t="s">
        <v>29</v>
      </c>
      <c r="AY18">
        <v>1</v>
      </c>
      <c r="AZ18" t="s">
        <v>279</v>
      </c>
      <c r="BA18">
        <v>2014</v>
      </c>
      <c r="BB18">
        <v>2015</v>
      </c>
      <c r="BC18" t="s">
        <v>29</v>
      </c>
      <c r="BD18" t="s">
        <v>238</v>
      </c>
      <c r="BE18" t="s">
        <v>253</v>
      </c>
      <c r="BF18" t="s">
        <v>252</v>
      </c>
      <c r="BG18" s="3" t="s">
        <v>1233</v>
      </c>
      <c r="BH18" t="s">
        <v>23</v>
      </c>
      <c r="BI18" t="s">
        <v>29</v>
      </c>
      <c r="BJ18" s="4" t="s">
        <v>22</v>
      </c>
      <c r="BK18" s="9">
        <v>44000</v>
      </c>
      <c r="BL18" t="s">
        <v>56</v>
      </c>
      <c r="BM18" t="s">
        <v>250</v>
      </c>
      <c r="BN18" t="s">
        <v>29</v>
      </c>
      <c r="BO18" s="4" t="s">
        <v>22</v>
      </c>
      <c r="BP18" s="9">
        <v>44444</v>
      </c>
      <c r="HL18" t="s">
        <v>233</v>
      </c>
      <c r="HM18" t="s">
        <v>232</v>
      </c>
      <c r="HR18" t="s">
        <v>231</v>
      </c>
      <c r="HT18" s="4" t="s">
        <v>736</v>
      </c>
      <c r="HU18" t="s">
        <v>29</v>
      </c>
      <c r="HV18" t="s">
        <v>29</v>
      </c>
      <c r="II18" t="s">
        <v>251</v>
      </c>
      <c r="IJ18" s="12" t="s">
        <v>229</v>
      </c>
      <c r="IK18" s="45" t="s">
        <v>660</v>
      </c>
      <c r="IL18" s="45" t="s">
        <v>661</v>
      </c>
      <c r="IM18">
        <v>2012</v>
      </c>
      <c r="IN18" t="s">
        <v>29</v>
      </c>
      <c r="IO18" s="4" t="s">
        <v>18</v>
      </c>
      <c r="JK18" t="s">
        <v>228</v>
      </c>
      <c r="JL18" s="54" t="s">
        <v>1552</v>
      </c>
      <c r="JM18" s="8" t="s">
        <v>14</v>
      </c>
      <c r="JN18" s="8" t="s">
        <v>730</v>
      </c>
      <c r="JO18" s="4" t="s">
        <v>13</v>
      </c>
      <c r="JP18" t="s">
        <v>731</v>
      </c>
      <c r="JW18" s="4" t="s">
        <v>227</v>
      </c>
      <c r="JX18" s="4" t="s">
        <v>226</v>
      </c>
      <c r="JY18" s="4" t="s">
        <v>13</v>
      </c>
      <c r="JZ18" s="4">
        <v>5000</v>
      </c>
      <c r="KA18" s="4" t="s">
        <v>225</v>
      </c>
      <c r="KB18" s="4">
        <v>0.74</v>
      </c>
      <c r="KC18">
        <v>0.12</v>
      </c>
      <c r="KD18">
        <v>0.69</v>
      </c>
      <c r="KE18" s="4" t="s">
        <v>224</v>
      </c>
      <c r="KF18" t="s">
        <v>223</v>
      </c>
      <c r="KG18" s="13" t="s">
        <v>12</v>
      </c>
      <c r="KH18" s="13" t="s">
        <v>29</v>
      </c>
      <c r="KI18" t="s">
        <v>29</v>
      </c>
      <c r="KJ18" t="s">
        <v>223</v>
      </c>
      <c r="KK18" t="s">
        <v>222</v>
      </c>
      <c r="KL18" t="s">
        <v>221</v>
      </c>
      <c r="KM18" s="4" t="s">
        <v>220</v>
      </c>
      <c r="KN18">
        <v>2.5</v>
      </c>
      <c r="KO18" s="7"/>
      <c r="KP18" s="7"/>
      <c r="KQ18" s="7"/>
      <c r="KR18" s="13"/>
      <c r="KS18" s="7" t="s">
        <v>219</v>
      </c>
      <c r="KT18" s="7" t="s">
        <v>218</v>
      </c>
      <c r="KU18" s="7"/>
      <c r="KV18" t="s">
        <v>29</v>
      </c>
      <c r="KW18" t="s">
        <v>217</v>
      </c>
      <c r="KX18" t="s">
        <v>216</v>
      </c>
      <c r="LC18" s="4" t="s">
        <v>29</v>
      </c>
      <c r="LD18" s="4"/>
      <c r="LE18" s="4" t="s">
        <v>29</v>
      </c>
      <c r="LF18" s="4"/>
      <c r="LG18" s="4" t="s">
        <v>29</v>
      </c>
      <c r="LH18" s="4"/>
      <c r="LI18" s="4" t="s">
        <v>29</v>
      </c>
      <c r="LJ18" s="4"/>
      <c r="LK18" t="s">
        <v>215</v>
      </c>
      <c r="LL18" s="4" t="s">
        <v>29</v>
      </c>
      <c r="LM18" s="4" t="s">
        <v>29</v>
      </c>
      <c r="LN18" s="4" t="s">
        <v>13</v>
      </c>
      <c r="LO18">
        <v>2500</v>
      </c>
      <c r="NB18" t="s">
        <v>272</v>
      </c>
      <c r="NC18" s="4" t="s">
        <v>10</v>
      </c>
      <c r="ND18" s="4" t="s">
        <v>168</v>
      </c>
      <c r="NE18" t="s">
        <v>249</v>
      </c>
      <c r="NG18" t="s">
        <v>269</v>
      </c>
      <c r="NJ18" t="s">
        <v>744</v>
      </c>
      <c r="NK18" t="s">
        <v>268</v>
      </c>
      <c r="NL18" t="s">
        <v>267</v>
      </c>
      <c r="NM18" s="4" t="s">
        <v>266</v>
      </c>
      <c r="NN18" s="6" t="s">
        <v>265</v>
      </c>
      <c r="NW18" t="s">
        <v>6</v>
      </c>
      <c r="NX18" t="s">
        <v>288</v>
      </c>
      <c r="NY18" s="4" t="s">
        <v>4</v>
      </c>
      <c r="NZ18" t="s">
        <v>280</v>
      </c>
      <c r="OC18">
        <v>8</v>
      </c>
      <c r="OT18" t="s">
        <v>262</v>
      </c>
      <c r="OU18" t="s">
        <v>6</v>
      </c>
      <c r="OW18">
        <v>2014</v>
      </c>
      <c r="OX18">
        <v>2015</v>
      </c>
      <c r="PA18" s="3" t="s">
        <v>1169</v>
      </c>
      <c r="PB18" s="83">
        <v>46094</v>
      </c>
      <c r="PC18" s="83"/>
    </row>
    <row r="19" spans="1:419" ht="15.75" thickBot="1">
      <c r="A19" t="s">
        <v>248</v>
      </c>
      <c r="B19" t="s">
        <v>247</v>
      </c>
      <c r="C19" t="s">
        <v>246</v>
      </c>
      <c r="D19" s="4" t="s">
        <v>245</v>
      </c>
      <c r="E19" t="s">
        <v>244</v>
      </c>
      <c r="F19" s="4" t="s">
        <v>243</v>
      </c>
      <c r="G19" t="s">
        <v>2</v>
      </c>
      <c r="H19" t="s">
        <v>30</v>
      </c>
      <c r="I19" t="s">
        <v>242</v>
      </c>
      <c r="J19" t="s">
        <v>241</v>
      </c>
      <c r="K19" t="s">
        <v>29</v>
      </c>
      <c r="AV19" t="s">
        <v>240</v>
      </c>
      <c r="AW19">
        <v>200</v>
      </c>
      <c r="AX19" t="s">
        <v>29</v>
      </c>
      <c r="AY19">
        <v>1</v>
      </c>
      <c r="AZ19" t="s">
        <v>279</v>
      </c>
      <c r="BA19">
        <v>2014</v>
      </c>
      <c r="BB19">
        <v>2015</v>
      </c>
      <c r="BC19" t="s">
        <v>29</v>
      </c>
      <c r="BD19" t="s">
        <v>238</v>
      </c>
      <c r="BE19" t="s">
        <v>237</v>
      </c>
      <c r="BF19" t="s">
        <v>236</v>
      </c>
      <c r="BG19" s="3" t="s">
        <v>1233</v>
      </c>
      <c r="BH19" t="s">
        <v>23</v>
      </c>
      <c r="BI19" t="s">
        <v>29</v>
      </c>
      <c r="BJ19" s="4" t="s">
        <v>22</v>
      </c>
      <c r="BK19" s="9">
        <v>44000</v>
      </c>
      <c r="BL19" t="s">
        <v>56</v>
      </c>
      <c r="BM19" t="s">
        <v>235</v>
      </c>
      <c r="BN19" t="s">
        <v>29</v>
      </c>
      <c r="BO19" s="4" t="s">
        <v>22</v>
      </c>
      <c r="BP19" s="9">
        <v>44444</v>
      </c>
      <c r="HL19" t="s">
        <v>233</v>
      </c>
      <c r="HM19" t="s">
        <v>232</v>
      </c>
      <c r="HR19" t="s">
        <v>231</v>
      </c>
      <c r="HT19" s="4" t="s">
        <v>736</v>
      </c>
      <c r="HU19" t="s">
        <v>29</v>
      </c>
      <c r="HV19" t="s">
        <v>29</v>
      </c>
      <c r="II19" t="s">
        <v>230</v>
      </c>
      <c r="IJ19" s="12" t="s">
        <v>229</v>
      </c>
      <c r="IK19" s="45" t="s">
        <v>660</v>
      </c>
      <c r="IL19" s="45" t="s">
        <v>661</v>
      </c>
      <c r="IM19">
        <v>2012</v>
      </c>
      <c r="IN19" t="s">
        <v>29</v>
      </c>
      <c r="IO19" s="4" t="s">
        <v>18</v>
      </c>
      <c r="JK19" t="s">
        <v>228</v>
      </c>
      <c r="JL19" s="54" t="s">
        <v>1552</v>
      </c>
      <c r="JM19" s="8" t="s">
        <v>14</v>
      </c>
      <c r="JN19" s="8" t="s">
        <v>730</v>
      </c>
      <c r="JO19" s="4" t="s">
        <v>13</v>
      </c>
      <c r="JP19" t="s">
        <v>731</v>
      </c>
      <c r="JW19" s="4" t="s">
        <v>227</v>
      </c>
      <c r="JX19" s="4" t="s">
        <v>226</v>
      </c>
      <c r="JY19" s="4" t="s">
        <v>13</v>
      </c>
      <c r="JZ19" s="4">
        <v>5000</v>
      </c>
      <c r="KA19" s="4" t="s">
        <v>225</v>
      </c>
      <c r="KB19" s="4">
        <v>0.74</v>
      </c>
      <c r="KC19">
        <v>0.12</v>
      </c>
      <c r="KD19">
        <v>0.69</v>
      </c>
      <c r="KE19" s="4" t="s">
        <v>224</v>
      </c>
      <c r="KF19" t="s">
        <v>223</v>
      </c>
      <c r="KG19" s="13" t="s">
        <v>12</v>
      </c>
      <c r="KH19" s="13" t="s">
        <v>29</v>
      </c>
      <c r="KI19" t="s">
        <v>29</v>
      </c>
      <c r="KJ19" t="s">
        <v>223</v>
      </c>
      <c r="KK19" t="s">
        <v>222</v>
      </c>
      <c r="KL19" t="s">
        <v>221</v>
      </c>
      <c r="KM19" s="4" t="s">
        <v>220</v>
      </c>
      <c r="KN19">
        <v>2.5</v>
      </c>
      <c r="KO19" s="7"/>
      <c r="KP19" s="7"/>
      <c r="KQ19" s="7"/>
      <c r="KR19" s="13"/>
      <c r="KS19" s="7" t="s">
        <v>219</v>
      </c>
      <c r="KT19" s="7" t="s">
        <v>218</v>
      </c>
      <c r="KU19" s="7"/>
      <c r="KV19" t="s">
        <v>29</v>
      </c>
      <c r="KW19" t="s">
        <v>217</v>
      </c>
      <c r="KX19" t="s">
        <v>216</v>
      </c>
      <c r="LC19" s="4" t="s">
        <v>29</v>
      </c>
      <c r="LD19" s="4"/>
      <c r="LE19" s="4" t="s">
        <v>29</v>
      </c>
      <c r="LF19" s="4"/>
      <c r="LG19" s="4" t="s">
        <v>29</v>
      </c>
      <c r="LH19" s="4"/>
      <c r="LI19" s="4" t="s">
        <v>29</v>
      </c>
      <c r="LJ19" s="4"/>
      <c r="LK19" t="s">
        <v>215</v>
      </c>
      <c r="LL19" s="4" t="s">
        <v>29</v>
      </c>
      <c r="LM19" s="4" t="s">
        <v>29</v>
      </c>
      <c r="LN19" s="4" t="s">
        <v>13</v>
      </c>
      <c r="LO19">
        <v>2500</v>
      </c>
      <c r="NB19" t="s">
        <v>272</v>
      </c>
      <c r="NC19" s="4" t="s">
        <v>10</v>
      </c>
      <c r="ND19" s="4" t="s">
        <v>168</v>
      </c>
      <c r="NE19" t="s">
        <v>213</v>
      </c>
      <c r="NG19" t="s">
        <v>269</v>
      </c>
      <c r="NJ19" t="s">
        <v>744</v>
      </c>
      <c r="NK19" t="s">
        <v>268</v>
      </c>
      <c r="NL19" t="s">
        <v>267</v>
      </c>
      <c r="NM19" s="4" t="s">
        <v>266</v>
      </c>
      <c r="NN19" s="6" t="s">
        <v>265</v>
      </c>
      <c r="NW19" t="s">
        <v>6</v>
      </c>
      <c r="NX19" t="s">
        <v>287</v>
      </c>
      <c r="NY19" s="4" t="s">
        <v>4</v>
      </c>
      <c r="NZ19" t="s">
        <v>286</v>
      </c>
      <c r="OC19">
        <v>8</v>
      </c>
      <c r="OT19" t="s">
        <v>262</v>
      </c>
      <c r="OU19" t="s">
        <v>6</v>
      </c>
      <c r="OW19">
        <v>2014</v>
      </c>
      <c r="OX19">
        <v>2015</v>
      </c>
      <c r="PA19" s="3" t="s">
        <v>1169</v>
      </c>
      <c r="PB19" s="83">
        <v>46094</v>
      </c>
      <c r="PC19" s="83"/>
    </row>
    <row r="20" spans="1:419" ht="15.75" thickBot="1">
      <c r="A20" t="s">
        <v>248</v>
      </c>
      <c r="B20" t="s">
        <v>247</v>
      </c>
      <c r="C20" t="s">
        <v>246</v>
      </c>
      <c r="D20" s="4" t="s">
        <v>245</v>
      </c>
      <c r="E20" t="s">
        <v>244</v>
      </c>
      <c r="F20" s="4" t="s">
        <v>243</v>
      </c>
      <c r="G20" t="s">
        <v>2</v>
      </c>
      <c r="H20" t="s">
        <v>30</v>
      </c>
      <c r="I20" t="s">
        <v>242</v>
      </c>
      <c r="J20" t="s">
        <v>241</v>
      </c>
      <c r="K20" t="s">
        <v>29</v>
      </c>
      <c r="AV20" t="s">
        <v>240</v>
      </c>
      <c r="AW20">
        <v>200</v>
      </c>
      <c r="AX20" t="s">
        <v>29</v>
      </c>
      <c r="AY20">
        <v>1</v>
      </c>
      <c r="AZ20" t="s">
        <v>279</v>
      </c>
      <c r="BA20">
        <v>2014</v>
      </c>
      <c r="BB20">
        <v>2015</v>
      </c>
      <c r="BC20" t="s">
        <v>29</v>
      </c>
      <c r="BD20" t="s">
        <v>274</v>
      </c>
      <c r="BE20" t="s">
        <v>285</v>
      </c>
      <c r="BF20" t="s">
        <v>284</v>
      </c>
      <c r="BG20" s="3" t="s">
        <v>1233</v>
      </c>
      <c r="BH20" t="s">
        <v>23</v>
      </c>
      <c r="BI20" t="s">
        <v>29</v>
      </c>
      <c r="BJ20" s="4" t="s">
        <v>22</v>
      </c>
      <c r="BK20" s="9">
        <v>44000</v>
      </c>
      <c r="BL20" t="s">
        <v>275</v>
      </c>
      <c r="BM20" t="s">
        <v>271</v>
      </c>
      <c r="BN20" t="s">
        <v>29</v>
      </c>
      <c r="BO20" s="4" t="s">
        <v>22</v>
      </c>
      <c r="BP20" s="9">
        <v>444444</v>
      </c>
      <c r="BQ20" t="s">
        <v>275</v>
      </c>
      <c r="BR20" t="s">
        <v>276</v>
      </c>
      <c r="BS20" t="s">
        <v>29</v>
      </c>
      <c r="BT20" s="4" t="s">
        <v>22</v>
      </c>
      <c r="BU20" s="9">
        <v>148000</v>
      </c>
      <c r="HL20" t="s">
        <v>233</v>
      </c>
      <c r="HM20" t="s">
        <v>232</v>
      </c>
      <c r="HR20" t="s">
        <v>231</v>
      </c>
      <c r="HT20" s="4" t="s">
        <v>20</v>
      </c>
      <c r="HU20" t="s">
        <v>29</v>
      </c>
      <c r="HV20" t="s">
        <v>29</v>
      </c>
      <c r="IP20" t="s">
        <v>274</v>
      </c>
      <c r="IQ20" t="s">
        <v>283</v>
      </c>
      <c r="IT20" t="s">
        <v>29</v>
      </c>
      <c r="IU20" t="s">
        <v>29</v>
      </c>
      <c r="IV20" s="4" t="s">
        <v>18</v>
      </c>
      <c r="JK20" t="s">
        <v>282</v>
      </c>
      <c r="JL20" s="54" t="s">
        <v>1552</v>
      </c>
      <c r="JM20" s="8" t="s">
        <v>14</v>
      </c>
      <c r="JN20" s="8" t="s">
        <v>738</v>
      </c>
      <c r="JO20" s="4" t="s">
        <v>13</v>
      </c>
      <c r="JP20" t="s">
        <v>739</v>
      </c>
      <c r="JW20" s="4" t="s">
        <v>227</v>
      </c>
      <c r="JX20" s="4" t="s">
        <v>226</v>
      </c>
      <c r="JY20" s="4" t="s">
        <v>13</v>
      </c>
      <c r="JZ20" s="4">
        <v>5000</v>
      </c>
      <c r="KA20" s="4" t="s">
        <v>225</v>
      </c>
      <c r="KB20" s="4">
        <v>0.74</v>
      </c>
      <c r="KC20">
        <v>0.12</v>
      </c>
      <c r="KD20">
        <v>0.69</v>
      </c>
      <c r="KE20" s="4" t="s">
        <v>224</v>
      </c>
      <c r="KF20" t="s">
        <v>223</v>
      </c>
      <c r="KG20" s="13" t="s">
        <v>12</v>
      </c>
      <c r="KH20" s="13" t="s">
        <v>29</v>
      </c>
      <c r="KI20" t="s">
        <v>29</v>
      </c>
      <c r="KJ20" t="s">
        <v>223</v>
      </c>
      <c r="KK20" t="s">
        <v>222</v>
      </c>
      <c r="KL20" t="s">
        <v>221</v>
      </c>
      <c r="KM20" s="4" t="s">
        <v>220</v>
      </c>
      <c r="KN20">
        <v>2.5</v>
      </c>
      <c r="KO20" s="7"/>
      <c r="KP20" s="7" t="s">
        <v>51</v>
      </c>
      <c r="KQ20" s="7"/>
      <c r="KR20" s="7" t="s">
        <v>29</v>
      </c>
      <c r="KS20" s="7" t="s">
        <v>722</v>
      </c>
      <c r="KT20" s="7"/>
      <c r="KU20" s="7"/>
      <c r="KV20" s="13"/>
      <c r="KW20" t="s">
        <v>217</v>
      </c>
      <c r="KX20" t="s">
        <v>216</v>
      </c>
      <c r="LC20" s="4" t="s">
        <v>29</v>
      </c>
      <c r="LD20" s="4"/>
      <c r="LE20" s="4" t="s">
        <v>29</v>
      </c>
      <c r="LF20" s="4"/>
      <c r="LG20" s="4" t="s">
        <v>29</v>
      </c>
      <c r="LH20" s="4"/>
      <c r="LI20" s="4" t="s">
        <v>29</v>
      </c>
      <c r="LJ20" s="4"/>
      <c r="LK20" t="s">
        <v>215</v>
      </c>
      <c r="LL20" s="4" t="s">
        <v>29</v>
      </c>
      <c r="LM20" s="4" t="s">
        <v>29</v>
      </c>
      <c r="LN20" s="4" t="s">
        <v>13</v>
      </c>
      <c r="LO20">
        <v>2500</v>
      </c>
      <c r="NB20" t="s">
        <v>272</v>
      </c>
      <c r="NC20" s="4" t="s">
        <v>10</v>
      </c>
      <c r="ND20" s="4" t="s">
        <v>168</v>
      </c>
      <c r="NE20" t="s">
        <v>270</v>
      </c>
      <c r="NG20" t="s">
        <v>269</v>
      </c>
      <c r="NJ20" t="s">
        <v>742</v>
      </c>
      <c r="NK20" t="s">
        <v>268</v>
      </c>
      <c r="NL20" t="s">
        <v>267</v>
      </c>
      <c r="NM20" s="4" t="s">
        <v>266</v>
      </c>
      <c r="NN20" s="6" t="s">
        <v>265</v>
      </c>
      <c r="NW20" t="s">
        <v>6</v>
      </c>
      <c r="NX20" t="s">
        <v>281</v>
      </c>
      <c r="NY20" s="4" t="s">
        <v>4</v>
      </c>
      <c r="NZ20" t="s">
        <v>280</v>
      </c>
      <c r="OC20">
        <v>8</v>
      </c>
      <c r="OT20" t="s">
        <v>262</v>
      </c>
      <c r="OU20" t="s">
        <v>6</v>
      </c>
      <c r="OW20">
        <v>2014</v>
      </c>
      <c r="OX20">
        <v>2015</v>
      </c>
      <c r="PA20" s="3" t="s">
        <v>1169</v>
      </c>
      <c r="PB20" s="83">
        <v>46094</v>
      </c>
      <c r="PC20" s="83"/>
    </row>
    <row r="21" spans="1:419" ht="15.75" thickBot="1">
      <c r="A21" t="s">
        <v>248</v>
      </c>
      <c r="B21" t="s">
        <v>247</v>
      </c>
      <c r="C21" t="s">
        <v>246</v>
      </c>
      <c r="D21" s="4" t="s">
        <v>245</v>
      </c>
      <c r="E21" t="s">
        <v>244</v>
      </c>
      <c r="F21" s="4" t="s">
        <v>243</v>
      </c>
      <c r="G21" t="s">
        <v>2</v>
      </c>
      <c r="H21" t="s">
        <v>30</v>
      </c>
      <c r="I21" t="s">
        <v>242</v>
      </c>
      <c r="J21" t="s">
        <v>241</v>
      </c>
      <c r="K21" t="s">
        <v>29</v>
      </c>
      <c r="AV21" t="s">
        <v>240</v>
      </c>
      <c r="AW21">
        <v>200</v>
      </c>
      <c r="AX21" t="s">
        <v>29</v>
      </c>
      <c r="AY21">
        <v>1</v>
      </c>
      <c r="AZ21" t="s">
        <v>279</v>
      </c>
      <c r="BA21">
        <v>2014</v>
      </c>
      <c r="BB21">
        <v>2015</v>
      </c>
      <c r="BC21" t="s">
        <v>29</v>
      </c>
      <c r="BD21" t="s">
        <v>274</v>
      </c>
      <c r="BE21" t="s">
        <v>278</v>
      </c>
      <c r="BF21" t="s">
        <v>277</v>
      </c>
      <c r="BG21" s="3" t="s">
        <v>1233</v>
      </c>
      <c r="BH21" t="s">
        <v>271</v>
      </c>
      <c r="BI21" t="s">
        <v>29</v>
      </c>
      <c r="BJ21" s="4" t="s">
        <v>22</v>
      </c>
      <c r="BK21" s="9">
        <v>44444</v>
      </c>
      <c r="BL21" t="s">
        <v>275</v>
      </c>
      <c r="BM21" t="s">
        <v>276</v>
      </c>
      <c r="BN21" t="s">
        <v>29</v>
      </c>
      <c r="BO21" s="4" t="s">
        <v>22</v>
      </c>
      <c r="BP21" s="9">
        <v>148000</v>
      </c>
      <c r="BQ21" t="s">
        <v>275</v>
      </c>
      <c r="BR21" t="s">
        <v>23</v>
      </c>
      <c r="BS21" t="s">
        <v>29</v>
      </c>
      <c r="BT21" s="4" t="s">
        <v>22</v>
      </c>
      <c r="BU21">
        <v>44000</v>
      </c>
      <c r="HL21" t="s">
        <v>233</v>
      </c>
      <c r="HM21" t="s">
        <v>232</v>
      </c>
      <c r="HR21" t="s">
        <v>231</v>
      </c>
      <c r="HT21" s="4" t="s">
        <v>20</v>
      </c>
      <c r="HU21" t="s">
        <v>29</v>
      </c>
      <c r="HV21" t="s">
        <v>29</v>
      </c>
      <c r="IP21" t="s">
        <v>274</v>
      </c>
      <c r="IQ21" t="s">
        <v>273</v>
      </c>
      <c r="IT21" t="s">
        <v>29</v>
      </c>
      <c r="IU21" t="s">
        <v>29</v>
      </c>
      <c r="IV21" s="4" t="s">
        <v>18</v>
      </c>
      <c r="JK21" t="s">
        <v>228</v>
      </c>
      <c r="JL21" s="54" t="s">
        <v>1552</v>
      </c>
      <c r="JM21" s="8" t="s">
        <v>14</v>
      </c>
      <c r="JN21" s="8" t="s">
        <v>738</v>
      </c>
      <c r="JO21" s="4" t="s">
        <v>13</v>
      </c>
      <c r="JP21" t="s">
        <v>739</v>
      </c>
      <c r="JW21" s="4" t="s">
        <v>227</v>
      </c>
      <c r="JX21" s="4" t="s">
        <v>226</v>
      </c>
      <c r="JY21" s="4" t="s">
        <v>13</v>
      </c>
      <c r="JZ21" s="4">
        <v>5000</v>
      </c>
      <c r="KA21" s="4" t="s">
        <v>225</v>
      </c>
      <c r="KB21" s="4">
        <v>0.74</v>
      </c>
      <c r="KC21">
        <v>0.12</v>
      </c>
      <c r="KD21">
        <v>0.69</v>
      </c>
      <c r="KE21" s="4" t="s">
        <v>224</v>
      </c>
      <c r="KF21" t="s">
        <v>223</v>
      </c>
      <c r="KG21" s="13" t="s">
        <v>12</v>
      </c>
      <c r="KH21" s="13" t="s">
        <v>29</v>
      </c>
      <c r="KI21" t="s">
        <v>29</v>
      </c>
      <c r="KJ21" t="s">
        <v>223</v>
      </c>
      <c r="KK21" t="s">
        <v>222</v>
      </c>
      <c r="KL21" t="s">
        <v>221</v>
      </c>
      <c r="KM21" s="4" t="s">
        <v>220</v>
      </c>
      <c r="KN21">
        <v>2.5</v>
      </c>
      <c r="KO21" s="7"/>
      <c r="KP21" s="7" t="s">
        <v>51</v>
      </c>
      <c r="KQ21" s="7"/>
      <c r="KR21" s="7" t="s">
        <v>29</v>
      </c>
      <c r="KS21" s="7" t="s">
        <v>722</v>
      </c>
      <c r="KT21" s="7"/>
      <c r="KU21" s="7"/>
      <c r="KV21" s="13"/>
      <c r="KW21" t="s">
        <v>217</v>
      </c>
      <c r="KX21" t="s">
        <v>216</v>
      </c>
      <c r="LC21" s="4" t="s">
        <v>29</v>
      </c>
      <c r="LD21" s="4"/>
      <c r="LE21" s="4" t="s">
        <v>29</v>
      </c>
      <c r="LF21" s="4"/>
      <c r="LG21" s="4" t="s">
        <v>29</v>
      </c>
      <c r="LH21" s="4"/>
      <c r="LI21" s="4" t="s">
        <v>29</v>
      </c>
      <c r="LJ21" s="4"/>
      <c r="LK21" t="s">
        <v>215</v>
      </c>
      <c r="LL21" s="4" t="s">
        <v>29</v>
      </c>
      <c r="LM21" s="4" t="s">
        <v>29</v>
      </c>
      <c r="LN21" s="4" t="s">
        <v>13</v>
      </c>
      <c r="LO21">
        <v>2500</v>
      </c>
      <c r="NB21" t="s">
        <v>272</v>
      </c>
      <c r="NC21" s="4" t="s">
        <v>10</v>
      </c>
      <c r="ND21" s="4" t="s">
        <v>168</v>
      </c>
      <c r="NE21" t="s">
        <v>270</v>
      </c>
      <c r="NG21" t="s">
        <v>269</v>
      </c>
      <c r="NJ21" t="s">
        <v>742</v>
      </c>
      <c r="NK21" t="s">
        <v>268</v>
      </c>
      <c r="NL21" t="s">
        <v>267</v>
      </c>
      <c r="NM21" s="4" t="s">
        <v>266</v>
      </c>
      <c r="NN21" s="6" t="s">
        <v>265</v>
      </c>
      <c r="NW21" t="s">
        <v>6</v>
      </c>
      <c r="NX21" t="s">
        <v>264</v>
      </c>
      <c r="NY21" s="4" t="s">
        <v>4</v>
      </c>
      <c r="NZ21" t="s">
        <v>263</v>
      </c>
      <c r="OC21">
        <v>8</v>
      </c>
      <c r="OT21" t="s">
        <v>262</v>
      </c>
      <c r="OU21" t="s">
        <v>6</v>
      </c>
      <c r="OW21">
        <v>2014</v>
      </c>
      <c r="OX21">
        <v>2015</v>
      </c>
      <c r="PA21" s="3" t="s">
        <v>1169</v>
      </c>
      <c r="PB21" s="83">
        <v>46094</v>
      </c>
      <c r="PC21" s="83"/>
    </row>
    <row r="22" spans="1:419" ht="15.75" thickBot="1">
      <c r="A22" t="s">
        <v>248</v>
      </c>
      <c r="B22" t="s">
        <v>247</v>
      </c>
      <c r="C22" t="s">
        <v>246</v>
      </c>
      <c r="D22" s="4" t="s">
        <v>245</v>
      </c>
      <c r="E22" t="s">
        <v>244</v>
      </c>
      <c r="F22" s="4" t="s">
        <v>243</v>
      </c>
      <c r="G22" t="s">
        <v>2</v>
      </c>
      <c r="H22" t="s">
        <v>30</v>
      </c>
      <c r="I22" t="s">
        <v>242</v>
      </c>
      <c r="J22" t="s">
        <v>241</v>
      </c>
      <c r="K22" t="s">
        <v>29</v>
      </c>
      <c r="AV22" t="s">
        <v>240</v>
      </c>
      <c r="AW22">
        <v>200</v>
      </c>
      <c r="AX22" t="s">
        <v>29</v>
      </c>
      <c r="AY22">
        <v>1</v>
      </c>
      <c r="AZ22" t="s">
        <v>279</v>
      </c>
      <c r="BA22">
        <v>2014</v>
      </c>
      <c r="BB22">
        <v>2015</v>
      </c>
      <c r="BC22" t="s">
        <v>29</v>
      </c>
      <c r="BD22" t="s">
        <v>19</v>
      </c>
      <c r="BE22" t="s">
        <v>1489</v>
      </c>
      <c r="BF22" t="s">
        <v>1456</v>
      </c>
      <c r="BG22" s="3" t="s">
        <v>1233</v>
      </c>
      <c r="BH22" t="s">
        <v>23</v>
      </c>
      <c r="BI22" t="s">
        <v>29</v>
      </c>
      <c r="BJ22" s="4" t="s">
        <v>22</v>
      </c>
      <c r="BK22" s="9">
        <v>44000</v>
      </c>
      <c r="HL22" t="s">
        <v>298</v>
      </c>
      <c r="HM22" t="s">
        <v>297</v>
      </c>
      <c r="HN22" t="s">
        <v>296</v>
      </c>
      <c r="HP22" t="s">
        <v>29</v>
      </c>
      <c r="HQ22">
        <v>1</v>
      </c>
      <c r="HR22" t="s">
        <v>231</v>
      </c>
      <c r="HT22" s="4" t="s">
        <v>20</v>
      </c>
      <c r="HU22" t="s">
        <v>29</v>
      </c>
      <c r="HV22" t="s">
        <v>29</v>
      </c>
      <c r="II22" t="s">
        <v>255</v>
      </c>
      <c r="IJ22" s="54" t="s">
        <v>19</v>
      </c>
      <c r="IK22" s="46"/>
      <c r="IL22" s="46"/>
      <c r="IP22" t="s">
        <v>255</v>
      </c>
      <c r="IQ22" s="54" t="s">
        <v>19</v>
      </c>
      <c r="JK22" t="s">
        <v>228</v>
      </c>
      <c r="JL22" s="54" t="s">
        <v>1552</v>
      </c>
      <c r="JM22" s="8" t="s">
        <v>14</v>
      </c>
      <c r="JN22" s="8" t="s">
        <v>730</v>
      </c>
      <c r="JO22" s="4" t="s">
        <v>13</v>
      </c>
      <c r="JP22" t="s">
        <v>731</v>
      </c>
      <c r="JW22" s="4" t="s">
        <v>227</v>
      </c>
      <c r="JX22" s="4" t="s">
        <v>226</v>
      </c>
      <c r="JY22" s="4" t="s">
        <v>13</v>
      </c>
      <c r="JZ22" s="4">
        <v>5000</v>
      </c>
      <c r="KA22" s="4" t="s">
        <v>225</v>
      </c>
      <c r="KB22" s="4">
        <v>0.74</v>
      </c>
      <c r="KC22">
        <v>0.12</v>
      </c>
      <c r="KD22">
        <v>0.69</v>
      </c>
      <c r="KE22" s="4" t="s">
        <v>224</v>
      </c>
      <c r="KF22" s="4" t="s">
        <v>295</v>
      </c>
      <c r="KG22" s="13" t="s">
        <v>12</v>
      </c>
      <c r="KH22" s="13" t="s">
        <v>29</v>
      </c>
      <c r="KI22" t="s">
        <v>29</v>
      </c>
      <c r="KJ22" t="s">
        <v>294</v>
      </c>
      <c r="KK22" s="13" t="s">
        <v>12</v>
      </c>
      <c r="KM22" s="4"/>
      <c r="KO22" s="7"/>
      <c r="KP22" s="7"/>
      <c r="KQ22" s="7"/>
      <c r="KR22" s="13"/>
      <c r="KS22" s="7" t="s">
        <v>722</v>
      </c>
      <c r="KT22" s="7"/>
      <c r="KU22" s="7"/>
      <c r="KV22" s="13"/>
      <c r="KX22" s="13" t="s">
        <v>1117</v>
      </c>
      <c r="LC22" s="13"/>
      <c r="LD22" s="4"/>
      <c r="LE22" s="13"/>
      <c r="LF22" s="13"/>
      <c r="LG22" s="13"/>
      <c r="LH22" s="13"/>
      <c r="LI22" s="13"/>
      <c r="LJ22" s="4"/>
      <c r="LK22" s="4"/>
      <c r="LL22" s="4"/>
      <c r="LM22" s="4"/>
      <c r="LN22" s="4"/>
      <c r="NC22" s="4"/>
      <c r="ND22" s="4"/>
      <c r="NJ22" t="s">
        <v>1504</v>
      </c>
      <c r="NK22" t="s">
        <v>1503</v>
      </c>
      <c r="NL22" t="s">
        <v>1501</v>
      </c>
      <c r="NM22" s="4" t="s">
        <v>671</v>
      </c>
      <c r="NN22" s="6" t="s">
        <v>1502</v>
      </c>
      <c r="NV22" t="s">
        <v>1512</v>
      </c>
      <c r="NW22" t="s">
        <v>6</v>
      </c>
      <c r="NX22">
        <v>109.95</v>
      </c>
      <c r="NY22" t="s">
        <v>29</v>
      </c>
      <c r="NZ22" t="s">
        <v>29</v>
      </c>
      <c r="OC22">
        <v>8</v>
      </c>
      <c r="OT22" t="s">
        <v>312</v>
      </c>
      <c r="OU22" t="s">
        <v>6</v>
      </c>
      <c r="OW22">
        <v>2012</v>
      </c>
      <c r="OX22">
        <v>2015</v>
      </c>
      <c r="PA22" s="3" t="s">
        <v>1169</v>
      </c>
      <c r="PB22" s="83">
        <v>46105</v>
      </c>
      <c r="PC22" s="83"/>
    </row>
    <row r="23" spans="1:419" ht="15.75" thickBot="1">
      <c r="A23" t="s">
        <v>248</v>
      </c>
      <c r="B23" t="s">
        <v>247</v>
      </c>
      <c r="C23" t="s">
        <v>246</v>
      </c>
      <c r="D23" s="4" t="s">
        <v>245</v>
      </c>
      <c r="E23" t="s">
        <v>244</v>
      </c>
      <c r="F23" s="4" t="s">
        <v>243</v>
      </c>
      <c r="G23" t="s">
        <v>2</v>
      </c>
      <c r="H23" t="s">
        <v>30</v>
      </c>
      <c r="I23" t="s">
        <v>242</v>
      </c>
      <c r="J23" t="s">
        <v>241</v>
      </c>
      <c r="K23" t="s">
        <v>29</v>
      </c>
      <c r="AV23" t="s">
        <v>240</v>
      </c>
      <c r="AW23">
        <v>200</v>
      </c>
      <c r="AX23" t="s">
        <v>29</v>
      </c>
      <c r="AY23">
        <v>1</v>
      </c>
      <c r="AZ23" t="s">
        <v>279</v>
      </c>
      <c r="BA23">
        <v>2014</v>
      </c>
      <c r="BB23">
        <v>2015</v>
      </c>
      <c r="BC23" t="s">
        <v>29</v>
      </c>
      <c r="BD23" t="s">
        <v>19</v>
      </c>
      <c r="BE23" t="s">
        <v>1490</v>
      </c>
      <c r="BF23" t="s">
        <v>1458</v>
      </c>
      <c r="BG23" s="3" t="s">
        <v>1233</v>
      </c>
      <c r="BH23" t="s">
        <v>23</v>
      </c>
      <c r="BI23" t="s">
        <v>29</v>
      </c>
      <c r="BJ23" s="4" t="s">
        <v>22</v>
      </c>
      <c r="BK23" s="9">
        <v>44000</v>
      </c>
      <c r="HL23" t="s">
        <v>233</v>
      </c>
      <c r="HM23" t="s">
        <v>232</v>
      </c>
      <c r="HR23" t="s">
        <v>231</v>
      </c>
      <c r="HT23" s="4" t="s">
        <v>20</v>
      </c>
      <c r="HU23" t="s">
        <v>29</v>
      </c>
      <c r="HV23" t="s">
        <v>29</v>
      </c>
      <c r="II23" t="s">
        <v>255</v>
      </c>
      <c r="IJ23" s="54" t="s">
        <v>19</v>
      </c>
      <c r="IK23" s="46"/>
      <c r="IL23" s="46"/>
      <c r="IP23" s="15" t="s">
        <v>255</v>
      </c>
      <c r="IQ23" s="54" t="s">
        <v>19</v>
      </c>
      <c r="JK23" t="s">
        <v>1509</v>
      </c>
      <c r="JL23" s="54" t="s">
        <v>1552</v>
      </c>
      <c r="JM23" s="8" t="s">
        <v>14</v>
      </c>
      <c r="JN23" s="8" t="s">
        <v>1508</v>
      </c>
      <c r="JO23" s="4" t="s">
        <v>13</v>
      </c>
      <c r="JP23">
        <v>200</v>
      </c>
      <c r="JW23" s="4" t="s">
        <v>227</v>
      </c>
      <c r="JX23" s="4" t="s">
        <v>226</v>
      </c>
      <c r="JY23" s="4" t="s">
        <v>13</v>
      </c>
      <c r="JZ23" s="4">
        <v>5000</v>
      </c>
      <c r="KA23" s="4" t="s">
        <v>225</v>
      </c>
      <c r="KB23" s="4">
        <v>0.74</v>
      </c>
      <c r="KC23">
        <v>0.12</v>
      </c>
      <c r="KD23">
        <v>0.69</v>
      </c>
      <c r="KE23" s="4" t="s">
        <v>224</v>
      </c>
      <c r="KF23" t="s">
        <v>223</v>
      </c>
      <c r="KG23" s="13" t="s">
        <v>12</v>
      </c>
      <c r="KH23" s="13" t="s">
        <v>29</v>
      </c>
      <c r="KI23" t="s">
        <v>29</v>
      </c>
      <c r="KJ23" t="s">
        <v>223</v>
      </c>
      <c r="KK23" t="s">
        <v>222</v>
      </c>
      <c r="KL23" t="s">
        <v>221</v>
      </c>
      <c r="KM23" s="4" t="s">
        <v>220</v>
      </c>
      <c r="KN23">
        <v>2.5</v>
      </c>
      <c r="KO23" s="7"/>
      <c r="KP23" s="7"/>
      <c r="KQ23" s="7"/>
      <c r="KR23" s="13"/>
      <c r="KS23" s="7" t="s">
        <v>722</v>
      </c>
      <c r="KT23" s="7"/>
      <c r="KU23" s="7"/>
      <c r="KV23" s="13"/>
      <c r="KW23" t="s">
        <v>217</v>
      </c>
      <c r="KX23" t="s">
        <v>216</v>
      </c>
      <c r="LC23" s="4" t="s">
        <v>29</v>
      </c>
      <c r="LD23" s="4"/>
      <c r="LE23" s="4" t="s">
        <v>29</v>
      </c>
      <c r="LF23" s="4"/>
      <c r="LG23" s="4" t="s">
        <v>29</v>
      </c>
      <c r="LH23" s="4"/>
      <c r="LI23" s="4" t="s">
        <v>29</v>
      </c>
      <c r="LJ23" s="4"/>
      <c r="LK23" t="s">
        <v>215</v>
      </c>
      <c r="LL23" s="4" t="s">
        <v>29</v>
      </c>
      <c r="LM23" s="4" t="s">
        <v>29</v>
      </c>
      <c r="LN23" s="4" t="s">
        <v>13</v>
      </c>
      <c r="LO23">
        <v>2500</v>
      </c>
      <c r="NC23" s="4"/>
      <c r="ND23" s="4"/>
      <c r="NJ23" t="s">
        <v>1505</v>
      </c>
      <c r="NK23" t="s">
        <v>1503</v>
      </c>
      <c r="NL23" t="s">
        <v>1501</v>
      </c>
      <c r="NM23" s="4" t="s">
        <v>671</v>
      </c>
      <c r="NN23" s="6" t="s">
        <v>1502</v>
      </c>
      <c r="NV23" t="s">
        <v>1513</v>
      </c>
      <c r="NW23" t="s">
        <v>6</v>
      </c>
      <c r="NX23">
        <v>102.9</v>
      </c>
      <c r="NY23" t="s">
        <v>29</v>
      </c>
      <c r="NZ23" t="s">
        <v>29</v>
      </c>
      <c r="OC23">
        <v>8</v>
      </c>
      <c r="OT23" t="s">
        <v>312</v>
      </c>
      <c r="OU23" t="s">
        <v>6</v>
      </c>
      <c r="OW23">
        <v>2012</v>
      </c>
      <c r="OX23">
        <v>2015</v>
      </c>
      <c r="PA23" s="3" t="s">
        <v>1169</v>
      </c>
      <c r="PB23" s="83">
        <v>46105</v>
      </c>
      <c r="PC23" s="83"/>
    </row>
    <row r="24" spans="1:419" ht="15.75" thickBot="1">
      <c r="A24" t="s">
        <v>248</v>
      </c>
      <c r="B24" t="s">
        <v>247</v>
      </c>
      <c r="C24" t="s">
        <v>246</v>
      </c>
      <c r="D24" s="4" t="s">
        <v>245</v>
      </c>
      <c r="E24" t="s">
        <v>244</v>
      </c>
      <c r="F24" s="4" t="s">
        <v>243</v>
      </c>
      <c r="G24" t="s">
        <v>2</v>
      </c>
      <c r="H24" t="s">
        <v>30</v>
      </c>
      <c r="I24" t="s">
        <v>242</v>
      </c>
      <c r="J24" t="s">
        <v>241</v>
      </c>
      <c r="K24" t="s">
        <v>29</v>
      </c>
      <c r="AV24" t="s">
        <v>240</v>
      </c>
      <c r="AW24">
        <v>200</v>
      </c>
      <c r="AX24" t="s">
        <v>29</v>
      </c>
      <c r="AY24">
        <v>1</v>
      </c>
      <c r="AZ24" t="s">
        <v>279</v>
      </c>
      <c r="BA24">
        <v>2014</v>
      </c>
      <c r="BB24">
        <v>2015</v>
      </c>
      <c r="BC24" t="s">
        <v>29</v>
      </c>
      <c r="BD24" t="s">
        <v>238</v>
      </c>
      <c r="BE24" t="s">
        <v>1491</v>
      </c>
      <c r="BF24" t="s">
        <v>1497</v>
      </c>
      <c r="BG24" s="3" t="s">
        <v>1233</v>
      </c>
      <c r="BH24" t="s">
        <v>23</v>
      </c>
      <c r="BI24" t="s">
        <v>29</v>
      </c>
      <c r="BJ24" s="4" t="s">
        <v>22</v>
      </c>
      <c r="BK24" s="9">
        <v>44000</v>
      </c>
      <c r="BL24" t="s">
        <v>56</v>
      </c>
      <c r="BM24" t="s">
        <v>250</v>
      </c>
      <c r="BN24" t="s">
        <v>29</v>
      </c>
      <c r="BO24" s="4" t="s">
        <v>22</v>
      </c>
      <c r="BP24" s="9">
        <v>44444</v>
      </c>
      <c r="HL24" t="s">
        <v>233</v>
      </c>
      <c r="HM24" t="s">
        <v>232</v>
      </c>
      <c r="HR24" t="s">
        <v>231</v>
      </c>
      <c r="HT24" s="4" t="s">
        <v>736</v>
      </c>
      <c r="HU24" t="s">
        <v>29</v>
      </c>
      <c r="HV24" t="s">
        <v>29</v>
      </c>
      <c r="II24" t="s">
        <v>251</v>
      </c>
      <c r="IJ24" s="12" t="s">
        <v>229</v>
      </c>
      <c r="IK24" s="45" t="s">
        <v>660</v>
      </c>
      <c r="IL24" s="45" t="s">
        <v>661</v>
      </c>
      <c r="IM24">
        <v>2012</v>
      </c>
      <c r="IN24" t="s">
        <v>29</v>
      </c>
      <c r="IO24" s="4" t="s">
        <v>18</v>
      </c>
      <c r="JK24" t="s">
        <v>1509</v>
      </c>
      <c r="JL24" s="54" t="s">
        <v>1552</v>
      </c>
      <c r="JM24" s="8" t="s">
        <v>14</v>
      </c>
      <c r="JN24" s="8" t="s">
        <v>1508</v>
      </c>
      <c r="JO24" s="4" t="s">
        <v>13</v>
      </c>
      <c r="JP24">
        <v>200</v>
      </c>
      <c r="JW24" s="4" t="s">
        <v>227</v>
      </c>
      <c r="JX24" s="4" t="s">
        <v>226</v>
      </c>
      <c r="JY24" s="4" t="s">
        <v>13</v>
      </c>
      <c r="JZ24" s="4">
        <v>5000</v>
      </c>
      <c r="KA24" s="4" t="s">
        <v>225</v>
      </c>
      <c r="KB24" s="4">
        <v>0.74</v>
      </c>
      <c r="KC24">
        <v>0.12</v>
      </c>
      <c r="KD24">
        <v>0.69</v>
      </c>
      <c r="KE24" s="4" t="s">
        <v>224</v>
      </c>
      <c r="KF24" t="s">
        <v>223</v>
      </c>
      <c r="KG24" s="13" t="s">
        <v>12</v>
      </c>
      <c r="KH24" s="13" t="s">
        <v>29</v>
      </c>
      <c r="KI24" t="s">
        <v>29</v>
      </c>
      <c r="KJ24" t="s">
        <v>223</v>
      </c>
      <c r="KK24" t="s">
        <v>222</v>
      </c>
      <c r="KL24" t="s">
        <v>221</v>
      </c>
      <c r="KM24" s="4" t="s">
        <v>220</v>
      </c>
      <c r="KN24">
        <v>2.5</v>
      </c>
      <c r="KO24" s="7"/>
      <c r="KP24" s="7"/>
      <c r="KQ24" s="7"/>
      <c r="KR24" s="13"/>
      <c r="KS24" s="7" t="s">
        <v>219</v>
      </c>
      <c r="KT24" s="7" t="s">
        <v>218</v>
      </c>
      <c r="KU24" s="7"/>
      <c r="KV24" t="s">
        <v>29</v>
      </c>
      <c r="KW24" t="s">
        <v>217</v>
      </c>
      <c r="KX24" t="s">
        <v>216</v>
      </c>
      <c r="LC24" s="4" t="s">
        <v>29</v>
      </c>
      <c r="LD24" s="4"/>
      <c r="LE24" s="4" t="s">
        <v>29</v>
      </c>
      <c r="LF24" s="4"/>
      <c r="LG24" s="4" t="s">
        <v>29</v>
      </c>
      <c r="LH24" s="4"/>
      <c r="LI24" s="4" t="s">
        <v>29</v>
      </c>
      <c r="LJ24" s="4"/>
      <c r="LK24" t="s">
        <v>215</v>
      </c>
      <c r="LL24" s="4" t="s">
        <v>29</v>
      </c>
      <c r="LM24" s="4" t="s">
        <v>29</v>
      </c>
      <c r="LN24" s="4" t="s">
        <v>13</v>
      </c>
      <c r="LO24">
        <v>2500</v>
      </c>
      <c r="NC24" s="4"/>
      <c r="ND24" s="4"/>
      <c r="NJ24" t="s">
        <v>1506</v>
      </c>
      <c r="NK24" t="s">
        <v>1503</v>
      </c>
      <c r="NL24" t="s">
        <v>1501</v>
      </c>
      <c r="NM24" s="4" t="s">
        <v>671</v>
      </c>
      <c r="NN24" s="6" t="s">
        <v>1502</v>
      </c>
      <c r="NW24" t="s">
        <v>6</v>
      </c>
      <c r="NX24">
        <v>113.76</v>
      </c>
      <c r="NY24" t="s">
        <v>29</v>
      </c>
      <c r="NZ24" t="s">
        <v>29</v>
      </c>
      <c r="OC24">
        <v>8</v>
      </c>
      <c r="OT24" t="s">
        <v>312</v>
      </c>
      <c r="OU24" t="s">
        <v>6</v>
      </c>
      <c r="OW24">
        <v>2012</v>
      </c>
      <c r="OX24">
        <v>2015</v>
      </c>
      <c r="PA24" s="3" t="s">
        <v>1169</v>
      </c>
      <c r="PB24" s="83">
        <v>46105</v>
      </c>
      <c r="PC24" s="83"/>
    </row>
    <row r="25" spans="1:419" ht="15.75" thickBot="1">
      <c r="A25" t="s">
        <v>248</v>
      </c>
      <c r="B25" t="s">
        <v>247</v>
      </c>
      <c r="C25" t="s">
        <v>246</v>
      </c>
      <c r="D25" s="4" t="s">
        <v>245</v>
      </c>
      <c r="E25" t="s">
        <v>244</v>
      </c>
      <c r="F25" s="4" t="s">
        <v>243</v>
      </c>
      <c r="G25" t="s">
        <v>2</v>
      </c>
      <c r="H25" t="s">
        <v>30</v>
      </c>
      <c r="I25" t="s">
        <v>242</v>
      </c>
      <c r="J25" t="s">
        <v>241</v>
      </c>
      <c r="K25" t="s">
        <v>29</v>
      </c>
      <c r="AV25" t="s">
        <v>240</v>
      </c>
      <c r="AW25">
        <v>200</v>
      </c>
      <c r="AX25" t="s">
        <v>29</v>
      </c>
      <c r="AY25">
        <v>1</v>
      </c>
      <c r="AZ25" t="s">
        <v>279</v>
      </c>
      <c r="BA25">
        <v>2014</v>
      </c>
      <c r="BB25">
        <v>2015</v>
      </c>
      <c r="BC25" t="s">
        <v>29</v>
      </c>
      <c r="BD25" t="s">
        <v>238</v>
      </c>
      <c r="BE25" t="s">
        <v>1492</v>
      </c>
      <c r="BF25" t="s">
        <v>1498</v>
      </c>
      <c r="BG25" s="3" t="s">
        <v>1233</v>
      </c>
      <c r="BH25" t="s">
        <v>23</v>
      </c>
      <c r="BI25" t="s">
        <v>29</v>
      </c>
      <c r="BJ25" s="4" t="s">
        <v>22</v>
      </c>
      <c r="BK25" s="9">
        <v>44000</v>
      </c>
      <c r="BL25" t="s">
        <v>56</v>
      </c>
      <c r="BM25" t="s">
        <v>235</v>
      </c>
      <c r="BN25" t="s">
        <v>29</v>
      </c>
      <c r="BO25" s="4" t="s">
        <v>22</v>
      </c>
      <c r="BP25" s="9">
        <v>44444</v>
      </c>
      <c r="HL25" t="s">
        <v>233</v>
      </c>
      <c r="HM25" t="s">
        <v>232</v>
      </c>
      <c r="HR25" t="s">
        <v>231</v>
      </c>
      <c r="HT25" s="4" t="s">
        <v>736</v>
      </c>
      <c r="HU25" t="s">
        <v>29</v>
      </c>
      <c r="HV25" t="s">
        <v>29</v>
      </c>
      <c r="II25" t="s">
        <v>230</v>
      </c>
      <c r="IJ25" s="12" t="s">
        <v>229</v>
      </c>
      <c r="IK25" s="45" t="s">
        <v>660</v>
      </c>
      <c r="IL25" s="45" t="s">
        <v>661</v>
      </c>
      <c r="IM25">
        <v>2012</v>
      </c>
      <c r="IN25" t="s">
        <v>29</v>
      </c>
      <c r="IO25" s="4" t="s">
        <v>18</v>
      </c>
      <c r="JK25" t="s">
        <v>1509</v>
      </c>
      <c r="JL25" s="54" t="s">
        <v>1552</v>
      </c>
      <c r="JM25" s="8" t="s">
        <v>14</v>
      </c>
      <c r="JN25" s="8" t="s">
        <v>1508</v>
      </c>
      <c r="JO25" s="4" t="s">
        <v>13</v>
      </c>
      <c r="JP25">
        <v>200</v>
      </c>
      <c r="JW25" s="4" t="s">
        <v>227</v>
      </c>
      <c r="JX25" s="4" t="s">
        <v>226</v>
      </c>
      <c r="JY25" s="4" t="s">
        <v>13</v>
      </c>
      <c r="JZ25" s="4">
        <v>5000</v>
      </c>
      <c r="KA25" s="4" t="s">
        <v>225</v>
      </c>
      <c r="KB25" s="4">
        <v>0.74</v>
      </c>
      <c r="KC25">
        <v>0.12</v>
      </c>
      <c r="KD25">
        <v>0.69</v>
      </c>
      <c r="KE25" s="4" t="s">
        <v>224</v>
      </c>
      <c r="KF25" t="s">
        <v>223</v>
      </c>
      <c r="KG25" s="13" t="s">
        <v>12</v>
      </c>
      <c r="KH25" s="13" t="s">
        <v>29</v>
      </c>
      <c r="KI25" t="s">
        <v>29</v>
      </c>
      <c r="KJ25" t="s">
        <v>223</v>
      </c>
      <c r="KK25" t="s">
        <v>222</v>
      </c>
      <c r="KL25" t="s">
        <v>221</v>
      </c>
      <c r="KM25" s="4" t="s">
        <v>220</v>
      </c>
      <c r="KN25">
        <v>2.5</v>
      </c>
      <c r="KO25" s="7"/>
      <c r="KP25" s="7"/>
      <c r="KQ25" s="7"/>
      <c r="KR25" s="13"/>
      <c r="KS25" s="7" t="s">
        <v>219</v>
      </c>
      <c r="KT25" s="7" t="s">
        <v>218</v>
      </c>
      <c r="KU25" s="7"/>
      <c r="KV25" t="s">
        <v>29</v>
      </c>
      <c r="KW25" t="s">
        <v>217</v>
      </c>
      <c r="KX25" t="s">
        <v>216</v>
      </c>
      <c r="LC25" s="4" t="s">
        <v>29</v>
      </c>
      <c r="LD25" s="4"/>
      <c r="LE25" s="4" t="s">
        <v>29</v>
      </c>
      <c r="LF25" s="4"/>
      <c r="LG25" s="4" t="s">
        <v>29</v>
      </c>
      <c r="LH25" s="4"/>
      <c r="LI25" s="4" t="s">
        <v>29</v>
      </c>
      <c r="LJ25" s="4"/>
      <c r="LK25" t="s">
        <v>215</v>
      </c>
      <c r="LL25" s="4" t="s">
        <v>29</v>
      </c>
      <c r="LM25" s="4" t="s">
        <v>29</v>
      </c>
      <c r="LN25" s="4" t="s">
        <v>13</v>
      </c>
      <c r="LO25">
        <v>2500</v>
      </c>
      <c r="NC25" s="4"/>
      <c r="ND25" s="4"/>
      <c r="NJ25" t="s">
        <v>1506</v>
      </c>
      <c r="NK25" t="s">
        <v>1503</v>
      </c>
      <c r="NL25" t="s">
        <v>1501</v>
      </c>
      <c r="NM25" s="4" t="s">
        <v>671</v>
      </c>
      <c r="NN25" s="6" t="s">
        <v>1502</v>
      </c>
      <c r="NW25" t="s">
        <v>6</v>
      </c>
      <c r="NX25">
        <v>118.62</v>
      </c>
      <c r="NY25" t="s">
        <v>29</v>
      </c>
      <c r="NZ25" t="s">
        <v>29</v>
      </c>
      <c r="OC25">
        <v>8</v>
      </c>
      <c r="OT25" t="s">
        <v>312</v>
      </c>
      <c r="OU25" t="s">
        <v>6</v>
      </c>
      <c r="OW25">
        <v>2012</v>
      </c>
      <c r="OX25">
        <v>2015</v>
      </c>
      <c r="PA25" s="3" t="s">
        <v>1169</v>
      </c>
      <c r="PB25" s="83">
        <v>46105</v>
      </c>
      <c r="PC25" s="83"/>
    </row>
    <row r="26" spans="1:419" ht="15.75" thickBot="1">
      <c r="A26" t="s">
        <v>248</v>
      </c>
      <c r="B26" t="s">
        <v>247</v>
      </c>
      <c r="C26" t="s">
        <v>246</v>
      </c>
      <c r="D26" s="4" t="s">
        <v>245</v>
      </c>
      <c r="E26" t="s">
        <v>244</v>
      </c>
      <c r="F26" s="4" t="s">
        <v>243</v>
      </c>
      <c r="G26" t="s">
        <v>2</v>
      </c>
      <c r="H26" t="s">
        <v>30</v>
      </c>
      <c r="I26" t="s">
        <v>242</v>
      </c>
      <c r="J26" t="s">
        <v>241</v>
      </c>
      <c r="K26" t="s">
        <v>29</v>
      </c>
      <c r="AV26" t="s">
        <v>240</v>
      </c>
      <c r="AW26">
        <v>200</v>
      </c>
      <c r="AX26" t="s">
        <v>29</v>
      </c>
      <c r="AY26">
        <v>1</v>
      </c>
      <c r="AZ26" t="s">
        <v>279</v>
      </c>
      <c r="BA26">
        <v>2014</v>
      </c>
      <c r="BB26">
        <v>2015</v>
      </c>
      <c r="BC26" t="s">
        <v>29</v>
      </c>
      <c r="BD26" t="s">
        <v>274</v>
      </c>
      <c r="BE26" t="s">
        <v>1493</v>
      </c>
      <c r="BF26" t="s">
        <v>1499</v>
      </c>
      <c r="BG26" s="3" t="s">
        <v>1233</v>
      </c>
      <c r="BH26" t="s">
        <v>23</v>
      </c>
      <c r="BI26" t="s">
        <v>29</v>
      </c>
      <c r="BJ26" s="4" t="s">
        <v>22</v>
      </c>
      <c r="BK26" s="9">
        <v>44000</v>
      </c>
      <c r="BL26" t="s">
        <v>275</v>
      </c>
      <c r="BM26" t="s">
        <v>271</v>
      </c>
      <c r="BN26" t="s">
        <v>29</v>
      </c>
      <c r="BO26" s="4" t="s">
        <v>22</v>
      </c>
      <c r="BP26" s="9">
        <v>444444</v>
      </c>
      <c r="BT26" s="4"/>
      <c r="BU26" s="9"/>
      <c r="HL26" t="s">
        <v>233</v>
      </c>
      <c r="HM26" t="s">
        <v>232</v>
      </c>
      <c r="HR26" t="s">
        <v>231</v>
      </c>
      <c r="HT26" s="4" t="s">
        <v>20</v>
      </c>
      <c r="HU26" t="s">
        <v>29</v>
      </c>
      <c r="HV26" t="s">
        <v>29</v>
      </c>
      <c r="IP26" t="s">
        <v>274</v>
      </c>
      <c r="IQ26" t="s">
        <v>283</v>
      </c>
      <c r="IT26" t="s">
        <v>29</v>
      </c>
      <c r="IU26" t="s">
        <v>29</v>
      </c>
      <c r="IV26" s="4" t="s">
        <v>18</v>
      </c>
      <c r="JK26" t="s">
        <v>1509</v>
      </c>
      <c r="JL26" s="54" t="s">
        <v>1552</v>
      </c>
      <c r="JM26" s="8" t="s">
        <v>14</v>
      </c>
      <c r="JN26" s="8" t="s">
        <v>1508</v>
      </c>
      <c r="JO26" s="4" t="s">
        <v>13</v>
      </c>
      <c r="JP26">
        <v>200</v>
      </c>
      <c r="JW26" s="4" t="s">
        <v>227</v>
      </c>
      <c r="JX26" s="4" t="s">
        <v>226</v>
      </c>
      <c r="JY26" s="4" t="s">
        <v>13</v>
      </c>
      <c r="JZ26" s="4">
        <v>5000</v>
      </c>
      <c r="KA26" s="4" t="s">
        <v>225</v>
      </c>
      <c r="KB26" s="4">
        <v>0.74</v>
      </c>
      <c r="KC26">
        <v>0.12</v>
      </c>
      <c r="KD26">
        <v>0.69</v>
      </c>
      <c r="KE26" s="4" t="s">
        <v>224</v>
      </c>
      <c r="KF26" t="s">
        <v>223</v>
      </c>
      <c r="KG26" s="13" t="s">
        <v>12</v>
      </c>
      <c r="KH26" s="13" t="s">
        <v>29</v>
      </c>
      <c r="KI26" t="s">
        <v>29</v>
      </c>
      <c r="KJ26" t="s">
        <v>223</v>
      </c>
      <c r="KK26" t="s">
        <v>222</v>
      </c>
      <c r="KL26" t="s">
        <v>221</v>
      </c>
      <c r="KM26" s="4" t="s">
        <v>220</v>
      </c>
      <c r="KN26">
        <v>2.5</v>
      </c>
      <c r="KO26" s="7"/>
      <c r="KP26" s="7" t="s">
        <v>51</v>
      </c>
      <c r="KQ26" s="7"/>
      <c r="KR26" s="7" t="s">
        <v>29</v>
      </c>
      <c r="KS26" s="7" t="s">
        <v>722</v>
      </c>
      <c r="KT26" s="7"/>
      <c r="KU26" s="7"/>
      <c r="KV26" s="13"/>
      <c r="KW26" t="s">
        <v>217</v>
      </c>
      <c r="KX26" t="s">
        <v>216</v>
      </c>
      <c r="LC26" s="4" t="s">
        <v>29</v>
      </c>
      <c r="LD26" s="4"/>
      <c r="LE26" s="4" t="s">
        <v>29</v>
      </c>
      <c r="LF26" s="4"/>
      <c r="LG26" s="4" t="s">
        <v>29</v>
      </c>
      <c r="LH26" s="4"/>
      <c r="LI26" s="4" t="s">
        <v>29</v>
      </c>
      <c r="LJ26" s="4"/>
      <c r="LK26" t="s">
        <v>215</v>
      </c>
      <c r="LL26" s="4" t="s">
        <v>29</v>
      </c>
      <c r="LM26" s="4" t="s">
        <v>29</v>
      </c>
      <c r="LN26" s="4" t="s">
        <v>13</v>
      </c>
      <c r="LO26">
        <v>2500</v>
      </c>
      <c r="NC26" s="4"/>
      <c r="ND26" s="4"/>
      <c r="NJ26" t="s">
        <v>1505</v>
      </c>
      <c r="NK26" t="s">
        <v>1503</v>
      </c>
      <c r="NL26" t="s">
        <v>1501</v>
      </c>
      <c r="NM26" s="4" t="s">
        <v>671</v>
      </c>
      <c r="NN26" s="6" t="s">
        <v>1502</v>
      </c>
      <c r="NW26" t="s">
        <v>6</v>
      </c>
      <c r="NX26">
        <v>102.6</v>
      </c>
      <c r="NY26" t="s">
        <v>29</v>
      </c>
      <c r="NZ26" t="s">
        <v>29</v>
      </c>
      <c r="OC26">
        <v>8</v>
      </c>
      <c r="OT26" t="s">
        <v>312</v>
      </c>
      <c r="OU26" t="s">
        <v>6</v>
      </c>
      <c r="OW26">
        <v>2012</v>
      </c>
      <c r="OX26">
        <v>2015</v>
      </c>
      <c r="PA26" s="3" t="s">
        <v>1169</v>
      </c>
      <c r="PB26" s="83">
        <v>46105</v>
      </c>
      <c r="PC26" s="83"/>
    </row>
    <row r="27" spans="1:419" ht="15.75" thickBot="1">
      <c r="A27" t="s">
        <v>248</v>
      </c>
      <c r="B27" t="s">
        <v>247</v>
      </c>
      <c r="C27" t="s">
        <v>246</v>
      </c>
      <c r="D27" s="4" t="s">
        <v>245</v>
      </c>
      <c r="E27" t="s">
        <v>244</v>
      </c>
      <c r="F27" s="4" t="s">
        <v>243</v>
      </c>
      <c r="G27" t="s">
        <v>2</v>
      </c>
      <c r="H27" t="s">
        <v>30</v>
      </c>
      <c r="I27" t="s">
        <v>242</v>
      </c>
      <c r="J27" t="s">
        <v>241</v>
      </c>
      <c r="K27" t="s">
        <v>29</v>
      </c>
      <c r="AV27" t="s">
        <v>240</v>
      </c>
      <c r="AW27">
        <v>200</v>
      </c>
      <c r="AX27" t="s">
        <v>29</v>
      </c>
      <c r="AY27">
        <v>1</v>
      </c>
      <c r="AZ27" t="s">
        <v>279</v>
      </c>
      <c r="BA27">
        <v>2014</v>
      </c>
      <c r="BB27">
        <v>2015</v>
      </c>
      <c r="BC27" t="s">
        <v>29</v>
      </c>
      <c r="BD27" t="s">
        <v>274</v>
      </c>
      <c r="BE27" t="s">
        <v>1494</v>
      </c>
      <c r="BF27" t="s">
        <v>1500</v>
      </c>
      <c r="BG27" s="3" t="s">
        <v>1233</v>
      </c>
      <c r="BH27" t="s">
        <v>271</v>
      </c>
      <c r="BI27" t="s">
        <v>29</v>
      </c>
      <c r="BJ27" s="4" t="s">
        <v>22</v>
      </c>
      <c r="BK27" s="9">
        <v>44000</v>
      </c>
      <c r="BL27" t="s">
        <v>275</v>
      </c>
      <c r="BM27" t="s">
        <v>23</v>
      </c>
      <c r="BN27" t="s">
        <v>29</v>
      </c>
      <c r="BO27" s="4" t="s">
        <v>22</v>
      </c>
      <c r="BP27" s="9">
        <v>444444</v>
      </c>
      <c r="BT27" s="4"/>
      <c r="BU27" s="9"/>
      <c r="HL27" t="s">
        <v>233</v>
      </c>
      <c r="HM27" t="s">
        <v>232</v>
      </c>
      <c r="HR27" t="s">
        <v>231</v>
      </c>
      <c r="HT27" s="4" t="s">
        <v>20</v>
      </c>
      <c r="HU27" t="s">
        <v>29</v>
      </c>
      <c r="HV27" t="s">
        <v>29</v>
      </c>
      <c r="IP27" t="s">
        <v>274</v>
      </c>
      <c r="IQ27" t="s">
        <v>283</v>
      </c>
      <c r="IT27" t="s">
        <v>29</v>
      </c>
      <c r="IU27" t="s">
        <v>29</v>
      </c>
      <c r="IV27" s="4" t="s">
        <v>18</v>
      </c>
      <c r="JK27" t="s">
        <v>1509</v>
      </c>
      <c r="JL27" s="54" t="s">
        <v>1552</v>
      </c>
      <c r="JM27" s="8" t="s">
        <v>14</v>
      </c>
      <c r="JN27" s="8" t="s">
        <v>1508</v>
      </c>
      <c r="JO27" s="4" t="s">
        <v>13</v>
      </c>
      <c r="JP27">
        <v>200</v>
      </c>
      <c r="JW27" s="4" t="s">
        <v>227</v>
      </c>
      <c r="JX27" s="4" t="s">
        <v>226</v>
      </c>
      <c r="JY27" s="4" t="s">
        <v>13</v>
      </c>
      <c r="JZ27" s="4">
        <v>5000</v>
      </c>
      <c r="KA27" s="4" t="s">
        <v>225</v>
      </c>
      <c r="KB27" s="4">
        <v>0.74</v>
      </c>
      <c r="KC27">
        <v>0.12</v>
      </c>
      <c r="KD27">
        <v>0.69</v>
      </c>
      <c r="KE27" s="4" t="s">
        <v>224</v>
      </c>
      <c r="KF27" t="s">
        <v>223</v>
      </c>
      <c r="KG27" s="13" t="s">
        <v>12</v>
      </c>
      <c r="KH27" s="13" t="s">
        <v>29</v>
      </c>
      <c r="KI27" t="s">
        <v>29</v>
      </c>
      <c r="KJ27" t="s">
        <v>223</v>
      </c>
      <c r="KK27" t="s">
        <v>222</v>
      </c>
      <c r="KL27" t="s">
        <v>221</v>
      </c>
      <c r="KM27" s="4" t="s">
        <v>220</v>
      </c>
      <c r="KN27">
        <v>2.5</v>
      </c>
      <c r="KO27" s="7"/>
      <c r="KP27" s="7" t="s">
        <v>51</v>
      </c>
      <c r="KQ27" s="7"/>
      <c r="KR27" s="7" t="s">
        <v>29</v>
      </c>
      <c r="KS27" s="7" t="s">
        <v>722</v>
      </c>
      <c r="KT27" s="7"/>
      <c r="KU27" s="7"/>
      <c r="KV27" s="13"/>
      <c r="KW27" t="s">
        <v>217</v>
      </c>
      <c r="KX27" t="s">
        <v>216</v>
      </c>
      <c r="LC27" s="4" t="s">
        <v>29</v>
      </c>
      <c r="LD27" s="4"/>
      <c r="LE27" s="4" t="s">
        <v>29</v>
      </c>
      <c r="LF27" s="4"/>
      <c r="LG27" s="4" t="s">
        <v>29</v>
      </c>
      <c r="LH27" s="4"/>
      <c r="LI27" s="4" t="s">
        <v>29</v>
      </c>
      <c r="LJ27" s="4"/>
      <c r="LK27" t="s">
        <v>215</v>
      </c>
      <c r="LL27" s="4" t="s">
        <v>29</v>
      </c>
      <c r="LM27" s="4" t="s">
        <v>29</v>
      </c>
      <c r="LN27" s="4" t="s">
        <v>13</v>
      </c>
      <c r="LO27">
        <v>2500</v>
      </c>
      <c r="NC27" s="4"/>
      <c r="ND27" s="4"/>
      <c r="NJ27" t="s">
        <v>1507</v>
      </c>
      <c r="NK27" t="s">
        <v>1503</v>
      </c>
      <c r="NL27" t="s">
        <v>1501</v>
      </c>
      <c r="NM27" s="4" t="s">
        <v>671</v>
      </c>
      <c r="NN27" s="6" t="s">
        <v>1502</v>
      </c>
      <c r="NW27" t="s">
        <v>6</v>
      </c>
      <c r="NX27">
        <v>79.83</v>
      </c>
      <c r="NY27" t="s">
        <v>29</v>
      </c>
      <c r="NZ27" t="s">
        <v>29</v>
      </c>
      <c r="OC27">
        <v>8</v>
      </c>
      <c r="OT27" t="s">
        <v>312</v>
      </c>
      <c r="OU27" t="s">
        <v>6</v>
      </c>
      <c r="OW27">
        <v>2012</v>
      </c>
      <c r="OX27">
        <v>2015</v>
      </c>
      <c r="PA27" s="3" t="s">
        <v>1169</v>
      </c>
      <c r="PB27" s="83">
        <v>46105</v>
      </c>
      <c r="PC27" s="83"/>
    </row>
    <row r="28" spans="1:419" ht="15.75" thickBot="1">
      <c r="A28" t="s">
        <v>248</v>
      </c>
      <c r="B28" t="s">
        <v>247</v>
      </c>
      <c r="C28" t="s">
        <v>246</v>
      </c>
      <c r="D28" s="4" t="s">
        <v>245</v>
      </c>
      <c r="E28" t="s">
        <v>244</v>
      </c>
      <c r="F28" s="4" t="s">
        <v>243</v>
      </c>
      <c r="G28" t="s">
        <v>2</v>
      </c>
      <c r="H28" t="s">
        <v>30</v>
      </c>
      <c r="I28" t="s">
        <v>242</v>
      </c>
      <c r="J28" t="s">
        <v>241</v>
      </c>
      <c r="K28" t="s">
        <v>29</v>
      </c>
      <c r="AV28" t="s">
        <v>240</v>
      </c>
      <c r="AW28">
        <v>200</v>
      </c>
      <c r="AX28" t="s">
        <v>29</v>
      </c>
      <c r="AY28">
        <v>1</v>
      </c>
      <c r="AZ28" t="s">
        <v>279</v>
      </c>
      <c r="BA28">
        <v>2014</v>
      </c>
      <c r="BB28">
        <v>2015</v>
      </c>
      <c r="BC28" t="s">
        <v>29</v>
      </c>
      <c r="BD28" t="s">
        <v>274</v>
      </c>
      <c r="BE28" t="s">
        <v>1495</v>
      </c>
      <c r="BF28" t="s">
        <v>1510</v>
      </c>
      <c r="BG28" s="3" t="s">
        <v>1233</v>
      </c>
      <c r="BH28" t="s">
        <v>23</v>
      </c>
      <c r="BI28" t="s">
        <v>29</v>
      </c>
      <c r="BJ28" s="4" t="s">
        <v>22</v>
      </c>
      <c r="BK28" s="9">
        <v>44444</v>
      </c>
      <c r="BL28" t="s">
        <v>275</v>
      </c>
      <c r="BM28" t="s">
        <v>276</v>
      </c>
      <c r="BN28" t="s">
        <v>29</v>
      </c>
      <c r="BO28" s="4" t="s">
        <v>22</v>
      </c>
      <c r="BP28" s="9">
        <v>148000</v>
      </c>
      <c r="BT28" s="4"/>
      <c r="HL28" t="s">
        <v>233</v>
      </c>
      <c r="HM28" t="s">
        <v>232</v>
      </c>
      <c r="HR28" t="s">
        <v>231</v>
      </c>
      <c r="HT28" s="4" t="s">
        <v>20</v>
      </c>
      <c r="HU28" t="s">
        <v>29</v>
      </c>
      <c r="HV28" t="s">
        <v>29</v>
      </c>
      <c r="IP28" t="s">
        <v>274</v>
      </c>
      <c r="IQ28" t="s">
        <v>273</v>
      </c>
      <c r="IT28" t="s">
        <v>29</v>
      </c>
      <c r="IU28" t="s">
        <v>29</v>
      </c>
      <c r="IV28" s="4" t="s">
        <v>18</v>
      </c>
      <c r="JK28" t="s">
        <v>1509</v>
      </c>
      <c r="JL28" s="54" t="s">
        <v>1552</v>
      </c>
      <c r="JM28" s="8" t="s">
        <v>14</v>
      </c>
      <c r="JN28" s="8" t="s">
        <v>1508</v>
      </c>
      <c r="JO28" s="4" t="s">
        <v>13</v>
      </c>
      <c r="JP28">
        <v>200</v>
      </c>
      <c r="JW28" s="4" t="s">
        <v>227</v>
      </c>
      <c r="JX28" s="4" t="s">
        <v>226</v>
      </c>
      <c r="JY28" s="4" t="s">
        <v>13</v>
      </c>
      <c r="JZ28" s="4">
        <v>5000</v>
      </c>
      <c r="KA28" s="4" t="s">
        <v>225</v>
      </c>
      <c r="KB28" s="4">
        <v>0.74</v>
      </c>
      <c r="KC28">
        <v>0.12</v>
      </c>
      <c r="KD28">
        <v>0.69</v>
      </c>
      <c r="KE28" s="4" t="s">
        <v>224</v>
      </c>
      <c r="KF28" t="s">
        <v>223</v>
      </c>
      <c r="KG28" s="13" t="s">
        <v>12</v>
      </c>
      <c r="KH28" s="13" t="s">
        <v>29</v>
      </c>
      <c r="KI28" t="s">
        <v>29</v>
      </c>
      <c r="KJ28" t="s">
        <v>223</v>
      </c>
      <c r="KK28" t="s">
        <v>222</v>
      </c>
      <c r="KL28" t="s">
        <v>221</v>
      </c>
      <c r="KM28" s="4" t="s">
        <v>220</v>
      </c>
      <c r="KN28">
        <v>2.5</v>
      </c>
      <c r="KO28" s="7"/>
      <c r="KP28" s="7"/>
      <c r="KQ28" s="7"/>
      <c r="KR28" s="7"/>
      <c r="KS28" s="7" t="s">
        <v>722</v>
      </c>
      <c r="KT28" s="7"/>
      <c r="KU28" s="7"/>
      <c r="KV28" s="13"/>
      <c r="KW28" t="s">
        <v>217</v>
      </c>
      <c r="KX28" t="s">
        <v>216</v>
      </c>
      <c r="LC28" s="4" t="s">
        <v>29</v>
      </c>
      <c r="LD28" s="4"/>
      <c r="LE28" s="4" t="s">
        <v>29</v>
      </c>
      <c r="LF28" s="4"/>
      <c r="LG28" s="4" t="s">
        <v>29</v>
      </c>
      <c r="LH28" s="4"/>
      <c r="LI28" s="4" t="s">
        <v>29</v>
      </c>
      <c r="LJ28" s="4"/>
      <c r="LK28" t="s">
        <v>215</v>
      </c>
      <c r="LL28" s="4" t="s">
        <v>29</v>
      </c>
      <c r="LM28" s="4" t="s">
        <v>29</v>
      </c>
      <c r="LN28" s="4" t="s">
        <v>13</v>
      </c>
      <c r="LO28">
        <v>2500</v>
      </c>
      <c r="NC28" s="4"/>
      <c r="ND28" s="4"/>
      <c r="NJ28" t="s">
        <v>1505</v>
      </c>
      <c r="NK28" t="s">
        <v>1503</v>
      </c>
      <c r="NL28" t="s">
        <v>1501</v>
      </c>
      <c r="NM28" s="4" t="s">
        <v>671</v>
      </c>
      <c r="NN28" s="6" t="s">
        <v>1502</v>
      </c>
      <c r="NW28" t="s">
        <v>6</v>
      </c>
      <c r="NX28">
        <v>99.48</v>
      </c>
      <c r="NY28" t="s">
        <v>29</v>
      </c>
      <c r="NZ28" t="s">
        <v>29</v>
      </c>
      <c r="OC28">
        <v>8</v>
      </c>
      <c r="OT28" t="s">
        <v>312</v>
      </c>
      <c r="OU28" t="s">
        <v>6</v>
      </c>
      <c r="OW28">
        <v>2012</v>
      </c>
      <c r="OX28">
        <v>2015</v>
      </c>
      <c r="PA28" s="3" t="s">
        <v>1169</v>
      </c>
      <c r="PB28" s="83">
        <v>46105</v>
      </c>
      <c r="PC28" s="83"/>
    </row>
    <row r="29" spans="1:419" ht="15.75" thickBot="1">
      <c r="A29" t="s">
        <v>248</v>
      </c>
      <c r="B29" t="s">
        <v>247</v>
      </c>
      <c r="C29" t="s">
        <v>246</v>
      </c>
      <c r="D29" s="4" t="s">
        <v>245</v>
      </c>
      <c r="E29" t="s">
        <v>244</v>
      </c>
      <c r="F29" s="4" t="s">
        <v>243</v>
      </c>
      <c r="G29" t="s">
        <v>2</v>
      </c>
      <c r="H29" t="s">
        <v>30</v>
      </c>
      <c r="I29" t="s">
        <v>242</v>
      </c>
      <c r="J29" t="s">
        <v>241</v>
      </c>
      <c r="K29" t="s">
        <v>29</v>
      </c>
      <c r="AV29" t="s">
        <v>240</v>
      </c>
      <c r="AW29">
        <v>200</v>
      </c>
      <c r="AX29" t="s">
        <v>29</v>
      </c>
      <c r="AY29">
        <v>1</v>
      </c>
      <c r="AZ29" t="s">
        <v>279</v>
      </c>
      <c r="BA29">
        <v>2014</v>
      </c>
      <c r="BB29">
        <v>2015</v>
      </c>
      <c r="BC29" t="s">
        <v>29</v>
      </c>
      <c r="BD29" t="s">
        <v>274</v>
      </c>
      <c r="BE29" t="s">
        <v>1496</v>
      </c>
      <c r="BF29" t="s">
        <v>1511</v>
      </c>
      <c r="BG29" s="3" t="s">
        <v>1233</v>
      </c>
      <c r="BH29" t="s">
        <v>276</v>
      </c>
      <c r="BI29" t="s">
        <v>29</v>
      </c>
      <c r="BJ29" s="4" t="s">
        <v>22</v>
      </c>
      <c r="BK29" s="9">
        <v>148000</v>
      </c>
      <c r="BL29" t="s">
        <v>275</v>
      </c>
      <c r="BM29" t="s">
        <v>23</v>
      </c>
      <c r="BN29" t="s">
        <v>29</v>
      </c>
      <c r="BO29" s="4" t="s">
        <v>22</v>
      </c>
      <c r="BP29" s="9">
        <v>44444</v>
      </c>
      <c r="BT29" s="4"/>
      <c r="HL29" t="s">
        <v>233</v>
      </c>
      <c r="HM29" t="s">
        <v>232</v>
      </c>
      <c r="HR29" t="s">
        <v>231</v>
      </c>
      <c r="HT29" s="4" t="s">
        <v>20</v>
      </c>
      <c r="HU29" t="s">
        <v>29</v>
      </c>
      <c r="HV29" t="s">
        <v>29</v>
      </c>
      <c r="IP29" t="s">
        <v>274</v>
      </c>
      <c r="IQ29" t="s">
        <v>273</v>
      </c>
      <c r="IT29" t="s">
        <v>29</v>
      </c>
      <c r="IU29" t="s">
        <v>29</v>
      </c>
      <c r="IV29" s="4" t="s">
        <v>18</v>
      </c>
      <c r="JK29" s="19"/>
      <c r="JL29" s="19"/>
      <c r="JM29" s="92"/>
      <c r="JN29" s="92"/>
      <c r="JO29" s="91"/>
      <c r="JP29" s="19"/>
      <c r="JW29" s="4" t="s">
        <v>227</v>
      </c>
      <c r="JX29" s="4" t="s">
        <v>226</v>
      </c>
      <c r="JY29" s="4" t="s">
        <v>13</v>
      </c>
      <c r="JZ29" s="4">
        <v>5000</v>
      </c>
      <c r="KA29" s="4" t="s">
        <v>225</v>
      </c>
      <c r="KB29" s="4">
        <v>0.74</v>
      </c>
      <c r="KC29">
        <v>0.12</v>
      </c>
      <c r="KD29">
        <v>0.69</v>
      </c>
      <c r="KE29" s="4" t="s">
        <v>224</v>
      </c>
      <c r="KF29" t="s">
        <v>223</v>
      </c>
      <c r="KG29" s="13" t="s">
        <v>12</v>
      </c>
      <c r="KH29" s="13" t="s">
        <v>29</v>
      </c>
      <c r="KI29" t="s">
        <v>29</v>
      </c>
      <c r="KJ29" t="s">
        <v>223</v>
      </c>
      <c r="KK29" t="s">
        <v>222</v>
      </c>
      <c r="KL29" t="s">
        <v>221</v>
      </c>
      <c r="KM29" s="4" t="s">
        <v>220</v>
      </c>
      <c r="KN29">
        <v>2.5</v>
      </c>
      <c r="KO29" s="7"/>
      <c r="KP29" s="7"/>
      <c r="KQ29" s="7"/>
      <c r="KR29" s="7"/>
      <c r="KS29" s="7" t="s">
        <v>722</v>
      </c>
      <c r="KT29" s="7"/>
      <c r="KU29" s="7"/>
      <c r="KV29" s="13"/>
      <c r="KW29" t="s">
        <v>217</v>
      </c>
      <c r="KX29" t="s">
        <v>216</v>
      </c>
      <c r="LC29" s="4" t="s">
        <v>29</v>
      </c>
      <c r="LD29" s="4"/>
      <c r="LE29" s="4" t="s">
        <v>29</v>
      </c>
      <c r="LF29" s="4"/>
      <c r="LG29" s="4" t="s">
        <v>29</v>
      </c>
      <c r="LH29" s="4"/>
      <c r="LI29" s="4" t="s">
        <v>29</v>
      </c>
      <c r="LJ29" s="4"/>
      <c r="LK29" t="s">
        <v>215</v>
      </c>
      <c r="LL29" s="4" t="s">
        <v>29</v>
      </c>
      <c r="LM29" s="4" t="s">
        <v>29</v>
      </c>
      <c r="LN29" s="4" t="s">
        <v>13</v>
      </c>
      <c r="LO29">
        <v>2500</v>
      </c>
      <c r="NC29" s="4"/>
      <c r="ND29" s="4"/>
      <c r="NJ29" t="s">
        <v>1507</v>
      </c>
      <c r="NK29" t="s">
        <v>1503</v>
      </c>
      <c r="NL29" t="s">
        <v>1501</v>
      </c>
      <c r="NM29" s="4" t="s">
        <v>671</v>
      </c>
      <c r="NN29" s="6" t="s">
        <v>1502</v>
      </c>
      <c r="NW29" t="s">
        <v>6</v>
      </c>
      <c r="NX29">
        <v>85.17</v>
      </c>
      <c r="NY29" t="s">
        <v>29</v>
      </c>
      <c r="NZ29" t="s">
        <v>29</v>
      </c>
      <c r="OC29">
        <v>8</v>
      </c>
      <c r="OT29" t="s">
        <v>312</v>
      </c>
      <c r="OU29" t="s">
        <v>6</v>
      </c>
      <c r="OW29">
        <v>2012</v>
      </c>
      <c r="OX29">
        <v>2015</v>
      </c>
      <c r="PA29" s="3" t="s">
        <v>1169</v>
      </c>
      <c r="PB29" s="83">
        <v>46105</v>
      </c>
      <c r="PC29" s="83"/>
    </row>
    <row r="30" spans="1:419" ht="15.75" thickBot="1">
      <c r="A30" t="s">
        <v>248</v>
      </c>
      <c r="B30" t="s">
        <v>247</v>
      </c>
      <c r="C30" t="s">
        <v>246</v>
      </c>
      <c r="D30" s="4" t="s">
        <v>245</v>
      </c>
      <c r="E30" t="s">
        <v>244</v>
      </c>
      <c r="F30" s="4" t="s">
        <v>243</v>
      </c>
      <c r="G30" t="s">
        <v>2</v>
      </c>
      <c r="H30" t="s">
        <v>30</v>
      </c>
      <c r="I30" t="s">
        <v>242</v>
      </c>
      <c r="J30" t="s">
        <v>241</v>
      </c>
      <c r="K30" t="s">
        <v>29</v>
      </c>
      <c r="AV30" t="s">
        <v>240</v>
      </c>
      <c r="AW30">
        <v>400</v>
      </c>
      <c r="AX30" t="s">
        <v>29</v>
      </c>
      <c r="AY30">
        <v>3</v>
      </c>
      <c r="AZ30" t="s">
        <v>259</v>
      </c>
      <c r="BA30">
        <v>2012</v>
      </c>
      <c r="BB30">
        <v>2015</v>
      </c>
      <c r="BC30" t="s">
        <v>29</v>
      </c>
      <c r="BD30" t="s">
        <v>19</v>
      </c>
      <c r="BE30" t="s">
        <v>311</v>
      </c>
      <c r="BF30" t="s">
        <v>39</v>
      </c>
      <c r="BG30" s="3" t="s">
        <v>1233</v>
      </c>
      <c r="BH30" t="s">
        <v>23</v>
      </c>
      <c r="BI30" t="s">
        <v>29</v>
      </c>
      <c r="BJ30" s="4" t="s">
        <v>22</v>
      </c>
      <c r="BK30" s="9">
        <v>44000</v>
      </c>
      <c r="HL30" t="s">
        <v>298</v>
      </c>
      <c r="HM30" t="s">
        <v>297</v>
      </c>
      <c r="HN30" t="s">
        <v>296</v>
      </c>
      <c r="HP30" t="s">
        <v>29</v>
      </c>
      <c r="HQ30">
        <v>1</v>
      </c>
      <c r="HR30" t="s">
        <v>231</v>
      </c>
      <c r="HT30" s="4" t="s">
        <v>20</v>
      </c>
      <c r="HU30" t="s">
        <v>29</v>
      </c>
      <c r="HV30" t="s">
        <v>29</v>
      </c>
      <c r="II30" t="s">
        <v>255</v>
      </c>
      <c r="IJ30" s="13" t="s">
        <v>19</v>
      </c>
      <c r="IK30" s="46"/>
      <c r="IL30" s="46"/>
      <c r="JK30" t="s">
        <v>228</v>
      </c>
      <c r="JL30" s="3" t="s">
        <v>15</v>
      </c>
      <c r="JM30" s="8" t="s">
        <v>14</v>
      </c>
      <c r="JN30" s="8" t="s">
        <v>730</v>
      </c>
      <c r="JO30" s="4" t="s">
        <v>13</v>
      </c>
      <c r="JP30" t="s">
        <v>731</v>
      </c>
      <c r="JW30" s="4"/>
      <c r="JX30" s="4"/>
      <c r="JY30" s="4"/>
      <c r="JZ30" s="4"/>
      <c r="KA30" s="4"/>
      <c r="KB30" s="4"/>
      <c r="KC30" s="4"/>
      <c r="KD30" s="4"/>
      <c r="KE30" s="4"/>
      <c r="KF30" s="4" t="s">
        <v>295</v>
      </c>
      <c r="KG30" s="13" t="s">
        <v>12</v>
      </c>
      <c r="KH30" s="13" t="s">
        <v>29</v>
      </c>
      <c r="KI30" t="s">
        <v>29</v>
      </c>
      <c r="KJ30" t="s">
        <v>294</v>
      </c>
      <c r="KK30" s="13" t="s">
        <v>12</v>
      </c>
      <c r="KM30" s="4"/>
      <c r="KO30" s="7" t="s">
        <v>720</v>
      </c>
      <c r="KP30" s="7"/>
      <c r="KQ30" s="7"/>
      <c r="KR30" s="13"/>
      <c r="KS30" s="7" t="s">
        <v>722</v>
      </c>
      <c r="KT30" s="7"/>
      <c r="KU30" s="7"/>
      <c r="KV30" s="13"/>
      <c r="KX30" s="13" t="s">
        <v>1117</v>
      </c>
      <c r="LC30" s="13"/>
      <c r="LD30" s="4"/>
      <c r="LE30" s="13"/>
      <c r="LF30" s="13"/>
      <c r="LG30" s="13"/>
      <c r="LH30" s="13"/>
      <c r="LI30" s="13"/>
      <c r="LJ30" s="4"/>
      <c r="LK30" s="4"/>
      <c r="LL30" s="4"/>
      <c r="LM30" s="4"/>
      <c r="LN30" s="4"/>
      <c r="MZ30" t="s">
        <v>214</v>
      </c>
      <c r="NA30">
        <v>30</v>
      </c>
      <c r="NB30" t="s">
        <v>1155</v>
      </c>
      <c r="NC30" t="s">
        <v>2453</v>
      </c>
      <c r="NK30" t="s">
        <v>654</v>
      </c>
      <c r="NL30" t="s">
        <v>653</v>
      </c>
      <c r="NM30" s="4" t="s">
        <v>1156</v>
      </c>
      <c r="NN30" s="6" t="s">
        <v>13</v>
      </c>
      <c r="NV30" t="s">
        <v>1151</v>
      </c>
      <c r="NW30" t="s">
        <v>6</v>
      </c>
      <c r="NX30">
        <v>3076</v>
      </c>
      <c r="NY30" t="s">
        <v>29</v>
      </c>
      <c r="NZ30" t="s">
        <v>29</v>
      </c>
      <c r="OC30">
        <v>8</v>
      </c>
      <c r="OT30" t="s">
        <v>212</v>
      </c>
      <c r="OU30" t="s">
        <v>6</v>
      </c>
      <c r="OW30" s="88">
        <v>2012</v>
      </c>
      <c r="OX30" s="88">
        <v>2015</v>
      </c>
      <c r="PA30" s="3" t="s">
        <v>1169</v>
      </c>
      <c r="PB30" s="83">
        <v>46094</v>
      </c>
      <c r="PC30" s="83"/>
    </row>
    <row r="31" spans="1:419" ht="14.45" customHeight="1" thickBot="1">
      <c r="A31" t="s">
        <v>248</v>
      </c>
      <c r="B31" t="s">
        <v>247</v>
      </c>
      <c r="C31" t="s">
        <v>246</v>
      </c>
      <c r="D31" s="4" t="s">
        <v>245</v>
      </c>
      <c r="E31" t="s">
        <v>244</v>
      </c>
      <c r="F31" s="4" t="s">
        <v>243</v>
      </c>
      <c r="G31" t="s">
        <v>2</v>
      </c>
      <c r="H31" t="s">
        <v>30</v>
      </c>
      <c r="I31" t="s">
        <v>242</v>
      </c>
      <c r="J31" t="s">
        <v>241</v>
      </c>
      <c r="K31" t="s">
        <v>29</v>
      </c>
      <c r="AV31" t="s">
        <v>240</v>
      </c>
      <c r="AW31">
        <v>400</v>
      </c>
      <c r="AX31" t="s">
        <v>29</v>
      </c>
      <c r="AY31">
        <v>3</v>
      </c>
      <c r="AZ31" t="s">
        <v>259</v>
      </c>
      <c r="BA31">
        <v>2012</v>
      </c>
      <c r="BB31">
        <v>2015</v>
      </c>
      <c r="BC31" t="s">
        <v>29</v>
      </c>
      <c r="BD31" t="s">
        <v>19</v>
      </c>
      <c r="BE31" t="s">
        <v>261</v>
      </c>
      <c r="BF31" t="s">
        <v>24</v>
      </c>
      <c r="BG31" s="3" t="s">
        <v>1233</v>
      </c>
      <c r="BH31" t="s">
        <v>23</v>
      </c>
      <c r="BI31" t="s">
        <v>29</v>
      </c>
      <c r="BJ31" s="4" t="s">
        <v>22</v>
      </c>
      <c r="BK31" s="9">
        <v>44000</v>
      </c>
      <c r="HL31" t="s">
        <v>233</v>
      </c>
      <c r="HM31" t="s">
        <v>232</v>
      </c>
      <c r="HR31" t="s">
        <v>231</v>
      </c>
      <c r="HT31" s="4" t="s">
        <v>20</v>
      </c>
      <c r="HU31" t="s">
        <v>29</v>
      </c>
      <c r="HV31" t="s">
        <v>29</v>
      </c>
      <c r="II31" t="s">
        <v>255</v>
      </c>
      <c r="IJ31" s="13" t="s">
        <v>19</v>
      </c>
      <c r="IK31" s="46"/>
      <c r="IL31" s="46"/>
      <c r="IQ31" s="13"/>
      <c r="JK31" t="s">
        <v>228</v>
      </c>
      <c r="JL31" s="3" t="s">
        <v>15</v>
      </c>
      <c r="JM31" s="8" t="s">
        <v>14</v>
      </c>
      <c r="JN31" s="8" t="s">
        <v>730</v>
      </c>
      <c r="JO31" s="4" t="s">
        <v>13</v>
      </c>
      <c r="JP31" t="s">
        <v>731</v>
      </c>
      <c r="JW31" s="4"/>
      <c r="JX31" s="4"/>
      <c r="JY31" s="4"/>
      <c r="JZ31" s="4"/>
      <c r="KA31" s="4"/>
      <c r="KB31" s="4"/>
      <c r="KC31" s="4"/>
      <c r="KD31" s="4"/>
      <c r="KE31" s="4"/>
      <c r="KF31" t="s">
        <v>223</v>
      </c>
      <c r="KG31" s="13" t="s">
        <v>12</v>
      </c>
      <c r="KH31" s="13" t="s">
        <v>29</v>
      </c>
      <c r="KI31" t="s">
        <v>29</v>
      </c>
      <c r="KJ31" t="s">
        <v>223</v>
      </c>
      <c r="KK31" t="s">
        <v>222</v>
      </c>
      <c r="KL31" t="s">
        <v>221</v>
      </c>
      <c r="KM31" s="4" t="s">
        <v>220</v>
      </c>
      <c r="KN31">
        <v>2.5</v>
      </c>
      <c r="KO31" s="7" t="s">
        <v>720</v>
      </c>
      <c r="KP31" s="7"/>
      <c r="KQ31" s="7"/>
      <c r="KR31" s="13"/>
      <c r="KS31" s="7" t="s">
        <v>722</v>
      </c>
      <c r="KT31" s="7"/>
      <c r="KU31" s="7"/>
      <c r="KV31" s="13"/>
      <c r="KW31" t="s">
        <v>217</v>
      </c>
      <c r="KX31" t="s">
        <v>216</v>
      </c>
      <c r="LC31" s="4" t="s">
        <v>29</v>
      </c>
      <c r="LD31" s="4"/>
      <c r="LE31" s="4" t="s">
        <v>29</v>
      </c>
      <c r="LF31" s="4"/>
      <c r="LG31" s="4" t="s">
        <v>29</v>
      </c>
      <c r="LH31" s="4"/>
      <c r="LI31" s="4" t="s">
        <v>29</v>
      </c>
      <c r="LJ31" s="4"/>
      <c r="LK31" t="s">
        <v>215</v>
      </c>
      <c r="LL31" s="4" t="s">
        <v>29</v>
      </c>
      <c r="LM31" s="4" t="s">
        <v>29</v>
      </c>
      <c r="LN31" s="4" t="s">
        <v>13</v>
      </c>
      <c r="LO31">
        <v>2500</v>
      </c>
      <c r="MZ31" t="s">
        <v>214</v>
      </c>
      <c r="NA31">
        <v>30</v>
      </c>
      <c r="NB31" t="s">
        <v>1155</v>
      </c>
      <c r="NC31" t="s">
        <v>2453</v>
      </c>
      <c r="NK31" t="s">
        <v>654</v>
      </c>
      <c r="NL31" t="s">
        <v>653</v>
      </c>
      <c r="NM31" s="4" t="s">
        <v>1156</v>
      </c>
      <c r="NN31" s="6" t="s">
        <v>13</v>
      </c>
      <c r="NV31" t="s">
        <v>745</v>
      </c>
      <c r="NW31" t="s">
        <v>6</v>
      </c>
      <c r="NX31">
        <v>3646</v>
      </c>
      <c r="NY31" t="s">
        <v>29</v>
      </c>
      <c r="NZ31" t="s">
        <v>29</v>
      </c>
      <c r="OC31">
        <v>8</v>
      </c>
      <c r="OT31" t="s">
        <v>212</v>
      </c>
      <c r="OU31" t="s">
        <v>6</v>
      </c>
      <c r="OW31" s="88">
        <v>2012</v>
      </c>
      <c r="OX31" s="88">
        <v>2015</v>
      </c>
      <c r="OY31" s="88"/>
      <c r="PA31" s="3" t="s">
        <v>1169</v>
      </c>
      <c r="PB31" s="83">
        <v>46094</v>
      </c>
      <c r="PC31" s="83"/>
    </row>
    <row r="32" spans="1:419" ht="15.75" thickBot="1">
      <c r="A32" t="s">
        <v>248</v>
      </c>
      <c r="B32" t="s">
        <v>247</v>
      </c>
      <c r="C32" t="s">
        <v>246</v>
      </c>
      <c r="D32" s="4" t="s">
        <v>245</v>
      </c>
      <c r="E32" t="s">
        <v>244</v>
      </c>
      <c r="F32" s="4" t="s">
        <v>243</v>
      </c>
      <c r="G32" t="s">
        <v>2</v>
      </c>
      <c r="H32" t="s">
        <v>30</v>
      </c>
      <c r="I32" t="s">
        <v>242</v>
      </c>
      <c r="J32" t="s">
        <v>241</v>
      </c>
      <c r="K32" t="s">
        <v>29</v>
      </c>
      <c r="AV32" t="s">
        <v>240</v>
      </c>
      <c r="AW32">
        <v>400</v>
      </c>
      <c r="AX32" t="s">
        <v>29</v>
      </c>
      <c r="AY32">
        <v>3</v>
      </c>
      <c r="AZ32" t="s">
        <v>259</v>
      </c>
      <c r="BA32">
        <v>2012</v>
      </c>
      <c r="BB32">
        <v>2015</v>
      </c>
      <c r="BC32" t="s">
        <v>29</v>
      </c>
      <c r="BD32" t="s">
        <v>238</v>
      </c>
      <c r="BE32" t="s">
        <v>260</v>
      </c>
      <c r="BF32" t="s">
        <v>64</v>
      </c>
      <c r="BG32" s="3" t="s">
        <v>1233</v>
      </c>
      <c r="BH32" t="s">
        <v>23</v>
      </c>
      <c r="BI32" t="s">
        <v>29</v>
      </c>
      <c r="BJ32" s="4" t="s">
        <v>22</v>
      </c>
      <c r="BK32" s="9">
        <v>44000</v>
      </c>
      <c r="BL32" t="s">
        <v>56</v>
      </c>
      <c r="BM32" t="s">
        <v>250</v>
      </c>
      <c r="BN32" t="s">
        <v>29</v>
      </c>
      <c r="BO32" s="4" t="s">
        <v>22</v>
      </c>
      <c r="BP32" s="9">
        <v>44444</v>
      </c>
      <c r="HL32" t="s">
        <v>233</v>
      </c>
      <c r="HM32" t="s">
        <v>232</v>
      </c>
      <c r="HR32" t="s">
        <v>231</v>
      </c>
      <c r="HT32" s="4" t="s">
        <v>736</v>
      </c>
      <c r="HU32" t="s">
        <v>29</v>
      </c>
      <c r="HV32" t="s">
        <v>29</v>
      </c>
      <c r="II32" t="s">
        <v>251</v>
      </c>
      <c r="IJ32" s="12" t="s">
        <v>229</v>
      </c>
      <c r="IK32" s="45" t="s">
        <v>660</v>
      </c>
      <c r="IL32" s="45" t="s">
        <v>661</v>
      </c>
      <c r="IM32">
        <v>2012</v>
      </c>
      <c r="IN32" s="88" t="s">
        <v>29</v>
      </c>
      <c r="IO32" s="4" t="s">
        <v>18</v>
      </c>
      <c r="JK32" t="s">
        <v>228</v>
      </c>
      <c r="JL32" s="3" t="s">
        <v>15</v>
      </c>
      <c r="JM32" s="8" t="s">
        <v>14</v>
      </c>
      <c r="JN32" s="8" t="s">
        <v>730</v>
      </c>
      <c r="JO32" s="4" t="s">
        <v>13</v>
      </c>
      <c r="JP32" t="s">
        <v>731</v>
      </c>
      <c r="JW32" s="4"/>
      <c r="JX32" s="4"/>
      <c r="JY32" s="4"/>
      <c r="JZ32" s="4"/>
      <c r="KA32" s="4"/>
      <c r="KB32" s="4"/>
      <c r="KC32" s="4"/>
      <c r="KD32" s="4"/>
      <c r="KE32" s="4"/>
      <c r="KF32" t="s">
        <v>223</v>
      </c>
      <c r="KG32" s="13" t="s">
        <v>12</v>
      </c>
      <c r="KH32" s="13" t="s">
        <v>29</v>
      </c>
      <c r="KI32" t="s">
        <v>29</v>
      </c>
      <c r="KJ32" t="s">
        <v>223</v>
      </c>
      <c r="KK32" t="s">
        <v>222</v>
      </c>
      <c r="KL32" t="s">
        <v>221</v>
      </c>
      <c r="KM32" s="4" t="s">
        <v>220</v>
      </c>
      <c r="KN32">
        <v>2.5</v>
      </c>
      <c r="KO32" s="7" t="s">
        <v>720</v>
      </c>
      <c r="KP32" s="7"/>
      <c r="KQ32" s="7"/>
      <c r="KR32" s="13"/>
      <c r="KS32" s="7" t="s">
        <v>219</v>
      </c>
      <c r="KT32" s="7" t="s">
        <v>218</v>
      </c>
      <c r="KU32" s="7"/>
      <c r="KV32" t="s">
        <v>29</v>
      </c>
      <c r="KW32" t="s">
        <v>217</v>
      </c>
      <c r="KX32" t="s">
        <v>216</v>
      </c>
      <c r="LC32" s="4" t="s">
        <v>29</v>
      </c>
      <c r="LD32" s="4"/>
      <c r="LE32" s="4" t="s">
        <v>29</v>
      </c>
      <c r="LF32" s="4"/>
      <c r="LG32" s="4" t="s">
        <v>29</v>
      </c>
      <c r="LH32" s="4"/>
      <c r="LI32" s="4" t="s">
        <v>29</v>
      </c>
      <c r="LJ32" s="4"/>
      <c r="LK32" t="s">
        <v>215</v>
      </c>
      <c r="LL32" s="4" t="s">
        <v>29</v>
      </c>
      <c r="LM32" s="4" t="s">
        <v>29</v>
      </c>
      <c r="LN32" s="4" t="s">
        <v>13</v>
      </c>
      <c r="LO32">
        <v>2500</v>
      </c>
      <c r="MZ32" t="s">
        <v>214</v>
      </c>
      <c r="NA32">
        <v>30</v>
      </c>
      <c r="NB32" t="s">
        <v>1154</v>
      </c>
      <c r="NC32" t="s">
        <v>2453</v>
      </c>
      <c r="NK32" t="s">
        <v>654</v>
      </c>
      <c r="NL32" t="s">
        <v>653</v>
      </c>
      <c r="NM32" s="4" t="s">
        <v>1156</v>
      </c>
      <c r="NN32" s="6" t="s">
        <v>13</v>
      </c>
      <c r="NW32" t="s">
        <v>6</v>
      </c>
      <c r="NX32">
        <v>4134</v>
      </c>
      <c r="NY32" t="s">
        <v>29</v>
      </c>
      <c r="NZ32" t="s">
        <v>29</v>
      </c>
      <c r="OC32">
        <v>8</v>
      </c>
      <c r="OT32" t="s">
        <v>212</v>
      </c>
      <c r="OU32" t="s">
        <v>6</v>
      </c>
      <c r="OW32" s="88">
        <v>2012</v>
      </c>
      <c r="OX32" s="88">
        <v>2015</v>
      </c>
      <c r="OY32" s="88"/>
      <c r="PA32" s="3" t="s">
        <v>1169</v>
      </c>
      <c r="PB32" s="83">
        <v>46094</v>
      </c>
      <c r="PC32" s="83"/>
    </row>
    <row r="33" spans="1:419" ht="15.75" thickBot="1">
      <c r="A33" t="s">
        <v>248</v>
      </c>
      <c r="B33" t="s">
        <v>247</v>
      </c>
      <c r="C33" t="s">
        <v>246</v>
      </c>
      <c r="D33" s="4" t="s">
        <v>245</v>
      </c>
      <c r="E33" t="s">
        <v>244</v>
      </c>
      <c r="F33" s="4" t="s">
        <v>243</v>
      </c>
      <c r="G33" t="s">
        <v>2</v>
      </c>
      <c r="H33" t="s">
        <v>30</v>
      </c>
      <c r="I33" t="s">
        <v>242</v>
      </c>
      <c r="J33" t="s">
        <v>241</v>
      </c>
      <c r="K33" t="s">
        <v>29</v>
      </c>
      <c r="AV33" t="s">
        <v>240</v>
      </c>
      <c r="AW33">
        <v>400</v>
      </c>
      <c r="AX33" t="s">
        <v>29</v>
      </c>
      <c r="AY33">
        <v>3</v>
      </c>
      <c r="AZ33" t="s">
        <v>259</v>
      </c>
      <c r="BA33">
        <v>2012</v>
      </c>
      <c r="BB33">
        <v>2015</v>
      </c>
      <c r="BC33" t="s">
        <v>29</v>
      </c>
      <c r="BD33" t="s">
        <v>238</v>
      </c>
      <c r="BE33" t="s">
        <v>258</v>
      </c>
      <c r="BF33" t="s">
        <v>57</v>
      </c>
      <c r="BG33" s="3" t="s">
        <v>1233</v>
      </c>
      <c r="BH33" t="s">
        <v>23</v>
      </c>
      <c r="BI33" t="s">
        <v>29</v>
      </c>
      <c r="BJ33" s="4" t="s">
        <v>22</v>
      </c>
      <c r="BK33" s="9">
        <v>44000</v>
      </c>
      <c r="BL33" t="s">
        <v>56</v>
      </c>
      <c r="BM33" t="s">
        <v>235</v>
      </c>
      <c r="BN33" t="s">
        <v>29</v>
      </c>
      <c r="BO33" s="4" t="s">
        <v>22</v>
      </c>
      <c r="BP33" s="9">
        <v>44444</v>
      </c>
      <c r="HL33" t="s">
        <v>233</v>
      </c>
      <c r="HM33" t="s">
        <v>232</v>
      </c>
      <c r="HR33" t="s">
        <v>231</v>
      </c>
      <c r="HT33" s="4" t="s">
        <v>736</v>
      </c>
      <c r="HU33" t="s">
        <v>29</v>
      </c>
      <c r="HV33" t="s">
        <v>29</v>
      </c>
      <c r="II33" t="s">
        <v>230</v>
      </c>
      <c r="IJ33" s="12" t="s">
        <v>229</v>
      </c>
      <c r="IK33" s="45" t="s">
        <v>660</v>
      </c>
      <c r="IL33" s="45" t="s">
        <v>661</v>
      </c>
      <c r="IM33">
        <v>2012</v>
      </c>
      <c r="IN33" s="88" t="s">
        <v>29</v>
      </c>
      <c r="IO33" s="4" t="s">
        <v>18</v>
      </c>
      <c r="JK33" t="s">
        <v>228</v>
      </c>
      <c r="JL33" s="3" t="s">
        <v>15</v>
      </c>
      <c r="JM33" s="8" t="s">
        <v>14</v>
      </c>
      <c r="JN33" s="8" t="s">
        <v>730</v>
      </c>
      <c r="JO33" s="4" t="s">
        <v>13</v>
      </c>
      <c r="JP33" t="s">
        <v>731</v>
      </c>
      <c r="JW33" s="4"/>
      <c r="JX33" s="4"/>
      <c r="JY33" s="4"/>
      <c r="JZ33" s="4"/>
      <c r="KA33" s="4"/>
      <c r="KB33" s="4"/>
      <c r="KC33" s="4"/>
      <c r="KD33" s="4"/>
      <c r="KE33" s="4"/>
      <c r="KF33" t="s">
        <v>223</v>
      </c>
      <c r="KG33" s="13" t="s">
        <v>12</v>
      </c>
      <c r="KH33" s="13" t="s">
        <v>29</v>
      </c>
      <c r="KI33" t="s">
        <v>29</v>
      </c>
      <c r="KJ33" t="s">
        <v>223</v>
      </c>
      <c r="KK33" t="s">
        <v>222</v>
      </c>
      <c r="KL33" t="s">
        <v>221</v>
      </c>
      <c r="KM33" s="4" t="s">
        <v>220</v>
      </c>
      <c r="KN33">
        <v>2.5</v>
      </c>
      <c r="KO33" s="7" t="s">
        <v>720</v>
      </c>
      <c r="KP33" s="7"/>
      <c r="KQ33" s="7"/>
      <c r="KR33" s="13"/>
      <c r="KS33" s="7" t="s">
        <v>219</v>
      </c>
      <c r="KT33" s="7" t="s">
        <v>218</v>
      </c>
      <c r="KU33" s="7"/>
      <c r="KV33" t="s">
        <v>29</v>
      </c>
      <c r="KW33" t="s">
        <v>217</v>
      </c>
      <c r="KX33" t="s">
        <v>216</v>
      </c>
      <c r="LC33" s="4" t="s">
        <v>29</v>
      </c>
      <c r="LD33" s="4"/>
      <c r="LE33" s="4" t="s">
        <v>29</v>
      </c>
      <c r="LF33" s="4"/>
      <c r="LG33" s="4" t="s">
        <v>29</v>
      </c>
      <c r="LH33" s="4"/>
      <c r="LI33" s="4" t="s">
        <v>29</v>
      </c>
      <c r="LJ33" s="4"/>
      <c r="LK33" t="s">
        <v>215</v>
      </c>
      <c r="LL33" s="4" t="s">
        <v>29</v>
      </c>
      <c r="LM33" s="4" t="s">
        <v>29</v>
      </c>
      <c r="LN33" s="4" t="s">
        <v>13</v>
      </c>
      <c r="LO33">
        <v>2500</v>
      </c>
      <c r="MZ33" t="s">
        <v>214</v>
      </c>
      <c r="NA33">
        <v>30</v>
      </c>
      <c r="NB33" t="s">
        <v>1154</v>
      </c>
      <c r="NC33" t="s">
        <v>2453</v>
      </c>
      <c r="NK33" t="s">
        <v>654</v>
      </c>
      <c r="NL33" t="s">
        <v>653</v>
      </c>
      <c r="NM33" s="4" t="s">
        <v>1156</v>
      </c>
      <c r="NN33" s="6" t="s">
        <v>13</v>
      </c>
      <c r="NW33" t="s">
        <v>6</v>
      </c>
      <c r="NX33">
        <v>3999</v>
      </c>
      <c r="NY33" t="s">
        <v>29</v>
      </c>
      <c r="NZ33" t="s">
        <v>29</v>
      </c>
      <c r="OC33">
        <v>8</v>
      </c>
      <c r="OT33" t="s">
        <v>212</v>
      </c>
      <c r="OU33" t="s">
        <v>6</v>
      </c>
      <c r="OW33" s="88">
        <v>2012</v>
      </c>
      <c r="OX33" s="88">
        <v>2015</v>
      </c>
      <c r="OY33" s="88"/>
      <c r="PA33" s="3" t="s">
        <v>1169</v>
      </c>
      <c r="PB33" s="83">
        <v>46094</v>
      </c>
      <c r="PC33" s="83"/>
    </row>
    <row r="34" spans="1:419" ht="15.75" thickBot="1">
      <c r="A34" t="s">
        <v>248</v>
      </c>
      <c r="B34" t="s">
        <v>247</v>
      </c>
      <c r="C34" t="s">
        <v>246</v>
      </c>
      <c r="D34" s="4" t="s">
        <v>245</v>
      </c>
      <c r="E34" t="s">
        <v>244</v>
      </c>
      <c r="F34" s="4" t="s">
        <v>243</v>
      </c>
      <c r="G34" t="s">
        <v>2</v>
      </c>
      <c r="H34" t="s">
        <v>30</v>
      </c>
      <c r="I34" t="s">
        <v>242</v>
      </c>
      <c r="J34" t="s">
        <v>241</v>
      </c>
      <c r="K34" t="s">
        <v>29</v>
      </c>
      <c r="AV34" t="s">
        <v>240</v>
      </c>
      <c r="AW34">
        <v>400</v>
      </c>
      <c r="AX34" t="s">
        <v>29</v>
      </c>
      <c r="AY34">
        <v>3</v>
      </c>
      <c r="AZ34" t="s">
        <v>259</v>
      </c>
      <c r="BA34">
        <v>2012</v>
      </c>
      <c r="BB34">
        <v>2015</v>
      </c>
      <c r="BC34" t="s">
        <v>29</v>
      </c>
      <c r="BD34" t="s">
        <v>19</v>
      </c>
      <c r="BE34" t="s">
        <v>311</v>
      </c>
      <c r="BF34" t="s">
        <v>39</v>
      </c>
      <c r="BG34" s="3" t="s">
        <v>1233</v>
      </c>
      <c r="BH34" t="s">
        <v>23</v>
      </c>
      <c r="BI34" t="s">
        <v>29</v>
      </c>
      <c r="BJ34" s="4" t="s">
        <v>22</v>
      </c>
      <c r="BK34" s="9">
        <v>44000</v>
      </c>
      <c r="HL34" t="s">
        <v>298</v>
      </c>
      <c r="HM34" t="s">
        <v>297</v>
      </c>
      <c r="HN34" t="s">
        <v>296</v>
      </c>
      <c r="HP34" t="s">
        <v>29</v>
      </c>
      <c r="HQ34">
        <v>1</v>
      </c>
      <c r="HR34" t="s">
        <v>231</v>
      </c>
      <c r="HT34" s="4" t="s">
        <v>20</v>
      </c>
      <c r="HU34" t="s">
        <v>29</v>
      </c>
      <c r="HV34" t="s">
        <v>29</v>
      </c>
      <c r="II34" t="s">
        <v>255</v>
      </c>
      <c r="IJ34" s="13" t="s">
        <v>19</v>
      </c>
      <c r="IK34" s="46"/>
      <c r="IL34" s="46"/>
      <c r="JK34" t="s">
        <v>228</v>
      </c>
      <c r="JL34" s="3" t="s">
        <v>15</v>
      </c>
      <c r="JM34" s="8" t="s">
        <v>14</v>
      </c>
      <c r="JN34" s="8" t="s">
        <v>730</v>
      </c>
      <c r="JO34" s="4" t="s">
        <v>13</v>
      </c>
      <c r="JP34" t="s">
        <v>731</v>
      </c>
      <c r="JW34" s="4"/>
      <c r="JX34" s="4"/>
      <c r="JY34" s="4"/>
      <c r="JZ34" s="4"/>
      <c r="KA34" s="4"/>
      <c r="KB34" s="4"/>
      <c r="KC34" s="4"/>
      <c r="KD34" s="4"/>
      <c r="KE34" s="4"/>
      <c r="KF34" s="4" t="s">
        <v>295</v>
      </c>
      <c r="KG34" s="13" t="s">
        <v>12</v>
      </c>
      <c r="KH34" s="13" t="s">
        <v>29</v>
      </c>
      <c r="KI34" t="s">
        <v>29</v>
      </c>
      <c r="KJ34" t="s">
        <v>294</v>
      </c>
      <c r="KK34" s="13" t="s">
        <v>12</v>
      </c>
      <c r="KM34" s="4"/>
      <c r="KO34" s="7" t="s">
        <v>720</v>
      </c>
      <c r="KP34" s="7"/>
      <c r="KQ34" s="7"/>
      <c r="KR34" s="13"/>
      <c r="KS34" s="7" t="s">
        <v>722</v>
      </c>
      <c r="KT34" s="7"/>
      <c r="KU34" s="7"/>
      <c r="KV34" s="13"/>
      <c r="KX34" s="13" t="s">
        <v>1117</v>
      </c>
      <c r="LC34" s="13"/>
      <c r="LD34" s="4"/>
      <c r="LE34" s="13"/>
      <c r="LF34" s="13"/>
      <c r="LG34" s="13"/>
      <c r="LH34" s="13"/>
      <c r="LI34" s="13"/>
      <c r="LJ34" s="4"/>
      <c r="LK34" s="4"/>
      <c r="LL34" s="4"/>
      <c r="LM34" s="4"/>
      <c r="LN34" s="4"/>
      <c r="MZ34" t="s">
        <v>214</v>
      </c>
      <c r="NA34">
        <v>30</v>
      </c>
      <c r="NB34" t="s">
        <v>655</v>
      </c>
      <c r="NC34" s="4" t="s">
        <v>168</v>
      </c>
      <c r="NK34" t="s">
        <v>655</v>
      </c>
      <c r="NL34" t="s">
        <v>655</v>
      </c>
      <c r="NM34" s="4" t="s">
        <v>8</v>
      </c>
      <c r="NN34" s="6" t="s">
        <v>13</v>
      </c>
      <c r="NV34" t="s">
        <v>1151</v>
      </c>
      <c r="NW34" t="s">
        <v>6</v>
      </c>
      <c r="NX34">
        <v>2670</v>
      </c>
      <c r="NY34" t="s">
        <v>29</v>
      </c>
      <c r="NZ34" t="s">
        <v>29</v>
      </c>
      <c r="OC34">
        <v>8</v>
      </c>
      <c r="OT34" t="s">
        <v>212</v>
      </c>
      <c r="OU34" t="s">
        <v>6</v>
      </c>
      <c r="OW34" s="88">
        <v>2012</v>
      </c>
      <c r="OX34" s="88">
        <v>2015</v>
      </c>
      <c r="PA34" s="3" t="s">
        <v>1169</v>
      </c>
      <c r="PB34" s="83">
        <v>46094</v>
      </c>
      <c r="PC34" s="83"/>
    </row>
    <row r="35" spans="1:419" ht="14.45" customHeight="1" thickBot="1">
      <c r="A35" t="s">
        <v>248</v>
      </c>
      <c r="B35" t="s">
        <v>247</v>
      </c>
      <c r="C35" t="s">
        <v>246</v>
      </c>
      <c r="D35" s="4" t="s">
        <v>245</v>
      </c>
      <c r="E35" t="s">
        <v>244</v>
      </c>
      <c r="F35" s="4" t="s">
        <v>243</v>
      </c>
      <c r="G35" t="s">
        <v>2</v>
      </c>
      <c r="H35" t="s">
        <v>30</v>
      </c>
      <c r="I35" t="s">
        <v>242</v>
      </c>
      <c r="J35" t="s">
        <v>241</v>
      </c>
      <c r="K35" t="s">
        <v>29</v>
      </c>
      <c r="AV35" t="s">
        <v>240</v>
      </c>
      <c r="AW35">
        <v>400</v>
      </c>
      <c r="AX35" t="s">
        <v>29</v>
      </c>
      <c r="AY35">
        <v>3</v>
      </c>
      <c r="AZ35" t="s">
        <v>259</v>
      </c>
      <c r="BA35">
        <v>2012</v>
      </c>
      <c r="BB35">
        <v>2015</v>
      </c>
      <c r="BC35" t="s">
        <v>29</v>
      </c>
      <c r="BD35" t="s">
        <v>19</v>
      </c>
      <c r="BE35" t="s">
        <v>261</v>
      </c>
      <c r="BF35" t="s">
        <v>24</v>
      </c>
      <c r="BG35" s="3" t="s">
        <v>1233</v>
      </c>
      <c r="BH35" t="s">
        <v>23</v>
      </c>
      <c r="BI35" t="s">
        <v>29</v>
      </c>
      <c r="BJ35" s="4" t="s">
        <v>22</v>
      </c>
      <c r="BK35" s="9">
        <v>44000</v>
      </c>
      <c r="HL35" t="s">
        <v>233</v>
      </c>
      <c r="HM35" t="s">
        <v>232</v>
      </c>
      <c r="HR35" t="s">
        <v>231</v>
      </c>
      <c r="HT35" s="4" t="s">
        <v>20</v>
      </c>
      <c r="HU35" t="s">
        <v>29</v>
      </c>
      <c r="HV35" t="s">
        <v>29</v>
      </c>
      <c r="II35" t="s">
        <v>255</v>
      </c>
      <c r="IJ35" s="13" t="s">
        <v>19</v>
      </c>
      <c r="IK35" s="46"/>
      <c r="IL35" s="46"/>
      <c r="IQ35" s="13"/>
      <c r="JK35" t="s">
        <v>228</v>
      </c>
      <c r="JL35" s="3" t="s">
        <v>15</v>
      </c>
      <c r="JM35" s="8" t="s">
        <v>14</v>
      </c>
      <c r="JN35" s="8" t="s">
        <v>730</v>
      </c>
      <c r="JO35" s="4" t="s">
        <v>13</v>
      </c>
      <c r="JP35" t="s">
        <v>731</v>
      </c>
      <c r="JW35" s="4"/>
      <c r="JX35" s="4"/>
      <c r="JY35" s="4"/>
      <c r="JZ35" s="4"/>
      <c r="KA35" s="4"/>
      <c r="KB35" s="4"/>
      <c r="KC35" s="4"/>
      <c r="KD35" s="4"/>
      <c r="KE35" s="4"/>
      <c r="KF35" t="s">
        <v>223</v>
      </c>
      <c r="KG35" s="13" t="s">
        <v>12</v>
      </c>
      <c r="KH35" s="13" t="s">
        <v>29</v>
      </c>
      <c r="KI35" t="s">
        <v>29</v>
      </c>
      <c r="KJ35" t="s">
        <v>223</v>
      </c>
      <c r="KK35" t="s">
        <v>222</v>
      </c>
      <c r="KL35" t="s">
        <v>221</v>
      </c>
      <c r="KM35" s="4" t="s">
        <v>220</v>
      </c>
      <c r="KN35">
        <v>2.5</v>
      </c>
      <c r="KO35" s="7" t="s">
        <v>720</v>
      </c>
      <c r="KP35" s="7"/>
      <c r="KQ35" s="7"/>
      <c r="KR35" s="13"/>
      <c r="KS35" s="7" t="s">
        <v>722</v>
      </c>
      <c r="KT35" s="7"/>
      <c r="KU35" s="7"/>
      <c r="KV35" s="13"/>
      <c r="KW35" t="s">
        <v>217</v>
      </c>
      <c r="KX35" t="s">
        <v>216</v>
      </c>
      <c r="LC35" s="4" t="s">
        <v>29</v>
      </c>
      <c r="LD35" s="4"/>
      <c r="LE35" s="4" t="s">
        <v>29</v>
      </c>
      <c r="LF35" s="4"/>
      <c r="LG35" s="4" t="s">
        <v>29</v>
      </c>
      <c r="LH35" s="4"/>
      <c r="LI35" s="4" t="s">
        <v>29</v>
      </c>
      <c r="LJ35" s="4"/>
      <c r="LK35" t="s">
        <v>215</v>
      </c>
      <c r="LL35" s="4" t="s">
        <v>29</v>
      </c>
      <c r="LM35" s="4" t="s">
        <v>29</v>
      </c>
      <c r="LN35" s="4" t="s">
        <v>13</v>
      </c>
      <c r="LO35">
        <v>2500</v>
      </c>
      <c r="MZ35" t="s">
        <v>214</v>
      </c>
      <c r="NA35">
        <v>30</v>
      </c>
      <c r="NB35" t="s">
        <v>655</v>
      </c>
      <c r="NC35" s="4" t="s">
        <v>168</v>
      </c>
      <c r="NK35" t="s">
        <v>655</v>
      </c>
      <c r="NL35" t="s">
        <v>655</v>
      </c>
      <c r="NM35" s="4" t="s">
        <v>8</v>
      </c>
      <c r="NN35" s="6" t="s">
        <v>13</v>
      </c>
      <c r="NV35" t="s">
        <v>745</v>
      </c>
      <c r="NW35" t="s">
        <v>6</v>
      </c>
      <c r="NX35">
        <v>2729</v>
      </c>
      <c r="NY35" t="s">
        <v>29</v>
      </c>
      <c r="NZ35" t="s">
        <v>29</v>
      </c>
      <c r="OC35">
        <v>8</v>
      </c>
      <c r="OT35" t="s">
        <v>212</v>
      </c>
      <c r="OU35" t="s">
        <v>6</v>
      </c>
      <c r="OW35" s="88">
        <v>2012</v>
      </c>
      <c r="OX35" s="88">
        <v>2015</v>
      </c>
      <c r="OY35" s="88"/>
      <c r="PA35" s="3" t="s">
        <v>1169</v>
      </c>
      <c r="PB35" s="83">
        <v>46094</v>
      </c>
      <c r="PC35" s="83"/>
    </row>
    <row r="36" spans="1:419" ht="15.75" thickBot="1">
      <c r="A36" t="s">
        <v>248</v>
      </c>
      <c r="B36" t="s">
        <v>247</v>
      </c>
      <c r="C36" t="s">
        <v>246</v>
      </c>
      <c r="D36" s="4" t="s">
        <v>245</v>
      </c>
      <c r="E36" t="s">
        <v>244</v>
      </c>
      <c r="F36" s="4" t="s">
        <v>243</v>
      </c>
      <c r="G36" t="s">
        <v>2</v>
      </c>
      <c r="H36" t="s">
        <v>30</v>
      </c>
      <c r="I36" t="s">
        <v>242</v>
      </c>
      <c r="J36" t="s">
        <v>241</v>
      </c>
      <c r="K36" t="s">
        <v>29</v>
      </c>
      <c r="AV36" t="s">
        <v>240</v>
      </c>
      <c r="AW36">
        <v>400</v>
      </c>
      <c r="AX36" t="s">
        <v>29</v>
      </c>
      <c r="AY36">
        <v>3</v>
      </c>
      <c r="AZ36" t="s">
        <v>259</v>
      </c>
      <c r="BA36">
        <v>2012</v>
      </c>
      <c r="BB36">
        <v>2015</v>
      </c>
      <c r="BC36" t="s">
        <v>29</v>
      </c>
      <c r="BD36" t="s">
        <v>238</v>
      </c>
      <c r="BE36" t="s">
        <v>260</v>
      </c>
      <c r="BF36" t="s">
        <v>64</v>
      </c>
      <c r="BG36" s="3" t="s">
        <v>1233</v>
      </c>
      <c r="BH36" t="s">
        <v>23</v>
      </c>
      <c r="BI36" t="s">
        <v>29</v>
      </c>
      <c r="BJ36" s="4" t="s">
        <v>22</v>
      </c>
      <c r="BK36" s="9">
        <v>44000</v>
      </c>
      <c r="BL36" t="s">
        <v>56</v>
      </c>
      <c r="BM36" t="s">
        <v>250</v>
      </c>
      <c r="BN36" t="s">
        <v>29</v>
      </c>
      <c r="BO36" s="4" t="s">
        <v>22</v>
      </c>
      <c r="BP36" s="9">
        <v>44444</v>
      </c>
      <c r="HL36" t="s">
        <v>233</v>
      </c>
      <c r="HM36" t="s">
        <v>232</v>
      </c>
      <c r="HR36" t="s">
        <v>231</v>
      </c>
      <c r="HT36" s="4" t="s">
        <v>736</v>
      </c>
      <c r="HU36" t="s">
        <v>29</v>
      </c>
      <c r="HV36" t="s">
        <v>29</v>
      </c>
      <c r="II36" t="s">
        <v>251</v>
      </c>
      <c r="IJ36" s="12" t="s">
        <v>229</v>
      </c>
      <c r="IK36" s="45" t="s">
        <v>660</v>
      </c>
      <c r="IL36" s="45" t="s">
        <v>661</v>
      </c>
      <c r="IM36">
        <v>2012</v>
      </c>
      <c r="IN36" s="88" t="s">
        <v>29</v>
      </c>
      <c r="IO36" s="4" t="s">
        <v>18</v>
      </c>
      <c r="JK36" t="s">
        <v>228</v>
      </c>
      <c r="JL36" s="3" t="s">
        <v>15</v>
      </c>
      <c r="JM36" s="8" t="s">
        <v>14</v>
      </c>
      <c r="JN36" s="8" t="s">
        <v>730</v>
      </c>
      <c r="JO36" s="4" t="s">
        <v>13</v>
      </c>
      <c r="JP36" t="s">
        <v>731</v>
      </c>
      <c r="JW36" s="4"/>
      <c r="JX36" s="4"/>
      <c r="JY36" s="4"/>
      <c r="JZ36" s="4"/>
      <c r="KA36" s="4"/>
      <c r="KB36" s="4"/>
      <c r="KC36" s="4"/>
      <c r="KD36" s="4"/>
      <c r="KE36" s="4"/>
      <c r="KF36" t="s">
        <v>223</v>
      </c>
      <c r="KG36" s="13" t="s">
        <v>12</v>
      </c>
      <c r="KH36" s="13" t="s">
        <v>29</v>
      </c>
      <c r="KI36" t="s">
        <v>29</v>
      </c>
      <c r="KJ36" t="s">
        <v>223</v>
      </c>
      <c r="KK36" t="s">
        <v>222</v>
      </c>
      <c r="KL36" t="s">
        <v>221</v>
      </c>
      <c r="KM36" s="4" t="s">
        <v>220</v>
      </c>
      <c r="KN36">
        <v>2.5</v>
      </c>
      <c r="KO36" s="7" t="s">
        <v>720</v>
      </c>
      <c r="KP36" s="7"/>
      <c r="KQ36" s="7"/>
      <c r="KR36" s="13"/>
      <c r="KS36" s="7" t="s">
        <v>219</v>
      </c>
      <c r="KT36" s="7" t="s">
        <v>218</v>
      </c>
      <c r="KU36" s="7"/>
      <c r="KV36" t="s">
        <v>29</v>
      </c>
      <c r="KW36" t="s">
        <v>217</v>
      </c>
      <c r="KX36" t="s">
        <v>216</v>
      </c>
      <c r="LC36" s="4" t="s">
        <v>29</v>
      </c>
      <c r="LD36" s="4"/>
      <c r="LE36" s="4" t="s">
        <v>29</v>
      </c>
      <c r="LF36" s="4"/>
      <c r="LG36" s="4" t="s">
        <v>29</v>
      </c>
      <c r="LH36" s="4"/>
      <c r="LI36" s="4" t="s">
        <v>29</v>
      </c>
      <c r="LJ36" s="4"/>
      <c r="LK36" t="s">
        <v>215</v>
      </c>
      <c r="LL36" s="4" t="s">
        <v>29</v>
      </c>
      <c r="LM36" s="4" t="s">
        <v>29</v>
      </c>
      <c r="LN36" s="4" t="s">
        <v>13</v>
      </c>
      <c r="LO36">
        <v>2500</v>
      </c>
      <c r="MZ36" t="s">
        <v>214</v>
      </c>
      <c r="NA36">
        <v>30</v>
      </c>
      <c r="NB36" t="s">
        <v>655</v>
      </c>
      <c r="NC36" s="4" t="s">
        <v>168</v>
      </c>
      <c r="NK36" t="s">
        <v>655</v>
      </c>
      <c r="NL36" t="s">
        <v>655</v>
      </c>
      <c r="NM36" s="4" t="s">
        <v>8</v>
      </c>
      <c r="NN36" s="6" t="s">
        <v>13</v>
      </c>
      <c r="NW36" t="s">
        <v>6</v>
      </c>
      <c r="NX36">
        <v>2565</v>
      </c>
      <c r="NY36" t="s">
        <v>29</v>
      </c>
      <c r="NZ36" t="s">
        <v>29</v>
      </c>
      <c r="OC36">
        <v>8</v>
      </c>
      <c r="OT36" t="s">
        <v>212</v>
      </c>
      <c r="OU36" t="s">
        <v>6</v>
      </c>
      <c r="OW36" s="88">
        <v>2012</v>
      </c>
      <c r="OX36" s="88">
        <v>2015</v>
      </c>
      <c r="OY36" s="88"/>
      <c r="PA36" s="3" t="s">
        <v>1169</v>
      </c>
      <c r="PB36" s="83">
        <v>46094</v>
      </c>
      <c r="PC36" s="83"/>
    </row>
    <row r="37" spans="1:419" ht="15.75" thickBot="1">
      <c r="A37" t="s">
        <v>248</v>
      </c>
      <c r="B37" t="s">
        <v>247</v>
      </c>
      <c r="C37" t="s">
        <v>246</v>
      </c>
      <c r="D37" s="4" t="s">
        <v>245</v>
      </c>
      <c r="E37" t="s">
        <v>244</v>
      </c>
      <c r="F37" s="4" t="s">
        <v>243</v>
      </c>
      <c r="G37" t="s">
        <v>2</v>
      </c>
      <c r="H37" t="s">
        <v>30</v>
      </c>
      <c r="I37" t="s">
        <v>242</v>
      </c>
      <c r="J37" t="s">
        <v>241</v>
      </c>
      <c r="K37" t="s">
        <v>29</v>
      </c>
      <c r="AV37" t="s">
        <v>240</v>
      </c>
      <c r="AW37">
        <v>400</v>
      </c>
      <c r="AX37" t="s">
        <v>29</v>
      </c>
      <c r="AY37">
        <v>3</v>
      </c>
      <c r="AZ37" t="s">
        <v>259</v>
      </c>
      <c r="BA37">
        <v>2012</v>
      </c>
      <c r="BB37">
        <v>2015</v>
      </c>
      <c r="BC37" t="s">
        <v>29</v>
      </c>
      <c r="BD37" t="s">
        <v>238</v>
      </c>
      <c r="BE37" t="s">
        <v>258</v>
      </c>
      <c r="BF37" t="s">
        <v>57</v>
      </c>
      <c r="BG37" s="3" t="s">
        <v>1233</v>
      </c>
      <c r="BH37" t="s">
        <v>23</v>
      </c>
      <c r="BI37" t="s">
        <v>29</v>
      </c>
      <c r="BJ37" s="4" t="s">
        <v>22</v>
      </c>
      <c r="BK37" s="9">
        <v>44000</v>
      </c>
      <c r="BL37" t="s">
        <v>56</v>
      </c>
      <c r="BM37" t="s">
        <v>235</v>
      </c>
      <c r="BN37" t="s">
        <v>29</v>
      </c>
      <c r="BO37" s="4" t="s">
        <v>22</v>
      </c>
      <c r="BP37" s="9">
        <v>44444</v>
      </c>
      <c r="HL37" t="s">
        <v>233</v>
      </c>
      <c r="HM37" t="s">
        <v>232</v>
      </c>
      <c r="HR37" t="s">
        <v>231</v>
      </c>
      <c r="HT37" s="4" t="s">
        <v>736</v>
      </c>
      <c r="HU37" t="s">
        <v>29</v>
      </c>
      <c r="HV37" t="s">
        <v>29</v>
      </c>
      <c r="II37" t="s">
        <v>230</v>
      </c>
      <c r="IJ37" s="12" t="s">
        <v>229</v>
      </c>
      <c r="IK37" s="45" t="s">
        <v>660</v>
      </c>
      <c r="IL37" s="45" t="s">
        <v>661</v>
      </c>
      <c r="IM37">
        <v>2012</v>
      </c>
      <c r="IN37" s="88" t="s">
        <v>29</v>
      </c>
      <c r="IO37" s="4" t="s">
        <v>18</v>
      </c>
      <c r="JK37" t="s">
        <v>228</v>
      </c>
      <c r="JL37" s="3" t="s">
        <v>15</v>
      </c>
      <c r="JM37" s="8" t="s">
        <v>14</v>
      </c>
      <c r="JN37" s="8" t="s">
        <v>730</v>
      </c>
      <c r="JO37" s="4" t="s">
        <v>13</v>
      </c>
      <c r="JP37" t="s">
        <v>731</v>
      </c>
      <c r="JW37" s="4"/>
      <c r="JX37" s="4"/>
      <c r="JY37" s="4"/>
      <c r="JZ37" s="4"/>
      <c r="KA37" s="4"/>
      <c r="KB37" s="4"/>
      <c r="KC37" s="4"/>
      <c r="KD37" s="4"/>
      <c r="KE37" s="4"/>
      <c r="KF37" t="s">
        <v>223</v>
      </c>
      <c r="KG37" s="13" t="s">
        <v>12</v>
      </c>
      <c r="KH37" s="13" t="s">
        <v>29</v>
      </c>
      <c r="KI37" t="s">
        <v>29</v>
      </c>
      <c r="KJ37" t="s">
        <v>223</v>
      </c>
      <c r="KK37" t="s">
        <v>222</v>
      </c>
      <c r="KL37" t="s">
        <v>221</v>
      </c>
      <c r="KM37" s="4" t="s">
        <v>220</v>
      </c>
      <c r="KN37">
        <v>2.5</v>
      </c>
      <c r="KO37" s="7" t="s">
        <v>720</v>
      </c>
      <c r="KP37" s="7"/>
      <c r="KQ37" s="7"/>
      <c r="KR37" s="13"/>
      <c r="KS37" s="7" t="s">
        <v>219</v>
      </c>
      <c r="KT37" s="7" t="s">
        <v>218</v>
      </c>
      <c r="KU37" s="7"/>
      <c r="KV37" t="s">
        <v>29</v>
      </c>
      <c r="KW37" t="s">
        <v>217</v>
      </c>
      <c r="KX37" t="s">
        <v>216</v>
      </c>
      <c r="LC37" s="4" t="s">
        <v>29</v>
      </c>
      <c r="LD37" s="4"/>
      <c r="LE37" s="4" t="s">
        <v>29</v>
      </c>
      <c r="LF37" s="4"/>
      <c r="LG37" s="4" t="s">
        <v>29</v>
      </c>
      <c r="LH37" s="4"/>
      <c r="LI37" s="4" t="s">
        <v>29</v>
      </c>
      <c r="LJ37" s="4"/>
      <c r="LK37" t="s">
        <v>215</v>
      </c>
      <c r="LL37" s="4" t="s">
        <v>29</v>
      </c>
      <c r="LM37" s="4" t="s">
        <v>29</v>
      </c>
      <c r="LN37" s="4" t="s">
        <v>13</v>
      </c>
      <c r="LO37">
        <v>2500</v>
      </c>
      <c r="MZ37" t="s">
        <v>214</v>
      </c>
      <c r="NA37">
        <v>30</v>
      </c>
      <c r="NB37" t="s">
        <v>655</v>
      </c>
      <c r="NC37" s="4" t="s">
        <v>168</v>
      </c>
      <c r="NK37" t="s">
        <v>655</v>
      </c>
      <c r="NL37" t="s">
        <v>655</v>
      </c>
      <c r="NM37" s="4" t="s">
        <v>8</v>
      </c>
      <c r="NN37" s="6" t="s">
        <v>13</v>
      </c>
      <c r="NW37" t="s">
        <v>6</v>
      </c>
      <c r="NX37">
        <v>2623</v>
      </c>
      <c r="NY37" t="s">
        <v>29</v>
      </c>
      <c r="NZ37" t="s">
        <v>29</v>
      </c>
      <c r="OC37">
        <v>8</v>
      </c>
      <c r="OT37" t="s">
        <v>212</v>
      </c>
      <c r="OU37" t="s">
        <v>6</v>
      </c>
      <c r="OW37" s="88">
        <v>2012</v>
      </c>
      <c r="OX37" s="88">
        <v>2015</v>
      </c>
      <c r="OY37" s="88"/>
      <c r="PA37" s="3" t="s">
        <v>1169</v>
      </c>
      <c r="PB37" s="83">
        <v>46094</v>
      </c>
      <c r="PC37" s="83"/>
    </row>
    <row r="38" spans="1:419" ht="15.75" thickBot="1">
      <c r="A38" t="s">
        <v>248</v>
      </c>
      <c r="B38" t="s">
        <v>247</v>
      </c>
      <c r="C38" t="s">
        <v>246</v>
      </c>
      <c r="D38" s="4" t="s">
        <v>245</v>
      </c>
      <c r="E38" t="s">
        <v>244</v>
      </c>
      <c r="F38" s="4" t="s">
        <v>243</v>
      </c>
      <c r="G38" t="s">
        <v>2</v>
      </c>
      <c r="H38" t="s">
        <v>30</v>
      </c>
      <c r="I38" t="s">
        <v>242</v>
      </c>
      <c r="J38" t="s">
        <v>241</v>
      </c>
      <c r="K38" t="s">
        <v>29</v>
      </c>
      <c r="AV38" t="s">
        <v>240</v>
      </c>
      <c r="AW38">
        <v>200</v>
      </c>
      <c r="AX38" t="s">
        <v>29</v>
      </c>
      <c r="AY38">
        <v>1</v>
      </c>
      <c r="AZ38" t="s">
        <v>239</v>
      </c>
      <c r="BA38">
        <v>2014</v>
      </c>
      <c r="BB38">
        <v>2015</v>
      </c>
      <c r="BC38" t="s">
        <v>29</v>
      </c>
      <c r="BD38" t="s">
        <v>19</v>
      </c>
      <c r="BE38" t="s">
        <v>300</v>
      </c>
      <c r="BF38" t="s">
        <v>299</v>
      </c>
      <c r="BG38" s="3" t="s">
        <v>1233</v>
      </c>
      <c r="BH38" t="s">
        <v>23</v>
      </c>
      <c r="BI38" t="s">
        <v>29</v>
      </c>
      <c r="BJ38" s="4" t="s">
        <v>22</v>
      </c>
      <c r="BK38" s="9">
        <v>44000</v>
      </c>
      <c r="HL38" t="s">
        <v>298</v>
      </c>
      <c r="HM38" t="s">
        <v>297</v>
      </c>
      <c r="HN38" t="s">
        <v>296</v>
      </c>
      <c r="HP38" t="s">
        <v>29</v>
      </c>
      <c r="HQ38">
        <v>1</v>
      </c>
      <c r="HR38" t="s">
        <v>231</v>
      </c>
      <c r="HT38" s="4" t="s">
        <v>20</v>
      </c>
      <c r="HU38" t="s">
        <v>29</v>
      </c>
      <c r="HV38" t="s">
        <v>29</v>
      </c>
      <c r="II38" t="s">
        <v>255</v>
      </c>
      <c r="IJ38" s="13" t="s">
        <v>19</v>
      </c>
      <c r="IK38" s="46"/>
      <c r="IL38" s="46"/>
      <c r="JK38" t="s">
        <v>228</v>
      </c>
      <c r="JL38" s="54" t="s">
        <v>1552</v>
      </c>
      <c r="JM38" s="8" t="s">
        <v>14</v>
      </c>
      <c r="JN38" s="8" t="s">
        <v>730</v>
      </c>
      <c r="JO38" s="4" t="s">
        <v>13</v>
      </c>
      <c r="JP38" t="s">
        <v>731</v>
      </c>
      <c r="JW38" s="4" t="s">
        <v>227</v>
      </c>
      <c r="JX38" s="4" t="s">
        <v>226</v>
      </c>
      <c r="JY38" s="4" t="s">
        <v>13</v>
      </c>
      <c r="JZ38" s="4">
        <v>5000</v>
      </c>
      <c r="KA38" s="4" t="s">
        <v>225</v>
      </c>
      <c r="KB38" s="4">
        <v>0.74</v>
      </c>
      <c r="KC38">
        <v>0.12</v>
      </c>
      <c r="KD38">
        <v>0.69</v>
      </c>
      <c r="KE38" s="4" t="s">
        <v>224</v>
      </c>
      <c r="KF38" s="4" t="s">
        <v>295</v>
      </c>
      <c r="KG38" s="13" t="s">
        <v>12</v>
      </c>
      <c r="KH38" s="13" t="s">
        <v>29</v>
      </c>
      <c r="KI38" t="s">
        <v>29</v>
      </c>
      <c r="KJ38" t="s">
        <v>294</v>
      </c>
      <c r="KK38" s="13" t="s">
        <v>12</v>
      </c>
      <c r="KM38" s="4"/>
      <c r="KO38" s="7" t="s">
        <v>720</v>
      </c>
      <c r="KP38" s="7"/>
      <c r="KQ38" s="7"/>
      <c r="KR38" s="13"/>
      <c r="KS38" s="7" t="s">
        <v>722</v>
      </c>
      <c r="KT38" s="7"/>
      <c r="KU38" s="7"/>
      <c r="KV38" s="13"/>
      <c r="KX38" s="13" t="s">
        <v>1117</v>
      </c>
      <c r="LC38" s="13"/>
      <c r="LD38" s="4"/>
      <c r="LE38" s="13"/>
      <c r="LF38" s="13"/>
      <c r="LG38" s="13"/>
      <c r="LH38" s="13"/>
      <c r="LI38" s="13"/>
      <c r="LJ38" s="4"/>
      <c r="LK38" s="4"/>
      <c r="LL38" s="4"/>
      <c r="LM38" s="4"/>
      <c r="LN38" s="4"/>
      <c r="MZ38" t="s">
        <v>214</v>
      </c>
      <c r="NA38">
        <v>30</v>
      </c>
      <c r="NB38" t="s">
        <v>1153</v>
      </c>
      <c r="NC38" t="s">
        <v>2453</v>
      </c>
      <c r="NK38" t="s">
        <v>654</v>
      </c>
      <c r="NL38" t="s">
        <v>653</v>
      </c>
      <c r="NM38" s="4" t="s">
        <v>1156</v>
      </c>
      <c r="NN38" s="6" t="s">
        <v>13</v>
      </c>
      <c r="NV38" t="s">
        <v>1152</v>
      </c>
      <c r="NW38" t="s">
        <v>6</v>
      </c>
      <c r="NX38">
        <v>3565</v>
      </c>
      <c r="NY38" t="s">
        <v>29</v>
      </c>
      <c r="NZ38" t="s">
        <v>29</v>
      </c>
      <c r="OC38">
        <v>8</v>
      </c>
      <c r="OT38" t="s">
        <v>212</v>
      </c>
      <c r="OU38" t="s">
        <v>6</v>
      </c>
      <c r="OW38">
        <v>2014</v>
      </c>
      <c r="OX38">
        <v>2015</v>
      </c>
      <c r="PA38" s="3" t="s">
        <v>1169</v>
      </c>
      <c r="PB38" s="83">
        <v>46094</v>
      </c>
      <c r="PC38" s="83"/>
    </row>
    <row r="39" spans="1:419" ht="15.75" thickBot="1">
      <c r="A39" t="s">
        <v>248</v>
      </c>
      <c r="B39" t="s">
        <v>247</v>
      </c>
      <c r="C39" t="s">
        <v>246</v>
      </c>
      <c r="D39" s="4" t="s">
        <v>245</v>
      </c>
      <c r="E39" t="s">
        <v>244</v>
      </c>
      <c r="F39" s="4" t="s">
        <v>243</v>
      </c>
      <c r="G39" t="s">
        <v>2</v>
      </c>
      <c r="H39" t="s">
        <v>30</v>
      </c>
      <c r="I39" t="s">
        <v>242</v>
      </c>
      <c r="J39" t="s">
        <v>241</v>
      </c>
      <c r="K39" t="s">
        <v>29</v>
      </c>
      <c r="AV39" t="s">
        <v>240</v>
      </c>
      <c r="AW39">
        <v>200</v>
      </c>
      <c r="AX39" t="s">
        <v>29</v>
      </c>
      <c r="AY39">
        <v>1</v>
      </c>
      <c r="AZ39" t="s">
        <v>239</v>
      </c>
      <c r="BA39">
        <v>2014</v>
      </c>
      <c r="BB39">
        <v>2015</v>
      </c>
      <c r="BC39" t="s">
        <v>29</v>
      </c>
      <c r="BD39" t="s">
        <v>19</v>
      </c>
      <c r="BE39" t="s">
        <v>257</v>
      </c>
      <c r="BF39" t="s">
        <v>256</v>
      </c>
      <c r="BG39" s="3" t="s">
        <v>1233</v>
      </c>
      <c r="BH39" t="s">
        <v>23</v>
      </c>
      <c r="BI39" t="s">
        <v>29</v>
      </c>
      <c r="BJ39" s="4" t="s">
        <v>22</v>
      </c>
      <c r="BK39" s="9">
        <v>44000</v>
      </c>
      <c r="HL39" t="s">
        <v>233</v>
      </c>
      <c r="HM39" t="s">
        <v>232</v>
      </c>
      <c r="HR39" t="s">
        <v>231</v>
      </c>
      <c r="HT39" s="4" t="s">
        <v>20</v>
      </c>
      <c r="HU39" t="s">
        <v>29</v>
      </c>
      <c r="HV39" t="s">
        <v>29</v>
      </c>
      <c r="II39" t="s">
        <v>255</v>
      </c>
      <c r="IJ39" s="13" t="s">
        <v>19</v>
      </c>
      <c r="IK39" s="46"/>
      <c r="IL39" s="46"/>
      <c r="IM39" s="88"/>
      <c r="IN39" s="88"/>
      <c r="IO39" s="4"/>
      <c r="IQ39" s="13"/>
      <c r="JK39" t="s">
        <v>228</v>
      </c>
      <c r="JL39" s="54" t="s">
        <v>1552</v>
      </c>
      <c r="JM39" s="8" t="s">
        <v>14</v>
      </c>
      <c r="JN39" s="8" t="s">
        <v>730</v>
      </c>
      <c r="JO39" s="4" t="s">
        <v>13</v>
      </c>
      <c r="JP39" t="s">
        <v>731</v>
      </c>
      <c r="JW39" s="4" t="s">
        <v>227</v>
      </c>
      <c r="JX39" s="4" t="s">
        <v>226</v>
      </c>
      <c r="JY39" s="4" t="s">
        <v>13</v>
      </c>
      <c r="JZ39" s="4">
        <v>5000</v>
      </c>
      <c r="KA39" s="4" t="s">
        <v>225</v>
      </c>
      <c r="KB39" s="4">
        <v>0.74</v>
      </c>
      <c r="KC39">
        <v>0.12</v>
      </c>
      <c r="KD39">
        <v>0.69</v>
      </c>
      <c r="KE39" s="4" t="s">
        <v>224</v>
      </c>
      <c r="KF39" t="s">
        <v>223</v>
      </c>
      <c r="KG39" s="13" t="s">
        <v>12</v>
      </c>
      <c r="KH39" s="13" t="s">
        <v>29</v>
      </c>
      <c r="KI39" t="s">
        <v>29</v>
      </c>
      <c r="KJ39" t="s">
        <v>223</v>
      </c>
      <c r="KK39" t="s">
        <v>222</v>
      </c>
      <c r="KL39" t="s">
        <v>221</v>
      </c>
      <c r="KM39" s="4" t="s">
        <v>220</v>
      </c>
      <c r="KN39">
        <v>2.5</v>
      </c>
      <c r="KO39" s="7" t="s">
        <v>720</v>
      </c>
      <c r="KP39" s="7"/>
      <c r="KQ39" s="7"/>
      <c r="KR39" s="13"/>
      <c r="KS39" s="7" t="s">
        <v>722</v>
      </c>
      <c r="KT39" s="7"/>
      <c r="KU39" s="7"/>
      <c r="KV39" s="13"/>
      <c r="KW39" t="s">
        <v>217</v>
      </c>
      <c r="KX39" t="s">
        <v>216</v>
      </c>
      <c r="LC39" s="4" t="s">
        <v>29</v>
      </c>
      <c r="LD39" s="4"/>
      <c r="LE39" s="4" t="s">
        <v>29</v>
      </c>
      <c r="LF39" s="4"/>
      <c r="LG39" s="4" t="s">
        <v>29</v>
      </c>
      <c r="LH39" s="4"/>
      <c r="LI39" s="4" t="s">
        <v>29</v>
      </c>
      <c r="LJ39" s="4"/>
      <c r="LK39" t="s">
        <v>215</v>
      </c>
      <c r="LL39" s="4" t="s">
        <v>29</v>
      </c>
      <c r="LM39" s="4" t="s">
        <v>29</v>
      </c>
      <c r="LN39" s="4" t="s">
        <v>13</v>
      </c>
      <c r="LO39">
        <v>2500</v>
      </c>
      <c r="MZ39" t="s">
        <v>214</v>
      </c>
      <c r="NA39">
        <v>30</v>
      </c>
      <c r="NB39" t="s">
        <v>1155</v>
      </c>
      <c r="NC39" t="s">
        <v>2453</v>
      </c>
      <c r="NK39" t="s">
        <v>654</v>
      </c>
      <c r="NL39" t="s">
        <v>653</v>
      </c>
      <c r="NM39" s="4" t="s">
        <v>1156</v>
      </c>
      <c r="NN39" s="6" t="s">
        <v>13</v>
      </c>
      <c r="NV39" t="s">
        <v>746</v>
      </c>
      <c r="NW39" t="s">
        <v>6</v>
      </c>
      <c r="NX39">
        <v>4115</v>
      </c>
      <c r="NY39" t="s">
        <v>29</v>
      </c>
      <c r="NZ39" t="s">
        <v>29</v>
      </c>
      <c r="OC39">
        <v>8</v>
      </c>
      <c r="OT39" t="s">
        <v>212</v>
      </c>
      <c r="OU39" t="s">
        <v>6</v>
      </c>
      <c r="OW39" s="88">
        <v>2014</v>
      </c>
      <c r="OX39" s="88">
        <v>2015</v>
      </c>
      <c r="OY39" s="88"/>
      <c r="PA39" s="3" t="s">
        <v>1169</v>
      </c>
      <c r="PB39" s="83">
        <v>46094</v>
      </c>
      <c r="PC39" s="83"/>
    </row>
    <row r="40" spans="1:419" ht="15.75" thickBot="1">
      <c r="A40" t="s">
        <v>248</v>
      </c>
      <c r="B40" t="s">
        <v>247</v>
      </c>
      <c r="C40" t="s">
        <v>246</v>
      </c>
      <c r="D40" s="4" t="s">
        <v>245</v>
      </c>
      <c r="E40" t="s">
        <v>244</v>
      </c>
      <c r="F40" s="4" t="s">
        <v>243</v>
      </c>
      <c r="G40" t="s">
        <v>2</v>
      </c>
      <c r="H40" t="s">
        <v>30</v>
      </c>
      <c r="I40" t="s">
        <v>242</v>
      </c>
      <c r="J40" t="s">
        <v>241</v>
      </c>
      <c r="K40" t="s">
        <v>29</v>
      </c>
      <c r="AV40" t="s">
        <v>240</v>
      </c>
      <c r="AW40">
        <v>200</v>
      </c>
      <c r="AX40" t="s">
        <v>29</v>
      </c>
      <c r="AY40">
        <v>1</v>
      </c>
      <c r="AZ40" t="s">
        <v>239</v>
      </c>
      <c r="BA40">
        <v>2014</v>
      </c>
      <c r="BB40">
        <v>2015</v>
      </c>
      <c r="BC40" t="s">
        <v>29</v>
      </c>
      <c r="BD40" t="s">
        <v>238</v>
      </c>
      <c r="BE40" t="s">
        <v>253</v>
      </c>
      <c r="BF40" t="s">
        <v>252</v>
      </c>
      <c r="BG40" s="3" t="s">
        <v>1233</v>
      </c>
      <c r="BH40" t="s">
        <v>23</v>
      </c>
      <c r="BI40" t="s">
        <v>29</v>
      </c>
      <c r="BJ40" s="4" t="s">
        <v>22</v>
      </c>
      <c r="BK40" s="9">
        <v>44000</v>
      </c>
      <c r="BL40" t="s">
        <v>56</v>
      </c>
      <c r="BM40" t="s">
        <v>250</v>
      </c>
      <c r="BN40" t="s">
        <v>29</v>
      </c>
      <c r="BO40" s="4" t="s">
        <v>22</v>
      </c>
      <c r="BP40" s="9">
        <v>44444</v>
      </c>
      <c r="HL40" t="s">
        <v>233</v>
      </c>
      <c r="HM40" t="s">
        <v>232</v>
      </c>
      <c r="HR40" t="s">
        <v>231</v>
      </c>
      <c r="HT40" s="4" t="s">
        <v>736</v>
      </c>
      <c r="HU40" t="s">
        <v>29</v>
      </c>
      <c r="HV40" t="s">
        <v>29</v>
      </c>
      <c r="II40" t="s">
        <v>251</v>
      </c>
      <c r="IJ40" s="12" t="s">
        <v>229</v>
      </c>
      <c r="IK40" s="45" t="s">
        <v>660</v>
      </c>
      <c r="IL40" s="45" t="s">
        <v>661</v>
      </c>
      <c r="IM40">
        <v>2012</v>
      </c>
      <c r="IN40" s="88" t="s">
        <v>29</v>
      </c>
      <c r="IO40" s="4" t="s">
        <v>18</v>
      </c>
      <c r="JK40" t="s">
        <v>228</v>
      </c>
      <c r="JL40" s="54" t="s">
        <v>1552</v>
      </c>
      <c r="JM40" s="8" t="s">
        <v>14</v>
      </c>
      <c r="JN40" s="8" t="s">
        <v>730</v>
      </c>
      <c r="JO40" s="4" t="s">
        <v>13</v>
      </c>
      <c r="JP40" t="s">
        <v>731</v>
      </c>
      <c r="JW40" s="4" t="s">
        <v>227</v>
      </c>
      <c r="JX40" s="4" t="s">
        <v>226</v>
      </c>
      <c r="JY40" s="4" t="s">
        <v>13</v>
      </c>
      <c r="JZ40" s="4">
        <v>5000</v>
      </c>
      <c r="KA40" s="4" t="s">
        <v>225</v>
      </c>
      <c r="KB40" s="4">
        <v>0.74</v>
      </c>
      <c r="KC40">
        <v>0.12</v>
      </c>
      <c r="KD40">
        <v>0.69</v>
      </c>
      <c r="KE40" s="4" t="s">
        <v>224</v>
      </c>
      <c r="KF40" t="s">
        <v>223</v>
      </c>
      <c r="KG40" s="13" t="s">
        <v>12</v>
      </c>
      <c r="KH40" s="13" t="s">
        <v>29</v>
      </c>
      <c r="KI40" t="s">
        <v>29</v>
      </c>
      <c r="KJ40" t="s">
        <v>223</v>
      </c>
      <c r="KK40" t="s">
        <v>222</v>
      </c>
      <c r="KL40" t="s">
        <v>221</v>
      </c>
      <c r="KM40" s="4" t="s">
        <v>220</v>
      </c>
      <c r="KN40">
        <v>2.5</v>
      </c>
      <c r="KO40" s="7" t="s">
        <v>720</v>
      </c>
      <c r="KP40" s="7"/>
      <c r="KQ40" s="7"/>
      <c r="KR40" s="13"/>
      <c r="KS40" s="7" t="s">
        <v>219</v>
      </c>
      <c r="KT40" s="7" t="s">
        <v>218</v>
      </c>
      <c r="KU40" s="7"/>
      <c r="KV40" t="s">
        <v>29</v>
      </c>
      <c r="KW40" t="s">
        <v>217</v>
      </c>
      <c r="KX40" t="s">
        <v>216</v>
      </c>
      <c r="LC40" s="4" t="s">
        <v>29</v>
      </c>
      <c r="LD40" s="4"/>
      <c r="LE40" s="4" t="s">
        <v>29</v>
      </c>
      <c r="LF40" s="4"/>
      <c r="LG40" s="4" t="s">
        <v>29</v>
      </c>
      <c r="LH40" s="4"/>
      <c r="LI40" s="4" t="s">
        <v>29</v>
      </c>
      <c r="LJ40" s="4"/>
      <c r="LK40" t="s">
        <v>215</v>
      </c>
      <c r="LL40" s="4" t="s">
        <v>29</v>
      </c>
      <c r="LM40" s="4" t="s">
        <v>29</v>
      </c>
      <c r="LN40" s="4" t="s">
        <v>13</v>
      </c>
      <c r="LO40">
        <v>2500</v>
      </c>
      <c r="MZ40" t="s">
        <v>214</v>
      </c>
      <c r="NA40">
        <v>30</v>
      </c>
      <c r="NB40" t="s">
        <v>1154</v>
      </c>
      <c r="NC40" t="s">
        <v>2453</v>
      </c>
      <c r="NK40" t="s">
        <v>654</v>
      </c>
      <c r="NL40" t="s">
        <v>653</v>
      </c>
      <c r="NM40" s="4" t="s">
        <v>1156</v>
      </c>
      <c r="NN40" s="6" t="s">
        <v>13</v>
      </c>
      <c r="NW40" t="s">
        <v>6</v>
      </c>
      <c r="NX40">
        <v>4820</v>
      </c>
      <c r="NY40" t="s">
        <v>29</v>
      </c>
      <c r="NZ40" t="s">
        <v>29</v>
      </c>
      <c r="OC40">
        <v>8</v>
      </c>
      <c r="OT40" t="s">
        <v>212</v>
      </c>
      <c r="OU40" t="s">
        <v>6</v>
      </c>
      <c r="OW40" s="88">
        <v>2014</v>
      </c>
      <c r="OX40" s="88">
        <v>2015</v>
      </c>
      <c r="OY40" s="88"/>
      <c r="PA40" s="3" t="s">
        <v>1169</v>
      </c>
      <c r="PB40" s="83">
        <v>46094</v>
      </c>
      <c r="PC40" s="83"/>
    </row>
    <row r="41" spans="1:419" ht="15.75" thickBot="1">
      <c r="A41" t="s">
        <v>248</v>
      </c>
      <c r="B41" t="s">
        <v>247</v>
      </c>
      <c r="C41" t="s">
        <v>246</v>
      </c>
      <c r="D41" s="4" t="s">
        <v>245</v>
      </c>
      <c r="E41" t="s">
        <v>244</v>
      </c>
      <c r="F41" s="4" t="s">
        <v>243</v>
      </c>
      <c r="G41" t="s">
        <v>2</v>
      </c>
      <c r="H41" t="s">
        <v>30</v>
      </c>
      <c r="I41" t="s">
        <v>242</v>
      </c>
      <c r="J41" t="s">
        <v>241</v>
      </c>
      <c r="K41" t="s">
        <v>29</v>
      </c>
      <c r="AV41" t="s">
        <v>240</v>
      </c>
      <c r="AW41">
        <v>200</v>
      </c>
      <c r="AX41" t="s">
        <v>29</v>
      </c>
      <c r="AY41">
        <v>1</v>
      </c>
      <c r="AZ41" t="s">
        <v>239</v>
      </c>
      <c r="BA41">
        <v>2014</v>
      </c>
      <c r="BB41">
        <v>2015</v>
      </c>
      <c r="BC41" t="s">
        <v>29</v>
      </c>
      <c r="BD41" t="s">
        <v>238</v>
      </c>
      <c r="BE41" t="s">
        <v>237</v>
      </c>
      <c r="BF41" t="s">
        <v>236</v>
      </c>
      <c r="BG41" s="3" t="s">
        <v>1233</v>
      </c>
      <c r="BH41" t="s">
        <v>23</v>
      </c>
      <c r="BI41" t="s">
        <v>29</v>
      </c>
      <c r="BJ41" s="4" t="s">
        <v>22</v>
      </c>
      <c r="BK41" s="9">
        <v>44000</v>
      </c>
      <c r="BL41" t="s">
        <v>56</v>
      </c>
      <c r="BM41" t="s">
        <v>235</v>
      </c>
      <c r="BN41" t="s">
        <v>29</v>
      </c>
      <c r="BO41" s="4" t="s">
        <v>22</v>
      </c>
      <c r="BP41" s="9">
        <v>44444</v>
      </c>
      <c r="HL41" t="s">
        <v>233</v>
      </c>
      <c r="HM41" t="s">
        <v>232</v>
      </c>
      <c r="HR41" t="s">
        <v>231</v>
      </c>
      <c r="HT41" s="4" t="s">
        <v>736</v>
      </c>
      <c r="HU41" t="s">
        <v>29</v>
      </c>
      <c r="HV41" t="s">
        <v>29</v>
      </c>
      <c r="II41" t="s">
        <v>230</v>
      </c>
      <c r="IJ41" s="14" t="s">
        <v>229</v>
      </c>
      <c r="IK41" s="45" t="s">
        <v>660</v>
      </c>
      <c r="IL41" s="45" t="s">
        <v>661</v>
      </c>
      <c r="IM41">
        <v>2012</v>
      </c>
      <c r="IN41" s="2" t="s">
        <v>29</v>
      </c>
      <c r="IO41" s="4" t="s">
        <v>18</v>
      </c>
      <c r="JK41" t="s">
        <v>228</v>
      </c>
      <c r="JL41" s="54" t="s">
        <v>1552</v>
      </c>
      <c r="JM41" s="8" t="s">
        <v>14</v>
      </c>
      <c r="JN41" s="8" t="s">
        <v>730</v>
      </c>
      <c r="JO41" s="4" t="s">
        <v>13</v>
      </c>
      <c r="JP41" t="s">
        <v>731</v>
      </c>
      <c r="JW41" s="4" t="s">
        <v>227</v>
      </c>
      <c r="JX41" s="4" t="s">
        <v>226</v>
      </c>
      <c r="JY41" s="4" t="s">
        <v>13</v>
      </c>
      <c r="JZ41" s="4">
        <v>5000</v>
      </c>
      <c r="KA41" s="4" t="s">
        <v>225</v>
      </c>
      <c r="KB41" s="4">
        <v>0.74</v>
      </c>
      <c r="KC41">
        <v>0.12</v>
      </c>
      <c r="KD41">
        <v>0.69</v>
      </c>
      <c r="KE41" s="4" t="s">
        <v>224</v>
      </c>
      <c r="KF41" t="s">
        <v>223</v>
      </c>
      <c r="KG41" s="7" t="s">
        <v>12</v>
      </c>
      <c r="KH41" s="13" t="s">
        <v>29</v>
      </c>
      <c r="KI41" t="s">
        <v>29</v>
      </c>
      <c r="KJ41" t="s">
        <v>223</v>
      </c>
      <c r="KK41" t="s">
        <v>222</v>
      </c>
      <c r="KL41" t="s">
        <v>221</v>
      </c>
      <c r="KM41" s="4" t="s">
        <v>220</v>
      </c>
      <c r="KN41">
        <v>2.5</v>
      </c>
      <c r="KO41" s="7" t="s">
        <v>720</v>
      </c>
      <c r="KP41" s="7"/>
      <c r="KQ41" s="7"/>
      <c r="KR41" s="13"/>
      <c r="KS41" s="7" t="s">
        <v>219</v>
      </c>
      <c r="KT41" s="7" t="s">
        <v>218</v>
      </c>
      <c r="KU41" s="7"/>
      <c r="KV41" t="s">
        <v>29</v>
      </c>
      <c r="KW41" t="s">
        <v>217</v>
      </c>
      <c r="KX41" t="s">
        <v>216</v>
      </c>
      <c r="LC41" s="4" t="s">
        <v>29</v>
      </c>
      <c r="LD41" s="4"/>
      <c r="LE41" s="4" t="s">
        <v>29</v>
      </c>
      <c r="LF41" s="4"/>
      <c r="LG41" s="4" t="s">
        <v>29</v>
      </c>
      <c r="LH41" s="4"/>
      <c r="LI41" s="4" t="s">
        <v>29</v>
      </c>
      <c r="LJ41" s="4"/>
      <c r="LK41" t="s">
        <v>215</v>
      </c>
      <c r="LL41" s="4" t="s">
        <v>29</v>
      </c>
      <c r="LM41" s="4" t="s">
        <v>29</v>
      </c>
      <c r="LN41" s="4" t="s">
        <v>13</v>
      </c>
      <c r="LO41">
        <v>2500</v>
      </c>
      <c r="MZ41" t="s">
        <v>214</v>
      </c>
      <c r="NA41">
        <v>30</v>
      </c>
      <c r="NB41" t="s">
        <v>1154</v>
      </c>
      <c r="NC41" t="s">
        <v>2453</v>
      </c>
      <c r="NK41" t="s">
        <v>654</v>
      </c>
      <c r="NL41" t="s">
        <v>653</v>
      </c>
      <c r="NM41" s="4" t="s">
        <v>1156</v>
      </c>
      <c r="NN41" s="6" t="s">
        <v>13</v>
      </c>
      <c r="NW41" t="s">
        <v>6</v>
      </c>
      <c r="NX41">
        <v>4481</v>
      </c>
      <c r="NY41" t="s">
        <v>29</v>
      </c>
      <c r="NZ41" t="s">
        <v>29</v>
      </c>
      <c r="OC41">
        <v>8</v>
      </c>
      <c r="OT41" t="s">
        <v>212</v>
      </c>
      <c r="OU41" t="s">
        <v>6</v>
      </c>
      <c r="OW41" s="88">
        <v>2014</v>
      </c>
      <c r="OX41" s="88">
        <v>2015</v>
      </c>
      <c r="OY41" s="2"/>
      <c r="PA41" s="3" t="s">
        <v>1169</v>
      </c>
      <c r="PB41" s="83">
        <v>46094</v>
      </c>
      <c r="PC41" s="83"/>
    </row>
    <row r="42" spans="1:419" ht="15.75" thickBot="1">
      <c r="A42" t="s">
        <v>248</v>
      </c>
      <c r="B42" t="s">
        <v>247</v>
      </c>
      <c r="C42" t="s">
        <v>246</v>
      </c>
      <c r="D42" s="4" t="s">
        <v>245</v>
      </c>
      <c r="E42" t="s">
        <v>244</v>
      </c>
      <c r="F42" s="4" t="s">
        <v>243</v>
      </c>
      <c r="G42" t="s">
        <v>2</v>
      </c>
      <c r="H42" t="s">
        <v>30</v>
      </c>
      <c r="I42" t="s">
        <v>242</v>
      </c>
      <c r="J42" t="s">
        <v>241</v>
      </c>
      <c r="K42" t="s">
        <v>29</v>
      </c>
      <c r="AV42" t="s">
        <v>240</v>
      </c>
      <c r="AW42">
        <v>200</v>
      </c>
      <c r="AX42" t="s">
        <v>29</v>
      </c>
      <c r="AY42">
        <v>1</v>
      </c>
      <c r="AZ42" t="s">
        <v>239</v>
      </c>
      <c r="BA42">
        <v>2014</v>
      </c>
      <c r="BB42">
        <v>2015</v>
      </c>
      <c r="BC42" t="s">
        <v>29</v>
      </c>
      <c r="BD42" t="s">
        <v>19</v>
      </c>
      <c r="BE42" t="s">
        <v>300</v>
      </c>
      <c r="BF42" t="s">
        <v>299</v>
      </c>
      <c r="BG42" s="3" t="s">
        <v>1233</v>
      </c>
      <c r="BH42" t="s">
        <v>23</v>
      </c>
      <c r="BI42" t="s">
        <v>29</v>
      </c>
      <c r="BJ42" s="4" t="s">
        <v>22</v>
      </c>
      <c r="BK42" s="9">
        <v>44000</v>
      </c>
      <c r="HL42" t="s">
        <v>298</v>
      </c>
      <c r="HM42" t="s">
        <v>297</v>
      </c>
      <c r="HN42" t="s">
        <v>296</v>
      </c>
      <c r="HP42" t="s">
        <v>29</v>
      </c>
      <c r="HQ42">
        <v>1</v>
      </c>
      <c r="HR42" t="s">
        <v>231</v>
      </c>
      <c r="HT42" s="4" t="s">
        <v>20</v>
      </c>
      <c r="HU42" t="s">
        <v>29</v>
      </c>
      <c r="HV42" t="s">
        <v>29</v>
      </c>
      <c r="II42" t="s">
        <v>255</v>
      </c>
      <c r="IJ42" s="13" t="s">
        <v>19</v>
      </c>
      <c r="IK42" s="46"/>
      <c r="IL42" s="46"/>
      <c r="JK42" t="s">
        <v>228</v>
      </c>
      <c r="JL42" s="54" t="s">
        <v>1552</v>
      </c>
      <c r="JM42" s="8" t="s">
        <v>14</v>
      </c>
      <c r="JN42" s="8" t="s">
        <v>730</v>
      </c>
      <c r="JO42" s="4" t="s">
        <v>13</v>
      </c>
      <c r="JP42" t="s">
        <v>731</v>
      </c>
      <c r="JW42" s="4" t="s">
        <v>227</v>
      </c>
      <c r="JX42" s="4" t="s">
        <v>226</v>
      </c>
      <c r="JY42" s="4" t="s">
        <v>13</v>
      </c>
      <c r="JZ42" s="4">
        <v>5000</v>
      </c>
      <c r="KA42" s="4" t="s">
        <v>225</v>
      </c>
      <c r="KB42" s="4">
        <v>0.74</v>
      </c>
      <c r="KC42">
        <v>0.12</v>
      </c>
      <c r="KD42">
        <v>0.69</v>
      </c>
      <c r="KE42" s="4" t="s">
        <v>224</v>
      </c>
      <c r="KF42" s="4" t="s">
        <v>295</v>
      </c>
      <c r="KG42" s="13" t="s">
        <v>12</v>
      </c>
      <c r="KH42" s="13" t="s">
        <v>29</v>
      </c>
      <c r="KI42" t="s">
        <v>29</v>
      </c>
      <c r="KJ42" t="s">
        <v>294</v>
      </c>
      <c r="KK42" s="13" t="s">
        <v>12</v>
      </c>
      <c r="KM42" s="4"/>
      <c r="KO42" s="7" t="s">
        <v>720</v>
      </c>
      <c r="KR42" s="13"/>
      <c r="KS42" s="13" t="s">
        <v>722</v>
      </c>
      <c r="KT42" s="7"/>
      <c r="KV42" s="13"/>
      <c r="KX42" s="13" t="s">
        <v>1117</v>
      </c>
      <c r="LC42" s="13"/>
      <c r="LD42" s="4"/>
      <c r="LE42" s="13"/>
      <c r="LF42" s="13"/>
      <c r="LG42" s="13"/>
      <c r="LH42" s="13"/>
      <c r="LI42" s="13"/>
      <c r="LJ42" s="4"/>
      <c r="LK42" s="4"/>
      <c r="LL42" s="4"/>
      <c r="LM42" s="4"/>
      <c r="LN42" s="4"/>
      <c r="MZ42" t="s">
        <v>214</v>
      </c>
      <c r="NA42">
        <v>30</v>
      </c>
      <c r="NB42" t="s">
        <v>655</v>
      </c>
      <c r="NC42" s="4" t="s">
        <v>168</v>
      </c>
      <c r="NK42" t="s">
        <v>654</v>
      </c>
      <c r="NL42" t="s">
        <v>653</v>
      </c>
      <c r="NM42" s="4" t="s">
        <v>8</v>
      </c>
      <c r="NN42" s="6" t="s">
        <v>13</v>
      </c>
      <c r="NV42" t="s">
        <v>1152</v>
      </c>
      <c r="NW42" t="s">
        <v>6</v>
      </c>
      <c r="NX42">
        <v>2878</v>
      </c>
      <c r="NY42" t="s">
        <v>29</v>
      </c>
      <c r="NZ42" t="s">
        <v>29</v>
      </c>
      <c r="OC42">
        <v>8</v>
      </c>
      <c r="OT42" t="s">
        <v>212</v>
      </c>
      <c r="OU42" t="s">
        <v>6</v>
      </c>
      <c r="OW42">
        <v>2014</v>
      </c>
      <c r="OX42">
        <v>2015</v>
      </c>
      <c r="PA42" s="3" t="s">
        <v>1169</v>
      </c>
      <c r="PB42" s="83">
        <v>46094</v>
      </c>
      <c r="PC42" s="83"/>
    </row>
    <row r="43" spans="1:419" ht="15.75" thickBot="1">
      <c r="A43" t="s">
        <v>248</v>
      </c>
      <c r="B43" t="s">
        <v>247</v>
      </c>
      <c r="C43" t="s">
        <v>246</v>
      </c>
      <c r="D43" s="4" t="s">
        <v>245</v>
      </c>
      <c r="E43" t="s">
        <v>244</v>
      </c>
      <c r="F43" s="4" t="s">
        <v>243</v>
      </c>
      <c r="G43" t="s">
        <v>2</v>
      </c>
      <c r="H43" t="s">
        <v>30</v>
      </c>
      <c r="I43" t="s">
        <v>242</v>
      </c>
      <c r="J43" t="s">
        <v>241</v>
      </c>
      <c r="K43" t="s">
        <v>29</v>
      </c>
      <c r="AV43" t="s">
        <v>240</v>
      </c>
      <c r="AW43">
        <v>200</v>
      </c>
      <c r="AX43" t="s">
        <v>29</v>
      </c>
      <c r="AY43">
        <v>1</v>
      </c>
      <c r="AZ43" t="s">
        <v>239</v>
      </c>
      <c r="BA43">
        <v>2014</v>
      </c>
      <c r="BB43">
        <v>2015</v>
      </c>
      <c r="BC43" t="s">
        <v>29</v>
      </c>
      <c r="BD43" t="s">
        <v>19</v>
      </c>
      <c r="BE43" t="s">
        <v>257</v>
      </c>
      <c r="BF43" t="s">
        <v>256</v>
      </c>
      <c r="BG43" s="3" t="s">
        <v>1233</v>
      </c>
      <c r="BH43" t="s">
        <v>23</v>
      </c>
      <c r="BI43" t="s">
        <v>29</v>
      </c>
      <c r="BJ43" s="4" t="s">
        <v>22</v>
      </c>
      <c r="BK43" s="9">
        <v>44000</v>
      </c>
      <c r="HL43" t="s">
        <v>233</v>
      </c>
      <c r="HM43" t="s">
        <v>232</v>
      </c>
      <c r="HR43" t="s">
        <v>231</v>
      </c>
      <c r="HT43" s="4" t="s">
        <v>20</v>
      </c>
      <c r="HU43" t="s">
        <v>29</v>
      </c>
      <c r="HV43" t="s">
        <v>29</v>
      </c>
      <c r="II43" t="s">
        <v>255</v>
      </c>
      <c r="IJ43" s="13" t="s">
        <v>19</v>
      </c>
      <c r="IK43" s="46"/>
      <c r="IL43" s="46"/>
      <c r="IM43" s="88"/>
      <c r="IN43" s="88"/>
      <c r="IO43" s="4"/>
      <c r="IQ43" s="13"/>
      <c r="JK43" t="s">
        <v>228</v>
      </c>
      <c r="JL43" s="54" t="s">
        <v>1552</v>
      </c>
      <c r="JM43" s="8" t="s">
        <v>14</v>
      </c>
      <c r="JN43" s="8" t="s">
        <v>730</v>
      </c>
      <c r="JO43" s="4" t="s">
        <v>13</v>
      </c>
      <c r="JP43" t="s">
        <v>731</v>
      </c>
      <c r="JW43" s="4" t="s">
        <v>227</v>
      </c>
      <c r="JX43" s="4" t="s">
        <v>226</v>
      </c>
      <c r="JY43" s="4" t="s">
        <v>13</v>
      </c>
      <c r="JZ43" s="4">
        <v>5000</v>
      </c>
      <c r="KA43" s="4" t="s">
        <v>225</v>
      </c>
      <c r="KB43" s="4">
        <v>0.74</v>
      </c>
      <c r="KC43">
        <v>0.12</v>
      </c>
      <c r="KD43">
        <v>0.69</v>
      </c>
      <c r="KE43" s="4" t="s">
        <v>224</v>
      </c>
      <c r="KF43" t="s">
        <v>223</v>
      </c>
      <c r="KG43" s="13" t="s">
        <v>12</v>
      </c>
      <c r="KH43" s="13" t="s">
        <v>29</v>
      </c>
      <c r="KI43" t="s">
        <v>29</v>
      </c>
      <c r="KJ43" t="s">
        <v>223</v>
      </c>
      <c r="KK43" t="s">
        <v>222</v>
      </c>
      <c r="KL43" t="s">
        <v>221</v>
      </c>
      <c r="KM43" s="4" t="s">
        <v>220</v>
      </c>
      <c r="KN43">
        <v>2.5</v>
      </c>
      <c r="KO43" s="7" t="s">
        <v>720</v>
      </c>
      <c r="KR43" s="13"/>
      <c r="KS43" s="13" t="s">
        <v>722</v>
      </c>
      <c r="KT43" s="7"/>
      <c r="KV43" s="13"/>
      <c r="KW43" t="s">
        <v>217</v>
      </c>
      <c r="KX43" t="s">
        <v>216</v>
      </c>
      <c r="LC43" s="4" t="s">
        <v>29</v>
      </c>
      <c r="LD43" s="4"/>
      <c r="LE43" s="4" t="s">
        <v>29</v>
      </c>
      <c r="LF43" s="4"/>
      <c r="LG43" s="4" t="s">
        <v>29</v>
      </c>
      <c r="LH43" s="4"/>
      <c r="LI43" s="4" t="s">
        <v>29</v>
      </c>
      <c r="LJ43" s="4"/>
      <c r="LK43" t="s">
        <v>215</v>
      </c>
      <c r="LL43" s="4" t="s">
        <v>29</v>
      </c>
      <c r="LM43" s="4" t="s">
        <v>29</v>
      </c>
      <c r="LN43" s="4" t="s">
        <v>13</v>
      </c>
      <c r="LO43">
        <v>2500</v>
      </c>
      <c r="MZ43" t="s">
        <v>214</v>
      </c>
      <c r="NA43">
        <v>30</v>
      </c>
      <c r="NB43" t="s">
        <v>655</v>
      </c>
      <c r="NC43" s="4" t="s">
        <v>168</v>
      </c>
      <c r="NK43" t="s">
        <v>654</v>
      </c>
      <c r="NL43" t="s">
        <v>653</v>
      </c>
      <c r="NM43" s="4" t="s">
        <v>8</v>
      </c>
      <c r="NN43" s="6" t="s">
        <v>13</v>
      </c>
      <c r="NV43" t="s">
        <v>746</v>
      </c>
      <c r="NW43" t="s">
        <v>6</v>
      </c>
      <c r="NX43">
        <v>2847</v>
      </c>
      <c r="NY43" t="s">
        <v>29</v>
      </c>
      <c r="NZ43" t="s">
        <v>29</v>
      </c>
      <c r="OC43">
        <v>8</v>
      </c>
      <c r="OT43" t="s">
        <v>212</v>
      </c>
      <c r="OU43" t="s">
        <v>6</v>
      </c>
      <c r="OW43" s="88">
        <v>2014</v>
      </c>
      <c r="OX43" s="88">
        <v>2015</v>
      </c>
      <c r="OY43" s="88"/>
      <c r="PA43" s="3" t="s">
        <v>1169</v>
      </c>
      <c r="PB43" s="83">
        <v>46094</v>
      </c>
      <c r="PC43" s="83"/>
    </row>
    <row r="44" spans="1:419" ht="15.75" thickBot="1">
      <c r="A44" t="s">
        <v>248</v>
      </c>
      <c r="B44" t="s">
        <v>247</v>
      </c>
      <c r="C44" t="s">
        <v>246</v>
      </c>
      <c r="D44" s="4" t="s">
        <v>245</v>
      </c>
      <c r="E44" t="s">
        <v>244</v>
      </c>
      <c r="F44" s="4" t="s">
        <v>243</v>
      </c>
      <c r="G44" t="s">
        <v>2</v>
      </c>
      <c r="H44" t="s">
        <v>30</v>
      </c>
      <c r="I44" t="s">
        <v>242</v>
      </c>
      <c r="J44" t="s">
        <v>241</v>
      </c>
      <c r="K44" t="s">
        <v>29</v>
      </c>
      <c r="AV44" t="s">
        <v>240</v>
      </c>
      <c r="AW44">
        <v>200</v>
      </c>
      <c r="AX44" t="s">
        <v>29</v>
      </c>
      <c r="AY44">
        <v>1</v>
      </c>
      <c r="AZ44" t="s">
        <v>239</v>
      </c>
      <c r="BA44">
        <v>2014</v>
      </c>
      <c r="BB44">
        <v>2015</v>
      </c>
      <c r="BC44" t="s">
        <v>29</v>
      </c>
      <c r="BD44" t="s">
        <v>238</v>
      </c>
      <c r="BE44" t="s">
        <v>253</v>
      </c>
      <c r="BF44" t="s">
        <v>252</v>
      </c>
      <c r="BG44" s="3" t="s">
        <v>1233</v>
      </c>
      <c r="BH44" t="s">
        <v>23</v>
      </c>
      <c r="BI44" t="s">
        <v>29</v>
      </c>
      <c r="BJ44" s="4" t="s">
        <v>22</v>
      </c>
      <c r="BK44" s="9">
        <v>44000</v>
      </c>
      <c r="BL44" t="s">
        <v>56</v>
      </c>
      <c r="BM44" t="s">
        <v>250</v>
      </c>
      <c r="BN44" t="s">
        <v>29</v>
      </c>
      <c r="BO44" s="4" t="s">
        <v>22</v>
      </c>
      <c r="BP44" s="9">
        <v>44444</v>
      </c>
      <c r="HL44" t="s">
        <v>233</v>
      </c>
      <c r="HM44" t="s">
        <v>232</v>
      </c>
      <c r="HR44" t="s">
        <v>231</v>
      </c>
      <c r="HT44" s="4" t="s">
        <v>736</v>
      </c>
      <c r="HU44" t="s">
        <v>29</v>
      </c>
      <c r="HV44" t="s">
        <v>29</v>
      </c>
      <c r="II44" t="s">
        <v>251</v>
      </c>
      <c r="IJ44" s="12" t="s">
        <v>229</v>
      </c>
      <c r="IK44" s="45" t="s">
        <v>660</v>
      </c>
      <c r="IL44" s="45" t="s">
        <v>661</v>
      </c>
      <c r="IM44">
        <v>2012</v>
      </c>
      <c r="IN44" s="88" t="s">
        <v>29</v>
      </c>
      <c r="IO44" s="4" t="s">
        <v>18</v>
      </c>
      <c r="JK44" t="s">
        <v>228</v>
      </c>
      <c r="JL44" s="54" t="s">
        <v>1552</v>
      </c>
      <c r="JM44" s="8" t="s">
        <v>14</v>
      </c>
      <c r="JN44" s="8" t="s">
        <v>730</v>
      </c>
      <c r="JO44" s="4" t="s">
        <v>13</v>
      </c>
      <c r="JP44" t="s">
        <v>731</v>
      </c>
      <c r="JW44" s="4" t="s">
        <v>227</v>
      </c>
      <c r="JX44" s="4" t="s">
        <v>226</v>
      </c>
      <c r="JY44" s="4" t="s">
        <v>13</v>
      </c>
      <c r="JZ44" s="4">
        <v>5000</v>
      </c>
      <c r="KA44" s="4" t="s">
        <v>225</v>
      </c>
      <c r="KB44" s="4">
        <v>0.74</v>
      </c>
      <c r="KC44">
        <v>0.12</v>
      </c>
      <c r="KD44">
        <v>0.69</v>
      </c>
      <c r="KE44" s="4" t="s">
        <v>224</v>
      </c>
      <c r="KF44" t="s">
        <v>223</v>
      </c>
      <c r="KG44" s="13" t="s">
        <v>12</v>
      </c>
      <c r="KH44" s="13" t="s">
        <v>29</v>
      </c>
      <c r="KI44" t="s">
        <v>29</v>
      </c>
      <c r="KJ44" t="s">
        <v>223</v>
      </c>
      <c r="KK44" t="s">
        <v>222</v>
      </c>
      <c r="KL44" t="s">
        <v>221</v>
      </c>
      <c r="KM44" s="4" t="s">
        <v>220</v>
      </c>
      <c r="KN44">
        <v>2.5</v>
      </c>
      <c r="KO44" s="7" t="s">
        <v>720</v>
      </c>
      <c r="KR44" s="13"/>
      <c r="KS44" s="11" t="s">
        <v>219</v>
      </c>
      <c r="KT44" s="7" t="s">
        <v>218</v>
      </c>
      <c r="KV44" t="s">
        <v>29</v>
      </c>
      <c r="KW44" t="s">
        <v>217</v>
      </c>
      <c r="KX44" t="s">
        <v>216</v>
      </c>
      <c r="LC44" s="4" t="s">
        <v>29</v>
      </c>
      <c r="LD44" s="4"/>
      <c r="LE44" s="4" t="s">
        <v>29</v>
      </c>
      <c r="LF44" s="4"/>
      <c r="LG44" s="4" t="s">
        <v>29</v>
      </c>
      <c r="LH44" s="4"/>
      <c r="LI44" s="4" t="s">
        <v>29</v>
      </c>
      <c r="LJ44" s="4"/>
      <c r="LK44" t="s">
        <v>215</v>
      </c>
      <c r="LL44" s="4" t="s">
        <v>29</v>
      </c>
      <c r="LM44" s="4" t="s">
        <v>29</v>
      </c>
      <c r="LN44" s="4" t="s">
        <v>13</v>
      </c>
      <c r="LO44">
        <v>2500</v>
      </c>
      <c r="MZ44" t="s">
        <v>214</v>
      </c>
      <c r="NA44">
        <v>30</v>
      </c>
      <c r="NB44" t="s">
        <v>655</v>
      </c>
      <c r="NC44" s="4" t="s">
        <v>168</v>
      </c>
      <c r="NK44" t="s">
        <v>654</v>
      </c>
      <c r="NL44" t="s">
        <v>653</v>
      </c>
      <c r="NM44" s="4" t="s">
        <v>8</v>
      </c>
      <c r="NN44" s="6" t="s">
        <v>13</v>
      </c>
      <c r="NW44" t="s">
        <v>6</v>
      </c>
      <c r="NX44">
        <v>2280</v>
      </c>
      <c r="NY44" t="s">
        <v>29</v>
      </c>
      <c r="NZ44" t="s">
        <v>29</v>
      </c>
      <c r="OC44">
        <v>8</v>
      </c>
      <c r="OT44" t="s">
        <v>212</v>
      </c>
      <c r="OU44" t="s">
        <v>6</v>
      </c>
      <c r="OW44" s="88">
        <v>2014</v>
      </c>
      <c r="OX44" s="88">
        <v>2015</v>
      </c>
      <c r="OY44" s="88"/>
      <c r="PA44" s="3" t="s">
        <v>1169</v>
      </c>
      <c r="PB44" s="83">
        <v>46094</v>
      </c>
      <c r="PC44" s="83"/>
    </row>
    <row r="45" spans="1:419" ht="15.75" thickBot="1">
      <c r="A45" t="s">
        <v>248</v>
      </c>
      <c r="B45" t="s">
        <v>247</v>
      </c>
      <c r="C45" t="s">
        <v>246</v>
      </c>
      <c r="D45" s="4" t="s">
        <v>245</v>
      </c>
      <c r="E45" t="s">
        <v>244</v>
      </c>
      <c r="F45" s="4" t="s">
        <v>243</v>
      </c>
      <c r="G45" t="s">
        <v>2</v>
      </c>
      <c r="H45" t="s">
        <v>30</v>
      </c>
      <c r="I45" t="s">
        <v>242</v>
      </c>
      <c r="J45" t="s">
        <v>241</v>
      </c>
      <c r="K45" t="s">
        <v>29</v>
      </c>
      <c r="AV45" t="s">
        <v>240</v>
      </c>
      <c r="AW45">
        <v>200</v>
      </c>
      <c r="AX45" t="s">
        <v>29</v>
      </c>
      <c r="AY45">
        <v>1</v>
      </c>
      <c r="AZ45" t="s">
        <v>239</v>
      </c>
      <c r="BA45">
        <v>2014</v>
      </c>
      <c r="BB45">
        <v>2015</v>
      </c>
      <c r="BC45" t="s">
        <v>29</v>
      </c>
      <c r="BD45" t="s">
        <v>238</v>
      </c>
      <c r="BE45" t="s">
        <v>237</v>
      </c>
      <c r="BF45" t="s">
        <v>236</v>
      </c>
      <c r="BG45" s="3" t="s">
        <v>1233</v>
      </c>
      <c r="BH45" t="s">
        <v>23</v>
      </c>
      <c r="BI45" t="s">
        <v>29</v>
      </c>
      <c r="BJ45" s="4" t="s">
        <v>22</v>
      </c>
      <c r="BK45" s="9">
        <v>44000</v>
      </c>
      <c r="BL45" t="s">
        <v>56</v>
      </c>
      <c r="BM45" t="s">
        <v>235</v>
      </c>
      <c r="BN45" t="s">
        <v>29</v>
      </c>
      <c r="BO45" s="4" t="s">
        <v>22</v>
      </c>
      <c r="BP45" s="9">
        <v>44444</v>
      </c>
      <c r="HL45" t="s">
        <v>233</v>
      </c>
      <c r="HM45" t="s">
        <v>232</v>
      </c>
      <c r="HR45" t="s">
        <v>231</v>
      </c>
      <c r="HT45" s="4" t="s">
        <v>736</v>
      </c>
      <c r="HU45" t="s">
        <v>29</v>
      </c>
      <c r="HV45" t="s">
        <v>29</v>
      </c>
      <c r="II45" t="s">
        <v>230</v>
      </c>
      <c r="IJ45" s="14" t="s">
        <v>229</v>
      </c>
      <c r="IK45" s="45" t="s">
        <v>660</v>
      </c>
      <c r="IL45" s="45" t="s">
        <v>661</v>
      </c>
      <c r="IM45">
        <v>2012</v>
      </c>
      <c r="IN45" s="2" t="s">
        <v>29</v>
      </c>
      <c r="IO45" s="4" t="s">
        <v>18</v>
      </c>
      <c r="JK45" t="s">
        <v>228</v>
      </c>
      <c r="JL45" s="54" t="s">
        <v>1552</v>
      </c>
      <c r="JM45" s="8" t="s">
        <v>14</v>
      </c>
      <c r="JN45" s="8" t="s">
        <v>730</v>
      </c>
      <c r="JO45" s="4" t="s">
        <v>13</v>
      </c>
      <c r="JP45" t="s">
        <v>731</v>
      </c>
      <c r="JW45" s="4" t="s">
        <v>227</v>
      </c>
      <c r="JX45" s="4" t="s">
        <v>226</v>
      </c>
      <c r="JY45" s="4" t="s">
        <v>13</v>
      </c>
      <c r="JZ45" s="4">
        <v>5000</v>
      </c>
      <c r="KA45" s="4" t="s">
        <v>225</v>
      </c>
      <c r="KB45" s="4">
        <v>0.74</v>
      </c>
      <c r="KC45">
        <v>0.12</v>
      </c>
      <c r="KD45">
        <v>0.69</v>
      </c>
      <c r="KE45" s="4" t="s">
        <v>224</v>
      </c>
      <c r="KF45" t="s">
        <v>223</v>
      </c>
      <c r="KG45" s="7" t="s">
        <v>12</v>
      </c>
      <c r="KH45" s="13" t="s">
        <v>29</v>
      </c>
      <c r="KI45" t="s">
        <v>29</v>
      </c>
      <c r="KJ45" t="s">
        <v>223</v>
      </c>
      <c r="KK45" t="s">
        <v>222</v>
      </c>
      <c r="KL45" t="s">
        <v>221</v>
      </c>
      <c r="KM45" s="4" t="s">
        <v>220</v>
      </c>
      <c r="KN45">
        <v>2.5</v>
      </c>
      <c r="KO45" s="7" t="s">
        <v>720</v>
      </c>
      <c r="KR45" s="13"/>
      <c r="KS45" s="11" t="s">
        <v>219</v>
      </c>
      <c r="KT45" s="7" t="s">
        <v>218</v>
      </c>
      <c r="KV45" t="s">
        <v>29</v>
      </c>
      <c r="KW45" t="s">
        <v>217</v>
      </c>
      <c r="KX45" t="s">
        <v>216</v>
      </c>
      <c r="LC45" s="4" t="s">
        <v>29</v>
      </c>
      <c r="LD45" s="4"/>
      <c r="LE45" s="4" t="s">
        <v>29</v>
      </c>
      <c r="LF45" s="4"/>
      <c r="LG45" s="4" t="s">
        <v>29</v>
      </c>
      <c r="LH45" s="4"/>
      <c r="LI45" s="4" t="s">
        <v>29</v>
      </c>
      <c r="LJ45" s="4"/>
      <c r="LK45" t="s">
        <v>215</v>
      </c>
      <c r="LL45" s="4" t="s">
        <v>29</v>
      </c>
      <c r="LM45" s="4" t="s">
        <v>29</v>
      </c>
      <c r="LN45" s="4" t="s">
        <v>13</v>
      </c>
      <c r="LO45">
        <v>2500</v>
      </c>
      <c r="MZ45" t="s">
        <v>214</v>
      </c>
      <c r="NA45">
        <v>30</v>
      </c>
      <c r="NB45" t="s">
        <v>655</v>
      </c>
      <c r="NC45" s="4" t="s">
        <v>168</v>
      </c>
      <c r="NK45" t="s">
        <v>654</v>
      </c>
      <c r="NL45" t="s">
        <v>653</v>
      </c>
      <c r="NM45" s="4" t="s">
        <v>8</v>
      </c>
      <c r="NN45" s="6" t="s">
        <v>13</v>
      </c>
      <c r="NW45" t="s">
        <v>6</v>
      </c>
      <c r="NX45">
        <v>2394</v>
      </c>
      <c r="NY45" t="s">
        <v>29</v>
      </c>
      <c r="NZ45" t="s">
        <v>29</v>
      </c>
      <c r="OC45">
        <v>8</v>
      </c>
      <c r="OT45" t="s">
        <v>212</v>
      </c>
      <c r="OU45" t="s">
        <v>6</v>
      </c>
      <c r="OW45" s="88">
        <v>2014</v>
      </c>
      <c r="OX45" s="88">
        <v>2015</v>
      </c>
      <c r="OY45" s="2"/>
      <c r="PA45" s="3" t="s">
        <v>1169</v>
      </c>
      <c r="PB45" s="83">
        <v>46094</v>
      </c>
      <c r="PC45" s="83"/>
    </row>
    <row r="46" spans="1:419" ht="15.75" thickBot="1">
      <c r="A46" s="11" t="s">
        <v>36</v>
      </c>
      <c r="B46" t="s">
        <v>35</v>
      </c>
      <c r="C46" t="s">
        <v>34</v>
      </c>
      <c r="D46" s="4" t="s">
        <v>33</v>
      </c>
      <c r="E46" t="s">
        <v>32</v>
      </c>
      <c r="F46" s="4" t="s">
        <v>31</v>
      </c>
      <c r="G46" t="s">
        <v>2</v>
      </c>
      <c r="H46" t="s">
        <v>30</v>
      </c>
      <c r="I46" s="10">
        <v>0.1</v>
      </c>
      <c r="J46" s="10">
        <v>34.566667000000002</v>
      </c>
      <c r="K46" t="s">
        <v>29</v>
      </c>
      <c r="AV46" t="s">
        <v>28</v>
      </c>
      <c r="AW46">
        <v>100</v>
      </c>
      <c r="AX46" t="s">
        <v>29</v>
      </c>
      <c r="AY46">
        <v>4</v>
      </c>
      <c r="AZ46" t="s">
        <v>27</v>
      </c>
      <c r="BA46">
        <v>1994</v>
      </c>
      <c r="BB46">
        <v>1998</v>
      </c>
      <c r="BC46" t="s">
        <v>26</v>
      </c>
      <c r="BD46" t="s">
        <v>59</v>
      </c>
      <c r="BE46" s="10" t="s">
        <v>65</v>
      </c>
      <c r="BF46" t="s">
        <v>64</v>
      </c>
      <c r="BG46" s="3" t="s">
        <v>1233</v>
      </c>
      <c r="BH46" t="s">
        <v>23</v>
      </c>
      <c r="BI46" t="s">
        <v>750</v>
      </c>
      <c r="BJ46" s="4" t="s">
        <v>22</v>
      </c>
      <c r="BK46" s="9">
        <v>53000</v>
      </c>
      <c r="EE46" t="s">
        <v>55</v>
      </c>
      <c r="EF46" s="4" t="s">
        <v>22</v>
      </c>
      <c r="EG46" s="9">
        <v>53000</v>
      </c>
      <c r="EH46" s="9"/>
      <c r="EI46" s="9"/>
      <c r="EJ46" s="9"/>
      <c r="EK46" s="9"/>
      <c r="EL46" s="9"/>
      <c r="EM46" s="9"/>
      <c r="EN46" s="9"/>
      <c r="EO46" s="9"/>
      <c r="EP46" s="9"/>
      <c r="EQ46" s="9"/>
      <c r="ER46" s="9"/>
      <c r="ES46" s="9"/>
      <c r="ET46" s="9"/>
      <c r="EU46" s="9"/>
      <c r="EV46" s="9"/>
      <c r="EW46" s="9"/>
      <c r="EX46" s="9"/>
      <c r="EY46" s="9"/>
      <c r="EZ46" s="9"/>
      <c r="FA46" s="9"/>
      <c r="FB46" s="9"/>
      <c r="FC46" s="9"/>
      <c r="FD46" s="9"/>
      <c r="FE46" s="9"/>
      <c r="FF46" s="9"/>
      <c r="FG46" s="9"/>
      <c r="FH46" s="9"/>
      <c r="FI46" s="9"/>
      <c r="FJ46" s="9"/>
      <c r="FK46" s="9"/>
      <c r="FL46" s="9"/>
      <c r="FM46" s="9"/>
      <c r="FN46" s="9"/>
      <c r="FO46" s="9"/>
      <c r="FP46" s="9"/>
      <c r="FQ46" s="9"/>
      <c r="FR46" s="9"/>
      <c r="FS46" s="9"/>
      <c r="FT46" s="9"/>
      <c r="FU46" s="9"/>
      <c r="FV46" s="9"/>
      <c r="FW46" s="9"/>
      <c r="FX46" s="9"/>
      <c r="FY46" s="9"/>
      <c r="FZ46" s="9"/>
      <c r="GA46" s="9"/>
      <c r="GB46" s="9"/>
      <c r="GC46" s="9"/>
      <c r="GD46" s="9"/>
      <c r="GE46" s="9"/>
      <c r="GF46" s="9"/>
      <c r="GG46" s="9"/>
      <c r="GH46" s="9"/>
      <c r="GI46" s="9"/>
      <c r="GJ46" s="9"/>
      <c r="GK46" s="9"/>
      <c r="GL46" s="9"/>
      <c r="GM46" s="9"/>
      <c r="GN46" s="9"/>
      <c r="GO46" s="9"/>
      <c r="GP46" s="9"/>
      <c r="GQ46" s="9"/>
      <c r="GR46" s="9"/>
      <c r="GS46" s="9"/>
      <c r="GT46" s="9"/>
      <c r="GU46" s="9"/>
      <c r="GV46" s="9"/>
      <c r="GW46" s="9"/>
      <c r="GX46" s="9"/>
      <c r="GY46" s="9"/>
      <c r="GZ46" s="9"/>
      <c r="HA46" s="9"/>
      <c r="HB46" s="9"/>
      <c r="HC46" s="9"/>
      <c r="HD46" s="9"/>
      <c r="HE46" s="9"/>
      <c r="HF46" s="9"/>
      <c r="HG46" s="9"/>
      <c r="HH46" s="9"/>
      <c r="HI46" s="9"/>
      <c r="HJ46" s="9"/>
      <c r="HK46" s="9"/>
      <c r="HR46" t="s">
        <v>21</v>
      </c>
      <c r="HT46" s="4" t="s">
        <v>20</v>
      </c>
      <c r="HU46" s="58">
        <v>34335</v>
      </c>
      <c r="HV46" s="58">
        <v>36160</v>
      </c>
      <c r="HW46" s="58"/>
      <c r="HX46" s="58"/>
      <c r="IO46" s="4"/>
      <c r="IP46" t="s">
        <v>63</v>
      </c>
      <c r="IQ46" s="12" t="s">
        <v>1718</v>
      </c>
      <c r="IT46">
        <v>1995</v>
      </c>
      <c r="IU46">
        <v>1995.2</v>
      </c>
      <c r="IV46" s="4" t="s">
        <v>18</v>
      </c>
      <c r="IW46" t="s">
        <v>61</v>
      </c>
      <c r="IX46" s="12" t="s">
        <v>52</v>
      </c>
      <c r="JA46">
        <v>0.5</v>
      </c>
      <c r="JB46" t="s">
        <v>29</v>
      </c>
      <c r="JC46" t="s">
        <v>29</v>
      </c>
      <c r="JD46" t="s">
        <v>29</v>
      </c>
      <c r="JE46" t="s">
        <v>29</v>
      </c>
      <c r="JF46" t="s">
        <v>29</v>
      </c>
      <c r="JG46" t="s">
        <v>29</v>
      </c>
      <c r="JH46" t="s">
        <v>29</v>
      </c>
      <c r="JI46" t="s">
        <v>29</v>
      </c>
      <c r="JJ46" t="s">
        <v>29</v>
      </c>
      <c r="JL46" s="12" t="s">
        <v>721</v>
      </c>
      <c r="JQ46" s="4"/>
      <c r="JW46" s="4"/>
      <c r="JX46" s="4"/>
      <c r="JY46" s="4"/>
      <c r="JZ46" s="4"/>
      <c r="KA46" s="4"/>
      <c r="KB46" s="4"/>
      <c r="KG46" s="7" t="s">
        <v>12</v>
      </c>
      <c r="KK46" s="53" t="s">
        <v>719</v>
      </c>
      <c r="KL46" s="8" t="s">
        <v>51</v>
      </c>
      <c r="KN46" t="s">
        <v>29</v>
      </c>
      <c r="MZ46" t="s">
        <v>11</v>
      </c>
      <c r="NA46">
        <v>42</v>
      </c>
      <c r="NC46" t="s">
        <v>709</v>
      </c>
      <c r="NH46" t="s">
        <v>205</v>
      </c>
      <c r="NI46" t="s">
        <v>711</v>
      </c>
      <c r="NK46" t="s">
        <v>211</v>
      </c>
      <c r="NM46" s="4" t="s">
        <v>203</v>
      </c>
      <c r="NN46" t="s">
        <v>210</v>
      </c>
      <c r="NW46" t="s">
        <v>6</v>
      </c>
      <c r="NX46">
        <v>54</v>
      </c>
      <c r="NY46" s="4" t="s">
        <v>4</v>
      </c>
      <c r="NZ46">
        <v>6</v>
      </c>
      <c r="OC46">
        <v>4</v>
      </c>
      <c r="OT46" t="s">
        <v>209</v>
      </c>
      <c r="OV46">
        <v>1997</v>
      </c>
      <c r="OY46" s="2" t="s">
        <v>62</v>
      </c>
      <c r="PA46" t="s">
        <v>1169</v>
      </c>
      <c r="PB46" s="58">
        <v>46094</v>
      </c>
    </row>
    <row r="47" spans="1:419" ht="15.75" thickBot="1">
      <c r="A47" s="11" t="s">
        <v>36</v>
      </c>
      <c r="B47" t="s">
        <v>35</v>
      </c>
      <c r="C47" t="s">
        <v>34</v>
      </c>
      <c r="D47" s="4" t="s">
        <v>33</v>
      </c>
      <c r="E47" t="s">
        <v>32</v>
      </c>
      <c r="F47" s="4" t="s">
        <v>31</v>
      </c>
      <c r="G47" t="s">
        <v>2</v>
      </c>
      <c r="H47" t="s">
        <v>30</v>
      </c>
      <c r="I47" s="10">
        <v>0.1</v>
      </c>
      <c r="J47" s="10">
        <v>34.566667000000002</v>
      </c>
      <c r="K47" t="s">
        <v>29</v>
      </c>
      <c r="AV47" t="s">
        <v>28</v>
      </c>
      <c r="AW47">
        <v>100</v>
      </c>
      <c r="AX47" t="s">
        <v>29</v>
      </c>
      <c r="AY47">
        <v>4</v>
      </c>
      <c r="AZ47" t="s">
        <v>27</v>
      </c>
      <c r="BA47">
        <v>1994</v>
      </c>
      <c r="BB47">
        <v>1998</v>
      </c>
      <c r="BC47" t="s">
        <v>26</v>
      </c>
      <c r="BD47" t="s">
        <v>59</v>
      </c>
      <c r="BE47" s="10" t="s">
        <v>58</v>
      </c>
      <c r="BF47" t="s">
        <v>57</v>
      </c>
      <c r="BG47" s="3" t="s">
        <v>1233</v>
      </c>
      <c r="BH47" t="s">
        <v>23</v>
      </c>
      <c r="BI47" t="s">
        <v>750</v>
      </c>
      <c r="BJ47" s="4" t="s">
        <v>22</v>
      </c>
      <c r="BK47" s="9">
        <v>53000</v>
      </c>
      <c r="EE47" t="s">
        <v>55</v>
      </c>
      <c r="EF47" s="4" t="s">
        <v>22</v>
      </c>
      <c r="EG47" s="9">
        <v>53000</v>
      </c>
      <c r="EH47" s="9"/>
      <c r="EI47" s="9"/>
      <c r="EJ47" s="9"/>
      <c r="EK47" s="9"/>
      <c r="EL47" s="9"/>
      <c r="EM47" s="9"/>
      <c r="EN47" s="9"/>
      <c r="EO47" s="9"/>
      <c r="EP47" s="9"/>
      <c r="EQ47" s="9"/>
      <c r="ER47" s="9"/>
      <c r="ES47" s="9"/>
      <c r="ET47" s="9"/>
      <c r="EU47" s="9"/>
      <c r="EV47" s="9"/>
      <c r="EW47" s="9"/>
      <c r="EX47" s="9"/>
      <c r="EY47" s="9"/>
      <c r="EZ47" s="9"/>
      <c r="FA47" s="9"/>
      <c r="FB47" s="9"/>
      <c r="FC47" s="9"/>
      <c r="FD47" s="9"/>
      <c r="FE47" s="9"/>
      <c r="FF47" s="9"/>
      <c r="FG47" s="9"/>
      <c r="FH47" s="9"/>
      <c r="FI47" s="9"/>
      <c r="FJ47" s="9"/>
      <c r="FK47" s="9"/>
      <c r="FL47" s="9"/>
      <c r="FM47" s="9"/>
      <c r="FN47" s="9"/>
      <c r="FO47" s="9"/>
      <c r="FP47" s="9"/>
      <c r="FQ47" s="9"/>
      <c r="FR47" s="9"/>
      <c r="FS47" s="9"/>
      <c r="FT47" s="9"/>
      <c r="FU47" s="9"/>
      <c r="FV47" s="9"/>
      <c r="FW47" s="9"/>
      <c r="FX47" s="9"/>
      <c r="FY47" s="9"/>
      <c r="FZ47" s="9"/>
      <c r="GA47" s="9"/>
      <c r="GB47" s="9"/>
      <c r="GC47" s="9"/>
      <c r="GD47" s="9"/>
      <c r="GE47" s="9"/>
      <c r="GF47" s="9"/>
      <c r="GG47" s="9"/>
      <c r="GH47" s="9"/>
      <c r="GI47" s="9"/>
      <c r="GJ47" s="9"/>
      <c r="GK47" s="9"/>
      <c r="GL47" s="9"/>
      <c r="GM47" s="9"/>
      <c r="GN47" s="9"/>
      <c r="GO47" s="9"/>
      <c r="GP47" s="9"/>
      <c r="GQ47" s="9"/>
      <c r="GR47" s="9"/>
      <c r="GS47" s="9"/>
      <c r="GT47" s="9"/>
      <c r="GU47" s="9"/>
      <c r="GV47" s="9"/>
      <c r="GW47" s="9"/>
      <c r="GX47" s="9"/>
      <c r="GY47" s="9"/>
      <c r="GZ47" s="9"/>
      <c r="HA47" s="9"/>
      <c r="HB47" s="9"/>
      <c r="HC47" s="9"/>
      <c r="HD47" s="9"/>
      <c r="HE47" s="9"/>
      <c r="HF47" s="9"/>
      <c r="HG47" s="9"/>
      <c r="HH47" s="9"/>
      <c r="HI47" s="9"/>
      <c r="HJ47" s="9"/>
      <c r="HK47" s="9"/>
      <c r="HR47" t="s">
        <v>21</v>
      </c>
      <c r="HT47" s="4" t="s">
        <v>20</v>
      </c>
      <c r="HU47" s="58">
        <v>34335</v>
      </c>
      <c r="HV47" s="58">
        <v>36160</v>
      </c>
      <c r="HW47" s="58"/>
      <c r="HX47" s="58"/>
      <c r="IO47" s="4"/>
      <c r="IP47" t="s">
        <v>54</v>
      </c>
      <c r="IQ47" s="12" t="s">
        <v>1719</v>
      </c>
      <c r="IT47">
        <v>1994</v>
      </c>
      <c r="IU47">
        <v>1994.2</v>
      </c>
      <c r="IV47" s="4" t="s">
        <v>18</v>
      </c>
      <c r="IW47" t="s">
        <v>53</v>
      </c>
      <c r="IX47" s="12" t="s">
        <v>52</v>
      </c>
      <c r="JA47">
        <v>0.5</v>
      </c>
      <c r="JB47" t="s">
        <v>29</v>
      </c>
      <c r="JC47" t="s">
        <v>29</v>
      </c>
      <c r="JD47" t="s">
        <v>29</v>
      </c>
      <c r="JE47" t="s">
        <v>29</v>
      </c>
      <c r="JF47" t="s">
        <v>29</v>
      </c>
      <c r="JG47" t="s">
        <v>29</v>
      </c>
      <c r="JH47" t="s">
        <v>29</v>
      </c>
      <c r="JI47" t="s">
        <v>29</v>
      </c>
      <c r="JJ47" t="s">
        <v>29</v>
      </c>
      <c r="JL47" s="12" t="s">
        <v>721</v>
      </c>
      <c r="JQ47" s="4"/>
      <c r="JW47" s="4"/>
      <c r="JX47" s="4"/>
      <c r="JY47" s="4"/>
      <c r="JZ47" s="4"/>
      <c r="KA47" s="4"/>
      <c r="KB47" s="4"/>
      <c r="KG47" s="7" t="s">
        <v>12</v>
      </c>
      <c r="KK47" s="53" t="s">
        <v>719</v>
      </c>
      <c r="KL47" s="8" t="s">
        <v>51</v>
      </c>
      <c r="KN47" t="s">
        <v>29</v>
      </c>
      <c r="MZ47" t="s">
        <v>11</v>
      </c>
      <c r="NA47">
        <v>42</v>
      </c>
      <c r="NC47" t="s">
        <v>709</v>
      </c>
      <c r="NH47" t="s">
        <v>205</v>
      </c>
      <c r="NI47" t="s">
        <v>711</v>
      </c>
      <c r="NK47" t="s">
        <v>211</v>
      </c>
      <c r="NM47" s="4" t="s">
        <v>203</v>
      </c>
      <c r="NN47" t="s">
        <v>210</v>
      </c>
      <c r="NW47" t="s">
        <v>6</v>
      </c>
      <c r="NX47">
        <v>41</v>
      </c>
      <c r="NY47" s="4" t="s">
        <v>4</v>
      </c>
      <c r="NZ47">
        <v>12</v>
      </c>
      <c r="OC47">
        <v>4</v>
      </c>
      <c r="OT47" t="s">
        <v>209</v>
      </c>
      <c r="OV47">
        <v>1997</v>
      </c>
      <c r="OY47" s="2" t="s">
        <v>62</v>
      </c>
      <c r="PA47" t="s">
        <v>1169</v>
      </c>
      <c r="PB47" s="58">
        <v>46094</v>
      </c>
    </row>
    <row r="48" spans="1:419" ht="15.75" thickBot="1">
      <c r="A48" s="11" t="s">
        <v>36</v>
      </c>
      <c r="B48" t="s">
        <v>35</v>
      </c>
      <c r="C48" t="s">
        <v>34</v>
      </c>
      <c r="D48" s="4" t="s">
        <v>33</v>
      </c>
      <c r="E48" t="s">
        <v>32</v>
      </c>
      <c r="F48" s="4" t="s">
        <v>31</v>
      </c>
      <c r="G48" t="s">
        <v>2</v>
      </c>
      <c r="H48" t="s">
        <v>30</v>
      </c>
      <c r="I48" s="10">
        <v>0.1</v>
      </c>
      <c r="J48" s="10">
        <v>34.566667000000002</v>
      </c>
      <c r="K48" t="s">
        <v>29</v>
      </c>
      <c r="AV48" t="s">
        <v>28</v>
      </c>
      <c r="AW48">
        <v>100</v>
      </c>
      <c r="AX48" t="s">
        <v>29</v>
      </c>
      <c r="AY48">
        <v>4</v>
      </c>
      <c r="AZ48" t="s">
        <v>27</v>
      </c>
      <c r="BA48">
        <v>1994</v>
      </c>
      <c r="BB48">
        <v>1998</v>
      </c>
      <c r="BC48" t="s">
        <v>26</v>
      </c>
      <c r="BD48" t="s">
        <v>45</v>
      </c>
      <c r="BE48" s="10" t="s">
        <v>49</v>
      </c>
      <c r="BF48" t="s">
        <v>48</v>
      </c>
      <c r="BG48" s="3" t="s">
        <v>1233</v>
      </c>
      <c r="BH48" t="s">
        <v>23</v>
      </c>
      <c r="BI48" t="s">
        <v>750</v>
      </c>
      <c r="BJ48" s="4" t="s">
        <v>22</v>
      </c>
      <c r="BK48" s="9">
        <v>53000</v>
      </c>
      <c r="EF48" s="4"/>
      <c r="EG48" s="9"/>
      <c r="EH48" s="9"/>
      <c r="EI48" s="9"/>
      <c r="EJ48" s="9"/>
      <c r="EK48" s="9"/>
      <c r="EL48" s="9"/>
      <c r="EM48" s="9"/>
      <c r="EN48" s="9"/>
      <c r="EO48" s="9"/>
      <c r="EP48" s="9"/>
      <c r="EQ48" s="9"/>
      <c r="ER48" s="9"/>
      <c r="ES48" s="9"/>
      <c r="ET48" s="9"/>
      <c r="EU48" s="9"/>
      <c r="EV48" s="9"/>
      <c r="EW48" s="9"/>
      <c r="EX48" s="9"/>
      <c r="EY48" s="9"/>
      <c r="EZ48" s="9"/>
      <c r="FA48" s="9"/>
      <c r="FB48" s="9"/>
      <c r="FC48" s="9"/>
      <c r="FD48" s="9"/>
      <c r="FE48" s="9"/>
      <c r="FF48" s="9"/>
      <c r="FG48" s="9"/>
      <c r="FH48" s="9"/>
      <c r="FI48" s="9"/>
      <c r="FJ48" s="9"/>
      <c r="FK48" s="9"/>
      <c r="FL48" s="9"/>
      <c r="FM48" s="9"/>
      <c r="FN48" s="9"/>
      <c r="FO48" s="9"/>
      <c r="FP48" s="9"/>
      <c r="FQ48" s="9"/>
      <c r="FR48" s="9"/>
      <c r="FS48" s="9"/>
      <c r="FT48" s="9"/>
      <c r="FU48" s="9"/>
      <c r="FV48" s="9"/>
      <c r="FW48" s="9"/>
      <c r="FX48" s="9"/>
      <c r="FY48" s="9"/>
      <c r="FZ48" s="9"/>
      <c r="GA48" s="9"/>
      <c r="GB48" s="9"/>
      <c r="GC48" s="9"/>
      <c r="GD48" s="9"/>
      <c r="GE48" s="9"/>
      <c r="GF48" s="9"/>
      <c r="GG48" s="9"/>
      <c r="GH48" s="9"/>
      <c r="GI48" s="9"/>
      <c r="GJ48" s="9"/>
      <c r="GK48" s="9"/>
      <c r="GL48" s="9"/>
      <c r="GM48" s="9"/>
      <c r="GN48" s="9"/>
      <c r="GO48" s="9"/>
      <c r="GP48" s="9"/>
      <c r="GQ48" s="9"/>
      <c r="GR48" s="9"/>
      <c r="GS48" s="9"/>
      <c r="GT48" s="9"/>
      <c r="GU48" s="9"/>
      <c r="GV48" s="9"/>
      <c r="GW48" s="9"/>
      <c r="GX48" s="9"/>
      <c r="GY48" s="9"/>
      <c r="GZ48" s="9"/>
      <c r="HA48" s="9"/>
      <c r="HB48" s="9"/>
      <c r="HC48" s="9"/>
      <c r="HD48" s="9"/>
      <c r="HE48" s="9"/>
      <c r="HF48" s="9"/>
      <c r="HG48" s="9"/>
      <c r="HH48" s="9"/>
      <c r="HI48" s="9"/>
      <c r="HJ48" s="9"/>
      <c r="HK48" s="9"/>
      <c r="HR48" t="s">
        <v>21</v>
      </c>
      <c r="HT48" s="4" t="s">
        <v>20</v>
      </c>
      <c r="HU48" s="58">
        <v>34335</v>
      </c>
      <c r="HV48" s="58">
        <v>36160</v>
      </c>
      <c r="HW48" s="58"/>
      <c r="HX48" s="58"/>
      <c r="IP48" t="s">
        <v>47</v>
      </c>
      <c r="IQ48" s="54" t="s">
        <v>1226</v>
      </c>
      <c r="IT48">
        <v>1995</v>
      </c>
      <c r="IU48">
        <v>1995.2</v>
      </c>
      <c r="IV48" s="4" t="s">
        <v>18</v>
      </c>
      <c r="IW48" t="s">
        <v>38</v>
      </c>
      <c r="IX48" t="s">
        <v>19</v>
      </c>
      <c r="JB48">
        <v>0</v>
      </c>
      <c r="JC48">
        <v>0</v>
      </c>
      <c r="JD48">
        <v>0</v>
      </c>
      <c r="JE48">
        <v>0</v>
      </c>
      <c r="JF48">
        <v>0</v>
      </c>
      <c r="JG48">
        <v>0</v>
      </c>
      <c r="JH48">
        <v>0</v>
      </c>
      <c r="JI48">
        <v>0</v>
      </c>
      <c r="JJ48">
        <v>0</v>
      </c>
      <c r="JL48" s="12" t="s">
        <v>721</v>
      </c>
      <c r="JQ48" s="4"/>
      <c r="JW48" s="4"/>
      <c r="JX48" s="4"/>
      <c r="JY48" s="4"/>
      <c r="JZ48" s="4"/>
      <c r="KA48" s="4"/>
      <c r="KB48" s="4"/>
      <c r="KG48" s="7" t="s">
        <v>12</v>
      </c>
      <c r="KK48" s="7" t="s">
        <v>720</v>
      </c>
      <c r="MZ48" t="s">
        <v>11</v>
      </c>
      <c r="NA48">
        <v>42</v>
      </c>
      <c r="NC48" t="s">
        <v>709</v>
      </c>
      <c r="NH48" t="s">
        <v>205</v>
      </c>
      <c r="NI48" t="s">
        <v>711</v>
      </c>
      <c r="NK48" t="s">
        <v>211</v>
      </c>
      <c r="NM48" s="4" t="s">
        <v>203</v>
      </c>
      <c r="NN48" t="s">
        <v>210</v>
      </c>
      <c r="NW48" t="s">
        <v>6</v>
      </c>
      <c r="NX48">
        <v>30</v>
      </c>
      <c r="NY48" s="4" t="s">
        <v>4</v>
      </c>
      <c r="NZ48">
        <v>3</v>
      </c>
      <c r="OC48">
        <v>4</v>
      </c>
      <c r="OT48" t="s">
        <v>209</v>
      </c>
      <c r="OV48">
        <v>1997</v>
      </c>
      <c r="OY48" s="2" t="s">
        <v>62</v>
      </c>
      <c r="PA48" t="s">
        <v>1169</v>
      </c>
      <c r="PB48" s="58">
        <v>46094</v>
      </c>
    </row>
    <row r="49" spans="1:418" ht="15.75" thickBot="1">
      <c r="A49" s="11" t="s">
        <v>36</v>
      </c>
      <c r="B49" t="s">
        <v>35</v>
      </c>
      <c r="C49" t="s">
        <v>34</v>
      </c>
      <c r="D49" s="4" t="s">
        <v>33</v>
      </c>
      <c r="E49" t="s">
        <v>32</v>
      </c>
      <c r="F49" s="4" t="s">
        <v>31</v>
      </c>
      <c r="G49" t="s">
        <v>2</v>
      </c>
      <c r="H49" t="s">
        <v>30</v>
      </c>
      <c r="I49" s="10">
        <v>0.1</v>
      </c>
      <c r="J49" s="10">
        <v>34.566667000000002</v>
      </c>
      <c r="K49" t="s">
        <v>29</v>
      </c>
      <c r="AV49" t="s">
        <v>28</v>
      </c>
      <c r="AW49">
        <v>100</v>
      </c>
      <c r="AX49" t="s">
        <v>29</v>
      </c>
      <c r="AY49">
        <v>4</v>
      </c>
      <c r="AZ49" t="s">
        <v>27</v>
      </c>
      <c r="BA49">
        <v>1994</v>
      </c>
      <c r="BB49">
        <v>1998</v>
      </c>
      <c r="BC49" t="s">
        <v>26</v>
      </c>
      <c r="BD49" t="s">
        <v>45</v>
      </c>
      <c r="BE49" s="10" t="s">
        <v>44</v>
      </c>
      <c r="BF49" t="s">
        <v>43</v>
      </c>
      <c r="BG49" s="3" t="s">
        <v>1233</v>
      </c>
      <c r="BH49" t="s">
        <v>23</v>
      </c>
      <c r="BI49" t="s">
        <v>750</v>
      </c>
      <c r="BJ49" s="4" t="s">
        <v>22</v>
      </c>
      <c r="BK49" s="9">
        <v>53000</v>
      </c>
      <c r="EF49" s="4"/>
      <c r="EG49" s="9"/>
      <c r="EH49" s="9"/>
      <c r="EI49" s="9"/>
      <c r="EJ49" s="9"/>
      <c r="EK49" s="9"/>
      <c r="EL49" s="9"/>
      <c r="EM49" s="9"/>
      <c r="EN49" s="9"/>
      <c r="EO49" s="9"/>
      <c r="EP49" s="9"/>
      <c r="EQ49" s="9"/>
      <c r="ER49" s="9"/>
      <c r="ES49" s="9"/>
      <c r="ET49" s="9"/>
      <c r="EU49" s="9"/>
      <c r="EV49" s="9"/>
      <c r="EW49" s="9"/>
      <c r="EX49" s="9"/>
      <c r="EY49" s="9"/>
      <c r="EZ49" s="9"/>
      <c r="FA49" s="9"/>
      <c r="FB49" s="9"/>
      <c r="FC49" s="9"/>
      <c r="FD49" s="9"/>
      <c r="FE49" s="9"/>
      <c r="FF49" s="9"/>
      <c r="FG49" s="9"/>
      <c r="FH49" s="9"/>
      <c r="FI49" s="9"/>
      <c r="FJ49" s="9"/>
      <c r="FK49" s="9"/>
      <c r="FL49" s="9"/>
      <c r="FM49" s="9"/>
      <c r="FN49" s="9"/>
      <c r="FO49" s="9"/>
      <c r="FP49" s="9"/>
      <c r="FQ49" s="9"/>
      <c r="FR49" s="9"/>
      <c r="FS49" s="9"/>
      <c r="FT49" s="9"/>
      <c r="FU49" s="9"/>
      <c r="FV49" s="9"/>
      <c r="FW49" s="9"/>
      <c r="FX49" s="9"/>
      <c r="FY49" s="9"/>
      <c r="FZ49" s="9"/>
      <c r="GA49" s="9"/>
      <c r="GB49" s="9"/>
      <c r="GC49" s="9"/>
      <c r="GD49" s="9"/>
      <c r="GE49" s="9"/>
      <c r="GF49" s="9"/>
      <c r="GG49" s="9"/>
      <c r="GH49" s="9"/>
      <c r="GI49" s="9"/>
      <c r="GJ49" s="9"/>
      <c r="GK49" s="9"/>
      <c r="GL49" s="9"/>
      <c r="GM49" s="9"/>
      <c r="GN49" s="9"/>
      <c r="GO49" s="9"/>
      <c r="GP49" s="9"/>
      <c r="GQ49" s="9"/>
      <c r="GR49" s="9"/>
      <c r="GS49" s="9"/>
      <c r="GT49" s="9"/>
      <c r="GU49" s="9"/>
      <c r="GV49" s="9"/>
      <c r="GW49" s="9"/>
      <c r="GX49" s="9"/>
      <c r="GY49" s="9"/>
      <c r="GZ49" s="9"/>
      <c r="HA49" s="9"/>
      <c r="HB49" s="9"/>
      <c r="HC49" s="9"/>
      <c r="HD49" s="9"/>
      <c r="HE49" s="9"/>
      <c r="HF49" s="9"/>
      <c r="HG49" s="9"/>
      <c r="HH49" s="9"/>
      <c r="HI49" s="9"/>
      <c r="HJ49" s="9"/>
      <c r="HK49" s="9"/>
      <c r="HR49" t="s">
        <v>21</v>
      </c>
      <c r="HT49" s="4" t="s">
        <v>20</v>
      </c>
      <c r="HU49" s="58">
        <v>34335</v>
      </c>
      <c r="HV49" s="58">
        <v>36160</v>
      </c>
      <c r="HW49" s="58"/>
      <c r="HX49" s="58"/>
      <c r="IP49" t="s">
        <v>42</v>
      </c>
      <c r="IQ49" s="13" t="s">
        <v>1227</v>
      </c>
      <c r="IT49">
        <v>1994</v>
      </c>
      <c r="IU49">
        <v>1994.2</v>
      </c>
      <c r="IV49" s="4" t="s">
        <v>18</v>
      </c>
      <c r="IW49" t="s">
        <v>38</v>
      </c>
      <c r="IX49" t="s">
        <v>19</v>
      </c>
      <c r="JB49">
        <v>0</v>
      </c>
      <c r="JC49">
        <v>0</v>
      </c>
      <c r="JD49">
        <v>0</v>
      </c>
      <c r="JE49">
        <v>0</v>
      </c>
      <c r="JF49">
        <v>0</v>
      </c>
      <c r="JG49">
        <v>0</v>
      </c>
      <c r="JH49">
        <v>0</v>
      </c>
      <c r="JI49">
        <v>0</v>
      </c>
      <c r="JJ49">
        <v>0</v>
      </c>
      <c r="JL49" s="12" t="s">
        <v>721</v>
      </c>
      <c r="JQ49" s="4"/>
      <c r="JW49" s="4"/>
      <c r="JX49" s="4"/>
      <c r="JY49" s="4"/>
      <c r="JZ49" s="4"/>
      <c r="KA49" s="4"/>
      <c r="KB49" s="4"/>
      <c r="KG49" s="7" t="s">
        <v>12</v>
      </c>
      <c r="KK49" s="7" t="s">
        <v>720</v>
      </c>
      <c r="MZ49" t="s">
        <v>11</v>
      </c>
      <c r="NA49">
        <v>42</v>
      </c>
      <c r="NC49" t="s">
        <v>709</v>
      </c>
      <c r="NH49" t="s">
        <v>205</v>
      </c>
      <c r="NI49" t="s">
        <v>711</v>
      </c>
      <c r="NK49" t="s">
        <v>211</v>
      </c>
      <c r="NM49" s="4" t="s">
        <v>203</v>
      </c>
      <c r="NN49" t="s">
        <v>210</v>
      </c>
      <c r="NW49" t="s">
        <v>6</v>
      </c>
      <c r="NX49">
        <v>32</v>
      </c>
      <c r="NY49" s="4" t="s">
        <v>4</v>
      </c>
      <c r="NZ49">
        <v>4</v>
      </c>
      <c r="OC49">
        <v>4</v>
      </c>
      <c r="OT49" t="s">
        <v>209</v>
      </c>
      <c r="OV49">
        <v>1997</v>
      </c>
      <c r="OY49" s="2" t="s">
        <v>62</v>
      </c>
      <c r="PA49" t="s">
        <v>1169</v>
      </c>
      <c r="PB49" s="58">
        <v>46094</v>
      </c>
    </row>
    <row r="50" spans="1:418" ht="15.75" thickBot="1">
      <c r="A50" s="11" t="s">
        <v>36</v>
      </c>
      <c r="B50" t="s">
        <v>35</v>
      </c>
      <c r="C50" t="s">
        <v>34</v>
      </c>
      <c r="D50" s="4" t="s">
        <v>33</v>
      </c>
      <c r="E50" t="s">
        <v>32</v>
      </c>
      <c r="F50" s="4" t="s">
        <v>31</v>
      </c>
      <c r="G50" t="s">
        <v>2</v>
      </c>
      <c r="H50" t="s">
        <v>30</v>
      </c>
      <c r="I50" s="10">
        <v>0.1</v>
      </c>
      <c r="J50" s="10">
        <v>34.566667000000002</v>
      </c>
      <c r="K50" t="s">
        <v>29</v>
      </c>
      <c r="AV50" t="s">
        <v>28</v>
      </c>
      <c r="AW50">
        <v>100</v>
      </c>
      <c r="AX50" t="s">
        <v>29</v>
      </c>
      <c r="AY50">
        <v>4</v>
      </c>
      <c r="AZ50" t="s">
        <v>27</v>
      </c>
      <c r="BA50">
        <v>1994</v>
      </c>
      <c r="BB50">
        <v>1998</v>
      </c>
      <c r="BC50" t="s">
        <v>26</v>
      </c>
      <c r="BD50" t="s">
        <v>19</v>
      </c>
      <c r="BE50" s="10" t="s">
        <v>40</v>
      </c>
      <c r="BF50" t="s">
        <v>39</v>
      </c>
      <c r="BG50" s="3" t="s">
        <v>1233</v>
      </c>
      <c r="BH50" t="s">
        <v>23</v>
      </c>
      <c r="BI50" t="s">
        <v>750</v>
      </c>
      <c r="BJ50" s="4" t="s">
        <v>22</v>
      </c>
      <c r="BK50" s="9">
        <v>53000</v>
      </c>
      <c r="HR50" t="s">
        <v>21</v>
      </c>
      <c r="HT50" s="4" t="s">
        <v>20</v>
      </c>
      <c r="HU50" s="58">
        <v>34335</v>
      </c>
      <c r="HV50" s="58">
        <v>36160</v>
      </c>
      <c r="HW50" s="58"/>
      <c r="HX50" s="58"/>
      <c r="IP50" t="s">
        <v>38</v>
      </c>
      <c r="IQ50" s="54" t="s">
        <v>19</v>
      </c>
      <c r="IV50" s="4" t="s">
        <v>18</v>
      </c>
      <c r="IW50" t="s">
        <v>38</v>
      </c>
      <c r="IX50" s="54" t="s">
        <v>19</v>
      </c>
      <c r="JB50">
        <v>0</v>
      </c>
      <c r="JC50">
        <v>0</v>
      </c>
      <c r="JD50">
        <v>0</v>
      </c>
      <c r="JE50">
        <v>0</v>
      </c>
      <c r="JF50">
        <v>0</v>
      </c>
      <c r="JG50">
        <v>0</v>
      </c>
      <c r="JH50">
        <v>0</v>
      </c>
      <c r="JI50">
        <v>0</v>
      </c>
      <c r="JJ50">
        <v>0</v>
      </c>
      <c r="JL50" s="12" t="s">
        <v>721</v>
      </c>
      <c r="JQ50" s="4"/>
      <c r="JW50" s="4"/>
      <c r="JX50" s="4"/>
      <c r="JY50" s="4"/>
      <c r="JZ50" s="4"/>
      <c r="KA50" s="4"/>
      <c r="KB50" s="4"/>
      <c r="KG50" s="7" t="s">
        <v>12</v>
      </c>
      <c r="KK50" s="7" t="s">
        <v>720</v>
      </c>
      <c r="MZ50" t="s">
        <v>11</v>
      </c>
      <c r="NA50">
        <v>42</v>
      </c>
      <c r="NC50" t="s">
        <v>709</v>
      </c>
      <c r="NH50" t="s">
        <v>205</v>
      </c>
      <c r="NI50" t="s">
        <v>711</v>
      </c>
      <c r="NK50" t="s">
        <v>211</v>
      </c>
      <c r="NM50" s="4" t="s">
        <v>203</v>
      </c>
      <c r="NN50" t="s">
        <v>210</v>
      </c>
      <c r="NV50" t="s">
        <v>735</v>
      </c>
      <c r="NW50" t="s">
        <v>6</v>
      </c>
      <c r="NX50">
        <v>39</v>
      </c>
      <c r="NY50" s="4" t="s">
        <v>4</v>
      </c>
      <c r="NZ50">
        <v>9</v>
      </c>
      <c r="OC50">
        <v>4</v>
      </c>
      <c r="OT50" t="s">
        <v>209</v>
      </c>
      <c r="OV50">
        <v>1997</v>
      </c>
      <c r="OY50" s="2" t="s">
        <v>62</v>
      </c>
      <c r="PA50" t="s">
        <v>1169</v>
      </c>
      <c r="PB50" s="58">
        <v>46094</v>
      </c>
    </row>
    <row r="51" spans="1:418" ht="15.75" thickBot="1">
      <c r="A51" s="11" t="s">
        <v>36</v>
      </c>
      <c r="B51" t="s">
        <v>35</v>
      </c>
      <c r="C51" t="s">
        <v>34</v>
      </c>
      <c r="D51" s="4" t="s">
        <v>33</v>
      </c>
      <c r="E51" t="s">
        <v>32</v>
      </c>
      <c r="F51" s="4" t="s">
        <v>31</v>
      </c>
      <c r="G51" t="s">
        <v>2</v>
      </c>
      <c r="H51" t="s">
        <v>30</v>
      </c>
      <c r="I51" s="10">
        <v>0.1</v>
      </c>
      <c r="J51" s="10">
        <v>34.566667000000002</v>
      </c>
      <c r="K51" t="s">
        <v>29</v>
      </c>
      <c r="AV51" t="s">
        <v>28</v>
      </c>
      <c r="AW51">
        <v>100</v>
      </c>
      <c r="AX51" t="s">
        <v>29</v>
      </c>
      <c r="AY51">
        <v>4</v>
      </c>
      <c r="AZ51" t="s">
        <v>27</v>
      </c>
      <c r="BA51">
        <v>1994</v>
      </c>
      <c r="BB51">
        <v>1998</v>
      </c>
      <c r="BC51" t="s">
        <v>26</v>
      </c>
      <c r="BD51" t="s">
        <v>19</v>
      </c>
      <c r="BE51" s="10" t="s">
        <v>25</v>
      </c>
      <c r="BF51" t="s">
        <v>24</v>
      </c>
      <c r="BG51" s="3" t="s">
        <v>1233</v>
      </c>
      <c r="BH51" t="s">
        <v>23</v>
      </c>
      <c r="BI51" t="s">
        <v>750</v>
      </c>
      <c r="BJ51" s="4" t="s">
        <v>22</v>
      </c>
      <c r="BK51" s="9">
        <v>53000</v>
      </c>
      <c r="HR51" t="s">
        <v>21</v>
      </c>
      <c r="HT51" s="4" t="s">
        <v>20</v>
      </c>
      <c r="HU51" s="58">
        <v>34335</v>
      </c>
      <c r="HV51" s="58">
        <v>36160</v>
      </c>
      <c r="HW51" s="58"/>
      <c r="HX51" s="58"/>
      <c r="IP51" t="s">
        <v>16</v>
      </c>
      <c r="IQ51" s="54" t="s">
        <v>19</v>
      </c>
      <c r="IV51" s="4" t="s">
        <v>18</v>
      </c>
      <c r="IW51" t="s">
        <v>17</v>
      </c>
      <c r="IX51" s="54" t="s">
        <v>19</v>
      </c>
      <c r="JB51">
        <v>0</v>
      </c>
      <c r="JC51">
        <v>0</v>
      </c>
      <c r="JD51">
        <v>0</v>
      </c>
      <c r="JE51">
        <v>0</v>
      </c>
      <c r="JF51">
        <v>0</v>
      </c>
      <c r="JG51">
        <v>0</v>
      </c>
      <c r="JH51">
        <v>0</v>
      </c>
      <c r="JI51">
        <v>0</v>
      </c>
      <c r="JJ51">
        <v>0</v>
      </c>
      <c r="JK51" t="s">
        <v>16</v>
      </c>
      <c r="JL51" t="s">
        <v>15</v>
      </c>
      <c r="JM51" s="8" t="s">
        <v>14</v>
      </c>
      <c r="JQ51" s="4" t="s">
        <v>13</v>
      </c>
      <c r="JR51">
        <v>60</v>
      </c>
      <c r="JU51">
        <v>60</v>
      </c>
      <c r="JW51" s="4"/>
      <c r="JX51" s="4"/>
      <c r="JY51" s="4"/>
      <c r="JZ51" s="4"/>
      <c r="KA51" s="4"/>
      <c r="KB51" s="4"/>
      <c r="KG51" s="7" t="s">
        <v>12</v>
      </c>
      <c r="KK51" s="7" t="s">
        <v>720</v>
      </c>
      <c r="MZ51" t="s">
        <v>11</v>
      </c>
      <c r="NA51">
        <v>42</v>
      </c>
      <c r="NC51" t="s">
        <v>709</v>
      </c>
      <c r="NH51" t="s">
        <v>205</v>
      </c>
      <c r="NI51" t="s">
        <v>711</v>
      </c>
      <c r="NK51" t="s">
        <v>211</v>
      </c>
      <c r="NM51" s="4" t="s">
        <v>203</v>
      </c>
      <c r="NN51" t="s">
        <v>210</v>
      </c>
      <c r="NV51" t="s">
        <v>747</v>
      </c>
      <c r="NW51" t="s">
        <v>6</v>
      </c>
      <c r="NX51">
        <v>14</v>
      </c>
      <c r="NY51" s="4" t="s">
        <v>4</v>
      </c>
      <c r="NZ51">
        <v>5</v>
      </c>
      <c r="OC51">
        <v>4</v>
      </c>
      <c r="OT51" t="s">
        <v>209</v>
      </c>
      <c r="OV51">
        <v>1997</v>
      </c>
      <c r="OY51" s="2" t="s">
        <v>62</v>
      </c>
      <c r="PA51" t="s">
        <v>1169</v>
      </c>
      <c r="PB51" s="58">
        <v>46094</v>
      </c>
    </row>
    <row r="52" spans="1:418" ht="15.75" thickBot="1">
      <c r="A52" s="11" t="s">
        <v>36</v>
      </c>
      <c r="B52" t="s">
        <v>35</v>
      </c>
      <c r="C52" t="s">
        <v>34</v>
      </c>
      <c r="D52" s="4" t="s">
        <v>33</v>
      </c>
      <c r="E52" t="s">
        <v>32</v>
      </c>
      <c r="F52" s="4" t="s">
        <v>31</v>
      </c>
      <c r="G52" t="s">
        <v>2</v>
      </c>
      <c r="H52" t="s">
        <v>30</v>
      </c>
      <c r="I52" s="10">
        <v>0.1</v>
      </c>
      <c r="J52" s="10">
        <v>34.566667000000002</v>
      </c>
      <c r="K52" t="s">
        <v>29</v>
      </c>
      <c r="AV52" t="s">
        <v>28</v>
      </c>
      <c r="AW52">
        <v>100</v>
      </c>
      <c r="AX52" t="s">
        <v>29</v>
      </c>
      <c r="AY52">
        <v>4</v>
      </c>
      <c r="AZ52" t="s">
        <v>27</v>
      </c>
      <c r="BA52">
        <v>1994</v>
      </c>
      <c r="BB52">
        <v>1998</v>
      </c>
      <c r="BC52" t="s">
        <v>26</v>
      </c>
      <c r="BD52" t="s">
        <v>59</v>
      </c>
      <c r="BE52" s="10" t="s">
        <v>65</v>
      </c>
      <c r="BF52" t="s">
        <v>64</v>
      </c>
      <c r="BG52" s="3" t="s">
        <v>1233</v>
      </c>
      <c r="BH52" t="s">
        <v>23</v>
      </c>
      <c r="BI52" t="s">
        <v>750</v>
      </c>
      <c r="BJ52" s="4" t="s">
        <v>22</v>
      </c>
      <c r="BK52" s="9">
        <v>53000</v>
      </c>
      <c r="EE52" t="s">
        <v>55</v>
      </c>
      <c r="EF52" s="4" t="s">
        <v>22</v>
      </c>
      <c r="EG52" s="9">
        <v>53000</v>
      </c>
      <c r="EH52" s="9"/>
      <c r="EI52" s="9"/>
      <c r="EJ52" s="9"/>
      <c r="EK52" s="9"/>
      <c r="EL52" s="9"/>
      <c r="EM52" s="9"/>
      <c r="EN52" s="9"/>
      <c r="EO52" s="9"/>
      <c r="EP52" s="9"/>
      <c r="EQ52" s="9"/>
      <c r="ER52" s="9"/>
      <c r="ES52" s="9"/>
      <c r="ET52" s="9"/>
      <c r="EU52" s="9"/>
      <c r="EV52" s="9"/>
      <c r="EW52" s="9"/>
      <c r="EX52" s="9"/>
      <c r="EY52" s="9"/>
      <c r="EZ52" s="9"/>
      <c r="FA52" s="9"/>
      <c r="FB52" s="9"/>
      <c r="FC52" s="9"/>
      <c r="FD52" s="9"/>
      <c r="FE52" s="9"/>
      <c r="FF52" s="9"/>
      <c r="FG52" s="9"/>
      <c r="FH52" s="9"/>
      <c r="FI52" s="9"/>
      <c r="FJ52" s="9"/>
      <c r="FK52" s="9"/>
      <c r="FL52" s="9"/>
      <c r="FM52" s="9"/>
      <c r="FN52" s="9"/>
      <c r="FO52" s="9"/>
      <c r="FP52" s="9"/>
      <c r="FQ52" s="9"/>
      <c r="FR52" s="9"/>
      <c r="FS52" s="9"/>
      <c r="FT52" s="9"/>
      <c r="FU52" s="9"/>
      <c r="FV52" s="9"/>
      <c r="FW52" s="9"/>
      <c r="FX52" s="9"/>
      <c r="FY52" s="9"/>
      <c r="FZ52" s="9"/>
      <c r="GA52" s="9"/>
      <c r="GB52" s="9"/>
      <c r="GC52" s="9"/>
      <c r="GD52" s="9"/>
      <c r="GE52" s="9"/>
      <c r="GF52" s="9"/>
      <c r="GG52" s="9"/>
      <c r="GH52" s="9"/>
      <c r="GI52" s="9"/>
      <c r="GJ52" s="9"/>
      <c r="GK52" s="9"/>
      <c r="GL52" s="9"/>
      <c r="GM52" s="9"/>
      <c r="GN52" s="9"/>
      <c r="GO52" s="9"/>
      <c r="GP52" s="9"/>
      <c r="GQ52" s="9"/>
      <c r="GR52" s="9"/>
      <c r="GS52" s="9"/>
      <c r="GT52" s="9"/>
      <c r="GU52" s="9"/>
      <c r="GV52" s="9"/>
      <c r="GW52" s="9"/>
      <c r="GX52" s="9"/>
      <c r="GY52" s="9"/>
      <c r="GZ52" s="9"/>
      <c r="HA52" s="9"/>
      <c r="HB52" s="9"/>
      <c r="HC52" s="9"/>
      <c r="HD52" s="9"/>
      <c r="HE52" s="9"/>
      <c r="HF52" s="9"/>
      <c r="HG52" s="9"/>
      <c r="HH52" s="9"/>
      <c r="HI52" s="9"/>
      <c r="HJ52" s="9"/>
      <c r="HK52" s="9"/>
      <c r="HR52" t="s">
        <v>21</v>
      </c>
      <c r="HT52" s="4" t="s">
        <v>20</v>
      </c>
      <c r="HU52" s="58">
        <v>34335</v>
      </c>
      <c r="HV52" s="58">
        <v>36160</v>
      </c>
      <c r="HW52" s="58"/>
      <c r="HX52" s="58"/>
      <c r="IO52" s="4"/>
      <c r="IP52" t="s">
        <v>63</v>
      </c>
      <c r="IQ52" s="12" t="s">
        <v>1718</v>
      </c>
      <c r="IT52">
        <v>1995</v>
      </c>
      <c r="IU52">
        <v>1995.2</v>
      </c>
      <c r="IV52" s="4" t="s">
        <v>18</v>
      </c>
      <c r="IW52" t="s">
        <v>61</v>
      </c>
      <c r="IX52" s="12" t="s">
        <v>52</v>
      </c>
      <c r="JA52">
        <v>0.5</v>
      </c>
      <c r="JB52" t="s">
        <v>29</v>
      </c>
      <c r="JC52" t="s">
        <v>29</v>
      </c>
      <c r="JD52" t="s">
        <v>29</v>
      </c>
      <c r="JE52" t="s">
        <v>29</v>
      </c>
      <c r="JF52" t="s">
        <v>29</v>
      </c>
      <c r="JG52" t="s">
        <v>29</v>
      </c>
      <c r="JH52" t="s">
        <v>29</v>
      </c>
      <c r="JI52" t="s">
        <v>29</v>
      </c>
      <c r="JJ52" t="s">
        <v>29</v>
      </c>
      <c r="JL52" s="12" t="s">
        <v>721</v>
      </c>
      <c r="JQ52" s="4"/>
      <c r="JW52" s="4"/>
      <c r="JX52" s="4"/>
      <c r="JY52" s="4"/>
      <c r="JZ52" s="4"/>
      <c r="KA52" s="4"/>
      <c r="KB52" s="4"/>
      <c r="KG52" s="7" t="s">
        <v>12</v>
      </c>
      <c r="KK52" s="53" t="s">
        <v>719</v>
      </c>
      <c r="KL52" s="8" t="s">
        <v>51</v>
      </c>
      <c r="KN52" t="s">
        <v>29</v>
      </c>
      <c r="MZ52" t="s">
        <v>11</v>
      </c>
      <c r="NA52">
        <v>42</v>
      </c>
      <c r="NC52" t="s">
        <v>709</v>
      </c>
      <c r="NH52" t="s">
        <v>205</v>
      </c>
      <c r="NI52" t="s">
        <v>711</v>
      </c>
      <c r="NK52" t="s">
        <v>211</v>
      </c>
      <c r="NM52" s="4" t="s">
        <v>203</v>
      </c>
      <c r="NN52" t="s">
        <v>210</v>
      </c>
      <c r="NW52" t="s">
        <v>6</v>
      </c>
      <c r="NX52">
        <v>18</v>
      </c>
      <c r="NY52" s="4" t="s">
        <v>4</v>
      </c>
      <c r="NZ52">
        <v>5</v>
      </c>
      <c r="OC52">
        <v>4</v>
      </c>
      <c r="OT52" t="s">
        <v>209</v>
      </c>
      <c r="OV52">
        <v>1997</v>
      </c>
      <c r="OY52" t="s">
        <v>1</v>
      </c>
      <c r="PA52" t="s">
        <v>1169</v>
      </c>
      <c r="PB52" s="58">
        <v>46094</v>
      </c>
    </row>
    <row r="53" spans="1:418" ht="15.75" thickBot="1">
      <c r="A53" s="11" t="s">
        <v>36</v>
      </c>
      <c r="B53" t="s">
        <v>35</v>
      </c>
      <c r="C53" t="s">
        <v>34</v>
      </c>
      <c r="D53" s="4" t="s">
        <v>33</v>
      </c>
      <c r="E53" t="s">
        <v>32</v>
      </c>
      <c r="F53" s="4" t="s">
        <v>31</v>
      </c>
      <c r="G53" t="s">
        <v>2</v>
      </c>
      <c r="H53" t="s">
        <v>30</v>
      </c>
      <c r="I53" s="10">
        <v>0.1</v>
      </c>
      <c r="J53" s="10">
        <v>34.566667000000002</v>
      </c>
      <c r="K53" t="s">
        <v>29</v>
      </c>
      <c r="AV53" t="s">
        <v>28</v>
      </c>
      <c r="AW53">
        <v>100</v>
      </c>
      <c r="AX53" t="s">
        <v>29</v>
      </c>
      <c r="AY53">
        <v>4</v>
      </c>
      <c r="AZ53" t="s">
        <v>27</v>
      </c>
      <c r="BA53">
        <v>1994</v>
      </c>
      <c r="BB53">
        <v>1998</v>
      </c>
      <c r="BC53" t="s">
        <v>26</v>
      </c>
      <c r="BD53" t="s">
        <v>59</v>
      </c>
      <c r="BE53" s="10" t="s">
        <v>58</v>
      </c>
      <c r="BF53" t="s">
        <v>57</v>
      </c>
      <c r="BG53" s="3" t="s">
        <v>1233</v>
      </c>
      <c r="BH53" t="s">
        <v>23</v>
      </c>
      <c r="BI53" t="s">
        <v>750</v>
      </c>
      <c r="BJ53" s="4" t="s">
        <v>22</v>
      </c>
      <c r="BK53" s="9">
        <v>53000</v>
      </c>
      <c r="EE53" t="s">
        <v>55</v>
      </c>
      <c r="EF53" s="4" t="s">
        <v>22</v>
      </c>
      <c r="EG53" s="9">
        <v>53000</v>
      </c>
      <c r="EH53" s="9"/>
      <c r="EI53" s="9"/>
      <c r="EJ53" s="9"/>
      <c r="EK53" s="9"/>
      <c r="EL53" s="9"/>
      <c r="EM53" s="9"/>
      <c r="EN53" s="9"/>
      <c r="EO53" s="9"/>
      <c r="EP53" s="9"/>
      <c r="EQ53" s="9"/>
      <c r="ER53" s="9"/>
      <c r="ES53" s="9"/>
      <c r="ET53" s="9"/>
      <c r="EU53" s="9"/>
      <c r="EV53" s="9"/>
      <c r="EW53" s="9"/>
      <c r="EX53" s="9"/>
      <c r="EY53" s="9"/>
      <c r="EZ53" s="9"/>
      <c r="FA53" s="9"/>
      <c r="FB53" s="9"/>
      <c r="FC53" s="9"/>
      <c r="FD53" s="9"/>
      <c r="FE53" s="9"/>
      <c r="FF53" s="9"/>
      <c r="FG53" s="9"/>
      <c r="FH53" s="9"/>
      <c r="FI53" s="9"/>
      <c r="FJ53" s="9"/>
      <c r="FK53" s="9"/>
      <c r="FL53" s="9"/>
      <c r="FM53" s="9"/>
      <c r="FN53" s="9"/>
      <c r="FO53" s="9"/>
      <c r="FP53" s="9"/>
      <c r="FQ53" s="9"/>
      <c r="FR53" s="9"/>
      <c r="FS53" s="9"/>
      <c r="FT53" s="9"/>
      <c r="FU53" s="9"/>
      <c r="FV53" s="9"/>
      <c r="FW53" s="9"/>
      <c r="FX53" s="9"/>
      <c r="FY53" s="9"/>
      <c r="FZ53" s="9"/>
      <c r="GA53" s="9"/>
      <c r="GB53" s="9"/>
      <c r="GC53" s="9"/>
      <c r="GD53" s="9"/>
      <c r="GE53" s="9"/>
      <c r="GF53" s="9"/>
      <c r="GG53" s="9"/>
      <c r="GH53" s="9"/>
      <c r="GI53" s="9"/>
      <c r="GJ53" s="9"/>
      <c r="GK53" s="9"/>
      <c r="GL53" s="9"/>
      <c r="GM53" s="9"/>
      <c r="GN53" s="9"/>
      <c r="GO53" s="9"/>
      <c r="GP53" s="9"/>
      <c r="GQ53" s="9"/>
      <c r="GR53" s="9"/>
      <c r="GS53" s="9"/>
      <c r="GT53" s="9"/>
      <c r="GU53" s="9"/>
      <c r="GV53" s="9"/>
      <c r="GW53" s="9"/>
      <c r="GX53" s="9"/>
      <c r="GY53" s="9"/>
      <c r="GZ53" s="9"/>
      <c r="HA53" s="9"/>
      <c r="HB53" s="9"/>
      <c r="HC53" s="9"/>
      <c r="HD53" s="9"/>
      <c r="HE53" s="9"/>
      <c r="HF53" s="9"/>
      <c r="HG53" s="9"/>
      <c r="HH53" s="9"/>
      <c r="HI53" s="9"/>
      <c r="HJ53" s="9"/>
      <c r="HK53" s="9"/>
      <c r="HR53" t="s">
        <v>21</v>
      </c>
      <c r="HT53" s="4" t="s">
        <v>20</v>
      </c>
      <c r="HU53" s="58">
        <v>34335</v>
      </c>
      <c r="HV53" s="58">
        <v>36160</v>
      </c>
      <c r="HW53" s="58"/>
      <c r="HX53" s="58"/>
      <c r="IO53" s="4"/>
      <c r="IP53" t="s">
        <v>54</v>
      </c>
      <c r="IQ53" s="12" t="s">
        <v>1719</v>
      </c>
      <c r="IT53">
        <v>1994</v>
      </c>
      <c r="IU53">
        <v>1994.2</v>
      </c>
      <c r="IV53" s="4" t="s">
        <v>18</v>
      </c>
      <c r="IW53" t="s">
        <v>53</v>
      </c>
      <c r="IX53" s="12" t="s">
        <v>52</v>
      </c>
      <c r="JA53">
        <v>0.5</v>
      </c>
      <c r="JB53" t="s">
        <v>29</v>
      </c>
      <c r="JC53" t="s">
        <v>29</v>
      </c>
      <c r="JD53" t="s">
        <v>29</v>
      </c>
      <c r="JE53" t="s">
        <v>29</v>
      </c>
      <c r="JF53" t="s">
        <v>29</v>
      </c>
      <c r="JG53" t="s">
        <v>29</v>
      </c>
      <c r="JH53" t="s">
        <v>29</v>
      </c>
      <c r="JI53" t="s">
        <v>29</v>
      </c>
      <c r="JJ53" t="s">
        <v>29</v>
      </c>
      <c r="JL53" s="12" t="s">
        <v>721</v>
      </c>
      <c r="JQ53" s="4"/>
      <c r="JW53" s="4"/>
      <c r="JX53" s="4"/>
      <c r="JY53" s="4"/>
      <c r="JZ53" s="4"/>
      <c r="KA53" s="4"/>
      <c r="KB53" s="4"/>
      <c r="KG53" s="7" t="s">
        <v>12</v>
      </c>
      <c r="KK53" s="53" t="s">
        <v>719</v>
      </c>
      <c r="KL53" s="8" t="s">
        <v>51</v>
      </c>
      <c r="KN53" t="s">
        <v>29</v>
      </c>
      <c r="MZ53" t="s">
        <v>11</v>
      </c>
      <c r="NA53">
        <v>42</v>
      </c>
      <c r="NC53" t="s">
        <v>709</v>
      </c>
      <c r="NH53" t="s">
        <v>205</v>
      </c>
      <c r="NI53" t="s">
        <v>711</v>
      </c>
      <c r="NK53" t="s">
        <v>211</v>
      </c>
      <c r="NM53" s="4" t="s">
        <v>203</v>
      </c>
      <c r="NN53" t="s">
        <v>210</v>
      </c>
      <c r="NW53" t="s">
        <v>6</v>
      </c>
      <c r="NX53">
        <v>12</v>
      </c>
      <c r="NY53" s="4" t="s">
        <v>4</v>
      </c>
      <c r="NZ53">
        <v>2</v>
      </c>
      <c r="OC53">
        <v>4</v>
      </c>
      <c r="OT53" t="s">
        <v>209</v>
      </c>
      <c r="OV53">
        <v>1997</v>
      </c>
      <c r="OY53" t="s">
        <v>1</v>
      </c>
      <c r="PA53" t="s">
        <v>1169</v>
      </c>
      <c r="PB53" s="58">
        <v>46094</v>
      </c>
    </row>
    <row r="54" spans="1:418" ht="15.75" thickBot="1">
      <c r="A54" s="11" t="s">
        <v>36</v>
      </c>
      <c r="B54" t="s">
        <v>35</v>
      </c>
      <c r="C54" t="s">
        <v>34</v>
      </c>
      <c r="D54" s="4" t="s">
        <v>33</v>
      </c>
      <c r="E54" t="s">
        <v>32</v>
      </c>
      <c r="F54" s="4" t="s">
        <v>31</v>
      </c>
      <c r="G54" t="s">
        <v>2</v>
      </c>
      <c r="H54" t="s">
        <v>30</v>
      </c>
      <c r="I54" s="10">
        <v>0.1</v>
      </c>
      <c r="J54" s="10">
        <v>34.566667000000002</v>
      </c>
      <c r="K54" t="s">
        <v>29</v>
      </c>
      <c r="AV54" t="s">
        <v>28</v>
      </c>
      <c r="AW54">
        <v>100</v>
      </c>
      <c r="AX54" t="s">
        <v>29</v>
      </c>
      <c r="AY54">
        <v>4</v>
      </c>
      <c r="AZ54" t="s">
        <v>27</v>
      </c>
      <c r="BA54">
        <v>1994</v>
      </c>
      <c r="BB54">
        <v>1998</v>
      </c>
      <c r="BC54" t="s">
        <v>26</v>
      </c>
      <c r="BD54" t="s">
        <v>45</v>
      </c>
      <c r="BE54" s="10" t="s">
        <v>49</v>
      </c>
      <c r="BF54" t="s">
        <v>48</v>
      </c>
      <c r="BG54" s="3" t="s">
        <v>1233</v>
      </c>
      <c r="BH54" t="s">
        <v>23</v>
      </c>
      <c r="BI54" t="s">
        <v>750</v>
      </c>
      <c r="BJ54" s="4" t="s">
        <v>22</v>
      </c>
      <c r="BK54" s="9">
        <v>53000</v>
      </c>
      <c r="EF54" s="4"/>
      <c r="EG54" s="9"/>
      <c r="EH54" s="9"/>
      <c r="EI54" s="9"/>
      <c r="EJ54" s="9"/>
      <c r="EK54" s="9"/>
      <c r="EL54" s="9"/>
      <c r="EM54" s="9"/>
      <c r="EN54" s="9"/>
      <c r="EO54" s="9"/>
      <c r="EP54" s="9"/>
      <c r="EQ54" s="9"/>
      <c r="ER54" s="9"/>
      <c r="ES54" s="9"/>
      <c r="ET54" s="9"/>
      <c r="EU54" s="9"/>
      <c r="EV54" s="9"/>
      <c r="EW54" s="9"/>
      <c r="EX54" s="9"/>
      <c r="EY54" s="9"/>
      <c r="EZ54" s="9"/>
      <c r="FA54" s="9"/>
      <c r="FB54" s="9"/>
      <c r="FC54" s="9"/>
      <c r="FD54" s="9"/>
      <c r="FE54" s="9"/>
      <c r="FF54" s="9"/>
      <c r="FG54" s="9"/>
      <c r="FH54" s="9"/>
      <c r="FI54" s="9"/>
      <c r="FJ54" s="9"/>
      <c r="FK54" s="9"/>
      <c r="FL54" s="9"/>
      <c r="FM54" s="9"/>
      <c r="FN54" s="9"/>
      <c r="FO54" s="9"/>
      <c r="FP54" s="9"/>
      <c r="FQ54" s="9"/>
      <c r="FR54" s="9"/>
      <c r="FS54" s="9"/>
      <c r="FT54" s="9"/>
      <c r="FU54" s="9"/>
      <c r="FV54" s="9"/>
      <c r="FW54" s="9"/>
      <c r="FX54" s="9"/>
      <c r="FY54" s="9"/>
      <c r="FZ54" s="9"/>
      <c r="GA54" s="9"/>
      <c r="GB54" s="9"/>
      <c r="GC54" s="9"/>
      <c r="GD54" s="9"/>
      <c r="GE54" s="9"/>
      <c r="GF54" s="9"/>
      <c r="GG54" s="9"/>
      <c r="GH54" s="9"/>
      <c r="GI54" s="9"/>
      <c r="GJ54" s="9"/>
      <c r="GK54" s="9"/>
      <c r="GL54" s="9"/>
      <c r="GM54" s="9"/>
      <c r="GN54" s="9"/>
      <c r="GO54" s="9"/>
      <c r="GP54" s="9"/>
      <c r="GQ54" s="9"/>
      <c r="GR54" s="9"/>
      <c r="GS54" s="9"/>
      <c r="GT54" s="9"/>
      <c r="GU54" s="9"/>
      <c r="GV54" s="9"/>
      <c r="GW54" s="9"/>
      <c r="GX54" s="9"/>
      <c r="GY54" s="9"/>
      <c r="GZ54" s="9"/>
      <c r="HA54" s="9"/>
      <c r="HB54" s="9"/>
      <c r="HC54" s="9"/>
      <c r="HD54" s="9"/>
      <c r="HE54" s="9"/>
      <c r="HF54" s="9"/>
      <c r="HG54" s="9"/>
      <c r="HH54" s="9"/>
      <c r="HI54" s="9"/>
      <c r="HJ54" s="9"/>
      <c r="HK54" s="9"/>
      <c r="HR54" t="s">
        <v>21</v>
      </c>
      <c r="HT54" s="4" t="s">
        <v>20</v>
      </c>
      <c r="HU54" s="58">
        <v>34335</v>
      </c>
      <c r="HV54" s="58">
        <v>36160</v>
      </c>
      <c r="HW54" s="58"/>
      <c r="HX54" s="58"/>
      <c r="IP54" t="s">
        <v>47</v>
      </c>
      <c r="IQ54" s="54" t="s">
        <v>1226</v>
      </c>
      <c r="IT54">
        <v>1995</v>
      </c>
      <c r="IU54">
        <v>1995.2</v>
      </c>
      <c r="IV54" s="4" t="s">
        <v>18</v>
      </c>
      <c r="IW54" t="s">
        <v>38</v>
      </c>
      <c r="IX54" t="s">
        <v>19</v>
      </c>
      <c r="JB54">
        <v>0</v>
      </c>
      <c r="JC54">
        <v>0</v>
      </c>
      <c r="JD54">
        <v>0</v>
      </c>
      <c r="JE54">
        <v>0</v>
      </c>
      <c r="JF54">
        <v>0</v>
      </c>
      <c r="JG54">
        <v>0</v>
      </c>
      <c r="JH54">
        <v>0</v>
      </c>
      <c r="JI54">
        <v>0</v>
      </c>
      <c r="JJ54">
        <v>0</v>
      </c>
      <c r="JL54" s="12" t="s">
        <v>721</v>
      </c>
      <c r="JQ54" s="4"/>
      <c r="JW54" s="4"/>
      <c r="JX54" s="4"/>
      <c r="JY54" s="4"/>
      <c r="JZ54" s="4"/>
      <c r="KA54" s="4"/>
      <c r="KB54" s="4"/>
      <c r="KG54" s="7" t="s">
        <v>12</v>
      </c>
      <c r="KK54" s="7" t="s">
        <v>720</v>
      </c>
      <c r="MZ54" t="s">
        <v>11</v>
      </c>
      <c r="NA54">
        <v>42</v>
      </c>
      <c r="NC54" t="s">
        <v>709</v>
      </c>
      <c r="NH54" t="s">
        <v>205</v>
      </c>
      <c r="NI54" t="s">
        <v>711</v>
      </c>
      <c r="NK54" t="s">
        <v>211</v>
      </c>
      <c r="NM54" s="4" t="s">
        <v>203</v>
      </c>
      <c r="NN54" t="s">
        <v>210</v>
      </c>
      <c r="NW54" t="s">
        <v>6</v>
      </c>
      <c r="NX54">
        <v>14</v>
      </c>
      <c r="NY54" s="4" t="s">
        <v>4</v>
      </c>
      <c r="NZ54">
        <v>5</v>
      </c>
      <c r="OC54">
        <v>4</v>
      </c>
      <c r="OT54" t="s">
        <v>209</v>
      </c>
      <c r="OV54">
        <v>1997</v>
      </c>
      <c r="OY54" t="s">
        <v>1</v>
      </c>
      <c r="PA54" t="s">
        <v>1169</v>
      </c>
      <c r="PB54" s="58">
        <v>46094</v>
      </c>
    </row>
    <row r="55" spans="1:418" ht="15.75" thickBot="1">
      <c r="A55" s="11" t="s">
        <v>36</v>
      </c>
      <c r="B55" t="s">
        <v>35</v>
      </c>
      <c r="C55" t="s">
        <v>34</v>
      </c>
      <c r="D55" s="4" t="s">
        <v>33</v>
      </c>
      <c r="E55" t="s">
        <v>32</v>
      </c>
      <c r="F55" s="4" t="s">
        <v>31</v>
      </c>
      <c r="G55" t="s">
        <v>2</v>
      </c>
      <c r="H55" t="s">
        <v>30</v>
      </c>
      <c r="I55" s="10">
        <v>0.1</v>
      </c>
      <c r="J55" s="10">
        <v>34.566667000000002</v>
      </c>
      <c r="K55" t="s">
        <v>29</v>
      </c>
      <c r="AV55" t="s">
        <v>28</v>
      </c>
      <c r="AW55">
        <v>100</v>
      </c>
      <c r="AX55" t="s">
        <v>29</v>
      </c>
      <c r="AY55">
        <v>4</v>
      </c>
      <c r="AZ55" t="s">
        <v>27</v>
      </c>
      <c r="BA55">
        <v>1994</v>
      </c>
      <c r="BB55">
        <v>1998</v>
      </c>
      <c r="BC55" t="s">
        <v>26</v>
      </c>
      <c r="BD55" t="s">
        <v>45</v>
      </c>
      <c r="BE55" s="10" t="s">
        <v>44</v>
      </c>
      <c r="BF55" t="s">
        <v>43</v>
      </c>
      <c r="BG55" s="3" t="s">
        <v>1233</v>
      </c>
      <c r="BH55" t="s">
        <v>23</v>
      </c>
      <c r="BI55" t="s">
        <v>750</v>
      </c>
      <c r="BJ55" s="4" t="s">
        <v>22</v>
      </c>
      <c r="BK55" s="9">
        <v>53000</v>
      </c>
      <c r="EF55" s="4"/>
      <c r="EG55" s="9"/>
      <c r="EH55" s="9"/>
      <c r="EI55" s="9"/>
      <c r="EJ55" s="9"/>
      <c r="EK55" s="9"/>
      <c r="EL55" s="9"/>
      <c r="EM55" s="9"/>
      <c r="EN55" s="9"/>
      <c r="EO55" s="9"/>
      <c r="EP55" s="9"/>
      <c r="EQ55" s="9"/>
      <c r="ER55" s="9"/>
      <c r="ES55" s="9"/>
      <c r="ET55" s="9"/>
      <c r="EU55" s="9"/>
      <c r="EV55" s="9"/>
      <c r="EW55" s="9"/>
      <c r="EX55" s="9"/>
      <c r="EY55" s="9"/>
      <c r="EZ55" s="9"/>
      <c r="FA55" s="9"/>
      <c r="FB55" s="9"/>
      <c r="FC55" s="9"/>
      <c r="FD55" s="9"/>
      <c r="FE55" s="9"/>
      <c r="FF55" s="9"/>
      <c r="FG55" s="9"/>
      <c r="FH55" s="9"/>
      <c r="FI55" s="9"/>
      <c r="FJ55" s="9"/>
      <c r="FK55" s="9"/>
      <c r="FL55" s="9"/>
      <c r="FM55" s="9"/>
      <c r="FN55" s="9"/>
      <c r="FO55" s="9"/>
      <c r="FP55" s="9"/>
      <c r="FQ55" s="9"/>
      <c r="FR55" s="9"/>
      <c r="FS55" s="9"/>
      <c r="FT55" s="9"/>
      <c r="FU55" s="9"/>
      <c r="FV55" s="9"/>
      <c r="FW55" s="9"/>
      <c r="FX55" s="9"/>
      <c r="FY55" s="9"/>
      <c r="FZ55" s="9"/>
      <c r="GA55" s="9"/>
      <c r="GB55" s="9"/>
      <c r="GC55" s="9"/>
      <c r="GD55" s="9"/>
      <c r="GE55" s="9"/>
      <c r="GF55" s="9"/>
      <c r="GG55" s="9"/>
      <c r="GH55" s="9"/>
      <c r="GI55" s="9"/>
      <c r="GJ55" s="9"/>
      <c r="GK55" s="9"/>
      <c r="GL55" s="9"/>
      <c r="GM55" s="9"/>
      <c r="GN55" s="9"/>
      <c r="GO55" s="9"/>
      <c r="GP55" s="9"/>
      <c r="GQ55" s="9"/>
      <c r="GR55" s="9"/>
      <c r="GS55" s="9"/>
      <c r="GT55" s="9"/>
      <c r="GU55" s="9"/>
      <c r="GV55" s="9"/>
      <c r="GW55" s="9"/>
      <c r="GX55" s="9"/>
      <c r="GY55" s="9"/>
      <c r="GZ55" s="9"/>
      <c r="HA55" s="9"/>
      <c r="HB55" s="9"/>
      <c r="HC55" s="9"/>
      <c r="HD55" s="9"/>
      <c r="HE55" s="9"/>
      <c r="HF55" s="9"/>
      <c r="HG55" s="9"/>
      <c r="HH55" s="9"/>
      <c r="HI55" s="9"/>
      <c r="HJ55" s="9"/>
      <c r="HK55" s="9"/>
      <c r="HR55" t="s">
        <v>21</v>
      </c>
      <c r="HT55" s="4" t="s">
        <v>20</v>
      </c>
      <c r="HU55" s="58">
        <v>34335</v>
      </c>
      <c r="HV55" s="58">
        <v>36160</v>
      </c>
      <c r="HW55" s="58"/>
      <c r="HX55" s="58"/>
      <c r="IP55" t="s">
        <v>42</v>
      </c>
      <c r="IQ55" s="13" t="s">
        <v>1227</v>
      </c>
      <c r="IT55">
        <v>1994</v>
      </c>
      <c r="IU55">
        <v>1994.2</v>
      </c>
      <c r="IV55" s="4" t="s">
        <v>18</v>
      </c>
      <c r="IW55" t="s">
        <v>38</v>
      </c>
      <c r="IX55" t="s">
        <v>19</v>
      </c>
      <c r="JB55">
        <v>0</v>
      </c>
      <c r="JC55">
        <v>0</v>
      </c>
      <c r="JD55">
        <v>0</v>
      </c>
      <c r="JE55">
        <v>0</v>
      </c>
      <c r="JF55">
        <v>0</v>
      </c>
      <c r="JG55">
        <v>0</v>
      </c>
      <c r="JH55">
        <v>0</v>
      </c>
      <c r="JI55">
        <v>0</v>
      </c>
      <c r="JJ55">
        <v>0</v>
      </c>
      <c r="JL55" s="12" t="s">
        <v>721</v>
      </c>
      <c r="JQ55" s="4"/>
      <c r="JW55" s="4"/>
      <c r="JX55" s="4"/>
      <c r="JY55" s="4"/>
      <c r="JZ55" s="4"/>
      <c r="KA55" s="4"/>
      <c r="KB55" s="4"/>
      <c r="KG55" s="7" t="s">
        <v>12</v>
      </c>
      <c r="KK55" s="7" t="s">
        <v>720</v>
      </c>
      <c r="MZ55" t="s">
        <v>11</v>
      </c>
      <c r="NA55">
        <v>42</v>
      </c>
      <c r="NC55" t="s">
        <v>709</v>
      </c>
      <c r="NH55" t="s">
        <v>205</v>
      </c>
      <c r="NI55" t="s">
        <v>711</v>
      </c>
      <c r="NK55" t="s">
        <v>211</v>
      </c>
      <c r="NM55" s="4" t="s">
        <v>203</v>
      </c>
      <c r="NN55" t="s">
        <v>210</v>
      </c>
      <c r="NW55" t="s">
        <v>6</v>
      </c>
      <c r="NX55">
        <v>10</v>
      </c>
      <c r="NY55" s="4" t="s">
        <v>4</v>
      </c>
      <c r="NZ55">
        <v>3</v>
      </c>
      <c r="OC55">
        <v>4</v>
      </c>
      <c r="OT55" t="s">
        <v>209</v>
      </c>
      <c r="OV55">
        <v>1997</v>
      </c>
      <c r="OY55" t="s">
        <v>1</v>
      </c>
      <c r="PA55" t="s">
        <v>1169</v>
      </c>
      <c r="PB55" s="58">
        <v>46094</v>
      </c>
    </row>
    <row r="56" spans="1:418" ht="15.75" thickBot="1">
      <c r="A56" s="11" t="s">
        <v>36</v>
      </c>
      <c r="B56" t="s">
        <v>35</v>
      </c>
      <c r="C56" t="s">
        <v>34</v>
      </c>
      <c r="D56" s="4" t="s">
        <v>33</v>
      </c>
      <c r="E56" t="s">
        <v>32</v>
      </c>
      <c r="F56" s="4" t="s">
        <v>31</v>
      </c>
      <c r="G56" t="s">
        <v>2</v>
      </c>
      <c r="H56" t="s">
        <v>30</v>
      </c>
      <c r="I56" s="10">
        <v>0.1</v>
      </c>
      <c r="J56" s="10">
        <v>34.566667000000002</v>
      </c>
      <c r="K56" t="s">
        <v>29</v>
      </c>
      <c r="AV56" t="s">
        <v>28</v>
      </c>
      <c r="AW56">
        <v>100</v>
      </c>
      <c r="AX56" t="s">
        <v>29</v>
      </c>
      <c r="AY56">
        <v>4</v>
      </c>
      <c r="AZ56" t="s">
        <v>27</v>
      </c>
      <c r="BA56">
        <v>1994</v>
      </c>
      <c r="BB56">
        <v>1998</v>
      </c>
      <c r="BC56" t="s">
        <v>26</v>
      </c>
      <c r="BD56" t="s">
        <v>19</v>
      </c>
      <c r="BE56" s="10" t="s">
        <v>40</v>
      </c>
      <c r="BF56" t="s">
        <v>39</v>
      </c>
      <c r="BG56" s="3" t="s">
        <v>1233</v>
      </c>
      <c r="BH56" t="s">
        <v>23</v>
      </c>
      <c r="BI56" t="s">
        <v>750</v>
      </c>
      <c r="BJ56" s="4" t="s">
        <v>22</v>
      </c>
      <c r="BK56" s="9">
        <v>53000</v>
      </c>
      <c r="HR56" t="s">
        <v>21</v>
      </c>
      <c r="HT56" s="4" t="s">
        <v>20</v>
      </c>
      <c r="HU56" s="58">
        <v>34335</v>
      </c>
      <c r="HV56" s="58">
        <v>36160</v>
      </c>
      <c r="HW56" s="58"/>
      <c r="HX56" s="58"/>
      <c r="IP56" t="s">
        <v>38</v>
      </c>
      <c r="IQ56" s="54" t="s">
        <v>19</v>
      </c>
      <c r="IV56" s="4" t="s">
        <v>18</v>
      </c>
      <c r="IW56" t="s">
        <v>38</v>
      </c>
      <c r="IX56" s="54" t="s">
        <v>19</v>
      </c>
      <c r="JB56">
        <v>0</v>
      </c>
      <c r="JC56">
        <v>0</v>
      </c>
      <c r="JD56">
        <v>0</v>
      </c>
      <c r="JE56">
        <v>0</v>
      </c>
      <c r="JF56">
        <v>0</v>
      </c>
      <c r="JG56">
        <v>0</v>
      </c>
      <c r="JH56">
        <v>0</v>
      </c>
      <c r="JI56">
        <v>0</v>
      </c>
      <c r="JJ56">
        <v>0</v>
      </c>
      <c r="JL56" s="12" t="s">
        <v>721</v>
      </c>
      <c r="JQ56" s="4"/>
      <c r="JW56" s="4"/>
      <c r="JX56" s="4"/>
      <c r="JY56" s="4"/>
      <c r="JZ56" s="4"/>
      <c r="KA56" s="4"/>
      <c r="KB56" s="4"/>
      <c r="KG56" s="7" t="s">
        <v>12</v>
      </c>
      <c r="KK56" s="7" t="s">
        <v>720</v>
      </c>
      <c r="MZ56" t="s">
        <v>11</v>
      </c>
      <c r="NA56">
        <v>42</v>
      </c>
      <c r="NC56" t="s">
        <v>709</v>
      </c>
      <c r="NH56" t="s">
        <v>205</v>
      </c>
      <c r="NI56" t="s">
        <v>711</v>
      </c>
      <c r="NK56" t="s">
        <v>211</v>
      </c>
      <c r="NM56" s="4" t="s">
        <v>203</v>
      </c>
      <c r="NN56" t="s">
        <v>210</v>
      </c>
      <c r="NV56" t="s">
        <v>735</v>
      </c>
      <c r="NW56" t="s">
        <v>6</v>
      </c>
      <c r="NX56">
        <v>12</v>
      </c>
      <c r="NY56" s="4" t="s">
        <v>4</v>
      </c>
      <c r="NZ56">
        <v>4</v>
      </c>
      <c r="OC56">
        <v>4</v>
      </c>
      <c r="OT56" t="s">
        <v>209</v>
      </c>
      <c r="OV56">
        <v>1997</v>
      </c>
      <c r="OY56" t="s">
        <v>1</v>
      </c>
      <c r="PA56" t="s">
        <v>1169</v>
      </c>
      <c r="PB56" s="58">
        <v>46094</v>
      </c>
    </row>
    <row r="57" spans="1:418" ht="15.75" thickBot="1">
      <c r="A57" s="11" t="s">
        <v>36</v>
      </c>
      <c r="B57" t="s">
        <v>35</v>
      </c>
      <c r="C57" t="s">
        <v>34</v>
      </c>
      <c r="D57" s="4" t="s">
        <v>33</v>
      </c>
      <c r="E57" t="s">
        <v>32</v>
      </c>
      <c r="F57" s="4" t="s">
        <v>31</v>
      </c>
      <c r="G57" t="s">
        <v>2</v>
      </c>
      <c r="H57" t="s">
        <v>30</v>
      </c>
      <c r="I57" s="10">
        <v>0.1</v>
      </c>
      <c r="J57" s="10">
        <v>34.566667000000002</v>
      </c>
      <c r="K57" t="s">
        <v>29</v>
      </c>
      <c r="AV57" t="s">
        <v>28</v>
      </c>
      <c r="AW57">
        <v>100</v>
      </c>
      <c r="AX57" t="s">
        <v>29</v>
      </c>
      <c r="AY57">
        <v>4</v>
      </c>
      <c r="AZ57" t="s">
        <v>27</v>
      </c>
      <c r="BA57">
        <v>1994</v>
      </c>
      <c r="BB57">
        <v>1998</v>
      </c>
      <c r="BC57" t="s">
        <v>26</v>
      </c>
      <c r="BD57" t="s">
        <v>19</v>
      </c>
      <c r="BE57" s="10" t="s">
        <v>25</v>
      </c>
      <c r="BF57" t="s">
        <v>24</v>
      </c>
      <c r="BG57" s="3" t="s">
        <v>1233</v>
      </c>
      <c r="BH57" t="s">
        <v>23</v>
      </c>
      <c r="BI57" t="s">
        <v>750</v>
      </c>
      <c r="BJ57" s="4" t="s">
        <v>22</v>
      </c>
      <c r="BK57" s="9">
        <v>53000</v>
      </c>
      <c r="HR57" t="s">
        <v>21</v>
      </c>
      <c r="HT57" s="4" t="s">
        <v>20</v>
      </c>
      <c r="HU57" s="58">
        <v>34335</v>
      </c>
      <c r="HV57" s="58">
        <v>36160</v>
      </c>
      <c r="HW57" s="58"/>
      <c r="HX57" s="58"/>
      <c r="IP57" t="s">
        <v>16</v>
      </c>
      <c r="IQ57" s="54" t="s">
        <v>19</v>
      </c>
      <c r="IV57" s="4" t="s">
        <v>18</v>
      </c>
      <c r="IW57" t="s">
        <v>17</v>
      </c>
      <c r="IX57" s="54" t="s">
        <v>19</v>
      </c>
      <c r="JB57">
        <v>0</v>
      </c>
      <c r="JC57">
        <v>0</v>
      </c>
      <c r="JD57">
        <v>0</v>
      </c>
      <c r="JE57">
        <v>0</v>
      </c>
      <c r="JF57">
        <v>0</v>
      </c>
      <c r="JG57">
        <v>0</v>
      </c>
      <c r="JH57">
        <v>0</v>
      </c>
      <c r="JI57">
        <v>0</v>
      </c>
      <c r="JJ57">
        <v>0</v>
      </c>
      <c r="JK57" t="s">
        <v>16</v>
      </c>
      <c r="JL57" t="s">
        <v>15</v>
      </c>
      <c r="JM57" s="8" t="s">
        <v>14</v>
      </c>
      <c r="JQ57" s="4" t="s">
        <v>13</v>
      </c>
      <c r="JR57">
        <v>60</v>
      </c>
      <c r="JU57">
        <v>60</v>
      </c>
      <c r="JW57" s="4"/>
      <c r="JX57" s="4"/>
      <c r="JY57" s="4"/>
      <c r="JZ57" s="4"/>
      <c r="KA57" s="4"/>
      <c r="KB57" s="4"/>
      <c r="KG57" s="7" t="s">
        <v>12</v>
      </c>
      <c r="KK57" s="7" t="s">
        <v>720</v>
      </c>
      <c r="MZ57" t="s">
        <v>11</v>
      </c>
      <c r="NA57">
        <v>42</v>
      </c>
      <c r="NC57" t="s">
        <v>709</v>
      </c>
      <c r="NH57" t="s">
        <v>205</v>
      </c>
      <c r="NI57" t="s">
        <v>711</v>
      </c>
      <c r="NK57" t="s">
        <v>211</v>
      </c>
      <c r="NM57" s="4" t="s">
        <v>203</v>
      </c>
      <c r="NN57" t="s">
        <v>210</v>
      </c>
      <c r="NV57" t="s">
        <v>747</v>
      </c>
      <c r="NW57" t="s">
        <v>6</v>
      </c>
      <c r="NX57">
        <v>5</v>
      </c>
      <c r="NY57" s="4" t="s">
        <v>4</v>
      </c>
      <c r="NZ57">
        <v>3</v>
      </c>
      <c r="OC57">
        <v>4</v>
      </c>
      <c r="OT57" t="s">
        <v>209</v>
      </c>
      <c r="OV57">
        <v>1997</v>
      </c>
      <c r="OY57" t="s">
        <v>1</v>
      </c>
      <c r="PA57" t="s">
        <v>1169</v>
      </c>
      <c r="PB57" s="58">
        <v>46094</v>
      </c>
    </row>
    <row r="58" spans="1:418" ht="15.75" thickBot="1">
      <c r="A58" s="11" t="s">
        <v>36</v>
      </c>
      <c r="B58" t="s">
        <v>35</v>
      </c>
      <c r="C58" t="s">
        <v>34</v>
      </c>
      <c r="D58" s="4" t="s">
        <v>33</v>
      </c>
      <c r="E58" t="s">
        <v>32</v>
      </c>
      <c r="F58" s="4" t="s">
        <v>31</v>
      </c>
      <c r="G58" t="s">
        <v>2</v>
      </c>
      <c r="H58" t="s">
        <v>30</v>
      </c>
      <c r="I58" s="10">
        <v>0.1</v>
      </c>
      <c r="J58" s="10">
        <v>34.566667000000002</v>
      </c>
      <c r="K58" t="s">
        <v>29</v>
      </c>
      <c r="AV58" t="s">
        <v>28</v>
      </c>
      <c r="AW58">
        <v>100</v>
      </c>
      <c r="AX58" t="s">
        <v>29</v>
      </c>
      <c r="AY58">
        <v>4</v>
      </c>
      <c r="AZ58" t="s">
        <v>27</v>
      </c>
      <c r="BA58">
        <v>1994</v>
      </c>
      <c r="BB58">
        <v>1998</v>
      </c>
      <c r="BC58" t="s">
        <v>26</v>
      </c>
      <c r="BD58" t="s">
        <v>59</v>
      </c>
      <c r="BE58" s="10" t="s">
        <v>65</v>
      </c>
      <c r="BF58" t="s">
        <v>64</v>
      </c>
      <c r="BG58" s="3" t="s">
        <v>1233</v>
      </c>
      <c r="BH58" t="s">
        <v>23</v>
      </c>
      <c r="BI58" t="s">
        <v>750</v>
      </c>
      <c r="BJ58" s="4" t="s">
        <v>22</v>
      </c>
      <c r="BK58" s="9">
        <v>53000</v>
      </c>
      <c r="EE58" t="s">
        <v>55</v>
      </c>
      <c r="EF58" s="4" t="s">
        <v>22</v>
      </c>
      <c r="EG58" s="9">
        <v>53000</v>
      </c>
      <c r="EH58" s="9"/>
      <c r="EI58" s="9"/>
      <c r="EJ58" s="9"/>
      <c r="EK58" s="9"/>
      <c r="EL58" s="9"/>
      <c r="EM58" s="9"/>
      <c r="EN58" s="9"/>
      <c r="EO58" s="9"/>
      <c r="EP58" s="9"/>
      <c r="EQ58" s="9"/>
      <c r="ER58" s="9"/>
      <c r="ES58" s="9"/>
      <c r="ET58" s="9"/>
      <c r="EU58" s="9"/>
      <c r="EV58" s="9"/>
      <c r="EW58" s="9"/>
      <c r="EX58" s="9"/>
      <c r="EY58" s="9"/>
      <c r="EZ58" s="9"/>
      <c r="FA58" s="9"/>
      <c r="FB58" s="9"/>
      <c r="FC58" s="9"/>
      <c r="FD58" s="9"/>
      <c r="FE58" s="9"/>
      <c r="FF58" s="9"/>
      <c r="FG58" s="9"/>
      <c r="FH58" s="9"/>
      <c r="FI58" s="9"/>
      <c r="FJ58" s="9"/>
      <c r="FK58" s="9"/>
      <c r="FL58" s="9"/>
      <c r="FM58" s="9"/>
      <c r="FN58" s="9"/>
      <c r="FO58" s="9"/>
      <c r="FP58" s="9"/>
      <c r="FQ58" s="9"/>
      <c r="FR58" s="9"/>
      <c r="FS58" s="9"/>
      <c r="FT58" s="9"/>
      <c r="FU58" s="9"/>
      <c r="FV58" s="9"/>
      <c r="FW58" s="9"/>
      <c r="FX58" s="9"/>
      <c r="FY58" s="9"/>
      <c r="FZ58" s="9"/>
      <c r="GA58" s="9"/>
      <c r="GB58" s="9"/>
      <c r="GC58" s="9"/>
      <c r="GD58" s="9"/>
      <c r="GE58" s="9"/>
      <c r="GF58" s="9"/>
      <c r="GG58" s="9"/>
      <c r="GH58" s="9"/>
      <c r="GI58" s="9"/>
      <c r="GJ58" s="9"/>
      <c r="GK58" s="9"/>
      <c r="GL58" s="9"/>
      <c r="GM58" s="9"/>
      <c r="GN58" s="9"/>
      <c r="GO58" s="9"/>
      <c r="GP58" s="9"/>
      <c r="GQ58" s="9"/>
      <c r="GR58" s="9"/>
      <c r="GS58" s="9"/>
      <c r="GT58" s="9"/>
      <c r="GU58" s="9"/>
      <c r="GV58" s="9"/>
      <c r="GW58" s="9"/>
      <c r="GX58" s="9"/>
      <c r="GY58" s="9"/>
      <c r="GZ58" s="9"/>
      <c r="HA58" s="9"/>
      <c r="HB58" s="9"/>
      <c r="HC58" s="9"/>
      <c r="HD58" s="9"/>
      <c r="HE58" s="9"/>
      <c r="HF58" s="9"/>
      <c r="HG58" s="9"/>
      <c r="HH58" s="9"/>
      <c r="HI58" s="9"/>
      <c r="HJ58" s="9"/>
      <c r="HK58" s="9"/>
      <c r="HR58" t="s">
        <v>21</v>
      </c>
      <c r="HT58" s="4" t="s">
        <v>20</v>
      </c>
      <c r="HU58" s="58">
        <v>34335</v>
      </c>
      <c r="HV58" s="58">
        <v>36160</v>
      </c>
      <c r="HW58" s="58"/>
      <c r="HX58" s="58"/>
      <c r="IO58" s="4"/>
      <c r="IP58" t="s">
        <v>63</v>
      </c>
      <c r="IQ58" s="12" t="s">
        <v>1718</v>
      </c>
      <c r="IT58">
        <v>1995</v>
      </c>
      <c r="IU58">
        <v>1995.2</v>
      </c>
      <c r="IV58" s="4" t="s">
        <v>18</v>
      </c>
      <c r="IW58" t="s">
        <v>61</v>
      </c>
      <c r="IX58" s="12" t="s">
        <v>52</v>
      </c>
      <c r="JA58">
        <v>0.5</v>
      </c>
      <c r="JB58" t="s">
        <v>29</v>
      </c>
      <c r="JC58" t="s">
        <v>29</v>
      </c>
      <c r="JD58" t="s">
        <v>29</v>
      </c>
      <c r="JE58" t="s">
        <v>29</v>
      </c>
      <c r="JF58" t="s">
        <v>29</v>
      </c>
      <c r="JG58" t="s">
        <v>29</v>
      </c>
      <c r="JH58" t="s">
        <v>29</v>
      </c>
      <c r="JI58" t="s">
        <v>29</v>
      </c>
      <c r="JJ58" t="s">
        <v>29</v>
      </c>
      <c r="JL58" s="12" t="s">
        <v>721</v>
      </c>
      <c r="JQ58" s="4"/>
      <c r="JW58" s="4"/>
      <c r="JX58" s="4"/>
      <c r="JY58" s="4"/>
      <c r="JZ58" s="4"/>
      <c r="KA58" s="4"/>
      <c r="KB58" s="4"/>
      <c r="KG58" s="7" t="s">
        <v>12</v>
      </c>
      <c r="KK58" s="53" t="s">
        <v>719</v>
      </c>
      <c r="KL58" s="8" t="s">
        <v>51</v>
      </c>
      <c r="KN58" t="s">
        <v>29</v>
      </c>
      <c r="MZ58" t="s">
        <v>11</v>
      </c>
      <c r="NA58">
        <v>42</v>
      </c>
      <c r="NC58" t="s">
        <v>710</v>
      </c>
      <c r="NH58" t="s">
        <v>205</v>
      </c>
      <c r="NI58" t="s">
        <v>712</v>
      </c>
      <c r="NK58" t="s">
        <v>204</v>
      </c>
      <c r="NM58" s="4" t="s">
        <v>203</v>
      </c>
      <c r="NN58" t="s">
        <v>202</v>
      </c>
      <c r="NO58">
        <v>0</v>
      </c>
      <c r="NP58">
        <v>15</v>
      </c>
      <c r="NW58" t="s">
        <v>6</v>
      </c>
      <c r="NX58">
        <v>48</v>
      </c>
      <c r="NY58" s="4" t="s">
        <v>4</v>
      </c>
      <c r="NZ58" s="3">
        <v>24</v>
      </c>
      <c r="OC58">
        <v>4</v>
      </c>
      <c r="OT58" t="s">
        <v>208</v>
      </c>
      <c r="OV58">
        <v>1996</v>
      </c>
      <c r="OY58" s="2" t="s">
        <v>62</v>
      </c>
      <c r="PA58" t="s">
        <v>1169</v>
      </c>
      <c r="PB58" s="58">
        <v>46094</v>
      </c>
    </row>
    <row r="59" spans="1:418" ht="15.75" thickBot="1">
      <c r="A59" s="11" t="s">
        <v>36</v>
      </c>
      <c r="B59" t="s">
        <v>35</v>
      </c>
      <c r="C59" t="s">
        <v>34</v>
      </c>
      <c r="D59" s="4" t="s">
        <v>33</v>
      </c>
      <c r="E59" t="s">
        <v>32</v>
      </c>
      <c r="F59" s="4" t="s">
        <v>31</v>
      </c>
      <c r="G59" t="s">
        <v>2</v>
      </c>
      <c r="H59" t="s">
        <v>30</v>
      </c>
      <c r="I59" s="10">
        <v>0.1</v>
      </c>
      <c r="J59" s="10">
        <v>34.566667000000002</v>
      </c>
      <c r="K59" t="s">
        <v>29</v>
      </c>
      <c r="AV59" t="s">
        <v>28</v>
      </c>
      <c r="AW59">
        <v>100</v>
      </c>
      <c r="AX59" t="s">
        <v>29</v>
      </c>
      <c r="AY59">
        <v>4</v>
      </c>
      <c r="AZ59" t="s">
        <v>27</v>
      </c>
      <c r="BA59">
        <v>1994</v>
      </c>
      <c r="BB59">
        <v>1998</v>
      </c>
      <c r="BC59" t="s">
        <v>26</v>
      </c>
      <c r="BD59" t="s">
        <v>59</v>
      </c>
      <c r="BE59" s="10" t="s">
        <v>58</v>
      </c>
      <c r="BF59" t="s">
        <v>57</v>
      </c>
      <c r="BG59" s="3" t="s">
        <v>1233</v>
      </c>
      <c r="BH59" t="s">
        <v>23</v>
      </c>
      <c r="BI59" t="s">
        <v>750</v>
      </c>
      <c r="BJ59" s="4" t="s">
        <v>22</v>
      </c>
      <c r="BK59" s="9">
        <v>53000</v>
      </c>
      <c r="EE59" t="s">
        <v>55</v>
      </c>
      <c r="EF59" s="4" t="s">
        <v>22</v>
      </c>
      <c r="EG59" s="9">
        <v>53000</v>
      </c>
      <c r="EH59" s="9"/>
      <c r="EI59" s="9"/>
      <c r="EJ59" s="9"/>
      <c r="EK59" s="9"/>
      <c r="EL59" s="9"/>
      <c r="EM59" s="9"/>
      <c r="EN59" s="9"/>
      <c r="EO59" s="9"/>
      <c r="EP59" s="9"/>
      <c r="EQ59" s="9"/>
      <c r="ER59" s="9"/>
      <c r="ES59" s="9"/>
      <c r="ET59" s="9"/>
      <c r="EU59" s="9"/>
      <c r="EV59" s="9"/>
      <c r="EW59" s="9"/>
      <c r="EX59" s="9"/>
      <c r="EY59" s="9"/>
      <c r="EZ59" s="9"/>
      <c r="FA59" s="9"/>
      <c r="FB59" s="9"/>
      <c r="FC59" s="9"/>
      <c r="FD59" s="9"/>
      <c r="FE59" s="9"/>
      <c r="FF59" s="9"/>
      <c r="FG59" s="9"/>
      <c r="FH59" s="9"/>
      <c r="FI59" s="9"/>
      <c r="FJ59" s="9"/>
      <c r="FK59" s="9"/>
      <c r="FL59" s="9"/>
      <c r="FM59" s="9"/>
      <c r="FN59" s="9"/>
      <c r="FO59" s="9"/>
      <c r="FP59" s="9"/>
      <c r="FQ59" s="9"/>
      <c r="FR59" s="9"/>
      <c r="FS59" s="9"/>
      <c r="FT59" s="9"/>
      <c r="FU59" s="9"/>
      <c r="FV59" s="9"/>
      <c r="FW59" s="9"/>
      <c r="FX59" s="9"/>
      <c r="FY59" s="9"/>
      <c r="FZ59" s="9"/>
      <c r="GA59" s="9"/>
      <c r="GB59" s="9"/>
      <c r="GC59" s="9"/>
      <c r="GD59" s="9"/>
      <c r="GE59" s="9"/>
      <c r="GF59" s="9"/>
      <c r="GG59" s="9"/>
      <c r="GH59" s="9"/>
      <c r="GI59" s="9"/>
      <c r="GJ59" s="9"/>
      <c r="GK59" s="9"/>
      <c r="GL59" s="9"/>
      <c r="GM59" s="9"/>
      <c r="GN59" s="9"/>
      <c r="GO59" s="9"/>
      <c r="GP59" s="9"/>
      <c r="GQ59" s="9"/>
      <c r="GR59" s="9"/>
      <c r="GS59" s="9"/>
      <c r="GT59" s="9"/>
      <c r="GU59" s="9"/>
      <c r="GV59" s="9"/>
      <c r="GW59" s="9"/>
      <c r="GX59" s="9"/>
      <c r="GY59" s="9"/>
      <c r="GZ59" s="9"/>
      <c r="HA59" s="9"/>
      <c r="HB59" s="9"/>
      <c r="HC59" s="9"/>
      <c r="HD59" s="9"/>
      <c r="HE59" s="9"/>
      <c r="HF59" s="9"/>
      <c r="HG59" s="9"/>
      <c r="HH59" s="9"/>
      <c r="HI59" s="9"/>
      <c r="HJ59" s="9"/>
      <c r="HK59" s="9"/>
      <c r="HR59" t="s">
        <v>21</v>
      </c>
      <c r="HT59" s="4" t="s">
        <v>20</v>
      </c>
      <c r="HU59" s="58">
        <v>34335</v>
      </c>
      <c r="HV59" s="58">
        <v>36160</v>
      </c>
      <c r="HW59" s="58"/>
      <c r="HX59" s="58"/>
      <c r="IO59" s="4"/>
      <c r="IP59" t="s">
        <v>54</v>
      </c>
      <c r="IQ59" s="12" t="s">
        <v>1719</v>
      </c>
      <c r="IT59">
        <v>1994</v>
      </c>
      <c r="IU59">
        <v>1994.2</v>
      </c>
      <c r="IV59" s="4" t="s">
        <v>18</v>
      </c>
      <c r="IW59" t="s">
        <v>53</v>
      </c>
      <c r="IX59" s="12" t="s">
        <v>52</v>
      </c>
      <c r="JA59">
        <v>0.5</v>
      </c>
      <c r="JB59" t="s">
        <v>29</v>
      </c>
      <c r="JC59" t="s">
        <v>29</v>
      </c>
      <c r="JD59" t="s">
        <v>29</v>
      </c>
      <c r="JE59" t="s">
        <v>29</v>
      </c>
      <c r="JF59" t="s">
        <v>29</v>
      </c>
      <c r="JG59" t="s">
        <v>29</v>
      </c>
      <c r="JH59" t="s">
        <v>29</v>
      </c>
      <c r="JI59" t="s">
        <v>29</v>
      </c>
      <c r="JJ59" t="s">
        <v>29</v>
      </c>
      <c r="JL59" s="12" t="s">
        <v>721</v>
      </c>
      <c r="JQ59" s="4"/>
      <c r="JW59" s="4"/>
      <c r="JX59" s="4"/>
      <c r="JY59" s="4"/>
      <c r="JZ59" s="4"/>
      <c r="KA59" s="4"/>
      <c r="KB59" s="4"/>
      <c r="KG59" s="7" t="s">
        <v>12</v>
      </c>
      <c r="KK59" s="53" t="s">
        <v>719</v>
      </c>
      <c r="KL59" s="8" t="s">
        <v>51</v>
      </c>
      <c r="KN59" t="s">
        <v>29</v>
      </c>
      <c r="MZ59" t="s">
        <v>11</v>
      </c>
      <c r="NA59">
        <v>42</v>
      </c>
      <c r="NC59" t="s">
        <v>710</v>
      </c>
      <c r="NH59" t="s">
        <v>205</v>
      </c>
      <c r="NI59" t="s">
        <v>712</v>
      </c>
      <c r="NK59" t="s">
        <v>204</v>
      </c>
      <c r="NM59" s="4" t="s">
        <v>203</v>
      </c>
      <c r="NN59" t="s">
        <v>202</v>
      </c>
      <c r="NO59">
        <v>0</v>
      </c>
      <c r="NP59">
        <v>15</v>
      </c>
      <c r="NW59" t="s">
        <v>6</v>
      </c>
      <c r="NX59">
        <v>63</v>
      </c>
      <c r="NY59" s="4" t="s">
        <v>4</v>
      </c>
      <c r="NZ59" s="3">
        <v>16</v>
      </c>
      <c r="OC59">
        <v>4</v>
      </c>
      <c r="OT59" t="s">
        <v>208</v>
      </c>
      <c r="OV59">
        <v>1996</v>
      </c>
      <c r="OY59" s="2" t="s">
        <v>62</v>
      </c>
      <c r="PA59" t="s">
        <v>1169</v>
      </c>
      <c r="PB59" s="58">
        <v>46094</v>
      </c>
    </row>
    <row r="60" spans="1:418" ht="15.75" thickBot="1">
      <c r="A60" s="11" t="s">
        <v>36</v>
      </c>
      <c r="B60" t="s">
        <v>35</v>
      </c>
      <c r="C60" t="s">
        <v>34</v>
      </c>
      <c r="D60" s="4" t="s">
        <v>33</v>
      </c>
      <c r="E60" t="s">
        <v>32</v>
      </c>
      <c r="F60" s="4" t="s">
        <v>31</v>
      </c>
      <c r="G60" t="s">
        <v>2</v>
      </c>
      <c r="H60" t="s">
        <v>30</v>
      </c>
      <c r="I60" s="10">
        <v>0.1</v>
      </c>
      <c r="J60" s="10">
        <v>34.566667000000002</v>
      </c>
      <c r="K60" t="s">
        <v>29</v>
      </c>
      <c r="AV60" t="s">
        <v>28</v>
      </c>
      <c r="AW60">
        <v>100</v>
      </c>
      <c r="AX60" t="s">
        <v>29</v>
      </c>
      <c r="AY60">
        <v>4</v>
      </c>
      <c r="AZ60" t="s">
        <v>27</v>
      </c>
      <c r="BA60">
        <v>1994</v>
      </c>
      <c r="BB60">
        <v>1998</v>
      </c>
      <c r="BC60" t="s">
        <v>26</v>
      </c>
      <c r="BD60" t="s">
        <v>45</v>
      </c>
      <c r="BE60" s="10" t="s">
        <v>49</v>
      </c>
      <c r="BF60" t="s">
        <v>48</v>
      </c>
      <c r="BG60" s="3" t="s">
        <v>1233</v>
      </c>
      <c r="BH60" t="s">
        <v>23</v>
      </c>
      <c r="BI60" t="s">
        <v>750</v>
      </c>
      <c r="BJ60" s="4" t="s">
        <v>22</v>
      </c>
      <c r="BK60" s="9">
        <v>53000</v>
      </c>
      <c r="EF60" s="4"/>
      <c r="EG60" s="9"/>
      <c r="EH60" s="9"/>
      <c r="EI60" s="9"/>
      <c r="EJ60" s="9"/>
      <c r="EK60" s="9"/>
      <c r="EL60" s="9"/>
      <c r="EM60" s="9"/>
      <c r="EN60" s="9"/>
      <c r="EO60" s="9"/>
      <c r="EP60" s="9"/>
      <c r="EQ60" s="9"/>
      <c r="ER60" s="9"/>
      <c r="ES60" s="9"/>
      <c r="ET60" s="9"/>
      <c r="EU60" s="9"/>
      <c r="EV60" s="9"/>
      <c r="EW60" s="9"/>
      <c r="EX60" s="9"/>
      <c r="EY60" s="9"/>
      <c r="EZ60" s="9"/>
      <c r="FA60" s="9"/>
      <c r="FB60" s="9"/>
      <c r="FC60" s="9"/>
      <c r="FD60" s="9"/>
      <c r="FE60" s="9"/>
      <c r="FF60" s="9"/>
      <c r="FG60" s="9"/>
      <c r="FH60" s="9"/>
      <c r="FI60" s="9"/>
      <c r="FJ60" s="9"/>
      <c r="FK60" s="9"/>
      <c r="FL60" s="9"/>
      <c r="FM60" s="9"/>
      <c r="FN60" s="9"/>
      <c r="FO60" s="9"/>
      <c r="FP60" s="9"/>
      <c r="FQ60" s="9"/>
      <c r="FR60" s="9"/>
      <c r="FS60" s="9"/>
      <c r="FT60" s="9"/>
      <c r="FU60" s="9"/>
      <c r="FV60" s="9"/>
      <c r="FW60" s="9"/>
      <c r="FX60" s="9"/>
      <c r="FY60" s="9"/>
      <c r="FZ60" s="9"/>
      <c r="GA60" s="9"/>
      <c r="GB60" s="9"/>
      <c r="GC60" s="9"/>
      <c r="GD60" s="9"/>
      <c r="GE60" s="9"/>
      <c r="GF60" s="9"/>
      <c r="GG60" s="9"/>
      <c r="GH60" s="9"/>
      <c r="GI60" s="9"/>
      <c r="GJ60" s="9"/>
      <c r="GK60" s="9"/>
      <c r="GL60" s="9"/>
      <c r="GM60" s="9"/>
      <c r="GN60" s="9"/>
      <c r="GO60" s="9"/>
      <c r="GP60" s="9"/>
      <c r="GQ60" s="9"/>
      <c r="GR60" s="9"/>
      <c r="GS60" s="9"/>
      <c r="GT60" s="9"/>
      <c r="GU60" s="9"/>
      <c r="GV60" s="9"/>
      <c r="GW60" s="9"/>
      <c r="GX60" s="9"/>
      <c r="GY60" s="9"/>
      <c r="GZ60" s="9"/>
      <c r="HA60" s="9"/>
      <c r="HB60" s="9"/>
      <c r="HC60" s="9"/>
      <c r="HD60" s="9"/>
      <c r="HE60" s="9"/>
      <c r="HF60" s="9"/>
      <c r="HG60" s="9"/>
      <c r="HH60" s="9"/>
      <c r="HI60" s="9"/>
      <c r="HJ60" s="9"/>
      <c r="HK60" s="9"/>
      <c r="HR60" t="s">
        <v>21</v>
      </c>
      <c r="HT60" s="4" t="s">
        <v>20</v>
      </c>
      <c r="HU60" s="58">
        <v>34335</v>
      </c>
      <c r="HV60" s="58">
        <v>36160</v>
      </c>
      <c r="HW60" s="58"/>
      <c r="HX60" s="58"/>
      <c r="IP60" t="s">
        <v>47</v>
      </c>
      <c r="IQ60" s="54" t="s">
        <v>1226</v>
      </c>
      <c r="IT60">
        <v>1995</v>
      </c>
      <c r="IU60">
        <v>1995.2</v>
      </c>
      <c r="IV60" s="4" t="s">
        <v>18</v>
      </c>
      <c r="IW60" t="s">
        <v>38</v>
      </c>
      <c r="IX60" t="s">
        <v>19</v>
      </c>
      <c r="JB60">
        <v>0</v>
      </c>
      <c r="JC60">
        <v>0</v>
      </c>
      <c r="JD60">
        <v>0</v>
      </c>
      <c r="JE60">
        <v>0</v>
      </c>
      <c r="JF60">
        <v>0</v>
      </c>
      <c r="JG60">
        <v>0</v>
      </c>
      <c r="JH60">
        <v>0</v>
      </c>
      <c r="JI60">
        <v>0</v>
      </c>
      <c r="JJ60">
        <v>0</v>
      </c>
      <c r="JL60" s="12" t="s">
        <v>721</v>
      </c>
      <c r="JQ60" s="4"/>
      <c r="JW60" s="4"/>
      <c r="JX60" s="4"/>
      <c r="JY60" s="4"/>
      <c r="JZ60" s="4"/>
      <c r="KA60" s="4"/>
      <c r="KB60" s="4"/>
      <c r="KG60" s="7" t="s">
        <v>12</v>
      </c>
      <c r="KK60" s="7" t="s">
        <v>720</v>
      </c>
      <c r="MZ60" t="s">
        <v>11</v>
      </c>
      <c r="NA60">
        <v>42</v>
      </c>
      <c r="NC60" t="s">
        <v>710</v>
      </c>
      <c r="NH60" t="s">
        <v>205</v>
      </c>
      <c r="NI60" t="s">
        <v>712</v>
      </c>
      <c r="NK60" t="s">
        <v>204</v>
      </c>
      <c r="NM60" s="4" t="s">
        <v>203</v>
      </c>
      <c r="NN60" t="s">
        <v>202</v>
      </c>
      <c r="NO60">
        <v>0</v>
      </c>
      <c r="NP60">
        <v>15</v>
      </c>
      <c r="NW60" t="s">
        <v>6</v>
      </c>
      <c r="NX60" s="3">
        <v>34</v>
      </c>
      <c r="NY60" s="4" t="s">
        <v>4</v>
      </c>
      <c r="NZ60" s="3">
        <v>7</v>
      </c>
      <c r="OC60">
        <v>4</v>
      </c>
      <c r="OT60" t="s">
        <v>208</v>
      </c>
      <c r="OV60">
        <v>1996</v>
      </c>
      <c r="OY60" s="2" t="s">
        <v>62</v>
      </c>
      <c r="PA60" t="s">
        <v>1169</v>
      </c>
      <c r="PB60" s="58">
        <v>46094</v>
      </c>
    </row>
    <row r="61" spans="1:418" ht="15.75" thickBot="1">
      <c r="A61" s="11" t="s">
        <v>36</v>
      </c>
      <c r="B61" t="s">
        <v>35</v>
      </c>
      <c r="C61" t="s">
        <v>34</v>
      </c>
      <c r="D61" s="4" t="s">
        <v>33</v>
      </c>
      <c r="E61" t="s">
        <v>32</v>
      </c>
      <c r="F61" s="4" t="s">
        <v>31</v>
      </c>
      <c r="G61" t="s">
        <v>2</v>
      </c>
      <c r="H61" t="s">
        <v>30</v>
      </c>
      <c r="I61" s="10">
        <v>0.1</v>
      </c>
      <c r="J61" s="10">
        <v>34.566667000000002</v>
      </c>
      <c r="K61" t="s">
        <v>29</v>
      </c>
      <c r="AV61" t="s">
        <v>28</v>
      </c>
      <c r="AW61">
        <v>100</v>
      </c>
      <c r="AX61" t="s">
        <v>29</v>
      </c>
      <c r="AY61">
        <v>4</v>
      </c>
      <c r="AZ61" t="s">
        <v>27</v>
      </c>
      <c r="BA61">
        <v>1994</v>
      </c>
      <c r="BB61">
        <v>1998</v>
      </c>
      <c r="BC61" t="s">
        <v>26</v>
      </c>
      <c r="BD61" t="s">
        <v>45</v>
      </c>
      <c r="BE61" s="10" t="s">
        <v>44</v>
      </c>
      <c r="BF61" t="s">
        <v>43</v>
      </c>
      <c r="BG61" s="3" t="s">
        <v>1233</v>
      </c>
      <c r="BH61" t="s">
        <v>23</v>
      </c>
      <c r="BI61" t="s">
        <v>750</v>
      </c>
      <c r="BJ61" s="4" t="s">
        <v>22</v>
      </c>
      <c r="BK61" s="9">
        <v>53000</v>
      </c>
      <c r="EF61" s="4"/>
      <c r="EG61" s="9"/>
      <c r="EH61" s="9"/>
      <c r="EI61" s="9"/>
      <c r="EJ61" s="9"/>
      <c r="EK61" s="9"/>
      <c r="EL61" s="9"/>
      <c r="EM61" s="9"/>
      <c r="EN61" s="9"/>
      <c r="EO61" s="9"/>
      <c r="EP61" s="9"/>
      <c r="EQ61" s="9"/>
      <c r="ER61" s="9"/>
      <c r="ES61" s="9"/>
      <c r="ET61" s="9"/>
      <c r="EU61" s="9"/>
      <c r="EV61" s="9"/>
      <c r="EW61" s="9"/>
      <c r="EX61" s="9"/>
      <c r="EY61" s="9"/>
      <c r="EZ61" s="9"/>
      <c r="FA61" s="9"/>
      <c r="FB61" s="9"/>
      <c r="FC61" s="9"/>
      <c r="FD61" s="9"/>
      <c r="FE61" s="9"/>
      <c r="FF61" s="9"/>
      <c r="FG61" s="9"/>
      <c r="FH61" s="9"/>
      <c r="FI61" s="9"/>
      <c r="FJ61" s="9"/>
      <c r="FK61" s="9"/>
      <c r="FL61" s="9"/>
      <c r="FM61" s="9"/>
      <c r="FN61" s="9"/>
      <c r="FO61" s="9"/>
      <c r="FP61" s="9"/>
      <c r="FQ61" s="9"/>
      <c r="FR61" s="9"/>
      <c r="FS61" s="9"/>
      <c r="FT61" s="9"/>
      <c r="FU61" s="9"/>
      <c r="FV61" s="9"/>
      <c r="FW61" s="9"/>
      <c r="FX61" s="9"/>
      <c r="FY61" s="9"/>
      <c r="FZ61" s="9"/>
      <c r="GA61" s="9"/>
      <c r="GB61" s="9"/>
      <c r="GC61" s="9"/>
      <c r="GD61" s="9"/>
      <c r="GE61" s="9"/>
      <c r="GF61" s="9"/>
      <c r="GG61" s="9"/>
      <c r="GH61" s="9"/>
      <c r="GI61" s="9"/>
      <c r="GJ61" s="9"/>
      <c r="GK61" s="9"/>
      <c r="GL61" s="9"/>
      <c r="GM61" s="9"/>
      <c r="GN61" s="9"/>
      <c r="GO61" s="9"/>
      <c r="GP61" s="9"/>
      <c r="GQ61" s="9"/>
      <c r="GR61" s="9"/>
      <c r="GS61" s="9"/>
      <c r="GT61" s="9"/>
      <c r="GU61" s="9"/>
      <c r="GV61" s="9"/>
      <c r="GW61" s="9"/>
      <c r="GX61" s="9"/>
      <c r="GY61" s="9"/>
      <c r="GZ61" s="9"/>
      <c r="HA61" s="9"/>
      <c r="HB61" s="9"/>
      <c r="HC61" s="9"/>
      <c r="HD61" s="9"/>
      <c r="HE61" s="9"/>
      <c r="HF61" s="9"/>
      <c r="HG61" s="9"/>
      <c r="HH61" s="9"/>
      <c r="HI61" s="9"/>
      <c r="HJ61" s="9"/>
      <c r="HK61" s="9"/>
      <c r="HR61" t="s">
        <v>21</v>
      </c>
      <c r="HT61" s="4" t="s">
        <v>20</v>
      </c>
      <c r="HU61" s="58">
        <v>34335</v>
      </c>
      <c r="HV61" s="58">
        <v>36160</v>
      </c>
      <c r="HW61" s="58"/>
      <c r="HX61" s="58"/>
      <c r="IP61" t="s">
        <v>42</v>
      </c>
      <c r="IQ61" s="13" t="s">
        <v>1227</v>
      </c>
      <c r="IT61">
        <v>1994</v>
      </c>
      <c r="IU61">
        <v>1994.2</v>
      </c>
      <c r="IV61" s="4" t="s">
        <v>18</v>
      </c>
      <c r="IW61" t="s">
        <v>38</v>
      </c>
      <c r="IX61" t="s">
        <v>19</v>
      </c>
      <c r="JB61">
        <v>0</v>
      </c>
      <c r="JC61">
        <v>0</v>
      </c>
      <c r="JD61">
        <v>0</v>
      </c>
      <c r="JE61">
        <v>0</v>
      </c>
      <c r="JF61">
        <v>0</v>
      </c>
      <c r="JG61">
        <v>0</v>
      </c>
      <c r="JH61">
        <v>0</v>
      </c>
      <c r="JI61">
        <v>0</v>
      </c>
      <c r="JJ61">
        <v>0</v>
      </c>
      <c r="JL61" s="12" t="s">
        <v>721</v>
      </c>
      <c r="JQ61" s="4"/>
      <c r="JW61" s="4"/>
      <c r="JX61" s="4"/>
      <c r="JY61" s="4"/>
      <c r="JZ61" s="4"/>
      <c r="KA61" s="4"/>
      <c r="KB61" s="4"/>
      <c r="KG61" s="7" t="s">
        <v>12</v>
      </c>
      <c r="KK61" s="7" t="s">
        <v>720</v>
      </c>
      <c r="MZ61" t="s">
        <v>11</v>
      </c>
      <c r="NA61">
        <v>42</v>
      </c>
      <c r="NC61" t="s">
        <v>710</v>
      </c>
      <c r="NH61" t="s">
        <v>205</v>
      </c>
      <c r="NI61" t="s">
        <v>712</v>
      </c>
      <c r="NK61" t="s">
        <v>204</v>
      </c>
      <c r="NM61" s="4" t="s">
        <v>203</v>
      </c>
      <c r="NN61" t="s">
        <v>202</v>
      </c>
      <c r="NO61">
        <v>0</v>
      </c>
      <c r="NP61">
        <v>15</v>
      </c>
      <c r="NW61" t="s">
        <v>6</v>
      </c>
      <c r="NX61" s="3">
        <v>146</v>
      </c>
      <c r="NY61" s="4" t="s">
        <v>4</v>
      </c>
      <c r="NZ61" s="3">
        <v>80</v>
      </c>
      <c r="OC61">
        <v>4</v>
      </c>
      <c r="OT61" t="s">
        <v>208</v>
      </c>
      <c r="OV61">
        <v>1996</v>
      </c>
      <c r="OY61" s="2" t="s">
        <v>62</v>
      </c>
      <c r="PA61" t="s">
        <v>1169</v>
      </c>
      <c r="PB61" s="58">
        <v>46094</v>
      </c>
    </row>
    <row r="62" spans="1:418" ht="15.75" thickBot="1">
      <c r="A62" s="11" t="s">
        <v>36</v>
      </c>
      <c r="B62" t="s">
        <v>35</v>
      </c>
      <c r="C62" t="s">
        <v>34</v>
      </c>
      <c r="D62" s="4" t="s">
        <v>33</v>
      </c>
      <c r="E62" t="s">
        <v>32</v>
      </c>
      <c r="F62" s="4" t="s">
        <v>31</v>
      </c>
      <c r="G62" t="s">
        <v>2</v>
      </c>
      <c r="H62" t="s">
        <v>30</v>
      </c>
      <c r="I62" s="10">
        <v>0.1</v>
      </c>
      <c r="J62" s="10">
        <v>34.566667000000002</v>
      </c>
      <c r="K62" t="s">
        <v>29</v>
      </c>
      <c r="AV62" t="s">
        <v>28</v>
      </c>
      <c r="AW62">
        <v>100</v>
      </c>
      <c r="AX62" t="s">
        <v>29</v>
      </c>
      <c r="AY62">
        <v>4</v>
      </c>
      <c r="AZ62" t="s">
        <v>27</v>
      </c>
      <c r="BA62">
        <v>1994</v>
      </c>
      <c r="BB62">
        <v>1998</v>
      </c>
      <c r="BC62" t="s">
        <v>26</v>
      </c>
      <c r="BD62" t="s">
        <v>19</v>
      </c>
      <c r="BE62" s="10" t="s">
        <v>40</v>
      </c>
      <c r="BF62" t="s">
        <v>39</v>
      </c>
      <c r="BG62" s="3" t="s">
        <v>1233</v>
      </c>
      <c r="BH62" t="s">
        <v>23</v>
      </c>
      <c r="BI62" t="s">
        <v>750</v>
      </c>
      <c r="BJ62" s="4" t="s">
        <v>22</v>
      </c>
      <c r="BK62" s="9">
        <v>53000</v>
      </c>
      <c r="HR62" t="s">
        <v>21</v>
      </c>
      <c r="HT62" s="4" t="s">
        <v>20</v>
      </c>
      <c r="HU62" s="58">
        <v>34335</v>
      </c>
      <c r="HV62" s="58">
        <v>36160</v>
      </c>
      <c r="HW62" s="58"/>
      <c r="HX62" s="58"/>
      <c r="IP62" t="s">
        <v>38</v>
      </c>
      <c r="IQ62" s="54" t="s">
        <v>19</v>
      </c>
      <c r="IV62" s="4" t="s">
        <v>18</v>
      </c>
      <c r="IW62" t="s">
        <v>38</v>
      </c>
      <c r="IX62" s="54" t="s">
        <v>19</v>
      </c>
      <c r="JB62">
        <v>0</v>
      </c>
      <c r="JC62">
        <v>0</v>
      </c>
      <c r="JD62">
        <v>0</v>
      </c>
      <c r="JE62">
        <v>0</v>
      </c>
      <c r="JF62">
        <v>0</v>
      </c>
      <c r="JG62">
        <v>0</v>
      </c>
      <c r="JH62">
        <v>0</v>
      </c>
      <c r="JI62">
        <v>0</v>
      </c>
      <c r="JJ62">
        <v>0</v>
      </c>
      <c r="JL62" s="12" t="s">
        <v>721</v>
      </c>
      <c r="JQ62" s="4"/>
      <c r="JW62" s="4"/>
      <c r="JX62" s="4"/>
      <c r="JY62" s="4"/>
      <c r="JZ62" s="4"/>
      <c r="KA62" s="4"/>
      <c r="KB62" s="4"/>
      <c r="KG62" s="7" t="s">
        <v>12</v>
      </c>
      <c r="KK62" s="7" t="s">
        <v>720</v>
      </c>
      <c r="MZ62" t="s">
        <v>11</v>
      </c>
      <c r="NA62">
        <v>42</v>
      </c>
      <c r="NC62" t="s">
        <v>710</v>
      </c>
      <c r="NH62" t="s">
        <v>205</v>
      </c>
      <c r="NI62" t="s">
        <v>712</v>
      </c>
      <c r="NK62" t="s">
        <v>204</v>
      </c>
      <c r="NM62" s="4" t="s">
        <v>203</v>
      </c>
      <c r="NN62" t="s">
        <v>202</v>
      </c>
      <c r="NO62">
        <v>0</v>
      </c>
      <c r="NP62">
        <v>15</v>
      </c>
      <c r="NV62" t="s">
        <v>735</v>
      </c>
      <c r="NW62" t="s">
        <v>6</v>
      </c>
      <c r="NX62" s="3">
        <v>50</v>
      </c>
      <c r="NY62" s="4" t="s">
        <v>4</v>
      </c>
      <c r="NZ62" s="3">
        <v>20</v>
      </c>
      <c r="OC62">
        <v>4</v>
      </c>
      <c r="OT62" t="s">
        <v>208</v>
      </c>
      <c r="OV62">
        <v>1996</v>
      </c>
      <c r="OY62" s="2" t="s">
        <v>62</v>
      </c>
      <c r="PA62" t="s">
        <v>1169</v>
      </c>
      <c r="PB62" s="58">
        <v>46094</v>
      </c>
    </row>
    <row r="63" spans="1:418" ht="15.75" thickBot="1">
      <c r="A63" s="11" t="s">
        <v>36</v>
      </c>
      <c r="B63" t="s">
        <v>35</v>
      </c>
      <c r="C63" t="s">
        <v>34</v>
      </c>
      <c r="D63" s="4" t="s">
        <v>33</v>
      </c>
      <c r="E63" t="s">
        <v>32</v>
      </c>
      <c r="F63" s="4" t="s">
        <v>31</v>
      </c>
      <c r="G63" t="s">
        <v>2</v>
      </c>
      <c r="H63" t="s">
        <v>30</v>
      </c>
      <c r="I63" s="10">
        <v>0.1</v>
      </c>
      <c r="J63" s="10">
        <v>34.566667000000002</v>
      </c>
      <c r="K63" t="s">
        <v>29</v>
      </c>
      <c r="AV63" t="s">
        <v>28</v>
      </c>
      <c r="AW63">
        <v>100</v>
      </c>
      <c r="AX63" t="s">
        <v>29</v>
      </c>
      <c r="AY63">
        <v>4</v>
      </c>
      <c r="AZ63" t="s">
        <v>27</v>
      </c>
      <c r="BA63">
        <v>1994</v>
      </c>
      <c r="BB63">
        <v>1998</v>
      </c>
      <c r="BC63" t="s">
        <v>26</v>
      </c>
      <c r="BD63" t="s">
        <v>19</v>
      </c>
      <c r="BE63" s="10" t="s">
        <v>25</v>
      </c>
      <c r="BF63" t="s">
        <v>24</v>
      </c>
      <c r="BG63" s="3" t="s">
        <v>1233</v>
      </c>
      <c r="BH63" t="s">
        <v>23</v>
      </c>
      <c r="BI63" t="s">
        <v>750</v>
      </c>
      <c r="BJ63" s="4" t="s">
        <v>22</v>
      </c>
      <c r="BK63" s="9">
        <v>53000</v>
      </c>
      <c r="HR63" t="s">
        <v>21</v>
      </c>
      <c r="HT63" s="4" t="s">
        <v>20</v>
      </c>
      <c r="HU63" s="58">
        <v>34335</v>
      </c>
      <c r="HV63" s="58">
        <v>36160</v>
      </c>
      <c r="HW63" s="58"/>
      <c r="HX63" s="58"/>
      <c r="IP63" t="s">
        <v>16</v>
      </c>
      <c r="IQ63" s="54" t="s">
        <v>19</v>
      </c>
      <c r="IV63" s="4" t="s">
        <v>18</v>
      </c>
      <c r="IW63" t="s">
        <v>17</v>
      </c>
      <c r="IX63" s="54" t="s">
        <v>19</v>
      </c>
      <c r="JB63">
        <v>0</v>
      </c>
      <c r="JC63">
        <v>0</v>
      </c>
      <c r="JD63">
        <v>0</v>
      </c>
      <c r="JE63">
        <v>0</v>
      </c>
      <c r="JF63">
        <v>0</v>
      </c>
      <c r="JG63">
        <v>0</v>
      </c>
      <c r="JH63">
        <v>0</v>
      </c>
      <c r="JI63">
        <v>0</v>
      </c>
      <c r="JJ63">
        <v>0</v>
      </c>
      <c r="JK63" t="s">
        <v>16</v>
      </c>
      <c r="JL63" t="s">
        <v>15</v>
      </c>
      <c r="JM63" s="8" t="s">
        <v>14</v>
      </c>
      <c r="JQ63" s="4" t="s">
        <v>13</v>
      </c>
      <c r="JR63">
        <v>60</v>
      </c>
      <c r="JU63">
        <v>60</v>
      </c>
      <c r="JW63" s="4"/>
      <c r="JX63" s="4"/>
      <c r="JY63" s="4"/>
      <c r="JZ63" s="4"/>
      <c r="KA63" s="4"/>
      <c r="KB63" s="4"/>
      <c r="KG63" s="7" t="s">
        <v>12</v>
      </c>
      <c r="KK63" s="7" t="s">
        <v>720</v>
      </c>
      <c r="MZ63" t="s">
        <v>11</v>
      </c>
      <c r="NA63">
        <v>42</v>
      </c>
      <c r="NC63" t="s">
        <v>710</v>
      </c>
      <c r="NH63" t="s">
        <v>205</v>
      </c>
      <c r="NI63" t="s">
        <v>712</v>
      </c>
      <c r="NK63" t="s">
        <v>204</v>
      </c>
      <c r="NM63" s="4" t="s">
        <v>203</v>
      </c>
      <c r="NN63" t="s">
        <v>202</v>
      </c>
      <c r="NO63">
        <v>0</v>
      </c>
      <c r="NP63">
        <v>15</v>
      </c>
      <c r="NV63" t="s">
        <v>747</v>
      </c>
      <c r="NW63" t="s">
        <v>6</v>
      </c>
      <c r="NX63" s="3">
        <v>94</v>
      </c>
      <c r="NY63" s="4" t="s">
        <v>4</v>
      </c>
      <c r="NZ63" s="3">
        <v>69</v>
      </c>
      <c r="OC63">
        <v>4</v>
      </c>
      <c r="OT63" t="s">
        <v>208</v>
      </c>
      <c r="OV63">
        <v>1996</v>
      </c>
      <c r="OY63" s="2" t="s">
        <v>62</v>
      </c>
      <c r="PA63" t="s">
        <v>1169</v>
      </c>
      <c r="PB63" s="58">
        <v>46094</v>
      </c>
    </row>
    <row r="64" spans="1:418" ht="15.75" thickBot="1">
      <c r="A64" s="11" t="s">
        <v>36</v>
      </c>
      <c r="B64" t="s">
        <v>35</v>
      </c>
      <c r="C64" t="s">
        <v>34</v>
      </c>
      <c r="D64" s="4" t="s">
        <v>33</v>
      </c>
      <c r="E64" t="s">
        <v>32</v>
      </c>
      <c r="F64" s="4" t="s">
        <v>31</v>
      </c>
      <c r="G64" t="s">
        <v>2</v>
      </c>
      <c r="H64" t="s">
        <v>30</v>
      </c>
      <c r="I64" s="10">
        <v>0.1</v>
      </c>
      <c r="J64" s="10">
        <v>34.566667000000002</v>
      </c>
      <c r="K64" t="s">
        <v>29</v>
      </c>
      <c r="AV64" t="s">
        <v>28</v>
      </c>
      <c r="AW64">
        <v>100</v>
      </c>
      <c r="AX64" t="s">
        <v>29</v>
      </c>
      <c r="AY64">
        <v>4</v>
      </c>
      <c r="AZ64" t="s">
        <v>27</v>
      </c>
      <c r="BA64">
        <v>1994</v>
      </c>
      <c r="BB64">
        <v>1998</v>
      </c>
      <c r="BC64" t="s">
        <v>26</v>
      </c>
      <c r="BD64" t="s">
        <v>59</v>
      </c>
      <c r="BE64" s="10" t="s">
        <v>65</v>
      </c>
      <c r="BF64" t="s">
        <v>64</v>
      </c>
      <c r="BG64" s="3" t="s">
        <v>1233</v>
      </c>
      <c r="BH64" t="s">
        <v>23</v>
      </c>
      <c r="BI64" t="s">
        <v>750</v>
      </c>
      <c r="BJ64" s="4" t="s">
        <v>22</v>
      </c>
      <c r="BK64" s="9">
        <v>53000</v>
      </c>
      <c r="EE64" t="s">
        <v>55</v>
      </c>
      <c r="EF64" s="4" t="s">
        <v>22</v>
      </c>
      <c r="EG64" s="9">
        <v>53000</v>
      </c>
      <c r="EH64" s="9"/>
      <c r="EI64" s="9"/>
      <c r="EJ64" s="9"/>
      <c r="EK64" s="9"/>
      <c r="EL64" s="9"/>
      <c r="EM64" s="9"/>
      <c r="EN64" s="9"/>
      <c r="EO64" s="9"/>
      <c r="EP64" s="9"/>
      <c r="EQ64" s="9"/>
      <c r="ER64" s="9"/>
      <c r="ES64" s="9"/>
      <c r="ET64" s="9"/>
      <c r="EU64" s="9"/>
      <c r="EV64" s="9"/>
      <c r="EW64" s="9"/>
      <c r="EX64" s="9"/>
      <c r="EY64" s="9"/>
      <c r="EZ64" s="9"/>
      <c r="FA64" s="9"/>
      <c r="FB64" s="9"/>
      <c r="FC64" s="9"/>
      <c r="FD64" s="9"/>
      <c r="FE64" s="9"/>
      <c r="FF64" s="9"/>
      <c r="FG64" s="9"/>
      <c r="FH64" s="9"/>
      <c r="FI64" s="9"/>
      <c r="FJ64" s="9"/>
      <c r="FK64" s="9"/>
      <c r="FL64" s="9"/>
      <c r="FM64" s="9"/>
      <c r="FN64" s="9"/>
      <c r="FO64" s="9"/>
      <c r="FP64" s="9"/>
      <c r="FQ64" s="9"/>
      <c r="FR64" s="9"/>
      <c r="FS64" s="9"/>
      <c r="FT64" s="9"/>
      <c r="FU64" s="9"/>
      <c r="FV64" s="9"/>
      <c r="FW64" s="9"/>
      <c r="FX64" s="9"/>
      <c r="FY64" s="9"/>
      <c r="FZ64" s="9"/>
      <c r="GA64" s="9"/>
      <c r="GB64" s="9"/>
      <c r="GC64" s="9"/>
      <c r="GD64" s="9"/>
      <c r="GE64" s="9"/>
      <c r="GF64" s="9"/>
      <c r="GG64" s="9"/>
      <c r="GH64" s="9"/>
      <c r="GI64" s="9"/>
      <c r="GJ64" s="9"/>
      <c r="GK64" s="9"/>
      <c r="GL64" s="9"/>
      <c r="GM64" s="9"/>
      <c r="GN64" s="9"/>
      <c r="GO64" s="9"/>
      <c r="GP64" s="9"/>
      <c r="GQ64" s="9"/>
      <c r="GR64" s="9"/>
      <c r="GS64" s="9"/>
      <c r="GT64" s="9"/>
      <c r="GU64" s="9"/>
      <c r="GV64" s="9"/>
      <c r="GW64" s="9"/>
      <c r="GX64" s="9"/>
      <c r="GY64" s="9"/>
      <c r="GZ64" s="9"/>
      <c r="HA64" s="9"/>
      <c r="HB64" s="9"/>
      <c r="HC64" s="9"/>
      <c r="HD64" s="9"/>
      <c r="HE64" s="9"/>
      <c r="HF64" s="9"/>
      <c r="HG64" s="9"/>
      <c r="HH64" s="9"/>
      <c r="HI64" s="9"/>
      <c r="HJ64" s="9"/>
      <c r="HK64" s="9"/>
      <c r="HR64" t="s">
        <v>21</v>
      </c>
      <c r="HT64" s="4" t="s">
        <v>20</v>
      </c>
      <c r="HU64" s="58">
        <v>34335</v>
      </c>
      <c r="HV64" s="58">
        <v>36160</v>
      </c>
      <c r="HW64" s="58"/>
      <c r="HX64" s="58"/>
      <c r="IO64" s="4"/>
      <c r="IP64" t="s">
        <v>63</v>
      </c>
      <c r="IQ64" s="12" t="s">
        <v>1718</v>
      </c>
      <c r="IT64">
        <v>1995</v>
      </c>
      <c r="IU64">
        <v>1995.2</v>
      </c>
      <c r="IV64" s="4" t="s">
        <v>18</v>
      </c>
      <c r="IW64" t="s">
        <v>61</v>
      </c>
      <c r="IX64" s="12" t="s">
        <v>52</v>
      </c>
      <c r="JA64">
        <v>0.5</v>
      </c>
      <c r="JB64" t="s">
        <v>29</v>
      </c>
      <c r="JC64" t="s">
        <v>29</v>
      </c>
      <c r="JD64" t="s">
        <v>29</v>
      </c>
      <c r="JE64" t="s">
        <v>29</v>
      </c>
      <c r="JF64" t="s">
        <v>29</v>
      </c>
      <c r="JG64" t="s">
        <v>29</v>
      </c>
      <c r="JH64" t="s">
        <v>29</v>
      </c>
      <c r="JI64" t="s">
        <v>29</v>
      </c>
      <c r="JJ64" t="s">
        <v>29</v>
      </c>
      <c r="JL64" s="12" t="s">
        <v>721</v>
      </c>
      <c r="JQ64" s="4"/>
      <c r="JW64" s="4"/>
      <c r="JX64" s="4"/>
      <c r="JY64" s="4"/>
      <c r="JZ64" s="4"/>
      <c r="KA64" s="4"/>
      <c r="KB64" s="4"/>
      <c r="KG64" s="7" t="s">
        <v>12</v>
      </c>
      <c r="KK64" s="53" t="s">
        <v>719</v>
      </c>
      <c r="KL64" s="8" t="s">
        <v>51</v>
      </c>
      <c r="KN64" t="s">
        <v>29</v>
      </c>
      <c r="MZ64" t="s">
        <v>11</v>
      </c>
      <c r="NA64">
        <v>42</v>
      </c>
      <c r="NC64" t="s">
        <v>710</v>
      </c>
      <c r="NH64" t="s">
        <v>205</v>
      </c>
      <c r="NI64" t="s">
        <v>712</v>
      </c>
      <c r="NK64" t="s">
        <v>204</v>
      </c>
      <c r="NM64" s="4" t="s">
        <v>203</v>
      </c>
      <c r="NN64" t="s">
        <v>202</v>
      </c>
      <c r="NO64">
        <v>0</v>
      </c>
      <c r="NP64">
        <v>15</v>
      </c>
      <c r="NW64" t="s">
        <v>6</v>
      </c>
      <c r="NX64" s="3">
        <v>55</v>
      </c>
      <c r="NY64" s="4" t="s">
        <v>4</v>
      </c>
      <c r="NZ64" s="52">
        <v>21</v>
      </c>
      <c r="OC64">
        <v>4</v>
      </c>
      <c r="OT64" t="s">
        <v>207</v>
      </c>
      <c r="OV64">
        <v>1996</v>
      </c>
      <c r="OY64" s="2" t="s">
        <v>1</v>
      </c>
      <c r="PA64" t="s">
        <v>1169</v>
      </c>
      <c r="PB64" s="58">
        <v>46094</v>
      </c>
    </row>
    <row r="65" spans="1:418" ht="15.75" thickBot="1">
      <c r="A65" s="11" t="s">
        <v>36</v>
      </c>
      <c r="B65" t="s">
        <v>35</v>
      </c>
      <c r="C65" t="s">
        <v>34</v>
      </c>
      <c r="D65" s="4" t="s">
        <v>33</v>
      </c>
      <c r="E65" t="s">
        <v>32</v>
      </c>
      <c r="F65" s="4" t="s">
        <v>31</v>
      </c>
      <c r="G65" t="s">
        <v>2</v>
      </c>
      <c r="H65" t="s">
        <v>30</v>
      </c>
      <c r="I65" s="10">
        <v>0.1</v>
      </c>
      <c r="J65" s="10">
        <v>34.566667000000002</v>
      </c>
      <c r="K65" t="s">
        <v>29</v>
      </c>
      <c r="AV65" t="s">
        <v>28</v>
      </c>
      <c r="AW65">
        <v>100</v>
      </c>
      <c r="AX65" t="s">
        <v>29</v>
      </c>
      <c r="AY65">
        <v>4</v>
      </c>
      <c r="AZ65" t="s">
        <v>27</v>
      </c>
      <c r="BA65">
        <v>1994</v>
      </c>
      <c r="BB65">
        <v>1998</v>
      </c>
      <c r="BC65" t="s">
        <v>26</v>
      </c>
      <c r="BD65" t="s">
        <v>59</v>
      </c>
      <c r="BE65" s="10" t="s">
        <v>58</v>
      </c>
      <c r="BF65" t="s">
        <v>57</v>
      </c>
      <c r="BG65" s="3" t="s">
        <v>1233</v>
      </c>
      <c r="BH65" t="s">
        <v>23</v>
      </c>
      <c r="BI65" t="s">
        <v>750</v>
      </c>
      <c r="BJ65" s="4" t="s">
        <v>22</v>
      </c>
      <c r="BK65" s="9">
        <v>53000</v>
      </c>
      <c r="EE65" t="s">
        <v>55</v>
      </c>
      <c r="EF65" s="4" t="s">
        <v>22</v>
      </c>
      <c r="EG65" s="9">
        <v>53000</v>
      </c>
      <c r="EH65" s="9"/>
      <c r="EI65" s="9"/>
      <c r="EJ65" s="9"/>
      <c r="EK65" s="9"/>
      <c r="EL65" s="9"/>
      <c r="EM65" s="9"/>
      <c r="EN65" s="9"/>
      <c r="EO65" s="9"/>
      <c r="EP65" s="9"/>
      <c r="EQ65" s="9"/>
      <c r="ER65" s="9"/>
      <c r="ES65" s="9"/>
      <c r="ET65" s="9"/>
      <c r="EU65" s="9"/>
      <c r="EV65" s="9"/>
      <c r="EW65" s="9"/>
      <c r="EX65" s="9"/>
      <c r="EY65" s="9"/>
      <c r="EZ65" s="9"/>
      <c r="FA65" s="9"/>
      <c r="FB65" s="9"/>
      <c r="FC65" s="9"/>
      <c r="FD65" s="9"/>
      <c r="FE65" s="9"/>
      <c r="FF65" s="9"/>
      <c r="FG65" s="9"/>
      <c r="FH65" s="9"/>
      <c r="FI65" s="9"/>
      <c r="FJ65" s="9"/>
      <c r="FK65" s="9"/>
      <c r="FL65" s="9"/>
      <c r="FM65" s="9"/>
      <c r="FN65" s="9"/>
      <c r="FO65" s="9"/>
      <c r="FP65" s="9"/>
      <c r="FQ65" s="9"/>
      <c r="FR65" s="9"/>
      <c r="FS65" s="9"/>
      <c r="FT65" s="9"/>
      <c r="FU65" s="9"/>
      <c r="FV65" s="9"/>
      <c r="FW65" s="9"/>
      <c r="FX65" s="9"/>
      <c r="FY65" s="9"/>
      <c r="FZ65" s="9"/>
      <c r="GA65" s="9"/>
      <c r="GB65" s="9"/>
      <c r="GC65" s="9"/>
      <c r="GD65" s="9"/>
      <c r="GE65" s="9"/>
      <c r="GF65" s="9"/>
      <c r="GG65" s="9"/>
      <c r="GH65" s="9"/>
      <c r="GI65" s="9"/>
      <c r="GJ65" s="9"/>
      <c r="GK65" s="9"/>
      <c r="GL65" s="9"/>
      <c r="GM65" s="9"/>
      <c r="GN65" s="9"/>
      <c r="GO65" s="9"/>
      <c r="GP65" s="9"/>
      <c r="GQ65" s="9"/>
      <c r="GR65" s="9"/>
      <c r="GS65" s="9"/>
      <c r="GT65" s="9"/>
      <c r="GU65" s="9"/>
      <c r="GV65" s="9"/>
      <c r="GW65" s="9"/>
      <c r="GX65" s="9"/>
      <c r="GY65" s="9"/>
      <c r="GZ65" s="9"/>
      <c r="HA65" s="9"/>
      <c r="HB65" s="9"/>
      <c r="HC65" s="9"/>
      <c r="HD65" s="9"/>
      <c r="HE65" s="9"/>
      <c r="HF65" s="9"/>
      <c r="HG65" s="9"/>
      <c r="HH65" s="9"/>
      <c r="HI65" s="9"/>
      <c r="HJ65" s="9"/>
      <c r="HK65" s="9"/>
      <c r="HR65" t="s">
        <v>21</v>
      </c>
      <c r="HT65" s="4" t="s">
        <v>20</v>
      </c>
      <c r="HU65" s="58">
        <v>34335</v>
      </c>
      <c r="HV65" s="58">
        <v>36160</v>
      </c>
      <c r="HW65" s="58"/>
      <c r="HX65" s="58"/>
      <c r="IO65" s="4"/>
      <c r="IP65" t="s">
        <v>54</v>
      </c>
      <c r="IQ65" s="12" t="s">
        <v>1719</v>
      </c>
      <c r="IT65">
        <v>1994</v>
      </c>
      <c r="IU65">
        <v>1994.2</v>
      </c>
      <c r="IV65" s="4" t="s">
        <v>18</v>
      </c>
      <c r="IW65" t="s">
        <v>53</v>
      </c>
      <c r="IX65" s="12" t="s">
        <v>52</v>
      </c>
      <c r="JA65">
        <v>0.5</v>
      </c>
      <c r="JB65" t="s">
        <v>29</v>
      </c>
      <c r="JC65" t="s">
        <v>29</v>
      </c>
      <c r="JD65" t="s">
        <v>29</v>
      </c>
      <c r="JE65" t="s">
        <v>29</v>
      </c>
      <c r="JF65" t="s">
        <v>29</v>
      </c>
      <c r="JG65" t="s">
        <v>29</v>
      </c>
      <c r="JH65" t="s">
        <v>29</v>
      </c>
      <c r="JI65" t="s">
        <v>29</v>
      </c>
      <c r="JJ65" t="s">
        <v>29</v>
      </c>
      <c r="JL65" s="12" t="s">
        <v>721</v>
      </c>
      <c r="JQ65" s="4"/>
      <c r="JW65" s="4"/>
      <c r="JX65" s="4"/>
      <c r="JY65" s="4"/>
      <c r="JZ65" s="4"/>
      <c r="KA65" s="4"/>
      <c r="KB65" s="4"/>
      <c r="KG65" s="7" t="s">
        <v>12</v>
      </c>
      <c r="KK65" s="53" t="s">
        <v>719</v>
      </c>
      <c r="KL65" s="8" t="s">
        <v>51</v>
      </c>
      <c r="KN65" t="s">
        <v>29</v>
      </c>
      <c r="MZ65" t="s">
        <v>11</v>
      </c>
      <c r="NA65">
        <v>42</v>
      </c>
      <c r="NC65" t="s">
        <v>710</v>
      </c>
      <c r="NH65" t="s">
        <v>205</v>
      </c>
      <c r="NI65" t="s">
        <v>712</v>
      </c>
      <c r="NK65" t="s">
        <v>204</v>
      </c>
      <c r="NM65" s="4" t="s">
        <v>203</v>
      </c>
      <c r="NN65" t="s">
        <v>202</v>
      </c>
      <c r="NO65">
        <v>0</v>
      </c>
      <c r="NP65">
        <v>15</v>
      </c>
      <c r="NW65" t="s">
        <v>6</v>
      </c>
      <c r="NX65" s="3">
        <v>111</v>
      </c>
      <c r="NY65" s="4" t="s">
        <v>4</v>
      </c>
      <c r="NZ65" s="3">
        <v>59</v>
      </c>
      <c r="OC65">
        <v>4</v>
      </c>
      <c r="OT65" t="s">
        <v>207</v>
      </c>
      <c r="OV65">
        <v>1996</v>
      </c>
      <c r="OY65" s="2" t="s">
        <v>1</v>
      </c>
      <c r="PA65" t="s">
        <v>1169</v>
      </c>
      <c r="PB65" s="58">
        <v>46094</v>
      </c>
    </row>
    <row r="66" spans="1:418" ht="15.75" thickBot="1">
      <c r="A66" s="11" t="s">
        <v>36</v>
      </c>
      <c r="B66" t="s">
        <v>35</v>
      </c>
      <c r="C66" t="s">
        <v>34</v>
      </c>
      <c r="D66" s="4" t="s">
        <v>33</v>
      </c>
      <c r="E66" t="s">
        <v>32</v>
      </c>
      <c r="F66" s="4" t="s">
        <v>31</v>
      </c>
      <c r="G66" t="s">
        <v>2</v>
      </c>
      <c r="H66" t="s">
        <v>30</v>
      </c>
      <c r="I66" s="10">
        <v>0.1</v>
      </c>
      <c r="J66" s="10">
        <v>34.566667000000002</v>
      </c>
      <c r="K66" t="s">
        <v>29</v>
      </c>
      <c r="AV66" t="s">
        <v>28</v>
      </c>
      <c r="AW66">
        <v>100</v>
      </c>
      <c r="AX66" t="s">
        <v>29</v>
      </c>
      <c r="AY66">
        <v>4</v>
      </c>
      <c r="AZ66" t="s">
        <v>27</v>
      </c>
      <c r="BA66">
        <v>1994</v>
      </c>
      <c r="BB66">
        <v>1998</v>
      </c>
      <c r="BC66" t="s">
        <v>26</v>
      </c>
      <c r="BD66" t="s">
        <v>45</v>
      </c>
      <c r="BE66" s="10" t="s">
        <v>49</v>
      </c>
      <c r="BF66" t="s">
        <v>48</v>
      </c>
      <c r="BG66" s="3" t="s">
        <v>1233</v>
      </c>
      <c r="BH66" t="s">
        <v>23</v>
      </c>
      <c r="BI66" t="s">
        <v>750</v>
      </c>
      <c r="BJ66" s="4" t="s">
        <v>22</v>
      </c>
      <c r="BK66" s="9">
        <v>53000</v>
      </c>
      <c r="EF66" s="4"/>
      <c r="EG66" s="9"/>
      <c r="EH66" s="9"/>
      <c r="EI66" s="9"/>
      <c r="EJ66" s="9"/>
      <c r="EK66" s="9"/>
      <c r="EL66" s="9"/>
      <c r="EM66" s="9"/>
      <c r="EN66" s="9"/>
      <c r="EO66" s="9"/>
      <c r="EP66" s="9"/>
      <c r="EQ66" s="9"/>
      <c r="ER66" s="9"/>
      <c r="ES66" s="9"/>
      <c r="ET66" s="9"/>
      <c r="EU66" s="9"/>
      <c r="EV66" s="9"/>
      <c r="EW66" s="9"/>
      <c r="EX66" s="9"/>
      <c r="EY66" s="9"/>
      <c r="EZ66" s="9"/>
      <c r="FA66" s="9"/>
      <c r="FB66" s="9"/>
      <c r="FC66" s="9"/>
      <c r="FD66" s="9"/>
      <c r="FE66" s="9"/>
      <c r="FF66" s="9"/>
      <c r="FG66" s="9"/>
      <c r="FH66" s="9"/>
      <c r="FI66" s="9"/>
      <c r="FJ66" s="9"/>
      <c r="FK66" s="9"/>
      <c r="FL66" s="9"/>
      <c r="FM66" s="9"/>
      <c r="FN66" s="9"/>
      <c r="FO66" s="9"/>
      <c r="FP66" s="9"/>
      <c r="FQ66" s="9"/>
      <c r="FR66" s="9"/>
      <c r="FS66" s="9"/>
      <c r="FT66" s="9"/>
      <c r="FU66" s="9"/>
      <c r="FV66" s="9"/>
      <c r="FW66" s="9"/>
      <c r="FX66" s="9"/>
      <c r="FY66" s="9"/>
      <c r="FZ66" s="9"/>
      <c r="GA66" s="9"/>
      <c r="GB66" s="9"/>
      <c r="GC66" s="9"/>
      <c r="GD66" s="9"/>
      <c r="GE66" s="9"/>
      <c r="GF66" s="9"/>
      <c r="GG66" s="9"/>
      <c r="GH66" s="9"/>
      <c r="GI66" s="9"/>
      <c r="GJ66" s="9"/>
      <c r="GK66" s="9"/>
      <c r="GL66" s="9"/>
      <c r="GM66" s="9"/>
      <c r="GN66" s="9"/>
      <c r="GO66" s="9"/>
      <c r="GP66" s="9"/>
      <c r="GQ66" s="9"/>
      <c r="GR66" s="9"/>
      <c r="GS66" s="9"/>
      <c r="GT66" s="9"/>
      <c r="GU66" s="9"/>
      <c r="GV66" s="9"/>
      <c r="GW66" s="9"/>
      <c r="GX66" s="9"/>
      <c r="GY66" s="9"/>
      <c r="GZ66" s="9"/>
      <c r="HA66" s="9"/>
      <c r="HB66" s="9"/>
      <c r="HC66" s="9"/>
      <c r="HD66" s="9"/>
      <c r="HE66" s="9"/>
      <c r="HF66" s="9"/>
      <c r="HG66" s="9"/>
      <c r="HH66" s="9"/>
      <c r="HI66" s="9"/>
      <c r="HJ66" s="9"/>
      <c r="HK66" s="9"/>
      <c r="HR66" t="s">
        <v>21</v>
      </c>
      <c r="HT66" s="4" t="s">
        <v>20</v>
      </c>
      <c r="HU66" s="58">
        <v>34335</v>
      </c>
      <c r="HV66" s="58">
        <v>36160</v>
      </c>
      <c r="HW66" s="58"/>
      <c r="HX66" s="58"/>
      <c r="IP66" t="s">
        <v>47</v>
      </c>
      <c r="IQ66" s="54" t="s">
        <v>1226</v>
      </c>
      <c r="IT66">
        <v>1995</v>
      </c>
      <c r="IU66">
        <v>1995.2</v>
      </c>
      <c r="IV66" s="4" t="s">
        <v>18</v>
      </c>
      <c r="IW66" t="s">
        <v>38</v>
      </c>
      <c r="IX66" t="s">
        <v>19</v>
      </c>
      <c r="JB66">
        <v>0</v>
      </c>
      <c r="JC66">
        <v>0</v>
      </c>
      <c r="JD66">
        <v>0</v>
      </c>
      <c r="JE66">
        <v>0</v>
      </c>
      <c r="JF66">
        <v>0</v>
      </c>
      <c r="JG66">
        <v>0</v>
      </c>
      <c r="JH66">
        <v>0</v>
      </c>
      <c r="JI66">
        <v>0</v>
      </c>
      <c r="JJ66">
        <v>0</v>
      </c>
      <c r="JL66" s="12" t="s">
        <v>721</v>
      </c>
      <c r="JQ66" s="4"/>
      <c r="JW66" s="4"/>
      <c r="JX66" s="4"/>
      <c r="JY66" s="4"/>
      <c r="JZ66" s="4"/>
      <c r="KA66" s="4"/>
      <c r="KB66" s="4"/>
      <c r="KG66" s="7" t="s">
        <v>12</v>
      </c>
      <c r="KK66" s="7" t="s">
        <v>720</v>
      </c>
      <c r="MZ66" t="s">
        <v>11</v>
      </c>
      <c r="NA66">
        <v>42</v>
      </c>
      <c r="NC66" t="s">
        <v>710</v>
      </c>
      <c r="NH66" t="s">
        <v>205</v>
      </c>
      <c r="NI66" t="s">
        <v>712</v>
      </c>
      <c r="NK66" t="s">
        <v>204</v>
      </c>
      <c r="NM66" s="4" t="s">
        <v>203</v>
      </c>
      <c r="NN66" t="s">
        <v>202</v>
      </c>
      <c r="NO66">
        <v>0</v>
      </c>
      <c r="NP66">
        <v>15</v>
      </c>
      <c r="NW66" t="s">
        <v>6</v>
      </c>
      <c r="NX66" s="3">
        <v>99</v>
      </c>
      <c r="NY66" s="4" t="s">
        <v>4</v>
      </c>
      <c r="NZ66" s="3">
        <v>34</v>
      </c>
      <c r="OC66">
        <v>4</v>
      </c>
      <c r="OT66" t="s">
        <v>207</v>
      </c>
      <c r="OV66">
        <v>1996</v>
      </c>
      <c r="OY66" s="2" t="s">
        <v>1</v>
      </c>
      <c r="PA66" t="s">
        <v>1169</v>
      </c>
      <c r="PB66" s="58">
        <v>46094</v>
      </c>
    </row>
    <row r="67" spans="1:418" ht="15.75" thickBot="1">
      <c r="A67" s="11" t="s">
        <v>36</v>
      </c>
      <c r="B67" t="s">
        <v>35</v>
      </c>
      <c r="C67" t="s">
        <v>34</v>
      </c>
      <c r="D67" s="4" t="s">
        <v>33</v>
      </c>
      <c r="E67" t="s">
        <v>32</v>
      </c>
      <c r="F67" s="4" t="s">
        <v>31</v>
      </c>
      <c r="G67" t="s">
        <v>2</v>
      </c>
      <c r="H67" t="s">
        <v>30</v>
      </c>
      <c r="I67" s="10">
        <v>0.1</v>
      </c>
      <c r="J67" s="10">
        <v>34.566667000000002</v>
      </c>
      <c r="K67" t="s">
        <v>29</v>
      </c>
      <c r="AV67" t="s">
        <v>28</v>
      </c>
      <c r="AW67">
        <v>100</v>
      </c>
      <c r="AX67" t="s">
        <v>29</v>
      </c>
      <c r="AY67">
        <v>4</v>
      </c>
      <c r="AZ67" t="s">
        <v>27</v>
      </c>
      <c r="BA67">
        <v>1994</v>
      </c>
      <c r="BB67">
        <v>1998</v>
      </c>
      <c r="BC67" t="s">
        <v>26</v>
      </c>
      <c r="BD67" t="s">
        <v>45</v>
      </c>
      <c r="BE67" s="10" t="s">
        <v>44</v>
      </c>
      <c r="BF67" t="s">
        <v>43</v>
      </c>
      <c r="BG67" s="3" t="s">
        <v>1233</v>
      </c>
      <c r="BH67" t="s">
        <v>23</v>
      </c>
      <c r="BI67" t="s">
        <v>750</v>
      </c>
      <c r="BJ67" s="4" t="s">
        <v>22</v>
      </c>
      <c r="BK67" s="9">
        <v>53000</v>
      </c>
      <c r="EF67" s="4"/>
      <c r="EG67" s="9"/>
      <c r="EH67" s="9"/>
      <c r="EI67" s="9"/>
      <c r="EJ67" s="9"/>
      <c r="EK67" s="9"/>
      <c r="EL67" s="9"/>
      <c r="EM67" s="9"/>
      <c r="EN67" s="9"/>
      <c r="EO67" s="9"/>
      <c r="EP67" s="9"/>
      <c r="EQ67" s="9"/>
      <c r="ER67" s="9"/>
      <c r="ES67" s="9"/>
      <c r="ET67" s="9"/>
      <c r="EU67" s="9"/>
      <c r="EV67" s="9"/>
      <c r="EW67" s="9"/>
      <c r="EX67" s="9"/>
      <c r="EY67" s="9"/>
      <c r="EZ67" s="9"/>
      <c r="FA67" s="9"/>
      <c r="FB67" s="9"/>
      <c r="FC67" s="9"/>
      <c r="FD67" s="9"/>
      <c r="FE67" s="9"/>
      <c r="FF67" s="9"/>
      <c r="FG67" s="9"/>
      <c r="FH67" s="9"/>
      <c r="FI67" s="9"/>
      <c r="FJ67" s="9"/>
      <c r="FK67" s="9"/>
      <c r="FL67" s="9"/>
      <c r="FM67" s="9"/>
      <c r="FN67" s="9"/>
      <c r="FO67" s="9"/>
      <c r="FP67" s="9"/>
      <c r="FQ67" s="9"/>
      <c r="FR67" s="9"/>
      <c r="FS67" s="9"/>
      <c r="FT67" s="9"/>
      <c r="FU67" s="9"/>
      <c r="FV67" s="9"/>
      <c r="FW67" s="9"/>
      <c r="FX67" s="9"/>
      <c r="FY67" s="9"/>
      <c r="FZ67" s="9"/>
      <c r="GA67" s="9"/>
      <c r="GB67" s="9"/>
      <c r="GC67" s="9"/>
      <c r="GD67" s="9"/>
      <c r="GE67" s="9"/>
      <c r="GF67" s="9"/>
      <c r="GG67" s="9"/>
      <c r="GH67" s="9"/>
      <c r="GI67" s="9"/>
      <c r="GJ67" s="9"/>
      <c r="GK67" s="9"/>
      <c r="GL67" s="9"/>
      <c r="GM67" s="9"/>
      <c r="GN67" s="9"/>
      <c r="GO67" s="9"/>
      <c r="GP67" s="9"/>
      <c r="GQ67" s="9"/>
      <c r="GR67" s="9"/>
      <c r="GS67" s="9"/>
      <c r="GT67" s="9"/>
      <c r="GU67" s="9"/>
      <c r="GV67" s="9"/>
      <c r="GW67" s="9"/>
      <c r="GX67" s="9"/>
      <c r="GY67" s="9"/>
      <c r="GZ67" s="9"/>
      <c r="HA67" s="9"/>
      <c r="HB67" s="9"/>
      <c r="HC67" s="9"/>
      <c r="HD67" s="9"/>
      <c r="HE67" s="9"/>
      <c r="HF67" s="9"/>
      <c r="HG67" s="9"/>
      <c r="HH67" s="9"/>
      <c r="HI67" s="9"/>
      <c r="HJ67" s="9"/>
      <c r="HK67" s="9"/>
      <c r="HR67" t="s">
        <v>21</v>
      </c>
      <c r="HT67" s="4" t="s">
        <v>20</v>
      </c>
      <c r="HU67" s="58">
        <v>34335</v>
      </c>
      <c r="HV67" s="58">
        <v>36160</v>
      </c>
      <c r="HW67" s="58"/>
      <c r="HX67" s="58"/>
      <c r="IP67" t="s">
        <v>42</v>
      </c>
      <c r="IQ67" s="13" t="s">
        <v>1227</v>
      </c>
      <c r="IT67">
        <v>1994</v>
      </c>
      <c r="IU67">
        <v>1994.2</v>
      </c>
      <c r="IV67" s="4" t="s">
        <v>18</v>
      </c>
      <c r="IW67" t="s">
        <v>38</v>
      </c>
      <c r="IX67" t="s">
        <v>19</v>
      </c>
      <c r="JB67">
        <v>0</v>
      </c>
      <c r="JC67">
        <v>0</v>
      </c>
      <c r="JD67">
        <v>0</v>
      </c>
      <c r="JE67">
        <v>0</v>
      </c>
      <c r="JF67">
        <v>0</v>
      </c>
      <c r="JG67">
        <v>0</v>
      </c>
      <c r="JH67">
        <v>0</v>
      </c>
      <c r="JI67">
        <v>0</v>
      </c>
      <c r="JJ67">
        <v>0</v>
      </c>
      <c r="JL67" s="12" t="s">
        <v>721</v>
      </c>
      <c r="JQ67" s="4"/>
      <c r="JW67" s="4"/>
      <c r="JX67" s="4"/>
      <c r="JY67" s="4"/>
      <c r="JZ67" s="4"/>
      <c r="KA67" s="4"/>
      <c r="KB67" s="4"/>
      <c r="KG67" s="7" t="s">
        <v>12</v>
      </c>
      <c r="KK67" s="7" t="s">
        <v>720</v>
      </c>
      <c r="MZ67" t="s">
        <v>11</v>
      </c>
      <c r="NA67">
        <v>42</v>
      </c>
      <c r="NC67" t="s">
        <v>710</v>
      </c>
      <c r="NH67" t="s">
        <v>205</v>
      </c>
      <c r="NI67" t="s">
        <v>712</v>
      </c>
      <c r="NK67" t="s">
        <v>204</v>
      </c>
      <c r="NM67" s="4" t="s">
        <v>203</v>
      </c>
      <c r="NN67" t="s">
        <v>202</v>
      </c>
      <c r="NO67">
        <v>0</v>
      </c>
      <c r="NP67">
        <v>15</v>
      </c>
      <c r="NW67" t="s">
        <v>6</v>
      </c>
      <c r="NX67" s="3">
        <v>125</v>
      </c>
      <c r="NY67" s="4" t="s">
        <v>4</v>
      </c>
      <c r="NZ67" s="3">
        <v>26</v>
      </c>
      <c r="OC67">
        <v>4</v>
      </c>
      <c r="OT67" t="s">
        <v>207</v>
      </c>
      <c r="OV67">
        <v>1996</v>
      </c>
      <c r="OY67" s="2" t="s">
        <v>1</v>
      </c>
      <c r="PA67" t="s">
        <v>1169</v>
      </c>
      <c r="PB67" s="58">
        <v>46094</v>
      </c>
    </row>
    <row r="68" spans="1:418" ht="15.75" thickBot="1">
      <c r="A68" s="11" t="s">
        <v>36</v>
      </c>
      <c r="B68" t="s">
        <v>35</v>
      </c>
      <c r="C68" t="s">
        <v>34</v>
      </c>
      <c r="D68" s="4" t="s">
        <v>33</v>
      </c>
      <c r="E68" t="s">
        <v>32</v>
      </c>
      <c r="F68" s="4" t="s">
        <v>31</v>
      </c>
      <c r="G68" t="s">
        <v>2</v>
      </c>
      <c r="H68" t="s">
        <v>30</v>
      </c>
      <c r="I68" s="10">
        <v>0.1</v>
      </c>
      <c r="J68" s="10">
        <v>34.566667000000002</v>
      </c>
      <c r="K68" t="s">
        <v>29</v>
      </c>
      <c r="AV68" t="s">
        <v>28</v>
      </c>
      <c r="AW68">
        <v>100</v>
      </c>
      <c r="AX68" t="s">
        <v>29</v>
      </c>
      <c r="AY68">
        <v>4</v>
      </c>
      <c r="AZ68" t="s">
        <v>27</v>
      </c>
      <c r="BA68">
        <v>1994</v>
      </c>
      <c r="BB68">
        <v>1998</v>
      </c>
      <c r="BC68" t="s">
        <v>26</v>
      </c>
      <c r="BD68" t="s">
        <v>19</v>
      </c>
      <c r="BE68" s="10" t="s">
        <v>40</v>
      </c>
      <c r="BF68" t="s">
        <v>39</v>
      </c>
      <c r="BG68" s="3" t="s">
        <v>1233</v>
      </c>
      <c r="BH68" t="s">
        <v>23</v>
      </c>
      <c r="BI68" t="s">
        <v>750</v>
      </c>
      <c r="BJ68" s="4" t="s">
        <v>22</v>
      </c>
      <c r="BK68" s="9">
        <v>53000</v>
      </c>
      <c r="HR68" t="s">
        <v>21</v>
      </c>
      <c r="HT68" s="4" t="s">
        <v>20</v>
      </c>
      <c r="HU68" s="58">
        <v>34335</v>
      </c>
      <c r="HV68" s="58">
        <v>36160</v>
      </c>
      <c r="HW68" s="58"/>
      <c r="HX68" s="58"/>
      <c r="IP68" t="s">
        <v>38</v>
      </c>
      <c r="IQ68" s="54" t="s">
        <v>19</v>
      </c>
      <c r="IV68" s="4" t="s">
        <v>18</v>
      </c>
      <c r="IW68" t="s">
        <v>38</v>
      </c>
      <c r="IX68" s="54" t="s">
        <v>19</v>
      </c>
      <c r="JB68">
        <v>0</v>
      </c>
      <c r="JC68">
        <v>0</v>
      </c>
      <c r="JD68">
        <v>0</v>
      </c>
      <c r="JE68">
        <v>0</v>
      </c>
      <c r="JF68">
        <v>0</v>
      </c>
      <c r="JG68">
        <v>0</v>
      </c>
      <c r="JH68">
        <v>0</v>
      </c>
      <c r="JI68">
        <v>0</v>
      </c>
      <c r="JJ68">
        <v>0</v>
      </c>
      <c r="JL68" s="12" t="s">
        <v>721</v>
      </c>
      <c r="JQ68" s="4"/>
      <c r="JW68" s="4"/>
      <c r="JX68" s="4"/>
      <c r="JY68" s="4"/>
      <c r="JZ68" s="4"/>
      <c r="KA68" s="4"/>
      <c r="KB68" s="4"/>
      <c r="KG68" s="7" t="s">
        <v>12</v>
      </c>
      <c r="KK68" s="7" t="s">
        <v>720</v>
      </c>
      <c r="MZ68" t="s">
        <v>11</v>
      </c>
      <c r="NA68">
        <v>42</v>
      </c>
      <c r="NC68" t="s">
        <v>710</v>
      </c>
      <c r="NH68" t="s">
        <v>205</v>
      </c>
      <c r="NI68" t="s">
        <v>712</v>
      </c>
      <c r="NK68" t="s">
        <v>204</v>
      </c>
      <c r="NM68" s="4" t="s">
        <v>203</v>
      </c>
      <c r="NN68" t="s">
        <v>202</v>
      </c>
      <c r="NO68">
        <v>0</v>
      </c>
      <c r="NP68">
        <v>15</v>
      </c>
      <c r="NV68" t="s">
        <v>735</v>
      </c>
      <c r="NW68" t="s">
        <v>6</v>
      </c>
      <c r="NX68" s="3">
        <v>57</v>
      </c>
      <c r="NY68" s="4" t="s">
        <v>4</v>
      </c>
      <c r="NZ68" s="3">
        <v>7</v>
      </c>
      <c r="OC68">
        <v>4</v>
      </c>
      <c r="OT68" t="s">
        <v>207</v>
      </c>
      <c r="OV68">
        <v>1996</v>
      </c>
      <c r="OY68" s="2" t="s">
        <v>1</v>
      </c>
      <c r="PA68" t="s">
        <v>1169</v>
      </c>
      <c r="PB68" s="58">
        <v>46094</v>
      </c>
    </row>
    <row r="69" spans="1:418" ht="15.75" thickBot="1">
      <c r="A69" s="11" t="s">
        <v>36</v>
      </c>
      <c r="B69" t="s">
        <v>35</v>
      </c>
      <c r="C69" t="s">
        <v>34</v>
      </c>
      <c r="D69" s="4" t="s">
        <v>33</v>
      </c>
      <c r="E69" t="s">
        <v>32</v>
      </c>
      <c r="F69" s="4" t="s">
        <v>31</v>
      </c>
      <c r="G69" t="s">
        <v>2</v>
      </c>
      <c r="H69" t="s">
        <v>30</v>
      </c>
      <c r="I69" s="10">
        <v>0.1</v>
      </c>
      <c r="J69" s="10">
        <v>34.566667000000002</v>
      </c>
      <c r="K69" t="s">
        <v>29</v>
      </c>
      <c r="AV69" t="s">
        <v>28</v>
      </c>
      <c r="AW69">
        <v>100</v>
      </c>
      <c r="AX69" t="s">
        <v>29</v>
      </c>
      <c r="AY69">
        <v>4</v>
      </c>
      <c r="AZ69" t="s">
        <v>27</v>
      </c>
      <c r="BA69">
        <v>1994</v>
      </c>
      <c r="BB69">
        <v>1998</v>
      </c>
      <c r="BC69" t="s">
        <v>26</v>
      </c>
      <c r="BD69" t="s">
        <v>19</v>
      </c>
      <c r="BE69" s="10" t="s">
        <v>25</v>
      </c>
      <c r="BF69" t="s">
        <v>24</v>
      </c>
      <c r="BG69" s="3" t="s">
        <v>1233</v>
      </c>
      <c r="BH69" t="s">
        <v>23</v>
      </c>
      <c r="BI69" t="s">
        <v>750</v>
      </c>
      <c r="BJ69" s="4" t="s">
        <v>22</v>
      </c>
      <c r="BK69" s="9">
        <v>53000</v>
      </c>
      <c r="HR69" t="s">
        <v>21</v>
      </c>
      <c r="HT69" s="4" t="s">
        <v>20</v>
      </c>
      <c r="HU69" s="58">
        <v>34335</v>
      </c>
      <c r="HV69" s="58">
        <v>36160</v>
      </c>
      <c r="HW69" s="58"/>
      <c r="HX69" s="58"/>
      <c r="IP69" t="s">
        <v>16</v>
      </c>
      <c r="IQ69" s="54" t="s">
        <v>19</v>
      </c>
      <c r="IV69" s="4" t="s">
        <v>18</v>
      </c>
      <c r="IW69" t="s">
        <v>17</v>
      </c>
      <c r="IX69" s="54" t="s">
        <v>19</v>
      </c>
      <c r="JB69">
        <v>0</v>
      </c>
      <c r="JC69">
        <v>0</v>
      </c>
      <c r="JD69">
        <v>0</v>
      </c>
      <c r="JE69">
        <v>0</v>
      </c>
      <c r="JF69">
        <v>0</v>
      </c>
      <c r="JG69">
        <v>0</v>
      </c>
      <c r="JH69">
        <v>0</v>
      </c>
      <c r="JI69">
        <v>0</v>
      </c>
      <c r="JJ69">
        <v>0</v>
      </c>
      <c r="JK69" t="s">
        <v>16</v>
      </c>
      <c r="JL69" t="s">
        <v>15</v>
      </c>
      <c r="JM69" s="8" t="s">
        <v>14</v>
      </c>
      <c r="JQ69" s="4" t="s">
        <v>13</v>
      </c>
      <c r="JR69">
        <v>60</v>
      </c>
      <c r="JU69">
        <v>60</v>
      </c>
      <c r="JW69" s="4"/>
      <c r="JX69" s="4"/>
      <c r="JY69" s="4"/>
      <c r="JZ69" s="4"/>
      <c r="KA69" s="4"/>
      <c r="KB69" s="4"/>
      <c r="KG69" s="7" t="s">
        <v>12</v>
      </c>
      <c r="KK69" s="7" t="s">
        <v>720</v>
      </c>
      <c r="MZ69" t="s">
        <v>11</v>
      </c>
      <c r="NA69">
        <v>42</v>
      </c>
      <c r="NC69" t="s">
        <v>710</v>
      </c>
      <c r="NH69" t="s">
        <v>205</v>
      </c>
      <c r="NI69" t="s">
        <v>712</v>
      </c>
      <c r="NK69" t="s">
        <v>204</v>
      </c>
      <c r="NM69" s="4" t="s">
        <v>203</v>
      </c>
      <c r="NN69" t="s">
        <v>202</v>
      </c>
      <c r="NO69">
        <v>0</v>
      </c>
      <c r="NP69">
        <v>15</v>
      </c>
      <c r="NV69" t="s">
        <v>747</v>
      </c>
      <c r="NW69" t="s">
        <v>6</v>
      </c>
      <c r="NX69" s="3">
        <v>37</v>
      </c>
      <c r="NY69" s="4" t="s">
        <v>4</v>
      </c>
      <c r="NZ69" s="3">
        <v>10</v>
      </c>
      <c r="OC69">
        <v>4</v>
      </c>
      <c r="OT69" t="s">
        <v>207</v>
      </c>
      <c r="OV69">
        <v>1996</v>
      </c>
      <c r="OY69" s="2" t="s">
        <v>1</v>
      </c>
      <c r="PA69" t="s">
        <v>1169</v>
      </c>
      <c r="PB69" s="58">
        <v>46094</v>
      </c>
    </row>
    <row r="70" spans="1:418" ht="15.75" thickBot="1">
      <c r="A70" s="11" t="s">
        <v>36</v>
      </c>
      <c r="B70" t="s">
        <v>35</v>
      </c>
      <c r="C70" t="s">
        <v>34</v>
      </c>
      <c r="D70" s="4" t="s">
        <v>33</v>
      </c>
      <c r="E70" t="s">
        <v>32</v>
      </c>
      <c r="F70" s="4" t="s">
        <v>31</v>
      </c>
      <c r="G70" t="s">
        <v>2</v>
      </c>
      <c r="H70" t="s">
        <v>30</v>
      </c>
      <c r="I70" s="10">
        <v>0.1</v>
      </c>
      <c r="J70" s="10">
        <v>34.566667000000002</v>
      </c>
      <c r="K70" t="s">
        <v>29</v>
      </c>
      <c r="AV70" t="s">
        <v>28</v>
      </c>
      <c r="AW70">
        <v>100</v>
      </c>
      <c r="AX70" t="s">
        <v>29</v>
      </c>
      <c r="AY70">
        <v>4</v>
      </c>
      <c r="AZ70" t="s">
        <v>27</v>
      </c>
      <c r="BA70">
        <v>1994</v>
      </c>
      <c r="BB70">
        <v>1998</v>
      </c>
      <c r="BC70" t="s">
        <v>26</v>
      </c>
      <c r="BD70" t="s">
        <v>59</v>
      </c>
      <c r="BE70" s="10" t="s">
        <v>65</v>
      </c>
      <c r="BF70" t="s">
        <v>64</v>
      </c>
      <c r="BG70" s="3" t="s">
        <v>1233</v>
      </c>
      <c r="BH70" t="s">
        <v>23</v>
      </c>
      <c r="BI70" t="s">
        <v>750</v>
      </c>
      <c r="BJ70" s="4" t="s">
        <v>22</v>
      </c>
      <c r="BK70" s="9">
        <v>53000</v>
      </c>
      <c r="EE70" t="s">
        <v>55</v>
      </c>
      <c r="EF70" s="4" t="s">
        <v>22</v>
      </c>
      <c r="EG70" s="9">
        <v>53000</v>
      </c>
      <c r="EH70" s="9"/>
      <c r="EI70" s="9"/>
      <c r="EJ70" s="9"/>
      <c r="EK70" s="9"/>
      <c r="EL70" s="9"/>
      <c r="EM70" s="9"/>
      <c r="EN70" s="9"/>
      <c r="EO70" s="9"/>
      <c r="EP70" s="9"/>
      <c r="EQ70" s="9"/>
      <c r="ER70" s="9"/>
      <c r="ES70" s="9"/>
      <c r="ET70" s="9"/>
      <c r="EU70" s="9"/>
      <c r="EV70" s="9"/>
      <c r="EW70" s="9"/>
      <c r="EX70" s="9"/>
      <c r="EY70" s="9"/>
      <c r="EZ70" s="9"/>
      <c r="FA70" s="9"/>
      <c r="FB70" s="9"/>
      <c r="FC70" s="9"/>
      <c r="FD70" s="9"/>
      <c r="FE70" s="9"/>
      <c r="FF70" s="9"/>
      <c r="FG70" s="9"/>
      <c r="FH70" s="9"/>
      <c r="FI70" s="9"/>
      <c r="FJ70" s="9"/>
      <c r="FK70" s="9"/>
      <c r="FL70" s="9"/>
      <c r="FM70" s="9"/>
      <c r="FN70" s="9"/>
      <c r="FO70" s="9"/>
      <c r="FP70" s="9"/>
      <c r="FQ70" s="9"/>
      <c r="FR70" s="9"/>
      <c r="FS70" s="9"/>
      <c r="FT70" s="9"/>
      <c r="FU70" s="9"/>
      <c r="FV70" s="9"/>
      <c r="FW70" s="9"/>
      <c r="FX70" s="9"/>
      <c r="FY70" s="9"/>
      <c r="FZ70" s="9"/>
      <c r="GA70" s="9"/>
      <c r="GB70" s="9"/>
      <c r="GC70" s="9"/>
      <c r="GD70" s="9"/>
      <c r="GE70" s="9"/>
      <c r="GF70" s="9"/>
      <c r="GG70" s="9"/>
      <c r="GH70" s="9"/>
      <c r="GI70" s="9"/>
      <c r="GJ70" s="9"/>
      <c r="GK70" s="9"/>
      <c r="GL70" s="9"/>
      <c r="GM70" s="9"/>
      <c r="GN70" s="9"/>
      <c r="GO70" s="9"/>
      <c r="GP70" s="9"/>
      <c r="GQ70" s="9"/>
      <c r="GR70" s="9"/>
      <c r="GS70" s="9"/>
      <c r="GT70" s="9"/>
      <c r="GU70" s="9"/>
      <c r="GV70" s="9"/>
      <c r="GW70" s="9"/>
      <c r="GX70" s="9"/>
      <c r="GY70" s="9"/>
      <c r="GZ70" s="9"/>
      <c r="HA70" s="9"/>
      <c r="HB70" s="9"/>
      <c r="HC70" s="9"/>
      <c r="HD70" s="9"/>
      <c r="HE70" s="9"/>
      <c r="HF70" s="9"/>
      <c r="HG70" s="9"/>
      <c r="HH70" s="9"/>
      <c r="HI70" s="9"/>
      <c r="HJ70" s="9"/>
      <c r="HK70" s="9"/>
      <c r="HR70" t="s">
        <v>21</v>
      </c>
      <c r="HT70" s="4" t="s">
        <v>20</v>
      </c>
      <c r="HU70" s="58">
        <v>34335</v>
      </c>
      <c r="HV70" s="58">
        <v>36160</v>
      </c>
      <c r="HW70" s="58"/>
      <c r="HX70" s="58"/>
      <c r="IO70" s="4"/>
      <c r="IP70" t="s">
        <v>63</v>
      </c>
      <c r="IQ70" s="12" t="s">
        <v>1718</v>
      </c>
      <c r="IT70">
        <v>1995</v>
      </c>
      <c r="IU70">
        <v>1995.2</v>
      </c>
      <c r="IV70" s="4" t="s">
        <v>18</v>
      </c>
      <c r="IW70" t="s">
        <v>61</v>
      </c>
      <c r="IX70" s="12" t="s">
        <v>52</v>
      </c>
      <c r="JA70">
        <v>0.5</v>
      </c>
      <c r="JB70" t="s">
        <v>29</v>
      </c>
      <c r="JC70" t="s">
        <v>29</v>
      </c>
      <c r="JD70" t="s">
        <v>29</v>
      </c>
      <c r="JE70" t="s">
        <v>29</v>
      </c>
      <c r="JF70" t="s">
        <v>29</v>
      </c>
      <c r="JG70" t="s">
        <v>29</v>
      </c>
      <c r="JH70" t="s">
        <v>29</v>
      </c>
      <c r="JI70" t="s">
        <v>29</v>
      </c>
      <c r="JJ70" t="s">
        <v>29</v>
      </c>
      <c r="JL70" s="12" t="s">
        <v>721</v>
      </c>
      <c r="JQ70" s="4"/>
      <c r="JW70" s="4"/>
      <c r="JX70" s="4"/>
      <c r="JY70" s="4"/>
      <c r="JZ70" s="4"/>
      <c r="KA70" s="4"/>
      <c r="KB70" s="4"/>
      <c r="KG70" s="7" t="s">
        <v>12</v>
      </c>
      <c r="KK70" s="53" t="s">
        <v>719</v>
      </c>
      <c r="KL70" s="8" t="s">
        <v>51</v>
      </c>
      <c r="KN70" t="s">
        <v>29</v>
      </c>
      <c r="MZ70" t="s">
        <v>11</v>
      </c>
      <c r="NA70">
        <v>42</v>
      </c>
      <c r="NC70" t="s">
        <v>710</v>
      </c>
      <c r="NH70" t="s">
        <v>205</v>
      </c>
      <c r="NI70" t="s">
        <v>712</v>
      </c>
      <c r="NK70" t="s">
        <v>204</v>
      </c>
      <c r="NM70" s="4" t="s">
        <v>203</v>
      </c>
      <c r="NN70" t="s">
        <v>202</v>
      </c>
      <c r="NO70">
        <v>15</v>
      </c>
      <c r="NP70">
        <v>30</v>
      </c>
      <c r="NW70" t="s">
        <v>6</v>
      </c>
      <c r="NX70" s="3">
        <v>41</v>
      </c>
      <c r="NY70" s="4" t="s">
        <v>4</v>
      </c>
      <c r="NZ70" s="3">
        <v>6</v>
      </c>
      <c r="OC70">
        <v>4</v>
      </c>
      <c r="OT70" t="s">
        <v>206</v>
      </c>
      <c r="OV70">
        <v>1996</v>
      </c>
      <c r="OY70" s="2" t="s">
        <v>62</v>
      </c>
      <c r="PA70" t="s">
        <v>1169</v>
      </c>
      <c r="PB70" s="58">
        <v>46094</v>
      </c>
    </row>
    <row r="71" spans="1:418" ht="15.75" thickBot="1">
      <c r="A71" s="11" t="s">
        <v>36</v>
      </c>
      <c r="B71" t="s">
        <v>35</v>
      </c>
      <c r="C71" t="s">
        <v>34</v>
      </c>
      <c r="D71" s="4" t="s">
        <v>33</v>
      </c>
      <c r="E71" t="s">
        <v>32</v>
      </c>
      <c r="F71" s="4" t="s">
        <v>31</v>
      </c>
      <c r="G71" t="s">
        <v>2</v>
      </c>
      <c r="H71" t="s">
        <v>30</v>
      </c>
      <c r="I71" s="10">
        <v>0.1</v>
      </c>
      <c r="J71" s="10">
        <v>34.566667000000002</v>
      </c>
      <c r="K71" t="s">
        <v>29</v>
      </c>
      <c r="AV71" t="s">
        <v>28</v>
      </c>
      <c r="AW71">
        <v>100</v>
      </c>
      <c r="AX71" t="s">
        <v>29</v>
      </c>
      <c r="AY71">
        <v>4</v>
      </c>
      <c r="AZ71" t="s">
        <v>27</v>
      </c>
      <c r="BA71">
        <v>1994</v>
      </c>
      <c r="BB71">
        <v>1998</v>
      </c>
      <c r="BC71" t="s">
        <v>26</v>
      </c>
      <c r="BD71" t="s">
        <v>59</v>
      </c>
      <c r="BE71" s="10" t="s">
        <v>58</v>
      </c>
      <c r="BF71" t="s">
        <v>57</v>
      </c>
      <c r="BG71" s="3" t="s">
        <v>1233</v>
      </c>
      <c r="BH71" t="s">
        <v>23</v>
      </c>
      <c r="BI71" t="s">
        <v>750</v>
      </c>
      <c r="BJ71" s="4" t="s">
        <v>22</v>
      </c>
      <c r="BK71" s="9">
        <v>53000</v>
      </c>
      <c r="EE71" t="s">
        <v>55</v>
      </c>
      <c r="EF71" s="4" t="s">
        <v>22</v>
      </c>
      <c r="EG71" s="9">
        <v>53000</v>
      </c>
      <c r="EH71" s="9"/>
      <c r="EI71" s="9"/>
      <c r="EJ71" s="9"/>
      <c r="EK71" s="9"/>
      <c r="EL71" s="9"/>
      <c r="EM71" s="9"/>
      <c r="EN71" s="9"/>
      <c r="EO71" s="9"/>
      <c r="EP71" s="9"/>
      <c r="EQ71" s="9"/>
      <c r="ER71" s="9"/>
      <c r="ES71" s="9"/>
      <c r="ET71" s="9"/>
      <c r="EU71" s="9"/>
      <c r="EV71" s="9"/>
      <c r="EW71" s="9"/>
      <c r="EX71" s="9"/>
      <c r="EY71" s="9"/>
      <c r="EZ71" s="9"/>
      <c r="FA71" s="9"/>
      <c r="FB71" s="9"/>
      <c r="FC71" s="9"/>
      <c r="FD71" s="9"/>
      <c r="FE71" s="9"/>
      <c r="FF71" s="9"/>
      <c r="FG71" s="9"/>
      <c r="FH71" s="9"/>
      <c r="FI71" s="9"/>
      <c r="FJ71" s="9"/>
      <c r="FK71" s="9"/>
      <c r="FL71" s="9"/>
      <c r="FM71" s="9"/>
      <c r="FN71" s="9"/>
      <c r="FO71" s="9"/>
      <c r="FP71" s="9"/>
      <c r="FQ71" s="9"/>
      <c r="FR71" s="9"/>
      <c r="FS71" s="9"/>
      <c r="FT71" s="9"/>
      <c r="FU71" s="9"/>
      <c r="FV71" s="9"/>
      <c r="FW71" s="9"/>
      <c r="FX71" s="9"/>
      <c r="FY71" s="9"/>
      <c r="FZ71" s="9"/>
      <c r="GA71" s="9"/>
      <c r="GB71" s="9"/>
      <c r="GC71" s="9"/>
      <c r="GD71" s="9"/>
      <c r="GE71" s="9"/>
      <c r="GF71" s="9"/>
      <c r="GG71" s="9"/>
      <c r="GH71" s="9"/>
      <c r="GI71" s="9"/>
      <c r="GJ71" s="9"/>
      <c r="GK71" s="9"/>
      <c r="GL71" s="9"/>
      <c r="GM71" s="9"/>
      <c r="GN71" s="9"/>
      <c r="GO71" s="9"/>
      <c r="GP71" s="9"/>
      <c r="GQ71" s="9"/>
      <c r="GR71" s="9"/>
      <c r="GS71" s="9"/>
      <c r="GT71" s="9"/>
      <c r="GU71" s="9"/>
      <c r="GV71" s="9"/>
      <c r="GW71" s="9"/>
      <c r="GX71" s="9"/>
      <c r="GY71" s="9"/>
      <c r="GZ71" s="9"/>
      <c r="HA71" s="9"/>
      <c r="HB71" s="9"/>
      <c r="HC71" s="9"/>
      <c r="HD71" s="9"/>
      <c r="HE71" s="9"/>
      <c r="HF71" s="9"/>
      <c r="HG71" s="9"/>
      <c r="HH71" s="9"/>
      <c r="HI71" s="9"/>
      <c r="HJ71" s="9"/>
      <c r="HK71" s="9"/>
      <c r="HR71" t="s">
        <v>21</v>
      </c>
      <c r="HT71" s="4" t="s">
        <v>20</v>
      </c>
      <c r="HU71" s="58">
        <v>34335</v>
      </c>
      <c r="HV71" s="58">
        <v>36160</v>
      </c>
      <c r="HW71" s="58"/>
      <c r="HX71" s="58"/>
      <c r="IO71" s="4"/>
      <c r="IP71" t="s">
        <v>54</v>
      </c>
      <c r="IQ71" s="12" t="s">
        <v>1719</v>
      </c>
      <c r="IT71">
        <v>1994</v>
      </c>
      <c r="IU71">
        <v>1994.2</v>
      </c>
      <c r="IV71" s="4" t="s">
        <v>18</v>
      </c>
      <c r="IW71" t="s">
        <v>53</v>
      </c>
      <c r="IX71" s="12" t="s">
        <v>52</v>
      </c>
      <c r="JA71">
        <v>0.5</v>
      </c>
      <c r="JB71" t="s">
        <v>29</v>
      </c>
      <c r="JC71" t="s">
        <v>29</v>
      </c>
      <c r="JD71" t="s">
        <v>29</v>
      </c>
      <c r="JE71" t="s">
        <v>29</v>
      </c>
      <c r="JF71" t="s">
        <v>29</v>
      </c>
      <c r="JG71" t="s">
        <v>29</v>
      </c>
      <c r="JH71" t="s">
        <v>29</v>
      </c>
      <c r="JI71" t="s">
        <v>29</v>
      </c>
      <c r="JJ71" t="s">
        <v>29</v>
      </c>
      <c r="JL71" s="12" t="s">
        <v>721</v>
      </c>
      <c r="JQ71" s="4"/>
      <c r="JW71" s="4"/>
      <c r="JX71" s="4"/>
      <c r="JY71" s="4"/>
      <c r="JZ71" s="4"/>
      <c r="KA71" s="4"/>
      <c r="KB71" s="4"/>
      <c r="KG71" s="7" t="s">
        <v>12</v>
      </c>
      <c r="KK71" s="53" t="s">
        <v>719</v>
      </c>
      <c r="KL71" s="8" t="s">
        <v>51</v>
      </c>
      <c r="KN71" t="s">
        <v>29</v>
      </c>
      <c r="MZ71" t="s">
        <v>11</v>
      </c>
      <c r="NA71">
        <v>42</v>
      </c>
      <c r="NC71" t="s">
        <v>710</v>
      </c>
      <c r="NH71" t="s">
        <v>205</v>
      </c>
      <c r="NI71" t="s">
        <v>712</v>
      </c>
      <c r="NK71" t="s">
        <v>204</v>
      </c>
      <c r="NM71" s="4" t="s">
        <v>203</v>
      </c>
      <c r="NN71" t="s">
        <v>202</v>
      </c>
      <c r="NO71">
        <v>15</v>
      </c>
      <c r="NP71">
        <v>30</v>
      </c>
      <c r="NW71" t="s">
        <v>6</v>
      </c>
      <c r="NX71" s="3">
        <v>16</v>
      </c>
      <c r="NY71" s="4" t="s">
        <v>4</v>
      </c>
      <c r="NZ71" s="3">
        <v>4</v>
      </c>
      <c r="OC71">
        <v>4</v>
      </c>
      <c r="OT71" t="s">
        <v>206</v>
      </c>
      <c r="OV71">
        <v>1996</v>
      </c>
      <c r="OY71" s="2" t="s">
        <v>62</v>
      </c>
      <c r="PA71" t="s">
        <v>1169</v>
      </c>
      <c r="PB71" s="58">
        <v>46094</v>
      </c>
    </row>
    <row r="72" spans="1:418" ht="15.75" thickBot="1">
      <c r="A72" s="11" t="s">
        <v>36</v>
      </c>
      <c r="B72" t="s">
        <v>35</v>
      </c>
      <c r="C72" t="s">
        <v>34</v>
      </c>
      <c r="D72" s="4" t="s">
        <v>33</v>
      </c>
      <c r="E72" t="s">
        <v>32</v>
      </c>
      <c r="F72" s="4" t="s">
        <v>31</v>
      </c>
      <c r="G72" t="s">
        <v>2</v>
      </c>
      <c r="H72" t="s">
        <v>30</v>
      </c>
      <c r="I72" s="10">
        <v>0.1</v>
      </c>
      <c r="J72" s="10">
        <v>34.566667000000002</v>
      </c>
      <c r="K72" t="s">
        <v>29</v>
      </c>
      <c r="AV72" t="s">
        <v>28</v>
      </c>
      <c r="AW72">
        <v>100</v>
      </c>
      <c r="AX72" t="s">
        <v>29</v>
      </c>
      <c r="AY72">
        <v>4</v>
      </c>
      <c r="AZ72" t="s">
        <v>27</v>
      </c>
      <c r="BA72">
        <v>1994</v>
      </c>
      <c r="BB72">
        <v>1998</v>
      </c>
      <c r="BC72" t="s">
        <v>26</v>
      </c>
      <c r="BD72" t="s">
        <v>45</v>
      </c>
      <c r="BE72" s="10" t="s">
        <v>49</v>
      </c>
      <c r="BF72" t="s">
        <v>48</v>
      </c>
      <c r="BG72" s="3" t="s">
        <v>1233</v>
      </c>
      <c r="BH72" t="s">
        <v>23</v>
      </c>
      <c r="BI72" t="s">
        <v>750</v>
      </c>
      <c r="BJ72" s="4" t="s">
        <v>22</v>
      </c>
      <c r="BK72" s="9">
        <v>53000</v>
      </c>
      <c r="EF72" s="4"/>
      <c r="EG72" s="9"/>
      <c r="EH72" s="9"/>
      <c r="EI72" s="9"/>
      <c r="EJ72" s="9"/>
      <c r="EK72" s="9"/>
      <c r="EL72" s="9"/>
      <c r="EM72" s="9"/>
      <c r="EN72" s="9"/>
      <c r="EO72" s="9"/>
      <c r="EP72" s="9"/>
      <c r="EQ72" s="9"/>
      <c r="ER72" s="9"/>
      <c r="ES72" s="9"/>
      <c r="ET72" s="9"/>
      <c r="EU72" s="9"/>
      <c r="EV72" s="9"/>
      <c r="EW72" s="9"/>
      <c r="EX72" s="9"/>
      <c r="EY72" s="9"/>
      <c r="EZ72" s="9"/>
      <c r="FA72" s="9"/>
      <c r="FB72" s="9"/>
      <c r="FC72" s="9"/>
      <c r="FD72" s="9"/>
      <c r="FE72" s="9"/>
      <c r="FF72" s="9"/>
      <c r="FG72" s="9"/>
      <c r="FH72" s="9"/>
      <c r="FI72" s="9"/>
      <c r="FJ72" s="9"/>
      <c r="FK72" s="9"/>
      <c r="FL72" s="9"/>
      <c r="FM72" s="9"/>
      <c r="FN72" s="9"/>
      <c r="FO72" s="9"/>
      <c r="FP72" s="9"/>
      <c r="FQ72" s="9"/>
      <c r="FR72" s="9"/>
      <c r="FS72" s="9"/>
      <c r="FT72" s="9"/>
      <c r="FU72" s="9"/>
      <c r="FV72" s="9"/>
      <c r="FW72" s="9"/>
      <c r="FX72" s="9"/>
      <c r="FY72" s="9"/>
      <c r="FZ72" s="9"/>
      <c r="GA72" s="9"/>
      <c r="GB72" s="9"/>
      <c r="GC72" s="9"/>
      <c r="GD72" s="9"/>
      <c r="GE72" s="9"/>
      <c r="GF72" s="9"/>
      <c r="GG72" s="9"/>
      <c r="GH72" s="9"/>
      <c r="GI72" s="9"/>
      <c r="GJ72" s="9"/>
      <c r="GK72" s="9"/>
      <c r="GL72" s="9"/>
      <c r="GM72" s="9"/>
      <c r="GN72" s="9"/>
      <c r="GO72" s="9"/>
      <c r="GP72" s="9"/>
      <c r="GQ72" s="9"/>
      <c r="GR72" s="9"/>
      <c r="GS72" s="9"/>
      <c r="GT72" s="9"/>
      <c r="GU72" s="9"/>
      <c r="GV72" s="9"/>
      <c r="GW72" s="9"/>
      <c r="GX72" s="9"/>
      <c r="GY72" s="9"/>
      <c r="GZ72" s="9"/>
      <c r="HA72" s="9"/>
      <c r="HB72" s="9"/>
      <c r="HC72" s="9"/>
      <c r="HD72" s="9"/>
      <c r="HE72" s="9"/>
      <c r="HF72" s="9"/>
      <c r="HG72" s="9"/>
      <c r="HH72" s="9"/>
      <c r="HI72" s="9"/>
      <c r="HJ72" s="9"/>
      <c r="HK72" s="9"/>
      <c r="HR72" t="s">
        <v>21</v>
      </c>
      <c r="HT72" s="4" t="s">
        <v>20</v>
      </c>
      <c r="HU72" s="58">
        <v>34335</v>
      </c>
      <c r="HV72" s="58">
        <v>36160</v>
      </c>
      <c r="HW72" s="58"/>
      <c r="HX72" s="58"/>
      <c r="IP72" t="s">
        <v>47</v>
      </c>
      <c r="IQ72" s="54" t="s">
        <v>1226</v>
      </c>
      <c r="IT72">
        <v>1995</v>
      </c>
      <c r="IU72">
        <v>1995.2</v>
      </c>
      <c r="IV72" s="4" t="s">
        <v>18</v>
      </c>
      <c r="IW72" t="s">
        <v>38</v>
      </c>
      <c r="IX72" t="s">
        <v>19</v>
      </c>
      <c r="JB72">
        <v>0</v>
      </c>
      <c r="JC72">
        <v>0</v>
      </c>
      <c r="JD72">
        <v>0</v>
      </c>
      <c r="JE72">
        <v>0</v>
      </c>
      <c r="JF72">
        <v>0</v>
      </c>
      <c r="JG72">
        <v>0</v>
      </c>
      <c r="JH72">
        <v>0</v>
      </c>
      <c r="JI72">
        <v>0</v>
      </c>
      <c r="JJ72">
        <v>0</v>
      </c>
      <c r="JL72" s="12" t="s">
        <v>721</v>
      </c>
      <c r="JQ72" s="4"/>
      <c r="JW72" s="4"/>
      <c r="JX72" s="4"/>
      <c r="JY72" s="4"/>
      <c r="JZ72" s="4"/>
      <c r="KA72" s="4"/>
      <c r="KB72" s="4"/>
      <c r="KG72" s="7" t="s">
        <v>12</v>
      </c>
      <c r="KK72" s="7" t="s">
        <v>720</v>
      </c>
      <c r="MZ72" t="s">
        <v>11</v>
      </c>
      <c r="NA72">
        <v>42</v>
      </c>
      <c r="NC72" t="s">
        <v>710</v>
      </c>
      <c r="NH72" t="s">
        <v>205</v>
      </c>
      <c r="NI72" t="s">
        <v>712</v>
      </c>
      <c r="NK72" t="s">
        <v>204</v>
      </c>
      <c r="NM72" s="4" t="s">
        <v>203</v>
      </c>
      <c r="NN72" t="s">
        <v>202</v>
      </c>
      <c r="NO72">
        <v>15</v>
      </c>
      <c r="NP72">
        <v>30</v>
      </c>
      <c r="NW72" t="s">
        <v>6</v>
      </c>
      <c r="NX72" s="3">
        <v>31</v>
      </c>
      <c r="NY72" s="4" t="s">
        <v>4</v>
      </c>
      <c r="NZ72" s="3">
        <v>15</v>
      </c>
      <c r="OC72">
        <v>4</v>
      </c>
      <c r="OT72" t="s">
        <v>206</v>
      </c>
      <c r="OV72">
        <v>1996</v>
      </c>
      <c r="OY72" s="2" t="s">
        <v>62</v>
      </c>
      <c r="PA72" t="s">
        <v>1169</v>
      </c>
      <c r="PB72" s="58">
        <v>46094</v>
      </c>
    </row>
    <row r="73" spans="1:418" ht="15.75" thickBot="1">
      <c r="A73" s="11" t="s">
        <v>36</v>
      </c>
      <c r="B73" t="s">
        <v>35</v>
      </c>
      <c r="C73" t="s">
        <v>34</v>
      </c>
      <c r="D73" s="4" t="s">
        <v>33</v>
      </c>
      <c r="E73" t="s">
        <v>32</v>
      </c>
      <c r="F73" s="4" t="s">
        <v>31</v>
      </c>
      <c r="G73" t="s">
        <v>2</v>
      </c>
      <c r="H73" t="s">
        <v>30</v>
      </c>
      <c r="I73" s="10">
        <v>0.1</v>
      </c>
      <c r="J73" s="10">
        <v>34.566667000000002</v>
      </c>
      <c r="K73" t="s">
        <v>29</v>
      </c>
      <c r="AV73" t="s">
        <v>28</v>
      </c>
      <c r="AW73">
        <v>100</v>
      </c>
      <c r="AX73" t="s">
        <v>29</v>
      </c>
      <c r="AY73">
        <v>4</v>
      </c>
      <c r="AZ73" t="s">
        <v>27</v>
      </c>
      <c r="BA73">
        <v>1994</v>
      </c>
      <c r="BB73">
        <v>1998</v>
      </c>
      <c r="BC73" t="s">
        <v>26</v>
      </c>
      <c r="BD73" t="s">
        <v>45</v>
      </c>
      <c r="BE73" s="10" t="s">
        <v>44</v>
      </c>
      <c r="BF73" t="s">
        <v>43</v>
      </c>
      <c r="BG73" s="3" t="s">
        <v>1233</v>
      </c>
      <c r="BH73" t="s">
        <v>23</v>
      </c>
      <c r="BI73" t="s">
        <v>750</v>
      </c>
      <c r="BJ73" s="4" t="s">
        <v>22</v>
      </c>
      <c r="BK73" s="9">
        <v>53000</v>
      </c>
      <c r="EF73" s="4"/>
      <c r="EG73" s="9"/>
      <c r="EH73" s="9"/>
      <c r="EI73" s="9"/>
      <c r="EJ73" s="9"/>
      <c r="EK73" s="9"/>
      <c r="EL73" s="9"/>
      <c r="EM73" s="9"/>
      <c r="EN73" s="9"/>
      <c r="EO73" s="9"/>
      <c r="EP73" s="9"/>
      <c r="EQ73" s="9"/>
      <c r="ER73" s="9"/>
      <c r="ES73" s="9"/>
      <c r="ET73" s="9"/>
      <c r="EU73" s="9"/>
      <c r="EV73" s="9"/>
      <c r="EW73" s="9"/>
      <c r="EX73" s="9"/>
      <c r="EY73" s="9"/>
      <c r="EZ73" s="9"/>
      <c r="FA73" s="9"/>
      <c r="FB73" s="9"/>
      <c r="FC73" s="9"/>
      <c r="FD73" s="9"/>
      <c r="FE73" s="9"/>
      <c r="FF73" s="9"/>
      <c r="FG73" s="9"/>
      <c r="FH73" s="9"/>
      <c r="FI73" s="9"/>
      <c r="FJ73" s="9"/>
      <c r="FK73" s="9"/>
      <c r="FL73" s="9"/>
      <c r="FM73" s="9"/>
      <c r="FN73" s="9"/>
      <c r="FO73" s="9"/>
      <c r="FP73" s="9"/>
      <c r="FQ73" s="9"/>
      <c r="FR73" s="9"/>
      <c r="FS73" s="9"/>
      <c r="FT73" s="9"/>
      <c r="FU73" s="9"/>
      <c r="FV73" s="9"/>
      <c r="FW73" s="9"/>
      <c r="FX73" s="9"/>
      <c r="FY73" s="9"/>
      <c r="FZ73" s="9"/>
      <c r="GA73" s="9"/>
      <c r="GB73" s="9"/>
      <c r="GC73" s="9"/>
      <c r="GD73" s="9"/>
      <c r="GE73" s="9"/>
      <c r="GF73" s="9"/>
      <c r="GG73" s="9"/>
      <c r="GH73" s="9"/>
      <c r="GI73" s="9"/>
      <c r="GJ73" s="9"/>
      <c r="GK73" s="9"/>
      <c r="GL73" s="9"/>
      <c r="GM73" s="9"/>
      <c r="GN73" s="9"/>
      <c r="GO73" s="9"/>
      <c r="GP73" s="9"/>
      <c r="GQ73" s="9"/>
      <c r="GR73" s="9"/>
      <c r="GS73" s="9"/>
      <c r="GT73" s="9"/>
      <c r="GU73" s="9"/>
      <c r="GV73" s="9"/>
      <c r="GW73" s="9"/>
      <c r="GX73" s="9"/>
      <c r="GY73" s="9"/>
      <c r="GZ73" s="9"/>
      <c r="HA73" s="9"/>
      <c r="HB73" s="9"/>
      <c r="HC73" s="9"/>
      <c r="HD73" s="9"/>
      <c r="HE73" s="9"/>
      <c r="HF73" s="9"/>
      <c r="HG73" s="9"/>
      <c r="HH73" s="9"/>
      <c r="HI73" s="9"/>
      <c r="HJ73" s="9"/>
      <c r="HK73" s="9"/>
      <c r="HR73" t="s">
        <v>21</v>
      </c>
      <c r="HT73" s="4" t="s">
        <v>20</v>
      </c>
      <c r="HU73" s="58">
        <v>34335</v>
      </c>
      <c r="HV73" s="58">
        <v>36160</v>
      </c>
      <c r="HW73" s="58"/>
      <c r="HX73" s="58"/>
      <c r="IP73" t="s">
        <v>42</v>
      </c>
      <c r="IQ73" s="13" t="s">
        <v>1227</v>
      </c>
      <c r="IT73">
        <v>1994</v>
      </c>
      <c r="IU73">
        <v>1994.2</v>
      </c>
      <c r="IV73" s="4" t="s">
        <v>18</v>
      </c>
      <c r="IW73" t="s">
        <v>38</v>
      </c>
      <c r="IX73" t="s">
        <v>19</v>
      </c>
      <c r="JB73">
        <v>0</v>
      </c>
      <c r="JC73">
        <v>0</v>
      </c>
      <c r="JD73">
        <v>0</v>
      </c>
      <c r="JE73">
        <v>0</v>
      </c>
      <c r="JF73">
        <v>0</v>
      </c>
      <c r="JG73">
        <v>0</v>
      </c>
      <c r="JH73">
        <v>0</v>
      </c>
      <c r="JI73">
        <v>0</v>
      </c>
      <c r="JJ73">
        <v>0</v>
      </c>
      <c r="JL73" s="12" t="s">
        <v>721</v>
      </c>
      <c r="JQ73" s="4"/>
      <c r="JW73" s="4"/>
      <c r="JX73" s="4"/>
      <c r="JY73" s="4"/>
      <c r="JZ73" s="4"/>
      <c r="KA73" s="4"/>
      <c r="KB73" s="4"/>
      <c r="KG73" s="7" t="s">
        <v>12</v>
      </c>
      <c r="KK73" s="7" t="s">
        <v>720</v>
      </c>
      <c r="MZ73" t="s">
        <v>11</v>
      </c>
      <c r="NA73">
        <v>42</v>
      </c>
      <c r="NC73" t="s">
        <v>710</v>
      </c>
      <c r="NH73" t="s">
        <v>205</v>
      </c>
      <c r="NI73" t="s">
        <v>712</v>
      </c>
      <c r="NK73" t="s">
        <v>204</v>
      </c>
      <c r="NM73" s="4" t="s">
        <v>203</v>
      </c>
      <c r="NN73" t="s">
        <v>202</v>
      </c>
      <c r="NO73">
        <v>15</v>
      </c>
      <c r="NP73">
        <v>30</v>
      </c>
      <c r="NW73" t="s">
        <v>6</v>
      </c>
      <c r="NX73" s="3">
        <v>58</v>
      </c>
      <c r="NY73" s="4" t="s">
        <v>4</v>
      </c>
      <c r="NZ73" s="3">
        <v>17</v>
      </c>
      <c r="OC73">
        <v>4</v>
      </c>
      <c r="OT73" t="s">
        <v>206</v>
      </c>
      <c r="OV73">
        <v>1996</v>
      </c>
      <c r="OY73" s="2" t="s">
        <v>62</v>
      </c>
      <c r="PA73" t="s">
        <v>1169</v>
      </c>
      <c r="PB73" s="58">
        <v>46094</v>
      </c>
    </row>
    <row r="74" spans="1:418" ht="15.75" thickBot="1">
      <c r="A74" s="11" t="s">
        <v>36</v>
      </c>
      <c r="B74" t="s">
        <v>35</v>
      </c>
      <c r="C74" t="s">
        <v>34</v>
      </c>
      <c r="D74" s="4" t="s">
        <v>33</v>
      </c>
      <c r="E74" t="s">
        <v>32</v>
      </c>
      <c r="F74" s="4" t="s">
        <v>31</v>
      </c>
      <c r="G74" t="s">
        <v>2</v>
      </c>
      <c r="H74" t="s">
        <v>30</v>
      </c>
      <c r="I74" s="10">
        <v>0.1</v>
      </c>
      <c r="J74" s="10">
        <v>34.566667000000002</v>
      </c>
      <c r="K74" t="s">
        <v>29</v>
      </c>
      <c r="AV74" t="s">
        <v>28</v>
      </c>
      <c r="AW74">
        <v>100</v>
      </c>
      <c r="AX74" t="s">
        <v>29</v>
      </c>
      <c r="AY74">
        <v>4</v>
      </c>
      <c r="AZ74" t="s">
        <v>27</v>
      </c>
      <c r="BA74">
        <v>1994</v>
      </c>
      <c r="BB74">
        <v>1998</v>
      </c>
      <c r="BC74" t="s">
        <v>26</v>
      </c>
      <c r="BD74" t="s">
        <v>19</v>
      </c>
      <c r="BE74" s="10" t="s">
        <v>40</v>
      </c>
      <c r="BF74" t="s">
        <v>39</v>
      </c>
      <c r="BG74" s="3" t="s">
        <v>1233</v>
      </c>
      <c r="BH74" t="s">
        <v>23</v>
      </c>
      <c r="BI74" t="s">
        <v>750</v>
      </c>
      <c r="BJ74" s="4" t="s">
        <v>22</v>
      </c>
      <c r="BK74" s="9">
        <v>53000</v>
      </c>
      <c r="HR74" t="s">
        <v>21</v>
      </c>
      <c r="HT74" s="4" t="s">
        <v>20</v>
      </c>
      <c r="HU74" s="58">
        <v>34335</v>
      </c>
      <c r="HV74" s="58">
        <v>36160</v>
      </c>
      <c r="HW74" s="58"/>
      <c r="HX74" s="58"/>
      <c r="IP74" t="s">
        <v>38</v>
      </c>
      <c r="IQ74" s="54" t="s">
        <v>19</v>
      </c>
      <c r="IV74" s="4" t="s">
        <v>18</v>
      </c>
      <c r="IW74" t="s">
        <v>38</v>
      </c>
      <c r="IX74" s="54" t="s">
        <v>19</v>
      </c>
      <c r="JB74">
        <v>0</v>
      </c>
      <c r="JC74">
        <v>0</v>
      </c>
      <c r="JD74">
        <v>0</v>
      </c>
      <c r="JE74">
        <v>0</v>
      </c>
      <c r="JF74">
        <v>0</v>
      </c>
      <c r="JG74">
        <v>0</v>
      </c>
      <c r="JH74">
        <v>0</v>
      </c>
      <c r="JI74">
        <v>0</v>
      </c>
      <c r="JJ74">
        <v>0</v>
      </c>
      <c r="JL74" s="12" t="s">
        <v>721</v>
      </c>
      <c r="JQ74" s="4"/>
      <c r="JW74" s="4"/>
      <c r="JX74" s="4"/>
      <c r="JY74" s="4"/>
      <c r="JZ74" s="4"/>
      <c r="KA74" s="4"/>
      <c r="KB74" s="4"/>
      <c r="KG74" s="7" t="s">
        <v>12</v>
      </c>
      <c r="KK74" s="7" t="s">
        <v>720</v>
      </c>
      <c r="MZ74" t="s">
        <v>11</v>
      </c>
      <c r="NA74">
        <v>42</v>
      </c>
      <c r="NC74" t="s">
        <v>710</v>
      </c>
      <c r="NH74" t="s">
        <v>205</v>
      </c>
      <c r="NI74" t="s">
        <v>712</v>
      </c>
      <c r="NK74" t="s">
        <v>204</v>
      </c>
      <c r="NM74" s="4" t="s">
        <v>203</v>
      </c>
      <c r="NN74" t="s">
        <v>202</v>
      </c>
      <c r="NO74">
        <v>15</v>
      </c>
      <c r="NP74">
        <v>30</v>
      </c>
      <c r="NV74" t="s">
        <v>735</v>
      </c>
      <c r="NW74" t="s">
        <v>6</v>
      </c>
      <c r="NX74" s="3">
        <v>38</v>
      </c>
      <c r="NY74" s="4" t="s">
        <v>4</v>
      </c>
      <c r="NZ74" s="3">
        <v>2</v>
      </c>
      <c r="OC74">
        <v>4</v>
      </c>
      <c r="OT74" t="s">
        <v>206</v>
      </c>
      <c r="OV74">
        <v>1996</v>
      </c>
      <c r="OY74" s="2" t="s">
        <v>62</v>
      </c>
      <c r="PA74" t="s">
        <v>1169</v>
      </c>
      <c r="PB74" s="58">
        <v>46094</v>
      </c>
    </row>
    <row r="75" spans="1:418" ht="15.75" thickBot="1">
      <c r="A75" s="11" t="s">
        <v>36</v>
      </c>
      <c r="B75" t="s">
        <v>35</v>
      </c>
      <c r="C75" t="s">
        <v>34</v>
      </c>
      <c r="D75" s="4" t="s">
        <v>33</v>
      </c>
      <c r="E75" t="s">
        <v>32</v>
      </c>
      <c r="F75" s="4" t="s">
        <v>31</v>
      </c>
      <c r="G75" t="s">
        <v>2</v>
      </c>
      <c r="H75" t="s">
        <v>30</v>
      </c>
      <c r="I75" s="10">
        <v>0.1</v>
      </c>
      <c r="J75" s="10">
        <v>34.566667000000002</v>
      </c>
      <c r="K75" t="s">
        <v>29</v>
      </c>
      <c r="AV75" t="s">
        <v>28</v>
      </c>
      <c r="AW75">
        <v>100</v>
      </c>
      <c r="AX75" t="s">
        <v>29</v>
      </c>
      <c r="AY75">
        <v>4</v>
      </c>
      <c r="AZ75" t="s">
        <v>27</v>
      </c>
      <c r="BA75">
        <v>1994</v>
      </c>
      <c r="BB75">
        <v>1998</v>
      </c>
      <c r="BC75" t="s">
        <v>26</v>
      </c>
      <c r="BD75" t="s">
        <v>19</v>
      </c>
      <c r="BE75" s="10" t="s">
        <v>25</v>
      </c>
      <c r="BF75" t="s">
        <v>24</v>
      </c>
      <c r="BG75" s="3" t="s">
        <v>1233</v>
      </c>
      <c r="BH75" t="s">
        <v>23</v>
      </c>
      <c r="BI75" t="s">
        <v>750</v>
      </c>
      <c r="BJ75" s="4" t="s">
        <v>22</v>
      </c>
      <c r="BK75" s="9">
        <v>53000</v>
      </c>
      <c r="HR75" t="s">
        <v>21</v>
      </c>
      <c r="HT75" s="4" t="s">
        <v>20</v>
      </c>
      <c r="HU75" s="58">
        <v>34335</v>
      </c>
      <c r="HV75" s="58">
        <v>36160</v>
      </c>
      <c r="HW75" s="58"/>
      <c r="HX75" s="58"/>
      <c r="IP75" t="s">
        <v>16</v>
      </c>
      <c r="IQ75" s="54" t="s">
        <v>19</v>
      </c>
      <c r="IV75" s="4" t="s">
        <v>18</v>
      </c>
      <c r="IW75" t="s">
        <v>17</v>
      </c>
      <c r="IX75" s="54" t="s">
        <v>19</v>
      </c>
      <c r="JB75">
        <v>0</v>
      </c>
      <c r="JC75">
        <v>0</v>
      </c>
      <c r="JD75">
        <v>0</v>
      </c>
      <c r="JE75">
        <v>0</v>
      </c>
      <c r="JF75">
        <v>0</v>
      </c>
      <c r="JG75">
        <v>0</v>
      </c>
      <c r="JH75">
        <v>0</v>
      </c>
      <c r="JI75">
        <v>0</v>
      </c>
      <c r="JJ75">
        <v>0</v>
      </c>
      <c r="JK75" t="s">
        <v>16</v>
      </c>
      <c r="JL75" t="s">
        <v>15</v>
      </c>
      <c r="JM75" s="8" t="s">
        <v>14</v>
      </c>
      <c r="JQ75" s="4" t="s">
        <v>13</v>
      </c>
      <c r="JR75">
        <v>60</v>
      </c>
      <c r="JU75">
        <v>60</v>
      </c>
      <c r="JW75" s="4"/>
      <c r="JX75" s="4"/>
      <c r="JY75" s="4"/>
      <c r="JZ75" s="4"/>
      <c r="KA75" s="4"/>
      <c r="KB75" s="4"/>
      <c r="KG75" s="7" t="s">
        <v>12</v>
      </c>
      <c r="KK75" s="7" t="s">
        <v>720</v>
      </c>
      <c r="MZ75" t="s">
        <v>11</v>
      </c>
      <c r="NA75">
        <v>42</v>
      </c>
      <c r="NC75" t="s">
        <v>710</v>
      </c>
      <c r="NH75" t="s">
        <v>205</v>
      </c>
      <c r="NI75" t="s">
        <v>712</v>
      </c>
      <c r="NK75" t="s">
        <v>204</v>
      </c>
      <c r="NM75" s="4" t="s">
        <v>203</v>
      </c>
      <c r="NN75" t="s">
        <v>202</v>
      </c>
      <c r="NO75">
        <v>15</v>
      </c>
      <c r="NP75">
        <v>30</v>
      </c>
      <c r="NV75" t="s">
        <v>747</v>
      </c>
      <c r="NW75" t="s">
        <v>6</v>
      </c>
      <c r="NX75" s="3">
        <v>26</v>
      </c>
      <c r="NY75" s="4" t="s">
        <v>4</v>
      </c>
      <c r="NZ75" s="3">
        <v>6</v>
      </c>
      <c r="OC75">
        <v>4</v>
      </c>
      <c r="OT75" t="s">
        <v>206</v>
      </c>
      <c r="OV75">
        <v>1996</v>
      </c>
      <c r="OY75" s="2" t="s">
        <v>62</v>
      </c>
      <c r="PA75" t="s">
        <v>1169</v>
      </c>
      <c r="PB75" s="58">
        <v>46094</v>
      </c>
    </row>
    <row r="76" spans="1:418" ht="15.75" thickBot="1">
      <c r="A76" s="11" t="s">
        <v>36</v>
      </c>
      <c r="B76" t="s">
        <v>35</v>
      </c>
      <c r="C76" t="s">
        <v>34</v>
      </c>
      <c r="D76" s="4" t="s">
        <v>33</v>
      </c>
      <c r="E76" t="s">
        <v>32</v>
      </c>
      <c r="F76" s="4" t="s">
        <v>31</v>
      </c>
      <c r="G76" t="s">
        <v>2</v>
      </c>
      <c r="H76" t="s">
        <v>30</v>
      </c>
      <c r="I76" s="10">
        <v>0.1</v>
      </c>
      <c r="J76" s="10">
        <v>34.566667000000002</v>
      </c>
      <c r="K76" t="s">
        <v>29</v>
      </c>
      <c r="AV76" t="s">
        <v>28</v>
      </c>
      <c r="AW76">
        <v>100</v>
      </c>
      <c r="AX76" t="s">
        <v>29</v>
      </c>
      <c r="AY76">
        <v>4</v>
      </c>
      <c r="AZ76" t="s">
        <v>27</v>
      </c>
      <c r="BA76">
        <v>1994</v>
      </c>
      <c r="BB76">
        <v>1998</v>
      </c>
      <c r="BC76" t="s">
        <v>26</v>
      </c>
      <c r="BD76" t="s">
        <v>59</v>
      </c>
      <c r="BE76" s="10" t="s">
        <v>65</v>
      </c>
      <c r="BF76" t="s">
        <v>64</v>
      </c>
      <c r="BG76" s="3" t="s">
        <v>1233</v>
      </c>
      <c r="BH76" t="s">
        <v>23</v>
      </c>
      <c r="BI76" t="s">
        <v>750</v>
      </c>
      <c r="BJ76" s="4" t="s">
        <v>22</v>
      </c>
      <c r="BK76" s="9">
        <v>53000</v>
      </c>
      <c r="EE76" t="s">
        <v>55</v>
      </c>
      <c r="EF76" s="4" t="s">
        <v>22</v>
      </c>
      <c r="EG76" s="9">
        <v>53000</v>
      </c>
      <c r="EH76" s="9"/>
      <c r="EI76" s="9"/>
      <c r="EJ76" s="9"/>
      <c r="EK76" s="9"/>
      <c r="EL76" s="9"/>
      <c r="EM76" s="9"/>
      <c r="EN76" s="9"/>
      <c r="EO76" s="9"/>
      <c r="EP76" s="9"/>
      <c r="EQ76" s="9"/>
      <c r="ER76" s="9"/>
      <c r="ES76" s="9"/>
      <c r="ET76" s="9"/>
      <c r="EU76" s="9"/>
      <c r="EV76" s="9"/>
      <c r="EW76" s="9"/>
      <c r="EX76" s="9"/>
      <c r="EY76" s="9"/>
      <c r="EZ76" s="9"/>
      <c r="FA76" s="9"/>
      <c r="FB76" s="9"/>
      <c r="FC76" s="9"/>
      <c r="FD76" s="9"/>
      <c r="FE76" s="9"/>
      <c r="FF76" s="9"/>
      <c r="FG76" s="9"/>
      <c r="FH76" s="9"/>
      <c r="FI76" s="9"/>
      <c r="FJ76" s="9"/>
      <c r="FK76" s="9"/>
      <c r="FL76" s="9"/>
      <c r="FM76" s="9"/>
      <c r="FN76" s="9"/>
      <c r="FO76" s="9"/>
      <c r="FP76" s="9"/>
      <c r="FQ76" s="9"/>
      <c r="FR76" s="9"/>
      <c r="FS76" s="9"/>
      <c r="FT76" s="9"/>
      <c r="FU76" s="9"/>
      <c r="FV76" s="9"/>
      <c r="FW76" s="9"/>
      <c r="FX76" s="9"/>
      <c r="FY76" s="9"/>
      <c r="FZ76" s="9"/>
      <c r="GA76" s="9"/>
      <c r="GB76" s="9"/>
      <c r="GC76" s="9"/>
      <c r="GD76" s="9"/>
      <c r="GE76" s="9"/>
      <c r="GF76" s="9"/>
      <c r="GG76" s="9"/>
      <c r="GH76" s="9"/>
      <c r="GI76" s="9"/>
      <c r="GJ76" s="9"/>
      <c r="GK76" s="9"/>
      <c r="GL76" s="9"/>
      <c r="GM76" s="9"/>
      <c r="GN76" s="9"/>
      <c r="GO76" s="9"/>
      <c r="GP76" s="9"/>
      <c r="GQ76" s="9"/>
      <c r="GR76" s="9"/>
      <c r="GS76" s="9"/>
      <c r="GT76" s="9"/>
      <c r="GU76" s="9"/>
      <c r="GV76" s="9"/>
      <c r="GW76" s="9"/>
      <c r="GX76" s="9"/>
      <c r="GY76" s="9"/>
      <c r="GZ76" s="9"/>
      <c r="HA76" s="9"/>
      <c r="HB76" s="9"/>
      <c r="HC76" s="9"/>
      <c r="HD76" s="9"/>
      <c r="HE76" s="9"/>
      <c r="HF76" s="9"/>
      <c r="HG76" s="9"/>
      <c r="HH76" s="9"/>
      <c r="HI76" s="9"/>
      <c r="HJ76" s="9"/>
      <c r="HK76" s="9"/>
      <c r="HR76" t="s">
        <v>21</v>
      </c>
      <c r="HT76" s="4" t="s">
        <v>20</v>
      </c>
      <c r="HU76" s="58">
        <v>34335</v>
      </c>
      <c r="HV76" s="58">
        <v>36160</v>
      </c>
      <c r="HW76" s="58"/>
      <c r="HX76" s="58"/>
      <c r="IO76" s="4"/>
      <c r="IP76" t="s">
        <v>63</v>
      </c>
      <c r="IQ76" s="12" t="s">
        <v>1718</v>
      </c>
      <c r="IT76">
        <v>1995</v>
      </c>
      <c r="IU76">
        <v>1995.2</v>
      </c>
      <c r="IV76" s="4" t="s">
        <v>18</v>
      </c>
      <c r="IW76" t="s">
        <v>61</v>
      </c>
      <c r="IX76" s="12" t="s">
        <v>52</v>
      </c>
      <c r="JA76">
        <v>0.5</v>
      </c>
      <c r="JB76" t="s">
        <v>29</v>
      </c>
      <c r="JC76" t="s">
        <v>29</v>
      </c>
      <c r="JD76" t="s">
        <v>29</v>
      </c>
      <c r="JE76" t="s">
        <v>29</v>
      </c>
      <c r="JF76" t="s">
        <v>29</v>
      </c>
      <c r="JG76" t="s">
        <v>29</v>
      </c>
      <c r="JH76" t="s">
        <v>29</v>
      </c>
      <c r="JI76" t="s">
        <v>29</v>
      </c>
      <c r="JJ76" t="s">
        <v>29</v>
      </c>
      <c r="JL76" s="12" t="s">
        <v>721</v>
      </c>
      <c r="JQ76" s="4"/>
      <c r="JW76" s="4"/>
      <c r="JX76" s="4"/>
      <c r="JY76" s="4"/>
      <c r="JZ76" s="4"/>
      <c r="KA76" s="4"/>
      <c r="KB76" s="4"/>
      <c r="KG76" s="7" t="s">
        <v>12</v>
      </c>
      <c r="KK76" s="53" t="s">
        <v>719</v>
      </c>
      <c r="KL76" s="8" t="s">
        <v>51</v>
      </c>
      <c r="KN76" t="s">
        <v>29</v>
      </c>
      <c r="MZ76" t="s">
        <v>11</v>
      </c>
      <c r="NA76">
        <v>42</v>
      </c>
      <c r="NC76" t="s">
        <v>710</v>
      </c>
      <c r="NH76" t="s">
        <v>205</v>
      </c>
      <c r="NI76" t="s">
        <v>712</v>
      </c>
      <c r="NK76" t="s">
        <v>204</v>
      </c>
      <c r="NM76" s="4" t="s">
        <v>203</v>
      </c>
      <c r="NN76" t="s">
        <v>202</v>
      </c>
      <c r="NO76">
        <v>15</v>
      </c>
      <c r="NP76">
        <v>30</v>
      </c>
      <c r="NW76" t="s">
        <v>6</v>
      </c>
      <c r="NX76" s="3">
        <v>64</v>
      </c>
      <c r="NY76" s="4" t="s">
        <v>4</v>
      </c>
      <c r="NZ76" s="3">
        <v>16</v>
      </c>
      <c r="OC76">
        <v>4</v>
      </c>
      <c r="OT76" t="s">
        <v>201</v>
      </c>
      <c r="OV76">
        <v>1996</v>
      </c>
      <c r="OY76" s="2" t="s">
        <v>1</v>
      </c>
      <c r="PA76" t="s">
        <v>1169</v>
      </c>
      <c r="PB76" s="58">
        <v>46094</v>
      </c>
    </row>
    <row r="77" spans="1:418" ht="15.75" thickBot="1">
      <c r="A77" s="11" t="s">
        <v>36</v>
      </c>
      <c r="B77" t="s">
        <v>35</v>
      </c>
      <c r="C77" t="s">
        <v>34</v>
      </c>
      <c r="D77" s="4" t="s">
        <v>33</v>
      </c>
      <c r="E77" t="s">
        <v>32</v>
      </c>
      <c r="F77" s="4" t="s">
        <v>31</v>
      </c>
      <c r="G77" t="s">
        <v>2</v>
      </c>
      <c r="H77" t="s">
        <v>30</v>
      </c>
      <c r="I77" s="10">
        <v>0.1</v>
      </c>
      <c r="J77" s="10">
        <v>34.566667000000002</v>
      </c>
      <c r="K77" t="s">
        <v>29</v>
      </c>
      <c r="AV77" t="s">
        <v>28</v>
      </c>
      <c r="AW77">
        <v>100</v>
      </c>
      <c r="AX77" t="s">
        <v>29</v>
      </c>
      <c r="AY77">
        <v>4</v>
      </c>
      <c r="AZ77" t="s">
        <v>27</v>
      </c>
      <c r="BA77">
        <v>1994</v>
      </c>
      <c r="BB77">
        <v>1998</v>
      </c>
      <c r="BC77" t="s">
        <v>26</v>
      </c>
      <c r="BD77" t="s">
        <v>59</v>
      </c>
      <c r="BE77" s="10" t="s">
        <v>58</v>
      </c>
      <c r="BF77" t="s">
        <v>57</v>
      </c>
      <c r="BG77" s="3" t="s">
        <v>1233</v>
      </c>
      <c r="BH77" t="s">
        <v>23</v>
      </c>
      <c r="BI77" t="s">
        <v>750</v>
      </c>
      <c r="BJ77" s="4" t="s">
        <v>22</v>
      </c>
      <c r="BK77" s="9">
        <v>53000</v>
      </c>
      <c r="EE77" t="s">
        <v>55</v>
      </c>
      <c r="EF77" s="4" t="s">
        <v>22</v>
      </c>
      <c r="EG77" s="9">
        <v>53000</v>
      </c>
      <c r="EH77" s="9"/>
      <c r="EI77" s="9"/>
      <c r="EJ77" s="9"/>
      <c r="EK77" s="9"/>
      <c r="EL77" s="9"/>
      <c r="EM77" s="9"/>
      <c r="EN77" s="9"/>
      <c r="EO77" s="9"/>
      <c r="EP77" s="9"/>
      <c r="EQ77" s="9"/>
      <c r="ER77" s="9"/>
      <c r="ES77" s="9"/>
      <c r="ET77" s="9"/>
      <c r="EU77" s="9"/>
      <c r="EV77" s="9"/>
      <c r="EW77" s="9"/>
      <c r="EX77" s="9"/>
      <c r="EY77" s="9"/>
      <c r="EZ77" s="9"/>
      <c r="FA77" s="9"/>
      <c r="FB77" s="9"/>
      <c r="FC77" s="9"/>
      <c r="FD77" s="9"/>
      <c r="FE77" s="9"/>
      <c r="FF77" s="9"/>
      <c r="FG77" s="9"/>
      <c r="FH77" s="9"/>
      <c r="FI77" s="9"/>
      <c r="FJ77" s="9"/>
      <c r="FK77" s="9"/>
      <c r="FL77" s="9"/>
      <c r="FM77" s="9"/>
      <c r="FN77" s="9"/>
      <c r="FO77" s="9"/>
      <c r="FP77" s="9"/>
      <c r="FQ77" s="9"/>
      <c r="FR77" s="9"/>
      <c r="FS77" s="9"/>
      <c r="FT77" s="9"/>
      <c r="FU77" s="9"/>
      <c r="FV77" s="9"/>
      <c r="FW77" s="9"/>
      <c r="FX77" s="9"/>
      <c r="FY77" s="9"/>
      <c r="FZ77" s="9"/>
      <c r="GA77" s="9"/>
      <c r="GB77" s="9"/>
      <c r="GC77" s="9"/>
      <c r="GD77" s="9"/>
      <c r="GE77" s="9"/>
      <c r="GF77" s="9"/>
      <c r="GG77" s="9"/>
      <c r="GH77" s="9"/>
      <c r="GI77" s="9"/>
      <c r="GJ77" s="9"/>
      <c r="GK77" s="9"/>
      <c r="GL77" s="9"/>
      <c r="GM77" s="9"/>
      <c r="GN77" s="9"/>
      <c r="GO77" s="9"/>
      <c r="GP77" s="9"/>
      <c r="GQ77" s="9"/>
      <c r="GR77" s="9"/>
      <c r="GS77" s="9"/>
      <c r="GT77" s="9"/>
      <c r="GU77" s="9"/>
      <c r="GV77" s="9"/>
      <c r="GW77" s="9"/>
      <c r="GX77" s="9"/>
      <c r="GY77" s="9"/>
      <c r="GZ77" s="9"/>
      <c r="HA77" s="9"/>
      <c r="HB77" s="9"/>
      <c r="HC77" s="9"/>
      <c r="HD77" s="9"/>
      <c r="HE77" s="9"/>
      <c r="HF77" s="9"/>
      <c r="HG77" s="9"/>
      <c r="HH77" s="9"/>
      <c r="HI77" s="9"/>
      <c r="HJ77" s="9"/>
      <c r="HK77" s="9"/>
      <c r="HR77" t="s">
        <v>21</v>
      </c>
      <c r="HT77" s="4" t="s">
        <v>20</v>
      </c>
      <c r="HU77" s="58">
        <v>34335</v>
      </c>
      <c r="HV77" s="58">
        <v>36160</v>
      </c>
      <c r="HW77" s="58"/>
      <c r="HX77" s="58"/>
      <c r="IO77" s="4"/>
      <c r="IP77" t="s">
        <v>54</v>
      </c>
      <c r="IQ77" s="12" t="s">
        <v>1719</v>
      </c>
      <c r="IT77">
        <v>1994</v>
      </c>
      <c r="IU77">
        <v>1994.2</v>
      </c>
      <c r="IV77" s="4" t="s">
        <v>18</v>
      </c>
      <c r="IW77" t="s">
        <v>53</v>
      </c>
      <c r="IX77" s="12" t="s">
        <v>52</v>
      </c>
      <c r="JA77">
        <v>0.5</v>
      </c>
      <c r="JB77" t="s">
        <v>29</v>
      </c>
      <c r="JC77" t="s">
        <v>29</v>
      </c>
      <c r="JD77" t="s">
        <v>29</v>
      </c>
      <c r="JE77" t="s">
        <v>29</v>
      </c>
      <c r="JF77" t="s">
        <v>29</v>
      </c>
      <c r="JG77" t="s">
        <v>29</v>
      </c>
      <c r="JH77" t="s">
        <v>29</v>
      </c>
      <c r="JI77" t="s">
        <v>29</v>
      </c>
      <c r="JJ77" t="s">
        <v>29</v>
      </c>
      <c r="JL77" s="12" t="s">
        <v>721</v>
      </c>
      <c r="JQ77" s="4"/>
      <c r="JW77" s="4"/>
      <c r="JX77" s="4"/>
      <c r="JY77" s="4"/>
      <c r="JZ77" s="4"/>
      <c r="KA77" s="4"/>
      <c r="KB77" s="4"/>
      <c r="KG77" s="7" t="s">
        <v>12</v>
      </c>
      <c r="KK77" s="53" t="s">
        <v>719</v>
      </c>
      <c r="KL77" s="8" t="s">
        <v>51</v>
      </c>
      <c r="KN77" t="s">
        <v>29</v>
      </c>
      <c r="MZ77" t="s">
        <v>11</v>
      </c>
      <c r="NA77">
        <v>42</v>
      </c>
      <c r="NC77" t="s">
        <v>710</v>
      </c>
      <c r="NH77" t="s">
        <v>205</v>
      </c>
      <c r="NI77" t="s">
        <v>712</v>
      </c>
      <c r="NK77" t="s">
        <v>204</v>
      </c>
      <c r="NM77" s="4" t="s">
        <v>203</v>
      </c>
      <c r="NN77" t="s">
        <v>202</v>
      </c>
      <c r="NO77">
        <v>15</v>
      </c>
      <c r="NP77">
        <v>30</v>
      </c>
      <c r="NW77" t="s">
        <v>6</v>
      </c>
      <c r="NX77" s="3">
        <v>67</v>
      </c>
      <c r="NY77" s="4" t="s">
        <v>4</v>
      </c>
      <c r="NZ77" s="3">
        <v>29</v>
      </c>
      <c r="OC77">
        <v>4</v>
      </c>
      <c r="OT77" t="s">
        <v>201</v>
      </c>
      <c r="OV77">
        <v>1996</v>
      </c>
      <c r="OY77" s="2" t="s">
        <v>1</v>
      </c>
      <c r="PA77" t="s">
        <v>1169</v>
      </c>
      <c r="PB77" s="58">
        <v>46094</v>
      </c>
    </row>
    <row r="78" spans="1:418" ht="15.75" thickBot="1">
      <c r="A78" s="11" t="s">
        <v>36</v>
      </c>
      <c r="B78" t="s">
        <v>35</v>
      </c>
      <c r="C78" t="s">
        <v>34</v>
      </c>
      <c r="D78" s="4" t="s">
        <v>33</v>
      </c>
      <c r="E78" t="s">
        <v>32</v>
      </c>
      <c r="F78" s="4" t="s">
        <v>31</v>
      </c>
      <c r="G78" t="s">
        <v>2</v>
      </c>
      <c r="H78" t="s">
        <v>30</v>
      </c>
      <c r="I78" s="10">
        <v>0.1</v>
      </c>
      <c r="J78" s="10">
        <v>34.566667000000002</v>
      </c>
      <c r="K78" t="s">
        <v>29</v>
      </c>
      <c r="AV78" t="s">
        <v>28</v>
      </c>
      <c r="AW78">
        <v>100</v>
      </c>
      <c r="AX78" t="s">
        <v>29</v>
      </c>
      <c r="AY78">
        <v>4</v>
      </c>
      <c r="AZ78" t="s">
        <v>27</v>
      </c>
      <c r="BA78">
        <v>1994</v>
      </c>
      <c r="BB78">
        <v>1998</v>
      </c>
      <c r="BC78" t="s">
        <v>26</v>
      </c>
      <c r="BD78" t="s">
        <v>45</v>
      </c>
      <c r="BE78" s="10" t="s">
        <v>49</v>
      </c>
      <c r="BF78" t="s">
        <v>48</v>
      </c>
      <c r="BG78" s="3" t="s">
        <v>1233</v>
      </c>
      <c r="BH78" t="s">
        <v>23</v>
      </c>
      <c r="BI78" t="s">
        <v>750</v>
      </c>
      <c r="BJ78" s="4" t="s">
        <v>22</v>
      </c>
      <c r="BK78" s="9">
        <v>53000</v>
      </c>
      <c r="EF78" s="4"/>
      <c r="EG78" s="9"/>
      <c r="EH78" s="9"/>
      <c r="EI78" s="9"/>
      <c r="EJ78" s="9"/>
      <c r="EK78" s="9"/>
      <c r="EL78" s="9"/>
      <c r="EM78" s="9"/>
      <c r="EN78" s="9"/>
      <c r="EO78" s="9"/>
      <c r="EP78" s="9"/>
      <c r="EQ78" s="9"/>
      <c r="ER78" s="9"/>
      <c r="ES78" s="9"/>
      <c r="ET78" s="9"/>
      <c r="EU78" s="9"/>
      <c r="EV78" s="9"/>
      <c r="EW78" s="9"/>
      <c r="EX78" s="9"/>
      <c r="EY78" s="9"/>
      <c r="EZ78" s="9"/>
      <c r="FA78" s="9"/>
      <c r="FB78" s="9"/>
      <c r="FC78" s="9"/>
      <c r="FD78" s="9"/>
      <c r="FE78" s="9"/>
      <c r="FF78" s="9"/>
      <c r="FG78" s="9"/>
      <c r="FH78" s="9"/>
      <c r="FI78" s="9"/>
      <c r="FJ78" s="9"/>
      <c r="FK78" s="9"/>
      <c r="FL78" s="9"/>
      <c r="FM78" s="9"/>
      <c r="FN78" s="9"/>
      <c r="FO78" s="9"/>
      <c r="FP78" s="9"/>
      <c r="FQ78" s="9"/>
      <c r="FR78" s="9"/>
      <c r="FS78" s="9"/>
      <c r="FT78" s="9"/>
      <c r="FU78" s="9"/>
      <c r="FV78" s="9"/>
      <c r="FW78" s="9"/>
      <c r="FX78" s="9"/>
      <c r="FY78" s="9"/>
      <c r="FZ78" s="9"/>
      <c r="GA78" s="9"/>
      <c r="GB78" s="9"/>
      <c r="GC78" s="9"/>
      <c r="GD78" s="9"/>
      <c r="GE78" s="9"/>
      <c r="GF78" s="9"/>
      <c r="GG78" s="9"/>
      <c r="GH78" s="9"/>
      <c r="GI78" s="9"/>
      <c r="GJ78" s="9"/>
      <c r="GK78" s="9"/>
      <c r="GL78" s="9"/>
      <c r="GM78" s="9"/>
      <c r="GN78" s="9"/>
      <c r="GO78" s="9"/>
      <c r="GP78" s="9"/>
      <c r="GQ78" s="9"/>
      <c r="GR78" s="9"/>
      <c r="GS78" s="9"/>
      <c r="GT78" s="9"/>
      <c r="GU78" s="9"/>
      <c r="GV78" s="9"/>
      <c r="GW78" s="9"/>
      <c r="GX78" s="9"/>
      <c r="GY78" s="9"/>
      <c r="GZ78" s="9"/>
      <c r="HA78" s="9"/>
      <c r="HB78" s="9"/>
      <c r="HC78" s="9"/>
      <c r="HD78" s="9"/>
      <c r="HE78" s="9"/>
      <c r="HF78" s="9"/>
      <c r="HG78" s="9"/>
      <c r="HH78" s="9"/>
      <c r="HI78" s="9"/>
      <c r="HJ78" s="9"/>
      <c r="HK78" s="9"/>
      <c r="HR78" t="s">
        <v>21</v>
      </c>
      <c r="HT78" s="4" t="s">
        <v>20</v>
      </c>
      <c r="HU78" s="58">
        <v>34335</v>
      </c>
      <c r="HV78" s="58">
        <v>36160</v>
      </c>
      <c r="HW78" s="58"/>
      <c r="HX78" s="58"/>
      <c r="IP78" t="s">
        <v>47</v>
      </c>
      <c r="IQ78" s="54" t="s">
        <v>1226</v>
      </c>
      <c r="IT78">
        <v>1995</v>
      </c>
      <c r="IU78">
        <v>1995.2</v>
      </c>
      <c r="IV78" s="4" t="s">
        <v>18</v>
      </c>
      <c r="IW78" t="s">
        <v>38</v>
      </c>
      <c r="IX78" t="s">
        <v>19</v>
      </c>
      <c r="JB78">
        <v>0</v>
      </c>
      <c r="JC78">
        <v>0</v>
      </c>
      <c r="JD78">
        <v>0</v>
      </c>
      <c r="JE78">
        <v>0</v>
      </c>
      <c r="JF78">
        <v>0</v>
      </c>
      <c r="JG78">
        <v>0</v>
      </c>
      <c r="JH78">
        <v>0</v>
      </c>
      <c r="JI78">
        <v>0</v>
      </c>
      <c r="JJ78">
        <v>0</v>
      </c>
      <c r="JL78" s="12" t="s">
        <v>721</v>
      </c>
      <c r="JQ78" s="4"/>
      <c r="JW78" s="4"/>
      <c r="JX78" s="4"/>
      <c r="JY78" s="4"/>
      <c r="JZ78" s="4"/>
      <c r="KA78" s="4"/>
      <c r="KB78" s="4"/>
      <c r="KG78" s="7" t="s">
        <v>12</v>
      </c>
      <c r="KK78" s="7" t="s">
        <v>720</v>
      </c>
      <c r="MZ78" t="s">
        <v>11</v>
      </c>
      <c r="NA78">
        <v>42</v>
      </c>
      <c r="NC78" t="s">
        <v>710</v>
      </c>
      <c r="NH78" t="s">
        <v>205</v>
      </c>
      <c r="NI78" t="s">
        <v>712</v>
      </c>
      <c r="NK78" t="s">
        <v>204</v>
      </c>
      <c r="NM78" s="4" t="s">
        <v>203</v>
      </c>
      <c r="NN78" t="s">
        <v>202</v>
      </c>
      <c r="NO78">
        <v>15</v>
      </c>
      <c r="NP78">
        <v>30</v>
      </c>
      <c r="NW78" t="s">
        <v>6</v>
      </c>
      <c r="NX78" s="3">
        <v>61</v>
      </c>
      <c r="NY78" s="4" t="s">
        <v>4</v>
      </c>
      <c r="NZ78" s="3">
        <v>19</v>
      </c>
      <c r="OC78">
        <v>4</v>
      </c>
      <c r="OT78" t="s">
        <v>201</v>
      </c>
      <c r="OV78">
        <v>1996</v>
      </c>
      <c r="OY78" s="2" t="s">
        <v>1</v>
      </c>
      <c r="PA78" t="s">
        <v>1169</v>
      </c>
      <c r="PB78" s="58">
        <v>46094</v>
      </c>
    </row>
    <row r="79" spans="1:418" ht="15.75" thickBot="1">
      <c r="A79" s="11" t="s">
        <v>36</v>
      </c>
      <c r="B79" t="s">
        <v>35</v>
      </c>
      <c r="C79" t="s">
        <v>34</v>
      </c>
      <c r="D79" s="4" t="s">
        <v>33</v>
      </c>
      <c r="E79" t="s">
        <v>32</v>
      </c>
      <c r="F79" s="4" t="s">
        <v>31</v>
      </c>
      <c r="G79" t="s">
        <v>2</v>
      </c>
      <c r="H79" t="s">
        <v>30</v>
      </c>
      <c r="I79" s="10">
        <v>0.1</v>
      </c>
      <c r="J79" s="10">
        <v>34.566667000000002</v>
      </c>
      <c r="K79" t="s">
        <v>29</v>
      </c>
      <c r="AV79" t="s">
        <v>28</v>
      </c>
      <c r="AW79">
        <v>100</v>
      </c>
      <c r="AX79" t="s">
        <v>29</v>
      </c>
      <c r="AY79">
        <v>4</v>
      </c>
      <c r="AZ79" t="s">
        <v>27</v>
      </c>
      <c r="BA79">
        <v>1994</v>
      </c>
      <c r="BB79">
        <v>1998</v>
      </c>
      <c r="BC79" t="s">
        <v>26</v>
      </c>
      <c r="BD79" t="s">
        <v>45</v>
      </c>
      <c r="BE79" s="10" t="s">
        <v>44</v>
      </c>
      <c r="BF79" t="s">
        <v>43</v>
      </c>
      <c r="BG79" s="3" t="s">
        <v>1233</v>
      </c>
      <c r="BH79" t="s">
        <v>23</v>
      </c>
      <c r="BI79" t="s">
        <v>750</v>
      </c>
      <c r="BJ79" s="4" t="s">
        <v>22</v>
      </c>
      <c r="BK79" s="9">
        <v>53000</v>
      </c>
      <c r="EF79" s="4"/>
      <c r="EG79" s="9"/>
      <c r="EH79" s="9"/>
      <c r="EI79" s="9"/>
      <c r="EJ79" s="9"/>
      <c r="EK79" s="9"/>
      <c r="EL79" s="9"/>
      <c r="EM79" s="9"/>
      <c r="EN79" s="9"/>
      <c r="EO79" s="9"/>
      <c r="EP79" s="9"/>
      <c r="EQ79" s="9"/>
      <c r="ER79" s="9"/>
      <c r="ES79" s="9"/>
      <c r="ET79" s="9"/>
      <c r="EU79" s="9"/>
      <c r="EV79" s="9"/>
      <c r="EW79" s="9"/>
      <c r="EX79" s="9"/>
      <c r="EY79" s="9"/>
      <c r="EZ79" s="9"/>
      <c r="FA79" s="9"/>
      <c r="FB79" s="9"/>
      <c r="FC79" s="9"/>
      <c r="FD79" s="9"/>
      <c r="FE79" s="9"/>
      <c r="FF79" s="9"/>
      <c r="FG79" s="9"/>
      <c r="FH79" s="9"/>
      <c r="FI79" s="9"/>
      <c r="FJ79" s="9"/>
      <c r="FK79" s="9"/>
      <c r="FL79" s="9"/>
      <c r="FM79" s="9"/>
      <c r="FN79" s="9"/>
      <c r="FO79" s="9"/>
      <c r="FP79" s="9"/>
      <c r="FQ79" s="9"/>
      <c r="FR79" s="9"/>
      <c r="FS79" s="9"/>
      <c r="FT79" s="9"/>
      <c r="FU79" s="9"/>
      <c r="FV79" s="9"/>
      <c r="FW79" s="9"/>
      <c r="FX79" s="9"/>
      <c r="FY79" s="9"/>
      <c r="FZ79" s="9"/>
      <c r="GA79" s="9"/>
      <c r="GB79" s="9"/>
      <c r="GC79" s="9"/>
      <c r="GD79" s="9"/>
      <c r="GE79" s="9"/>
      <c r="GF79" s="9"/>
      <c r="GG79" s="9"/>
      <c r="GH79" s="9"/>
      <c r="GI79" s="9"/>
      <c r="GJ79" s="9"/>
      <c r="GK79" s="9"/>
      <c r="GL79" s="9"/>
      <c r="GM79" s="9"/>
      <c r="GN79" s="9"/>
      <c r="GO79" s="9"/>
      <c r="GP79" s="9"/>
      <c r="GQ79" s="9"/>
      <c r="GR79" s="9"/>
      <c r="GS79" s="9"/>
      <c r="GT79" s="9"/>
      <c r="GU79" s="9"/>
      <c r="GV79" s="9"/>
      <c r="GW79" s="9"/>
      <c r="GX79" s="9"/>
      <c r="GY79" s="9"/>
      <c r="GZ79" s="9"/>
      <c r="HA79" s="9"/>
      <c r="HB79" s="9"/>
      <c r="HC79" s="9"/>
      <c r="HD79" s="9"/>
      <c r="HE79" s="9"/>
      <c r="HF79" s="9"/>
      <c r="HG79" s="9"/>
      <c r="HH79" s="9"/>
      <c r="HI79" s="9"/>
      <c r="HJ79" s="9"/>
      <c r="HK79" s="9"/>
      <c r="HR79" t="s">
        <v>21</v>
      </c>
      <c r="HT79" s="4" t="s">
        <v>20</v>
      </c>
      <c r="HU79" s="58">
        <v>34335</v>
      </c>
      <c r="HV79" s="58">
        <v>36160</v>
      </c>
      <c r="HW79" s="58"/>
      <c r="HX79" s="58"/>
      <c r="IP79" t="s">
        <v>42</v>
      </c>
      <c r="IQ79" s="13" t="s">
        <v>1227</v>
      </c>
      <c r="IT79">
        <v>1994</v>
      </c>
      <c r="IU79">
        <v>1994.2</v>
      </c>
      <c r="IV79" s="4" t="s">
        <v>18</v>
      </c>
      <c r="IW79" t="s">
        <v>38</v>
      </c>
      <c r="IX79" t="s">
        <v>19</v>
      </c>
      <c r="JB79">
        <v>0</v>
      </c>
      <c r="JC79">
        <v>0</v>
      </c>
      <c r="JD79">
        <v>0</v>
      </c>
      <c r="JE79">
        <v>0</v>
      </c>
      <c r="JF79">
        <v>0</v>
      </c>
      <c r="JG79">
        <v>0</v>
      </c>
      <c r="JH79">
        <v>0</v>
      </c>
      <c r="JI79">
        <v>0</v>
      </c>
      <c r="JJ79">
        <v>0</v>
      </c>
      <c r="JL79" s="12" t="s">
        <v>721</v>
      </c>
      <c r="JQ79" s="4"/>
      <c r="JW79" s="4"/>
      <c r="JX79" s="4"/>
      <c r="JY79" s="4"/>
      <c r="JZ79" s="4"/>
      <c r="KA79" s="4"/>
      <c r="KB79" s="4"/>
      <c r="KG79" s="7" t="s">
        <v>12</v>
      </c>
      <c r="KK79" s="7" t="s">
        <v>720</v>
      </c>
      <c r="MZ79" t="s">
        <v>11</v>
      </c>
      <c r="NA79">
        <v>42</v>
      </c>
      <c r="NC79" t="s">
        <v>710</v>
      </c>
      <c r="NH79" t="s">
        <v>205</v>
      </c>
      <c r="NI79" t="s">
        <v>712</v>
      </c>
      <c r="NK79" t="s">
        <v>204</v>
      </c>
      <c r="NM79" s="4" t="s">
        <v>203</v>
      </c>
      <c r="NN79" t="s">
        <v>202</v>
      </c>
      <c r="NO79">
        <v>15</v>
      </c>
      <c r="NP79">
        <v>30</v>
      </c>
      <c r="NW79" t="s">
        <v>6</v>
      </c>
      <c r="NX79" s="3">
        <v>119</v>
      </c>
      <c r="NY79" s="4" t="s">
        <v>4</v>
      </c>
      <c r="NZ79" s="3">
        <v>61</v>
      </c>
      <c r="OC79">
        <v>4</v>
      </c>
      <c r="OT79" t="s">
        <v>201</v>
      </c>
      <c r="OV79">
        <v>1996</v>
      </c>
      <c r="OY79" s="2" t="s">
        <v>1</v>
      </c>
      <c r="PA79" t="s">
        <v>1169</v>
      </c>
      <c r="PB79" s="58">
        <v>46094</v>
      </c>
    </row>
    <row r="80" spans="1:418" ht="15.75" thickBot="1">
      <c r="A80" s="11" t="s">
        <v>36</v>
      </c>
      <c r="B80" t="s">
        <v>35</v>
      </c>
      <c r="C80" t="s">
        <v>34</v>
      </c>
      <c r="D80" s="4" t="s">
        <v>33</v>
      </c>
      <c r="E80" t="s">
        <v>32</v>
      </c>
      <c r="F80" s="4" t="s">
        <v>31</v>
      </c>
      <c r="G80" t="s">
        <v>2</v>
      </c>
      <c r="H80" t="s">
        <v>30</v>
      </c>
      <c r="I80" s="10">
        <v>0.1</v>
      </c>
      <c r="J80" s="10">
        <v>34.566667000000002</v>
      </c>
      <c r="K80" t="s">
        <v>29</v>
      </c>
      <c r="AV80" t="s">
        <v>28</v>
      </c>
      <c r="AW80">
        <v>100</v>
      </c>
      <c r="AX80" t="s">
        <v>29</v>
      </c>
      <c r="AY80">
        <v>4</v>
      </c>
      <c r="AZ80" t="s">
        <v>27</v>
      </c>
      <c r="BA80">
        <v>1994</v>
      </c>
      <c r="BB80">
        <v>1998</v>
      </c>
      <c r="BC80" t="s">
        <v>26</v>
      </c>
      <c r="BD80" t="s">
        <v>19</v>
      </c>
      <c r="BE80" s="10" t="s">
        <v>40</v>
      </c>
      <c r="BF80" t="s">
        <v>39</v>
      </c>
      <c r="BG80" s="3" t="s">
        <v>1233</v>
      </c>
      <c r="BH80" t="s">
        <v>23</v>
      </c>
      <c r="BI80" t="s">
        <v>750</v>
      </c>
      <c r="BJ80" s="4" t="s">
        <v>22</v>
      </c>
      <c r="BK80" s="9">
        <v>53000</v>
      </c>
      <c r="HR80" t="s">
        <v>21</v>
      </c>
      <c r="HT80" s="4" t="s">
        <v>20</v>
      </c>
      <c r="HU80" s="58">
        <v>34335</v>
      </c>
      <c r="HV80" s="58">
        <v>36160</v>
      </c>
      <c r="HW80" s="58"/>
      <c r="HX80" s="58"/>
      <c r="IP80" t="s">
        <v>38</v>
      </c>
      <c r="IQ80" s="54" t="s">
        <v>19</v>
      </c>
      <c r="IV80" s="4" t="s">
        <v>18</v>
      </c>
      <c r="IW80" t="s">
        <v>38</v>
      </c>
      <c r="IX80" s="54" t="s">
        <v>19</v>
      </c>
      <c r="JB80">
        <v>0</v>
      </c>
      <c r="JC80">
        <v>0</v>
      </c>
      <c r="JD80">
        <v>0</v>
      </c>
      <c r="JE80">
        <v>0</v>
      </c>
      <c r="JF80">
        <v>0</v>
      </c>
      <c r="JG80">
        <v>0</v>
      </c>
      <c r="JH80">
        <v>0</v>
      </c>
      <c r="JI80">
        <v>0</v>
      </c>
      <c r="JJ80">
        <v>0</v>
      </c>
      <c r="JL80" s="12" t="s">
        <v>721</v>
      </c>
      <c r="JQ80" s="4"/>
      <c r="JW80" s="4"/>
      <c r="JX80" s="4"/>
      <c r="JY80" s="4"/>
      <c r="JZ80" s="4"/>
      <c r="KA80" s="4"/>
      <c r="KB80" s="4"/>
      <c r="KG80" s="7" t="s">
        <v>12</v>
      </c>
      <c r="KK80" s="7" t="s">
        <v>720</v>
      </c>
      <c r="MZ80" t="s">
        <v>11</v>
      </c>
      <c r="NA80">
        <v>42</v>
      </c>
      <c r="NC80" t="s">
        <v>710</v>
      </c>
      <c r="NH80" t="s">
        <v>205</v>
      </c>
      <c r="NI80" t="s">
        <v>712</v>
      </c>
      <c r="NK80" t="s">
        <v>204</v>
      </c>
      <c r="NM80" s="4" t="s">
        <v>203</v>
      </c>
      <c r="NN80" t="s">
        <v>202</v>
      </c>
      <c r="NO80">
        <v>15</v>
      </c>
      <c r="NP80">
        <v>30</v>
      </c>
      <c r="NV80" t="s">
        <v>735</v>
      </c>
      <c r="NW80" t="s">
        <v>6</v>
      </c>
      <c r="NX80" s="3">
        <v>70</v>
      </c>
      <c r="NY80" s="4" t="s">
        <v>4</v>
      </c>
      <c r="NZ80" s="3">
        <v>21</v>
      </c>
      <c r="OC80">
        <v>4</v>
      </c>
      <c r="OT80" t="s">
        <v>201</v>
      </c>
      <c r="OV80">
        <v>1996</v>
      </c>
      <c r="OY80" s="2" t="s">
        <v>1</v>
      </c>
      <c r="PA80" t="s">
        <v>1169</v>
      </c>
      <c r="PB80" s="58">
        <v>46094</v>
      </c>
    </row>
    <row r="81" spans="1:418" ht="15.75" thickBot="1">
      <c r="A81" s="11" t="s">
        <v>36</v>
      </c>
      <c r="B81" t="s">
        <v>35</v>
      </c>
      <c r="C81" t="s">
        <v>34</v>
      </c>
      <c r="D81" s="4" t="s">
        <v>33</v>
      </c>
      <c r="E81" t="s">
        <v>32</v>
      </c>
      <c r="F81" s="4" t="s">
        <v>31</v>
      </c>
      <c r="G81" t="s">
        <v>2</v>
      </c>
      <c r="H81" t="s">
        <v>30</v>
      </c>
      <c r="I81" s="10">
        <v>0.1</v>
      </c>
      <c r="J81" s="10">
        <v>34.566667000000002</v>
      </c>
      <c r="K81" t="s">
        <v>29</v>
      </c>
      <c r="AV81" t="s">
        <v>28</v>
      </c>
      <c r="AW81">
        <v>100</v>
      </c>
      <c r="AX81" t="s">
        <v>29</v>
      </c>
      <c r="AY81">
        <v>4</v>
      </c>
      <c r="AZ81" t="s">
        <v>27</v>
      </c>
      <c r="BA81">
        <v>1994</v>
      </c>
      <c r="BB81">
        <v>1998</v>
      </c>
      <c r="BC81" t="s">
        <v>26</v>
      </c>
      <c r="BD81" t="s">
        <v>19</v>
      </c>
      <c r="BE81" s="10" t="s">
        <v>25</v>
      </c>
      <c r="BF81" t="s">
        <v>24</v>
      </c>
      <c r="BG81" s="3" t="s">
        <v>1233</v>
      </c>
      <c r="BH81" t="s">
        <v>23</v>
      </c>
      <c r="BI81" t="s">
        <v>750</v>
      </c>
      <c r="BJ81" s="4" t="s">
        <v>22</v>
      </c>
      <c r="BK81" s="9">
        <v>53000</v>
      </c>
      <c r="HR81" t="s">
        <v>21</v>
      </c>
      <c r="HT81" s="4" t="s">
        <v>20</v>
      </c>
      <c r="HU81" s="58">
        <v>34335</v>
      </c>
      <c r="HV81" s="58">
        <v>36160</v>
      </c>
      <c r="HW81" s="58"/>
      <c r="HX81" s="58"/>
      <c r="IP81" t="s">
        <v>16</v>
      </c>
      <c r="IQ81" s="54" t="s">
        <v>19</v>
      </c>
      <c r="IV81" s="4" t="s">
        <v>18</v>
      </c>
      <c r="IW81" t="s">
        <v>17</v>
      </c>
      <c r="IX81" s="54" t="s">
        <v>19</v>
      </c>
      <c r="JB81">
        <v>0</v>
      </c>
      <c r="JC81">
        <v>0</v>
      </c>
      <c r="JD81">
        <v>0</v>
      </c>
      <c r="JE81">
        <v>0</v>
      </c>
      <c r="JF81">
        <v>0</v>
      </c>
      <c r="JG81">
        <v>0</v>
      </c>
      <c r="JH81">
        <v>0</v>
      </c>
      <c r="JI81">
        <v>0</v>
      </c>
      <c r="JJ81">
        <v>0</v>
      </c>
      <c r="JK81" t="s">
        <v>16</v>
      </c>
      <c r="JL81" t="s">
        <v>15</v>
      </c>
      <c r="JM81" s="8" t="s">
        <v>14</v>
      </c>
      <c r="JQ81" s="4" t="s">
        <v>13</v>
      </c>
      <c r="JR81">
        <v>60</v>
      </c>
      <c r="JU81">
        <v>60</v>
      </c>
      <c r="JW81" s="4"/>
      <c r="JX81" s="4"/>
      <c r="JY81" s="4"/>
      <c r="JZ81" s="4"/>
      <c r="KA81" s="4"/>
      <c r="KB81" s="4"/>
      <c r="KG81" s="7" t="s">
        <v>12</v>
      </c>
      <c r="KK81" s="7" t="s">
        <v>720</v>
      </c>
      <c r="MZ81" t="s">
        <v>11</v>
      </c>
      <c r="NA81">
        <v>42</v>
      </c>
      <c r="NC81" t="s">
        <v>710</v>
      </c>
      <c r="NH81" t="s">
        <v>205</v>
      </c>
      <c r="NI81" t="s">
        <v>712</v>
      </c>
      <c r="NK81" t="s">
        <v>204</v>
      </c>
      <c r="NM81" s="4" t="s">
        <v>203</v>
      </c>
      <c r="NN81" t="s">
        <v>202</v>
      </c>
      <c r="NO81">
        <v>15</v>
      </c>
      <c r="NP81">
        <v>30</v>
      </c>
      <c r="NV81" t="s">
        <v>747</v>
      </c>
      <c r="NW81" t="s">
        <v>6</v>
      </c>
      <c r="NX81" s="3">
        <v>57</v>
      </c>
      <c r="NY81" s="4" t="s">
        <v>4</v>
      </c>
      <c r="NZ81" s="3">
        <v>26</v>
      </c>
      <c r="OC81">
        <v>4</v>
      </c>
      <c r="OT81" t="s">
        <v>201</v>
      </c>
      <c r="OV81">
        <v>1996</v>
      </c>
      <c r="OY81" s="2" t="s">
        <v>1</v>
      </c>
      <c r="PA81" t="s">
        <v>1169</v>
      </c>
      <c r="PB81" s="58">
        <v>46094</v>
      </c>
    </row>
    <row r="82" spans="1:418" ht="15.75" thickBot="1">
      <c r="A82" s="11" t="s">
        <v>36</v>
      </c>
      <c r="B82" t="s">
        <v>35</v>
      </c>
      <c r="C82" t="s">
        <v>34</v>
      </c>
      <c r="D82" s="4" t="s">
        <v>33</v>
      </c>
      <c r="E82" t="s">
        <v>32</v>
      </c>
      <c r="F82" s="4" t="s">
        <v>31</v>
      </c>
      <c r="G82" t="s">
        <v>2</v>
      </c>
      <c r="H82" t="s">
        <v>30</v>
      </c>
      <c r="I82" s="10">
        <v>0.1</v>
      </c>
      <c r="J82" s="10">
        <v>34.566667000000002</v>
      </c>
      <c r="K82" t="s">
        <v>29</v>
      </c>
      <c r="AV82" t="s">
        <v>28</v>
      </c>
      <c r="AW82">
        <v>100</v>
      </c>
      <c r="AX82" t="s">
        <v>29</v>
      </c>
      <c r="AY82">
        <v>4</v>
      </c>
      <c r="AZ82" t="s">
        <v>27</v>
      </c>
      <c r="BA82">
        <v>1994</v>
      </c>
      <c r="BB82">
        <v>1998</v>
      </c>
      <c r="BC82" t="s">
        <v>26</v>
      </c>
      <c r="BD82" t="s">
        <v>59</v>
      </c>
      <c r="BE82" s="10" t="s">
        <v>65</v>
      </c>
      <c r="BF82" t="s">
        <v>64</v>
      </c>
      <c r="BG82" s="3" t="s">
        <v>1233</v>
      </c>
      <c r="BH82" t="s">
        <v>23</v>
      </c>
      <c r="BI82" t="s">
        <v>750</v>
      </c>
      <c r="BJ82" s="4" t="s">
        <v>22</v>
      </c>
      <c r="BK82" s="9">
        <v>53000</v>
      </c>
      <c r="EE82" t="s">
        <v>55</v>
      </c>
      <c r="EF82" s="4" t="s">
        <v>22</v>
      </c>
      <c r="EG82" s="9">
        <v>53000</v>
      </c>
      <c r="EH82" s="9"/>
      <c r="EI82" s="9"/>
      <c r="EJ82" s="9"/>
      <c r="EK82" s="9"/>
      <c r="EL82" s="9"/>
      <c r="EM82" s="9"/>
      <c r="EN82" s="9"/>
      <c r="EO82" s="9"/>
      <c r="EP82" s="9"/>
      <c r="EQ82" s="9"/>
      <c r="ER82" s="9"/>
      <c r="ES82" s="9"/>
      <c r="ET82" s="9"/>
      <c r="EU82" s="9"/>
      <c r="EV82" s="9"/>
      <c r="EW82" s="9"/>
      <c r="EX82" s="9"/>
      <c r="EY82" s="9"/>
      <c r="EZ82" s="9"/>
      <c r="FA82" s="9"/>
      <c r="FB82" s="9"/>
      <c r="FC82" s="9"/>
      <c r="FD82" s="9"/>
      <c r="FE82" s="9"/>
      <c r="FF82" s="9"/>
      <c r="FG82" s="9"/>
      <c r="FH82" s="9"/>
      <c r="FI82" s="9"/>
      <c r="FJ82" s="9"/>
      <c r="FK82" s="9"/>
      <c r="FL82" s="9"/>
      <c r="FM82" s="9"/>
      <c r="FN82" s="9"/>
      <c r="FO82" s="9"/>
      <c r="FP82" s="9"/>
      <c r="FQ82" s="9"/>
      <c r="FR82" s="9"/>
      <c r="FS82" s="9"/>
      <c r="FT82" s="9"/>
      <c r="FU82" s="9"/>
      <c r="FV82" s="9"/>
      <c r="FW82" s="9"/>
      <c r="FX82" s="9"/>
      <c r="FY82" s="9"/>
      <c r="FZ82" s="9"/>
      <c r="GA82" s="9"/>
      <c r="GB82" s="9"/>
      <c r="GC82" s="9"/>
      <c r="GD82" s="9"/>
      <c r="GE82" s="9"/>
      <c r="GF82" s="9"/>
      <c r="GG82" s="9"/>
      <c r="GH82" s="9"/>
      <c r="GI82" s="9"/>
      <c r="GJ82" s="9"/>
      <c r="GK82" s="9"/>
      <c r="GL82" s="9"/>
      <c r="GM82" s="9"/>
      <c r="GN82" s="9"/>
      <c r="GO82" s="9"/>
      <c r="GP82" s="9"/>
      <c r="GQ82" s="9"/>
      <c r="GR82" s="9"/>
      <c r="GS82" s="9"/>
      <c r="GT82" s="9"/>
      <c r="GU82" s="9"/>
      <c r="GV82" s="9"/>
      <c r="GW82" s="9"/>
      <c r="GX82" s="9"/>
      <c r="GY82" s="9"/>
      <c r="GZ82" s="9"/>
      <c r="HA82" s="9"/>
      <c r="HB82" s="9"/>
      <c r="HC82" s="9"/>
      <c r="HD82" s="9"/>
      <c r="HE82" s="9"/>
      <c r="HF82" s="9"/>
      <c r="HG82" s="9"/>
      <c r="HH82" s="9"/>
      <c r="HI82" s="9"/>
      <c r="HJ82" s="9"/>
      <c r="HK82" s="9"/>
      <c r="HR82" t="s">
        <v>21</v>
      </c>
      <c r="HT82" s="4" t="s">
        <v>20</v>
      </c>
      <c r="HU82" s="58">
        <v>34335</v>
      </c>
      <c r="HV82" s="58">
        <v>36160</v>
      </c>
      <c r="HW82" s="58"/>
      <c r="HX82" s="58"/>
      <c r="IO82" s="4"/>
      <c r="IP82" t="s">
        <v>63</v>
      </c>
      <c r="IQ82" s="12" t="s">
        <v>1718</v>
      </c>
      <c r="IT82">
        <v>1995</v>
      </c>
      <c r="IU82">
        <v>1995.2</v>
      </c>
      <c r="IV82" s="4" t="s">
        <v>18</v>
      </c>
      <c r="IW82" t="s">
        <v>61</v>
      </c>
      <c r="IX82" s="12" t="s">
        <v>52</v>
      </c>
      <c r="JA82">
        <v>0.5</v>
      </c>
      <c r="JB82" t="s">
        <v>29</v>
      </c>
      <c r="JC82" t="s">
        <v>29</v>
      </c>
      <c r="JD82" t="s">
        <v>29</v>
      </c>
      <c r="JE82" t="s">
        <v>29</v>
      </c>
      <c r="JF82" t="s">
        <v>29</v>
      </c>
      <c r="JG82" t="s">
        <v>29</v>
      </c>
      <c r="JH82" t="s">
        <v>29</v>
      </c>
      <c r="JI82" t="s">
        <v>29</v>
      </c>
      <c r="JJ82" t="s">
        <v>29</v>
      </c>
      <c r="JL82" s="12" t="s">
        <v>721</v>
      </c>
      <c r="JQ82" s="4"/>
      <c r="JW82" s="4"/>
      <c r="JX82" s="4"/>
      <c r="JY82" s="4"/>
      <c r="JZ82" s="4"/>
      <c r="KA82" s="4"/>
      <c r="KB82" s="4"/>
      <c r="KG82" s="7" t="s">
        <v>12</v>
      </c>
      <c r="KK82" s="53" t="s">
        <v>719</v>
      </c>
      <c r="KL82" s="8" t="s">
        <v>51</v>
      </c>
      <c r="KN82" t="s">
        <v>29</v>
      </c>
      <c r="MZ82" t="s">
        <v>11</v>
      </c>
      <c r="NA82">
        <v>42</v>
      </c>
      <c r="NC82" s="4" t="s">
        <v>168</v>
      </c>
      <c r="NK82" t="s">
        <v>167</v>
      </c>
      <c r="NM82" s="4" t="s">
        <v>8</v>
      </c>
      <c r="NN82" s="6" t="s">
        <v>7</v>
      </c>
      <c r="NW82" t="s">
        <v>6</v>
      </c>
      <c r="NX82" s="5" t="s">
        <v>200</v>
      </c>
      <c r="NY82" s="4" t="s">
        <v>4</v>
      </c>
      <c r="NZ82" s="3">
        <v>0.27362216468398071</v>
      </c>
      <c r="OC82">
        <v>4</v>
      </c>
      <c r="OT82" t="s">
        <v>194</v>
      </c>
      <c r="OV82">
        <v>1996</v>
      </c>
      <c r="OY82" s="2" t="s">
        <v>62</v>
      </c>
      <c r="PA82" t="s">
        <v>1169</v>
      </c>
      <c r="PB82" s="58">
        <v>46094</v>
      </c>
    </row>
    <row r="83" spans="1:418" ht="15.75" thickBot="1">
      <c r="A83" s="11" t="s">
        <v>36</v>
      </c>
      <c r="B83" t="s">
        <v>35</v>
      </c>
      <c r="C83" t="s">
        <v>34</v>
      </c>
      <c r="D83" s="4" t="s">
        <v>33</v>
      </c>
      <c r="E83" t="s">
        <v>32</v>
      </c>
      <c r="F83" s="4" t="s">
        <v>31</v>
      </c>
      <c r="G83" t="s">
        <v>2</v>
      </c>
      <c r="H83" t="s">
        <v>30</v>
      </c>
      <c r="I83" s="10">
        <v>0.1</v>
      </c>
      <c r="J83" s="10">
        <v>34.566667000000002</v>
      </c>
      <c r="K83" t="s">
        <v>29</v>
      </c>
      <c r="AV83" t="s">
        <v>28</v>
      </c>
      <c r="AW83">
        <v>100</v>
      </c>
      <c r="AX83" t="s">
        <v>29</v>
      </c>
      <c r="AY83">
        <v>4</v>
      </c>
      <c r="AZ83" t="s">
        <v>27</v>
      </c>
      <c r="BA83">
        <v>1994</v>
      </c>
      <c r="BB83">
        <v>1998</v>
      </c>
      <c r="BC83" t="s">
        <v>26</v>
      </c>
      <c r="BD83" t="s">
        <v>59</v>
      </c>
      <c r="BE83" s="10" t="s">
        <v>58</v>
      </c>
      <c r="BF83" t="s">
        <v>57</v>
      </c>
      <c r="BG83" s="3" t="s">
        <v>1233</v>
      </c>
      <c r="BH83" t="s">
        <v>23</v>
      </c>
      <c r="BI83" t="s">
        <v>750</v>
      </c>
      <c r="BJ83" s="4" t="s">
        <v>22</v>
      </c>
      <c r="BK83" s="9">
        <v>53000</v>
      </c>
      <c r="EE83" t="s">
        <v>55</v>
      </c>
      <c r="EF83" s="4" t="s">
        <v>22</v>
      </c>
      <c r="EG83" s="9">
        <v>53000</v>
      </c>
      <c r="EH83" s="9"/>
      <c r="EI83" s="9"/>
      <c r="EJ83" s="9"/>
      <c r="EK83" s="9"/>
      <c r="EL83" s="9"/>
      <c r="EM83" s="9"/>
      <c r="EN83" s="9"/>
      <c r="EO83" s="9"/>
      <c r="EP83" s="9"/>
      <c r="EQ83" s="9"/>
      <c r="ER83" s="9"/>
      <c r="ES83" s="9"/>
      <c r="ET83" s="9"/>
      <c r="EU83" s="9"/>
      <c r="EV83" s="9"/>
      <c r="EW83" s="9"/>
      <c r="EX83" s="9"/>
      <c r="EY83" s="9"/>
      <c r="EZ83" s="9"/>
      <c r="FA83" s="9"/>
      <c r="FB83" s="9"/>
      <c r="FC83" s="9"/>
      <c r="FD83" s="9"/>
      <c r="FE83" s="9"/>
      <c r="FF83" s="9"/>
      <c r="FG83" s="9"/>
      <c r="FH83" s="9"/>
      <c r="FI83" s="9"/>
      <c r="FJ83" s="9"/>
      <c r="FK83" s="9"/>
      <c r="FL83" s="9"/>
      <c r="FM83" s="9"/>
      <c r="FN83" s="9"/>
      <c r="FO83" s="9"/>
      <c r="FP83" s="9"/>
      <c r="FQ83" s="9"/>
      <c r="FR83" s="9"/>
      <c r="FS83" s="9"/>
      <c r="FT83" s="9"/>
      <c r="FU83" s="9"/>
      <c r="FV83" s="9"/>
      <c r="FW83" s="9"/>
      <c r="FX83" s="9"/>
      <c r="FY83" s="9"/>
      <c r="FZ83" s="9"/>
      <c r="GA83" s="9"/>
      <c r="GB83" s="9"/>
      <c r="GC83" s="9"/>
      <c r="GD83" s="9"/>
      <c r="GE83" s="9"/>
      <c r="GF83" s="9"/>
      <c r="GG83" s="9"/>
      <c r="GH83" s="9"/>
      <c r="GI83" s="9"/>
      <c r="GJ83" s="9"/>
      <c r="GK83" s="9"/>
      <c r="GL83" s="9"/>
      <c r="GM83" s="9"/>
      <c r="GN83" s="9"/>
      <c r="GO83" s="9"/>
      <c r="GP83" s="9"/>
      <c r="GQ83" s="9"/>
      <c r="GR83" s="9"/>
      <c r="GS83" s="9"/>
      <c r="GT83" s="9"/>
      <c r="GU83" s="9"/>
      <c r="GV83" s="9"/>
      <c r="GW83" s="9"/>
      <c r="GX83" s="9"/>
      <c r="GY83" s="9"/>
      <c r="GZ83" s="9"/>
      <c r="HA83" s="9"/>
      <c r="HB83" s="9"/>
      <c r="HC83" s="9"/>
      <c r="HD83" s="9"/>
      <c r="HE83" s="9"/>
      <c r="HF83" s="9"/>
      <c r="HG83" s="9"/>
      <c r="HH83" s="9"/>
      <c r="HI83" s="9"/>
      <c r="HJ83" s="9"/>
      <c r="HK83" s="9"/>
      <c r="HR83" t="s">
        <v>21</v>
      </c>
      <c r="HT83" s="4" t="s">
        <v>20</v>
      </c>
      <c r="HU83" s="58">
        <v>34335</v>
      </c>
      <c r="HV83" s="58">
        <v>36160</v>
      </c>
      <c r="HW83" s="58"/>
      <c r="HX83" s="58"/>
      <c r="IO83" s="4"/>
      <c r="IP83" t="s">
        <v>54</v>
      </c>
      <c r="IQ83" s="12" t="s">
        <v>1719</v>
      </c>
      <c r="IT83">
        <v>1994</v>
      </c>
      <c r="IU83">
        <v>1994.2</v>
      </c>
      <c r="IV83" s="4" t="s">
        <v>18</v>
      </c>
      <c r="IW83" t="s">
        <v>53</v>
      </c>
      <c r="IX83" s="12" t="s">
        <v>52</v>
      </c>
      <c r="JA83">
        <v>0.5</v>
      </c>
      <c r="JB83" t="s">
        <v>29</v>
      </c>
      <c r="JC83" t="s">
        <v>29</v>
      </c>
      <c r="JD83" t="s">
        <v>29</v>
      </c>
      <c r="JE83" t="s">
        <v>29</v>
      </c>
      <c r="JF83" t="s">
        <v>29</v>
      </c>
      <c r="JG83" t="s">
        <v>29</v>
      </c>
      <c r="JH83" t="s">
        <v>29</v>
      </c>
      <c r="JI83" t="s">
        <v>29</v>
      </c>
      <c r="JJ83" t="s">
        <v>29</v>
      </c>
      <c r="JL83" s="12" t="s">
        <v>721</v>
      </c>
      <c r="JQ83" s="4"/>
      <c r="JW83" s="4"/>
      <c r="JX83" s="4"/>
      <c r="JY83" s="4"/>
      <c r="JZ83" s="4"/>
      <c r="KA83" s="4"/>
      <c r="KB83" s="4"/>
      <c r="KG83" s="7" t="s">
        <v>12</v>
      </c>
      <c r="KK83" s="53" t="s">
        <v>719</v>
      </c>
      <c r="KL83" s="8" t="s">
        <v>51</v>
      </c>
      <c r="KN83" t="s">
        <v>29</v>
      </c>
      <c r="MZ83" t="s">
        <v>11</v>
      </c>
      <c r="NA83">
        <v>42</v>
      </c>
      <c r="NC83" s="4" t="s">
        <v>168</v>
      </c>
      <c r="NK83" t="s">
        <v>167</v>
      </c>
      <c r="NM83" s="4" t="s">
        <v>8</v>
      </c>
      <c r="NN83" s="6" t="s">
        <v>7</v>
      </c>
      <c r="NW83" t="s">
        <v>6</v>
      </c>
      <c r="NX83" s="5" t="s">
        <v>199</v>
      </c>
      <c r="NY83" s="4" t="s">
        <v>4</v>
      </c>
      <c r="NZ83" s="3">
        <v>0.27362216468397982</v>
      </c>
      <c r="OC83">
        <v>4</v>
      </c>
      <c r="OT83" t="s">
        <v>194</v>
      </c>
      <c r="OV83">
        <v>1996</v>
      </c>
      <c r="OY83" s="2" t="s">
        <v>62</v>
      </c>
      <c r="PA83" t="s">
        <v>1169</v>
      </c>
      <c r="PB83" s="58">
        <v>46094</v>
      </c>
    </row>
    <row r="84" spans="1:418" ht="15.75" thickBot="1">
      <c r="A84" s="11" t="s">
        <v>36</v>
      </c>
      <c r="B84" t="s">
        <v>35</v>
      </c>
      <c r="C84" t="s">
        <v>34</v>
      </c>
      <c r="D84" s="4" t="s">
        <v>33</v>
      </c>
      <c r="E84" t="s">
        <v>32</v>
      </c>
      <c r="F84" s="4" t="s">
        <v>31</v>
      </c>
      <c r="G84" t="s">
        <v>2</v>
      </c>
      <c r="H84" t="s">
        <v>30</v>
      </c>
      <c r="I84" s="10">
        <v>0.1</v>
      </c>
      <c r="J84" s="10">
        <v>34.566667000000002</v>
      </c>
      <c r="K84" t="s">
        <v>29</v>
      </c>
      <c r="AV84" t="s">
        <v>28</v>
      </c>
      <c r="AW84">
        <v>100</v>
      </c>
      <c r="AX84" t="s">
        <v>29</v>
      </c>
      <c r="AY84">
        <v>4</v>
      </c>
      <c r="AZ84" t="s">
        <v>27</v>
      </c>
      <c r="BA84">
        <v>1994</v>
      </c>
      <c r="BB84">
        <v>1998</v>
      </c>
      <c r="BC84" t="s">
        <v>26</v>
      </c>
      <c r="BD84" t="s">
        <v>45</v>
      </c>
      <c r="BE84" s="10" t="s">
        <v>49</v>
      </c>
      <c r="BF84" t="s">
        <v>48</v>
      </c>
      <c r="BG84" s="3" t="s">
        <v>1233</v>
      </c>
      <c r="BH84" t="s">
        <v>23</v>
      </c>
      <c r="BI84" t="s">
        <v>750</v>
      </c>
      <c r="BJ84" s="4" t="s">
        <v>22</v>
      </c>
      <c r="BK84" s="9">
        <v>53000</v>
      </c>
      <c r="EF84" s="4"/>
      <c r="EG84" s="9"/>
      <c r="EH84" s="9"/>
      <c r="EI84" s="9"/>
      <c r="EJ84" s="9"/>
      <c r="EK84" s="9"/>
      <c r="EL84" s="9"/>
      <c r="EM84" s="9"/>
      <c r="EN84" s="9"/>
      <c r="EO84" s="9"/>
      <c r="EP84" s="9"/>
      <c r="EQ84" s="9"/>
      <c r="ER84" s="9"/>
      <c r="ES84" s="9"/>
      <c r="ET84" s="9"/>
      <c r="EU84" s="9"/>
      <c r="EV84" s="9"/>
      <c r="EW84" s="9"/>
      <c r="EX84" s="9"/>
      <c r="EY84" s="9"/>
      <c r="EZ84" s="9"/>
      <c r="FA84" s="9"/>
      <c r="FB84" s="9"/>
      <c r="FC84" s="9"/>
      <c r="FD84" s="9"/>
      <c r="FE84" s="9"/>
      <c r="FF84" s="9"/>
      <c r="FG84" s="9"/>
      <c r="FH84" s="9"/>
      <c r="FI84" s="9"/>
      <c r="FJ84" s="9"/>
      <c r="FK84" s="9"/>
      <c r="FL84" s="9"/>
      <c r="FM84" s="9"/>
      <c r="FN84" s="9"/>
      <c r="FO84" s="9"/>
      <c r="FP84" s="9"/>
      <c r="FQ84" s="9"/>
      <c r="FR84" s="9"/>
      <c r="FS84" s="9"/>
      <c r="FT84" s="9"/>
      <c r="FU84" s="9"/>
      <c r="FV84" s="9"/>
      <c r="FW84" s="9"/>
      <c r="FX84" s="9"/>
      <c r="FY84" s="9"/>
      <c r="FZ84" s="9"/>
      <c r="GA84" s="9"/>
      <c r="GB84" s="9"/>
      <c r="GC84" s="9"/>
      <c r="GD84" s="9"/>
      <c r="GE84" s="9"/>
      <c r="GF84" s="9"/>
      <c r="GG84" s="9"/>
      <c r="GH84" s="9"/>
      <c r="GI84" s="9"/>
      <c r="GJ84" s="9"/>
      <c r="GK84" s="9"/>
      <c r="GL84" s="9"/>
      <c r="GM84" s="9"/>
      <c r="GN84" s="9"/>
      <c r="GO84" s="9"/>
      <c r="GP84" s="9"/>
      <c r="GQ84" s="9"/>
      <c r="GR84" s="9"/>
      <c r="GS84" s="9"/>
      <c r="GT84" s="9"/>
      <c r="GU84" s="9"/>
      <c r="GV84" s="9"/>
      <c r="GW84" s="9"/>
      <c r="GX84" s="9"/>
      <c r="GY84" s="9"/>
      <c r="GZ84" s="9"/>
      <c r="HA84" s="9"/>
      <c r="HB84" s="9"/>
      <c r="HC84" s="9"/>
      <c r="HD84" s="9"/>
      <c r="HE84" s="9"/>
      <c r="HF84" s="9"/>
      <c r="HG84" s="9"/>
      <c r="HH84" s="9"/>
      <c r="HI84" s="9"/>
      <c r="HJ84" s="9"/>
      <c r="HK84" s="9"/>
      <c r="HR84" t="s">
        <v>21</v>
      </c>
      <c r="HT84" s="4" t="s">
        <v>20</v>
      </c>
      <c r="HU84" s="58">
        <v>34335</v>
      </c>
      <c r="HV84" s="58">
        <v>36160</v>
      </c>
      <c r="HW84" s="58"/>
      <c r="HX84" s="58"/>
      <c r="IP84" t="s">
        <v>47</v>
      </c>
      <c r="IQ84" s="54" t="s">
        <v>1226</v>
      </c>
      <c r="IT84">
        <v>1995</v>
      </c>
      <c r="IU84">
        <v>1995.2</v>
      </c>
      <c r="IV84" s="4" t="s">
        <v>18</v>
      </c>
      <c r="IW84" t="s">
        <v>38</v>
      </c>
      <c r="IX84" t="s">
        <v>19</v>
      </c>
      <c r="JB84">
        <v>0</v>
      </c>
      <c r="JC84">
        <v>0</v>
      </c>
      <c r="JD84">
        <v>0</v>
      </c>
      <c r="JE84">
        <v>0</v>
      </c>
      <c r="JF84">
        <v>0</v>
      </c>
      <c r="JG84">
        <v>0</v>
      </c>
      <c r="JH84">
        <v>0</v>
      </c>
      <c r="JI84">
        <v>0</v>
      </c>
      <c r="JJ84">
        <v>0</v>
      </c>
      <c r="JL84" s="12" t="s">
        <v>721</v>
      </c>
      <c r="JQ84" s="4"/>
      <c r="JW84" s="4"/>
      <c r="JX84" s="4"/>
      <c r="JY84" s="4"/>
      <c r="JZ84" s="4"/>
      <c r="KA84" s="4"/>
      <c r="KB84" s="4"/>
      <c r="KG84" s="7" t="s">
        <v>12</v>
      </c>
      <c r="KK84" s="7" t="s">
        <v>720</v>
      </c>
      <c r="MZ84" t="s">
        <v>11</v>
      </c>
      <c r="NA84">
        <v>42</v>
      </c>
      <c r="NC84" s="4" t="s">
        <v>168</v>
      </c>
      <c r="NK84" t="s">
        <v>167</v>
      </c>
      <c r="NM84" s="4" t="s">
        <v>8</v>
      </c>
      <c r="NN84" s="6" t="s">
        <v>7</v>
      </c>
      <c r="NW84" t="s">
        <v>6</v>
      </c>
      <c r="NX84" s="5" t="s">
        <v>198</v>
      </c>
      <c r="NY84" s="4" t="s">
        <v>4</v>
      </c>
      <c r="NZ84" s="3">
        <v>0.25400613299288022</v>
      </c>
      <c r="OC84">
        <v>4</v>
      </c>
      <c r="OT84" t="s">
        <v>194</v>
      </c>
      <c r="OV84">
        <v>1996</v>
      </c>
      <c r="OY84" s="2" t="s">
        <v>62</v>
      </c>
      <c r="PA84" t="s">
        <v>1169</v>
      </c>
      <c r="PB84" s="58">
        <v>46094</v>
      </c>
    </row>
    <row r="85" spans="1:418" ht="15.6" customHeight="1" thickBot="1">
      <c r="A85" s="11" t="s">
        <v>36</v>
      </c>
      <c r="B85" t="s">
        <v>35</v>
      </c>
      <c r="C85" t="s">
        <v>34</v>
      </c>
      <c r="D85" s="4" t="s">
        <v>33</v>
      </c>
      <c r="E85" t="s">
        <v>32</v>
      </c>
      <c r="F85" s="4" t="s">
        <v>31</v>
      </c>
      <c r="G85" t="s">
        <v>2</v>
      </c>
      <c r="H85" t="s">
        <v>30</v>
      </c>
      <c r="I85" s="10">
        <v>0.1</v>
      </c>
      <c r="J85" s="10">
        <v>34.566667000000002</v>
      </c>
      <c r="K85" t="s">
        <v>29</v>
      </c>
      <c r="AV85" t="s">
        <v>28</v>
      </c>
      <c r="AW85">
        <v>100</v>
      </c>
      <c r="AX85" t="s">
        <v>29</v>
      </c>
      <c r="AY85">
        <v>4</v>
      </c>
      <c r="AZ85" t="s">
        <v>27</v>
      </c>
      <c r="BA85">
        <v>1994</v>
      </c>
      <c r="BB85">
        <v>1998</v>
      </c>
      <c r="BC85" t="s">
        <v>26</v>
      </c>
      <c r="BD85" t="s">
        <v>45</v>
      </c>
      <c r="BE85" s="10" t="s">
        <v>44</v>
      </c>
      <c r="BF85" t="s">
        <v>43</v>
      </c>
      <c r="BG85" s="3" t="s">
        <v>1233</v>
      </c>
      <c r="BH85" t="s">
        <v>23</v>
      </c>
      <c r="BI85" t="s">
        <v>750</v>
      </c>
      <c r="BJ85" s="4" t="s">
        <v>22</v>
      </c>
      <c r="BK85" s="9">
        <v>53000</v>
      </c>
      <c r="EF85" s="4"/>
      <c r="EG85" s="9"/>
      <c r="EH85" s="9"/>
      <c r="EI85" s="9"/>
      <c r="EJ85" s="9"/>
      <c r="EK85" s="9"/>
      <c r="EL85" s="9"/>
      <c r="EM85" s="9"/>
      <c r="EN85" s="9"/>
      <c r="EO85" s="9"/>
      <c r="EP85" s="9"/>
      <c r="EQ85" s="9"/>
      <c r="ER85" s="9"/>
      <c r="ES85" s="9"/>
      <c r="ET85" s="9"/>
      <c r="EU85" s="9"/>
      <c r="EV85" s="9"/>
      <c r="EW85" s="9"/>
      <c r="EX85" s="9"/>
      <c r="EY85" s="9"/>
      <c r="EZ85" s="9"/>
      <c r="FA85" s="9"/>
      <c r="FB85" s="9"/>
      <c r="FC85" s="9"/>
      <c r="FD85" s="9"/>
      <c r="FE85" s="9"/>
      <c r="FF85" s="9"/>
      <c r="FG85" s="9"/>
      <c r="FH85" s="9"/>
      <c r="FI85" s="9"/>
      <c r="FJ85" s="9"/>
      <c r="FK85" s="9"/>
      <c r="FL85" s="9"/>
      <c r="FM85" s="9"/>
      <c r="FN85" s="9"/>
      <c r="FO85" s="9"/>
      <c r="FP85" s="9"/>
      <c r="FQ85" s="9"/>
      <c r="FR85" s="9"/>
      <c r="FS85" s="9"/>
      <c r="FT85" s="9"/>
      <c r="FU85" s="9"/>
      <c r="FV85" s="9"/>
      <c r="FW85" s="9"/>
      <c r="FX85" s="9"/>
      <c r="FY85" s="9"/>
      <c r="FZ85" s="9"/>
      <c r="GA85" s="9"/>
      <c r="GB85" s="9"/>
      <c r="GC85" s="9"/>
      <c r="GD85" s="9"/>
      <c r="GE85" s="9"/>
      <c r="GF85" s="9"/>
      <c r="GG85" s="9"/>
      <c r="GH85" s="9"/>
      <c r="GI85" s="9"/>
      <c r="GJ85" s="9"/>
      <c r="GK85" s="9"/>
      <c r="GL85" s="9"/>
      <c r="GM85" s="9"/>
      <c r="GN85" s="9"/>
      <c r="GO85" s="9"/>
      <c r="GP85" s="9"/>
      <c r="GQ85" s="9"/>
      <c r="GR85" s="9"/>
      <c r="GS85" s="9"/>
      <c r="GT85" s="9"/>
      <c r="GU85" s="9"/>
      <c r="GV85" s="9"/>
      <c r="GW85" s="9"/>
      <c r="GX85" s="9"/>
      <c r="GY85" s="9"/>
      <c r="GZ85" s="9"/>
      <c r="HA85" s="9"/>
      <c r="HB85" s="9"/>
      <c r="HC85" s="9"/>
      <c r="HD85" s="9"/>
      <c r="HE85" s="9"/>
      <c r="HF85" s="9"/>
      <c r="HG85" s="9"/>
      <c r="HH85" s="9"/>
      <c r="HI85" s="9"/>
      <c r="HJ85" s="9"/>
      <c r="HK85" s="9"/>
      <c r="HR85" t="s">
        <v>21</v>
      </c>
      <c r="HT85" s="4" t="s">
        <v>20</v>
      </c>
      <c r="HU85" s="58">
        <v>34335</v>
      </c>
      <c r="HV85" s="58">
        <v>36160</v>
      </c>
      <c r="HW85" s="58"/>
      <c r="HX85" s="58"/>
      <c r="IP85" t="s">
        <v>42</v>
      </c>
      <c r="IQ85" s="13" t="s">
        <v>1227</v>
      </c>
      <c r="IT85">
        <v>1994</v>
      </c>
      <c r="IU85">
        <v>1994.2</v>
      </c>
      <c r="IV85" s="4" t="s">
        <v>18</v>
      </c>
      <c r="IW85" t="s">
        <v>38</v>
      </c>
      <c r="IX85" t="s">
        <v>19</v>
      </c>
      <c r="JB85">
        <v>0</v>
      </c>
      <c r="JC85">
        <v>0</v>
      </c>
      <c r="JD85">
        <v>0</v>
      </c>
      <c r="JE85">
        <v>0</v>
      </c>
      <c r="JF85">
        <v>0</v>
      </c>
      <c r="JG85">
        <v>0</v>
      </c>
      <c r="JH85">
        <v>0</v>
      </c>
      <c r="JI85">
        <v>0</v>
      </c>
      <c r="JJ85">
        <v>0</v>
      </c>
      <c r="JL85" s="12" t="s">
        <v>721</v>
      </c>
      <c r="JQ85" s="4"/>
      <c r="JW85" s="4"/>
      <c r="JX85" s="4"/>
      <c r="JY85" s="4"/>
      <c r="JZ85" s="4"/>
      <c r="KA85" s="4"/>
      <c r="KB85" s="4"/>
      <c r="KG85" s="7" t="s">
        <v>12</v>
      </c>
      <c r="KK85" s="7" t="s">
        <v>720</v>
      </c>
      <c r="MZ85" t="s">
        <v>11</v>
      </c>
      <c r="NA85">
        <v>42</v>
      </c>
      <c r="NC85" s="4" t="s">
        <v>168</v>
      </c>
      <c r="NK85" t="s">
        <v>167</v>
      </c>
      <c r="NM85" s="4" t="s">
        <v>8</v>
      </c>
      <c r="NN85" s="6" t="s">
        <v>7</v>
      </c>
      <c r="NW85" t="s">
        <v>6</v>
      </c>
      <c r="NX85" s="5" t="s">
        <v>197</v>
      </c>
      <c r="NY85" s="4" t="s">
        <v>4</v>
      </c>
      <c r="NZ85" s="3">
        <v>0.29316660501855019</v>
      </c>
      <c r="OC85">
        <v>4</v>
      </c>
      <c r="OT85" t="s">
        <v>194</v>
      </c>
      <c r="OV85">
        <v>1996</v>
      </c>
      <c r="OY85" s="2" t="s">
        <v>62</v>
      </c>
      <c r="PA85" t="s">
        <v>1169</v>
      </c>
      <c r="PB85" s="58">
        <v>46094</v>
      </c>
    </row>
    <row r="86" spans="1:418" ht="15.75" thickBot="1">
      <c r="A86" s="11" t="s">
        <v>36</v>
      </c>
      <c r="B86" t="s">
        <v>35</v>
      </c>
      <c r="C86" t="s">
        <v>34</v>
      </c>
      <c r="D86" s="4" t="s">
        <v>33</v>
      </c>
      <c r="E86" t="s">
        <v>32</v>
      </c>
      <c r="F86" s="4" t="s">
        <v>31</v>
      </c>
      <c r="G86" t="s">
        <v>2</v>
      </c>
      <c r="H86" t="s">
        <v>30</v>
      </c>
      <c r="I86" s="10">
        <v>0.1</v>
      </c>
      <c r="J86" s="10">
        <v>34.566667000000002</v>
      </c>
      <c r="K86" t="s">
        <v>29</v>
      </c>
      <c r="AV86" t="s">
        <v>28</v>
      </c>
      <c r="AW86">
        <v>100</v>
      </c>
      <c r="AX86" t="s">
        <v>29</v>
      </c>
      <c r="AY86">
        <v>4</v>
      </c>
      <c r="AZ86" t="s">
        <v>27</v>
      </c>
      <c r="BA86">
        <v>1994</v>
      </c>
      <c r="BB86">
        <v>1998</v>
      </c>
      <c r="BC86" t="s">
        <v>26</v>
      </c>
      <c r="BD86" t="s">
        <v>19</v>
      </c>
      <c r="BE86" s="10" t="s">
        <v>40</v>
      </c>
      <c r="BF86" t="s">
        <v>39</v>
      </c>
      <c r="BG86" s="3" t="s">
        <v>1233</v>
      </c>
      <c r="BH86" t="s">
        <v>23</v>
      </c>
      <c r="BI86" t="s">
        <v>750</v>
      </c>
      <c r="BJ86" s="4" t="s">
        <v>22</v>
      </c>
      <c r="BK86" s="9">
        <v>53000</v>
      </c>
      <c r="HR86" t="s">
        <v>21</v>
      </c>
      <c r="HT86" s="4" t="s">
        <v>20</v>
      </c>
      <c r="HU86" s="58">
        <v>34335</v>
      </c>
      <c r="HV86" s="58">
        <v>36160</v>
      </c>
      <c r="HW86" s="58"/>
      <c r="HX86" s="58"/>
      <c r="IP86" t="s">
        <v>38</v>
      </c>
      <c r="IQ86" s="54" t="s">
        <v>19</v>
      </c>
      <c r="IV86" s="4" t="s">
        <v>18</v>
      </c>
      <c r="IW86" t="s">
        <v>38</v>
      </c>
      <c r="IX86" s="54" t="s">
        <v>19</v>
      </c>
      <c r="JB86">
        <v>0</v>
      </c>
      <c r="JC86">
        <v>0</v>
      </c>
      <c r="JD86">
        <v>0</v>
      </c>
      <c r="JE86">
        <v>0</v>
      </c>
      <c r="JF86">
        <v>0</v>
      </c>
      <c r="JG86">
        <v>0</v>
      </c>
      <c r="JH86">
        <v>0</v>
      </c>
      <c r="JI86">
        <v>0</v>
      </c>
      <c r="JJ86">
        <v>0</v>
      </c>
      <c r="JL86" s="12" t="s">
        <v>721</v>
      </c>
      <c r="JQ86" s="4"/>
      <c r="JW86" s="4"/>
      <c r="JX86" s="4"/>
      <c r="JY86" s="4"/>
      <c r="JZ86" s="4"/>
      <c r="KA86" s="4"/>
      <c r="KB86" s="4"/>
      <c r="KG86" s="7" t="s">
        <v>12</v>
      </c>
      <c r="KK86" s="7" t="s">
        <v>720</v>
      </c>
      <c r="MZ86" t="s">
        <v>11</v>
      </c>
      <c r="NA86">
        <v>42</v>
      </c>
      <c r="NC86" s="4" t="s">
        <v>168</v>
      </c>
      <c r="NK86" t="s">
        <v>167</v>
      </c>
      <c r="NM86" s="4" t="s">
        <v>8</v>
      </c>
      <c r="NN86" s="6" t="s">
        <v>7</v>
      </c>
      <c r="NV86" t="s">
        <v>735</v>
      </c>
      <c r="NW86" t="s">
        <v>6</v>
      </c>
      <c r="NX86" s="5" t="s">
        <v>196</v>
      </c>
      <c r="NY86" s="4" t="s">
        <v>4</v>
      </c>
      <c r="NZ86" s="3">
        <v>0.23439010130176996</v>
      </c>
      <c r="OC86">
        <v>4</v>
      </c>
      <c r="OT86" t="s">
        <v>194</v>
      </c>
      <c r="OV86">
        <v>1996</v>
      </c>
      <c r="OY86" s="2" t="s">
        <v>62</v>
      </c>
      <c r="PA86" t="s">
        <v>1169</v>
      </c>
      <c r="PB86" s="58">
        <v>46094</v>
      </c>
    </row>
    <row r="87" spans="1:418" ht="15.75" thickBot="1">
      <c r="A87" s="11" t="s">
        <v>36</v>
      </c>
      <c r="B87" t="s">
        <v>35</v>
      </c>
      <c r="C87" t="s">
        <v>34</v>
      </c>
      <c r="D87" s="4" t="s">
        <v>33</v>
      </c>
      <c r="E87" t="s">
        <v>32</v>
      </c>
      <c r="F87" s="4" t="s">
        <v>31</v>
      </c>
      <c r="G87" t="s">
        <v>2</v>
      </c>
      <c r="H87" t="s">
        <v>30</v>
      </c>
      <c r="I87" s="10">
        <v>0.1</v>
      </c>
      <c r="J87" s="10">
        <v>34.566667000000002</v>
      </c>
      <c r="K87" t="s">
        <v>29</v>
      </c>
      <c r="AV87" t="s">
        <v>28</v>
      </c>
      <c r="AW87">
        <v>100</v>
      </c>
      <c r="AX87" t="s">
        <v>29</v>
      </c>
      <c r="AY87">
        <v>4</v>
      </c>
      <c r="AZ87" t="s">
        <v>27</v>
      </c>
      <c r="BA87">
        <v>1994</v>
      </c>
      <c r="BB87">
        <v>1998</v>
      </c>
      <c r="BC87" t="s">
        <v>26</v>
      </c>
      <c r="BD87" t="s">
        <v>19</v>
      </c>
      <c r="BE87" s="10" t="s">
        <v>25</v>
      </c>
      <c r="BF87" t="s">
        <v>24</v>
      </c>
      <c r="BG87" s="3" t="s">
        <v>1233</v>
      </c>
      <c r="BH87" t="s">
        <v>23</v>
      </c>
      <c r="BI87" t="s">
        <v>750</v>
      </c>
      <c r="BJ87" s="4" t="s">
        <v>22</v>
      </c>
      <c r="BK87" s="9">
        <v>53000</v>
      </c>
      <c r="HR87" t="s">
        <v>21</v>
      </c>
      <c r="HT87" s="4" t="s">
        <v>20</v>
      </c>
      <c r="HU87" s="58">
        <v>34335</v>
      </c>
      <c r="HV87" s="58">
        <v>36160</v>
      </c>
      <c r="HW87" s="58"/>
      <c r="HX87" s="58"/>
      <c r="IP87" t="s">
        <v>16</v>
      </c>
      <c r="IQ87" s="54" t="s">
        <v>19</v>
      </c>
      <c r="IV87" s="4" t="s">
        <v>18</v>
      </c>
      <c r="IW87" t="s">
        <v>17</v>
      </c>
      <c r="IX87" s="54" t="s">
        <v>19</v>
      </c>
      <c r="JB87">
        <v>0</v>
      </c>
      <c r="JC87">
        <v>0</v>
      </c>
      <c r="JD87">
        <v>0</v>
      </c>
      <c r="JE87">
        <v>0</v>
      </c>
      <c r="JF87">
        <v>0</v>
      </c>
      <c r="JG87">
        <v>0</v>
      </c>
      <c r="JH87">
        <v>0</v>
      </c>
      <c r="JI87">
        <v>0</v>
      </c>
      <c r="JJ87">
        <v>0</v>
      </c>
      <c r="JK87" t="s">
        <v>16</v>
      </c>
      <c r="JL87" t="s">
        <v>15</v>
      </c>
      <c r="JM87" s="8" t="s">
        <v>14</v>
      </c>
      <c r="JQ87" s="4" t="s">
        <v>13</v>
      </c>
      <c r="JR87">
        <v>60</v>
      </c>
      <c r="JU87">
        <v>60</v>
      </c>
      <c r="JW87" s="4"/>
      <c r="JX87" s="4"/>
      <c r="JY87" s="4"/>
      <c r="JZ87" s="4"/>
      <c r="KA87" s="4"/>
      <c r="KB87" s="4"/>
      <c r="KG87" s="7" t="s">
        <v>12</v>
      </c>
      <c r="KK87" s="7" t="s">
        <v>720</v>
      </c>
      <c r="MZ87" t="s">
        <v>11</v>
      </c>
      <c r="NA87">
        <v>42</v>
      </c>
      <c r="NC87" s="4" t="s">
        <v>168</v>
      </c>
      <c r="NK87" t="s">
        <v>167</v>
      </c>
      <c r="NM87" s="4" t="s">
        <v>8</v>
      </c>
      <c r="NN87" s="6" t="s">
        <v>7</v>
      </c>
      <c r="NV87" t="s">
        <v>747</v>
      </c>
      <c r="NW87" t="s">
        <v>6</v>
      </c>
      <c r="NX87" s="5" t="s">
        <v>195</v>
      </c>
      <c r="NY87" s="4" t="s">
        <v>4</v>
      </c>
      <c r="NZ87" s="3">
        <v>0.15628393132001994</v>
      </c>
      <c r="OC87">
        <v>4</v>
      </c>
      <c r="OT87" t="s">
        <v>194</v>
      </c>
      <c r="OV87">
        <v>1996</v>
      </c>
      <c r="OY87" s="2" t="s">
        <v>62</v>
      </c>
      <c r="PA87" t="s">
        <v>1169</v>
      </c>
      <c r="PB87" s="58">
        <v>46094</v>
      </c>
    </row>
    <row r="88" spans="1:418" ht="15.75" thickBot="1">
      <c r="A88" s="11" t="s">
        <v>36</v>
      </c>
      <c r="B88" t="s">
        <v>35</v>
      </c>
      <c r="C88" t="s">
        <v>34</v>
      </c>
      <c r="D88" s="4" t="s">
        <v>33</v>
      </c>
      <c r="E88" t="s">
        <v>32</v>
      </c>
      <c r="F88" s="4" t="s">
        <v>31</v>
      </c>
      <c r="G88" t="s">
        <v>2</v>
      </c>
      <c r="H88" t="s">
        <v>30</v>
      </c>
      <c r="I88" s="10">
        <v>0.1</v>
      </c>
      <c r="J88" s="10">
        <v>34.566667000000002</v>
      </c>
      <c r="K88" t="s">
        <v>29</v>
      </c>
      <c r="AV88" t="s">
        <v>28</v>
      </c>
      <c r="AW88">
        <v>100</v>
      </c>
      <c r="AX88" t="s">
        <v>29</v>
      </c>
      <c r="AY88">
        <v>4</v>
      </c>
      <c r="AZ88" t="s">
        <v>27</v>
      </c>
      <c r="BA88">
        <v>1994</v>
      </c>
      <c r="BB88">
        <v>1998</v>
      </c>
      <c r="BC88" t="s">
        <v>26</v>
      </c>
      <c r="BD88" t="s">
        <v>59</v>
      </c>
      <c r="BE88" s="10" t="s">
        <v>65</v>
      </c>
      <c r="BF88" t="s">
        <v>64</v>
      </c>
      <c r="BG88" s="3" t="s">
        <v>1233</v>
      </c>
      <c r="BH88" t="s">
        <v>23</v>
      </c>
      <c r="BI88" t="s">
        <v>750</v>
      </c>
      <c r="BJ88" s="4" t="s">
        <v>22</v>
      </c>
      <c r="BK88" s="9">
        <v>53000</v>
      </c>
      <c r="EE88" t="s">
        <v>55</v>
      </c>
      <c r="EF88" s="4" t="s">
        <v>22</v>
      </c>
      <c r="EG88" s="9">
        <v>53000</v>
      </c>
      <c r="EH88" s="9"/>
      <c r="EI88" s="9"/>
      <c r="EJ88" s="9"/>
      <c r="EK88" s="9"/>
      <c r="EL88" s="9"/>
      <c r="EM88" s="9"/>
      <c r="EN88" s="9"/>
      <c r="EO88" s="9"/>
      <c r="EP88" s="9"/>
      <c r="EQ88" s="9"/>
      <c r="ER88" s="9"/>
      <c r="ES88" s="9"/>
      <c r="ET88" s="9"/>
      <c r="EU88" s="9"/>
      <c r="EV88" s="9"/>
      <c r="EW88" s="9"/>
      <c r="EX88" s="9"/>
      <c r="EY88" s="9"/>
      <c r="EZ88" s="9"/>
      <c r="FA88" s="9"/>
      <c r="FB88" s="9"/>
      <c r="FC88" s="9"/>
      <c r="FD88" s="9"/>
      <c r="FE88" s="9"/>
      <c r="FF88" s="9"/>
      <c r="FG88" s="9"/>
      <c r="FH88" s="9"/>
      <c r="FI88" s="9"/>
      <c r="FJ88" s="9"/>
      <c r="FK88" s="9"/>
      <c r="FL88" s="9"/>
      <c r="FM88" s="9"/>
      <c r="FN88" s="9"/>
      <c r="FO88" s="9"/>
      <c r="FP88" s="9"/>
      <c r="FQ88" s="9"/>
      <c r="FR88" s="9"/>
      <c r="FS88" s="9"/>
      <c r="FT88" s="9"/>
      <c r="FU88" s="9"/>
      <c r="FV88" s="9"/>
      <c r="FW88" s="9"/>
      <c r="FX88" s="9"/>
      <c r="FY88" s="9"/>
      <c r="FZ88" s="9"/>
      <c r="GA88" s="9"/>
      <c r="GB88" s="9"/>
      <c r="GC88" s="9"/>
      <c r="GD88" s="9"/>
      <c r="GE88" s="9"/>
      <c r="GF88" s="9"/>
      <c r="GG88" s="9"/>
      <c r="GH88" s="9"/>
      <c r="GI88" s="9"/>
      <c r="GJ88" s="9"/>
      <c r="GK88" s="9"/>
      <c r="GL88" s="9"/>
      <c r="GM88" s="9"/>
      <c r="GN88" s="9"/>
      <c r="GO88" s="9"/>
      <c r="GP88" s="9"/>
      <c r="GQ88" s="9"/>
      <c r="GR88" s="9"/>
      <c r="GS88" s="9"/>
      <c r="GT88" s="9"/>
      <c r="GU88" s="9"/>
      <c r="GV88" s="9"/>
      <c r="GW88" s="9"/>
      <c r="GX88" s="9"/>
      <c r="GY88" s="9"/>
      <c r="GZ88" s="9"/>
      <c r="HA88" s="9"/>
      <c r="HB88" s="9"/>
      <c r="HC88" s="9"/>
      <c r="HD88" s="9"/>
      <c r="HE88" s="9"/>
      <c r="HF88" s="9"/>
      <c r="HG88" s="9"/>
      <c r="HH88" s="9"/>
      <c r="HI88" s="9"/>
      <c r="HJ88" s="9"/>
      <c r="HK88" s="9"/>
      <c r="HR88" t="s">
        <v>21</v>
      </c>
      <c r="HT88" s="4" t="s">
        <v>20</v>
      </c>
      <c r="HU88" s="58">
        <v>34335</v>
      </c>
      <c r="HV88" s="58">
        <v>36160</v>
      </c>
      <c r="HW88" s="58"/>
      <c r="HX88" s="58"/>
      <c r="IO88" s="4"/>
      <c r="IP88" t="s">
        <v>63</v>
      </c>
      <c r="IQ88" s="12" t="s">
        <v>1718</v>
      </c>
      <c r="IT88">
        <v>1995</v>
      </c>
      <c r="IU88">
        <v>1995.2</v>
      </c>
      <c r="IV88" s="4" t="s">
        <v>18</v>
      </c>
      <c r="IW88" t="s">
        <v>61</v>
      </c>
      <c r="IX88" s="12" t="s">
        <v>52</v>
      </c>
      <c r="JA88">
        <v>0.5</v>
      </c>
      <c r="JB88" t="s">
        <v>29</v>
      </c>
      <c r="JC88" t="s">
        <v>29</v>
      </c>
      <c r="JD88" t="s">
        <v>29</v>
      </c>
      <c r="JE88" t="s">
        <v>29</v>
      </c>
      <c r="JF88" t="s">
        <v>29</v>
      </c>
      <c r="JG88" t="s">
        <v>29</v>
      </c>
      <c r="JH88" t="s">
        <v>29</v>
      </c>
      <c r="JI88" t="s">
        <v>29</v>
      </c>
      <c r="JJ88" t="s">
        <v>29</v>
      </c>
      <c r="JL88" s="12" t="s">
        <v>721</v>
      </c>
      <c r="JQ88" s="4"/>
      <c r="JW88" s="4"/>
      <c r="JX88" s="4"/>
      <c r="JY88" s="4"/>
      <c r="JZ88" s="4"/>
      <c r="KA88" s="4"/>
      <c r="KB88" s="4"/>
      <c r="KG88" s="7" t="s">
        <v>12</v>
      </c>
      <c r="KK88" s="53" t="s">
        <v>719</v>
      </c>
      <c r="KL88" s="8" t="s">
        <v>51</v>
      </c>
      <c r="KN88" t="s">
        <v>29</v>
      </c>
      <c r="MZ88" t="s">
        <v>11</v>
      </c>
      <c r="NA88">
        <v>42</v>
      </c>
      <c r="NC88" s="4" t="s">
        <v>168</v>
      </c>
      <c r="NK88" t="s">
        <v>167</v>
      </c>
      <c r="NM88" s="4" t="s">
        <v>8</v>
      </c>
      <c r="NN88" s="6" t="s">
        <v>7</v>
      </c>
      <c r="NW88" t="s">
        <v>6</v>
      </c>
      <c r="NX88" s="5" t="s">
        <v>193</v>
      </c>
      <c r="NY88" s="4" t="s">
        <v>4</v>
      </c>
      <c r="NZ88" s="3">
        <v>0.48868259972078976</v>
      </c>
      <c r="OC88">
        <v>4</v>
      </c>
      <c r="OT88" t="s">
        <v>187</v>
      </c>
      <c r="OV88">
        <v>1997</v>
      </c>
      <c r="OY88" s="2" t="s">
        <v>62</v>
      </c>
      <c r="PA88" t="s">
        <v>1169</v>
      </c>
      <c r="PB88" s="58">
        <v>46094</v>
      </c>
    </row>
    <row r="89" spans="1:418" ht="15.75" thickBot="1">
      <c r="A89" s="11" t="s">
        <v>36</v>
      </c>
      <c r="B89" t="s">
        <v>35</v>
      </c>
      <c r="C89" t="s">
        <v>34</v>
      </c>
      <c r="D89" s="4" t="s">
        <v>33</v>
      </c>
      <c r="E89" t="s">
        <v>32</v>
      </c>
      <c r="F89" s="4" t="s">
        <v>31</v>
      </c>
      <c r="G89" t="s">
        <v>2</v>
      </c>
      <c r="H89" t="s">
        <v>30</v>
      </c>
      <c r="I89" s="10">
        <v>0.1</v>
      </c>
      <c r="J89" s="10">
        <v>34.566667000000002</v>
      </c>
      <c r="K89" t="s">
        <v>29</v>
      </c>
      <c r="AV89" t="s">
        <v>28</v>
      </c>
      <c r="AW89">
        <v>100</v>
      </c>
      <c r="AX89" t="s">
        <v>29</v>
      </c>
      <c r="AY89">
        <v>4</v>
      </c>
      <c r="AZ89" t="s">
        <v>27</v>
      </c>
      <c r="BA89">
        <v>1994</v>
      </c>
      <c r="BB89">
        <v>1998</v>
      </c>
      <c r="BC89" t="s">
        <v>26</v>
      </c>
      <c r="BD89" t="s">
        <v>59</v>
      </c>
      <c r="BE89" s="10" t="s">
        <v>58</v>
      </c>
      <c r="BF89" t="s">
        <v>57</v>
      </c>
      <c r="BG89" s="3" t="s">
        <v>1233</v>
      </c>
      <c r="BH89" t="s">
        <v>23</v>
      </c>
      <c r="BI89" t="s">
        <v>750</v>
      </c>
      <c r="BJ89" s="4" t="s">
        <v>22</v>
      </c>
      <c r="BK89" s="9">
        <v>53000</v>
      </c>
      <c r="EE89" t="s">
        <v>55</v>
      </c>
      <c r="EF89" s="4" t="s">
        <v>22</v>
      </c>
      <c r="EG89" s="9">
        <v>53000</v>
      </c>
      <c r="EH89" s="9"/>
      <c r="EI89" s="9"/>
      <c r="EJ89" s="9"/>
      <c r="EK89" s="9"/>
      <c r="EL89" s="9"/>
      <c r="EM89" s="9"/>
      <c r="EN89" s="9"/>
      <c r="EO89" s="9"/>
      <c r="EP89" s="9"/>
      <c r="EQ89" s="9"/>
      <c r="ER89" s="9"/>
      <c r="ES89" s="9"/>
      <c r="ET89" s="9"/>
      <c r="EU89" s="9"/>
      <c r="EV89" s="9"/>
      <c r="EW89" s="9"/>
      <c r="EX89" s="9"/>
      <c r="EY89" s="9"/>
      <c r="EZ89" s="9"/>
      <c r="FA89" s="9"/>
      <c r="FB89" s="9"/>
      <c r="FC89" s="9"/>
      <c r="FD89" s="9"/>
      <c r="FE89" s="9"/>
      <c r="FF89" s="9"/>
      <c r="FG89" s="9"/>
      <c r="FH89" s="9"/>
      <c r="FI89" s="9"/>
      <c r="FJ89" s="9"/>
      <c r="FK89" s="9"/>
      <c r="FL89" s="9"/>
      <c r="FM89" s="9"/>
      <c r="FN89" s="9"/>
      <c r="FO89" s="9"/>
      <c r="FP89" s="9"/>
      <c r="FQ89" s="9"/>
      <c r="FR89" s="9"/>
      <c r="FS89" s="9"/>
      <c r="FT89" s="9"/>
      <c r="FU89" s="9"/>
      <c r="FV89" s="9"/>
      <c r="FW89" s="9"/>
      <c r="FX89" s="9"/>
      <c r="FY89" s="9"/>
      <c r="FZ89" s="9"/>
      <c r="GA89" s="9"/>
      <c r="GB89" s="9"/>
      <c r="GC89" s="9"/>
      <c r="GD89" s="9"/>
      <c r="GE89" s="9"/>
      <c r="GF89" s="9"/>
      <c r="GG89" s="9"/>
      <c r="GH89" s="9"/>
      <c r="GI89" s="9"/>
      <c r="GJ89" s="9"/>
      <c r="GK89" s="9"/>
      <c r="GL89" s="9"/>
      <c r="GM89" s="9"/>
      <c r="GN89" s="9"/>
      <c r="GO89" s="9"/>
      <c r="GP89" s="9"/>
      <c r="GQ89" s="9"/>
      <c r="GR89" s="9"/>
      <c r="GS89" s="9"/>
      <c r="GT89" s="9"/>
      <c r="GU89" s="9"/>
      <c r="GV89" s="9"/>
      <c r="GW89" s="9"/>
      <c r="GX89" s="9"/>
      <c r="GY89" s="9"/>
      <c r="GZ89" s="9"/>
      <c r="HA89" s="9"/>
      <c r="HB89" s="9"/>
      <c r="HC89" s="9"/>
      <c r="HD89" s="9"/>
      <c r="HE89" s="9"/>
      <c r="HF89" s="9"/>
      <c r="HG89" s="9"/>
      <c r="HH89" s="9"/>
      <c r="HI89" s="9"/>
      <c r="HJ89" s="9"/>
      <c r="HK89" s="9"/>
      <c r="HR89" t="s">
        <v>21</v>
      </c>
      <c r="HT89" s="4" t="s">
        <v>20</v>
      </c>
      <c r="HU89" s="58">
        <v>34335</v>
      </c>
      <c r="HV89" s="58">
        <v>36160</v>
      </c>
      <c r="HW89" s="58"/>
      <c r="HX89" s="58"/>
      <c r="IO89" s="4"/>
      <c r="IP89" t="s">
        <v>54</v>
      </c>
      <c r="IQ89" s="12" t="s">
        <v>1719</v>
      </c>
      <c r="IT89">
        <v>1994</v>
      </c>
      <c r="IU89">
        <v>1994.2</v>
      </c>
      <c r="IV89" s="4" t="s">
        <v>18</v>
      </c>
      <c r="IW89" t="s">
        <v>53</v>
      </c>
      <c r="IX89" s="12" t="s">
        <v>52</v>
      </c>
      <c r="JA89">
        <v>0.5</v>
      </c>
      <c r="JB89" t="s">
        <v>29</v>
      </c>
      <c r="JC89" t="s">
        <v>29</v>
      </c>
      <c r="JD89" t="s">
        <v>29</v>
      </c>
      <c r="JE89" t="s">
        <v>29</v>
      </c>
      <c r="JF89" t="s">
        <v>29</v>
      </c>
      <c r="JG89" t="s">
        <v>29</v>
      </c>
      <c r="JH89" t="s">
        <v>29</v>
      </c>
      <c r="JI89" t="s">
        <v>29</v>
      </c>
      <c r="JJ89" t="s">
        <v>29</v>
      </c>
      <c r="JL89" s="12" t="s">
        <v>721</v>
      </c>
      <c r="JQ89" s="4"/>
      <c r="JW89" s="4"/>
      <c r="JX89" s="4"/>
      <c r="JY89" s="4"/>
      <c r="JZ89" s="4"/>
      <c r="KA89" s="4"/>
      <c r="KB89" s="4"/>
      <c r="KG89" s="7" t="s">
        <v>12</v>
      </c>
      <c r="KK89" s="53" t="s">
        <v>719</v>
      </c>
      <c r="KL89" s="8" t="s">
        <v>51</v>
      </c>
      <c r="KN89" t="s">
        <v>29</v>
      </c>
      <c r="MZ89" t="s">
        <v>11</v>
      </c>
      <c r="NA89">
        <v>42</v>
      </c>
      <c r="NC89" s="4" t="s">
        <v>168</v>
      </c>
      <c r="NK89" t="s">
        <v>167</v>
      </c>
      <c r="NM89" s="4" t="s">
        <v>8</v>
      </c>
      <c r="NN89" s="6" t="s">
        <v>7</v>
      </c>
      <c r="NW89" t="s">
        <v>6</v>
      </c>
      <c r="NX89" s="5" t="s">
        <v>192</v>
      </c>
      <c r="NY89" s="4" t="s">
        <v>4</v>
      </c>
      <c r="NZ89" s="3">
        <v>0.25393454163634033</v>
      </c>
      <c r="OC89">
        <v>4</v>
      </c>
      <c r="OT89" t="s">
        <v>187</v>
      </c>
      <c r="OV89">
        <v>1997</v>
      </c>
      <c r="OY89" s="2" t="s">
        <v>62</v>
      </c>
      <c r="PA89" t="s">
        <v>1169</v>
      </c>
      <c r="PB89" s="58">
        <v>46094</v>
      </c>
    </row>
    <row r="90" spans="1:418" ht="15.75" thickBot="1">
      <c r="A90" s="11" t="s">
        <v>36</v>
      </c>
      <c r="B90" t="s">
        <v>35</v>
      </c>
      <c r="C90" t="s">
        <v>34</v>
      </c>
      <c r="D90" s="4" t="s">
        <v>33</v>
      </c>
      <c r="E90" t="s">
        <v>32</v>
      </c>
      <c r="F90" s="4" t="s">
        <v>31</v>
      </c>
      <c r="G90" t="s">
        <v>2</v>
      </c>
      <c r="H90" t="s">
        <v>30</v>
      </c>
      <c r="I90" s="10">
        <v>0.1</v>
      </c>
      <c r="J90" s="10">
        <v>34.566667000000002</v>
      </c>
      <c r="K90" t="s">
        <v>29</v>
      </c>
      <c r="AV90" t="s">
        <v>28</v>
      </c>
      <c r="AW90">
        <v>100</v>
      </c>
      <c r="AX90" t="s">
        <v>29</v>
      </c>
      <c r="AY90">
        <v>4</v>
      </c>
      <c r="AZ90" t="s">
        <v>27</v>
      </c>
      <c r="BA90">
        <v>1994</v>
      </c>
      <c r="BB90">
        <v>1998</v>
      </c>
      <c r="BC90" t="s">
        <v>26</v>
      </c>
      <c r="BD90" t="s">
        <v>45</v>
      </c>
      <c r="BE90" s="10" t="s">
        <v>49</v>
      </c>
      <c r="BF90" t="s">
        <v>48</v>
      </c>
      <c r="BG90" s="3" t="s">
        <v>1233</v>
      </c>
      <c r="BH90" t="s">
        <v>23</v>
      </c>
      <c r="BI90" t="s">
        <v>750</v>
      </c>
      <c r="BJ90" s="4" t="s">
        <v>22</v>
      </c>
      <c r="BK90" s="9">
        <v>53000</v>
      </c>
      <c r="EF90" s="4"/>
      <c r="EG90" s="9"/>
      <c r="EH90" s="9"/>
      <c r="EI90" s="9"/>
      <c r="EJ90" s="9"/>
      <c r="EK90" s="9"/>
      <c r="EL90" s="9"/>
      <c r="EM90" s="9"/>
      <c r="EN90" s="9"/>
      <c r="EO90" s="9"/>
      <c r="EP90" s="9"/>
      <c r="EQ90" s="9"/>
      <c r="ER90" s="9"/>
      <c r="ES90" s="9"/>
      <c r="ET90" s="9"/>
      <c r="EU90" s="9"/>
      <c r="EV90" s="9"/>
      <c r="EW90" s="9"/>
      <c r="EX90" s="9"/>
      <c r="EY90" s="9"/>
      <c r="EZ90" s="9"/>
      <c r="FA90" s="9"/>
      <c r="FB90" s="9"/>
      <c r="FC90" s="9"/>
      <c r="FD90" s="9"/>
      <c r="FE90" s="9"/>
      <c r="FF90" s="9"/>
      <c r="FG90" s="9"/>
      <c r="FH90" s="9"/>
      <c r="FI90" s="9"/>
      <c r="FJ90" s="9"/>
      <c r="FK90" s="9"/>
      <c r="FL90" s="9"/>
      <c r="FM90" s="9"/>
      <c r="FN90" s="9"/>
      <c r="FO90" s="9"/>
      <c r="FP90" s="9"/>
      <c r="FQ90" s="9"/>
      <c r="FR90" s="9"/>
      <c r="FS90" s="9"/>
      <c r="FT90" s="9"/>
      <c r="FU90" s="9"/>
      <c r="FV90" s="9"/>
      <c r="FW90" s="9"/>
      <c r="FX90" s="9"/>
      <c r="FY90" s="9"/>
      <c r="FZ90" s="9"/>
      <c r="GA90" s="9"/>
      <c r="GB90" s="9"/>
      <c r="GC90" s="9"/>
      <c r="GD90" s="9"/>
      <c r="GE90" s="9"/>
      <c r="GF90" s="9"/>
      <c r="GG90" s="9"/>
      <c r="GH90" s="9"/>
      <c r="GI90" s="9"/>
      <c r="GJ90" s="9"/>
      <c r="GK90" s="9"/>
      <c r="GL90" s="9"/>
      <c r="GM90" s="9"/>
      <c r="GN90" s="9"/>
      <c r="GO90" s="9"/>
      <c r="GP90" s="9"/>
      <c r="GQ90" s="9"/>
      <c r="GR90" s="9"/>
      <c r="GS90" s="9"/>
      <c r="GT90" s="9"/>
      <c r="GU90" s="9"/>
      <c r="GV90" s="9"/>
      <c r="GW90" s="9"/>
      <c r="GX90" s="9"/>
      <c r="GY90" s="9"/>
      <c r="GZ90" s="9"/>
      <c r="HA90" s="9"/>
      <c r="HB90" s="9"/>
      <c r="HC90" s="9"/>
      <c r="HD90" s="9"/>
      <c r="HE90" s="9"/>
      <c r="HF90" s="9"/>
      <c r="HG90" s="9"/>
      <c r="HH90" s="9"/>
      <c r="HI90" s="9"/>
      <c r="HJ90" s="9"/>
      <c r="HK90" s="9"/>
      <c r="HR90" t="s">
        <v>21</v>
      </c>
      <c r="HT90" s="4" t="s">
        <v>20</v>
      </c>
      <c r="HU90" s="58">
        <v>34335</v>
      </c>
      <c r="HV90" s="58">
        <v>36160</v>
      </c>
      <c r="HW90" s="58"/>
      <c r="HX90" s="58"/>
      <c r="IP90" t="s">
        <v>47</v>
      </c>
      <c r="IQ90" s="54" t="s">
        <v>1226</v>
      </c>
      <c r="IT90">
        <v>1995</v>
      </c>
      <c r="IU90">
        <v>1995.2</v>
      </c>
      <c r="IV90" s="4" t="s">
        <v>18</v>
      </c>
      <c r="IW90" t="s">
        <v>38</v>
      </c>
      <c r="IX90" t="s">
        <v>19</v>
      </c>
      <c r="JB90">
        <v>0</v>
      </c>
      <c r="JC90">
        <v>0</v>
      </c>
      <c r="JD90">
        <v>0</v>
      </c>
      <c r="JE90">
        <v>0</v>
      </c>
      <c r="JF90">
        <v>0</v>
      </c>
      <c r="JG90">
        <v>0</v>
      </c>
      <c r="JH90">
        <v>0</v>
      </c>
      <c r="JI90">
        <v>0</v>
      </c>
      <c r="JJ90">
        <v>0</v>
      </c>
      <c r="JL90" s="12" t="s">
        <v>721</v>
      </c>
      <c r="JQ90" s="4"/>
      <c r="JW90" s="4"/>
      <c r="JX90" s="4"/>
      <c r="JY90" s="4"/>
      <c r="JZ90" s="4"/>
      <c r="KA90" s="4"/>
      <c r="KB90" s="4"/>
      <c r="KG90" s="7" t="s">
        <v>12</v>
      </c>
      <c r="KK90" s="7" t="s">
        <v>720</v>
      </c>
      <c r="MZ90" t="s">
        <v>11</v>
      </c>
      <c r="NA90">
        <v>42</v>
      </c>
      <c r="NC90" s="4" t="s">
        <v>168</v>
      </c>
      <c r="NK90" t="s">
        <v>167</v>
      </c>
      <c r="NM90" s="4" t="s">
        <v>8</v>
      </c>
      <c r="NN90" s="6" t="s">
        <v>7</v>
      </c>
      <c r="NW90" t="s">
        <v>6</v>
      </c>
      <c r="NX90" s="5" t="s">
        <v>191</v>
      </c>
      <c r="NY90" s="4" t="s">
        <v>4</v>
      </c>
      <c r="NZ90" s="3">
        <v>0.29323819637508963</v>
      </c>
      <c r="OC90">
        <v>4</v>
      </c>
      <c r="OT90" t="s">
        <v>187</v>
      </c>
      <c r="OV90">
        <v>1997</v>
      </c>
      <c r="OY90" s="2" t="s">
        <v>62</v>
      </c>
      <c r="PA90" t="s">
        <v>1169</v>
      </c>
      <c r="PB90" s="58">
        <v>46094</v>
      </c>
    </row>
    <row r="91" spans="1:418" ht="15.75" thickBot="1">
      <c r="A91" s="11" t="s">
        <v>36</v>
      </c>
      <c r="B91" t="s">
        <v>35</v>
      </c>
      <c r="C91" t="s">
        <v>34</v>
      </c>
      <c r="D91" s="4" t="s">
        <v>33</v>
      </c>
      <c r="E91" t="s">
        <v>32</v>
      </c>
      <c r="F91" s="4" t="s">
        <v>31</v>
      </c>
      <c r="G91" t="s">
        <v>2</v>
      </c>
      <c r="H91" t="s">
        <v>30</v>
      </c>
      <c r="I91" s="10">
        <v>0.1</v>
      </c>
      <c r="J91" s="10">
        <v>34.566667000000002</v>
      </c>
      <c r="K91" t="s">
        <v>29</v>
      </c>
      <c r="AV91" t="s">
        <v>28</v>
      </c>
      <c r="AW91">
        <v>100</v>
      </c>
      <c r="AX91" t="s">
        <v>29</v>
      </c>
      <c r="AY91">
        <v>4</v>
      </c>
      <c r="AZ91" t="s">
        <v>27</v>
      </c>
      <c r="BA91">
        <v>1994</v>
      </c>
      <c r="BB91">
        <v>1998</v>
      </c>
      <c r="BC91" t="s">
        <v>26</v>
      </c>
      <c r="BD91" t="s">
        <v>45</v>
      </c>
      <c r="BE91" s="10" t="s">
        <v>44</v>
      </c>
      <c r="BF91" t="s">
        <v>43</v>
      </c>
      <c r="BG91" s="3" t="s">
        <v>1233</v>
      </c>
      <c r="BH91" t="s">
        <v>23</v>
      </c>
      <c r="BI91" t="s">
        <v>750</v>
      </c>
      <c r="BJ91" s="4" t="s">
        <v>22</v>
      </c>
      <c r="BK91" s="9">
        <v>53000</v>
      </c>
      <c r="EF91" s="4"/>
      <c r="EG91" s="9"/>
      <c r="EH91" s="9"/>
      <c r="EI91" s="9"/>
      <c r="EJ91" s="9"/>
      <c r="EK91" s="9"/>
      <c r="EL91" s="9"/>
      <c r="EM91" s="9"/>
      <c r="EN91" s="9"/>
      <c r="EO91" s="9"/>
      <c r="EP91" s="9"/>
      <c r="EQ91" s="9"/>
      <c r="ER91" s="9"/>
      <c r="ES91" s="9"/>
      <c r="ET91" s="9"/>
      <c r="EU91" s="9"/>
      <c r="EV91" s="9"/>
      <c r="EW91" s="9"/>
      <c r="EX91" s="9"/>
      <c r="EY91" s="9"/>
      <c r="EZ91" s="9"/>
      <c r="FA91" s="9"/>
      <c r="FB91" s="9"/>
      <c r="FC91" s="9"/>
      <c r="FD91" s="9"/>
      <c r="FE91" s="9"/>
      <c r="FF91" s="9"/>
      <c r="FG91" s="9"/>
      <c r="FH91" s="9"/>
      <c r="FI91" s="9"/>
      <c r="FJ91" s="9"/>
      <c r="FK91" s="9"/>
      <c r="FL91" s="9"/>
      <c r="FM91" s="9"/>
      <c r="FN91" s="9"/>
      <c r="FO91" s="9"/>
      <c r="FP91" s="9"/>
      <c r="FQ91" s="9"/>
      <c r="FR91" s="9"/>
      <c r="FS91" s="9"/>
      <c r="FT91" s="9"/>
      <c r="FU91" s="9"/>
      <c r="FV91" s="9"/>
      <c r="FW91" s="9"/>
      <c r="FX91" s="9"/>
      <c r="FY91" s="9"/>
      <c r="FZ91" s="9"/>
      <c r="GA91" s="9"/>
      <c r="GB91" s="9"/>
      <c r="GC91" s="9"/>
      <c r="GD91" s="9"/>
      <c r="GE91" s="9"/>
      <c r="GF91" s="9"/>
      <c r="GG91" s="9"/>
      <c r="GH91" s="9"/>
      <c r="GI91" s="9"/>
      <c r="GJ91" s="9"/>
      <c r="GK91" s="9"/>
      <c r="GL91" s="9"/>
      <c r="GM91" s="9"/>
      <c r="GN91" s="9"/>
      <c r="GO91" s="9"/>
      <c r="GP91" s="9"/>
      <c r="GQ91" s="9"/>
      <c r="GR91" s="9"/>
      <c r="GS91" s="9"/>
      <c r="GT91" s="9"/>
      <c r="GU91" s="9"/>
      <c r="GV91" s="9"/>
      <c r="GW91" s="9"/>
      <c r="GX91" s="9"/>
      <c r="GY91" s="9"/>
      <c r="GZ91" s="9"/>
      <c r="HA91" s="9"/>
      <c r="HB91" s="9"/>
      <c r="HC91" s="9"/>
      <c r="HD91" s="9"/>
      <c r="HE91" s="9"/>
      <c r="HF91" s="9"/>
      <c r="HG91" s="9"/>
      <c r="HH91" s="9"/>
      <c r="HI91" s="9"/>
      <c r="HJ91" s="9"/>
      <c r="HK91" s="9"/>
      <c r="HR91" t="s">
        <v>21</v>
      </c>
      <c r="HT91" s="4" t="s">
        <v>20</v>
      </c>
      <c r="HU91" s="58">
        <v>34335</v>
      </c>
      <c r="HV91" s="58">
        <v>36160</v>
      </c>
      <c r="HW91" s="58"/>
      <c r="HX91" s="58"/>
      <c r="IP91" t="s">
        <v>42</v>
      </c>
      <c r="IQ91" s="13" t="s">
        <v>1227</v>
      </c>
      <c r="IT91">
        <v>1994</v>
      </c>
      <c r="IU91">
        <v>1994.2</v>
      </c>
      <c r="IV91" s="4" t="s">
        <v>18</v>
      </c>
      <c r="IW91" t="s">
        <v>38</v>
      </c>
      <c r="IX91" t="s">
        <v>19</v>
      </c>
      <c r="JB91">
        <v>0</v>
      </c>
      <c r="JC91">
        <v>0</v>
      </c>
      <c r="JD91">
        <v>0</v>
      </c>
      <c r="JE91">
        <v>0</v>
      </c>
      <c r="JF91">
        <v>0</v>
      </c>
      <c r="JG91">
        <v>0</v>
      </c>
      <c r="JH91">
        <v>0</v>
      </c>
      <c r="JI91">
        <v>0</v>
      </c>
      <c r="JJ91">
        <v>0</v>
      </c>
      <c r="JL91" s="12" t="s">
        <v>721</v>
      </c>
      <c r="JQ91" s="4"/>
      <c r="JW91" s="4"/>
      <c r="JX91" s="4"/>
      <c r="JY91" s="4"/>
      <c r="JZ91" s="4"/>
      <c r="KA91" s="4"/>
      <c r="KB91" s="4"/>
      <c r="KG91" s="7" t="s">
        <v>12</v>
      </c>
      <c r="KK91" s="7" t="s">
        <v>720</v>
      </c>
      <c r="MZ91" t="s">
        <v>11</v>
      </c>
      <c r="NA91">
        <v>42</v>
      </c>
      <c r="NC91" s="4" t="s">
        <v>168</v>
      </c>
      <c r="NK91" t="s">
        <v>167</v>
      </c>
      <c r="NM91" s="4" t="s">
        <v>8</v>
      </c>
      <c r="NN91" s="6" t="s">
        <v>7</v>
      </c>
      <c r="NW91" t="s">
        <v>6</v>
      </c>
      <c r="NX91" s="5" t="s">
        <v>190</v>
      </c>
      <c r="NY91" s="4" t="s">
        <v>4</v>
      </c>
      <c r="NZ91" s="3">
        <v>0.44973690176473013</v>
      </c>
      <c r="OC91">
        <v>4</v>
      </c>
      <c r="OT91" t="s">
        <v>187</v>
      </c>
      <c r="OV91">
        <v>1997</v>
      </c>
      <c r="OY91" s="2" t="s">
        <v>62</v>
      </c>
      <c r="PA91" t="s">
        <v>1169</v>
      </c>
      <c r="PB91" s="58">
        <v>46094</v>
      </c>
    </row>
    <row r="92" spans="1:418" ht="15.75" thickBot="1">
      <c r="A92" s="11" t="s">
        <v>36</v>
      </c>
      <c r="B92" t="s">
        <v>35</v>
      </c>
      <c r="C92" t="s">
        <v>34</v>
      </c>
      <c r="D92" s="4" t="s">
        <v>33</v>
      </c>
      <c r="E92" t="s">
        <v>32</v>
      </c>
      <c r="F92" s="4" t="s">
        <v>31</v>
      </c>
      <c r="G92" t="s">
        <v>2</v>
      </c>
      <c r="H92" t="s">
        <v>30</v>
      </c>
      <c r="I92" s="10">
        <v>0.1</v>
      </c>
      <c r="J92" s="10">
        <v>34.566667000000002</v>
      </c>
      <c r="K92" t="s">
        <v>29</v>
      </c>
      <c r="AV92" t="s">
        <v>28</v>
      </c>
      <c r="AW92">
        <v>100</v>
      </c>
      <c r="AX92" t="s">
        <v>29</v>
      </c>
      <c r="AY92">
        <v>4</v>
      </c>
      <c r="AZ92" t="s">
        <v>27</v>
      </c>
      <c r="BA92">
        <v>1994</v>
      </c>
      <c r="BB92">
        <v>1998</v>
      </c>
      <c r="BC92" t="s">
        <v>26</v>
      </c>
      <c r="BD92" t="s">
        <v>19</v>
      </c>
      <c r="BE92" s="10" t="s">
        <v>40</v>
      </c>
      <c r="BF92" t="s">
        <v>39</v>
      </c>
      <c r="BG92" s="3" t="s">
        <v>1233</v>
      </c>
      <c r="BH92" t="s">
        <v>23</v>
      </c>
      <c r="BI92" t="s">
        <v>750</v>
      </c>
      <c r="BJ92" s="4" t="s">
        <v>22</v>
      </c>
      <c r="BK92" s="9">
        <v>53000</v>
      </c>
      <c r="HR92" t="s">
        <v>21</v>
      </c>
      <c r="HT92" s="4" t="s">
        <v>20</v>
      </c>
      <c r="HU92" s="58">
        <v>34335</v>
      </c>
      <c r="HV92" s="58">
        <v>36160</v>
      </c>
      <c r="HW92" s="58"/>
      <c r="HX92" s="58"/>
      <c r="IP92" t="s">
        <v>38</v>
      </c>
      <c r="IQ92" s="54" t="s">
        <v>19</v>
      </c>
      <c r="IV92" s="4" t="s">
        <v>18</v>
      </c>
      <c r="IW92" t="s">
        <v>38</v>
      </c>
      <c r="IX92" s="54" t="s">
        <v>19</v>
      </c>
      <c r="JB92">
        <v>0</v>
      </c>
      <c r="JC92">
        <v>0</v>
      </c>
      <c r="JD92">
        <v>0</v>
      </c>
      <c r="JE92">
        <v>0</v>
      </c>
      <c r="JF92">
        <v>0</v>
      </c>
      <c r="JG92">
        <v>0</v>
      </c>
      <c r="JH92">
        <v>0</v>
      </c>
      <c r="JI92">
        <v>0</v>
      </c>
      <c r="JJ92">
        <v>0</v>
      </c>
      <c r="JL92" s="12" t="s">
        <v>721</v>
      </c>
      <c r="JQ92" s="4"/>
      <c r="JW92" s="4"/>
      <c r="JX92" s="4"/>
      <c r="JY92" s="4"/>
      <c r="JZ92" s="4"/>
      <c r="KA92" s="4"/>
      <c r="KB92" s="4"/>
      <c r="KG92" s="7" t="s">
        <v>12</v>
      </c>
      <c r="KK92" s="7" t="s">
        <v>720</v>
      </c>
      <c r="MZ92" t="s">
        <v>11</v>
      </c>
      <c r="NA92">
        <v>42</v>
      </c>
      <c r="NC92" s="4" t="s">
        <v>168</v>
      </c>
      <c r="NK92" t="s">
        <v>167</v>
      </c>
      <c r="NM92" s="4" t="s">
        <v>8</v>
      </c>
      <c r="NN92" s="6" t="s">
        <v>7</v>
      </c>
      <c r="NV92" t="s">
        <v>735</v>
      </c>
      <c r="NW92" t="s">
        <v>6</v>
      </c>
      <c r="NX92" s="5" t="s">
        <v>189</v>
      </c>
      <c r="NY92" s="4" t="s">
        <v>4</v>
      </c>
      <c r="NZ92" s="3">
        <v>0.15621233996348982</v>
      </c>
      <c r="OC92">
        <v>4</v>
      </c>
      <c r="OT92" t="s">
        <v>187</v>
      </c>
      <c r="OV92">
        <v>1997</v>
      </c>
      <c r="OY92" s="2" t="s">
        <v>62</v>
      </c>
      <c r="PA92" t="s">
        <v>1169</v>
      </c>
      <c r="PB92" s="58">
        <v>46094</v>
      </c>
    </row>
    <row r="93" spans="1:418" ht="15.75" thickBot="1">
      <c r="A93" s="11" t="s">
        <v>36</v>
      </c>
      <c r="B93" t="s">
        <v>35</v>
      </c>
      <c r="C93" t="s">
        <v>34</v>
      </c>
      <c r="D93" s="4" t="s">
        <v>33</v>
      </c>
      <c r="E93" t="s">
        <v>32</v>
      </c>
      <c r="F93" s="4" t="s">
        <v>31</v>
      </c>
      <c r="G93" t="s">
        <v>2</v>
      </c>
      <c r="H93" t="s">
        <v>30</v>
      </c>
      <c r="I93" s="10">
        <v>0.1</v>
      </c>
      <c r="J93" s="10">
        <v>34.566667000000002</v>
      </c>
      <c r="K93" t="s">
        <v>29</v>
      </c>
      <c r="AV93" t="s">
        <v>28</v>
      </c>
      <c r="AW93">
        <v>100</v>
      </c>
      <c r="AX93" t="s">
        <v>29</v>
      </c>
      <c r="AY93">
        <v>4</v>
      </c>
      <c r="AZ93" t="s">
        <v>27</v>
      </c>
      <c r="BA93">
        <v>1994</v>
      </c>
      <c r="BB93">
        <v>1998</v>
      </c>
      <c r="BC93" t="s">
        <v>26</v>
      </c>
      <c r="BD93" t="s">
        <v>19</v>
      </c>
      <c r="BE93" s="10" t="s">
        <v>25</v>
      </c>
      <c r="BF93" t="s">
        <v>24</v>
      </c>
      <c r="BG93" s="3" t="s">
        <v>1233</v>
      </c>
      <c r="BH93" t="s">
        <v>23</v>
      </c>
      <c r="BI93" t="s">
        <v>750</v>
      </c>
      <c r="BJ93" s="4" t="s">
        <v>22</v>
      </c>
      <c r="BK93" s="9">
        <v>53000</v>
      </c>
      <c r="HR93" t="s">
        <v>21</v>
      </c>
      <c r="HT93" s="4" t="s">
        <v>20</v>
      </c>
      <c r="HU93" s="58">
        <v>34335</v>
      </c>
      <c r="HV93" s="58">
        <v>36160</v>
      </c>
      <c r="HW93" s="58"/>
      <c r="HX93" s="58"/>
      <c r="IP93" t="s">
        <v>16</v>
      </c>
      <c r="IQ93" s="54" t="s">
        <v>19</v>
      </c>
      <c r="IV93" s="4" t="s">
        <v>18</v>
      </c>
      <c r="IW93" t="s">
        <v>17</v>
      </c>
      <c r="IX93" s="54" t="s">
        <v>19</v>
      </c>
      <c r="JB93">
        <v>0</v>
      </c>
      <c r="JC93">
        <v>0</v>
      </c>
      <c r="JD93">
        <v>0</v>
      </c>
      <c r="JE93">
        <v>0</v>
      </c>
      <c r="JF93">
        <v>0</v>
      </c>
      <c r="JG93">
        <v>0</v>
      </c>
      <c r="JH93">
        <v>0</v>
      </c>
      <c r="JI93">
        <v>0</v>
      </c>
      <c r="JJ93">
        <v>0</v>
      </c>
      <c r="JK93" t="s">
        <v>16</v>
      </c>
      <c r="JL93" t="s">
        <v>15</v>
      </c>
      <c r="JM93" s="8" t="s">
        <v>14</v>
      </c>
      <c r="JQ93" s="4" t="s">
        <v>13</v>
      </c>
      <c r="JR93">
        <v>60</v>
      </c>
      <c r="JU93">
        <v>60</v>
      </c>
      <c r="JW93" s="4"/>
      <c r="JX93" s="4"/>
      <c r="JY93" s="4"/>
      <c r="JZ93" s="4"/>
      <c r="KA93" s="4"/>
      <c r="KB93" s="4"/>
      <c r="KG93" s="7" t="s">
        <v>12</v>
      </c>
      <c r="KK93" s="7" t="s">
        <v>720</v>
      </c>
      <c r="MZ93" t="s">
        <v>11</v>
      </c>
      <c r="NA93">
        <v>42</v>
      </c>
      <c r="NC93" s="4" t="s">
        <v>168</v>
      </c>
      <c r="NK93" t="s">
        <v>167</v>
      </c>
      <c r="NM93" s="4" t="s">
        <v>8</v>
      </c>
      <c r="NN93" s="6" t="s">
        <v>7</v>
      </c>
      <c r="NV93" t="s">
        <v>747</v>
      </c>
      <c r="NW93" t="s">
        <v>6</v>
      </c>
      <c r="NX93" s="5" t="s">
        <v>188</v>
      </c>
      <c r="NY93" s="4" t="s">
        <v>4</v>
      </c>
      <c r="NZ93" s="3">
        <v>0.19544440334570012</v>
      </c>
      <c r="OC93">
        <v>4</v>
      </c>
      <c r="OT93" t="s">
        <v>187</v>
      </c>
      <c r="OV93">
        <v>1997</v>
      </c>
      <c r="OY93" s="2" t="s">
        <v>62</v>
      </c>
      <c r="PA93" t="s">
        <v>1169</v>
      </c>
      <c r="PB93" s="58">
        <v>46094</v>
      </c>
    </row>
    <row r="94" spans="1:418" ht="15.75" thickBot="1">
      <c r="A94" s="11" t="s">
        <v>36</v>
      </c>
      <c r="B94" t="s">
        <v>35</v>
      </c>
      <c r="C94" t="s">
        <v>34</v>
      </c>
      <c r="D94" s="4" t="s">
        <v>33</v>
      </c>
      <c r="E94" t="s">
        <v>32</v>
      </c>
      <c r="F94" s="4" t="s">
        <v>31</v>
      </c>
      <c r="G94" t="s">
        <v>2</v>
      </c>
      <c r="H94" t="s">
        <v>30</v>
      </c>
      <c r="I94" s="10">
        <v>0.1</v>
      </c>
      <c r="J94" s="10">
        <v>34.566667000000002</v>
      </c>
      <c r="K94" t="s">
        <v>29</v>
      </c>
      <c r="AV94" t="s">
        <v>28</v>
      </c>
      <c r="AW94">
        <v>100</v>
      </c>
      <c r="AX94" t="s">
        <v>29</v>
      </c>
      <c r="AY94">
        <v>4</v>
      </c>
      <c r="AZ94" t="s">
        <v>27</v>
      </c>
      <c r="BA94">
        <v>1994</v>
      </c>
      <c r="BB94">
        <v>1998</v>
      </c>
      <c r="BC94" t="s">
        <v>26</v>
      </c>
      <c r="BD94" t="s">
        <v>59</v>
      </c>
      <c r="BE94" s="10" t="s">
        <v>65</v>
      </c>
      <c r="BF94" t="s">
        <v>64</v>
      </c>
      <c r="BG94" s="3" t="s">
        <v>1233</v>
      </c>
      <c r="BH94" t="s">
        <v>23</v>
      </c>
      <c r="BI94" t="s">
        <v>750</v>
      </c>
      <c r="BJ94" s="4" t="s">
        <v>22</v>
      </c>
      <c r="BK94" s="9">
        <v>53000</v>
      </c>
      <c r="EE94" t="s">
        <v>55</v>
      </c>
      <c r="EF94" s="4" t="s">
        <v>22</v>
      </c>
      <c r="EG94" s="9">
        <v>53000</v>
      </c>
      <c r="EH94" s="9"/>
      <c r="EI94" s="9"/>
      <c r="EJ94" s="9"/>
      <c r="EK94" s="9"/>
      <c r="EL94" s="9"/>
      <c r="EM94" s="9"/>
      <c r="EN94" s="9"/>
      <c r="EO94" s="9"/>
      <c r="EP94" s="9"/>
      <c r="EQ94" s="9"/>
      <c r="ER94" s="9"/>
      <c r="ES94" s="9"/>
      <c r="ET94" s="9"/>
      <c r="EU94" s="9"/>
      <c r="EV94" s="9"/>
      <c r="EW94" s="9"/>
      <c r="EX94" s="9"/>
      <c r="EY94" s="9"/>
      <c r="EZ94" s="9"/>
      <c r="FA94" s="9"/>
      <c r="FB94" s="9"/>
      <c r="FC94" s="9"/>
      <c r="FD94" s="9"/>
      <c r="FE94" s="9"/>
      <c r="FF94" s="9"/>
      <c r="FG94" s="9"/>
      <c r="FH94" s="9"/>
      <c r="FI94" s="9"/>
      <c r="FJ94" s="9"/>
      <c r="FK94" s="9"/>
      <c r="FL94" s="9"/>
      <c r="FM94" s="9"/>
      <c r="FN94" s="9"/>
      <c r="FO94" s="9"/>
      <c r="FP94" s="9"/>
      <c r="FQ94" s="9"/>
      <c r="FR94" s="9"/>
      <c r="FS94" s="9"/>
      <c r="FT94" s="9"/>
      <c r="FU94" s="9"/>
      <c r="FV94" s="9"/>
      <c r="FW94" s="9"/>
      <c r="FX94" s="9"/>
      <c r="FY94" s="9"/>
      <c r="FZ94" s="9"/>
      <c r="GA94" s="9"/>
      <c r="GB94" s="9"/>
      <c r="GC94" s="9"/>
      <c r="GD94" s="9"/>
      <c r="GE94" s="9"/>
      <c r="GF94" s="9"/>
      <c r="GG94" s="9"/>
      <c r="GH94" s="9"/>
      <c r="GI94" s="9"/>
      <c r="GJ94" s="9"/>
      <c r="GK94" s="9"/>
      <c r="GL94" s="9"/>
      <c r="GM94" s="9"/>
      <c r="GN94" s="9"/>
      <c r="GO94" s="9"/>
      <c r="GP94" s="9"/>
      <c r="GQ94" s="9"/>
      <c r="GR94" s="9"/>
      <c r="GS94" s="9"/>
      <c r="GT94" s="9"/>
      <c r="GU94" s="9"/>
      <c r="GV94" s="9"/>
      <c r="GW94" s="9"/>
      <c r="GX94" s="9"/>
      <c r="GY94" s="9"/>
      <c r="GZ94" s="9"/>
      <c r="HA94" s="9"/>
      <c r="HB94" s="9"/>
      <c r="HC94" s="9"/>
      <c r="HD94" s="9"/>
      <c r="HE94" s="9"/>
      <c r="HF94" s="9"/>
      <c r="HG94" s="9"/>
      <c r="HH94" s="9"/>
      <c r="HI94" s="9"/>
      <c r="HJ94" s="9"/>
      <c r="HK94" s="9"/>
      <c r="HR94" t="s">
        <v>21</v>
      </c>
      <c r="HT94" s="4" t="s">
        <v>20</v>
      </c>
      <c r="HU94" s="58">
        <v>34335</v>
      </c>
      <c r="HV94" s="58">
        <v>36160</v>
      </c>
      <c r="HW94" s="58"/>
      <c r="HX94" s="58"/>
      <c r="IO94" s="4"/>
      <c r="IP94" t="s">
        <v>63</v>
      </c>
      <c r="IQ94" s="12" t="s">
        <v>1718</v>
      </c>
      <c r="IT94">
        <v>1995</v>
      </c>
      <c r="IU94">
        <v>1995.2</v>
      </c>
      <c r="IV94" s="4" t="s">
        <v>18</v>
      </c>
      <c r="IW94" t="s">
        <v>61</v>
      </c>
      <c r="IX94" s="12" t="s">
        <v>52</v>
      </c>
      <c r="JA94">
        <v>0.5</v>
      </c>
      <c r="JB94" t="s">
        <v>29</v>
      </c>
      <c r="JC94" t="s">
        <v>29</v>
      </c>
      <c r="JD94" t="s">
        <v>29</v>
      </c>
      <c r="JE94" t="s">
        <v>29</v>
      </c>
      <c r="JF94" t="s">
        <v>29</v>
      </c>
      <c r="JG94" t="s">
        <v>29</v>
      </c>
      <c r="JH94" t="s">
        <v>29</v>
      </c>
      <c r="JI94" t="s">
        <v>29</v>
      </c>
      <c r="JJ94" t="s">
        <v>29</v>
      </c>
      <c r="JL94" s="12" t="s">
        <v>721</v>
      </c>
      <c r="JQ94" s="4"/>
      <c r="JW94" s="4"/>
      <c r="JX94" s="4"/>
      <c r="JY94" s="4"/>
      <c r="JZ94" s="4"/>
      <c r="KA94" s="4"/>
      <c r="KB94" s="4"/>
      <c r="KG94" s="7" t="s">
        <v>12</v>
      </c>
      <c r="KK94" s="53" t="s">
        <v>719</v>
      </c>
      <c r="KL94" s="8" t="s">
        <v>51</v>
      </c>
      <c r="KN94" t="s">
        <v>29</v>
      </c>
      <c r="MZ94" t="s">
        <v>11</v>
      </c>
      <c r="NA94">
        <v>42</v>
      </c>
      <c r="NC94" s="4" t="s">
        <v>168</v>
      </c>
      <c r="NK94" t="s">
        <v>167</v>
      </c>
      <c r="NM94" s="4" t="s">
        <v>8</v>
      </c>
      <c r="NN94" s="6" t="s">
        <v>7</v>
      </c>
      <c r="NW94" t="s">
        <v>6</v>
      </c>
      <c r="NX94" s="5" t="s">
        <v>186</v>
      </c>
      <c r="NY94" s="4" t="s">
        <v>4</v>
      </c>
      <c r="NZ94" s="3">
        <v>0.17582837165459986</v>
      </c>
      <c r="OC94">
        <v>4</v>
      </c>
      <c r="OT94" t="s">
        <v>180</v>
      </c>
      <c r="OV94">
        <v>1998</v>
      </c>
      <c r="OY94" s="2" t="s">
        <v>62</v>
      </c>
      <c r="PA94" t="s">
        <v>1169</v>
      </c>
      <c r="PB94" s="58">
        <v>46094</v>
      </c>
    </row>
    <row r="95" spans="1:418" ht="15.75" thickBot="1">
      <c r="A95" s="11" t="s">
        <v>36</v>
      </c>
      <c r="B95" t="s">
        <v>35</v>
      </c>
      <c r="C95" t="s">
        <v>34</v>
      </c>
      <c r="D95" s="4" t="s">
        <v>33</v>
      </c>
      <c r="E95" t="s">
        <v>32</v>
      </c>
      <c r="F95" s="4" t="s">
        <v>31</v>
      </c>
      <c r="G95" t="s">
        <v>2</v>
      </c>
      <c r="H95" t="s">
        <v>30</v>
      </c>
      <c r="I95" s="10">
        <v>0.1</v>
      </c>
      <c r="J95" s="10">
        <v>34.566667000000002</v>
      </c>
      <c r="K95" t="s">
        <v>29</v>
      </c>
      <c r="AV95" t="s">
        <v>28</v>
      </c>
      <c r="AW95">
        <v>100</v>
      </c>
      <c r="AX95" t="s">
        <v>29</v>
      </c>
      <c r="AY95">
        <v>4</v>
      </c>
      <c r="AZ95" t="s">
        <v>27</v>
      </c>
      <c r="BA95">
        <v>1994</v>
      </c>
      <c r="BB95">
        <v>1998</v>
      </c>
      <c r="BC95" t="s">
        <v>26</v>
      </c>
      <c r="BD95" t="s">
        <v>59</v>
      </c>
      <c r="BE95" s="10" t="s">
        <v>58</v>
      </c>
      <c r="BF95" t="s">
        <v>57</v>
      </c>
      <c r="BG95" s="3" t="s">
        <v>1233</v>
      </c>
      <c r="BH95" t="s">
        <v>23</v>
      </c>
      <c r="BI95" t="s">
        <v>750</v>
      </c>
      <c r="BJ95" s="4" t="s">
        <v>22</v>
      </c>
      <c r="BK95" s="9">
        <v>53000</v>
      </c>
      <c r="EE95" t="s">
        <v>55</v>
      </c>
      <c r="EF95" s="4" t="s">
        <v>22</v>
      </c>
      <c r="EG95" s="9">
        <v>53000</v>
      </c>
      <c r="EH95" s="9"/>
      <c r="EI95" s="9"/>
      <c r="EJ95" s="9"/>
      <c r="EK95" s="9"/>
      <c r="EL95" s="9"/>
      <c r="EM95" s="9"/>
      <c r="EN95" s="9"/>
      <c r="EO95" s="9"/>
      <c r="EP95" s="9"/>
      <c r="EQ95" s="9"/>
      <c r="ER95" s="9"/>
      <c r="ES95" s="9"/>
      <c r="ET95" s="9"/>
      <c r="EU95" s="9"/>
      <c r="EV95" s="9"/>
      <c r="EW95" s="9"/>
      <c r="EX95" s="9"/>
      <c r="EY95" s="9"/>
      <c r="EZ95" s="9"/>
      <c r="FA95" s="9"/>
      <c r="FB95" s="9"/>
      <c r="FC95" s="9"/>
      <c r="FD95" s="9"/>
      <c r="FE95" s="9"/>
      <c r="FF95" s="9"/>
      <c r="FG95" s="9"/>
      <c r="FH95" s="9"/>
      <c r="FI95" s="9"/>
      <c r="FJ95" s="9"/>
      <c r="FK95" s="9"/>
      <c r="FL95" s="9"/>
      <c r="FM95" s="9"/>
      <c r="FN95" s="9"/>
      <c r="FO95" s="9"/>
      <c r="FP95" s="9"/>
      <c r="FQ95" s="9"/>
      <c r="FR95" s="9"/>
      <c r="FS95" s="9"/>
      <c r="FT95" s="9"/>
      <c r="FU95" s="9"/>
      <c r="FV95" s="9"/>
      <c r="FW95" s="9"/>
      <c r="FX95" s="9"/>
      <c r="FY95" s="9"/>
      <c r="FZ95" s="9"/>
      <c r="GA95" s="9"/>
      <c r="GB95" s="9"/>
      <c r="GC95" s="9"/>
      <c r="GD95" s="9"/>
      <c r="GE95" s="9"/>
      <c r="GF95" s="9"/>
      <c r="GG95" s="9"/>
      <c r="GH95" s="9"/>
      <c r="GI95" s="9"/>
      <c r="GJ95" s="9"/>
      <c r="GK95" s="9"/>
      <c r="GL95" s="9"/>
      <c r="GM95" s="9"/>
      <c r="GN95" s="9"/>
      <c r="GO95" s="9"/>
      <c r="GP95" s="9"/>
      <c r="GQ95" s="9"/>
      <c r="GR95" s="9"/>
      <c r="GS95" s="9"/>
      <c r="GT95" s="9"/>
      <c r="GU95" s="9"/>
      <c r="GV95" s="9"/>
      <c r="GW95" s="9"/>
      <c r="GX95" s="9"/>
      <c r="GY95" s="9"/>
      <c r="GZ95" s="9"/>
      <c r="HA95" s="9"/>
      <c r="HB95" s="9"/>
      <c r="HC95" s="9"/>
      <c r="HD95" s="9"/>
      <c r="HE95" s="9"/>
      <c r="HF95" s="9"/>
      <c r="HG95" s="9"/>
      <c r="HH95" s="9"/>
      <c r="HI95" s="9"/>
      <c r="HJ95" s="9"/>
      <c r="HK95" s="9"/>
      <c r="HR95" t="s">
        <v>21</v>
      </c>
      <c r="HT95" s="4" t="s">
        <v>20</v>
      </c>
      <c r="HU95" s="58">
        <v>34335</v>
      </c>
      <c r="HV95" s="58">
        <v>36160</v>
      </c>
      <c r="HW95" s="58"/>
      <c r="HX95" s="58"/>
      <c r="IO95" s="4"/>
      <c r="IP95" t="s">
        <v>54</v>
      </c>
      <c r="IQ95" s="12" t="s">
        <v>1719</v>
      </c>
      <c r="IT95">
        <v>1994</v>
      </c>
      <c r="IU95">
        <v>1994.2</v>
      </c>
      <c r="IV95" s="4" t="s">
        <v>18</v>
      </c>
      <c r="IW95" t="s">
        <v>53</v>
      </c>
      <c r="IX95" s="12" t="s">
        <v>52</v>
      </c>
      <c r="JA95">
        <v>0.5</v>
      </c>
      <c r="JB95" t="s">
        <v>29</v>
      </c>
      <c r="JC95" t="s">
        <v>29</v>
      </c>
      <c r="JD95" t="s">
        <v>29</v>
      </c>
      <c r="JE95" t="s">
        <v>29</v>
      </c>
      <c r="JF95" t="s">
        <v>29</v>
      </c>
      <c r="JG95" t="s">
        <v>29</v>
      </c>
      <c r="JH95" t="s">
        <v>29</v>
      </c>
      <c r="JI95" t="s">
        <v>29</v>
      </c>
      <c r="JJ95" t="s">
        <v>29</v>
      </c>
      <c r="JL95" s="12" t="s">
        <v>721</v>
      </c>
      <c r="JQ95" s="4"/>
      <c r="JW95" s="4"/>
      <c r="JX95" s="4"/>
      <c r="JY95" s="4"/>
      <c r="JZ95" s="4"/>
      <c r="KA95" s="4"/>
      <c r="KB95" s="4"/>
      <c r="KG95" s="7" t="s">
        <v>12</v>
      </c>
      <c r="KK95" s="53" t="s">
        <v>719</v>
      </c>
      <c r="KL95" s="8" t="s">
        <v>51</v>
      </c>
      <c r="KN95" t="s">
        <v>29</v>
      </c>
      <c r="MZ95" t="s">
        <v>11</v>
      </c>
      <c r="NA95">
        <v>42</v>
      </c>
      <c r="NC95" s="4" t="s">
        <v>168</v>
      </c>
      <c r="NK95" t="s">
        <v>167</v>
      </c>
      <c r="NM95" s="4" t="s">
        <v>8</v>
      </c>
      <c r="NN95" s="6" t="s">
        <v>7</v>
      </c>
      <c r="NW95" t="s">
        <v>6</v>
      </c>
      <c r="NX95" s="5" t="s">
        <v>185</v>
      </c>
      <c r="NY95" s="4" t="s">
        <v>4</v>
      </c>
      <c r="NZ95" s="3">
        <v>0.11733823336394988</v>
      </c>
      <c r="OC95">
        <v>4</v>
      </c>
      <c r="OT95" t="s">
        <v>180</v>
      </c>
      <c r="OV95">
        <v>1998</v>
      </c>
      <c r="OY95" s="2" t="s">
        <v>62</v>
      </c>
      <c r="PA95" t="s">
        <v>1169</v>
      </c>
      <c r="PB95" s="58">
        <v>46094</v>
      </c>
    </row>
    <row r="96" spans="1:418" ht="15.75" thickBot="1">
      <c r="A96" s="11" t="s">
        <v>36</v>
      </c>
      <c r="B96" t="s">
        <v>35</v>
      </c>
      <c r="C96" t="s">
        <v>34</v>
      </c>
      <c r="D96" s="4" t="s">
        <v>33</v>
      </c>
      <c r="E96" t="s">
        <v>32</v>
      </c>
      <c r="F96" s="4" t="s">
        <v>31</v>
      </c>
      <c r="G96" t="s">
        <v>2</v>
      </c>
      <c r="H96" t="s">
        <v>30</v>
      </c>
      <c r="I96" s="10">
        <v>0.1</v>
      </c>
      <c r="J96" s="10">
        <v>34.566667000000002</v>
      </c>
      <c r="K96" t="s">
        <v>29</v>
      </c>
      <c r="AV96" t="s">
        <v>28</v>
      </c>
      <c r="AW96">
        <v>100</v>
      </c>
      <c r="AX96" t="s">
        <v>29</v>
      </c>
      <c r="AY96">
        <v>4</v>
      </c>
      <c r="AZ96" t="s">
        <v>27</v>
      </c>
      <c r="BA96">
        <v>1994</v>
      </c>
      <c r="BB96">
        <v>1998</v>
      </c>
      <c r="BC96" t="s">
        <v>26</v>
      </c>
      <c r="BD96" t="s">
        <v>45</v>
      </c>
      <c r="BE96" s="10" t="s">
        <v>49</v>
      </c>
      <c r="BF96" t="s">
        <v>48</v>
      </c>
      <c r="BG96" s="3" t="s">
        <v>1233</v>
      </c>
      <c r="BH96" t="s">
        <v>23</v>
      </c>
      <c r="BI96" t="s">
        <v>750</v>
      </c>
      <c r="BJ96" s="4" t="s">
        <v>22</v>
      </c>
      <c r="BK96" s="9">
        <v>53000</v>
      </c>
      <c r="EF96" s="4"/>
      <c r="EG96" s="9"/>
      <c r="EH96" s="9"/>
      <c r="EI96" s="9"/>
      <c r="EJ96" s="9"/>
      <c r="EK96" s="9"/>
      <c r="EL96" s="9"/>
      <c r="EM96" s="9"/>
      <c r="EN96" s="9"/>
      <c r="EO96" s="9"/>
      <c r="EP96" s="9"/>
      <c r="EQ96" s="9"/>
      <c r="ER96" s="9"/>
      <c r="ES96" s="9"/>
      <c r="ET96" s="9"/>
      <c r="EU96" s="9"/>
      <c r="EV96" s="9"/>
      <c r="EW96" s="9"/>
      <c r="EX96" s="9"/>
      <c r="EY96" s="9"/>
      <c r="EZ96" s="9"/>
      <c r="FA96" s="9"/>
      <c r="FB96" s="9"/>
      <c r="FC96" s="9"/>
      <c r="FD96" s="9"/>
      <c r="FE96" s="9"/>
      <c r="FF96" s="9"/>
      <c r="FG96" s="9"/>
      <c r="FH96" s="9"/>
      <c r="FI96" s="9"/>
      <c r="FJ96" s="9"/>
      <c r="FK96" s="9"/>
      <c r="FL96" s="9"/>
      <c r="FM96" s="9"/>
      <c r="FN96" s="9"/>
      <c r="FO96" s="9"/>
      <c r="FP96" s="9"/>
      <c r="FQ96" s="9"/>
      <c r="FR96" s="9"/>
      <c r="FS96" s="9"/>
      <c r="FT96" s="9"/>
      <c r="FU96" s="9"/>
      <c r="FV96" s="9"/>
      <c r="FW96" s="9"/>
      <c r="FX96" s="9"/>
      <c r="FY96" s="9"/>
      <c r="FZ96" s="9"/>
      <c r="GA96" s="9"/>
      <c r="GB96" s="9"/>
      <c r="GC96" s="9"/>
      <c r="GD96" s="9"/>
      <c r="GE96" s="9"/>
      <c r="GF96" s="9"/>
      <c r="GG96" s="9"/>
      <c r="GH96" s="9"/>
      <c r="GI96" s="9"/>
      <c r="GJ96" s="9"/>
      <c r="GK96" s="9"/>
      <c r="GL96" s="9"/>
      <c r="GM96" s="9"/>
      <c r="GN96" s="9"/>
      <c r="GO96" s="9"/>
      <c r="GP96" s="9"/>
      <c r="GQ96" s="9"/>
      <c r="GR96" s="9"/>
      <c r="GS96" s="9"/>
      <c r="GT96" s="9"/>
      <c r="GU96" s="9"/>
      <c r="GV96" s="9"/>
      <c r="GW96" s="9"/>
      <c r="GX96" s="9"/>
      <c r="GY96" s="9"/>
      <c r="GZ96" s="9"/>
      <c r="HA96" s="9"/>
      <c r="HB96" s="9"/>
      <c r="HC96" s="9"/>
      <c r="HD96" s="9"/>
      <c r="HE96" s="9"/>
      <c r="HF96" s="9"/>
      <c r="HG96" s="9"/>
      <c r="HH96" s="9"/>
      <c r="HI96" s="9"/>
      <c r="HJ96" s="9"/>
      <c r="HK96" s="9"/>
      <c r="HR96" t="s">
        <v>21</v>
      </c>
      <c r="HT96" s="4" t="s">
        <v>20</v>
      </c>
      <c r="HU96" s="58">
        <v>34335</v>
      </c>
      <c r="HV96" s="58">
        <v>36160</v>
      </c>
      <c r="HW96" s="58"/>
      <c r="HX96" s="58"/>
      <c r="IP96" t="s">
        <v>47</v>
      </c>
      <c r="IQ96" s="54" t="s">
        <v>1226</v>
      </c>
      <c r="IT96">
        <v>1995</v>
      </c>
      <c r="IU96">
        <v>1995.2</v>
      </c>
      <c r="IV96" s="4" t="s">
        <v>18</v>
      </c>
      <c r="IW96" t="s">
        <v>38</v>
      </c>
      <c r="IX96" t="s">
        <v>19</v>
      </c>
      <c r="JB96">
        <v>0</v>
      </c>
      <c r="JC96">
        <v>0</v>
      </c>
      <c r="JD96">
        <v>0</v>
      </c>
      <c r="JE96">
        <v>0</v>
      </c>
      <c r="JF96">
        <v>0</v>
      </c>
      <c r="JG96">
        <v>0</v>
      </c>
      <c r="JH96">
        <v>0</v>
      </c>
      <c r="JI96">
        <v>0</v>
      </c>
      <c r="JJ96">
        <v>0</v>
      </c>
      <c r="JL96" s="12" t="s">
        <v>721</v>
      </c>
      <c r="JQ96" s="4"/>
      <c r="JW96" s="4"/>
      <c r="JX96" s="4"/>
      <c r="JY96" s="4"/>
      <c r="JZ96" s="4"/>
      <c r="KA96" s="4"/>
      <c r="KB96" s="4"/>
      <c r="KG96" s="7" t="s">
        <v>12</v>
      </c>
      <c r="KK96" s="7" t="s">
        <v>720</v>
      </c>
      <c r="MZ96" t="s">
        <v>11</v>
      </c>
      <c r="NA96">
        <v>42</v>
      </c>
      <c r="NC96" s="4" t="s">
        <v>168</v>
      </c>
      <c r="NK96" t="s">
        <v>167</v>
      </c>
      <c r="NM96" s="4" t="s">
        <v>8</v>
      </c>
      <c r="NN96" s="6" t="s">
        <v>7</v>
      </c>
      <c r="NW96" t="s">
        <v>6</v>
      </c>
      <c r="NX96" s="5" t="s">
        <v>184</v>
      </c>
      <c r="NY96" s="4" t="s">
        <v>4</v>
      </c>
      <c r="NZ96" s="3">
        <v>0.25414931570594979</v>
      </c>
      <c r="OC96">
        <v>4</v>
      </c>
      <c r="OT96" t="s">
        <v>180</v>
      </c>
      <c r="OV96">
        <v>1998</v>
      </c>
      <c r="OY96" s="2" t="s">
        <v>62</v>
      </c>
      <c r="PA96" t="s">
        <v>1169</v>
      </c>
      <c r="PB96" s="58">
        <v>46094</v>
      </c>
    </row>
    <row r="97" spans="1:418" ht="15.75" thickBot="1">
      <c r="A97" s="11" t="s">
        <v>36</v>
      </c>
      <c r="B97" t="s">
        <v>35</v>
      </c>
      <c r="C97" t="s">
        <v>34</v>
      </c>
      <c r="D97" s="4" t="s">
        <v>33</v>
      </c>
      <c r="E97" t="s">
        <v>32</v>
      </c>
      <c r="F97" s="4" t="s">
        <v>31</v>
      </c>
      <c r="G97" t="s">
        <v>2</v>
      </c>
      <c r="H97" t="s">
        <v>30</v>
      </c>
      <c r="I97" s="10">
        <v>0.1</v>
      </c>
      <c r="J97" s="10">
        <v>34.566667000000002</v>
      </c>
      <c r="K97" t="s">
        <v>29</v>
      </c>
      <c r="AV97" t="s">
        <v>28</v>
      </c>
      <c r="AW97">
        <v>100</v>
      </c>
      <c r="AX97" t="s">
        <v>29</v>
      </c>
      <c r="AY97">
        <v>4</v>
      </c>
      <c r="AZ97" t="s">
        <v>27</v>
      </c>
      <c r="BA97">
        <v>1994</v>
      </c>
      <c r="BB97">
        <v>1998</v>
      </c>
      <c r="BC97" t="s">
        <v>26</v>
      </c>
      <c r="BD97" t="s">
        <v>45</v>
      </c>
      <c r="BE97" s="10" t="s">
        <v>44</v>
      </c>
      <c r="BF97" t="s">
        <v>43</v>
      </c>
      <c r="BG97" s="3" t="s">
        <v>1233</v>
      </c>
      <c r="BH97" t="s">
        <v>23</v>
      </c>
      <c r="BI97" t="s">
        <v>750</v>
      </c>
      <c r="BJ97" s="4" t="s">
        <v>22</v>
      </c>
      <c r="BK97" s="9">
        <v>53000</v>
      </c>
      <c r="EF97" s="4"/>
      <c r="EG97" s="9"/>
      <c r="EH97" s="9"/>
      <c r="EI97" s="9"/>
      <c r="EJ97" s="9"/>
      <c r="EK97" s="9"/>
      <c r="EL97" s="9"/>
      <c r="EM97" s="9"/>
      <c r="EN97" s="9"/>
      <c r="EO97" s="9"/>
      <c r="EP97" s="9"/>
      <c r="EQ97" s="9"/>
      <c r="ER97" s="9"/>
      <c r="ES97" s="9"/>
      <c r="ET97" s="9"/>
      <c r="EU97" s="9"/>
      <c r="EV97" s="9"/>
      <c r="EW97" s="9"/>
      <c r="EX97" s="9"/>
      <c r="EY97" s="9"/>
      <c r="EZ97" s="9"/>
      <c r="FA97" s="9"/>
      <c r="FB97" s="9"/>
      <c r="FC97" s="9"/>
      <c r="FD97" s="9"/>
      <c r="FE97" s="9"/>
      <c r="FF97" s="9"/>
      <c r="FG97" s="9"/>
      <c r="FH97" s="9"/>
      <c r="FI97" s="9"/>
      <c r="FJ97" s="9"/>
      <c r="FK97" s="9"/>
      <c r="FL97" s="9"/>
      <c r="FM97" s="9"/>
      <c r="FN97" s="9"/>
      <c r="FO97" s="9"/>
      <c r="FP97" s="9"/>
      <c r="FQ97" s="9"/>
      <c r="FR97" s="9"/>
      <c r="FS97" s="9"/>
      <c r="FT97" s="9"/>
      <c r="FU97" s="9"/>
      <c r="FV97" s="9"/>
      <c r="FW97" s="9"/>
      <c r="FX97" s="9"/>
      <c r="FY97" s="9"/>
      <c r="FZ97" s="9"/>
      <c r="GA97" s="9"/>
      <c r="GB97" s="9"/>
      <c r="GC97" s="9"/>
      <c r="GD97" s="9"/>
      <c r="GE97" s="9"/>
      <c r="GF97" s="9"/>
      <c r="GG97" s="9"/>
      <c r="GH97" s="9"/>
      <c r="GI97" s="9"/>
      <c r="GJ97" s="9"/>
      <c r="GK97" s="9"/>
      <c r="GL97" s="9"/>
      <c r="GM97" s="9"/>
      <c r="GN97" s="9"/>
      <c r="GO97" s="9"/>
      <c r="GP97" s="9"/>
      <c r="GQ97" s="9"/>
      <c r="GR97" s="9"/>
      <c r="GS97" s="9"/>
      <c r="GT97" s="9"/>
      <c r="GU97" s="9"/>
      <c r="GV97" s="9"/>
      <c r="GW97" s="9"/>
      <c r="GX97" s="9"/>
      <c r="GY97" s="9"/>
      <c r="GZ97" s="9"/>
      <c r="HA97" s="9"/>
      <c r="HB97" s="9"/>
      <c r="HC97" s="9"/>
      <c r="HD97" s="9"/>
      <c r="HE97" s="9"/>
      <c r="HF97" s="9"/>
      <c r="HG97" s="9"/>
      <c r="HH97" s="9"/>
      <c r="HI97" s="9"/>
      <c r="HJ97" s="9"/>
      <c r="HK97" s="9"/>
      <c r="HR97" t="s">
        <v>21</v>
      </c>
      <c r="HT97" s="4" t="s">
        <v>20</v>
      </c>
      <c r="HU97" s="58">
        <v>34335</v>
      </c>
      <c r="HV97" s="58">
        <v>36160</v>
      </c>
      <c r="HW97" s="58"/>
      <c r="HX97" s="58"/>
      <c r="IP97" t="s">
        <v>42</v>
      </c>
      <c r="IQ97" s="13" t="s">
        <v>1227</v>
      </c>
      <c r="IT97">
        <v>1994</v>
      </c>
      <c r="IU97">
        <v>1994.2</v>
      </c>
      <c r="IV97" s="4" t="s">
        <v>18</v>
      </c>
      <c r="IW97" t="s">
        <v>38</v>
      </c>
      <c r="IX97" t="s">
        <v>19</v>
      </c>
      <c r="JB97">
        <v>0</v>
      </c>
      <c r="JC97">
        <v>0</v>
      </c>
      <c r="JD97">
        <v>0</v>
      </c>
      <c r="JE97">
        <v>0</v>
      </c>
      <c r="JF97">
        <v>0</v>
      </c>
      <c r="JG97">
        <v>0</v>
      </c>
      <c r="JH97">
        <v>0</v>
      </c>
      <c r="JI97">
        <v>0</v>
      </c>
      <c r="JJ97">
        <v>0</v>
      </c>
      <c r="JL97" s="12" t="s">
        <v>721</v>
      </c>
      <c r="JQ97" s="4"/>
      <c r="JW97" s="4"/>
      <c r="JX97" s="4"/>
      <c r="JY97" s="4"/>
      <c r="JZ97" s="4"/>
      <c r="KA97" s="4"/>
      <c r="KB97" s="4"/>
      <c r="KG97" s="7" t="s">
        <v>12</v>
      </c>
      <c r="KK97" s="7" t="s">
        <v>720</v>
      </c>
      <c r="MZ97" t="s">
        <v>11</v>
      </c>
      <c r="NA97">
        <v>42</v>
      </c>
      <c r="NC97" s="4" t="s">
        <v>168</v>
      </c>
      <c r="NK97" t="s">
        <v>167</v>
      </c>
      <c r="NM97" s="4" t="s">
        <v>8</v>
      </c>
      <c r="NN97" s="6" t="s">
        <v>7</v>
      </c>
      <c r="NW97" t="s">
        <v>6</v>
      </c>
      <c r="NX97" s="5" t="s">
        <v>183</v>
      </c>
      <c r="NY97" s="4" t="s">
        <v>4</v>
      </c>
      <c r="NZ97" s="3">
        <v>0.3320407116180899</v>
      </c>
      <c r="OC97">
        <v>4</v>
      </c>
      <c r="OT97" t="s">
        <v>180</v>
      </c>
      <c r="OV97">
        <v>1998</v>
      </c>
      <c r="OY97" s="2" t="s">
        <v>62</v>
      </c>
      <c r="PA97" t="s">
        <v>1169</v>
      </c>
      <c r="PB97" s="58">
        <v>46094</v>
      </c>
    </row>
    <row r="98" spans="1:418" ht="15.75" thickBot="1">
      <c r="A98" s="11" t="s">
        <v>36</v>
      </c>
      <c r="B98" t="s">
        <v>35</v>
      </c>
      <c r="C98" t="s">
        <v>34</v>
      </c>
      <c r="D98" s="4" t="s">
        <v>33</v>
      </c>
      <c r="E98" t="s">
        <v>32</v>
      </c>
      <c r="F98" s="4" t="s">
        <v>31</v>
      </c>
      <c r="G98" t="s">
        <v>2</v>
      </c>
      <c r="H98" t="s">
        <v>30</v>
      </c>
      <c r="I98" s="10">
        <v>0.1</v>
      </c>
      <c r="J98" s="10">
        <v>34.566667000000002</v>
      </c>
      <c r="K98" t="s">
        <v>29</v>
      </c>
      <c r="AV98" t="s">
        <v>28</v>
      </c>
      <c r="AW98">
        <v>100</v>
      </c>
      <c r="AX98" t="s">
        <v>29</v>
      </c>
      <c r="AY98">
        <v>4</v>
      </c>
      <c r="AZ98" t="s">
        <v>27</v>
      </c>
      <c r="BA98">
        <v>1994</v>
      </c>
      <c r="BB98">
        <v>1998</v>
      </c>
      <c r="BC98" t="s">
        <v>26</v>
      </c>
      <c r="BD98" t="s">
        <v>19</v>
      </c>
      <c r="BE98" s="10" t="s">
        <v>40</v>
      </c>
      <c r="BF98" t="s">
        <v>39</v>
      </c>
      <c r="BG98" s="3" t="s">
        <v>1233</v>
      </c>
      <c r="BH98" t="s">
        <v>23</v>
      </c>
      <c r="BI98" t="s">
        <v>750</v>
      </c>
      <c r="BJ98" s="4" t="s">
        <v>22</v>
      </c>
      <c r="BK98" s="9">
        <v>53000</v>
      </c>
      <c r="HR98" t="s">
        <v>21</v>
      </c>
      <c r="HT98" s="4" t="s">
        <v>20</v>
      </c>
      <c r="HU98" s="58">
        <v>34335</v>
      </c>
      <c r="HV98" s="58">
        <v>36160</v>
      </c>
      <c r="HW98" s="58"/>
      <c r="HX98" s="58"/>
      <c r="IP98" t="s">
        <v>38</v>
      </c>
      <c r="IQ98" s="54" t="s">
        <v>19</v>
      </c>
      <c r="IV98" s="4" t="s">
        <v>18</v>
      </c>
      <c r="IW98" t="s">
        <v>38</v>
      </c>
      <c r="IX98" s="54" t="s">
        <v>19</v>
      </c>
      <c r="JB98">
        <v>0</v>
      </c>
      <c r="JC98">
        <v>0</v>
      </c>
      <c r="JD98">
        <v>0</v>
      </c>
      <c r="JE98">
        <v>0</v>
      </c>
      <c r="JF98">
        <v>0</v>
      </c>
      <c r="JG98">
        <v>0</v>
      </c>
      <c r="JH98">
        <v>0</v>
      </c>
      <c r="JI98">
        <v>0</v>
      </c>
      <c r="JJ98">
        <v>0</v>
      </c>
      <c r="JL98" s="12" t="s">
        <v>721</v>
      </c>
      <c r="JQ98" s="4"/>
      <c r="JW98" s="4"/>
      <c r="JX98" s="4"/>
      <c r="JY98" s="4"/>
      <c r="JZ98" s="4"/>
      <c r="KA98" s="4"/>
      <c r="KB98" s="4"/>
      <c r="KG98" s="7" t="s">
        <v>12</v>
      </c>
      <c r="KK98" s="7" t="s">
        <v>720</v>
      </c>
      <c r="MZ98" t="s">
        <v>11</v>
      </c>
      <c r="NA98">
        <v>42</v>
      </c>
      <c r="NC98" s="4" t="s">
        <v>168</v>
      </c>
      <c r="NK98" t="s">
        <v>167</v>
      </c>
      <c r="NM98" s="4" t="s">
        <v>8</v>
      </c>
      <c r="NN98" s="6" t="s">
        <v>7</v>
      </c>
      <c r="NV98" t="s">
        <v>735</v>
      </c>
      <c r="NW98" t="s">
        <v>6</v>
      </c>
      <c r="NX98" s="5" t="s">
        <v>182</v>
      </c>
      <c r="NY98" s="4" t="s">
        <v>4</v>
      </c>
      <c r="NZ98" s="3">
        <v>0.19558758605877991</v>
      </c>
      <c r="OC98">
        <v>4</v>
      </c>
      <c r="OT98" t="s">
        <v>180</v>
      </c>
      <c r="OV98">
        <v>1998</v>
      </c>
      <c r="OY98" s="2" t="s">
        <v>62</v>
      </c>
      <c r="PA98" t="s">
        <v>1169</v>
      </c>
      <c r="PB98" s="58">
        <v>46094</v>
      </c>
    </row>
    <row r="99" spans="1:418" ht="15.75" thickBot="1">
      <c r="A99" s="11" t="s">
        <v>36</v>
      </c>
      <c r="B99" t="s">
        <v>35</v>
      </c>
      <c r="C99" t="s">
        <v>34</v>
      </c>
      <c r="D99" s="4" t="s">
        <v>33</v>
      </c>
      <c r="E99" t="s">
        <v>32</v>
      </c>
      <c r="F99" s="4" t="s">
        <v>31</v>
      </c>
      <c r="G99" t="s">
        <v>2</v>
      </c>
      <c r="H99" t="s">
        <v>30</v>
      </c>
      <c r="I99" s="10">
        <v>0.1</v>
      </c>
      <c r="J99" s="10">
        <v>34.566667000000002</v>
      </c>
      <c r="K99" t="s">
        <v>29</v>
      </c>
      <c r="AV99" t="s">
        <v>28</v>
      </c>
      <c r="AW99">
        <v>100</v>
      </c>
      <c r="AX99" t="s">
        <v>29</v>
      </c>
      <c r="AY99">
        <v>4</v>
      </c>
      <c r="AZ99" t="s">
        <v>27</v>
      </c>
      <c r="BA99">
        <v>1994</v>
      </c>
      <c r="BB99">
        <v>1998</v>
      </c>
      <c r="BC99" t="s">
        <v>26</v>
      </c>
      <c r="BD99" t="s">
        <v>19</v>
      </c>
      <c r="BE99" s="10" t="s">
        <v>25</v>
      </c>
      <c r="BF99" t="s">
        <v>24</v>
      </c>
      <c r="BG99" s="3" t="s">
        <v>1233</v>
      </c>
      <c r="BH99" t="s">
        <v>23</v>
      </c>
      <c r="BI99" t="s">
        <v>750</v>
      </c>
      <c r="BJ99" s="4" t="s">
        <v>22</v>
      </c>
      <c r="BK99" s="9">
        <v>53000</v>
      </c>
      <c r="HR99" t="s">
        <v>21</v>
      </c>
      <c r="HT99" s="4" t="s">
        <v>20</v>
      </c>
      <c r="HU99" s="58">
        <v>34335</v>
      </c>
      <c r="HV99" s="58">
        <v>36160</v>
      </c>
      <c r="HW99" s="58"/>
      <c r="HX99" s="58"/>
      <c r="IP99" t="s">
        <v>16</v>
      </c>
      <c r="IQ99" s="54" t="s">
        <v>19</v>
      </c>
      <c r="IV99" s="4" t="s">
        <v>18</v>
      </c>
      <c r="IW99" t="s">
        <v>17</v>
      </c>
      <c r="IX99" s="54" t="s">
        <v>19</v>
      </c>
      <c r="JB99">
        <v>0</v>
      </c>
      <c r="JC99">
        <v>0</v>
      </c>
      <c r="JD99">
        <v>0</v>
      </c>
      <c r="JE99">
        <v>0</v>
      </c>
      <c r="JF99">
        <v>0</v>
      </c>
      <c r="JG99">
        <v>0</v>
      </c>
      <c r="JH99">
        <v>0</v>
      </c>
      <c r="JI99">
        <v>0</v>
      </c>
      <c r="JJ99">
        <v>0</v>
      </c>
      <c r="JK99" t="s">
        <v>16</v>
      </c>
      <c r="JL99" t="s">
        <v>15</v>
      </c>
      <c r="JM99" s="8" t="s">
        <v>14</v>
      </c>
      <c r="JQ99" s="4" t="s">
        <v>13</v>
      </c>
      <c r="JR99">
        <v>60</v>
      </c>
      <c r="JU99">
        <v>60</v>
      </c>
      <c r="JW99" s="4"/>
      <c r="JX99" s="4"/>
      <c r="JY99" s="4"/>
      <c r="JZ99" s="4"/>
      <c r="KA99" s="4"/>
      <c r="KB99" s="4"/>
      <c r="KG99" s="7" t="s">
        <v>12</v>
      </c>
      <c r="KK99" s="7" t="s">
        <v>720</v>
      </c>
      <c r="MZ99" t="s">
        <v>11</v>
      </c>
      <c r="NA99">
        <v>42</v>
      </c>
      <c r="NC99" s="4" t="s">
        <v>168</v>
      </c>
      <c r="NK99" t="s">
        <v>167</v>
      </c>
      <c r="NM99" s="4" t="s">
        <v>8</v>
      </c>
      <c r="NN99" s="6" t="s">
        <v>7</v>
      </c>
      <c r="NV99" t="s">
        <v>747</v>
      </c>
      <c r="NW99" t="s">
        <v>6</v>
      </c>
      <c r="NX99" s="5" t="s">
        <v>181</v>
      </c>
      <c r="NY99" s="4" t="s">
        <v>4</v>
      </c>
      <c r="NZ99" s="3">
        <v>9.7793793029389953E-2</v>
      </c>
      <c r="OC99">
        <v>4</v>
      </c>
      <c r="OT99" t="s">
        <v>180</v>
      </c>
      <c r="OV99">
        <v>1998</v>
      </c>
      <c r="OY99" s="2" t="s">
        <v>62</v>
      </c>
      <c r="PA99" t="s">
        <v>1169</v>
      </c>
      <c r="PB99" s="58">
        <v>46094</v>
      </c>
    </row>
    <row r="100" spans="1:418" ht="15.75" thickBot="1">
      <c r="A100" s="11" t="s">
        <v>36</v>
      </c>
      <c r="B100" t="s">
        <v>35</v>
      </c>
      <c r="C100" t="s">
        <v>34</v>
      </c>
      <c r="D100" s="4" t="s">
        <v>33</v>
      </c>
      <c r="E100" t="s">
        <v>32</v>
      </c>
      <c r="F100" s="4" t="s">
        <v>31</v>
      </c>
      <c r="G100" t="s">
        <v>2</v>
      </c>
      <c r="H100" t="s">
        <v>30</v>
      </c>
      <c r="I100" s="10">
        <v>0.1</v>
      </c>
      <c r="J100" s="10">
        <v>34.566667000000002</v>
      </c>
      <c r="K100" t="s">
        <v>29</v>
      </c>
      <c r="AV100" t="s">
        <v>28</v>
      </c>
      <c r="AW100">
        <v>100</v>
      </c>
      <c r="AX100" t="s">
        <v>29</v>
      </c>
      <c r="AY100">
        <v>4</v>
      </c>
      <c r="AZ100" t="s">
        <v>27</v>
      </c>
      <c r="BA100">
        <v>1994</v>
      </c>
      <c r="BB100">
        <v>1998</v>
      </c>
      <c r="BC100" t="s">
        <v>26</v>
      </c>
      <c r="BD100" t="s">
        <v>59</v>
      </c>
      <c r="BE100" s="10" t="s">
        <v>65</v>
      </c>
      <c r="BF100" t="s">
        <v>64</v>
      </c>
      <c r="BG100" s="3" t="s">
        <v>1233</v>
      </c>
      <c r="BH100" t="s">
        <v>23</v>
      </c>
      <c r="BI100" t="s">
        <v>750</v>
      </c>
      <c r="BJ100" s="4" t="s">
        <v>22</v>
      </c>
      <c r="BK100" s="9">
        <v>53000</v>
      </c>
      <c r="EE100" t="s">
        <v>55</v>
      </c>
      <c r="EF100" s="4" t="s">
        <v>22</v>
      </c>
      <c r="EG100" s="9">
        <v>53000</v>
      </c>
      <c r="EH100" s="9"/>
      <c r="EI100" s="9"/>
      <c r="EJ100" s="9"/>
      <c r="EK100" s="9"/>
      <c r="EL100" s="9"/>
      <c r="EM100" s="9"/>
      <c r="EN100" s="9"/>
      <c r="EO100" s="9"/>
      <c r="EP100" s="9"/>
      <c r="EQ100" s="9"/>
      <c r="ER100" s="9"/>
      <c r="ES100" s="9"/>
      <c r="ET100" s="9"/>
      <c r="EU100" s="9"/>
      <c r="EV100" s="9"/>
      <c r="EW100" s="9"/>
      <c r="EX100" s="9"/>
      <c r="EY100" s="9"/>
      <c r="EZ100" s="9"/>
      <c r="FA100" s="9"/>
      <c r="FB100" s="9"/>
      <c r="FC100" s="9"/>
      <c r="FD100" s="9"/>
      <c r="FE100" s="9"/>
      <c r="FF100" s="9"/>
      <c r="FG100" s="9"/>
      <c r="FH100" s="9"/>
      <c r="FI100" s="9"/>
      <c r="FJ100" s="9"/>
      <c r="FK100" s="9"/>
      <c r="FL100" s="9"/>
      <c r="FM100" s="9"/>
      <c r="FN100" s="9"/>
      <c r="FO100" s="9"/>
      <c r="FP100" s="9"/>
      <c r="FQ100" s="9"/>
      <c r="FR100" s="9"/>
      <c r="FS100" s="9"/>
      <c r="FT100" s="9"/>
      <c r="FU100" s="9"/>
      <c r="FV100" s="9"/>
      <c r="FW100" s="9"/>
      <c r="FX100" s="9"/>
      <c r="FY100" s="9"/>
      <c r="FZ100" s="9"/>
      <c r="GA100" s="9"/>
      <c r="GB100" s="9"/>
      <c r="GC100" s="9"/>
      <c r="GD100" s="9"/>
      <c r="GE100" s="9"/>
      <c r="GF100" s="9"/>
      <c r="GG100" s="9"/>
      <c r="GH100" s="9"/>
      <c r="GI100" s="9"/>
      <c r="GJ100" s="9"/>
      <c r="GK100" s="9"/>
      <c r="GL100" s="9"/>
      <c r="GM100" s="9"/>
      <c r="GN100" s="9"/>
      <c r="GO100" s="9"/>
      <c r="GP100" s="9"/>
      <c r="GQ100" s="9"/>
      <c r="GR100" s="9"/>
      <c r="GS100" s="9"/>
      <c r="GT100" s="9"/>
      <c r="GU100" s="9"/>
      <c r="GV100" s="9"/>
      <c r="GW100" s="9"/>
      <c r="GX100" s="9"/>
      <c r="GY100" s="9"/>
      <c r="GZ100" s="9"/>
      <c r="HA100" s="9"/>
      <c r="HB100" s="9"/>
      <c r="HC100" s="9"/>
      <c r="HD100" s="9"/>
      <c r="HE100" s="9"/>
      <c r="HF100" s="9"/>
      <c r="HG100" s="9"/>
      <c r="HH100" s="9"/>
      <c r="HI100" s="9"/>
      <c r="HJ100" s="9"/>
      <c r="HK100" s="9"/>
      <c r="HR100" t="s">
        <v>21</v>
      </c>
      <c r="HT100" s="4" t="s">
        <v>20</v>
      </c>
      <c r="HU100" s="58">
        <v>34335</v>
      </c>
      <c r="HV100" s="58">
        <v>36160</v>
      </c>
      <c r="HW100" s="58"/>
      <c r="HX100" s="58"/>
      <c r="IO100" s="4"/>
      <c r="IP100" t="s">
        <v>63</v>
      </c>
      <c r="IQ100" s="12" t="s">
        <v>1718</v>
      </c>
      <c r="IT100">
        <v>1995</v>
      </c>
      <c r="IU100">
        <v>1995.2</v>
      </c>
      <c r="IV100" s="4" t="s">
        <v>18</v>
      </c>
      <c r="IW100" t="s">
        <v>61</v>
      </c>
      <c r="IX100" s="12" t="s">
        <v>52</v>
      </c>
      <c r="JA100">
        <v>0.5</v>
      </c>
      <c r="JB100" t="s">
        <v>29</v>
      </c>
      <c r="JC100" t="s">
        <v>29</v>
      </c>
      <c r="JD100" t="s">
        <v>29</v>
      </c>
      <c r="JE100" t="s">
        <v>29</v>
      </c>
      <c r="JF100" t="s">
        <v>29</v>
      </c>
      <c r="JG100" t="s">
        <v>29</v>
      </c>
      <c r="JH100" t="s">
        <v>29</v>
      </c>
      <c r="JI100" t="s">
        <v>29</v>
      </c>
      <c r="JJ100" t="s">
        <v>29</v>
      </c>
      <c r="JL100" s="12" t="s">
        <v>721</v>
      </c>
      <c r="JQ100" s="4"/>
      <c r="JW100" s="4"/>
      <c r="JX100" s="4"/>
      <c r="JY100" s="4"/>
      <c r="JZ100" s="4"/>
      <c r="KA100" s="4"/>
      <c r="KB100" s="4"/>
      <c r="KG100" s="7" t="s">
        <v>12</v>
      </c>
      <c r="KK100" s="53" t="s">
        <v>719</v>
      </c>
      <c r="KL100" s="8" t="s">
        <v>51</v>
      </c>
      <c r="KN100" t="s">
        <v>29</v>
      </c>
      <c r="MZ100" t="s">
        <v>11</v>
      </c>
      <c r="NA100">
        <v>42</v>
      </c>
      <c r="NC100" s="4" t="s">
        <v>168</v>
      </c>
      <c r="NK100" t="s">
        <v>167</v>
      </c>
      <c r="NM100" s="4" t="s">
        <v>8</v>
      </c>
      <c r="NN100" s="6" t="s">
        <v>7</v>
      </c>
      <c r="NW100" t="s">
        <v>6</v>
      </c>
      <c r="NX100" s="5" t="s">
        <v>179</v>
      </c>
      <c r="NY100" s="4" t="s">
        <v>4</v>
      </c>
      <c r="NZ100" s="3">
        <v>0.4952380952380997</v>
      </c>
      <c r="OC100">
        <v>4</v>
      </c>
      <c r="OT100" t="s">
        <v>174</v>
      </c>
      <c r="OV100">
        <v>1996</v>
      </c>
      <c r="OY100" s="2" t="s">
        <v>1</v>
      </c>
      <c r="PA100" t="s">
        <v>1169</v>
      </c>
      <c r="PB100" s="58">
        <v>46094</v>
      </c>
    </row>
    <row r="101" spans="1:418" ht="15.75" thickBot="1">
      <c r="A101" s="11" t="s">
        <v>36</v>
      </c>
      <c r="B101" t="s">
        <v>35</v>
      </c>
      <c r="C101" t="s">
        <v>34</v>
      </c>
      <c r="D101" s="4" t="s">
        <v>33</v>
      </c>
      <c r="E101" t="s">
        <v>32</v>
      </c>
      <c r="F101" s="4" t="s">
        <v>31</v>
      </c>
      <c r="G101" t="s">
        <v>2</v>
      </c>
      <c r="H101" t="s">
        <v>30</v>
      </c>
      <c r="I101" s="10">
        <v>0.1</v>
      </c>
      <c r="J101" s="10">
        <v>34.566667000000002</v>
      </c>
      <c r="K101" t="s">
        <v>29</v>
      </c>
      <c r="AV101" t="s">
        <v>28</v>
      </c>
      <c r="AW101">
        <v>100</v>
      </c>
      <c r="AX101" t="s">
        <v>29</v>
      </c>
      <c r="AY101">
        <v>4</v>
      </c>
      <c r="AZ101" t="s">
        <v>27</v>
      </c>
      <c r="BA101">
        <v>1994</v>
      </c>
      <c r="BB101">
        <v>1998</v>
      </c>
      <c r="BC101" t="s">
        <v>26</v>
      </c>
      <c r="BD101" t="s">
        <v>59</v>
      </c>
      <c r="BE101" s="10" t="s">
        <v>58</v>
      </c>
      <c r="BF101" t="s">
        <v>57</v>
      </c>
      <c r="BG101" s="3" t="s">
        <v>1233</v>
      </c>
      <c r="BH101" t="s">
        <v>23</v>
      </c>
      <c r="BI101" t="s">
        <v>750</v>
      </c>
      <c r="BJ101" s="4" t="s">
        <v>22</v>
      </c>
      <c r="BK101" s="9">
        <v>53000</v>
      </c>
      <c r="EE101" t="s">
        <v>55</v>
      </c>
      <c r="EF101" s="4" t="s">
        <v>22</v>
      </c>
      <c r="EG101" s="9">
        <v>53000</v>
      </c>
      <c r="EH101" s="9"/>
      <c r="EI101" s="9"/>
      <c r="EJ101" s="9"/>
      <c r="EK101" s="9"/>
      <c r="EL101" s="9"/>
      <c r="EM101" s="9"/>
      <c r="EN101" s="9"/>
      <c r="EO101" s="9"/>
      <c r="EP101" s="9"/>
      <c r="EQ101" s="9"/>
      <c r="ER101" s="9"/>
      <c r="ES101" s="9"/>
      <c r="ET101" s="9"/>
      <c r="EU101" s="9"/>
      <c r="EV101" s="9"/>
      <c r="EW101" s="9"/>
      <c r="EX101" s="9"/>
      <c r="EY101" s="9"/>
      <c r="EZ101" s="9"/>
      <c r="FA101" s="9"/>
      <c r="FB101" s="9"/>
      <c r="FC101" s="9"/>
      <c r="FD101" s="9"/>
      <c r="FE101" s="9"/>
      <c r="FF101" s="9"/>
      <c r="FG101" s="9"/>
      <c r="FH101" s="9"/>
      <c r="FI101" s="9"/>
      <c r="FJ101" s="9"/>
      <c r="FK101" s="9"/>
      <c r="FL101" s="9"/>
      <c r="FM101" s="9"/>
      <c r="FN101" s="9"/>
      <c r="FO101" s="9"/>
      <c r="FP101" s="9"/>
      <c r="FQ101" s="9"/>
      <c r="FR101" s="9"/>
      <c r="FS101" s="9"/>
      <c r="FT101" s="9"/>
      <c r="FU101" s="9"/>
      <c r="FV101" s="9"/>
      <c r="FW101" s="9"/>
      <c r="FX101" s="9"/>
      <c r="FY101" s="9"/>
      <c r="FZ101" s="9"/>
      <c r="GA101" s="9"/>
      <c r="GB101" s="9"/>
      <c r="GC101" s="9"/>
      <c r="GD101" s="9"/>
      <c r="GE101" s="9"/>
      <c r="GF101" s="9"/>
      <c r="GG101" s="9"/>
      <c r="GH101" s="9"/>
      <c r="GI101" s="9"/>
      <c r="GJ101" s="9"/>
      <c r="GK101" s="9"/>
      <c r="GL101" s="9"/>
      <c r="GM101" s="9"/>
      <c r="GN101" s="9"/>
      <c r="GO101" s="9"/>
      <c r="GP101" s="9"/>
      <c r="GQ101" s="9"/>
      <c r="GR101" s="9"/>
      <c r="GS101" s="9"/>
      <c r="GT101" s="9"/>
      <c r="GU101" s="9"/>
      <c r="GV101" s="9"/>
      <c r="GW101" s="9"/>
      <c r="GX101" s="9"/>
      <c r="GY101" s="9"/>
      <c r="GZ101" s="9"/>
      <c r="HA101" s="9"/>
      <c r="HB101" s="9"/>
      <c r="HC101" s="9"/>
      <c r="HD101" s="9"/>
      <c r="HE101" s="9"/>
      <c r="HF101" s="9"/>
      <c r="HG101" s="9"/>
      <c r="HH101" s="9"/>
      <c r="HI101" s="9"/>
      <c r="HJ101" s="9"/>
      <c r="HK101" s="9"/>
      <c r="HR101" t="s">
        <v>21</v>
      </c>
      <c r="HT101" s="4" t="s">
        <v>20</v>
      </c>
      <c r="HU101" s="58">
        <v>34335</v>
      </c>
      <c r="HV101" s="58">
        <v>36160</v>
      </c>
      <c r="HW101" s="58"/>
      <c r="HX101" s="58"/>
      <c r="IO101" s="4"/>
      <c r="IP101" t="s">
        <v>54</v>
      </c>
      <c r="IQ101" s="12" t="s">
        <v>1719</v>
      </c>
      <c r="IT101">
        <v>1994</v>
      </c>
      <c r="IU101">
        <v>1994.2</v>
      </c>
      <c r="IV101" s="4" t="s">
        <v>18</v>
      </c>
      <c r="IW101" t="s">
        <v>53</v>
      </c>
      <c r="IX101" s="12" t="s">
        <v>52</v>
      </c>
      <c r="JA101">
        <v>0.5</v>
      </c>
      <c r="JB101" t="s">
        <v>29</v>
      </c>
      <c r="JC101" t="s">
        <v>29</v>
      </c>
      <c r="JD101" t="s">
        <v>29</v>
      </c>
      <c r="JE101" t="s">
        <v>29</v>
      </c>
      <c r="JF101" t="s">
        <v>29</v>
      </c>
      <c r="JG101" t="s">
        <v>29</v>
      </c>
      <c r="JH101" t="s">
        <v>29</v>
      </c>
      <c r="JI101" t="s">
        <v>29</v>
      </c>
      <c r="JJ101" t="s">
        <v>29</v>
      </c>
      <c r="JL101" s="12" t="s">
        <v>721</v>
      </c>
      <c r="JQ101" s="4"/>
      <c r="JW101" s="4"/>
      <c r="JX101" s="4"/>
      <c r="JY101" s="4"/>
      <c r="JZ101" s="4"/>
      <c r="KA101" s="4"/>
      <c r="KB101" s="4"/>
      <c r="KG101" s="7" t="s">
        <v>12</v>
      </c>
      <c r="KK101" s="53" t="s">
        <v>719</v>
      </c>
      <c r="KL101" s="8" t="s">
        <v>51</v>
      </c>
      <c r="KN101" t="s">
        <v>29</v>
      </c>
      <c r="MZ101" t="s">
        <v>11</v>
      </c>
      <c r="NA101">
        <v>42</v>
      </c>
      <c r="NC101" s="4" t="s">
        <v>168</v>
      </c>
      <c r="NK101" t="s">
        <v>167</v>
      </c>
      <c r="NM101" s="4" t="s">
        <v>8</v>
      </c>
      <c r="NN101" s="6" t="s">
        <v>7</v>
      </c>
      <c r="NW101" t="s">
        <v>6</v>
      </c>
      <c r="NX101" s="5" t="s">
        <v>178</v>
      </c>
      <c r="NY101" s="4" t="s">
        <v>4</v>
      </c>
      <c r="NZ101" s="3">
        <v>0.19047619047619002</v>
      </c>
      <c r="OC101">
        <v>4</v>
      </c>
      <c r="OT101" t="s">
        <v>174</v>
      </c>
      <c r="OV101">
        <v>1996</v>
      </c>
      <c r="OY101" s="2" t="s">
        <v>1</v>
      </c>
      <c r="PA101" t="s">
        <v>1169</v>
      </c>
      <c r="PB101" s="58">
        <v>46094</v>
      </c>
    </row>
    <row r="102" spans="1:418" ht="15.75" thickBot="1">
      <c r="A102" s="11" t="s">
        <v>36</v>
      </c>
      <c r="B102" t="s">
        <v>35</v>
      </c>
      <c r="C102" t="s">
        <v>34</v>
      </c>
      <c r="D102" s="4" t="s">
        <v>33</v>
      </c>
      <c r="E102" t="s">
        <v>32</v>
      </c>
      <c r="F102" s="4" t="s">
        <v>31</v>
      </c>
      <c r="G102" t="s">
        <v>2</v>
      </c>
      <c r="H102" t="s">
        <v>30</v>
      </c>
      <c r="I102" s="10">
        <v>0.1</v>
      </c>
      <c r="J102" s="10">
        <v>34.566667000000002</v>
      </c>
      <c r="K102" t="s">
        <v>29</v>
      </c>
      <c r="AV102" t="s">
        <v>28</v>
      </c>
      <c r="AW102">
        <v>100</v>
      </c>
      <c r="AX102" t="s">
        <v>29</v>
      </c>
      <c r="AY102">
        <v>4</v>
      </c>
      <c r="AZ102" t="s">
        <v>27</v>
      </c>
      <c r="BA102">
        <v>1994</v>
      </c>
      <c r="BB102">
        <v>1998</v>
      </c>
      <c r="BC102" t="s">
        <v>26</v>
      </c>
      <c r="BD102" t="s">
        <v>45</v>
      </c>
      <c r="BE102" s="10" t="s">
        <v>49</v>
      </c>
      <c r="BF102" t="s">
        <v>48</v>
      </c>
      <c r="BG102" s="3" t="s">
        <v>1233</v>
      </c>
      <c r="BH102" t="s">
        <v>23</v>
      </c>
      <c r="BI102" t="s">
        <v>750</v>
      </c>
      <c r="BJ102" s="4" t="s">
        <v>22</v>
      </c>
      <c r="BK102" s="9">
        <v>53000</v>
      </c>
      <c r="EF102" s="4"/>
      <c r="EG102" s="9"/>
      <c r="EH102" s="9"/>
      <c r="EI102" s="9"/>
      <c r="EJ102" s="9"/>
      <c r="EK102" s="9"/>
      <c r="EL102" s="9"/>
      <c r="EM102" s="9"/>
      <c r="EN102" s="9"/>
      <c r="EO102" s="9"/>
      <c r="EP102" s="9"/>
      <c r="EQ102" s="9"/>
      <c r="ER102" s="9"/>
      <c r="ES102" s="9"/>
      <c r="ET102" s="9"/>
      <c r="EU102" s="9"/>
      <c r="EV102" s="9"/>
      <c r="EW102" s="9"/>
      <c r="EX102" s="9"/>
      <c r="EY102" s="9"/>
      <c r="EZ102" s="9"/>
      <c r="FA102" s="9"/>
      <c r="FB102" s="9"/>
      <c r="FC102" s="9"/>
      <c r="FD102" s="9"/>
      <c r="FE102" s="9"/>
      <c r="FF102" s="9"/>
      <c r="FG102" s="9"/>
      <c r="FH102" s="9"/>
      <c r="FI102" s="9"/>
      <c r="FJ102" s="9"/>
      <c r="FK102" s="9"/>
      <c r="FL102" s="9"/>
      <c r="FM102" s="9"/>
      <c r="FN102" s="9"/>
      <c r="FO102" s="9"/>
      <c r="FP102" s="9"/>
      <c r="FQ102" s="9"/>
      <c r="FR102" s="9"/>
      <c r="FS102" s="9"/>
      <c r="FT102" s="9"/>
      <c r="FU102" s="9"/>
      <c r="FV102" s="9"/>
      <c r="FW102" s="9"/>
      <c r="FX102" s="9"/>
      <c r="FY102" s="9"/>
      <c r="FZ102" s="9"/>
      <c r="GA102" s="9"/>
      <c r="GB102" s="9"/>
      <c r="GC102" s="9"/>
      <c r="GD102" s="9"/>
      <c r="GE102" s="9"/>
      <c r="GF102" s="9"/>
      <c r="GG102" s="9"/>
      <c r="GH102" s="9"/>
      <c r="GI102" s="9"/>
      <c r="GJ102" s="9"/>
      <c r="GK102" s="9"/>
      <c r="GL102" s="9"/>
      <c r="GM102" s="9"/>
      <c r="GN102" s="9"/>
      <c r="GO102" s="9"/>
      <c r="GP102" s="9"/>
      <c r="GQ102" s="9"/>
      <c r="GR102" s="9"/>
      <c r="GS102" s="9"/>
      <c r="GT102" s="9"/>
      <c r="GU102" s="9"/>
      <c r="GV102" s="9"/>
      <c r="GW102" s="9"/>
      <c r="GX102" s="9"/>
      <c r="GY102" s="9"/>
      <c r="GZ102" s="9"/>
      <c r="HA102" s="9"/>
      <c r="HB102" s="9"/>
      <c r="HC102" s="9"/>
      <c r="HD102" s="9"/>
      <c r="HE102" s="9"/>
      <c r="HF102" s="9"/>
      <c r="HG102" s="9"/>
      <c r="HH102" s="9"/>
      <c r="HI102" s="9"/>
      <c r="HJ102" s="9"/>
      <c r="HK102" s="9"/>
      <c r="HR102" t="s">
        <v>21</v>
      </c>
      <c r="HT102" s="4" t="s">
        <v>20</v>
      </c>
      <c r="HU102" s="58">
        <v>34335</v>
      </c>
      <c r="HV102" s="58">
        <v>36160</v>
      </c>
      <c r="HW102" s="58"/>
      <c r="HX102" s="58"/>
      <c r="IP102" t="s">
        <v>47</v>
      </c>
      <c r="IQ102" s="54" t="s">
        <v>1226</v>
      </c>
      <c r="IT102">
        <v>1995</v>
      </c>
      <c r="IU102">
        <v>1995.2</v>
      </c>
      <c r="IV102" s="4" t="s">
        <v>18</v>
      </c>
      <c r="IW102" t="s">
        <v>38</v>
      </c>
      <c r="IX102" t="s">
        <v>19</v>
      </c>
      <c r="JB102">
        <v>0</v>
      </c>
      <c r="JC102">
        <v>0</v>
      </c>
      <c r="JD102">
        <v>0</v>
      </c>
      <c r="JE102">
        <v>0</v>
      </c>
      <c r="JF102">
        <v>0</v>
      </c>
      <c r="JG102">
        <v>0</v>
      </c>
      <c r="JH102">
        <v>0</v>
      </c>
      <c r="JI102">
        <v>0</v>
      </c>
      <c r="JJ102">
        <v>0</v>
      </c>
      <c r="JL102" s="12" t="s">
        <v>721</v>
      </c>
      <c r="JQ102" s="4"/>
      <c r="JW102" s="4"/>
      <c r="JX102" s="4"/>
      <c r="JY102" s="4"/>
      <c r="JZ102" s="4"/>
      <c r="KA102" s="4"/>
      <c r="KB102" s="4"/>
      <c r="KG102" s="7" t="s">
        <v>12</v>
      </c>
      <c r="KK102" s="7" t="s">
        <v>720</v>
      </c>
      <c r="MZ102" t="s">
        <v>11</v>
      </c>
      <c r="NA102">
        <v>42</v>
      </c>
      <c r="NC102" s="4" t="s">
        <v>168</v>
      </c>
      <c r="NK102" t="s">
        <v>167</v>
      </c>
      <c r="NM102" s="4" t="s">
        <v>8</v>
      </c>
      <c r="NN102" s="6" t="s">
        <v>7</v>
      </c>
      <c r="NW102" t="s">
        <v>6</v>
      </c>
      <c r="NX102" s="5" t="s">
        <v>177</v>
      </c>
      <c r="NY102" s="4" t="s">
        <v>4</v>
      </c>
      <c r="NZ102" s="3">
        <v>0.20952380952380989</v>
      </c>
      <c r="OC102">
        <v>4</v>
      </c>
      <c r="OT102" t="s">
        <v>174</v>
      </c>
      <c r="OV102">
        <v>1996</v>
      </c>
      <c r="OY102" s="2" t="s">
        <v>1</v>
      </c>
      <c r="PA102" t="s">
        <v>1169</v>
      </c>
      <c r="PB102" s="58">
        <v>46094</v>
      </c>
    </row>
    <row r="103" spans="1:418" ht="15.75" thickBot="1">
      <c r="A103" s="11" t="s">
        <v>36</v>
      </c>
      <c r="B103" t="s">
        <v>35</v>
      </c>
      <c r="C103" t="s">
        <v>34</v>
      </c>
      <c r="D103" s="4" t="s">
        <v>33</v>
      </c>
      <c r="E103" t="s">
        <v>32</v>
      </c>
      <c r="F103" s="4" t="s">
        <v>31</v>
      </c>
      <c r="G103" t="s">
        <v>2</v>
      </c>
      <c r="H103" t="s">
        <v>30</v>
      </c>
      <c r="I103" s="10">
        <v>0.1</v>
      </c>
      <c r="J103" s="10">
        <v>34.566667000000002</v>
      </c>
      <c r="K103" t="s">
        <v>29</v>
      </c>
      <c r="AV103" t="s">
        <v>28</v>
      </c>
      <c r="AW103">
        <v>100</v>
      </c>
      <c r="AX103" t="s">
        <v>29</v>
      </c>
      <c r="AY103">
        <v>4</v>
      </c>
      <c r="AZ103" t="s">
        <v>27</v>
      </c>
      <c r="BA103">
        <v>1994</v>
      </c>
      <c r="BB103">
        <v>1998</v>
      </c>
      <c r="BC103" t="s">
        <v>26</v>
      </c>
      <c r="BD103" t="s">
        <v>45</v>
      </c>
      <c r="BE103" s="10" t="s">
        <v>44</v>
      </c>
      <c r="BF103" t="s">
        <v>43</v>
      </c>
      <c r="BG103" s="3" t="s">
        <v>1233</v>
      </c>
      <c r="BH103" t="s">
        <v>23</v>
      </c>
      <c r="BI103" t="s">
        <v>750</v>
      </c>
      <c r="BJ103" s="4" t="s">
        <v>22</v>
      </c>
      <c r="BK103" s="9">
        <v>53000</v>
      </c>
      <c r="EF103" s="4"/>
      <c r="EG103" s="9"/>
      <c r="EH103" s="9"/>
      <c r="EI103" s="9"/>
      <c r="EJ103" s="9"/>
      <c r="EK103" s="9"/>
      <c r="EL103" s="9"/>
      <c r="EM103" s="9"/>
      <c r="EN103" s="9"/>
      <c r="EO103" s="9"/>
      <c r="EP103" s="9"/>
      <c r="EQ103" s="9"/>
      <c r="ER103" s="9"/>
      <c r="ES103" s="9"/>
      <c r="ET103" s="9"/>
      <c r="EU103" s="9"/>
      <c r="EV103" s="9"/>
      <c r="EW103" s="9"/>
      <c r="EX103" s="9"/>
      <c r="EY103" s="9"/>
      <c r="EZ103" s="9"/>
      <c r="FA103" s="9"/>
      <c r="FB103" s="9"/>
      <c r="FC103" s="9"/>
      <c r="FD103" s="9"/>
      <c r="FE103" s="9"/>
      <c r="FF103" s="9"/>
      <c r="FG103" s="9"/>
      <c r="FH103" s="9"/>
      <c r="FI103" s="9"/>
      <c r="FJ103" s="9"/>
      <c r="FK103" s="9"/>
      <c r="FL103" s="9"/>
      <c r="FM103" s="9"/>
      <c r="FN103" s="9"/>
      <c r="FO103" s="9"/>
      <c r="FP103" s="9"/>
      <c r="FQ103" s="9"/>
      <c r="FR103" s="9"/>
      <c r="FS103" s="9"/>
      <c r="FT103" s="9"/>
      <c r="FU103" s="9"/>
      <c r="FV103" s="9"/>
      <c r="FW103" s="9"/>
      <c r="FX103" s="9"/>
      <c r="FY103" s="9"/>
      <c r="FZ103" s="9"/>
      <c r="GA103" s="9"/>
      <c r="GB103" s="9"/>
      <c r="GC103" s="9"/>
      <c r="GD103" s="9"/>
      <c r="GE103" s="9"/>
      <c r="GF103" s="9"/>
      <c r="GG103" s="9"/>
      <c r="GH103" s="9"/>
      <c r="GI103" s="9"/>
      <c r="GJ103" s="9"/>
      <c r="GK103" s="9"/>
      <c r="GL103" s="9"/>
      <c r="GM103" s="9"/>
      <c r="GN103" s="9"/>
      <c r="GO103" s="9"/>
      <c r="GP103" s="9"/>
      <c r="GQ103" s="9"/>
      <c r="GR103" s="9"/>
      <c r="GS103" s="9"/>
      <c r="GT103" s="9"/>
      <c r="GU103" s="9"/>
      <c r="GV103" s="9"/>
      <c r="GW103" s="9"/>
      <c r="GX103" s="9"/>
      <c r="GY103" s="9"/>
      <c r="GZ103" s="9"/>
      <c r="HA103" s="9"/>
      <c r="HB103" s="9"/>
      <c r="HC103" s="9"/>
      <c r="HD103" s="9"/>
      <c r="HE103" s="9"/>
      <c r="HF103" s="9"/>
      <c r="HG103" s="9"/>
      <c r="HH103" s="9"/>
      <c r="HI103" s="9"/>
      <c r="HJ103" s="9"/>
      <c r="HK103" s="9"/>
      <c r="HR103" t="s">
        <v>21</v>
      </c>
      <c r="HT103" s="4" t="s">
        <v>20</v>
      </c>
      <c r="HU103" s="58">
        <v>34335</v>
      </c>
      <c r="HV103" s="58">
        <v>36160</v>
      </c>
      <c r="HW103" s="58"/>
      <c r="HX103" s="58"/>
      <c r="IP103" t="s">
        <v>42</v>
      </c>
      <c r="IQ103" s="13" t="s">
        <v>1227</v>
      </c>
      <c r="IT103">
        <v>1994</v>
      </c>
      <c r="IU103">
        <v>1994.2</v>
      </c>
      <c r="IV103" s="4" t="s">
        <v>18</v>
      </c>
      <c r="IW103" t="s">
        <v>38</v>
      </c>
      <c r="IX103" t="s">
        <v>19</v>
      </c>
      <c r="JB103">
        <v>0</v>
      </c>
      <c r="JC103">
        <v>0</v>
      </c>
      <c r="JD103">
        <v>0</v>
      </c>
      <c r="JE103">
        <v>0</v>
      </c>
      <c r="JF103">
        <v>0</v>
      </c>
      <c r="JG103">
        <v>0</v>
      </c>
      <c r="JH103">
        <v>0</v>
      </c>
      <c r="JI103">
        <v>0</v>
      </c>
      <c r="JJ103">
        <v>0</v>
      </c>
      <c r="JL103" s="12" t="s">
        <v>721</v>
      </c>
      <c r="JQ103" s="4"/>
      <c r="JW103" s="4"/>
      <c r="JX103" s="4"/>
      <c r="JY103" s="4"/>
      <c r="JZ103" s="4"/>
      <c r="KA103" s="4"/>
      <c r="KB103" s="4"/>
      <c r="KG103" s="7" t="s">
        <v>12</v>
      </c>
      <c r="KK103" s="7" t="s">
        <v>720</v>
      </c>
      <c r="MZ103" t="s">
        <v>11</v>
      </c>
      <c r="NA103">
        <v>42</v>
      </c>
      <c r="NC103" s="4" t="s">
        <v>168</v>
      </c>
      <c r="NK103" t="s">
        <v>167</v>
      </c>
      <c r="NM103" s="4" t="s">
        <v>8</v>
      </c>
      <c r="NN103" s="6" t="s">
        <v>7</v>
      </c>
      <c r="NW103" t="s">
        <v>6</v>
      </c>
      <c r="NX103" s="5" t="s">
        <v>175</v>
      </c>
      <c r="NY103" s="4" t="s">
        <v>4</v>
      </c>
      <c r="NZ103" s="3">
        <v>0.19047619047620001</v>
      </c>
      <c r="OC103">
        <v>4</v>
      </c>
      <c r="OT103" t="s">
        <v>174</v>
      </c>
      <c r="OV103">
        <v>1996</v>
      </c>
      <c r="OY103" s="2" t="s">
        <v>1</v>
      </c>
      <c r="PA103" t="s">
        <v>1169</v>
      </c>
      <c r="PB103" s="58">
        <v>46094</v>
      </c>
    </row>
    <row r="104" spans="1:418" ht="15.75" thickBot="1">
      <c r="A104" s="11" t="s">
        <v>36</v>
      </c>
      <c r="B104" t="s">
        <v>35</v>
      </c>
      <c r="C104" t="s">
        <v>34</v>
      </c>
      <c r="D104" s="4" t="s">
        <v>33</v>
      </c>
      <c r="E104" t="s">
        <v>32</v>
      </c>
      <c r="F104" s="4" t="s">
        <v>31</v>
      </c>
      <c r="G104" t="s">
        <v>2</v>
      </c>
      <c r="H104" t="s">
        <v>30</v>
      </c>
      <c r="I104" s="10">
        <v>0.1</v>
      </c>
      <c r="J104" s="10">
        <v>34.566667000000002</v>
      </c>
      <c r="K104" t="s">
        <v>29</v>
      </c>
      <c r="AV104" t="s">
        <v>28</v>
      </c>
      <c r="AW104">
        <v>100</v>
      </c>
      <c r="AX104" t="s">
        <v>29</v>
      </c>
      <c r="AY104">
        <v>4</v>
      </c>
      <c r="AZ104" t="s">
        <v>27</v>
      </c>
      <c r="BA104">
        <v>1994</v>
      </c>
      <c r="BB104">
        <v>1998</v>
      </c>
      <c r="BC104" t="s">
        <v>26</v>
      </c>
      <c r="BD104" t="s">
        <v>19</v>
      </c>
      <c r="BE104" s="10" t="s">
        <v>40</v>
      </c>
      <c r="BF104" t="s">
        <v>39</v>
      </c>
      <c r="BG104" s="3" t="s">
        <v>1233</v>
      </c>
      <c r="BH104" t="s">
        <v>23</v>
      </c>
      <c r="BI104" t="s">
        <v>750</v>
      </c>
      <c r="BJ104" s="4" t="s">
        <v>22</v>
      </c>
      <c r="BK104" s="9">
        <v>53000</v>
      </c>
      <c r="HR104" t="s">
        <v>21</v>
      </c>
      <c r="HT104" s="4" t="s">
        <v>20</v>
      </c>
      <c r="HU104" s="58">
        <v>34335</v>
      </c>
      <c r="HV104" s="58">
        <v>36160</v>
      </c>
      <c r="HW104" s="58"/>
      <c r="HX104" s="58"/>
      <c r="IP104" t="s">
        <v>38</v>
      </c>
      <c r="IQ104" s="54" t="s">
        <v>19</v>
      </c>
      <c r="IV104" s="4" t="s">
        <v>18</v>
      </c>
      <c r="IW104" t="s">
        <v>38</v>
      </c>
      <c r="IX104" s="54" t="s">
        <v>19</v>
      </c>
      <c r="JB104">
        <v>0</v>
      </c>
      <c r="JC104">
        <v>0</v>
      </c>
      <c r="JD104">
        <v>0</v>
      </c>
      <c r="JE104">
        <v>0</v>
      </c>
      <c r="JF104">
        <v>0</v>
      </c>
      <c r="JG104">
        <v>0</v>
      </c>
      <c r="JH104">
        <v>0</v>
      </c>
      <c r="JI104">
        <v>0</v>
      </c>
      <c r="JJ104">
        <v>0</v>
      </c>
      <c r="JL104" s="12" t="s">
        <v>721</v>
      </c>
      <c r="JQ104" s="4"/>
      <c r="JW104" s="4"/>
      <c r="JX104" s="4"/>
      <c r="JY104" s="4"/>
      <c r="JZ104" s="4"/>
      <c r="KA104" s="4"/>
      <c r="KB104" s="4"/>
      <c r="KG104" s="7" t="s">
        <v>12</v>
      </c>
      <c r="KK104" s="7" t="s">
        <v>720</v>
      </c>
      <c r="MZ104" t="s">
        <v>11</v>
      </c>
      <c r="NA104">
        <v>42</v>
      </c>
      <c r="NC104" s="4" t="s">
        <v>168</v>
      </c>
      <c r="NK104" t="s">
        <v>167</v>
      </c>
      <c r="NM104" s="4" t="s">
        <v>8</v>
      </c>
      <c r="NN104" s="6" t="s">
        <v>7</v>
      </c>
      <c r="NV104" t="s">
        <v>735</v>
      </c>
      <c r="NW104" t="s">
        <v>6</v>
      </c>
      <c r="NX104" s="5" t="s">
        <v>176</v>
      </c>
      <c r="NY104" s="4" t="s">
        <v>4</v>
      </c>
      <c r="NZ104" s="3">
        <v>5.7142857142850056E-2</v>
      </c>
      <c r="OC104">
        <v>4</v>
      </c>
      <c r="OT104" t="s">
        <v>174</v>
      </c>
      <c r="OV104">
        <v>1996</v>
      </c>
      <c r="OY104" s="2" t="s">
        <v>1</v>
      </c>
      <c r="PA104" t="s">
        <v>1169</v>
      </c>
      <c r="PB104" s="58">
        <v>46094</v>
      </c>
    </row>
    <row r="105" spans="1:418" ht="15.75" thickBot="1">
      <c r="A105" s="11" t="s">
        <v>36</v>
      </c>
      <c r="B105" t="s">
        <v>35</v>
      </c>
      <c r="C105" t="s">
        <v>34</v>
      </c>
      <c r="D105" s="4" t="s">
        <v>33</v>
      </c>
      <c r="E105" t="s">
        <v>32</v>
      </c>
      <c r="F105" s="4" t="s">
        <v>31</v>
      </c>
      <c r="G105" t="s">
        <v>2</v>
      </c>
      <c r="H105" t="s">
        <v>30</v>
      </c>
      <c r="I105" s="10">
        <v>0.1</v>
      </c>
      <c r="J105" s="10">
        <v>34.566667000000002</v>
      </c>
      <c r="K105" t="s">
        <v>29</v>
      </c>
      <c r="AV105" t="s">
        <v>28</v>
      </c>
      <c r="AW105">
        <v>100</v>
      </c>
      <c r="AX105" t="s">
        <v>29</v>
      </c>
      <c r="AY105">
        <v>4</v>
      </c>
      <c r="AZ105" t="s">
        <v>27</v>
      </c>
      <c r="BA105">
        <v>1994</v>
      </c>
      <c r="BB105">
        <v>1998</v>
      </c>
      <c r="BC105" t="s">
        <v>26</v>
      </c>
      <c r="BD105" t="s">
        <v>19</v>
      </c>
      <c r="BE105" s="10" t="s">
        <v>25</v>
      </c>
      <c r="BF105" t="s">
        <v>24</v>
      </c>
      <c r="BG105" s="3" t="s">
        <v>1233</v>
      </c>
      <c r="BH105" t="s">
        <v>23</v>
      </c>
      <c r="BI105" t="s">
        <v>750</v>
      </c>
      <c r="BJ105" s="4" t="s">
        <v>22</v>
      </c>
      <c r="BK105" s="9">
        <v>53000</v>
      </c>
      <c r="HR105" t="s">
        <v>21</v>
      </c>
      <c r="HT105" s="4" t="s">
        <v>20</v>
      </c>
      <c r="HU105" s="58">
        <v>34335</v>
      </c>
      <c r="HV105" s="58">
        <v>36160</v>
      </c>
      <c r="HW105" s="58"/>
      <c r="HX105" s="58"/>
      <c r="IP105" t="s">
        <v>16</v>
      </c>
      <c r="IQ105" s="54" t="s">
        <v>19</v>
      </c>
      <c r="IV105" s="4" t="s">
        <v>18</v>
      </c>
      <c r="IW105" t="s">
        <v>17</v>
      </c>
      <c r="IX105" s="54" t="s">
        <v>19</v>
      </c>
      <c r="JB105">
        <v>0</v>
      </c>
      <c r="JC105">
        <v>0</v>
      </c>
      <c r="JD105">
        <v>0</v>
      </c>
      <c r="JE105">
        <v>0</v>
      </c>
      <c r="JF105">
        <v>0</v>
      </c>
      <c r="JG105">
        <v>0</v>
      </c>
      <c r="JH105">
        <v>0</v>
      </c>
      <c r="JI105">
        <v>0</v>
      </c>
      <c r="JJ105">
        <v>0</v>
      </c>
      <c r="JK105" t="s">
        <v>16</v>
      </c>
      <c r="JL105" t="s">
        <v>15</v>
      </c>
      <c r="JM105" s="8" t="s">
        <v>14</v>
      </c>
      <c r="JQ105" s="4" t="s">
        <v>13</v>
      </c>
      <c r="JR105">
        <v>60</v>
      </c>
      <c r="JU105">
        <v>60</v>
      </c>
      <c r="JW105" s="4"/>
      <c r="JX105" s="4"/>
      <c r="JY105" s="4"/>
      <c r="JZ105" s="4"/>
      <c r="KA105" s="4"/>
      <c r="KB105" s="4"/>
      <c r="KG105" s="7" t="s">
        <v>12</v>
      </c>
      <c r="KK105" s="7" t="s">
        <v>720</v>
      </c>
      <c r="KL105" s="7"/>
      <c r="MZ105" t="s">
        <v>11</v>
      </c>
      <c r="NA105">
        <v>42</v>
      </c>
      <c r="NC105" s="4" t="s">
        <v>168</v>
      </c>
      <c r="NK105" t="s">
        <v>167</v>
      </c>
      <c r="NM105" s="4" t="s">
        <v>8</v>
      </c>
      <c r="NN105" s="6" t="s">
        <v>7</v>
      </c>
      <c r="NV105" t="s">
        <v>747</v>
      </c>
      <c r="NW105" t="s">
        <v>6</v>
      </c>
      <c r="NX105" s="5" t="s">
        <v>175</v>
      </c>
      <c r="NY105" s="4" t="s">
        <v>4</v>
      </c>
      <c r="NZ105" s="3">
        <v>0.17142857142857992</v>
      </c>
      <c r="OC105">
        <v>4</v>
      </c>
      <c r="OT105" t="s">
        <v>174</v>
      </c>
      <c r="OV105">
        <v>1996</v>
      </c>
      <c r="OY105" s="2" t="s">
        <v>1</v>
      </c>
      <c r="PA105" t="s">
        <v>1169</v>
      </c>
      <c r="PB105" s="58">
        <v>46094</v>
      </c>
    </row>
    <row r="106" spans="1:418" ht="15.75" thickBot="1">
      <c r="A106" s="11" t="s">
        <v>36</v>
      </c>
      <c r="B106" t="s">
        <v>35</v>
      </c>
      <c r="C106" t="s">
        <v>34</v>
      </c>
      <c r="D106" s="4" t="s">
        <v>33</v>
      </c>
      <c r="E106" t="s">
        <v>32</v>
      </c>
      <c r="F106" s="4" t="s">
        <v>31</v>
      </c>
      <c r="G106" t="s">
        <v>2</v>
      </c>
      <c r="H106" t="s">
        <v>30</v>
      </c>
      <c r="I106" s="10">
        <v>0.1</v>
      </c>
      <c r="J106" s="10">
        <v>34.566667000000002</v>
      </c>
      <c r="K106" t="s">
        <v>29</v>
      </c>
      <c r="AV106" t="s">
        <v>28</v>
      </c>
      <c r="AW106">
        <v>100</v>
      </c>
      <c r="AX106" t="s">
        <v>29</v>
      </c>
      <c r="AY106">
        <v>4</v>
      </c>
      <c r="AZ106" t="s">
        <v>27</v>
      </c>
      <c r="BA106">
        <v>1994</v>
      </c>
      <c r="BB106">
        <v>1998</v>
      </c>
      <c r="BC106" t="s">
        <v>26</v>
      </c>
      <c r="BD106" t="s">
        <v>59</v>
      </c>
      <c r="BE106" s="10" t="s">
        <v>65</v>
      </c>
      <c r="BF106" t="s">
        <v>64</v>
      </c>
      <c r="BG106" s="3" t="s">
        <v>1233</v>
      </c>
      <c r="BH106" t="s">
        <v>23</v>
      </c>
      <c r="BI106" t="s">
        <v>750</v>
      </c>
      <c r="BJ106" s="4" t="s">
        <v>22</v>
      </c>
      <c r="BK106" s="9">
        <v>53000</v>
      </c>
      <c r="EE106" t="s">
        <v>55</v>
      </c>
      <c r="EF106" s="4" t="s">
        <v>22</v>
      </c>
      <c r="EG106" s="9">
        <v>53000</v>
      </c>
      <c r="EH106" s="9"/>
      <c r="EI106" s="9"/>
      <c r="EJ106" s="9"/>
      <c r="EK106" s="9"/>
      <c r="EL106" s="9"/>
      <c r="EM106" s="9"/>
      <c r="EN106" s="9"/>
      <c r="EO106" s="9"/>
      <c r="EP106" s="9"/>
      <c r="EQ106" s="9"/>
      <c r="ER106" s="9"/>
      <c r="ES106" s="9"/>
      <c r="ET106" s="9"/>
      <c r="EU106" s="9"/>
      <c r="EV106" s="9"/>
      <c r="EW106" s="9"/>
      <c r="EX106" s="9"/>
      <c r="EY106" s="9"/>
      <c r="EZ106" s="9"/>
      <c r="FA106" s="9"/>
      <c r="FB106" s="9"/>
      <c r="FC106" s="9"/>
      <c r="FD106" s="9"/>
      <c r="FE106" s="9"/>
      <c r="FF106" s="9"/>
      <c r="FG106" s="9"/>
      <c r="FH106" s="9"/>
      <c r="FI106" s="9"/>
      <c r="FJ106" s="9"/>
      <c r="FK106" s="9"/>
      <c r="FL106" s="9"/>
      <c r="FM106" s="9"/>
      <c r="FN106" s="9"/>
      <c r="FO106" s="9"/>
      <c r="FP106" s="9"/>
      <c r="FQ106" s="9"/>
      <c r="FR106" s="9"/>
      <c r="FS106" s="9"/>
      <c r="FT106" s="9"/>
      <c r="FU106" s="9"/>
      <c r="FV106" s="9"/>
      <c r="FW106" s="9"/>
      <c r="FX106" s="9"/>
      <c r="FY106" s="9"/>
      <c r="FZ106" s="9"/>
      <c r="GA106" s="9"/>
      <c r="GB106" s="9"/>
      <c r="GC106" s="9"/>
      <c r="GD106" s="9"/>
      <c r="GE106" s="9"/>
      <c r="GF106" s="9"/>
      <c r="GG106" s="9"/>
      <c r="GH106" s="9"/>
      <c r="GI106" s="9"/>
      <c r="GJ106" s="9"/>
      <c r="GK106" s="9"/>
      <c r="GL106" s="9"/>
      <c r="GM106" s="9"/>
      <c r="GN106" s="9"/>
      <c r="GO106" s="9"/>
      <c r="GP106" s="9"/>
      <c r="GQ106" s="9"/>
      <c r="GR106" s="9"/>
      <c r="GS106" s="9"/>
      <c r="GT106" s="9"/>
      <c r="GU106" s="9"/>
      <c r="GV106" s="9"/>
      <c r="GW106" s="9"/>
      <c r="GX106" s="9"/>
      <c r="GY106" s="9"/>
      <c r="GZ106" s="9"/>
      <c r="HA106" s="9"/>
      <c r="HB106" s="9"/>
      <c r="HC106" s="9"/>
      <c r="HD106" s="9"/>
      <c r="HE106" s="9"/>
      <c r="HF106" s="9"/>
      <c r="HG106" s="9"/>
      <c r="HH106" s="9"/>
      <c r="HI106" s="9"/>
      <c r="HJ106" s="9"/>
      <c r="HK106" s="9"/>
      <c r="HR106" t="s">
        <v>21</v>
      </c>
      <c r="HT106" s="4" t="s">
        <v>20</v>
      </c>
      <c r="HU106" s="58">
        <v>34335</v>
      </c>
      <c r="HV106" s="58">
        <v>36160</v>
      </c>
      <c r="HW106" s="58"/>
      <c r="HX106" s="58"/>
      <c r="IO106" s="4"/>
      <c r="IP106" t="s">
        <v>63</v>
      </c>
      <c r="IQ106" s="12" t="s">
        <v>1718</v>
      </c>
      <c r="IT106">
        <v>1995</v>
      </c>
      <c r="IU106">
        <v>1995.2</v>
      </c>
      <c r="IV106" s="4" t="s">
        <v>18</v>
      </c>
      <c r="IW106" t="s">
        <v>61</v>
      </c>
      <c r="IX106" s="12" t="s">
        <v>52</v>
      </c>
      <c r="JA106">
        <v>0.5</v>
      </c>
      <c r="JB106" t="s">
        <v>29</v>
      </c>
      <c r="JC106" t="s">
        <v>29</v>
      </c>
      <c r="JD106" t="s">
        <v>29</v>
      </c>
      <c r="JE106" t="s">
        <v>29</v>
      </c>
      <c r="JF106" t="s">
        <v>29</v>
      </c>
      <c r="JG106" t="s">
        <v>29</v>
      </c>
      <c r="JH106" t="s">
        <v>29</v>
      </c>
      <c r="JI106" t="s">
        <v>29</v>
      </c>
      <c r="JJ106" t="s">
        <v>29</v>
      </c>
      <c r="JL106" s="12" t="s">
        <v>721</v>
      </c>
      <c r="JQ106" s="4"/>
      <c r="JW106" s="4"/>
      <c r="JX106" s="4"/>
      <c r="JY106" s="4"/>
      <c r="JZ106" s="4"/>
      <c r="KA106" s="4"/>
      <c r="KB106" s="4"/>
      <c r="KG106" s="7" t="s">
        <v>12</v>
      </c>
      <c r="KK106" s="7" t="s">
        <v>719</v>
      </c>
      <c r="KL106" s="7" t="s">
        <v>51</v>
      </c>
      <c r="KN106" t="s">
        <v>29</v>
      </c>
      <c r="MZ106" t="s">
        <v>11</v>
      </c>
      <c r="NA106">
        <v>42</v>
      </c>
      <c r="NC106" s="4" t="s">
        <v>168</v>
      </c>
      <c r="NK106" t="s">
        <v>167</v>
      </c>
      <c r="NM106" s="4" t="s">
        <v>8</v>
      </c>
      <c r="NN106" s="6" t="s">
        <v>7</v>
      </c>
      <c r="NW106" t="s">
        <v>6</v>
      </c>
      <c r="NX106" s="5" t="s">
        <v>173</v>
      </c>
      <c r="NY106" s="4" t="s">
        <v>4</v>
      </c>
      <c r="NZ106" s="3">
        <v>0.15238095238094984</v>
      </c>
      <c r="OC106">
        <v>4</v>
      </c>
      <c r="OT106" t="s">
        <v>165</v>
      </c>
      <c r="OV106">
        <v>1997</v>
      </c>
      <c r="OY106" s="2" t="s">
        <v>1</v>
      </c>
      <c r="PA106" t="s">
        <v>1169</v>
      </c>
      <c r="PB106" s="58">
        <v>46094</v>
      </c>
    </row>
    <row r="107" spans="1:418" ht="15.75" thickBot="1">
      <c r="A107" s="11" t="s">
        <v>36</v>
      </c>
      <c r="B107" t="s">
        <v>35</v>
      </c>
      <c r="C107" t="s">
        <v>34</v>
      </c>
      <c r="D107" s="4" t="s">
        <v>33</v>
      </c>
      <c r="E107" t="s">
        <v>32</v>
      </c>
      <c r="F107" s="4" t="s">
        <v>31</v>
      </c>
      <c r="G107" t="s">
        <v>2</v>
      </c>
      <c r="H107" t="s">
        <v>30</v>
      </c>
      <c r="I107" s="10">
        <v>0.1</v>
      </c>
      <c r="J107" s="10">
        <v>34.566667000000002</v>
      </c>
      <c r="K107" t="s">
        <v>29</v>
      </c>
      <c r="AV107" t="s">
        <v>28</v>
      </c>
      <c r="AW107">
        <v>100</v>
      </c>
      <c r="AX107" t="s">
        <v>29</v>
      </c>
      <c r="AY107">
        <v>4</v>
      </c>
      <c r="AZ107" t="s">
        <v>27</v>
      </c>
      <c r="BA107">
        <v>1994</v>
      </c>
      <c r="BB107">
        <v>1998</v>
      </c>
      <c r="BC107" t="s">
        <v>26</v>
      </c>
      <c r="BD107" t="s">
        <v>59</v>
      </c>
      <c r="BE107" s="10" t="s">
        <v>58</v>
      </c>
      <c r="BF107" t="s">
        <v>57</v>
      </c>
      <c r="BG107" s="3" t="s">
        <v>1233</v>
      </c>
      <c r="BH107" t="s">
        <v>23</v>
      </c>
      <c r="BI107" t="s">
        <v>750</v>
      </c>
      <c r="BJ107" s="4" t="s">
        <v>22</v>
      </c>
      <c r="BK107" s="9">
        <v>53000</v>
      </c>
      <c r="EE107" t="s">
        <v>55</v>
      </c>
      <c r="EF107" s="4" t="s">
        <v>22</v>
      </c>
      <c r="EG107" s="9">
        <v>53000</v>
      </c>
      <c r="EH107" s="9"/>
      <c r="EI107" s="9"/>
      <c r="EJ107" s="9"/>
      <c r="EK107" s="9"/>
      <c r="EL107" s="9"/>
      <c r="EM107" s="9"/>
      <c r="EN107" s="9"/>
      <c r="EO107" s="9"/>
      <c r="EP107" s="9"/>
      <c r="EQ107" s="9"/>
      <c r="ER107" s="9"/>
      <c r="ES107" s="9"/>
      <c r="ET107" s="9"/>
      <c r="EU107" s="9"/>
      <c r="EV107" s="9"/>
      <c r="EW107" s="9"/>
      <c r="EX107" s="9"/>
      <c r="EY107" s="9"/>
      <c r="EZ107" s="9"/>
      <c r="FA107" s="9"/>
      <c r="FB107" s="9"/>
      <c r="FC107" s="9"/>
      <c r="FD107" s="9"/>
      <c r="FE107" s="9"/>
      <c r="FF107" s="9"/>
      <c r="FG107" s="9"/>
      <c r="FH107" s="9"/>
      <c r="FI107" s="9"/>
      <c r="FJ107" s="9"/>
      <c r="FK107" s="9"/>
      <c r="FL107" s="9"/>
      <c r="FM107" s="9"/>
      <c r="FN107" s="9"/>
      <c r="FO107" s="9"/>
      <c r="FP107" s="9"/>
      <c r="FQ107" s="9"/>
      <c r="FR107" s="9"/>
      <c r="FS107" s="9"/>
      <c r="FT107" s="9"/>
      <c r="FU107" s="9"/>
      <c r="FV107" s="9"/>
      <c r="FW107" s="9"/>
      <c r="FX107" s="9"/>
      <c r="FY107" s="9"/>
      <c r="FZ107" s="9"/>
      <c r="GA107" s="9"/>
      <c r="GB107" s="9"/>
      <c r="GC107" s="9"/>
      <c r="GD107" s="9"/>
      <c r="GE107" s="9"/>
      <c r="GF107" s="9"/>
      <c r="GG107" s="9"/>
      <c r="GH107" s="9"/>
      <c r="GI107" s="9"/>
      <c r="GJ107" s="9"/>
      <c r="GK107" s="9"/>
      <c r="GL107" s="9"/>
      <c r="GM107" s="9"/>
      <c r="GN107" s="9"/>
      <c r="GO107" s="9"/>
      <c r="GP107" s="9"/>
      <c r="GQ107" s="9"/>
      <c r="GR107" s="9"/>
      <c r="GS107" s="9"/>
      <c r="GT107" s="9"/>
      <c r="GU107" s="9"/>
      <c r="GV107" s="9"/>
      <c r="GW107" s="9"/>
      <c r="GX107" s="9"/>
      <c r="GY107" s="9"/>
      <c r="GZ107" s="9"/>
      <c r="HA107" s="9"/>
      <c r="HB107" s="9"/>
      <c r="HC107" s="9"/>
      <c r="HD107" s="9"/>
      <c r="HE107" s="9"/>
      <c r="HF107" s="9"/>
      <c r="HG107" s="9"/>
      <c r="HH107" s="9"/>
      <c r="HI107" s="9"/>
      <c r="HJ107" s="9"/>
      <c r="HK107" s="9"/>
      <c r="HR107" t="s">
        <v>21</v>
      </c>
      <c r="HT107" s="4" t="s">
        <v>20</v>
      </c>
      <c r="HU107" s="58">
        <v>34335</v>
      </c>
      <c r="HV107" s="58">
        <v>36160</v>
      </c>
      <c r="HW107" s="58"/>
      <c r="HX107" s="58"/>
      <c r="IO107" s="4"/>
      <c r="IP107" t="s">
        <v>54</v>
      </c>
      <c r="IQ107" s="12" t="s">
        <v>1719</v>
      </c>
      <c r="IT107">
        <v>1994</v>
      </c>
      <c r="IU107">
        <v>1994.2</v>
      </c>
      <c r="IV107" s="4" t="s">
        <v>18</v>
      </c>
      <c r="IW107" t="s">
        <v>53</v>
      </c>
      <c r="IX107" s="12" t="s">
        <v>52</v>
      </c>
      <c r="JA107">
        <v>0.5</v>
      </c>
      <c r="JB107" t="s">
        <v>29</v>
      </c>
      <c r="JC107" t="s">
        <v>29</v>
      </c>
      <c r="JD107" t="s">
        <v>29</v>
      </c>
      <c r="JE107" t="s">
        <v>29</v>
      </c>
      <c r="JF107" t="s">
        <v>29</v>
      </c>
      <c r="JG107" t="s">
        <v>29</v>
      </c>
      <c r="JH107" t="s">
        <v>29</v>
      </c>
      <c r="JI107" t="s">
        <v>29</v>
      </c>
      <c r="JJ107" t="s">
        <v>29</v>
      </c>
      <c r="JL107" s="12" t="s">
        <v>721</v>
      </c>
      <c r="JQ107" s="4"/>
      <c r="JW107" s="4"/>
      <c r="JX107" s="4"/>
      <c r="JY107" s="4"/>
      <c r="JZ107" s="4"/>
      <c r="KA107" s="4"/>
      <c r="KB107" s="4"/>
      <c r="KG107" s="7" t="s">
        <v>12</v>
      </c>
      <c r="KK107" s="7" t="s">
        <v>719</v>
      </c>
      <c r="KL107" s="7" t="s">
        <v>51</v>
      </c>
      <c r="KN107" t="s">
        <v>29</v>
      </c>
      <c r="MZ107" t="s">
        <v>11</v>
      </c>
      <c r="NA107">
        <v>42</v>
      </c>
      <c r="NC107" s="4" t="s">
        <v>168</v>
      </c>
      <c r="NK107" t="s">
        <v>167</v>
      </c>
      <c r="NM107" s="4" t="s">
        <v>8</v>
      </c>
      <c r="NN107" s="6" t="s">
        <v>7</v>
      </c>
      <c r="NW107" t="s">
        <v>6</v>
      </c>
      <c r="NX107" s="5" t="s">
        <v>172</v>
      </c>
      <c r="NY107" s="4" t="s">
        <v>4</v>
      </c>
      <c r="NZ107" s="3">
        <v>0.11428571428571399</v>
      </c>
      <c r="OC107">
        <v>4</v>
      </c>
      <c r="OT107" t="s">
        <v>165</v>
      </c>
      <c r="OV107">
        <v>1997</v>
      </c>
      <c r="OY107" s="2" t="s">
        <v>1</v>
      </c>
      <c r="PA107" t="s">
        <v>1169</v>
      </c>
      <c r="PB107" s="58">
        <v>46094</v>
      </c>
    </row>
    <row r="108" spans="1:418" ht="15.75" thickBot="1">
      <c r="A108" s="11" t="s">
        <v>36</v>
      </c>
      <c r="B108" t="s">
        <v>35</v>
      </c>
      <c r="C108" t="s">
        <v>34</v>
      </c>
      <c r="D108" s="4" t="s">
        <v>33</v>
      </c>
      <c r="E108" t="s">
        <v>32</v>
      </c>
      <c r="F108" s="4" t="s">
        <v>31</v>
      </c>
      <c r="G108" t="s">
        <v>2</v>
      </c>
      <c r="H108" t="s">
        <v>30</v>
      </c>
      <c r="I108" s="10">
        <v>0.1</v>
      </c>
      <c r="J108" s="10">
        <v>34.566667000000002</v>
      </c>
      <c r="K108" t="s">
        <v>29</v>
      </c>
      <c r="AV108" t="s">
        <v>28</v>
      </c>
      <c r="AW108">
        <v>100</v>
      </c>
      <c r="AX108" t="s">
        <v>29</v>
      </c>
      <c r="AY108">
        <v>4</v>
      </c>
      <c r="AZ108" t="s">
        <v>27</v>
      </c>
      <c r="BA108">
        <v>1994</v>
      </c>
      <c r="BB108">
        <v>1998</v>
      </c>
      <c r="BC108" t="s">
        <v>26</v>
      </c>
      <c r="BD108" t="s">
        <v>45</v>
      </c>
      <c r="BE108" s="10" t="s">
        <v>49</v>
      </c>
      <c r="BF108" t="s">
        <v>48</v>
      </c>
      <c r="BG108" s="3" t="s">
        <v>1233</v>
      </c>
      <c r="BH108" t="s">
        <v>23</v>
      </c>
      <c r="BI108" t="s">
        <v>750</v>
      </c>
      <c r="BJ108" s="4" t="s">
        <v>22</v>
      </c>
      <c r="BK108" s="9">
        <v>53000</v>
      </c>
      <c r="EF108" s="4"/>
      <c r="EG108" s="9"/>
      <c r="EH108" s="9"/>
      <c r="EI108" s="9"/>
      <c r="EJ108" s="9"/>
      <c r="EK108" s="9"/>
      <c r="EL108" s="9"/>
      <c r="EM108" s="9"/>
      <c r="EN108" s="9"/>
      <c r="EO108" s="9"/>
      <c r="EP108" s="9"/>
      <c r="EQ108" s="9"/>
      <c r="ER108" s="9"/>
      <c r="ES108" s="9"/>
      <c r="ET108" s="9"/>
      <c r="EU108" s="9"/>
      <c r="EV108" s="9"/>
      <c r="EW108" s="9"/>
      <c r="EX108" s="9"/>
      <c r="EY108" s="9"/>
      <c r="EZ108" s="9"/>
      <c r="FA108" s="9"/>
      <c r="FB108" s="9"/>
      <c r="FC108" s="9"/>
      <c r="FD108" s="9"/>
      <c r="FE108" s="9"/>
      <c r="FF108" s="9"/>
      <c r="FG108" s="9"/>
      <c r="FH108" s="9"/>
      <c r="FI108" s="9"/>
      <c r="FJ108" s="9"/>
      <c r="FK108" s="9"/>
      <c r="FL108" s="9"/>
      <c r="FM108" s="9"/>
      <c r="FN108" s="9"/>
      <c r="FO108" s="9"/>
      <c r="FP108" s="9"/>
      <c r="FQ108" s="9"/>
      <c r="FR108" s="9"/>
      <c r="FS108" s="9"/>
      <c r="FT108" s="9"/>
      <c r="FU108" s="9"/>
      <c r="FV108" s="9"/>
      <c r="FW108" s="9"/>
      <c r="FX108" s="9"/>
      <c r="FY108" s="9"/>
      <c r="FZ108" s="9"/>
      <c r="GA108" s="9"/>
      <c r="GB108" s="9"/>
      <c r="GC108" s="9"/>
      <c r="GD108" s="9"/>
      <c r="GE108" s="9"/>
      <c r="GF108" s="9"/>
      <c r="GG108" s="9"/>
      <c r="GH108" s="9"/>
      <c r="GI108" s="9"/>
      <c r="GJ108" s="9"/>
      <c r="GK108" s="9"/>
      <c r="GL108" s="9"/>
      <c r="GM108" s="9"/>
      <c r="GN108" s="9"/>
      <c r="GO108" s="9"/>
      <c r="GP108" s="9"/>
      <c r="GQ108" s="9"/>
      <c r="GR108" s="9"/>
      <c r="GS108" s="9"/>
      <c r="GT108" s="9"/>
      <c r="GU108" s="9"/>
      <c r="GV108" s="9"/>
      <c r="GW108" s="9"/>
      <c r="GX108" s="9"/>
      <c r="GY108" s="9"/>
      <c r="GZ108" s="9"/>
      <c r="HA108" s="9"/>
      <c r="HB108" s="9"/>
      <c r="HC108" s="9"/>
      <c r="HD108" s="9"/>
      <c r="HE108" s="9"/>
      <c r="HF108" s="9"/>
      <c r="HG108" s="9"/>
      <c r="HH108" s="9"/>
      <c r="HI108" s="9"/>
      <c r="HJ108" s="9"/>
      <c r="HK108" s="9"/>
      <c r="HR108" t="s">
        <v>21</v>
      </c>
      <c r="HT108" s="4" t="s">
        <v>20</v>
      </c>
      <c r="HU108" s="58">
        <v>34335</v>
      </c>
      <c r="HV108" s="58">
        <v>36160</v>
      </c>
      <c r="HW108" s="58"/>
      <c r="HX108" s="58"/>
      <c r="IP108" t="s">
        <v>47</v>
      </c>
      <c r="IQ108" s="54" t="s">
        <v>1226</v>
      </c>
      <c r="IT108">
        <v>1995</v>
      </c>
      <c r="IU108">
        <v>1995.2</v>
      </c>
      <c r="IV108" s="4" t="s">
        <v>18</v>
      </c>
      <c r="IW108" t="s">
        <v>38</v>
      </c>
      <c r="IX108" t="s">
        <v>19</v>
      </c>
      <c r="JB108">
        <v>0</v>
      </c>
      <c r="JC108">
        <v>0</v>
      </c>
      <c r="JD108">
        <v>0</v>
      </c>
      <c r="JE108">
        <v>0</v>
      </c>
      <c r="JF108">
        <v>0</v>
      </c>
      <c r="JG108">
        <v>0</v>
      </c>
      <c r="JH108">
        <v>0</v>
      </c>
      <c r="JI108">
        <v>0</v>
      </c>
      <c r="JJ108">
        <v>0</v>
      </c>
      <c r="JL108" s="12" t="s">
        <v>721</v>
      </c>
      <c r="JQ108" s="4"/>
      <c r="JW108" s="4"/>
      <c r="JX108" s="4"/>
      <c r="JY108" s="4"/>
      <c r="JZ108" s="4"/>
      <c r="KA108" s="4"/>
      <c r="KB108" s="4"/>
      <c r="KG108" s="7" t="s">
        <v>12</v>
      </c>
      <c r="KK108" s="7" t="s">
        <v>720</v>
      </c>
      <c r="KL108" s="7"/>
      <c r="MZ108" t="s">
        <v>11</v>
      </c>
      <c r="NA108">
        <v>42</v>
      </c>
      <c r="NC108" s="4" t="s">
        <v>168</v>
      </c>
      <c r="NK108" t="s">
        <v>167</v>
      </c>
      <c r="NM108" s="4" t="s">
        <v>8</v>
      </c>
      <c r="NN108" s="6" t="s">
        <v>7</v>
      </c>
      <c r="NW108" t="s">
        <v>6</v>
      </c>
      <c r="NX108" s="5" t="s">
        <v>171</v>
      </c>
      <c r="NY108" s="4" t="s">
        <v>4</v>
      </c>
      <c r="NZ108" s="3">
        <v>0.17142857142857093</v>
      </c>
      <c r="OC108">
        <v>4</v>
      </c>
      <c r="OT108" t="s">
        <v>165</v>
      </c>
      <c r="OV108">
        <v>1997</v>
      </c>
      <c r="OY108" s="2" t="s">
        <v>1</v>
      </c>
      <c r="PA108" t="s">
        <v>1169</v>
      </c>
      <c r="PB108" s="58">
        <v>46094</v>
      </c>
    </row>
    <row r="109" spans="1:418" ht="15.75" thickBot="1">
      <c r="A109" s="11" t="s">
        <v>36</v>
      </c>
      <c r="B109" t="s">
        <v>35</v>
      </c>
      <c r="C109" t="s">
        <v>34</v>
      </c>
      <c r="D109" s="4" t="s">
        <v>33</v>
      </c>
      <c r="E109" t="s">
        <v>32</v>
      </c>
      <c r="F109" s="4" t="s">
        <v>31</v>
      </c>
      <c r="G109" t="s">
        <v>2</v>
      </c>
      <c r="H109" t="s">
        <v>30</v>
      </c>
      <c r="I109" s="10">
        <v>0.1</v>
      </c>
      <c r="J109" s="10">
        <v>34.566667000000002</v>
      </c>
      <c r="K109" t="s">
        <v>29</v>
      </c>
      <c r="AV109" t="s">
        <v>28</v>
      </c>
      <c r="AW109">
        <v>100</v>
      </c>
      <c r="AX109" t="s">
        <v>29</v>
      </c>
      <c r="AY109">
        <v>4</v>
      </c>
      <c r="AZ109" t="s">
        <v>27</v>
      </c>
      <c r="BA109">
        <v>1994</v>
      </c>
      <c r="BB109">
        <v>1998</v>
      </c>
      <c r="BC109" t="s">
        <v>26</v>
      </c>
      <c r="BD109" t="s">
        <v>45</v>
      </c>
      <c r="BE109" s="10" t="s">
        <v>44</v>
      </c>
      <c r="BF109" t="s">
        <v>43</v>
      </c>
      <c r="BG109" s="3" t="s">
        <v>1233</v>
      </c>
      <c r="BH109" t="s">
        <v>23</v>
      </c>
      <c r="BI109" t="s">
        <v>750</v>
      </c>
      <c r="BJ109" s="4" t="s">
        <v>22</v>
      </c>
      <c r="BK109" s="9">
        <v>53000</v>
      </c>
      <c r="EF109" s="4"/>
      <c r="EG109" s="9"/>
      <c r="EH109" s="9"/>
      <c r="EI109" s="9"/>
      <c r="EJ109" s="9"/>
      <c r="EK109" s="9"/>
      <c r="EL109" s="9"/>
      <c r="EM109" s="9"/>
      <c r="EN109" s="9"/>
      <c r="EO109" s="9"/>
      <c r="EP109" s="9"/>
      <c r="EQ109" s="9"/>
      <c r="ER109" s="9"/>
      <c r="ES109" s="9"/>
      <c r="ET109" s="9"/>
      <c r="EU109" s="9"/>
      <c r="EV109" s="9"/>
      <c r="EW109" s="9"/>
      <c r="EX109" s="9"/>
      <c r="EY109" s="9"/>
      <c r="EZ109" s="9"/>
      <c r="FA109" s="9"/>
      <c r="FB109" s="9"/>
      <c r="FC109" s="9"/>
      <c r="FD109" s="9"/>
      <c r="FE109" s="9"/>
      <c r="FF109" s="9"/>
      <c r="FG109" s="9"/>
      <c r="FH109" s="9"/>
      <c r="FI109" s="9"/>
      <c r="FJ109" s="9"/>
      <c r="FK109" s="9"/>
      <c r="FL109" s="9"/>
      <c r="FM109" s="9"/>
      <c r="FN109" s="9"/>
      <c r="FO109" s="9"/>
      <c r="FP109" s="9"/>
      <c r="FQ109" s="9"/>
      <c r="FR109" s="9"/>
      <c r="FS109" s="9"/>
      <c r="FT109" s="9"/>
      <c r="FU109" s="9"/>
      <c r="FV109" s="9"/>
      <c r="FW109" s="9"/>
      <c r="FX109" s="9"/>
      <c r="FY109" s="9"/>
      <c r="FZ109" s="9"/>
      <c r="GA109" s="9"/>
      <c r="GB109" s="9"/>
      <c r="GC109" s="9"/>
      <c r="GD109" s="9"/>
      <c r="GE109" s="9"/>
      <c r="GF109" s="9"/>
      <c r="GG109" s="9"/>
      <c r="GH109" s="9"/>
      <c r="GI109" s="9"/>
      <c r="GJ109" s="9"/>
      <c r="GK109" s="9"/>
      <c r="GL109" s="9"/>
      <c r="GM109" s="9"/>
      <c r="GN109" s="9"/>
      <c r="GO109" s="9"/>
      <c r="GP109" s="9"/>
      <c r="GQ109" s="9"/>
      <c r="GR109" s="9"/>
      <c r="GS109" s="9"/>
      <c r="GT109" s="9"/>
      <c r="GU109" s="9"/>
      <c r="GV109" s="9"/>
      <c r="GW109" s="9"/>
      <c r="GX109" s="9"/>
      <c r="GY109" s="9"/>
      <c r="GZ109" s="9"/>
      <c r="HA109" s="9"/>
      <c r="HB109" s="9"/>
      <c r="HC109" s="9"/>
      <c r="HD109" s="9"/>
      <c r="HE109" s="9"/>
      <c r="HF109" s="9"/>
      <c r="HG109" s="9"/>
      <c r="HH109" s="9"/>
      <c r="HI109" s="9"/>
      <c r="HJ109" s="9"/>
      <c r="HK109" s="9"/>
      <c r="HR109" t="s">
        <v>21</v>
      </c>
      <c r="HT109" s="4" t="s">
        <v>20</v>
      </c>
      <c r="HU109" s="58">
        <v>34335</v>
      </c>
      <c r="HV109" s="58">
        <v>36160</v>
      </c>
      <c r="HW109" s="58"/>
      <c r="HX109" s="58"/>
      <c r="IP109" t="s">
        <v>42</v>
      </c>
      <c r="IQ109" s="13" t="s">
        <v>1227</v>
      </c>
      <c r="IT109">
        <v>1994</v>
      </c>
      <c r="IU109">
        <v>1994.2</v>
      </c>
      <c r="IV109" s="4" t="s">
        <v>18</v>
      </c>
      <c r="IW109" t="s">
        <v>38</v>
      </c>
      <c r="IX109" t="s">
        <v>19</v>
      </c>
      <c r="JB109">
        <v>0</v>
      </c>
      <c r="JC109">
        <v>0</v>
      </c>
      <c r="JD109">
        <v>0</v>
      </c>
      <c r="JE109">
        <v>0</v>
      </c>
      <c r="JF109">
        <v>0</v>
      </c>
      <c r="JG109">
        <v>0</v>
      </c>
      <c r="JH109">
        <v>0</v>
      </c>
      <c r="JI109">
        <v>0</v>
      </c>
      <c r="JJ109">
        <v>0</v>
      </c>
      <c r="JL109" s="12" t="s">
        <v>721</v>
      </c>
      <c r="JQ109" s="4"/>
      <c r="JW109" s="4"/>
      <c r="JX109" s="4"/>
      <c r="JY109" s="4"/>
      <c r="JZ109" s="4"/>
      <c r="KA109" s="4"/>
      <c r="KB109" s="4"/>
      <c r="KG109" s="7" t="s">
        <v>12</v>
      </c>
      <c r="KK109" s="7" t="s">
        <v>720</v>
      </c>
      <c r="KL109" s="7"/>
      <c r="MZ109" t="s">
        <v>11</v>
      </c>
      <c r="NA109">
        <v>42</v>
      </c>
      <c r="NC109" s="4" t="s">
        <v>168</v>
      </c>
      <c r="NK109" t="s">
        <v>167</v>
      </c>
      <c r="NM109" s="4" t="s">
        <v>8</v>
      </c>
      <c r="NN109" s="6" t="s">
        <v>7</v>
      </c>
      <c r="NW109" t="s">
        <v>6</v>
      </c>
      <c r="NX109" s="5" t="s">
        <v>170</v>
      </c>
      <c r="NY109" s="4" t="s">
        <v>4</v>
      </c>
      <c r="NZ109" s="3">
        <v>0.15238095238094995</v>
      </c>
      <c r="OC109">
        <v>4</v>
      </c>
      <c r="OT109" t="s">
        <v>165</v>
      </c>
      <c r="OV109">
        <v>1997</v>
      </c>
      <c r="OY109" s="2" t="s">
        <v>1</v>
      </c>
      <c r="PA109" t="s">
        <v>1169</v>
      </c>
      <c r="PB109" s="58">
        <v>46094</v>
      </c>
    </row>
    <row r="110" spans="1:418" ht="15.75" thickBot="1">
      <c r="A110" s="11" t="s">
        <v>36</v>
      </c>
      <c r="B110" t="s">
        <v>35</v>
      </c>
      <c r="C110" t="s">
        <v>34</v>
      </c>
      <c r="D110" s="4" t="s">
        <v>33</v>
      </c>
      <c r="E110" t="s">
        <v>32</v>
      </c>
      <c r="F110" s="4" t="s">
        <v>31</v>
      </c>
      <c r="G110" t="s">
        <v>2</v>
      </c>
      <c r="H110" t="s">
        <v>30</v>
      </c>
      <c r="I110" s="10">
        <v>0.1</v>
      </c>
      <c r="J110" s="10">
        <v>34.566667000000002</v>
      </c>
      <c r="K110" t="s">
        <v>29</v>
      </c>
      <c r="AV110" t="s">
        <v>28</v>
      </c>
      <c r="AW110">
        <v>100</v>
      </c>
      <c r="AX110" t="s">
        <v>29</v>
      </c>
      <c r="AY110">
        <v>4</v>
      </c>
      <c r="AZ110" t="s">
        <v>27</v>
      </c>
      <c r="BA110">
        <v>1994</v>
      </c>
      <c r="BB110">
        <v>1998</v>
      </c>
      <c r="BC110" t="s">
        <v>26</v>
      </c>
      <c r="BD110" t="s">
        <v>19</v>
      </c>
      <c r="BE110" s="10" t="s">
        <v>40</v>
      </c>
      <c r="BF110" t="s">
        <v>39</v>
      </c>
      <c r="BG110" s="3" t="s">
        <v>1233</v>
      </c>
      <c r="BH110" t="s">
        <v>23</v>
      </c>
      <c r="BI110" t="s">
        <v>750</v>
      </c>
      <c r="BJ110" s="4" t="s">
        <v>22</v>
      </c>
      <c r="BK110" s="9">
        <v>53000</v>
      </c>
      <c r="HR110" t="s">
        <v>21</v>
      </c>
      <c r="HT110" s="4" t="s">
        <v>20</v>
      </c>
      <c r="HU110" s="58">
        <v>34335</v>
      </c>
      <c r="HV110" s="58">
        <v>36160</v>
      </c>
      <c r="HW110" s="58"/>
      <c r="HX110" s="58"/>
      <c r="IP110" t="s">
        <v>38</v>
      </c>
      <c r="IQ110" s="54" t="s">
        <v>19</v>
      </c>
      <c r="IV110" s="4" t="s">
        <v>18</v>
      </c>
      <c r="IW110" t="s">
        <v>38</v>
      </c>
      <c r="IX110" s="54" t="s">
        <v>19</v>
      </c>
      <c r="JB110">
        <v>0</v>
      </c>
      <c r="JC110">
        <v>0</v>
      </c>
      <c r="JD110">
        <v>0</v>
      </c>
      <c r="JE110">
        <v>0</v>
      </c>
      <c r="JF110">
        <v>0</v>
      </c>
      <c r="JG110">
        <v>0</v>
      </c>
      <c r="JH110">
        <v>0</v>
      </c>
      <c r="JI110">
        <v>0</v>
      </c>
      <c r="JJ110">
        <v>0</v>
      </c>
      <c r="JL110" s="12" t="s">
        <v>721</v>
      </c>
      <c r="JQ110" s="4"/>
      <c r="JW110" s="4"/>
      <c r="JX110" s="4"/>
      <c r="JY110" s="4"/>
      <c r="JZ110" s="4"/>
      <c r="KA110" s="4"/>
      <c r="KB110" s="4"/>
      <c r="KG110" s="7" t="s">
        <v>12</v>
      </c>
      <c r="KK110" s="7" t="s">
        <v>720</v>
      </c>
      <c r="KL110" s="7"/>
      <c r="MZ110" t="s">
        <v>11</v>
      </c>
      <c r="NA110">
        <v>42</v>
      </c>
      <c r="NC110" s="4" t="s">
        <v>168</v>
      </c>
      <c r="NK110" t="s">
        <v>167</v>
      </c>
      <c r="NM110" s="4" t="s">
        <v>8</v>
      </c>
      <c r="NN110" s="6" t="s">
        <v>7</v>
      </c>
      <c r="NV110" t="s">
        <v>735</v>
      </c>
      <c r="NW110" t="s">
        <v>6</v>
      </c>
      <c r="NX110" s="5" t="s">
        <v>169</v>
      </c>
      <c r="NY110" s="4" t="s">
        <v>4</v>
      </c>
      <c r="NZ110" s="3">
        <v>0.20952380952380201</v>
      </c>
      <c r="OC110">
        <v>4</v>
      </c>
      <c r="OT110" t="s">
        <v>165</v>
      </c>
      <c r="OV110">
        <v>1997</v>
      </c>
      <c r="OY110" s="2" t="s">
        <v>1</v>
      </c>
      <c r="PA110" t="s">
        <v>1169</v>
      </c>
      <c r="PB110" s="58">
        <v>46094</v>
      </c>
    </row>
    <row r="111" spans="1:418" ht="15.75" thickBot="1">
      <c r="A111" s="11" t="s">
        <v>36</v>
      </c>
      <c r="B111" t="s">
        <v>35</v>
      </c>
      <c r="C111" t="s">
        <v>34</v>
      </c>
      <c r="D111" s="4" t="s">
        <v>33</v>
      </c>
      <c r="E111" t="s">
        <v>32</v>
      </c>
      <c r="F111" s="4" t="s">
        <v>31</v>
      </c>
      <c r="G111" t="s">
        <v>2</v>
      </c>
      <c r="H111" t="s">
        <v>30</v>
      </c>
      <c r="I111" s="10">
        <v>0.1</v>
      </c>
      <c r="J111" s="10">
        <v>34.566667000000002</v>
      </c>
      <c r="K111" t="s">
        <v>29</v>
      </c>
      <c r="AV111" t="s">
        <v>28</v>
      </c>
      <c r="AW111">
        <v>100</v>
      </c>
      <c r="AX111" t="s">
        <v>29</v>
      </c>
      <c r="AY111">
        <v>4</v>
      </c>
      <c r="AZ111" t="s">
        <v>27</v>
      </c>
      <c r="BA111">
        <v>1994</v>
      </c>
      <c r="BB111">
        <v>1998</v>
      </c>
      <c r="BC111" t="s">
        <v>26</v>
      </c>
      <c r="BD111" t="s">
        <v>19</v>
      </c>
      <c r="BE111" s="10" t="s">
        <v>25</v>
      </c>
      <c r="BF111" t="s">
        <v>24</v>
      </c>
      <c r="BG111" s="3" t="s">
        <v>1233</v>
      </c>
      <c r="BH111" t="s">
        <v>23</v>
      </c>
      <c r="BI111" t="s">
        <v>750</v>
      </c>
      <c r="BJ111" s="4" t="s">
        <v>22</v>
      </c>
      <c r="BK111" s="9">
        <v>53000</v>
      </c>
      <c r="HR111" t="s">
        <v>21</v>
      </c>
      <c r="HT111" s="4" t="s">
        <v>20</v>
      </c>
      <c r="HU111" s="58">
        <v>34335</v>
      </c>
      <c r="HV111" s="58">
        <v>36160</v>
      </c>
      <c r="HW111" s="58"/>
      <c r="HX111" s="58"/>
      <c r="IP111" t="s">
        <v>16</v>
      </c>
      <c r="IQ111" s="54" t="s">
        <v>19</v>
      </c>
      <c r="IV111" s="4" t="s">
        <v>18</v>
      </c>
      <c r="IW111" t="s">
        <v>17</v>
      </c>
      <c r="IX111" s="54" t="s">
        <v>19</v>
      </c>
      <c r="JB111">
        <v>0</v>
      </c>
      <c r="JC111">
        <v>0</v>
      </c>
      <c r="JD111">
        <v>0</v>
      </c>
      <c r="JE111">
        <v>0</v>
      </c>
      <c r="JF111">
        <v>0</v>
      </c>
      <c r="JG111">
        <v>0</v>
      </c>
      <c r="JH111">
        <v>0</v>
      </c>
      <c r="JI111">
        <v>0</v>
      </c>
      <c r="JJ111">
        <v>0</v>
      </c>
      <c r="JK111" t="s">
        <v>16</v>
      </c>
      <c r="JL111" t="s">
        <v>15</v>
      </c>
      <c r="JM111" s="8" t="s">
        <v>14</v>
      </c>
      <c r="JQ111" s="4" t="s">
        <v>13</v>
      </c>
      <c r="JR111">
        <v>60</v>
      </c>
      <c r="JU111">
        <v>60</v>
      </c>
      <c r="JW111" s="4"/>
      <c r="JX111" s="4"/>
      <c r="JY111" s="4"/>
      <c r="JZ111" s="4"/>
      <c r="KA111" s="4"/>
      <c r="KB111" s="4"/>
      <c r="KG111" s="7" t="s">
        <v>12</v>
      </c>
      <c r="KK111" s="7" t="s">
        <v>720</v>
      </c>
      <c r="KL111" s="7"/>
      <c r="MZ111" t="s">
        <v>11</v>
      </c>
      <c r="NA111">
        <v>42</v>
      </c>
      <c r="NC111" s="4" t="s">
        <v>168</v>
      </c>
      <c r="NK111" t="s">
        <v>167</v>
      </c>
      <c r="NM111" s="4" t="s">
        <v>8</v>
      </c>
      <c r="NN111" s="6" t="s">
        <v>7</v>
      </c>
      <c r="NV111" t="s">
        <v>747</v>
      </c>
      <c r="NW111" t="s">
        <v>6</v>
      </c>
      <c r="NX111" s="5" t="s">
        <v>166</v>
      </c>
      <c r="NY111" s="4" t="s">
        <v>4</v>
      </c>
      <c r="NZ111" s="3">
        <v>0.15238095238095006</v>
      </c>
      <c r="OC111">
        <v>4</v>
      </c>
      <c r="OT111" t="s">
        <v>165</v>
      </c>
      <c r="OV111">
        <v>1997</v>
      </c>
      <c r="OY111" s="2" t="s">
        <v>1</v>
      </c>
      <c r="PA111" t="s">
        <v>1169</v>
      </c>
      <c r="PB111" s="58">
        <v>46094</v>
      </c>
    </row>
    <row r="112" spans="1:418" ht="15.75" thickBot="1">
      <c r="A112" s="11" t="s">
        <v>36</v>
      </c>
      <c r="B112" t="s">
        <v>35</v>
      </c>
      <c r="C112" t="s">
        <v>34</v>
      </c>
      <c r="D112" s="4" t="s">
        <v>33</v>
      </c>
      <c r="E112" t="s">
        <v>32</v>
      </c>
      <c r="F112" s="4" t="s">
        <v>31</v>
      </c>
      <c r="G112" t="s">
        <v>2</v>
      </c>
      <c r="H112" t="s">
        <v>30</v>
      </c>
      <c r="I112" s="10">
        <v>0.1</v>
      </c>
      <c r="J112" s="10">
        <v>34.566667000000002</v>
      </c>
      <c r="K112" t="s">
        <v>29</v>
      </c>
      <c r="AV112" t="s">
        <v>28</v>
      </c>
      <c r="AW112">
        <v>100</v>
      </c>
      <c r="AX112" t="s">
        <v>29</v>
      </c>
      <c r="AY112">
        <v>4</v>
      </c>
      <c r="AZ112" t="s">
        <v>27</v>
      </c>
      <c r="BA112">
        <v>1994</v>
      </c>
      <c r="BB112">
        <v>1998</v>
      </c>
      <c r="BC112" t="s">
        <v>26</v>
      </c>
      <c r="BD112" t="s">
        <v>59</v>
      </c>
      <c r="BE112" s="10" t="s">
        <v>65</v>
      </c>
      <c r="BF112" t="s">
        <v>64</v>
      </c>
      <c r="BG112" s="3" t="s">
        <v>1233</v>
      </c>
      <c r="BH112" t="s">
        <v>23</v>
      </c>
      <c r="BI112" t="s">
        <v>750</v>
      </c>
      <c r="BJ112" s="4" t="s">
        <v>22</v>
      </c>
      <c r="BK112" s="9">
        <v>53000</v>
      </c>
      <c r="EE112" t="s">
        <v>55</v>
      </c>
      <c r="EF112" s="4" t="s">
        <v>22</v>
      </c>
      <c r="EG112" s="9">
        <v>53000</v>
      </c>
      <c r="EH112" s="9"/>
      <c r="EI112" s="9"/>
      <c r="EJ112" s="9"/>
      <c r="EK112" s="9"/>
      <c r="EL112" s="9"/>
      <c r="EM112" s="9"/>
      <c r="EN112" s="9"/>
      <c r="EO112" s="9"/>
      <c r="EP112" s="9"/>
      <c r="EQ112" s="9"/>
      <c r="ER112" s="9"/>
      <c r="ES112" s="9"/>
      <c r="ET112" s="9"/>
      <c r="EU112" s="9"/>
      <c r="EV112" s="9"/>
      <c r="EW112" s="9"/>
      <c r="EX112" s="9"/>
      <c r="EY112" s="9"/>
      <c r="EZ112" s="9"/>
      <c r="FA112" s="9"/>
      <c r="FB112" s="9"/>
      <c r="FC112" s="9"/>
      <c r="FD112" s="9"/>
      <c r="FE112" s="9"/>
      <c r="FF112" s="9"/>
      <c r="FG112" s="9"/>
      <c r="FH112" s="9"/>
      <c r="FI112" s="9"/>
      <c r="FJ112" s="9"/>
      <c r="FK112" s="9"/>
      <c r="FL112" s="9"/>
      <c r="FM112" s="9"/>
      <c r="FN112" s="9"/>
      <c r="FO112" s="9"/>
      <c r="FP112" s="9"/>
      <c r="FQ112" s="9"/>
      <c r="FR112" s="9"/>
      <c r="FS112" s="9"/>
      <c r="FT112" s="9"/>
      <c r="FU112" s="9"/>
      <c r="FV112" s="9"/>
      <c r="FW112" s="9"/>
      <c r="FX112" s="9"/>
      <c r="FY112" s="9"/>
      <c r="FZ112" s="9"/>
      <c r="GA112" s="9"/>
      <c r="GB112" s="9"/>
      <c r="GC112" s="9"/>
      <c r="GD112" s="9"/>
      <c r="GE112" s="9"/>
      <c r="GF112" s="9"/>
      <c r="GG112" s="9"/>
      <c r="GH112" s="9"/>
      <c r="GI112" s="9"/>
      <c r="GJ112" s="9"/>
      <c r="GK112" s="9"/>
      <c r="GL112" s="9"/>
      <c r="GM112" s="9"/>
      <c r="GN112" s="9"/>
      <c r="GO112" s="9"/>
      <c r="GP112" s="9"/>
      <c r="GQ112" s="9"/>
      <c r="GR112" s="9"/>
      <c r="GS112" s="9"/>
      <c r="GT112" s="9"/>
      <c r="GU112" s="9"/>
      <c r="GV112" s="9"/>
      <c r="GW112" s="9"/>
      <c r="GX112" s="9"/>
      <c r="GY112" s="9"/>
      <c r="GZ112" s="9"/>
      <c r="HA112" s="9"/>
      <c r="HB112" s="9"/>
      <c r="HC112" s="9"/>
      <c r="HD112" s="9"/>
      <c r="HE112" s="9"/>
      <c r="HF112" s="9"/>
      <c r="HG112" s="9"/>
      <c r="HH112" s="9"/>
      <c r="HI112" s="9"/>
      <c r="HJ112" s="9"/>
      <c r="HK112" s="9"/>
      <c r="HR112" t="s">
        <v>21</v>
      </c>
      <c r="HT112" s="4" t="s">
        <v>20</v>
      </c>
      <c r="HU112" s="58">
        <v>34335</v>
      </c>
      <c r="HV112" s="58">
        <v>36160</v>
      </c>
      <c r="HW112" s="58"/>
      <c r="HX112" s="58"/>
      <c r="IO112" s="4"/>
      <c r="IP112" t="s">
        <v>63</v>
      </c>
      <c r="IQ112" s="12" t="s">
        <v>1718</v>
      </c>
      <c r="IT112">
        <v>1995</v>
      </c>
      <c r="IU112">
        <v>1995.2</v>
      </c>
      <c r="IV112" s="4" t="s">
        <v>18</v>
      </c>
      <c r="IW112" t="s">
        <v>61</v>
      </c>
      <c r="IX112" s="12" t="s">
        <v>52</v>
      </c>
      <c r="JA112">
        <v>0.5</v>
      </c>
      <c r="JB112" t="s">
        <v>29</v>
      </c>
      <c r="JC112" t="s">
        <v>29</v>
      </c>
      <c r="JD112" t="s">
        <v>29</v>
      </c>
      <c r="JE112" t="s">
        <v>29</v>
      </c>
      <c r="JF112" t="s">
        <v>29</v>
      </c>
      <c r="JG112" t="s">
        <v>29</v>
      </c>
      <c r="JH112" t="s">
        <v>29</v>
      </c>
      <c r="JI112" t="s">
        <v>29</v>
      </c>
      <c r="JJ112" t="s">
        <v>29</v>
      </c>
      <c r="JL112" s="12" t="s">
        <v>721</v>
      </c>
      <c r="JQ112" s="4"/>
      <c r="JW112" s="4"/>
      <c r="JX112" s="4"/>
      <c r="JY112" s="4"/>
      <c r="JZ112" s="4"/>
      <c r="KA112" s="4"/>
      <c r="KB112" s="4"/>
      <c r="KG112" s="7" t="s">
        <v>12</v>
      </c>
      <c r="KK112" s="7" t="s">
        <v>719</v>
      </c>
      <c r="KL112" s="7" t="s">
        <v>51</v>
      </c>
      <c r="KN112" t="s">
        <v>29</v>
      </c>
      <c r="MZ112" t="s">
        <v>11</v>
      </c>
      <c r="NA112">
        <v>42</v>
      </c>
      <c r="NC112" s="4" t="s">
        <v>133</v>
      </c>
      <c r="NK112" t="s">
        <v>132</v>
      </c>
      <c r="NM112" s="4" t="s">
        <v>1156</v>
      </c>
      <c r="NN112" s="6" t="s">
        <v>7</v>
      </c>
      <c r="NW112" t="s">
        <v>6</v>
      </c>
      <c r="NX112" s="5" t="s">
        <v>164</v>
      </c>
      <c r="NY112" s="4" t="s">
        <v>4</v>
      </c>
      <c r="NZ112" s="3">
        <v>0.1080981327487569</v>
      </c>
      <c r="OC112">
        <v>4</v>
      </c>
      <c r="OT112" t="s">
        <v>158</v>
      </c>
      <c r="OV112">
        <v>1996</v>
      </c>
      <c r="OY112" s="2" t="s">
        <v>62</v>
      </c>
      <c r="PA112" t="s">
        <v>1169</v>
      </c>
      <c r="PB112" s="58">
        <v>46094</v>
      </c>
    </row>
    <row r="113" spans="1:418" ht="15.75" thickBot="1">
      <c r="A113" s="11" t="s">
        <v>36</v>
      </c>
      <c r="B113" t="s">
        <v>35</v>
      </c>
      <c r="C113" t="s">
        <v>34</v>
      </c>
      <c r="D113" s="4" t="s">
        <v>33</v>
      </c>
      <c r="E113" t="s">
        <v>32</v>
      </c>
      <c r="F113" s="4" t="s">
        <v>31</v>
      </c>
      <c r="G113" t="s">
        <v>2</v>
      </c>
      <c r="H113" t="s">
        <v>30</v>
      </c>
      <c r="I113" s="10">
        <v>0.1</v>
      </c>
      <c r="J113" s="10">
        <v>34.566667000000002</v>
      </c>
      <c r="K113" t="s">
        <v>29</v>
      </c>
      <c r="AV113" t="s">
        <v>28</v>
      </c>
      <c r="AW113">
        <v>100</v>
      </c>
      <c r="AX113" t="s">
        <v>29</v>
      </c>
      <c r="AY113">
        <v>4</v>
      </c>
      <c r="AZ113" t="s">
        <v>27</v>
      </c>
      <c r="BA113">
        <v>1994</v>
      </c>
      <c r="BB113">
        <v>1998</v>
      </c>
      <c r="BC113" t="s">
        <v>26</v>
      </c>
      <c r="BD113" t="s">
        <v>59</v>
      </c>
      <c r="BE113" s="10" t="s">
        <v>58</v>
      </c>
      <c r="BF113" t="s">
        <v>57</v>
      </c>
      <c r="BG113" s="3" t="s">
        <v>1233</v>
      </c>
      <c r="BH113" t="s">
        <v>23</v>
      </c>
      <c r="BI113" t="s">
        <v>750</v>
      </c>
      <c r="BJ113" s="4" t="s">
        <v>22</v>
      </c>
      <c r="BK113" s="9">
        <v>53000</v>
      </c>
      <c r="EE113" t="s">
        <v>55</v>
      </c>
      <c r="EF113" s="4" t="s">
        <v>22</v>
      </c>
      <c r="EG113" s="9">
        <v>53000</v>
      </c>
      <c r="EH113" s="9"/>
      <c r="EI113" s="9"/>
      <c r="EJ113" s="9"/>
      <c r="EK113" s="9"/>
      <c r="EL113" s="9"/>
      <c r="EM113" s="9"/>
      <c r="EN113" s="9"/>
      <c r="EO113" s="9"/>
      <c r="EP113" s="9"/>
      <c r="EQ113" s="9"/>
      <c r="ER113" s="9"/>
      <c r="ES113" s="9"/>
      <c r="ET113" s="9"/>
      <c r="EU113" s="9"/>
      <c r="EV113" s="9"/>
      <c r="EW113" s="9"/>
      <c r="EX113" s="9"/>
      <c r="EY113" s="9"/>
      <c r="EZ113" s="9"/>
      <c r="FA113" s="9"/>
      <c r="FB113" s="9"/>
      <c r="FC113" s="9"/>
      <c r="FD113" s="9"/>
      <c r="FE113" s="9"/>
      <c r="FF113" s="9"/>
      <c r="FG113" s="9"/>
      <c r="FH113" s="9"/>
      <c r="FI113" s="9"/>
      <c r="FJ113" s="9"/>
      <c r="FK113" s="9"/>
      <c r="FL113" s="9"/>
      <c r="FM113" s="9"/>
      <c r="FN113" s="9"/>
      <c r="FO113" s="9"/>
      <c r="FP113" s="9"/>
      <c r="FQ113" s="9"/>
      <c r="FR113" s="9"/>
      <c r="FS113" s="9"/>
      <c r="FT113" s="9"/>
      <c r="FU113" s="9"/>
      <c r="FV113" s="9"/>
      <c r="FW113" s="9"/>
      <c r="FX113" s="9"/>
      <c r="FY113" s="9"/>
      <c r="FZ113" s="9"/>
      <c r="GA113" s="9"/>
      <c r="GB113" s="9"/>
      <c r="GC113" s="9"/>
      <c r="GD113" s="9"/>
      <c r="GE113" s="9"/>
      <c r="GF113" s="9"/>
      <c r="GG113" s="9"/>
      <c r="GH113" s="9"/>
      <c r="GI113" s="9"/>
      <c r="GJ113" s="9"/>
      <c r="GK113" s="9"/>
      <c r="GL113" s="9"/>
      <c r="GM113" s="9"/>
      <c r="GN113" s="9"/>
      <c r="GO113" s="9"/>
      <c r="GP113" s="9"/>
      <c r="GQ113" s="9"/>
      <c r="GR113" s="9"/>
      <c r="GS113" s="9"/>
      <c r="GT113" s="9"/>
      <c r="GU113" s="9"/>
      <c r="GV113" s="9"/>
      <c r="GW113" s="9"/>
      <c r="GX113" s="9"/>
      <c r="GY113" s="9"/>
      <c r="GZ113" s="9"/>
      <c r="HA113" s="9"/>
      <c r="HB113" s="9"/>
      <c r="HC113" s="9"/>
      <c r="HD113" s="9"/>
      <c r="HE113" s="9"/>
      <c r="HF113" s="9"/>
      <c r="HG113" s="9"/>
      <c r="HH113" s="9"/>
      <c r="HI113" s="9"/>
      <c r="HJ113" s="9"/>
      <c r="HK113" s="9"/>
      <c r="HR113" t="s">
        <v>21</v>
      </c>
      <c r="HT113" s="4" t="s">
        <v>20</v>
      </c>
      <c r="HU113" s="58">
        <v>34335</v>
      </c>
      <c r="HV113" s="58">
        <v>36160</v>
      </c>
      <c r="HW113" s="58"/>
      <c r="HX113" s="58"/>
      <c r="IO113" s="4"/>
      <c r="IP113" t="s">
        <v>54</v>
      </c>
      <c r="IQ113" s="12" t="s">
        <v>1719</v>
      </c>
      <c r="IT113">
        <v>1994</v>
      </c>
      <c r="IU113">
        <v>1994.2</v>
      </c>
      <c r="IV113" s="4" t="s">
        <v>18</v>
      </c>
      <c r="IW113" t="s">
        <v>53</v>
      </c>
      <c r="IX113" s="12" t="s">
        <v>52</v>
      </c>
      <c r="JA113">
        <v>0.5</v>
      </c>
      <c r="JB113" t="s">
        <v>29</v>
      </c>
      <c r="JC113" t="s">
        <v>29</v>
      </c>
      <c r="JD113" t="s">
        <v>29</v>
      </c>
      <c r="JE113" t="s">
        <v>29</v>
      </c>
      <c r="JF113" t="s">
        <v>29</v>
      </c>
      <c r="JG113" t="s">
        <v>29</v>
      </c>
      <c r="JH113" t="s">
        <v>29</v>
      </c>
      <c r="JI113" t="s">
        <v>29</v>
      </c>
      <c r="JJ113" t="s">
        <v>29</v>
      </c>
      <c r="JL113" s="12" t="s">
        <v>721</v>
      </c>
      <c r="JQ113" s="4"/>
      <c r="JW113" s="4"/>
      <c r="JX113" s="4"/>
      <c r="JY113" s="4"/>
      <c r="JZ113" s="4"/>
      <c r="KA113" s="4"/>
      <c r="KB113" s="4"/>
      <c r="KG113" s="7" t="s">
        <v>12</v>
      </c>
      <c r="KK113" s="7" t="s">
        <v>719</v>
      </c>
      <c r="KL113" s="7" t="s">
        <v>51</v>
      </c>
      <c r="KN113" t="s">
        <v>29</v>
      </c>
      <c r="MZ113" t="s">
        <v>11</v>
      </c>
      <c r="NA113">
        <v>42</v>
      </c>
      <c r="NC113" s="4" t="s">
        <v>133</v>
      </c>
      <c r="NK113" t="s">
        <v>132</v>
      </c>
      <c r="NM113" s="4" t="s">
        <v>1156</v>
      </c>
      <c r="NN113" s="6" t="s">
        <v>7</v>
      </c>
      <c r="NW113" t="s">
        <v>6</v>
      </c>
      <c r="NX113" s="5" t="s">
        <v>163</v>
      </c>
      <c r="NY113" s="4" t="s">
        <v>4</v>
      </c>
      <c r="NZ113" s="3">
        <v>3.6025254587040978E-2</v>
      </c>
      <c r="OC113">
        <v>4</v>
      </c>
      <c r="OT113" t="s">
        <v>158</v>
      </c>
      <c r="OV113">
        <v>1996</v>
      </c>
      <c r="OY113" s="2" t="s">
        <v>62</v>
      </c>
      <c r="PA113" t="s">
        <v>1169</v>
      </c>
      <c r="PB113" s="58">
        <v>46094</v>
      </c>
    </row>
    <row r="114" spans="1:418" ht="15.75" thickBot="1">
      <c r="A114" s="11" t="s">
        <v>36</v>
      </c>
      <c r="B114" t="s">
        <v>35</v>
      </c>
      <c r="C114" t="s">
        <v>34</v>
      </c>
      <c r="D114" s="4" t="s">
        <v>33</v>
      </c>
      <c r="E114" t="s">
        <v>32</v>
      </c>
      <c r="F114" s="4" t="s">
        <v>31</v>
      </c>
      <c r="G114" t="s">
        <v>2</v>
      </c>
      <c r="H114" t="s">
        <v>30</v>
      </c>
      <c r="I114" s="10">
        <v>0.1</v>
      </c>
      <c r="J114" s="10">
        <v>34.566667000000002</v>
      </c>
      <c r="K114" t="s">
        <v>29</v>
      </c>
      <c r="AV114" t="s">
        <v>28</v>
      </c>
      <c r="AW114">
        <v>100</v>
      </c>
      <c r="AX114" t="s">
        <v>29</v>
      </c>
      <c r="AY114">
        <v>4</v>
      </c>
      <c r="AZ114" t="s">
        <v>27</v>
      </c>
      <c r="BA114">
        <v>1994</v>
      </c>
      <c r="BB114">
        <v>1998</v>
      </c>
      <c r="BC114" t="s">
        <v>26</v>
      </c>
      <c r="BD114" t="s">
        <v>45</v>
      </c>
      <c r="BE114" s="10" t="s">
        <v>49</v>
      </c>
      <c r="BF114" t="s">
        <v>48</v>
      </c>
      <c r="BG114" s="3" t="s">
        <v>1233</v>
      </c>
      <c r="BH114" t="s">
        <v>23</v>
      </c>
      <c r="BI114" t="s">
        <v>750</v>
      </c>
      <c r="BJ114" s="4" t="s">
        <v>22</v>
      </c>
      <c r="BK114" s="9">
        <v>53000</v>
      </c>
      <c r="EF114" s="4"/>
      <c r="EG114" s="9"/>
      <c r="EH114" s="9"/>
      <c r="EI114" s="9"/>
      <c r="EJ114" s="9"/>
      <c r="EK114" s="9"/>
      <c r="EL114" s="9"/>
      <c r="EM114" s="9"/>
      <c r="EN114" s="9"/>
      <c r="EO114" s="9"/>
      <c r="EP114" s="9"/>
      <c r="EQ114" s="9"/>
      <c r="ER114" s="9"/>
      <c r="ES114" s="9"/>
      <c r="ET114" s="9"/>
      <c r="EU114" s="9"/>
      <c r="EV114" s="9"/>
      <c r="EW114" s="9"/>
      <c r="EX114" s="9"/>
      <c r="EY114" s="9"/>
      <c r="EZ114" s="9"/>
      <c r="FA114" s="9"/>
      <c r="FB114" s="9"/>
      <c r="FC114" s="9"/>
      <c r="FD114" s="9"/>
      <c r="FE114" s="9"/>
      <c r="FF114" s="9"/>
      <c r="FG114" s="9"/>
      <c r="FH114" s="9"/>
      <c r="FI114" s="9"/>
      <c r="FJ114" s="9"/>
      <c r="FK114" s="9"/>
      <c r="FL114" s="9"/>
      <c r="FM114" s="9"/>
      <c r="FN114" s="9"/>
      <c r="FO114" s="9"/>
      <c r="FP114" s="9"/>
      <c r="FQ114" s="9"/>
      <c r="FR114" s="9"/>
      <c r="FS114" s="9"/>
      <c r="FT114" s="9"/>
      <c r="FU114" s="9"/>
      <c r="FV114" s="9"/>
      <c r="FW114" s="9"/>
      <c r="FX114" s="9"/>
      <c r="FY114" s="9"/>
      <c r="FZ114" s="9"/>
      <c r="GA114" s="9"/>
      <c r="GB114" s="9"/>
      <c r="GC114" s="9"/>
      <c r="GD114" s="9"/>
      <c r="GE114" s="9"/>
      <c r="GF114" s="9"/>
      <c r="GG114" s="9"/>
      <c r="GH114" s="9"/>
      <c r="GI114" s="9"/>
      <c r="GJ114" s="9"/>
      <c r="GK114" s="9"/>
      <c r="GL114" s="9"/>
      <c r="GM114" s="9"/>
      <c r="GN114" s="9"/>
      <c r="GO114" s="9"/>
      <c r="GP114" s="9"/>
      <c r="GQ114" s="9"/>
      <c r="GR114" s="9"/>
      <c r="GS114" s="9"/>
      <c r="GT114" s="9"/>
      <c r="GU114" s="9"/>
      <c r="GV114" s="9"/>
      <c r="GW114" s="9"/>
      <c r="GX114" s="9"/>
      <c r="GY114" s="9"/>
      <c r="GZ114" s="9"/>
      <c r="HA114" s="9"/>
      <c r="HB114" s="9"/>
      <c r="HC114" s="9"/>
      <c r="HD114" s="9"/>
      <c r="HE114" s="9"/>
      <c r="HF114" s="9"/>
      <c r="HG114" s="9"/>
      <c r="HH114" s="9"/>
      <c r="HI114" s="9"/>
      <c r="HJ114" s="9"/>
      <c r="HK114" s="9"/>
      <c r="HR114" t="s">
        <v>21</v>
      </c>
      <c r="HT114" s="4" t="s">
        <v>20</v>
      </c>
      <c r="HU114" s="58">
        <v>34335</v>
      </c>
      <c r="HV114" s="58">
        <v>36160</v>
      </c>
      <c r="HW114" s="58"/>
      <c r="HX114" s="58"/>
      <c r="IP114" t="s">
        <v>47</v>
      </c>
      <c r="IQ114" s="54" t="s">
        <v>1226</v>
      </c>
      <c r="IT114">
        <v>1995</v>
      </c>
      <c r="IU114">
        <v>1995.2</v>
      </c>
      <c r="IV114" s="4" t="s">
        <v>18</v>
      </c>
      <c r="IW114" t="s">
        <v>38</v>
      </c>
      <c r="IX114" t="s">
        <v>19</v>
      </c>
      <c r="JB114">
        <v>0</v>
      </c>
      <c r="JC114">
        <v>0</v>
      </c>
      <c r="JD114">
        <v>0</v>
      </c>
      <c r="JE114">
        <v>0</v>
      </c>
      <c r="JF114">
        <v>0</v>
      </c>
      <c r="JG114">
        <v>0</v>
      </c>
      <c r="JH114">
        <v>0</v>
      </c>
      <c r="JI114">
        <v>0</v>
      </c>
      <c r="JJ114">
        <v>0</v>
      </c>
      <c r="JL114" s="12" t="s">
        <v>721</v>
      </c>
      <c r="JQ114" s="4"/>
      <c r="JW114" s="4"/>
      <c r="JX114" s="4"/>
      <c r="JY114" s="4"/>
      <c r="JZ114" s="4"/>
      <c r="KA114" s="4"/>
      <c r="KB114" s="4"/>
      <c r="KG114" s="7" t="s">
        <v>12</v>
      </c>
      <c r="KK114" s="7" t="s">
        <v>720</v>
      </c>
      <c r="KL114" s="7"/>
      <c r="MZ114" t="s">
        <v>11</v>
      </c>
      <c r="NA114">
        <v>42</v>
      </c>
      <c r="NC114" s="4" t="s">
        <v>133</v>
      </c>
      <c r="NK114" t="s">
        <v>132</v>
      </c>
      <c r="NM114" s="4" t="s">
        <v>1156</v>
      </c>
      <c r="NN114" s="6" t="s">
        <v>7</v>
      </c>
      <c r="NW114" t="s">
        <v>6</v>
      </c>
      <c r="NX114" s="5" t="s">
        <v>162</v>
      </c>
      <c r="NY114" s="4" t="s">
        <v>4</v>
      </c>
      <c r="NZ114" s="3">
        <v>3.9061844658564993E-2</v>
      </c>
      <c r="OC114">
        <v>4</v>
      </c>
      <c r="OT114" t="s">
        <v>158</v>
      </c>
      <c r="OV114">
        <v>1996</v>
      </c>
      <c r="OY114" s="2" t="s">
        <v>62</v>
      </c>
      <c r="PA114" t="s">
        <v>1169</v>
      </c>
      <c r="PB114" s="58">
        <v>46094</v>
      </c>
    </row>
    <row r="115" spans="1:418" ht="15.75" thickBot="1">
      <c r="A115" s="11" t="s">
        <v>36</v>
      </c>
      <c r="B115" t="s">
        <v>35</v>
      </c>
      <c r="C115" t="s">
        <v>34</v>
      </c>
      <c r="D115" s="4" t="s">
        <v>33</v>
      </c>
      <c r="E115" t="s">
        <v>32</v>
      </c>
      <c r="F115" s="4" t="s">
        <v>31</v>
      </c>
      <c r="G115" t="s">
        <v>2</v>
      </c>
      <c r="H115" t="s">
        <v>30</v>
      </c>
      <c r="I115" s="10">
        <v>0.1</v>
      </c>
      <c r="J115" s="10">
        <v>34.566667000000002</v>
      </c>
      <c r="K115" t="s">
        <v>29</v>
      </c>
      <c r="AV115" t="s">
        <v>28</v>
      </c>
      <c r="AW115">
        <v>100</v>
      </c>
      <c r="AX115" t="s">
        <v>29</v>
      </c>
      <c r="AY115">
        <v>4</v>
      </c>
      <c r="AZ115" t="s">
        <v>27</v>
      </c>
      <c r="BA115">
        <v>1994</v>
      </c>
      <c r="BB115">
        <v>1998</v>
      </c>
      <c r="BC115" t="s">
        <v>26</v>
      </c>
      <c r="BD115" t="s">
        <v>45</v>
      </c>
      <c r="BE115" s="10" t="s">
        <v>44</v>
      </c>
      <c r="BF115" t="s">
        <v>43</v>
      </c>
      <c r="BG115" s="3" t="s">
        <v>1233</v>
      </c>
      <c r="BH115" t="s">
        <v>23</v>
      </c>
      <c r="BI115" t="s">
        <v>750</v>
      </c>
      <c r="BJ115" s="4" t="s">
        <v>22</v>
      </c>
      <c r="BK115" s="9">
        <v>53000</v>
      </c>
      <c r="EF115" s="4"/>
      <c r="EG115" s="9"/>
      <c r="EH115" s="9"/>
      <c r="EI115" s="9"/>
      <c r="EJ115" s="9"/>
      <c r="EK115" s="9"/>
      <c r="EL115" s="9"/>
      <c r="EM115" s="9"/>
      <c r="EN115" s="9"/>
      <c r="EO115" s="9"/>
      <c r="EP115" s="9"/>
      <c r="EQ115" s="9"/>
      <c r="ER115" s="9"/>
      <c r="ES115" s="9"/>
      <c r="ET115" s="9"/>
      <c r="EU115" s="9"/>
      <c r="EV115" s="9"/>
      <c r="EW115" s="9"/>
      <c r="EX115" s="9"/>
      <c r="EY115" s="9"/>
      <c r="EZ115" s="9"/>
      <c r="FA115" s="9"/>
      <c r="FB115" s="9"/>
      <c r="FC115" s="9"/>
      <c r="FD115" s="9"/>
      <c r="FE115" s="9"/>
      <c r="FF115" s="9"/>
      <c r="FG115" s="9"/>
      <c r="FH115" s="9"/>
      <c r="FI115" s="9"/>
      <c r="FJ115" s="9"/>
      <c r="FK115" s="9"/>
      <c r="FL115" s="9"/>
      <c r="FM115" s="9"/>
      <c r="FN115" s="9"/>
      <c r="FO115" s="9"/>
      <c r="FP115" s="9"/>
      <c r="FQ115" s="9"/>
      <c r="FR115" s="9"/>
      <c r="FS115" s="9"/>
      <c r="FT115" s="9"/>
      <c r="FU115" s="9"/>
      <c r="FV115" s="9"/>
      <c r="FW115" s="9"/>
      <c r="FX115" s="9"/>
      <c r="FY115" s="9"/>
      <c r="FZ115" s="9"/>
      <c r="GA115" s="9"/>
      <c r="GB115" s="9"/>
      <c r="GC115" s="9"/>
      <c r="GD115" s="9"/>
      <c r="GE115" s="9"/>
      <c r="GF115" s="9"/>
      <c r="GG115" s="9"/>
      <c r="GH115" s="9"/>
      <c r="GI115" s="9"/>
      <c r="GJ115" s="9"/>
      <c r="GK115" s="9"/>
      <c r="GL115" s="9"/>
      <c r="GM115" s="9"/>
      <c r="GN115" s="9"/>
      <c r="GO115" s="9"/>
      <c r="GP115" s="9"/>
      <c r="GQ115" s="9"/>
      <c r="GR115" s="9"/>
      <c r="GS115" s="9"/>
      <c r="GT115" s="9"/>
      <c r="GU115" s="9"/>
      <c r="GV115" s="9"/>
      <c r="GW115" s="9"/>
      <c r="GX115" s="9"/>
      <c r="GY115" s="9"/>
      <c r="GZ115" s="9"/>
      <c r="HA115" s="9"/>
      <c r="HB115" s="9"/>
      <c r="HC115" s="9"/>
      <c r="HD115" s="9"/>
      <c r="HE115" s="9"/>
      <c r="HF115" s="9"/>
      <c r="HG115" s="9"/>
      <c r="HH115" s="9"/>
      <c r="HI115" s="9"/>
      <c r="HJ115" s="9"/>
      <c r="HK115" s="9"/>
      <c r="HR115" t="s">
        <v>21</v>
      </c>
      <c r="HT115" s="4" t="s">
        <v>20</v>
      </c>
      <c r="HU115" s="58">
        <v>34335</v>
      </c>
      <c r="HV115" s="58">
        <v>36160</v>
      </c>
      <c r="HW115" s="58"/>
      <c r="HX115" s="58"/>
      <c r="IP115" t="s">
        <v>42</v>
      </c>
      <c r="IQ115" s="13" t="s">
        <v>1227</v>
      </c>
      <c r="IT115">
        <v>1994</v>
      </c>
      <c r="IU115">
        <v>1994.2</v>
      </c>
      <c r="IV115" s="4" t="s">
        <v>18</v>
      </c>
      <c r="IW115" t="s">
        <v>38</v>
      </c>
      <c r="IX115" t="s">
        <v>19</v>
      </c>
      <c r="JB115">
        <v>0</v>
      </c>
      <c r="JC115">
        <v>0</v>
      </c>
      <c r="JD115">
        <v>0</v>
      </c>
      <c r="JE115">
        <v>0</v>
      </c>
      <c r="JF115">
        <v>0</v>
      </c>
      <c r="JG115">
        <v>0</v>
      </c>
      <c r="JH115">
        <v>0</v>
      </c>
      <c r="JI115">
        <v>0</v>
      </c>
      <c r="JJ115">
        <v>0</v>
      </c>
      <c r="JL115" s="12" t="s">
        <v>721</v>
      </c>
      <c r="JQ115" s="4"/>
      <c r="JW115" s="4"/>
      <c r="JX115" s="4"/>
      <c r="JY115" s="4"/>
      <c r="JZ115" s="4"/>
      <c r="KA115" s="4"/>
      <c r="KB115" s="4"/>
      <c r="KG115" s="7" t="s">
        <v>12</v>
      </c>
      <c r="KK115" s="7" t="s">
        <v>720</v>
      </c>
      <c r="KL115" s="7"/>
      <c r="MZ115" t="s">
        <v>11</v>
      </c>
      <c r="NA115">
        <v>42</v>
      </c>
      <c r="NC115" s="4" t="s">
        <v>133</v>
      </c>
      <c r="NK115" t="s">
        <v>132</v>
      </c>
      <c r="NM115" s="4" t="s">
        <v>1156</v>
      </c>
      <c r="NN115" s="6" t="s">
        <v>7</v>
      </c>
      <c r="NW115" t="s">
        <v>6</v>
      </c>
      <c r="NX115" s="5" t="s">
        <v>161</v>
      </c>
      <c r="NY115" s="4" t="s">
        <v>4</v>
      </c>
      <c r="NZ115" s="3">
        <v>6.3086137379137985E-2</v>
      </c>
      <c r="OC115">
        <v>4</v>
      </c>
      <c r="OT115" t="s">
        <v>158</v>
      </c>
      <c r="OV115">
        <v>1996</v>
      </c>
      <c r="OY115" s="2" t="s">
        <v>62</v>
      </c>
      <c r="PA115" t="s">
        <v>1169</v>
      </c>
      <c r="PB115" s="58">
        <v>46094</v>
      </c>
    </row>
    <row r="116" spans="1:418" ht="15.75" thickBot="1">
      <c r="A116" s="11" t="s">
        <v>36</v>
      </c>
      <c r="B116" t="s">
        <v>35</v>
      </c>
      <c r="C116" t="s">
        <v>34</v>
      </c>
      <c r="D116" s="4" t="s">
        <v>33</v>
      </c>
      <c r="E116" t="s">
        <v>32</v>
      </c>
      <c r="F116" s="4" t="s">
        <v>31</v>
      </c>
      <c r="G116" t="s">
        <v>2</v>
      </c>
      <c r="H116" t="s">
        <v>30</v>
      </c>
      <c r="I116" s="10">
        <v>0.1</v>
      </c>
      <c r="J116" s="10">
        <v>34.566667000000002</v>
      </c>
      <c r="K116" t="s">
        <v>29</v>
      </c>
      <c r="AV116" t="s">
        <v>28</v>
      </c>
      <c r="AW116">
        <v>100</v>
      </c>
      <c r="AX116" t="s">
        <v>29</v>
      </c>
      <c r="AY116">
        <v>4</v>
      </c>
      <c r="AZ116" t="s">
        <v>27</v>
      </c>
      <c r="BA116">
        <v>1994</v>
      </c>
      <c r="BB116">
        <v>1998</v>
      </c>
      <c r="BC116" t="s">
        <v>26</v>
      </c>
      <c r="BD116" t="s">
        <v>19</v>
      </c>
      <c r="BE116" s="10" t="s">
        <v>40</v>
      </c>
      <c r="BF116" t="s">
        <v>39</v>
      </c>
      <c r="BG116" s="3" t="s">
        <v>1233</v>
      </c>
      <c r="BH116" t="s">
        <v>23</v>
      </c>
      <c r="BI116" t="s">
        <v>750</v>
      </c>
      <c r="BJ116" s="4" t="s">
        <v>22</v>
      </c>
      <c r="BK116" s="9">
        <v>53000</v>
      </c>
      <c r="HR116" t="s">
        <v>21</v>
      </c>
      <c r="HT116" s="4" t="s">
        <v>20</v>
      </c>
      <c r="HU116" s="58">
        <v>34335</v>
      </c>
      <c r="HV116" s="58">
        <v>36160</v>
      </c>
      <c r="HW116" s="58"/>
      <c r="HX116" s="58"/>
      <c r="IP116" t="s">
        <v>38</v>
      </c>
      <c r="IQ116" s="54" t="s">
        <v>19</v>
      </c>
      <c r="IV116" s="4" t="s">
        <v>18</v>
      </c>
      <c r="IW116" t="s">
        <v>38</v>
      </c>
      <c r="IX116" s="54" t="s">
        <v>19</v>
      </c>
      <c r="JB116">
        <v>0</v>
      </c>
      <c r="JC116">
        <v>0</v>
      </c>
      <c r="JD116">
        <v>0</v>
      </c>
      <c r="JE116">
        <v>0</v>
      </c>
      <c r="JF116">
        <v>0</v>
      </c>
      <c r="JG116">
        <v>0</v>
      </c>
      <c r="JH116">
        <v>0</v>
      </c>
      <c r="JI116">
        <v>0</v>
      </c>
      <c r="JJ116">
        <v>0</v>
      </c>
      <c r="JL116" s="12" t="s">
        <v>721</v>
      </c>
      <c r="JQ116" s="4"/>
      <c r="JW116" s="4"/>
      <c r="JX116" s="4"/>
      <c r="JY116" s="4"/>
      <c r="JZ116" s="4"/>
      <c r="KA116" s="4"/>
      <c r="KB116" s="4"/>
      <c r="KG116" s="7" t="s">
        <v>12</v>
      </c>
      <c r="KK116" s="7" t="s">
        <v>720</v>
      </c>
      <c r="KL116" s="7"/>
      <c r="MZ116" t="s">
        <v>11</v>
      </c>
      <c r="NA116">
        <v>42</v>
      </c>
      <c r="NC116" s="4" t="s">
        <v>133</v>
      </c>
      <c r="NK116" t="s">
        <v>132</v>
      </c>
      <c r="NM116" s="4" t="s">
        <v>1156</v>
      </c>
      <c r="NN116" s="6" t="s">
        <v>7</v>
      </c>
      <c r="NV116" t="s">
        <v>735</v>
      </c>
      <c r="NW116" t="s">
        <v>6</v>
      </c>
      <c r="NX116" s="5" t="s">
        <v>160</v>
      </c>
      <c r="NY116" s="4" t="s">
        <v>4</v>
      </c>
      <c r="NZ116" s="3">
        <v>3.601407009322305E-2</v>
      </c>
      <c r="OC116">
        <v>4</v>
      </c>
      <c r="OT116" t="s">
        <v>158</v>
      </c>
      <c r="OV116">
        <v>1996</v>
      </c>
      <c r="OY116" s="2" t="s">
        <v>62</v>
      </c>
      <c r="PA116" t="s">
        <v>1169</v>
      </c>
      <c r="PB116" s="58">
        <v>46094</v>
      </c>
    </row>
    <row r="117" spans="1:418" ht="15.75" thickBot="1">
      <c r="A117" s="11" t="s">
        <v>36</v>
      </c>
      <c r="B117" t="s">
        <v>35</v>
      </c>
      <c r="C117" t="s">
        <v>34</v>
      </c>
      <c r="D117" s="4" t="s">
        <v>33</v>
      </c>
      <c r="E117" t="s">
        <v>32</v>
      </c>
      <c r="F117" s="4" t="s">
        <v>31</v>
      </c>
      <c r="G117" t="s">
        <v>2</v>
      </c>
      <c r="H117" t="s">
        <v>30</v>
      </c>
      <c r="I117" s="10">
        <v>0.1</v>
      </c>
      <c r="J117" s="10">
        <v>34.566667000000002</v>
      </c>
      <c r="K117" t="s">
        <v>29</v>
      </c>
      <c r="AV117" t="s">
        <v>28</v>
      </c>
      <c r="AW117">
        <v>100</v>
      </c>
      <c r="AX117" t="s">
        <v>29</v>
      </c>
      <c r="AY117">
        <v>4</v>
      </c>
      <c r="AZ117" t="s">
        <v>27</v>
      </c>
      <c r="BA117">
        <v>1994</v>
      </c>
      <c r="BB117">
        <v>1998</v>
      </c>
      <c r="BC117" t="s">
        <v>26</v>
      </c>
      <c r="BD117" t="s">
        <v>19</v>
      </c>
      <c r="BE117" s="10" t="s">
        <v>25</v>
      </c>
      <c r="BF117" t="s">
        <v>24</v>
      </c>
      <c r="BG117" s="3" t="s">
        <v>1233</v>
      </c>
      <c r="BH117" t="s">
        <v>23</v>
      </c>
      <c r="BI117" t="s">
        <v>750</v>
      </c>
      <c r="BJ117" s="4" t="s">
        <v>22</v>
      </c>
      <c r="BK117" s="9">
        <v>53000</v>
      </c>
      <c r="HR117" t="s">
        <v>21</v>
      </c>
      <c r="HT117" s="4" t="s">
        <v>20</v>
      </c>
      <c r="HU117" s="58">
        <v>34335</v>
      </c>
      <c r="HV117" s="58">
        <v>36160</v>
      </c>
      <c r="HW117" s="58"/>
      <c r="HX117" s="58"/>
      <c r="IP117" t="s">
        <v>16</v>
      </c>
      <c r="IQ117" s="54" t="s">
        <v>19</v>
      </c>
      <c r="IV117" s="4" t="s">
        <v>18</v>
      </c>
      <c r="IW117" t="s">
        <v>17</v>
      </c>
      <c r="IX117" s="54" t="s">
        <v>19</v>
      </c>
      <c r="JB117">
        <v>0</v>
      </c>
      <c r="JC117">
        <v>0</v>
      </c>
      <c r="JD117">
        <v>0</v>
      </c>
      <c r="JE117">
        <v>0</v>
      </c>
      <c r="JF117">
        <v>0</v>
      </c>
      <c r="JG117">
        <v>0</v>
      </c>
      <c r="JH117">
        <v>0</v>
      </c>
      <c r="JI117">
        <v>0</v>
      </c>
      <c r="JJ117">
        <v>0</v>
      </c>
      <c r="JK117" t="s">
        <v>16</v>
      </c>
      <c r="JL117" t="s">
        <v>15</v>
      </c>
      <c r="JM117" s="8" t="s">
        <v>14</v>
      </c>
      <c r="JQ117" s="4" t="s">
        <v>13</v>
      </c>
      <c r="JR117">
        <v>60</v>
      </c>
      <c r="JU117">
        <v>60</v>
      </c>
      <c r="JW117" s="4"/>
      <c r="JX117" s="4"/>
      <c r="JY117" s="4"/>
      <c r="JZ117" s="4"/>
      <c r="KA117" s="4"/>
      <c r="KB117" s="4"/>
      <c r="KG117" s="7" t="s">
        <v>12</v>
      </c>
      <c r="KK117" s="7" t="s">
        <v>720</v>
      </c>
      <c r="KL117" s="7"/>
      <c r="MZ117" t="s">
        <v>11</v>
      </c>
      <c r="NA117">
        <v>42</v>
      </c>
      <c r="NC117" s="4" t="s">
        <v>133</v>
      </c>
      <c r="NK117" t="s">
        <v>132</v>
      </c>
      <c r="NM117" s="4" t="s">
        <v>1156</v>
      </c>
      <c r="NN117" s="6" t="s">
        <v>7</v>
      </c>
      <c r="NV117" t="s">
        <v>747</v>
      </c>
      <c r="NW117" t="s">
        <v>6</v>
      </c>
      <c r="NX117" s="5" t="s">
        <v>159</v>
      </c>
      <c r="NY117" s="4" t="s">
        <v>4</v>
      </c>
      <c r="NZ117" s="3">
        <v>3.0019181406897966E-2</v>
      </c>
      <c r="OC117">
        <v>4</v>
      </c>
      <c r="OT117" t="s">
        <v>158</v>
      </c>
      <c r="OV117">
        <v>1996</v>
      </c>
      <c r="OY117" s="2" t="s">
        <v>62</v>
      </c>
      <c r="PA117" t="s">
        <v>1169</v>
      </c>
      <c r="PB117" s="58">
        <v>46094</v>
      </c>
    </row>
    <row r="118" spans="1:418" ht="15.75" thickBot="1">
      <c r="A118" s="11" t="s">
        <v>36</v>
      </c>
      <c r="B118" t="s">
        <v>35</v>
      </c>
      <c r="C118" t="s">
        <v>34</v>
      </c>
      <c r="D118" s="4" t="s">
        <v>33</v>
      </c>
      <c r="E118" t="s">
        <v>32</v>
      </c>
      <c r="F118" s="4" t="s">
        <v>31</v>
      </c>
      <c r="G118" t="s">
        <v>2</v>
      </c>
      <c r="H118" t="s">
        <v>30</v>
      </c>
      <c r="I118" s="10">
        <v>0.1</v>
      </c>
      <c r="J118" s="10">
        <v>34.566667000000002</v>
      </c>
      <c r="K118" t="s">
        <v>29</v>
      </c>
      <c r="AV118" t="s">
        <v>28</v>
      </c>
      <c r="AW118">
        <v>100</v>
      </c>
      <c r="AX118" t="s">
        <v>29</v>
      </c>
      <c r="AY118">
        <v>4</v>
      </c>
      <c r="AZ118" t="s">
        <v>27</v>
      </c>
      <c r="BA118">
        <v>1994</v>
      </c>
      <c r="BB118">
        <v>1998</v>
      </c>
      <c r="BC118" t="s">
        <v>26</v>
      </c>
      <c r="BD118" t="s">
        <v>59</v>
      </c>
      <c r="BE118" s="10" t="s">
        <v>65</v>
      </c>
      <c r="BF118" t="s">
        <v>64</v>
      </c>
      <c r="BG118" s="3" t="s">
        <v>1233</v>
      </c>
      <c r="BH118" t="s">
        <v>23</v>
      </c>
      <c r="BI118" t="s">
        <v>750</v>
      </c>
      <c r="BJ118" s="4" t="s">
        <v>22</v>
      </c>
      <c r="BK118" s="9">
        <v>53000</v>
      </c>
      <c r="EE118" t="s">
        <v>55</v>
      </c>
      <c r="EF118" s="4" t="s">
        <v>22</v>
      </c>
      <c r="EG118" s="9">
        <v>53000</v>
      </c>
      <c r="EH118" s="9"/>
      <c r="EI118" s="9"/>
      <c r="EJ118" s="9"/>
      <c r="EK118" s="9"/>
      <c r="EL118" s="9"/>
      <c r="EM118" s="9"/>
      <c r="EN118" s="9"/>
      <c r="EO118" s="9"/>
      <c r="EP118" s="9"/>
      <c r="EQ118" s="9"/>
      <c r="ER118" s="9"/>
      <c r="ES118" s="9"/>
      <c r="ET118" s="9"/>
      <c r="EU118" s="9"/>
      <c r="EV118" s="9"/>
      <c r="EW118" s="9"/>
      <c r="EX118" s="9"/>
      <c r="EY118" s="9"/>
      <c r="EZ118" s="9"/>
      <c r="FA118" s="9"/>
      <c r="FB118" s="9"/>
      <c r="FC118" s="9"/>
      <c r="FD118" s="9"/>
      <c r="FE118" s="9"/>
      <c r="FF118" s="9"/>
      <c r="FG118" s="9"/>
      <c r="FH118" s="9"/>
      <c r="FI118" s="9"/>
      <c r="FJ118" s="9"/>
      <c r="FK118" s="9"/>
      <c r="FL118" s="9"/>
      <c r="FM118" s="9"/>
      <c r="FN118" s="9"/>
      <c r="FO118" s="9"/>
      <c r="FP118" s="9"/>
      <c r="FQ118" s="9"/>
      <c r="FR118" s="9"/>
      <c r="FS118" s="9"/>
      <c r="FT118" s="9"/>
      <c r="FU118" s="9"/>
      <c r="FV118" s="9"/>
      <c r="FW118" s="9"/>
      <c r="FX118" s="9"/>
      <c r="FY118" s="9"/>
      <c r="FZ118" s="9"/>
      <c r="GA118" s="9"/>
      <c r="GB118" s="9"/>
      <c r="GC118" s="9"/>
      <c r="GD118" s="9"/>
      <c r="GE118" s="9"/>
      <c r="GF118" s="9"/>
      <c r="GG118" s="9"/>
      <c r="GH118" s="9"/>
      <c r="GI118" s="9"/>
      <c r="GJ118" s="9"/>
      <c r="GK118" s="9"/>
      <c r="GL118" s="9"/>
      <c r="GM118" s="9"/>
      <c r="GN118" s="9"/>
      <c r="GO118" s="9"/>
      <c r="GP118" s="9"/>
      <c r="GQ118" s="9"/>
      <c r="GR118" s="9"/>
      <c r="GS118" s="9"/>
      <c r="GT118" s="9"/>
      <c r="GU118" s="9"/>
      <c r="GV118" s="9"/>
      <c r="GW118" s="9"/>
      <c r="GX118" s="9"/>
      <c r="GY118" s="9"/>
      <c r="GZ118" s="9"/>
      <c r="HA118" s="9"/>
      <c r="HB118" s="9"/>
      <c r="HC118" s="9"/>
      <c r="HD118" s="9"/>
      <c r="HE118" s="9"/>
      <c r="HF118" s="9"/>
      <c r="HG118" s="9"/>
      <c r="HH118" s="9"/>
      <c r="HI118" s="9"/>
      <c r="HJ118" s="9"/>
      <c r="HK118" s="9"/>
      <c r="HR118" t="s">
        <v>21</v>
      </c>
      <c r="HT118" s="4" t="s">
        <v>20</v>
      </c>
      <c r="HU118" s="58">
        <v>34335</v>
      </c>
      <c r="HV118" s="58">
        <v>36160</v>
      </c>
      <c r="HW118" s="58"/>
      <c r="HX118" s="58"/>
      <c r="IO118" s="4"/>
      <c r="IP118" t="s">
        <v>63</v>
      </c>
      <c r="IQ118" s="12" t="s">
        <v>1718</v>
      </c>
      <c r="IT118">
        <v>1995</v>
      </c>
      <c r="IU118">
        <v>1995.2</v>
      </c>
      <c r="IV118" s="4" t="s">
        <v>18</v>
      </c>
      <c r="IW118" t="s">
        <v>61</v>
      </c>
      <c r="IX118" s="12" t="s">
        <v>52</v>
      </c>
      <c r="JA118">
        <v>0.5</v>
      </c>
      <c r="JB118" t="s">
        <v>29</v>
      </c>
      <c r="JC118" t="s">
        <v>29</v>
      </c>
      <c r="JD118" t="s">
        <v>29</v>
      </c>
      <c r="JE118" t="s">
        <v>29</v>
      </c>
      <c r="JF118" t="s">
        <v>29</v>
      </c>
      <c r="JG118" t="s">
        <v>29</v>
      </c>
      <c r="JH118" t="s">
        <v>29</v>
      </c>
      <c r="JI118" t="s">
        <v>29</v>
      </c>
      <c r="JJ118" t="s">
        <v>29</v>
      </c>
      <c r="JL118" s="12" t="s">
        <v>721</v>
      </c>
      <c r="JQ118" s="4"/>
      <c r="JW118" s="4"/>
      <c r="JX118" s="4"/>
      <c r="JY118" s="4"/>
      <c r="JZ118" s="4"/>
      <c r="KA118" s="4"/>
      <c r="KB118" s="4"/>
      <c r="KG118" s="7" t="s">
        <v>12</v>
      </c>
      <c r="KK118" s="7" t="s">
        <v>719</v>
      </c>
      <c r="KL118" s="7" t="s">
        <v>51</v>
      </c>
      <c r="KN118" t="s">
        <v>29</v>
      </c>
      <c r="MZ118" t="s">
        <v>11</v>
      </c>
      <c r="NA118">
        <v>42</v>
      </c>
      <c r="NC118" s="4" t="s">
        <v>133</v>
      </c>
      <c r="NK118" t="s">
        <v>132</v>
      </c>
      <c r="NM118" s="4" t="s">
        <v>1156</v>
      </c>
      <c r="NN118" s="6" t="s">
        <v>7</v>
      </c>
      <c r="NW118" t="s">
        <v>6</v>
      </c>
      <c r="NX118" s="5" t="s">
        <v>157</v>
      </c>
      <c r="NY118" s="4" t="s">
        <v>4</v>
      </c>
      <c r="NZ118" s="3">
        <v>7.2095247149352004E-2</v>
      </c>
      <c r="OC118">
        <v>4</v>
      </c>
      <c r="OT118" t="s">
        <v>152</v>
      </c>
      <c r="OV118">
        <v>1997</v>
      </c>
      <c r="OY118" s="2" t="s">
        <v>62</v>
      </c>
      <c r="PA118" t="s">
        <v>1169</v>
      </c>
      <c r="PB118" s="58">
        <v>46094</v>
      </c>
    </row>
    <row r="119" spans="1:418" ht="15.75" thickBot="1">
      <c r="A119" s="11" t="s">
        <v>36</v>
      </c>
      <c r="B119" t="s">
        <v>35</v>
      </c>
      <c r="C119" t="s">
        <v>34</v>
      </c>
      <c r="D119" s="4" t="s">
        <v>33</v>
      </c>
      <c r="E119" t="s">
        <v>32</v>
      </c>
      <c r="F119" s="4" t="s">
        <v>31</v>
      </c>
      <c r="G119" t="s">
        <v>2</v>
      </c>
      <c r="H119" t="s">
        <v>30</v>
      </c>
      <c r="I119" s="10">
        <v>0.1</v>
      </c>
      <c r="J119" s="10">
        <v>34.566667000000002</v>
      </c>
      <c r="K119" t="s">
        <v>29</v>
      </c>
      <c r="AV119" t="s">
        <v>28</v>
      </c>
      <c r="AW119">
        <v>100</v>
      </c>
      <c r="AX119" t="s">
        <v>29</v>
      </c>
      <c r="AY119">
        <v>4</v>
      </c>
      <c r="AZ119" t="s">
        <v>27</v>
      </c>
      <c r="BA119">
        <v>1994</v>
      </c>
      <c r="BB119">
        <v>1998</v>
      </c>
      <c r="BC119" t="s">
        <v>26</v>
      </c>
      <c r="BD119" t="s">
        <v>59</v>
      </c>
      <c r="BE119" s="10" t="s">
        <v>58</v>
      </c>
      <c r="BF119" t="s">
        <v>57</v>
      </c>
      <c r="BG119" s="3" t="s">
        <v>1233</v>
      </c>
      <c r="BH119" t="s">
        <v>23</v>
      </c>
      <c r="BI119" t="s">
        <v>750</v>
      </c>
      <c r="BJ119" s="4" t="s">
        <v>22</v>
      </c>
      <c r="BK119" s="9">
        <v>53000</v>
      </c>
      <c r="EE119" t="s">
        <v>55</v>
      </c>
      <c r="EF119" s="4" t="s">
        <v>22</v>
      </c>
      <c r="EG119" s="9">
        <v>53000</v>
      </c>
      <c r="EH119" s="9"/>
      <c r="EI119" s="9"/>
      <c r="EJ119" s="9"/>
      <c r="EK119" s="9"/>
      <c r="EL119" s="9"/>
      <c r="EM119" s="9"/>
      <c r="EN119" s="9"/>
      <c r="EO119" s="9"/>
      <c r="EP119" s="9"/>
      <c r="EQ119" s="9"/>
      <c r="ER119" s="9"/>
      <c r="ES119" s="9"/>
      <c r="ET119" s="9"/>
      <c r="EU119" s="9"/>
      <c r="EV119" s="9"/>
      <c r="EW119" s="9"/>
      <c r="EX119" s="9"/>
      <c r="EY119" s="9"/>
      <c r="EZ119" s="9"/>
      <c r="FA119" s="9"/>
      <c r="FB119" s="9"/>
      <c r="FC119" s="9"/>
      <c r="FD119" s="9"/>
      <c r="FE119" s="9"/>
      <c r="FF119" s="9"/>
      <c r="FG119" s="9"/>
      <c r="FH119" s="9"/>
      <c r="FI119" s="9"/>
      <c r="FJ119" s="9"/>
      <c r="FK119" s="9"/>
      <c r="FL119" s="9"/>
      <c r="FM119" s="9"/>
      <c r="FN119" s="9"/>
      <c r="FO119" s="9"/>
      <c r="FP119" s="9"/>
      <c r="FQ119" s="9"/>
      <c r="FR119" s="9"/>
      <c r="FS119" s="9"/>
      <c r="FT119" s="9"/>
      <c r="FU119" s="9"/>
      <c r="FV119" s="9"/>
      <c r="FW119" s="9"/>
      <c r="FX119" s="9"/>
      <c r="FY119" s="9"/>
      <c r="FZ119" s="9"/>
      <c r="GA119" s="9"/>
      <c r="GB119" s="9"/>
      <c r="GC119" s="9"/>
      <c r="GD119" s="9"/>
      <c r="GE119" s="9"/>
      <c r="GF119" s="9"/>
      <c r="GG119" s="9"/>
      <c r="GH119" s="9"/>
      <c r="GI119" s="9"/>
      <c r="GJ119" s="9"/>
      <c r="GK119" s="9"/>
      <c r="GL119" s="9"/>
      <c r="GM119" s="9"/>
      <c r="GN119" s="9"/>
      <c r="GO119" s="9"/>
      <c r="GP119" s="9"/>
      <c r="GQ119" s="9"/>
      <c r="GR119" s="9"/>
      <c r="GS119" s="9"/>
      <c r="GT119" s="9"/>
      <c r="GU119" s="9"/>
      <c r="GV119" s="9"/>
      <c r="GW119" s="9"/>
      <c r="GX119" s="9"/>
      <c r="GY119" s="9"/>
      <c r="GZ119" s="9"/>
      <c r="HA119" s="9"/>
      <c r="HB119" s="9"/>
      <c r="HC119" s="9"/>
      <c r="HD119" s="9"/>
      <c r="HE119" s="9"/>
      <c r="HF119" s="9"/>
      <c r="HG119" s="9"/>
      <c r="HH119" s="9"/>
      <c r="HI119" s="9"/>
      <c r="HJ119" s="9"/>
      <c r="HK119" s="9"/>
      <c r="HR119" t="s">
        <v>21</v>
      </c>
      <c r="HT119" s="4" t="s">
        <v>20</v>
      </c>
      <c r="HU119" s="58">
        <v>34335</v>
      </c>
      <c r="HV119" s="58">
        <v>36160</v>
      </c>
      <c r="HW119" s="58"/>
      <c r="HX119" s="58"/>
      <c r="IO119" s="4"/>
      <c r="IP119" t="s">
        <v>54</v>
      </c>
      <c r="IQ119" s="12" t="s">
        <v>1719</v>
      </c>
      <c r="IT119">
        <v>1994</v>
      </c>
      <c r="IU119">
        <v>1994.2</v>
      </c>
      <c r="IV119" s="4" t="s">
        <v>18</v>
      </c>
      <c r="IW119" t="s">
        <v>53</v>
      </c>
      <c r="IX119" s="12" t="s">
        <v>52</v>
      </c>
      <c r="JA119">
        <v>0.5</v>
      </c>
      <c r="JB119" t="s">
        <v>29</v>
      </c>
      <c r="JC119" t="s">
        <v>29</v>
      </c>
      <c r="JD119" t="s">
        <v>29</v>
      </c>
      <c r="JE119" t="s">
        <v>29</v>
      </c>
      <c r="JF119" t="s">
        <v>29</v>
      </c>
      <c r="JG119" t="s">
        <v>29</v>
      </c>
      <c r="JH119" t="s">
        <v>29</v>
      </c>
      <c r="JI119" t="s">
        <v>29</v>
      </c>
      <c r="JJ119" t="s">
        <v>29</v>
      </c>
      <c r="JL119" s="12" t="s">
        <v>721</v>
      </c>
      <c r="JQ119" s="4"/>
      <c r="JW119" s="4"/>
      <c r="JX119" s="4"/>
      <c r="JY119" s="4"/>
      <c r="JZ119" s="4"/>
      <c r="KA119" s="4"/>
      <c r="KB119" s="4"/>
      <c r="KG119" s="7" t="s">
        <v>12</v>
      </c>
      <c r="KK119" s="7" t="s">
        <v>719</v>
      </c>
      <c r="KL119" s="7" t="s">
        <v>51</v>
      </c>
      <c r="KN119" t="s">
        <v>29</v>
      </c>
      <c r="MZ119" t="s">
        <v>11</v>
      </c>
      <c r="NA119">
        <v>42</v>
      </c>
      <c r="NC119" s="4" t="s">
        <v>133</v>
      </c>
      <c r="NK119" t="s">
        <v>132</v>
      </c>
      <c r="NM119" s="4" t="s">
        <v>1156</v>
      </c>
      <c r="NN119" s="6" t="s">
        <v>7</v>
      </c>
      <c r="NW119" t="s">
        <v>6</v>
      </c>
      <c r="NX119">
        <v>0.44946566080785599</v>
      </c>
      <c r="NY119" s="4" t="s">
        <v>4</v>
      </c>
      <c r="NZ119" s="3">
        <v>3.3011033503150988E-2</v>
      </c>
      <c r="OC119">
        <v>4</v>
      </c>
      <c r="OT119" t="s">
        <v>152</v>
      </c>
      <c r="OV119">
        <v>1997</v>
      </c>
      <c r="OY119" s="2" t="s">
        <v>62</v>
      </c>
      <c r="PA119" t="s">
        <v>1169</v>
      </c>
      <c r="PB119" s="58">
        <v>46094</v>
      </c>
    </row>
    <row r="120" spans="1:418" ht="15.75" thickBot="1">
      <c r="A120" s="11" t="s">
        <v>36</v>
      </c>
      <c r="B120" t="s">
        <v>35</v>
      </c>
      <c r="C120" t="s">
        <v>34</v>
      </c>
      <c r="D120" s="4" t="s">
        <v>33</v>
      </c>
      <c r="E120" t="s">
        <v>32</v>
      </c>
      <c r="F120" s="4" t="s">
        <v>31</v>
      </c>
      <c r="G120" t="s">
        <v>2</v>
      </c>
      <c r="H120" t="s">
        <v>30</v>
      </c>
      <c r="I120" s="10">
        <v>0.1</v>
      </c>
      <c r="J120" s="10">
        <v>34.566667000000002</v>
      </c>
      <c r="K120" t="s">
        <v>29</v>
      </c>
      <c r="AV120" t="s">
        <v>28</v>
      </c>
      <c r="AW120">
        <v>100</v>
      </c>
      <c r="AX120" t="s">
        <v>29</v>
      </c>
      <c r="AY120">
        <v>4</v>
      </c>
      <c r="AZ120" t="s">
        <v>27</v>
      </c>
      <c r="BA120">
        <v>1994</v>
      </c>
      <c r="BB120">
        <v>1998</v>
      </c>
      <c r="BC120" t="s">
        <v>26</v>
      </c>
      <c r="BD120" t="s">
        <v>45</v>
      </c>
      <c r="BE120" s="10" t="s">
        <v>49</v>
      </c>
      <c r="BF120" t="s">
        <v>48</v>
      </c>
      <c r="BG120" s="3" t="s">
        <v>1233</v>
      </c>
      <c r="BH120" t="s">
        <v>23</v>
      </c>
      <c r="BI120" t="s">
        <v>750</v>
      </c>
      <c r="BJ120" s="4" t="s">
        <v>22</v>
      </c>
      <c r="BK120" s="9">
        <v>53000</v>
      </c>
      <c r="EF120" s="4"/>
      <c r="EG120" s="9"/>
      <c r="EH120" s="9"/>
      <c r="EI120" s="9"/>
      <c r="EJ120" s="9"/>
      <c r="EK120" s="9"/>
      <c r="EL120" s="9"/>
      <c r="EM120" s="9"/>
      <c r="EN120" s="9"/>
      <c r="EO120" s="9"/>
      <c r="EP120" s="9"/>
      <c r="EQ120" s="9"/>
      <c r="ER120" s="9"/>
      <c r="ES120" s="9"/>
      <c r="ET120" s="9"/>
      <c r="EU120" s="9"/>
      <c r="EV120" s="9"/>
      <c r="EW120" s="9"/>
      <c r="EX120" s="9"/>
      <c r="EY120" s="9"/>
      <c r="EZ120" s="9"/>
      <c r="FA120" s="9"/>
      <c r="FB120" s="9"/>
      <c r="FC120" s="9"/>
      <c r="FD120" s="9"/>
      <c r="FE120" s="9"/>
      <c r="FF120" s="9"/>
      <c r="FG120" s="9"/>
      <c r="FH120" s="9"/>
      <c r="FI120" s="9"/>
      <c r="FJ120" s="9"/>
      <c r="FK120" s="9"/>
      <c r="FL120" s="9"/>
      <c r="FM120" s="9"/>
      <c r="FN120" s="9"/>
      <c r="FO120" s="9"/>
      <c r="FP120" s="9"/>
      <c r="FQ120" s="9"/>
      <c r="FR120" s="9"/>
      <c r="FS120" s="9"/>
      <c r="FT120" s="9"/>
      <c r="FU120" s="9"/>
      <c r="FV120" s="9"/>
      <c r="FW120" s="9"/>
      <c r="FX120" s="9"/>
      <c r="FY120" s="9"/>
      <c r="FZ120" s="9"/>
      <c r="GA120" s="9"/>
      <c r="GB120" s="9"/>
      <c r="GC120" s="9"/>
      <c r="GD120" s="9"/>
      <c r="GE120" s="9"/>
      <c r="GF120" s="9"/>
      <c r="GG120" s="9"/>
      <c r="GH120" s="9"/>
      <c r="GI120" s="9"/>
      <c r="GJ120" s="9"/>
      <c r="GK120" s="9"/>
      <c r="GL120" s="9"/>
      <c r="GM120" s="9"/>
      <c r="GN120" s="9"/>
      <c r="GO120" s="9"/>
      <c r="GP120" s="9"/>
      <c r="GQ120" s="9"/>
      <c r="GR120" s="9"/>
      <c r="GS120" s="9"/>
      <c r="GT120" s="9"/>
      <c r="GU120" s="9"/>
      <c r="GV120" s="9"/>
      <c r="GW120" s="9"/>
      <c r="GX120" s="9"/>
      <c r="GY120" s="9"/>
      <c r="GZ120" s="9"/>
      <c r="HA120" s="9"/>
      <c r="HB120" s="9"/>
      <c r="HC120" s="9"/>
      <c r="HD120" s="9"/>
      <c r="HE120" s="9"/>
      <c r="HF120" s="9"/>
      <c r="HG120" s="9"/>
      <c r="HH120" s="9"/>
      <c r="HI120" s="9"/>
      <c r="HJ120" s="9"/>
      <c r="HK120" s="9"/>
      <c r="HR120" t="s">
        <v>21</v>
      </c>
      <c r="HT120" s="4" t="s">
        <v>20</v>
      </c>
      <c r="HU120" s="58">
        <v>34335</v>
      </c>
      <c r="HV120" s="58">
        <v>36160</v>
      </c>
      <c r="HW120" s="58"/>
      <c r="HX120" s="58"/>
      <c r="IP120" t="s">
        <v>47</v>
      </c>
      <c r="IQ120" s="54" t="s">
        <v>1226</v>
      </c>
      <c r="IT120">
        <v>1995</v>
      </c>
      <c r="IU120">
        <v>1995.2</v>
      </c>
      <c r="IV120" s="4" t="s">
        <v>18</v>
      </c>
      <c r="IW120" t="s">
        <v>38</v>
      </c>
      <c r="IX120" t="s">
        <v>19</v>
      </c>
      <c r="JB120">
        <v>0</v>
      </c>
      <c r="JC120">
        <v>0</v>
      </c>
      <c r="JD120">
        <v>0</v>
      </c>
      <c r="JE120">
        <v>0</v>
      </c>
      <c r="JF120">
        <v>0</v>
      </c>
      <c r="JG120">
        <v>0</v>
      </c>
      <c r="JH120">
        <v>0</v>
      </c>
      <c r="JI120">
        <v>0</v>
      </c>
      <c r="JJ120">
        <v>0</v>
      </c>
      <c r="JL120" s="12" t="s">
        <v>721</v>
      </c>
      <c r="JQ120" s="4"/>
      <c r="JW120" s="4"/>
      <c r="JX120" s="4"/>
      <c r="JY120" s="4"/>
      <c r="JZ120" s="4"/>
      <c r="KA120" s="4"/>
      <c r="KB120" s="4"/>
      <c r="KG120" s="7" t="s">
        <v>12</v>
      </c>
      <c r="KK120" s="7" t="s">
        <v>720</v>
      </c>
      <c r="KL120" s="7"/>
      <c r="MZ120" t="s">
        <v>11</v>
      </c>
      <c r="NA120">
        <v>42</v>
      </c>
      <c r="NC120" s="4" t="s">
        <v>133</v>
      </c>
      <c r="NK120" t="s">
        <v>132</v>
      </c>
      <c r="NM120" s="4" t="s">
        <v>1156</v>
      </c>
      <c r="NN120" s="6" t="s">
        <v>7</v>
      </c>
      <c r="NW120" t="s">
        <v>6</v>
      </c>
      <c r="NX120" s="5" t="s">
        <v>156</v>
      </c>
      <c r="NY120" s="4" t="s">
        <v>4</v>
      </c>
      <c r="NZ120" s="3">
        <v>5.7057695211359005E-2</v>
      </c>
      <c r="OC120">
        <v>4</v>
      </c>
      <c r="OT120" t="s">
        <v>152</v>
      </c>
      <c r="OV120">
        <v>1997</v>
      </c>
      <c r="OY120" s="2" t="s">
        <v>62</v>
      </c>
      <c r="PA120" t="s">
        <v>1169</v>
      </c>
      <c r="PB120" s="58">
        <v>46094</v>
      </c>
    </row>
    <row r="121" spans="1:418" ht="15.75" thickBot="1">
      <c r="A121" s="11" t="s">
        <v>36</v>
      </c>
      <c r="B121" t="s">
        <v>35</v>
      </c>
      <c r="C121" t="s">
        <v>34</v>
      </c>
      <c r="D121" s="4" t="s">
        <v>33</v>
      </c>
      <c r="E121" t="s">
        <v>32</v>
      </c>
      <c r="F121" s="4" t="s">
        <v>31</v>
      </c>
      <c r="G121" t="s">
        <v>2</v>
      </c>
      <c r="H121" t="s">
        <v>30</v>
      </c>
      <c r="I121" s="10">
        <v>0.1</v>
      </c>
      <c r="J121" s="10">
        <v>34.566667000000002</v>
      </c>
      <c r="K121" t="s">
        <v>29</v>
      </c>
      <c r="AV121" t="s">
        <v>28</v>
      </c>
      <c r="AW121">
        <v>100</v>
      </c>
      <c r="AX121" t="s">
        <v>29</v>
      </c>
      <c r="AY121">
        <v>4</v>
      </c>
      <c r="AZ121" t="s">
        <v>27</v>
      </c>
      <c r="BA121">
        <v>1994</v>
      </c>
      <c r="BB121">
        <v>1998</v>
      </c>
      <c r="BC121" t="s">
        <v>26</v>
      </c>
      <c r="BD121" t="s">
        <v>45</v>
      </c>
      <c r="BE121" s="10" t="s">
        <v>44</v>
      </c>
      <c r="BF121" t="s">
        <v>43</v>
      </c>
      <c r="BG121" s="3" t="s">
        <v>1233</v>
      </c>
      <c r="BH121" t="s">
        <v>23</v>
      </c>
      <c r="BI121" t="s">
        <v>750</v>
      </c>
      <c r="BJ121" s="4" t="s">
        <v>22</v>
      </c>
      <c r="BK121" s="9">
        <v>53000</v>
      </c>
      <c r="EF121" s="4"/>
      <c r="EG121" s="9"/>
      <c r="EH121" s="9"/>
      <c r="EI121" s="9"/>
      <c r="EJ121" s="9"/>
      <c r="EK121" s="9"/>
      <c r="EL121" s="9"/>
      <c r="EM121" s="9"/>
      <c r="EN121" s="9"/>
      <c r="EO121" s="9"/>
      <c r="EP121" s="9"/>
      <c r="EQ121" s="9"/>
      <c r="ER121" s="9"/>
      <c r="ES121" s="9"/>
      <c r="ET121" s="9"/>
      <c r="EU121" s="9"/>
      <c r="EV121" s="9"/>
      <c r="EW121" s="9"/>
      <c r="EX121" s="9"/>
      <c r="EY121" s="9"/>
      <c r="EZ121" s="9"/>
      <c r="FA121" s="9"/>
      <c r="FB121" s="9"/>
      <c r="FC121" s="9"/>
      <c r="FD121" s="9"/>
      <c r="FE121" s="9"/>
      <c r="FF121" s="9"/>
      <c r="FG121" s="9"/>
      <c r="FH121" s="9"/>
      <c r="FI121" s="9"/>
      <c r="FJ121" s="9"/>
      <c r="FK121" s="9"/>
      <c r="FL121" s="9"/>
      <c r="FM121" s="9"/>
      <c r="FN121" s="9"/>
      <c r="FO121" s="9"/>
      <c r="FP121" s="9"/>
      <c r="FQ121" s="9"/>
      <c r="FR121" s="9"/>
      <c r="FS121" s="9"/>
      <c r="FT121" s="9"/>
      <c r="FU121" s="9"/>
      <c r="FV121" s="9"/>
      <c r="FW121" s="9"/>
      <c r="FX121" s="9"/>
      <c r="FY121" s="9"/>
      <c r="FZ121" s="9"/>
      <c r="GA121" s="9"/>
      <c r="GB121" s="9"/>
      <c r="GC121" s="9"/>
      <c r="GD121" s="9"/>
      <c r="GE121" s="9"/>
      <c r="GF121" s="9"/>
      <c r="GG121" s="9"/>
      <c r="GH121" s="9"/>
      <c r="GI121" s="9"/>
      <c r="GJ121" s="9"/>
      <c r="GK121" s="9"/>
      <c r="GL121" s="9"/>
      <c r="GM121" s="9"/>
      <c r="GN121" s="9"/>
      <c r="GO121" s="9"/>
      <c r="GP121" s="9"/>
      <c r="GQ121" s="9"/>
      <c r="GR121" s="9"/>
      <c r="GS121" s="9"/>
      <c r="GT121" s="9"/>
      <c r="GU121" s="9"/>
      <c r="GV121" s="9"/>
      <c r="GW121" s="9"/>
      <c r="GX121" s="9"/>
      <c r="GY121" s="9"/>
      <c r="GZ121" s="9"/>
      <c r="HA121" s="9"/>
      <c r="HB121" s="9"/>
      <c r="HC121" s="9"/>
      <c r="HD121" s="9"/>
      <c r="HE121" s="9"/>
      <c r="HF121" s="9"/>
      <c r="HG121" s="9"/>
      <c r="HH121" s="9"/>
      <c r="HI121" s="9"/>
      <c r="HJ121" s="9"/>
      <c r="HK121" s="9"/>
      <c r="HR121" t="s">
        <v>21</v>
      </c>
      <c r="HT121" s="4" t="s">
        <v>20</v>
      </c>
      <c r="HU121" s="58">
        <v>34335</v>
      </c>
      <c r="HV121" s="58">
        <v>36160</v>
      </c>
      <c r="HW121" s="58"/>
      <c r="HX121" s="58"/>
      <c r="IP121" t="s">
        <v>42</v>
      </c>
      <c r="IQ121" s="13" t="s">
        <v>1227</v>
      </c>
      <c r="IT121">
        <v>1994</v>
      </c>
      <c r="IU121">
        <v>1994.2</v>
      </c>
      <c r="IV121" s="4" t="s">
        <v>18</v>
      </c>
      <c r="IW121" t="s">
        <v>38</v>
      </c>
      <c r="IX121" t="s">
        <v>19</v>
      </c>
      <c r="JB121">
        <v>0</v>
      </c>
      <c r="JC121">
        <v>0</v>
      </c>
      <c r="JD121">
        <v>0</v>
      </c>
      <c r="JE121">
        <v>0</v>
      </c>
      <c r="JF121">
        <v>0</v>
      </c>
      <c r="JG121">
        <v>0</v>
      </c>
      <c r="JH121">
        <v>0</v>
      </c>
      <c r="JI121">
        <v>0</v>
      </c>
      <c r="JJ121">
        <v>0</v>
      </c>
      <c r="JL121" s="12" t="s">
        <v>721</v>
      </c>
      <c r="JQ121" s="4"/>
      <c r="JW121" s="4"/>
      <c r="JX121" s="4"/>
      <c r="JY121" s="4"/>
      <c r="JZ121" s="4"/>
      <c r="KA121" s="4"/>
      <c r="KB121" s="4"/>
      <c r="KG121" s="7" t="s">
        <v>12</v>
      </c>
      <c r="KK121" s="7" t="s">
        <v>720</v>
      </c>
      <c r="KL121" s="7"/>
      <c r="MZ121" t="s">
        <v>11</v>
      </c>
      <c r="NA121">
        <v>42</v>
      </c>
      <c r="NC121" s="4" t="s">
        <v>133</v>
      </c>
      <c r="NK121" t="s">
        <v>132</v>
      </c>
      <c r="NM121" s="4" t="s">
        <v>1156</v>
      </c>
      <c r="NN121" s="6" t="s">
        <v>7</v>
      </c>
      <c r="NW121" t="s">
        <v>6</v>
      </c>
      <c r="NX121" s="5" t="s">
        <v>155</v>
      </c>
      <c r="NY121" s="4" t="s">
        <v>4</v>
      </c>
      <c r="NZ121" s="3">
        <v>8.4073840028185021E-2</v>
      </c>
      <c r="OC121">
        <v>4</v>
      </c>
      <c r="OT121" t="s">
        <v>152</v>
      </c>
      <c r="OV121">
        <v>1997</v>
      </c>
      <c r="OY121" s="2" t="s">
        <v>62</v>
      </c>
      <c r="PA121" t="s">
        <v>1169</v>
      </c>
      <c r="PB121" s="58">
        <v>46094</v>
      </c>
    </row>
    <row r="122" spans="1:418" ht="15.75" thickBot="1">
      <c r="A122" s="11" t="s">
        <v>36</v>
      </c>
      <c r="B122" t="s">
        <v>35</v>
      </c>
      <c r="C122" t="s">
        <v>34</v>
      </c>
      <c r="D122" s="4" t="s">
        <v>33</v>
      </c>
      <c r="E122" t="s">
        <v>32</v>
      </c>
      <c r="F122" s="4" t="s">
        <v>31</v>
      </c>
      <c r="G122" t="s">
        <v>2</v>
      </c>
      <c r="H122" t="s">
        <v>30</v>
      </c>
      <c r="I122" s="10">
        <v>0.1</v>
      </c>
      <c r="J122" s="10">
        <v>34.566667000000002</v>
      </c>
      <c r="K122" t="s">
        <v>29</v>
      </c>
      <c r="AV122" t="s">
        <v>28</v>
      </c>
      <c r="AW122">
        <v>100</v>
      </c>
      <c r="AX122" t="s">
        <v>29</v>
      </c>
      <c r="AY122">
        <v>4</v>
      </c>
      <c r="AZ122" t="s">
        <v>27</v>
      </c>
      <c r="BA122">
        <v>1994</v>
      </c>
      <c r="BB122">
        <v>1998</v>
      </c>
      <c r="BC122" t="s">
        <v>26</v>
      </c>
      <c r="BD122" t="s">
        <v>19</v>
      </c>
      <c r="BE122" s="10" t="s">
        <v>40</v>
      </c>
      <c r="BF122" t="s">
        <v>39</v>
      </c>
      <c r="BG122" s="3" t="s">
        <v>1233</v>
      </c>
      <c r="BH122" t="s">
        <v>23</v>
      </c>
      <c r="BI122" t="s">
        <v>750</v>
      </c>
      <c r="BJ122" s="4" t="s">
        <v>22</v>
      </c>
      <c r="BK122" s="9">
        <v>53000</v>
      </c>
      <c r="HR122" t="s">
        <v>21</v>
      </c>
      <c r="HT122" s="4" t="s">
        <v>20</v>
      </c>
      <c r="HU122" s="58">
        <v>34335</v>
      </c>
      <c r="HV122" s="58">
        <v>36160</v>
      </c>
      <c r="HW122" s="58"/>
      <c r="HX122" s="58"/>
      <c r="IP122" t="s">
        <v>38</v>
      </c>
      <c r="IQ122" s="54" t="s">
        <v>19</v>
      </c>
      <c r="IV122" s="4" t="s">
        <v>18</v>
      </c>
      <c r="IW122" t="s">
        <v>38</v>
      </c>
      <c r="IX122" s="54" t="s">
        <v>19</v>
      </c>
      <c r="JB122">
        <v>0</v>
      </c>
      <c r="JC122">
        <v>0</v>
      </c>
      <c r="JD122">
        <v>0</v>
      </c>
      <c r="JE122">
        <v>0</v>
      </c>
      <c r="JF122">
        <v>0</v>
      </c>
      <c r="JG122">
        <v>0</v>
      </c>
      <c r="JH122">
        <v>0</v>
      </c>
      <c r="JI122">
        <v>0</v>
      </c>
      <c r="JJ122">
        <v>0</v>
      </c>
      <c r="JL122" s="12" t="s">
        <v>721</v>
      </c>
      <c r="JQ122" s="4"/>
      <c r="JW122" s="4"/>
      <c r="JX122" s="4"/>
      <c r="JY122" s="4"/>
      <c r="JZ122" s="4"/>
      <c r="KA122" s="4"/>
      <c r="KB122" s="4"/>
      <c r="KG122" s="7" t="s">
        <v>12</v>
      </c>
      <c r="KK122" s="7" t="s">
        <v>720</v>
      </c>
      <c r="KL122" s="7"/>
      <c r="MZ122" t="s">
        <v>11</v>
      </c>
      <c r="NA122">
        <v>42</v>
      </c>
      <c r="NC122" s="4" t="s">
        <v>133</v>
      </c>
      <c r="NK122" t="s">
        <v>132</v>
      </c>
      <c r="NM122" s="4" t="s">
        <v>1156</v>
      </c>
      <c r="NN122" s="6" t="s">
        <v>7</v>
      </c>
      <c r="NV122" t="s">
        <v>735</v>
      </c>
      <c r="NW122" t="s">
        <v>6</v>
      </c>
      <c r="NX122" s="5" t="s">
        <v>154</v>
      </c>
      <c r="NY122" s="4" t="s">
        <v>4</v>
      </c>
      <c r="NZ122" s="3">
        <v>4.8093323416414979E-2</v>
      </c>
      <c r="OC122">
        <v>4</v>
      </c>
      <c r="OT122" t="s">
        <v>152</v>
      </c>
      <c r="OV122">
        <v>1997</v>
      </c>
      <c r="OY122" s="2" t="s">
        <v>62</v>
      </c>
      <c r="PA122" t="s">
        <v>1169</v>
      </c>
      <c r="PB122" s="58">
        <v>46094</v>
      </c>
    </row>
    <row r="123" spans="1:418" ht="15.75" thickBot="1">
      <c r="A123" s="11" t="s">
        <v>36</v>
      </c>
      <c r="B123" t="s">
        <v>35</v>
      </c>
      <c r="C123" t="s">
        <v>34</v>
      </c>
      <c r="D123" s="4" t="s">
        <v>33</v>
      </c>
      <c r="E123" t="s">
        <v>32</v>
      </c>
      <c r="F123" s="4" t="s">
        <v>31</v>
      </c>
      <c r="G123" t="s">
        <v>2</v>
      </c>
      <c r="H123" t="s">
        <v>30</v>
      </c>
      <c r="I123" s="10">
        <v>0.1</v>
      </c>
      <c r="J123" s="10">
        <v>34.566667000000002</v>
      </c>
      <c r="K123" t="s">
        <v>29</v>
      </c>
      <c r="AV123" t="s">
        <v>28</v>
      </c>
      <c r="AW123">
        <v>100</v>
      </c>
      <c r="AX123" t="s">
        <v>29</v>
      </c>
      <c r="AY123">
        <v>4</v>
      </c>
      <c r="AZ123" t="s">
        <v>27</v>
      </c>
      <c r="BA123">
        <v>1994</v>
      </c>
      <c r="BB123">
        <v>1998</v>
      </c>
      <c r="BC123" t="s">
        <v>26</v>
      </c>
      <c r="BD123" t="s">
        <v>19</v>
      </c>
      <c r="BE123" s="10" t="s">
        <v>25</v>
      </c>
      <c r="BF123" t="s">
        <v>24</v>
      </c>
      <c r="BG123" s="3" t="s">
        <v>1233</v>
      </c>
      <c r="BH123" t="s">
        <v>23</v>
      </c>
      <c r="BI123" t="s">
        <v>750</v>
      </c>
      <c r="BJ123" s="4" t="s">
        <v>22</v>
      </c>
      <c r="BK123" s="9">
        <v>53000</v>
      </c>
      <c r="HR123" t="s">
        <v>21</v>
      </c>
      <c r="HT123" s="4" t="s">
        <v>20</v>
      </c>
      <c r="HU123" s="58">
        <v>34335</v>
      </c>
      <c r="HV123" s="58">
        <v>36160</v>
      </c>
      <c r="HW123" s="58"/>
      <c r="HX123" s="58"/>
      <c r="IP123" t="s">
        <v>16</v>
      </c>
      <c r="IQ123" s="54" t="s">
        <v>19</v>
      </c>
      <c r="IV123" s="4" t="s">
        <v>18</v>
      </c>
      <c r="IW123" t="s">
        <v>17</v>
      </c>
      <c r="IX123" s="54" t="s">
        <v>19</v>
      </c>
      <c r="JB123">
        <v>0</v>
      </c>
      <c r="JC123">
        <v>0</v>
      </c>
      <c r="JD123">
        <v>0</v>
      </c>
      <c r="JE123">
        <v>0</v>
      </c>
      <c r="JF123">
        <v>0</v>
      </c>
      <c r="JG123">
        <v>0</v>
      </c>
      <c r="JH123">
        <v>0</v>
      </c>
      <c r="JI123">
        <v>0</v>
      </c>
      <c r="JJ123">
        <v>0</v>
      </c>
      <c r="JK123" t="s">
        <v>16</v>
      </c>
      <c r="JL123" t="s">
        <v>15</v>
      </c>
      <c r="JM123" s="8" t="s">
        <v>14</v>
      </c>
      <c r="JQ123" s="4" t="s">
        <v>13</v>
      </c>
      <c r="JR123">
        <v>60</v>
      </c>
      <c r="JU123">
        <v>60</v>
      </c>
      <c r="JW123" s="4"/>
      <c r="JX123" s="4"/>
      <c r="JY123" s="4"/>
      <c r="JZ123" s="4"/>
      <c r="KA123" s="4"/>
      <c r="KB123" s="4"/>
      <c r="KG123" s="7" t="s">
        <v>12</v>
      </c>
      <c r="KK123" s="7" t="s">
        <v>720</v>
      </c>
      <c r="KL123" s="7"/>
      <c r="MZ123" t="s">
        <v>11</v>
      </c>
      <c r="NA123">
        <v>42</v>
      </c>
      <c r="NC123" s="4" t="s">
        <v>133</v>
      </c>
      <c r="NK123" t="s">
        <v>132</v>
      </c>
      <c r="NM123" s="4" t="s">
        <v>1156</v>
      </c>
      <c r="NN123" s="6" t="s">
        <v>7</v>
      </c>
      <c r="NV123" t="s">
        <v>747</v>
      </c>
      <c r="NW123" t="s">
        <v>6</v>
      </c>
      <c r="NX123" s="5" t="s">
        <v>153</v>
      </c>
      <c r="NY123" s="4" t="s">
        <v>4</v>
      </c>
      <c r="NZ123" s="3">
        <v>2.1021256130499988E-2</v>
      </c>
      <c r="OC123">
        <v>4</v>
      </c>
      <c r="OT123" t="s">
        <v>152</v>
      </c>
      <c r="OV123">
        <v>1997</v>
      </c>
      <c r="OY123" s="2" t="s">
        <v>62</v>
      </c>
      <c r="PA123" t="s">
        <v>1169</v>
      </c>
      <c r="PB123" s="58">
        <v>46094</v>
      </c>
    </row>
    <row r="124" spans="1:418" ht="15.75" thickBot="1">
      <c r="A124" s="11" t="s">
        <v>36</v>
      </c>
      <c r="B124" t="s">
        <v>35</v>
      </c>
      <c r="C124" t="s">
        <v>34</v>
      </c>
      <c r="D124" s="4" t="s">
        <v>33</v>
      </c>
      <c r="E124" t="s">
        <v>32</v>
      </c>
      <c r="F124" s="4" t="s">
        <v>31</v>
      </c>
      <c r="G124" t="s">
        <v>2</v>
      </c>
      <c r="H124" t="s">
        <v>30</v>
      </c>
      <c r="I124" s="10">
        <v>0.1</v>
      </c>
      <c r="J124" s="10">
        <v>34.566667000000002</v>
      </c>
      <c r="K124" t="s">
        <v>29</v>
      </c>
      <c r="AV124" t="s">
        <v>28</v>
      </c>
      <c r="AW124">
        <v>100</v>
      </c>
      <c r="AX124" t="s">
        <v>29</v>
      </c>
      <c r="AY124">
        <v>4</v>
      </c>
      <c r="AZ124" t="s">
        <v>27</v>
      </c>
      <c r="BA124">
        <v>1994</v>
      </c>
      <c r="BB124">
        <v>1998</v>
      </c>
      <c r="BC124" t="s">
        <v>26</v>
      </c>
      <c r="BD124" t="s">
        <v>59</v>
      </c>
      <c r="BE124" s="10" t="s">
        <v>65</v>
      </c>
      <c r="BF124" t="s">
        <v>64</v>
      </c>
      <c r="BG124" s="3" t="s">
        <v>1233</v>
      </c>
      <c r="BH124" t="s">
        <v>23</v>
      </c>
      <c r="BI124" t="s">
        <v>750</v>
      </c>
      <c r="BJ124" s="4" t="s">
        <v>22</v>
      </c>
      <c r="BK124" s="9">
        <v>53000</v>
      </c>
      <c r="EE124" t="s">
        <v>55</v>
      </c>
      <c r="EF124" s="4" t="s">
        <v>22</v>
      </c>
      <c r="EG124" s="9">
        <v>53000</v>
      </c>
      <c r="EH124" s="9"/>
      <c r="EI124" s="9"/>
      <c r="EJ124" s="9"/>
      <c r="EK124" s="9"/>
      <c r="EL124" s="9"/>
      <c r="EM124" s="9"/>
      <c r="EN124" s="9"/>
      <c r="EO124" s="9"/>
      <c r="EP124" s="9"/>
      <c r="EQ124" s="9"/>
      <c r="ER124" s="9"/>
      <c r="ES124" s="9"/>
      <c r="ET124" s="9"/>
      <c r="EU124" s="9"/>
      <c r="EV124" s="9"/>
      <c r="EW124" s="9"/>
      <c r="EX124" s="9"/>
      <c r="EY124" s="9"/>
      <c r="EZ124" s="9"/>
      <c r="FA124" s="9"/>
      <c r="FB124" s="9"/>
      <c r="FC124" s="9"/>
      <c r="FD124" s="9"/>
      <c r="FE124" s="9"/>
      <c r="FF124" s="9"/>
      <c r="FG124" s="9"/>
      <c r="FH124" s="9"/>
      <c r="FI124" s="9"/>
      <c r="FJ124" s="9"/>
      <c r="FK124" s="9"/>
      <c r="FL124" s="9"/>
      <c r="FM124" s="9"/>
      <c r="FN124" s="9"/>
      <c r="FO124" s="9"/>
      <c r="FP124" s="9"/>
      <c r="FQ124" s="9"/>
      <c r="FR124" s="9"/>
      <c r="FS124" s="9"/>
      <c r="FT124" s="9"/>
      <c r="FU124" s="9"/>
      <c r="FV124" s="9"/>
      <c r="FW124" s="9"/>
      <c r="FX124" s="9"/>
      <c r="FY124" s="9"/>
      <c r="FZ124" s="9"/>
      <c r="GA124" s="9"/>
      <c r="GB124" s="9"/>
      <c r="GC124" s="9"/>
      <c r="GD124" s="9"/>
      <c r="GE124" s="9"/>
      <c r="GF124" s="9"/>
      <c r="GG124" s="9"/>
      <c r="GH124" s="9"/>
      <c r="GI124" s="9"/>
      <c r="GJ124" s="9"/>
      <c r="GK124" s="9"/>
      <c r="GL124" s="9"/>
      <c r="GM124" s="9"/>
      <c r="GN124" s="9"/>
      <c r="GO124" s="9"/>
      <c r="GP124" s="9"/>
      <c r="GQ124" s="9"/>
      <c r="GR124" s="9"/>
      <c r="GS124" s="9"/>
      <c r="GT124" s="9"/>
      <c r="GU124" s="9"/>
      <c r="GV124" s="9"/>
      <c r="GW124" s="9"/>
      <c r="GX124" s="9"/>
      <c r="GY124" s="9"/>
      <c r="GZ124" s="9"/>
      <c r="HA124" s="9"/>
      <c r="HB124" s="9"/>
      <c r="HC124" s="9"/>
      <c r="HD124" s="9"/>
      <c r="HE124" s="9"/>
      <c r="HF124" s="9"/>
      <c r="HG124" s="9"/>
      <c r="HH124" s="9"/>
      <c r="HI124" s="9"/>
      <c r="HJ124" s="9"/>
      <c r="HK124" s="9"/>
      <c r="HR124" t="s">
        <v>21</v>
      </c>
      <c r="HT124" s="4" t="s">
        <v>20</v>
      </c>
      <c r="HU124" s="58">
        <v>34335</v>
      </c>
      <c r="HV124" s="58">
        <v>36160</v>
      </c>
      <c r="HW124" s="58"/>
      <c r="HX124" s="58"/>
      <c r="IO124" s="4"/>
      <c r="IP124" t="s">
        <v>63</v>
      </c>
      <c r="IQ124" s="12" t="s">
        <v>1718</v>
      </c>
      <c r="IT124">
        <v>1995</v>
      </c>
      <c r="IU124">
        <v>1995.2</v>
      </c>
      <c r="IV124" s="4" t="s">
        <v>18</v>
      </c>
      <c r="IW124" t="s">
        <v>61</v>
      </c>
      <c r="IX124" s="12" t="s">
        <v>52</v>
      </c>
      <c r="JA124">
        <v>0.5</v>
      </c>
      <c r="JB124" t="s">
        <v>29</v>
      </c>
      <c r="JC124" t="s">
        <v>29</v>
      </c>
      <c r="JD124" t="s">
        <v>29</v>
      </c>
      <c r="JE124" t="s">
        <v>29</v>
      </c>
      <c r="JF124" t="s">
        <v>29</v>
      </c>
      <c r="JG124" t="s">
        <v>29</v>
      </c>
      <c r="JH124" t="s">
        <v>29</v>
      </c>
      <c r="JI124" t="s">
        <v>29</v>
      </c>
      <c r="JJ124" t="s">
        <v>29</v>
      </c>
      <c r="JL124" s="12" t="s">
        <v>721</v>
      </c>
      <c r="JQ124" s="4"/>
      <c r="JW124" s="4"/>
      <c r="JX124" s="4"/>
      <c r="JY124" s="4"/>
      <c r="JZ124" s="4"/>
      <c r="KA124" s="4"/>
      <c r="KB124" s="4"/>
      <c r="KG124" s="7" t="s">
        <v>12</v>
      </c>
      <c r="KK124" s="7" t="s">
        <v>719</v>
      </c>
      <c r="KL124" s="7" t="s">
        <v>51</v>
      </c>
      <c r="KN124" t="s">
        <v>29</v>
      </c>
      <c r="MZ124" t="s">
        <v>11</v>
      </c>
      <c r="NA124">
        <v>42</v>
      </c>
      <c r="NC124" s="4" t="s">
        <v>133</v>
      </c>
      <c r="NK124" t="s">
        <v>132</v>
      </c>
      <c r="NM124" s="4" t="s">
        <v>1156</v>
      </c>
      <c r="NN124" s="6" t="s">
        <v>7</v>
      </c>
      <c r="NW124" t="s">
        <v>6</v>
      </c>
      <c r="NX124" s="5" t="s">
        <v>151</v>
      </c>
      <c r="NY124" s="4" t="s">
        <v>4</v>
      </c>
      <c r="NZ124" s="3">
        <v>6.0038362813794988E-2</v>
      </c>
      <c r="OC124">
        <v>4</v>
      </c>
      <c r="OT124" t="s">
        <v>145</v>
      </c>
      <c r="OV124">
        <v>1998</v>
      </c>
      <c r="OY124" s="2" t="s">
        <v>62</v>
      </c>
      <c r="PA124" t="s">
        <v>1169</v>
      </c>
      <c r="PB124" s="58">
        <v>46094</v>
      </c>
    </row>
    <row r="125" spans="1:418" ht="15.75" thickBot="1">
      <c r="A125" s="11" t="s">
        <v>36</v>
      </c>
      <c r="B125" t="s">
        <v>35</v>
      </c>
      <c r="C125" t="s">
        <v>34</v>
      </c>
      <c r="D125" s="4" t="s">
        <v>33</v>
      </c>
      <c r="E125" t="s">
        <v>32</v>
      </c>
      <c r="F125" s="4" t="s">
        <v>31</v>
      </c>
      <c r="G125" t="s">
        <v>2</v>
      </c>
      <c r="H125" t="s">
        <v>30</v>
      </c>
      <c r="I125" s="10">
        <v>0.1</v>
      </c>
      <c r="J125" s="10">
        <v>34.566667000000002</v>
      </c>
      <c r="K125" t="s">
        <v>29</v>
      </c>
      <c r="AV125" t="s">
        <v>28</v>
      </c>
      <c r="AW125">
        <v>100</v>
      </c>
      <c r="AX125" t="s">
        <v>29</v>
      </c>
      <c r="AY125">
        <v>4</v>
      </c>
      <c r="AZ125" t="s">
        <v>27</v>
      </c>
      <c r="BA125">
        <v>1994</v>
      </c>
      <c r="BB125">
        <v>1998</v>
      </c>
      <c r="BC125" t="s">
        <v>26</v>
      </c>
      <c r="BD125" t="s">
        <v>59</v>
      </c>
      <c r="BE125" s="10" t="s">
        <v>58</v>
      </c>
      <c r="BF125" t="s">
        <v>57</v>
      </c>
      <c r="BG125" s="3" t="s">
        <v>1233</v>
      </c>
      <c r="BH125" t="s">
        <v>23</v>
      </c>
      <c r="BI125" t="s">
        <v>750</v>
      </c>
      <c r="BJ125" s="4" t="s">
        <v>22</v>
      </c>
      <c r="BK125" s="9">
        <v>53000</v>
      </c>
      <c r="EE125" t="s">
        <v>55</v>
      </c>
      <c r="EF125" s="4" t="s">
        <v>22</v>
      </c>
      <c r="EG125" s="9">
        <v>53000</v>
      </c>
      <c r="EH125" s="9"/>
      <c r="EI125" s="9"/>
      <c r="EJ125" s="9"/>
      <c r="EK125" s="9"/>
      <c r="EL125" s="9"/>
      <c r="EM125" s="9"/>
      <c r="EN125" s="9"/>
      <c r="EO125" s="9"/>
      <c r="EP125" s="9"/>
      <c r="EQ125" s="9"/>
      <c r="ER125" s="9"/>
      <c r="ES125" s="9"/>
      <c r="ET125" s="9"/>
      <c r="EU125" s="9"/>
      <c r="EV125" s="9"/>
      <c r="EW125" s="9"/>
      <c r="EX125" s="9"/>
      <c r="EY125" s="9"/>
      <c r="EZ125" s="9"/>
      <c r="FA125" s="9"/>
      <c r="FB125" s="9"/>
      <c r="FC125" s="9"/>
      <c r="FD125" s="9"/>
      <c r="FE125" s="9"/>
      <c r="FF125" s="9"/>
      <c r="FG125" s="9"/>
      <c r="FH125" s="9"/>
      <c r="FI125" s="9"/>
      <c r="FJ125" s="9"/>
      <c r="FK125" s="9"/>
      <c r="FL125" s="9"/>
      <c r="FM125" s="9"/>
      <c r="FN125" s="9"/>
      <c r="FO125" s="9"/>
      <c r="FP125" s="9"/>
      <c r="FQ125" s="9"/>
      <c r="FR125" s="9"/>
      <c r="FS125" s="9"/>
      <c r="FT125" s="9"/>
      <c r="FU125" s="9"/>
      <c r="FV125" s="9"/>
      <c r="FW125" s="9"/>
      <c r="FX125" s="9"/>
      <c r="FY125" s="9"/>
      <c r="FZ125" s="9"/>
      <c r="GA125" s="9"/>
      <c r="GB125" s="9"/>
      <c r="GC125" s="9"/>
      <c r="GD125" s="9"/>
      <c r="GE125" s="9"/>
      <c r="GF125" s="9"/>
      <c r="GG125" s="9"/>
      <c r="GH125" s="9"/>
      <c r="GI125" s="9"/>
      <c r="GJ125" s="9"/>
      <c r="GK125" s="9"/>
      <c r="GL125" s="9"/>
      <c r="GM125" s="9"/>
      <c r="GN125" s="9"/>
      <c r="GO125" s="9"/>
      <c r="GP125" s="9"/>
      <c r="GQ125" s="9"/>
      <c r="GR125" s="9"/>
      <c r="GS125" s="9"/>
      <c r="GT125" s="9"/>
      <c r="GU125" s="9"/>
      <c r="GV125" s="9"/>
      <c r="GW125" s="9"/>
      <c r="GX125" s="9"/>
      <c r="GY125" s="9"/>
      <c r="GZ125" s="9"/>
      <c r="HA125" s="9"/>
      <c r="HB125" s="9"/>
      <c r="HC125" s="9"/>
      <c r="HD125" s="9"/>
      <c r="HE125" s="9"/>
      <c r="HF125" s="9"/>
      <c r="HG125" s="9"/>
      <c r="HH125" s="9"/>
      <c r="HI125" s="9"/>
      <c r="HJ125" s="9"/>
      <c r="HK125" s="9"/>
      <c r="HR125" t="s">
        <v>21</v>
      </c>
      <c r="HT125" s="4" t="s">
        <v>20</v>
      </c>
      <c r="HU125" s="58">
        <v>34335</v>
      </c>
      <c r="HV125" s="58">
        <v>36160</v>
      </c>
      <c r="HW125" s="58"/>
      <c r="HX125" s="58"/>
      <c r="IO125" s="4"/>
      <c r="IP125" t="s">
        <v>54</v>
      </c>
      <c r="IQ125" s="12" t="s">
        <v>1719</v>
      </c>
      <c r="IT125">
        <v>1994</v>
      </c>
      <c r="IU125">
        <v>1994.2</v>
      </c>
      <c r="IV125" s="4" t="s">
        <v>18</v>
      </c>
      <c r="IW125" t="s">
        <v>53</v>
      </c>
      <c r="IX125" s="12" t="s">
        <v>52</v>
      </c>
      <c r="JA125">
        <v>0.5</v>
      </c>
      <c r="JB125" t="s">
        <v>29</v>
      </c>
      <c r="JC125" t="s">
        <v>29</v>
      </c>
      <c r="JD125" t="s">
        <v>29</v>
      </c>
      <c r="JE125" t="s">
        <v>29</v>
      </c>
      <c r="JF125" t="s">
        <v>29</v>
      </c>
      <c r="JG125" t="s">
        <v>29</v>
      </c>
      <c r="JH125" t="s">
        <v>29</v>
      </c>
      <c r="JI125" t="s">
        <v>29</v>
      </c>
      <c r="JJ125" t="s">
        <v>29</v>
      </c>
      <c r="JL125" s="12" t="s">
        <v>721</v>
      </c>
      <c r="JQ125" s="4"/>
      <c r="JW125" s="4"/>
      <c r="JX125" s="4"/>
      <c r="JY125" s="4"/>
      <c r="JZ125" s="4"/>
      <c r="KA125" s="4"/>
      <c r="KB125" s="4"/>
      <c r="KG125" s="7" t="s">
        <v>12</v>
      </c>
      <c r="KK125" s="7" t="s">
        <v>719</v>
      </c>
      <c r="KL125" s="7" t="s">
        <v>51</v>
      </c>
      <c r="KN125" t="s">
        <v>29</v>
      </c>
      <c r="MZ125" t="s">
        <v>11</v>
      </c>
      <c r="NA125">
        <v>42</v>
      </c>
      <c r="NC125" s="4" t="s">
        <v>133</v>
      </c>
      <c r="NK125" t="s">
        <v>132</v>
      </c>
      <c r="NM125" s="4" t="s">
        <v>1156</v>
      </c>
      <c r="NN125" s="6" t="s">
        <v>7</v>
      </c>
      <c r="NW125" t="s">
        <v>6</v>
      </c>
      <c r="NX125" s="5" t="s">
        <v>150</v>
      </c>
      <c r="NY125" s="4" t="s">
        <v>4</v>
      </c>
      <c r="NZ125" s="3">
        <v>3.000799691307901E-2</v>
      </c>
      <c r="OC125">
        <v>4</v>
      </c>
      <c r="OT125" t="s">
        <v>145</v>
      </c>
      <c r="OV125">
        <v>1998</v>
      </c>
      <c r="OY125" s="2" t="s">
        <v>62</v>
      </c>
      <c r="PA125" t="s">
        <v>1169</v>
      </c>
      <c r="PB125" s="58">
        <v>46094</v>
      </c>
    </row>
    <row r="126" spans="1:418" ht="15.75" thickBot="1">
      <c r="A126" s="11" t="s">
        <v>36</v>
      </c>
      <c r="B126" t="s">
        <v>35</v>
      </c>
      <c r="C126" t="s">
        <v>34</v>
      </c>
      <c r="D126" s="4" t="s">
        <v>33</v>
      </c>
      <c r="E126" t="s">
        <v>32</v>
      </c>
      <c r="F126" s="4" t="s">
        <v>31</v>
      </c>
      <c r="G126" t="s">
        <v>2</v>
      </c>
      <c r="H126" t="s">
        <v>30</v>
      </c>
      <c r="I126" s="10">
        <v>0.1</v>
      </c>
      <c r="J126" s="10">
        <v>34.566667000000002</v>
      </c>
      <c r="K126" t="s">
        <v>29</v>
      </c>
      <c r="AV126" t="s">
        <v>28</v>
      </c>
      <c r="AW126">
        <v>100</v>
      </c>
      <c r="AX126" t="s">
        <v>29</v>
      </c>
      <c r="AY126">
        <v>4</v>
      </c>
      <c r="AZ126" t="s">
        <v>27</v>
      </c>
      <c r="BA126">
        <v>1994</v>
      </c>
      <c r="BB126">
        <v>1998</v>
      </c>
      <c r="BC126" t="s">
        <v>26</v>
      </c>
      <c r="BD126" t="s">
        <v>45</v>
      </c>
      <c r="BE126" s="10" t="s">
        <v>49</v>
      </c>
      <c r="BF126" t="s">
        <v>48</v>
      </c>
      <c r="BG126" s="3" t="s">
        <v>1233</v>
      </c>
      <c r="BH126" t="s">
        <v>23</v>
      </c>
      <c r="BI126" t="s">
        <v>750</v>
      </c>
      <c r="BJ126" s="4" t="s">
        <v>22</v>
      </c>
      <c r="BK126" s="9">
        <v>53000</v>
      </c>
      <c r="EF126" s="4"/>
      <c r="EG126" s="9"/>
      <c r="EH126" s="9"/>
      <c r="EI126" s="9"/>
      <c r="EJ126" s="9"/>
      <c r="EK126" s="9"/>
      <c r="EL126" s="9"/>
      <c r="EM126" s="9"/>
      <c r="EN126" s="9"/>
      <c r="EO126" s="9"/>
      <c r="EP126" s="9"/>
      <c r="EQ126" s="9"/>
      <c r="ER126" s="9"/>
      <c r="ES126" s="9"/>
      <c r="ET126" s="9"/>
      <c r="EU126" s="9"/>
      <c r="EV126" s="9"/>
      <c r="EW126" s="9"/>
      <c r="EX126" s="9"/>
      <c r="EY126" s="9"/>
      <c r="EZ126" s="9"/>
      <c r="FA126" s="9"/>
      <c r="FB126" s="9"/>
      <c r="FC126" s="9"/>
      <c r="FD126" s="9"/>
      <c r="FE126" s="9"/>
      <c r="FF126" s="9"/>
      <c r="FG126" s="9"/>
      <c r="FH126" s="9"/>
      <c r="FI126" s="9"/>
      <c r="FJ126" s="9"/>
      <c r="FK126" s="9"/>
      <c r="FL126" s="9"/>
      <c r="FM126" s="9"/>
      <c r="FN126" s="9"/>
      <c r="FO126" s="9"/>
      <c r="FP126" s="9"/>
      <c r="FQ126" s="9"/>
      <c r="FR126" s="9"/>
      <c r="FS126" s="9"/>
      <c r="FT126" s="9"/>
      <c r="FU126" s="9"/>
      <c r="FV126" s="9"/>
      <c r="FW126" s="9"/>
      <c r="FX126" s="9"/>
      <c r="FY126" s="9"/>
      <c r="FZ126" s="9"/>
      <c r="GA126" s="9"/>
      <c r="GB126" s="9"/>
      <c r="GC126" s="9"/>
      <c r="GD126" s="9"/>
      <c r="GE126" s="9"/>
      <c r="GF126" s="9"/>
      <c r="GG126" s="9"/>
      <c r="GH126" s="9"/>
      <c r="GI126" s="9"/>
      <c r="GJ126" s="9"/>
      <c r="GK126" s="9"/>
      <c r="GL126" s="9"/>
      <c r="GM126" s="9"/>
      <c r="GN126" s="9"/>
      <c r="GO126" s="9"/>
      <c r="GP126" s="9"/>
      <c r="GQ126" s="9"/>
      <c r="GR126" s="9"/>
      <c r="GS126" s="9"/>
      <c r="GT126" s="9"/>
      <c r="GU126" s="9"/>
      <c r="GV126" s="9"/>
      <c r="GW126" s="9"/>
      <c r="GX126" s="9"/>
      <c r="GY126" s="9"/>
      <c r="GZ126" s="9"/>
      <c r="HA126" s="9"/>
      <c r="HB126" s="9"/>
      <c r="HC126" s="9"/>
      <c r="HD126" s="9"/>
      <c r="HE126" s="9"/>
      <c r="HF126" s="9"/>
      <c r="HG126" s="9"/>
      <c r="HH126" s="9"/>
      <c r="HI126" s="9"/>
      <c r="HJ126" s="9"/>
      <c r="HK126" s="9"/>
      <c r="HR126" t="s">
        <v>21</v>
      </c>
      <c r="HT126" s="4" t="s">
        <v>20</v>
      </c>
      <c r="HU126" s="58">
        <v>34335</v>
      </c>
      <c r="HV126" s="58">
        <v>36160</v>
      </c>
      <c r="HW126" s="58"/>
      <c r="HX126" s="58"/>
      <c r="IP126" t="s">
        <v>47</v>
      </c>
      <c r="IQ126" s="54" t="s">
        <v>1226</v>
      </c>
      <c r="IT126">
        <v>1995</v>
      </c>
      <c r="IU126">
        <v>1995.2</v>
      </c>
      <c r="IV126" s="4" t="s">
        <v>18</v>
      </c>
      <c r="IW126" t="s">
        <v>38</v>
      </c>
      <c r="IX126" t="s">
        <v>19</v>
      </c>
      <c r="JB126">
        <v>0</v>
      </c>
      <c r="JC126">
        <v>0</v>
      </c>
      <c r="JD126">
        <v>0</v>
      </c>
      <c r="JE126">
        <v>0</v>
      </c>
      <c r="JF126">
        <v>0</v>
      </c>
      <c r="JG126">
        <v>0</v>
      </c>
      <c r="JH126">
        <v>0</v>
      </c>
      <c r="JI126">
        <v>0</v>
      </c>
      <c r="JJ126">
        <v>0</v>
      </c>
      <c r="JL126" s="12" t="s">
        <v>721</v>
      </c>
      <c r="JQ126" s="4"/>
      <c r="JW126" s="4"/>
      <c r="JX126" s="4"/>
      <c r="JY126" s="4"/>
      <c r="JZ126" s="4"/>
      <c r="KA126" s="4"/>
      <c r="KB126" s="4"/>
      <c r="KG126" s="7" t="s">
        <v>12</v>
      </c>
      <c r="KK126" s="7" t="s">
        <v>720</v>
      </c>
      <c r="KL126" s="7"/>
      <c r="MZ126" t="s">
        <v>11</v>
      </c>
      <c r="NA126">
        <v>42</v>
      </c>
      <c r="NC126" s="4" t="s">
        <v>133</v>
      </c>
      <c r="NK126" t="s">
        <v>132</v>
      </c>
      <c r="NM126" s="4" t="s">
        <v>1156</v>
      </c>
      <c r="NN126" s="6" t="s">
        <v>7</v>
      </c>
      <c r="NW126" t="s">
        <v>6</v>
      </c>
      <c r="NX126" s="5" t="s">
        <v>149</v>
      </c>
      <c r="NY126" s="4" t="s">
        <v>4</v>
      </c>
      <c r="NZ126" s="3">
        <v>4.2076065742454982E-2</v>
      </c>
      <c r="OC126">
        <v>4</v>
      </c>
      <c r="OT126" t="s">
        <v>145</v>
      </c>
      <c r="OV126">
        <v>1998</v>
      </c>
      <c r="OY126" s="2" t="s">
        <v>62</v>
      </c>
      <c r="PA126" t="s">
        <v>1169</v>
      </c>
      <c r="PB126" s="58">
        <v>46094</v>
      </c>
    </row>
    <row r="127" spans="1:418" ht="15.75" thickBot="1">
      <c r="A127" s="11" t="s">
        <v>36</v>
      </c>
      <c r="B127" t="s">
        <v>35</v>
      </c>
      <c r="C127" t="s">
        <v>34</v>
      </c>
      <c r="D127" s="4" t="s">
        <v>33</v>
      </c>
      <c r="E127" t="s">
        <v>32</v>
      </c>
      <c r="F127" s="4" t="s">
        <v>31</v>
      </c>
      <c r="G127" t="s">
        <v>2</v>
      </c>
      <c r="H127" t="s">
        <v>30</v>
      </c>
      <c r="I127" s="10">
        <v>0.1</v>
      </c>
      <c r="J127" s="10">
        <v>34.566667000000002</v>
      </c>
      <c r="K127" t="s">
        <v>29</v>
      </c>
      <c r="AV127" t="s">
        <v>28</v>
      </c>
      <c r="AW127">
        <v>100</v>
      </c>
      <c r="AX127" t="s">
        <v>29</v>
      </c>
      <c r="AY127">
        <v>4</v>
      </c>
      <c r="AZ127" t="s">
        <v>27</v>
      </c>
      <c r="BA127">
        <v>1994</v>
      </c>
      <c r="BB127">
        <v>1998</v>
      </c>
      <c r="BC127" t="s">
        <v>26</v>
      </c>
      <c r="BD127" t="s">
        <v>45</v>
      </c>
      <c r="BE127" s="10" t="s">
        <v>44</v>
      </c>
      <c r="BF127" t="s">
        <v>43</v>
      </c>
      <c r="BG127" s="3" t="s">
        <v>1233</v>
      </c>
      <c r="BH127" t="s">
        <v>23</v>
      </c>
      <c r="BI127" t="s">
        <v>750</v>
      </c>
      <c r="BJ127" s="4" t="s">
        <v>22</v>
      </c>
      <c r="BK127" s="9">
        <v>53000</v>
      </c>
      <c r="EF127" s="4"/>
      <c r="EG127" s="9"/>
      <c r="EH127" s="9"/>
      <c r="EI127" s="9"/>
      <c r="EJ127" s="9"/>
      <c r="EK127" s="9"/>
      <c r="EL127" s="9"/>
      <c r="EM127" s="9"/>
      <c r="EN127" s="9"/>
      <c r="EO127" s="9"/>
      <c r="EP127" s="9"/>
      <c r="EQ127" s="9"/>
      <c r="ER127" s="9"/>
      <c r="ES127" s="9"/>
      <c r="ET127" s="9"/>
      <c r="EU127" s="9"/>
      <c r="EV127" s="9"/>
      <c r="EW127" s="9"/>
      <c r="EX127" s="9"/>
      <c r="EY127" s="9"/>
      <c r="EZ127" s="9"/>
      <c r="FA127" s="9"/>
      <c r="FB127" s="9"/>
      <c r="FC127" s="9"/>
      <c r="FD127" s="9"/>
      <c r="FE127" s="9"/>
      <c r="FF127" s="9"/>
      <c r="FG127" s="9"/>
      <c r="FH127" s="9"/>
      <c r="FI127" s="9"/>
      <c r="FJ127" s="9"/>
      <c r="FK127" s="9"/>
      <c r="FL127" s="9"/>
      <c r="FM127" s="9"/>
      <c r="FN127" s="9"/>
      <c r="FO127" s="9"/>
      <c r="FP127" s="9"/>
      <c r="FQ127" s="9"/>
      <c r="FR127" s="9"/>
      <c r="FS127" s="9"/>
      <c r="FT127" s="9"/>
      <c r="FU127" s="9"/>
      <c r="FV127" s="9"/>
      <c r="FW127" s="9"/>
      <c r="FX127" s="9"/>
      <c r="FY127" s="9"/>
      <c r="FZ127" s="9"/>
      <c r="GA127" s="9"/>
      <c r="GB127" s="9"/>
      <c r="GC127" s="9"/>
      <c r="GD127" s="9"/>
      <c r="GE127" s="9"/>
      <c r="GF127" s="9"/>
      <c r="GG127" s="9"/>
      <c r="GH127" s="9"/>
      <c r="GI127" s="9"/>
      <c r="GJ127" s="9"/>
      <c r="GK127" s="9"/>
      <c r="GL127" s="9"/>
      <c r="GM127" s="9"/>
      <c r="GN127" s="9"/>
      <c r="GO127" s="9"/>
      <c r="GP127" s="9"/>
      <c r="GQ127" s="9"/>
      <c r="GR127" s="9"/>
      <c r="GS127" s="9"/>
      <c r="GT127" s="9"/>
      <c r="GU127" s="9"/>
      <c r="GV127" s="9"/>
      <c r="GW127" s="9"/>
      <c r="GX127" s="9"/>
      <c r="GY127" s="9"/>
      <c r="GZ127" s="9"/>
      <c r="HA127" s="9"/>
      <c r="HB127" s="9"/>
      <c r="HC127" s="9"/>
      <c r="HD127" s="9"/>
      <c r="HE127" s="9"/>
      <c r="HF127" s="9"/>
      <c r="HG127" s="9"/>
      <c r="HH127" s="9"/>
      <c r="HI127" s="9"/>
      <c r="HJ127" s="9"/>
      <c r="HK127" s="9"/>
      <c r="HR127" t="s">
        <v>21</v>
      </c>
      <c r="HT127" s="4" t="s">
        <v>20</v>
      </c>
      <c r="HU127" s="58">
        <v>34335</v>
      </c>
      <c r="HV127" s="58">
        <v>36160</v>
      </c>
      <c r="HW127" s="58"/>
      <c r="HX127" s="58"/>
      <c r="IP127" t="s">
        <v>42</v>
      </c>
      <c r="IQ127" s="13" t="s">
        <v>1227</v>
      </c>
      <c r="IT127">
        <v>1994</v>
      </c>
      <c r="IU127">
        <v>1994.2</v>
      </c>
      <c r="IV127" s="4" t="s">
        <v>18</v>
      </c>
      <c r="IW127" t="s">
        <v>38</v>
      </c>
      <c r="IX127" t="s">
        <v>19</v>
      </c>
      <c r="JB127">
        <v>0</v>
      </c>
      <c r="JC127">
        <v>0</v>
      </c>
      <c r="JD127">
        <v>0</v>
      </c>
      <c r="JE127">
        <v>0</v>
      </c>
      <c r="JF127">
        <v>0</v>
      </c>
      <c r="JG127">
        <v>0</v>
      </c>
      <c r="JH127">
        <v>0</v>
      </c>
      <c r="JI127">
        <v>0</v>
      </c>
      <c r="JJ127">
        <v>0</v>
      </c>
      <c r="JL127" s="12" t="s">
        <v>721</v>
      </c>
      <c r="JQ127" s="4"/>
      <c r="JW127" s="4"/>
      <c r="JX127" s="4"/>
      <c r="JY127" s="4"/>
      <c r="JZ127" s="4"/>
      <c r="KA127" s="4"/>
      <c r="KB127" s="4"/>
      <c r="KG127" s="7" t="s">
        <v>12</v>
      </c>
      <c r="KK127" s="7" t="s">
        <v>720</v>
      </c>
      <c r="KL127" s="7"/>
      <c r="MZ127" t="s">
        <v>11</v>
      </c>
      <c r="NA127">
        <v>42</v>
      </c>
      <c r="NC127" s="4" t="s">
        <v>133</v>
      </c>
      <c r="NK127" t="s">
        <v>132</v>
      </c>
      <c r="NM127" s="4" t="s">
        <v>1156</v>
      </c>
      <c r="NN127" s="6" t="s">
        <v>7</v>
      </c>
      <c r="NW127" t="s">
        <v>6</v>
      </c>
      <c r="NX127" s="5" t="s">
        <v>148</v>
      </c>
      <c r="NY127" s="4" t="s">
        <v>4</v>
      </c>
      <c r="NZ127" s="3">
        <v>6.306376839150199E-2</v>
      </c>
      <c r="OC127">
        <v>4</v>
      </c>
      <c r="OT127" t="s">
        <v>145</v>
      </c>
      <c r="OV127">
        <v>1998</v>
      </c>
      <c r="OY127" s="2" t="s">
        <v>62</v>
      </c>
      <c r="PA127" t="s">
        <v>1169</v>
      </c>
      <c r="PB127" s="58">
        <v>46094</v>
      </c>
    </row>
    <row r="128" spans="1:418" ht="15.75" thickBot="1">
      <c r="A128" s="11" t="s">
        <v>36</v>
      </c>
      <c r="B128" t="s">
        <v>35</v>
      </c>
      <c r="C128" t="s">
        <v>34</v>
      </c>
      <c r="D128" s="4" t="s">
        <v>33</v>
      </c>
      <c r="E128" t="s">
        <v>32</v>
      </c>
      <c r="F128" s="4" t="s">
        <v>31</v>
      </c>
      <c r="G128" t="s">
        <v>2</v>
      </c>
      <c r="H128" t="s">
        <v>30</v>
      </c>
      <c r="I128" s="10">
        <v>0.1</v>
      </c>
      <c r="J128" s="10">
        <v>34.566667000000002</v>
      </c>
      <c r="K128" t="s">
        <v>29</v>
      </c>
      <c r="AV128" t="s">
        <v>28</v>
      </c>
      <c r="AW128">
        <v>100</v>
      </c>
      <c r="AX128" t="s">
        <v>29</v>
      </c>
      <c r="AY128">
        <v>4</v>
      </c>
      <c r="AZ128" t="s">
        <v>27</v>
      </c>
      <c r="BA128">
        <v>1994</v>
      </c>
      <c r="BB128">
        <v>1998</v>
      </c>
      <c r="BC128" t="s">
        <v>26</v>
      </c>
      <c r="BD128" t="s">
        <v>19</v>
      </c>
      <c r="BE128" s="10" t="s">
        <v>40</v>
      </c>
      <c r="BF128" t="s">
        <v>39</v>
      </c>
      <c r="BG128" s="3" t="s">
        <v>1233</v>
      </c>
      <c r="BH128" t="s">
        <v>23</v>
      </c>
      <c r="BI128" t="s">
        <v>750</v>
      </c>
      <c r="BJ128" s="4" t="s">
        <v>22</v>
      </c>
      <c r="BK128" s="9">
        <v>53000</v>
      </c>
      <c r="HR128" t="s">
        <v>21</v>
      </c>
      <c r="HT128" s="4" t="s">
        <v>20</v>
      </c>
      <c r="HU128" s="58">
        <v>34335</v>
      </c>
      <c r="HV128" s="58">
        <v>36160</v>
      </c>
      <c r="HW128" s="58"/>
      <c r="HX128" s="58"/>
      <c r="IP128" t="s">
        <v>38</v>
      </c>
      <c r="IQ128" s="54" t="s">
        <v>19</v>
      </c>
      <c r="IV128" s="4" t="s">
        <v>18</v>
      </c>
      <c r="IW128" t="s">
        <v>38</v>
      </c>
      <c r="IX128" s="54" t="s">
        <v>19</v>
      </c>
      <c r="JB128">
        <v>0</v>
      </c>
      <c r="JC128">
        <v>0</v>
      </c>
      <c r="JD128">
        <v>0</v>
      </c>
      <c r="JE128">
        <v>0</v>
      </c>
      <c r="JF128">
        <v>0</v>
      </c>
      <c r="JG128">
        <v>0</v>
      </c>
      <c r="JH128">
        <v>0</v>
      </c>
      <c r="JI128">
        <v>0</v>
      </c>
      <c r="JJ128">
        <v>0</v>
      </c>
      <c r="JL128" s="12" t="s">
        <v>721</v>
      </c>
      <c r="JQ128" s="4"/>
      <c r="JW128" s="4"/>
      <c r="JX128" s="4"/>
      <c r="JY128" s="4"/>
      <c r="JZ128" s="4"/>
      <c r="KA128" s="4"/>
      <c r="KB128" s="4"/>
      <c r="KG128" s="7" t="s">
        <v>12</v>
      </c>
      <c r="KK128" s="7" t="s">
        <v>720</v>
      </c>
      <c r="KL128" s="7"/>
      <c r="MZ128" t="s">
        <v>11</v>
      </c>
      <c r="NA128">
        <v>42</v>
      </c>
      <c r="NC128" s="4" t="s">
        <v>133</v>
      </c>
      <c r="NK128" t="s">
        <v>132</v>
      </c>
      <c r="NM128" s="4" t="s">
        <v>1156</v>
      </c>
      <c r="NN128" s="6" t="s">
        <v>7</v>
      </c>
      <c r="NV128" t="s">
        <v>735</v>
      </c>
      <c r="NW128" t="s">
        <v>6</v>
      </c>
      <c r="NX128" s="5" t="s">
        <v>147</v>
      </c>
      <c r="NY128" s="4" t="s">
        <v>4</v>
      </c>
      <c r="NZ128" s="3">
        <v>5.7068879705177045E-2</v>
      </c>
      <c r="OC128">
        <v>4</v>
      </c>
      <c r="OT128" t="s">
        <v>145</v>
      </c>
      <c r="OV128">
        <v>1998</v>
      </c>
      <c r="OY128" s="2" t="s">
        <v>62</v>
      </c>
      <c r="PA128" t="s">
        <v>1169</v>
      </c>
      <c r="PB128" s="58">
        <v>46094</v>
      </c>
    </row>
    <row r="129" spans="1:418" ht="15.75" thickBot="1">
      <c r="A129" s="11" t="s">
        <v>36</v>
      </c>
      <c r="B129" t="s">
        <v>35</v>
      </c>
      <c r="C129" t="s">
        <v>34</v>
      </c>
      <c r="D129" s="4" t="s">
        <v>33</v>
      </c>
      <c r="E129" t="s">
        <v>32</v>
      </c>
      <c r="F129" s="4" t="s">
        <v>31</v>
      </c>
      <c r="G129" t="s">
        <v>2</v>
      </c>
      <c r="H129" t="s">
        <v>30</v>
      </c>
      <c r="I129" s="10">
        <v>0.1</v>
      </c>
      <c r="J129" s="10">
        <v>34.566667000000002</v>
      </c>
      <c r="K129" t="s">
        <v>29</v>
      </c>
      <c r="AV129" t="s">
        <v>28</v>
      </c>
      <c r="AW129">
        <v>100</v>
      </c>
      <c r="AX129" t="s">
        <v>29</v>
      </c>
      <c r="AY129">
        <v>4</v>
      </c>
      <c r="AZ129" t="s">
        <v>27</v>
      </c>
      <c r="BA129">
        <v>1994</v>
      </c>
      <c r="BB129">
        <v>1998</v>
      </c>
      <c r="BC129" t="s">
        <v>26</v>
      </c>
      <c r="BD129" t="s">
        <v>19</v>
      </c>
      <c r="BE129" s="10" t="s">
        <v>25</v>
      </c>
      <c r="BF129" t="s">
        <v>24</v>
      </c>
      <c r="BG129" s="3" t="s">
        <v>1233</v>
      </c>
      <c r="BH129" t="s">
        <v>23</v>
      </c>
      <c r="BI129" t="s">
        <v>750</v>
      </c>
      <c r="BJ129" s="4" t="s">
        <v>22</v>
      </c>
      <c r="BK129" s="9">
        <v>53000</v>
      </c>
      <c r="HR129" t="s">
        <v>21</v>
      </c>
      <c r="HT129" s="4" t="s">
        <v>20</v>
      </c>
      <c r="HU129" s="58">
        <v>34335</v>
      </c>
      <c r="HV129" s="58">
        <v>36160</v>
      </c>
      <c r="HW129" s="58"/>
      <c r="HX129" s="58"/>
      <c r="IP129" t="s">
        <v>16</v>
      </c>
      <c r="IQ129" s="54" t="s">
        <v>19</v>
      </c>
      <c r="IV129" s="4" t="s">
        <v>18</v>
      </c>
      <c r="IW129" t="s">
        <v>17</v>
      </c>
      <c r="IX129" s="54" t="s">
        <v>19</v>
      </c>
      <c r="JB129">
        <v>0</v>
      </c>
      <c r="JC129">
        <v>0</v>
      </c>
      <c r="JD129">
        <v>0</v>
      </c>
      <c r="JE129">
        <v>0</v>
      </c>
      <c r="JF129">
        <v>0</v>
      </c>
      <c r="JG129">
        <v>0</v>
      </c>
      <c r="JH129">
        <v>0</v>
      </c>
      <c r="JI129">
        <v>0</v>
      </c>
      <c r="JJ129">
        <v>0</v>
      </c>
      <c r="JK129" t="s">
        <v>16</v>
      </c>
      <c r="JL129" t="s">
        <v>15</v>
      </c>
      <c r="JM129" s="8" t="s">
        <v>14</v>
      </c>
      <c r="JQ129" s="4" t="s">
        <v>13</v>
      </c>
      <c r="JR129">
        <v>60</v>
      </c>
      <c r="JU129">
        <v>60</v>
      </c>
      <c r="JW129" s="4"/>
      <c r="JX129" s="4"/>
      <c r="JY129" s="4"/>
      <c r="JZ129" s="4"/>
      <c r="KA129" s="4"/>
      <c r="KB129" s="4"/>
      <c r="KG129" s="7" t="s">
        <v>12</v>
      </c>
      <c r="KK129" s="7" t="s">
        <v>720</v>
      </c>
      <c r="KL129" s="7"/>
      <c r="MZ129" t="s">
        <v>11</v>
      </c>
      <c r="NA129">
        <v>42</v>
      </c>
      <c r="NC129" s="4" t="s">
        <v>133</v>
      </c>
      <c r="NK129" t="s">
        <v>132</v>
      </c>
      <c r="NM129" s="4" t="s">
        <v>1156</v>
      </c>
      <c r="NN129" s="6" t="s">
        <v>7</v>
      </c>
      <c r="NV129" t="s">
        <v>747</v>
      </c>
      <c r="NW129" t="s">
        <v>6</v>
      </c>
      <c r="NX129" s="5" t="s">
        <v>146</v>
      </c>
      <c r="NY129" s="4" t="s">
        <v>4</v>
      </c>
      <c r="NZ129" s="3">
        <v>7.2050509174081068E-2</v>
      </c>
      <c r="OC129">
        <v>4</v>
      </c>
      <c r="OT129" t="s">
        <v>145</v>
      </c>
      <c r="OV129">
        <v>1998</v>
      </c>
      <c r="OY129" s="2" t="s">
        <v>62</v>
      </c>
      <c r="PA129" t="s">
        <v>1169</v>
      </c>
      <c r="PB129" s="58">
        <v>46094</v>
      </c>
    </row>
    <row r="130" spans="1:418" ht="15.75" thickBot="1">
      <c r="A130" s="11" t="s">
        <v>36</v>
      </c>
      <c r="B130" t="s">
        <v>35</v>
      </c>
      <c r="C130" t="s">
        <v>34</v>
      </c>
      <c r="D130" s="4" t="s">
        <v>33</v>
      </c>
      <c r="E130" t="s">
        <v>32</v>
      </c>
      <c r="F130" s="4" t="s">
        <v>31</v>
      </c>
      <c r="G130" t="s">
        <v>2</v>
      </c>
      <c r="H130" t="s">
        <v>30</v>
      </c>
      <c r="I130" s="10">
        <v>0.1</v>
      </c>
      <c r="J130" s="10">
        <v>34.566667000000002</v>
      </c>
      <c r="K130" t="s">
        <v>29</v>
      </c>
      <c r="AV130" t="s">
        <v>28</v>
      </c>
      <c r="AW130">
        <v>100</v>
      </c>
      <c r="AX130" t="s">
        <v>29</v>
      </c>
      <c r="AY130">
        <v>4</v>
      </c>
      <c r="AZ130" t="s">
        <v>27</v>
      </c>
      <c r="BA130">
        <v>1994</v>
      </c>
      <c r="BB130">
        <v>1998</v>
      </c>
      <c r="BC130" t="s">
        <v>26</v>
      </c>
      <c r="BD130" t="s">
        <v>59</v>
      </c>
      <c r="BE130" s="10" t="s">
        <v>65</v>
      </c>
      <c r="BF130" t="s">
        <v>64</v>
      </c>
      <c r="BG130" s="3" t="s">
        <v>1233</v>
      </c>
      <c r="BH130" t="s">
        <v>23</v>
      </c>
      <c r="BI130" t="s">
        <v>750</v>
      </c>
      <c r="BJ130" s="4" t="s">
        <v>22</v>
      </c>
      <c r="BK130" s="9">
        <v>53000</v>
      </c>
      <c r="EE130" t="s">
        <v>55</v>
      </c>
      <c r="EF130" s="4" t="s">
        <v>22</v>
      </c>
      <c r="EG130" s="9">
        <v>53000</v>
      </c>
      <c r="EH130" s="9"/>
      <c r="EI130" s="9"/>
      <c r="EJ130" s="9"/>
      <c r="EK130" s="9"/>
      <c r="EL130" s="9"/>
      <c r="EM130" s="9"/>
      <c r="EN130" s="9"/>
      <c r="EO130" s="9"/>
      <c r="EP130" s="9"/>
      <c r="EQ130" s="9"/>
      <c r="ER130" s="9"/>
      <c r="ES130" s="9"/>
      <c r="ET130" s="9"/>
      <c r="EU130" s="9"/>
      <c r="EV130" s="9"/>
      <c r="EW130" s="9"/>
      <c r="EX130" s="9"/>
      <c r="EY130" s="9"/>
      <c r="EZ130" s="9"/>
      <c r="FA130" s="9"/>
      <c r="FB130" s="9"/>
      <c r="FC130" s="9"/>
      <c r="FD130" s="9"/>
      <c r="FE130" s="9"/>
      <c r="FF130" s="9"/>
      <c r="FG130" s="9"/>
      <c r="FH130" s="9"/>
      <c r="FI130" s="9"/>
      <c r="FJ130" s="9"/>
      <c r="FK130" s="9"/>
      <c r="FL130" s="9"/>
      <c r="FM130" s="9"/>
      <c r="FN130" s="9"/>
      <c r="FO130" s="9"/>
      <c r="FP130" s="9"/>
      <c r="FQ130" s="9"/>
      <c r="FR130" s="9"/>
      <c r="FS130" s="9"/>
      <c r="FT130" s="9"/>
      <c r="FU130" s="9"/>
      <c r="FV130" s="9"/>
      <c r="FW130" s="9"/>
      <c r="FX130" s="9"/>
      <c r="FY130" s="9"/>
      <c r="FZ130" s="9"/>
      <c r="GA130" s="9"/>
      <c r="GB130" s="9"/>
      <c r="GC130" s="9"/>
      <c r="GD130" s="9"/>
      <c r="GE130" s="9"/>
      <c r="GF130" s="9"/>
      <c r="GG130" s="9"/>
      <c r="GH130" s="9"/>
      <c r="GI130" s="9"/>
      <c r="GJ130" s="9"/>
      <c r="GK130" s="9"/>
      <c r="GL130" s="9"/>
      <c r="GM130" s="9"/>
      <c r="GN130" s="9"/>
      <c r="GO130" s="9"/>
      <c r="GP130" s="9"/>
      <c r="GQ130" s="9"/>
      <c r="GR130" s="9"/>
      <c r="GS130" s="9"/>
      <c r="GT130" s="9"/>
      <c r="GU130" s="9"/>
      <c r="GV130" s="9"/>
      <c r="GW130" s="9"/>
      <c r="GX130" s="9"/>
      <c r="GY130" s="9"/>
      <c r="GZ130" s="9"/>
      <c r="HA130" s="9"/>
      <c r="HB130" s="9"/>
      <c r="HC130" s="9"/>
      <c r="HD130" s="9"/>
      <c r="HE130" s="9"/>
      <c r="HF130" s="9"/>
      <c r="HG130" s="9"/>
      <c r="HH130" s="9"/>
      <c r="HI130" s="9"/>
      <c r="HJ130" s="9"/>
      <c r="HK130" s="9"/>
      <c r="HR130" t="s">
        <v>21</v>
      </c>
      <c r="HT130" s="4" t="s">
        <v>20</v>
      </c>
      <c r="HU130" s="58">
        <v>34335</v>
      </c>
      <c r="HV130" s="58">
        <v>36160</v>
      </c>
      <c r="HW130" s="58"/>
      <c r="HX130" s="58"/>
      <c r="IO130" s="4"/>
      <c r="IP130" t="s">
        <v>63</v>
      </c>
      <c r="IQ130" s="12" t="s">
        <v>1718</v>
      </c>
      <c r="IT130">
        <v>1995</v>
      </c>
      <c r="IU130">
        <v>1995.2</v>
      </c>
      <c r="IV130" s="4" t="s">
        <v>18</v>
      </c>
      <c r="IW130" t="s">
        <v>61</v>
      </c>
      <c r="IX130" s="12" t="s">
        <v>52</v>
      </c>
      <c r="JA130">
        <v>0.5</v>
      </c>
      <c r="JB130" t="s">
        <v>29</v>
      </c>
      <c r="JC130" t="s">
        <v>29</v>
      </c>
      <c r="JD130" t="s">
        <v>29</v>
      </c>
      <c r="JE130" t="s">
        <v>29</v>
      </c>
      <c r="JF130" t="s">
        <v>29</v>
      </c>
      <c r="JG130" t="s">
        <v>29</v>
      </c>
      <c r="JH130" t="s">
        <v>29</v>
      </c>
      <c r="JI130" t="s">
        <v>29</v>
      </c>
      <c r="JJ130" t="s">
        <v>29</v>
      </c>
      <c r="JL130" s="12" t="s">
        <v>721</v>
      </c>
      <c r="JQ130" s="4"/>
      <c r="JW130" s="4"/>
      <c r="JX130" s="4"/>
      <c r="JY130" s="4"/>
      <c r="JZ130" s="4"/>
      <c r="KA130" s="4"/>
      <c r="KB130" s="4"/>
      <c r="KG130" s="7" t="s">
        <v>12</v>
      </c>
      <c r="KK130" s="7" t="s">
        <v>719</v>
      </c>
      <c r="KL130" s="7" t="s">
        <v>51</v>
      </c>
      <c r="KN130" t="s">
        <v>29</v>
      </c>
      <c r="MZ130" t="s">
        <v>11</v>
      </c>
      <c r="NA130">
        <v>42</v>
      </c>
      <c r="NC130" s="4" t="s">
        <v>133</v>
      </c>
      <c r="NK130" t="s">
        <v>132</v>
      </c>
      <c r="NM130" s="4" t="s">
        <v>1156</v>
      </c>
      <c r="NN130" s="6" t="s">
        <v>7</v>
      </c>
      <c r="NW130" t="s">
        <v>6</v>
      </c>
      <c r="NX130" s="5" t="s">
        <v>144</v>
      </c>
      <c r="NY130" s="4" t="s">
        <v>4</v>
      </c>
      <c r="NZ130" s="3">
        <v>5.7576404974476025E-2</v>
      </c>
      <c r="OC130">
        <v>4</v>
      </c>
      <c r="OT130" t="s">
        <v>139</v>
      </c>
      <c r="OV130">
        <v>1996</v>
      </c>
      <c r="OY130" s="2" t="s">
        <v>1</v>
      </c>
      <c r="PA130" t="s">
        <v>1169</v>
      </c>
      <c r="PB130" s="58">
        <v>46094</v>
      </c>
    </row>
    <row r="131" spans="1:418" ht="15.75" thickBot="1">
      <c r="A131" s="11" t="s">
        <v>36</v>
      </c>
      <c r="B131" t="s">
        <v>35</v>
      </c>
      <c r="C131" t="s">
        <v>34</v>
      </c>
      <c r="D131" s="4" t="s">
        <v>33</v>
      </c>
      <c r="E131" t="s">
        <v>32</v>
      </c>
      <c r="F131" s="4" t="s">
        <v>31</v>
      </c>
      <c r="G131" t="s">
        <v>2</v>
      </c>
      <c r="H131" t="s">
        <v>30</v>
      </c>
      <c r="I131" s="10">
        <v>0.1</v>
      </c>
      <c r="J131" s="10">
        <v>34.566667000000002</v>
      </c>
      <c r="K131" t="s">
        <v>29</v>
      </c>
      <c r="AV131" t="s">
        <v>28</v>
      </c>
      <c r="AW131">
        <v>100</v>
      </c>
      <c r="AX131" t="s">
        <v>29</v>
      </c>
      <c r="AY131">
        <v>4</v>
      </c>
      <c r="AZ131" t="s">
        <v>27</v>
      </c>
      <c r="BA131">
        <v>1994</v>
      </c>
      <c r="BB131">
        <v>1998</v>
      </c>
      <c r="BC131" t="s">
        <v>26</v>
      </c>
      <c r="BD131" t="s">
        <v>59</v>
      </c>
      <c r="BE131" s="10" t="s">
        <v>58</v>
      </c>
      <c r="BF131" t="s">
        <v>57</v>
      </c>
      <c r="BG131" s="3" t="s">
        <v>1233</v>
      </c>
      <c r="BH131" t="s">
        <v>23</v>
      </c>
      <c r="BI131" t="s">
        <v>750</v>
      </c>
      <c r="BJ131" s="4" t="s">
        <v>22</v>
      </c>
      <c r="BK131" s="9">
        <v>53000</v>
      </c>
      <c r="EE131" t="s">
        <v>55</v>
      </c>
      <c r="EF131" s="4" t="s">
        <v>22</v>
      </c>
      <c r="EG131" s="9">
        <v>53000</v>
      </c>
      <c r="EH131" s="9"/>
      <c r="EI131" s="9"/>
      <c r="EJ131" s="9"/>
      <c r="EK131" s="9"/>
      <c r="EL131" s="9"/>
      <c r="EM131" s="9"/>
      <c r="EN131" s="9"/>
      <c r="EO131" s="9"/>
      <c r="EP131" s="9"/>
      <c r="EQ131" s="9"/>
      <c r="ER131" s="9"/>
      <c r="ES131" s="9"/>
      <c r="ET131" s="9"/>
      <c r="EU131" s="9"/>
      <c r="EV131" s="9"/>
      <c r="EW131" s="9"/>
      <c r="EX131" s="9"/>
      <c r="EY131" s="9"/>
      <c r="EZ131" s="9"/>
      <c r="FA131" s="9"/>
      <c r="FB131" s="9"/>
      <c r="FC131" s="9"/>
      <c r="FD131" s="9"/>
      <c r="FE131" s="9"/>
      <c r="FF131" s="9"/>
      <c r="FG131" s="9"/>
      <c r="FH131" s="9"/>
      <c r="FI131" s="9"/>
      <c r="FJ131" s="9"/>
      <c r="FK131" s="9"/>
      <c r="FL131" s="9"/>
      <c r="FM131" s="9"/>
      <c r="FN131" s="9"/>
      <c r="FO131" s="9"/>
      <c r="FP131" s="9"/>
      <c r="FQ131" s="9"/>
      <c r="FR131" s="9"/>
      <c r="FS131" s="9"/>
      <c r="FT131" s="9"/>
      <c r="FU131" s="9"/>
      <c r="FV131" s="9"/>
      <c r="FW131" s="9"/>
      <c r="FX131" s="9"/>
      <c r="FY131" s="9"/>
      <c r="FZ131" s="9"/>
      <c r="GA131" s="9"/>
      <c r="GB131" s="9"/>
      <c r="GC131" s="9"/>
      <c r="GD131" s="9"/>
      <c r="GE131" s="9"/>
      <c r="GF131" s="9"/>
      <c r="GG131" s="9"/>
      <c r="GH131" s="9"/>
      <c r="GI131" s="9"/>
      <c r="GJ131" s="9"/>
      <c r="GK131" s="9"/>
      <c r="GL131" s="9"/>
      <c r="GM131" s="9"/>
      <c r="GN131" s="9"/>
      <c r="GO131" s="9"/>
      <c r="GP131" s="9"/>
      <c r="GQ131" s="9"/>
      <c r="GR131" s="9"/>
      <c r="GS131" s="9"/>
      <c r="GT131" s="9"/>
      <c r="GU131" s="9"/>
      <c r="GV131" s="9"/>
      <c r="GW131" s="9"/>
      <c r="GX131" s="9"/>
      <c r="GY131" s="9"/>
      <c r="GZ131" s="9"/>
      <c r="HA131" s="9"/>
      <c r="HB131" s="9"/>
      <c r="HC131" s="9"/>
      <c r="HD131" s="9"/>
      <c r="HE131" s="9"/>
      <c r="HF131" s="9"/>
      <c r="HG131" s="9"/>
      <c r="HH131" s="9"/>
      <c r="HI131" s="9"/>
      <c r="HJ131" s="9"/>
      <c r="HK131" s="9"/>
      <c r="HR131" t="s">
        <v>21</v>
      </c>
      <c r="HT131" s="4" t="s">
        <v>20</v>
      </c>
      <c r="HU131" s="58">
        <v>34335</v>
      </c>
      <c r="HV131" s="58">
        <v>36160</v>
      </c>
      <c r="HW131" s="58"/>
      <c r="HX131" s="58"/>
      <c r="IO131" s="4"/>
      <c r="IP131" t="s">
        <v>54</v>
      </c>
      <c r="IQ131" s="12" t="s">
        <v>1719</v>
      </c>
      <c r="IT131">
        <v>1994</v>
      </c>
      <c r="IU131">
        <v>1994.2</v>
      </c>
      <c r="IV131" s="4" t="s">
        <v>18</v>
      </c>
      <c r="IW131" t="s">
        <v>53</v>
      </c>
      <c r="IX131" s="12" t="s">
        <v>52</v>
      </c>
      <c r="JA131">
        <v>0.5</v>
      </c>
      <c r="JB131" t="s">
        <v>29</v>
      </c>
      <c r="JC131" t="s">
        <v>29</v>
      </c>
      <c r="JD131" t="s">
        <v>29</v>
      </c>
      <c r="JE131" t="s">
        <v>29</v>
      </c>
      <c r="JF131" t="s">
        <v>29</v>
      </c>
      <c r="JG131" t="s">
        <v>29</v>
      </c>
      <c r="JH131" t="s">
        <v>29</v>
      </c>
      <c r="JI131" t="s">
        <v>29</v>
      </c>
      <c r="JJ131" t="s">
        <v>29</v>
      </c>
      <c r="JL131" s="12" t="s">
        <v>721</v>
      </c>
      <c r="JQ131" s="4"/>
      <c r="JW131" s="4"/>
      <c r="JX131" s="4"/>
      <c r="JY131" s="4"/>
      <c r="JZ131" s="4"/>
      <c r="KA131" s="4"/>
      <c r="KB131" s="4"/>
      <c r="KG131" s="7" t="s">
        <v>12</v>
      </c>
      <c r="KK131" s="7" t="s">
        <v>719</v>
      </c>
      <c r="KL131" s="7" t="s">
        <v>51</v>
      </c>
      <c r="KN131" t="s">
        <v>29</v>
      </c>
      <c r="MZ131" t="s">
        <v>11</v>
      </c>
      <c r="NA131">
        <v>42</v>
      </c>
      <c r="NC131" s="4" t="s">
        <v>133</v>
      </c>
      <c r="NK131" t="s">
        <v>132</v>
      </c>
      <c r="NM131" s="4" t="s">
        <v>1156</v>
      </c>
      <c r="NN131" s="6" t="s">
        <v>7</v>
      </c>
      <c r="NW131" t="s">
        <v>6</v>
      </c>
      <c r="NX131" s="5" t="s">
        <v>143</v>
      </c>
      <c r="NY131" s="4" t="s">
        <v>4</v>
      </c>
      <c r="NZ131" s="3">
        <v>3.9428115231519956E-2</v>
      </c>
      <c r="OC131">
        <v>4</v>
      </c>
      <c r="OT131" t="s">
        <v>139</v>
      </c>
      <c r="OV131">
        <v>1996</v>
      </c>
      <c r="OY131" s="2" t="s">
        <v>1</v>
      </c>
      <c r="PA131" t="s">
        <v>1169</v>
      </c>
      <c r="PB131" s="58">
        <v>46094</v>
      </c>
    </row>
    <row r="132" spans="1:418" ht="15.75" thickBot="1">
      <c r="A132" s="11" t="s">
        <v>36</v>
      </c>
      <c r="B132" t="s">
        <v>35</v>
      </c>
      <c r="C132" t="s">
        <v>34</v>
      </c>
      <c r="D132" s="4" t="s">
        <v>33</v>
      </c>
      <c r="E132" t="s">
        <v>32</v>
      </c>
      <c r="F132" s="4" t="s">
        <v>31</v>
      </c>
      <c r="G132" t="s">
        <v>2</v>
      </c>
      <c r="H132" t="s">
        <v>30</v>
      </c>
      <c r="I132" s="10">
        <v>0.1</v>
      </c>
      <c r="J132" s="10">
        <v>34.566667000000002</v>
      </c>
      <c r="K132" t="s">
        <v>29</v>
      </c>
      <c r="AV132" t="s">
        <v>28</v>
      </c>
      <c r="AW132">
        <v>100</v>
      </c>
      <c r="AX132" t="s">
        <v>29</v>
      </c>
      <c r="AY132">
        <v>4</v>
      </c>
      <c r="AZ132" t="s">
        <v>27</v>
      </c>
      <c r="BA132">
        <v>1994</v>
      </c>
      <c r="BB132">
        <v>1998</v>
      </c>
      <c r="BC132" t="s">
        <v>26</v>
      </c>
      <c r="BD132" t="s">
        <v>45</v>
      </c>
      <c r="BE132" s="10" t="s">
        <v>49</v>
      </c>
      <c r="BF132" t="s">
        <v>48</v>
      </c>
      <c r="BG132" s="3" t="s">
        <v>1233</v>
      </c>
      <c r="BH132" t="s">
        <v>23</v>
      </c>
      <c r="BI132" t="s">
        <v>750</v>
      </c>
      <c r="BJ132" s="4" t="s">
        <v>22</v>
      </c>
      <c r="BK132" s="9">
        <v>53000</v>
      </c>
      <c r="EF132" s="4"/>
      <c r="EG132" s="9"/>
      <c r="EH132" s="9"/>
      <c r="EI132" s="9"/>
      <c r="EJ132" s="9"/>
      <c r="EK132" s="9"/>
      <c r="EL132" s="9"/>
      <c r="EM132" s="9"/>
      <c r="EN132" s="9"/>
      <c r="EO132" s="9"/>
      <c r="EP132" s="9"/>
      <c r="EQ132" s="9"/>
      <c r="ER132" s="9"/>
      <c r="ES132" s="9"/>
      <c r="ET132" s="9"/>
      <c r="EU132" s="9"/>
      <c r="EV132" s="9"/>
      <c r="EW132" s="9"/>
      <c r="EX132" s="9"/>
      <c r="EY132" s="9"/>
      <c r="EZ132" s="9"/>
      <c r="FA132" s="9"/>
      <c r="FB132" s="9"/>
      <c r="FC132" s="9"/>
      <c r="FD132" s="9"/>
      <c r="FE132" s="9"/>
      <c r="FF132" s="9"/>
      <c r="FG132" s="9"/>
      <c r="FH132" s="9"/>
      <c r="FI132" s="9"/>
      <c r="FJ132" s="9"/>
      <c r="FK132" s="9"/>
      <c r="FL132" s="9"/>
      <c r="FM132" s="9"/>
      <c r="FN132" s="9"/>
      <c r="FO132" s="9"/>
      <c r="FP132" s="9"/>
      <c r="FQ132" s="9"/>
      <c r="FR132" s="9"/>
      <c r="FS132" s="9"/>
      <c r="FT132" s="9"/>
      <c r="FU132" s="9"/>
      <c r="FV132" s="9"/>
      <c r="FW132" s="9"/>
      <c r="FX132" s="9"/>
      <c r="FY132" s="9"/>
      <c r="FZ132" s="9"/>
      <c r="GA132" s="9"/>
      <c r="GB132" s="9"/>
      <c r="GC132" s="9"/>
      <c r="GD132" s="9"/>
      <c r="GE132" s="9"/>
      <c r="GF132" s="9"/>
      <c r="GG132" s="9"/>
      <c r="GH132" s="9"/>
      <c r="GI132" s="9"/>
      <c r="GJ132" s="9"/>
      <c r="GK132" s="9"/>
      <c r="GL132" s="9"/>
      <c r="GM132" s="9"/>
      <c r="GN132" s="9"/>
      <c r="GO132" s="9"/>
      <c r="GP132" s="9"/>
      <c r="GQ132" s="9"/>
      <c r="GR132" s="9"/>
      <c r="GS132" s="9"/>
      <c r="GT132" s="9"/>
      <c r="GU132" s="9"/>
      <c r="GV132" s="9"/>
      <c r="GW132" s="9"/>
      <c r="GX132" s="9"/>
      <c r="GY132" s="9"/>
      <c r="GZ132" s="9"/>
      <c r="HA132" s="9"/>
      <c r="HB132" s="9"/>
      <c r="HC132" s="9"/>
      <c r="HD132" s="9"/>
      <c r="HE132" s="9"/>
      <c r="HF132" s="9"/>
      <c r="HG132" s="9"/>
      <c r="HH132" s="9"/>
      <c r="HI132" s="9"/>
      <c r="HJ132" s="9"/>
      <c r="HK132" s="9"/>
      <c r="HR132" t="s">
        <v>21</v>
      </c>
      <c r="HT132" s="4" t="s">
        <v>20</v>
      </c>
      <c r="HU132" s="58">
        <v>34335</v>
      </c>
      <c r="HV132" s="58">
        <v>36160</v>
      </c>
      <c r="HW132" s="58"/>
      <c r="HX132" s="58"/>
      <c r="IP132" t="s">
        <v>47</v>
      </c>
      <c r="IQ132" s="54" t="s">
        <v>1226</v>
      </c>
      <c r="IT132">
        <v>1995</v>
      </c>
      <c r="IU132">
        <v>1995.2</v>
      </c>
      <c r="IV132" s="4" t="s">
        <v>18</v>
      </c>
      <c r="IW132" t="s">
        <v>38</v>
      </c>
      <c r="IX132" t="s">
        <v>19</v>
      </c>
      <c r="JB132">
        <v>0</v>
      </c>
      <c r="JC132">
        <v>0</v>
      </c>
      <c r="JD132">
        <v>0</v>
      </c>
      <c r="JE132">
        <v>0</v>
      </c>
      <c r="JF132">
        <v>0</v>
      </c>
      <c r="JG132">
        <v>0</v>
      </c>
      <c r="JH132">
        <v>0</v>
      </c>
      <c r="JI132">
        <v>0</v>
      </c>
      <c r="JJ132">
        <v>0</v>
      </c>
      <c r="JL132" s="12" t="s">
        <v>721</v>
      </c>
      <c r="JQ132" s="4"/>
      <c r="JW132" s="4"/>
      <c r="JX132" s="4"/>
      <c r="JY132" s="4"/>
      <c r="JZ132" s="4"/>
      <c r="KA132" s="4"/>
      <c r="KB132" s="4"/>
      <c r="KG132" s="7" t="s">
        <v>12</v>
      </c>
      <c r="KK132" s="7" t="s">
        <v>720</v>
      </c>
      <c r="KL132" s="7"/>
      <c r="MZ132" t="s">
        <v>11</v>
      </c>
      <c r="NA132">
        <v>42</v>
      </c>
      <c r="NC132" s="4" t="s">
        <v>133</v>
      </c>
      <c r="NK132" t="s">
        <v>132</v>
      </c>
      <c r="NM132" s="4" t="s">
        <v>1156</v>
      </c>
      <c r="NN132" s="6" t="s">
        <v>7</v>
      </c>
      <c r="NW132" t="s">
        <v>6</v>
      </c>
      <c r="NX132" s="5" t="s">
        <v>142</v>
      </c>
      <c r="NY132" s="4" t="s">
        <v>4</v>
      </c>
      <c r="NZ132" s="3">
        <v>2.7306766815840988E-2</v>
      </c>
      <c r="OC132">
        <v>4</v>
      </c>
      <c r="OT132" t="s">
        <v>139</v>
      </c>
      <c r="OV132">
        <v>1996</v>
      </c>
      <c r="OY132" s="2" t="s">
        <v>1</v>
      </c>
      <c r="PA132" t="s">
        <v>1169</v>
      </c>
      <c r="PB132" s="58">
        <v>46094</v>
      </c>
    </row>
    <row r="133" spans="1:418" ht="15.75" thickBot="1">
      <c r="A133" s="11" t="s">
        <v>36</v>
      </c>
      <c r="B133" t="s">
        <v>35</v>
      </c>
      <c r="C133" t="s">
        <v>34</v>
      </c>
      <c r="D133" s="4" t="s">
        <v>33</v>
      </c>
      <c r="E133" t="s">
        <v>32</v>
      </c>
      <c r="F133" s="4" t="s">
        <v>31</v>
      </c>
      <c r="G133" t="s">
        <v>2</v>
      </c>
      <c r="H133" t="s">
        <v>30</v>
      </c>
      <c r="I133" s="10">
        <v>0.1</v>
      </c>
      <c r="J133" s="10">
        <v>34.566667000000002</v>
      </c>
      <c r="K133" t="s">
        <v>29</v>
      </c>
      <c r="AV133" t="s">
        <v>28</v>
      </c>
      <c r="AW133">
        <v>100</v>
      </c>
      <c r="AX133" t="s">
        <v>29</v>
      </c>
      <c r="AY133">
        <v>4</v>
      </c>
      <c r="AZ133" t="s">
        <v>27</v>
      </c>
      <c r="BA133">
        <v>1994</v>
      </c>
      <c r="BB133">
        <v>1998</v>
      </c>
      <c r="BC133" t="s">
        <v>26</v>
      </c>
      <c r="BD133" t="s">
        <v>45</v>
      </c>
      <c r="BE133" s="10" t="s">
        <v>44</v>
      </c>
      <c r="BF133" t="s">
        <v>43</v>
      </c>
      <c r="BG133" s="3" t="s">
        <v>1233</v>
      </c>
      <c r="BH133" t="s">
        <v>23</v>
      </c>
      <c r="BI133" t="s">
        <v>750</v>
      </c>
      <c r="BJ133" s="4" t="s">
        <v>22</v>
      </c>
      <c r="BK133" s="9">
        <v>53000</v>
      </c>
      <c r="EF133" s="4"/>
      <c r="EG133" s="9"/>
      <c r="EH133" s="9"/>
      <c r="EI133" s="9"/>
      <c r="EJ133" s="9"/>
      <c r="EK133" s="9"/>
      <c r="EL133" s="9"/>
      <c r="EM133" s="9"/>
      <c r="EN133" s="9"/>
      <c r="EO133" s="9"/>
      <c r="EP133" s="9"/>
      <c r="EQ133" s="9"/>
      <c r="ER133" s="9"/>
      <c r="ES133" s="9"/>
      <c r="ET133" s="9"/>
      <c r="EU133" s="9"/>
      <c r="EV133" s="9"/>
      <c r="EW133" s="9"/>
      <c r="EX133" s="9"/>
      <c r="EY133" s="9"/>
      <c r="EZ133" s="9"/>
      <c r="FA133" s="9"/>
      <c r="FB133" s="9"/>
      <c r="FC133" s="9"/>
      <c r="FD133" s="9"/>
      <c r="FE133" s="9"/>
      <c r="FF133" s="9"/>
      <c r="FG133" s="9"/>
      <c r="FH133" s="9"/>
      <c r="FI133" s="9"/>
      <c r="FJ133" s="9"/>
      <c r="FK133" s="9"/>
      <c r="FL133" s="9"/>
      <c r="FM133" s="9"/>
      <c r="FN133" s="9"/>
      <c r="FO133" s="9"/>
      <c r="FP133" s="9"/>
      <c r="FQ133" s="9"/>
      <c r="FR133" s="9"/>
      <c r="FS133" s="9"/>
      <c r="FT133" s="9"/>
      <c r="FU133" s="9"/>
      <c r="FV133" s="9"/>
      <c r="FW133" s="9"/>
      <c r="FX133" s="9"/>
      <c r="FY133" s="9"/>
      <c r="FZ133" s="9"/>
      <c r="GA133" s="9"/>
      <c r="GB133" s="9"/>
      <c r="GC133" s="9"/>
      <c r="GD133" s="9"/>
      <c r="GE133" s="9"/>
      <c r="GF133" s="9"/>
      <c r="GG133" s="9"/>
      <c r="GH133" s="9"/>
      <c r="GI133" s="9"/>
      <c r="GJ133" s="9"/>
      <c r="GK133" s="9"/>
      <c r="GL133" s="9"/>
      <c r="GM133" s="9"/>
      <c r="GN133" s="9"/>
      <c r="GO133" s="9"/>
      <c r="GP133" s="9"/>
      <c r="GQ133" s="9"/>
      <c r="GR133" s="9"/>
      <c r="GS133" s="9"/>
      <c r="GT133" s="9"/>
      <c r="GU133" s="9"/>
      <c r="GV133" s="9"/>
      <c r="GW133" s="9"/>
      <c r="GX133" s="9"/>
      <c r="GY133" s="9"/>
      <c r="GZ133" s="9"/>
      <c r="HA133" s="9"/>
      <c r="HB133" s="9"/>
      <c r="HC133" s="9"/>
      <c r="HD133" s="9"/>
      <c r="HE133" s="9"/>
      <c r="HF133" s="9"/>
      <c r="HG133" s="9"/>
      <c r="HH133" s="9"/>
      <c r="HI133" s="9"/>
      <c r="HJ133" s="9"/>
      <c r="HK133" s="9"/>
      <c r="HR133" t="s">
        <v>21</v>
      </c>
      <c r="HT133" s="4" t="s">
        <v>20</v>
      </c>
      <c r="HU133" s="58">
        <v>34335</v>
      </c>
      <c r="HV133" s="58">
        <v>36160</v>
      </c>
      <c r="HW133" s="58"/>
      <c r="HX133" s="58"/>
      <c r="IP133" t="s">
        <v>42</v>
      </c>
      <c r="IQ133" s="13" t="s">
        <v>1227</v>
      </c>
      <c r="IT133">
        <v>1994</v>
      </c>
      <c r="IU133">
        <v>1994.2</v>
      </c>
      <c r="IV133" s="4" t="s">
        <v>18</v>
      </c>
      <c r="IW133" t="s">
        <v>38</v>
      </c>
      <c r="IX133" t="s">
        <v>19</v>
      </c>
      <c r="JB133">
        <v>0</v>
      </c>
      <c r="JC133">
        <v>0</v>
      </c>
      <c r="JD133">
        <v>0</v>
      </c>
      <c r="JE133">
        <v>0</v>
      </c>
      <c r="JF133">
        <v>0</v>
      </c>
      <c r="JG133">
        <v>0</v>
      </c>
      <c r="JH133">
        <v>0</v>
      </c>
      <c r="JI133">
        <v>0</v>
      </c>
      <c r="JJ133">
        <v>0</v>
      </c>
      <c r="JL133" s="12" t="s">
        <v>721</v>
      </c>
      <c r="JQ133" s="4"/>
      <c r="JW133" s="4"/>
      <c r="JX133" s="4"/>
      <c r="JY133" s="4"/>
      <c r="JZ133" s="4"/>
      <c r="KA133" s="4"/>
      <c r="KB133" s="4"/>
      <c r="KG133" s="7" t="s">
        <v>12</v>
      </c>
      <c r="KK133" s="7" t="s">
        <v>720</v>
      </c>
      <c r="KL133" s="7"/>
      <c r="MZ133" t="s">
        <v>11</v>
      </c>
      <c r="NA133">
        <v>42</v>
      </c>
      <c r="NC133" s="4" t="s">
        <v>133</v>
      </c>
      <c r="NK133" t="s">
        <v>132</v>
      </c>
      <c r="NM133" s="4" t="s">
        <v>1156</v>
      </c>
      <c r="NN133" s="6" t="s">
        <v>7</v>
      </c>
      <c r="NW133" t="s">
        <v>6</v>
      </c>
      <c r="NX133" s="5" t="s">
        <v>141</v>
      </c>
      <c r="NY133" s="4" t="s">
        <v>4</v>
      </c>
      <c r="NZ133" s="3">
        <v>4.5488789439359967E-2</v>
      </c>
      <c r="OC133">
        <v>4</v>
      </c>
      <c r="OT133" t="s">
        <v>139</v>
      </c>
      <c r="OV133">
        <v>1996</v>
      </c>
      <c r="OY133" s="2" t="s">
        <v>1</v>
      </c>
      <c r="PA133" t="s">
        <v>1169</v>
      </c>
      <c r="PB133" s="58">
        <v>46094</v>
      </c>
    </row>
    <row r="134" spans="1:418" ht="15.75" thickBot="1">
      <c r="A134" s="11" t="s">
        <v>36</v>
      </c>
      <c r="B134" t="s">
        <v>35</v>
      </c>
      <c r="C134" t="s">
        <v>34</v>
      </c>
      <c r="D134" s="4" t="s">
        <v>33</v>
      </c>
      <c r="E134" t="s">
        <v>32</v>
      </c>
      <c r="F134" s="4" t="s">
        <v>31</v>
      </c>
      <c r="G134" t="s">
        <v>2</v>
      </c>
      <c r="H134" t="s">
        <v>30</v>
      </c>
      <c r="I134" s="10">
        <v>0.1</v>
      </c>
      <c r="J134" s="10">
        <v>34.566667000000002</v>
      </c>
      <c r="K134" t="s">
        <v>29</v>
      </c>
      <c r="AV134" t="s">
        <v>28</v>
      </c>
      <c r="AW134">
        <v>100</v>
      </c>
      <c r="AX134" t="s">
        <v>29</v>
      </c>
      <c r="AY134">
        <v>4</v>
      </c>
      <c r="AZ134" t="s">
        <v>27</v>
      </c>
      <c r="BA134">
        <v>1994</v>
      </c>
      <c r="BB134">
        <v>1998</v>
      </c>
      <c r="BC134" t="s">
        <v>26</v>
      </c>
      <c r="BD134" t="s">
        <v>19</v>
      </c>
      <c r="BE134" s="10" t="s">
        <v>40</v>
      </c>
      <c r="BF134" t="s">
        <v>39</v>
      </c>
      <c r="BG134" s="3" t="s">
        <v>1233</v>
      </c>
      <c r="BH134" t="s">
        <v>23</v>
      </c>
      <c r="BI134" t="s">
        <v>750</v>
      </c>
      <c r="BJ134" s="4" t="s">
        <v>22</v>
      </c>
      <c r="BK134" s="9">
        <v>53000</v>
      </c>
      <c r="HR134" t="s">
        <v>21</v>
      </c>
      <c r="HT134" s="4" t="s">
        <v>20</v>
      </c>
      <c r="HU134" s="58">
        <v>34335</v>
      </c>
      <c r="HV134" s="58">
        <v>36160</v>
      </c>
      <c r="HW134" s="58"/>
      <c r="HX134" s="58"/>
      <c r="IP134" t="s">
        <v>38</v>
      </c>
      <c r="IQ134" s="54" t="s">
        <v>19</v>
      </c>
      <c r="IV134" s="4" t="s">
        <v>18</v>
      </c>
      <c r="IW134" t="s">
        <v>38</v>
      </c>
      <c r="IX134" s="54" t="s">
        <v>19</v>
      </c>
      <c r="JB134">
        <v>0</v>
      </c>
      <c r="JC134">
        <v>0</v>
      </c>
      <c r="JD134">
        <v>0</v>
      </c>
      <c r="JE134">
        <v>0</v>
      </c>
      <c r="JF134">
        <v>0</v>
      </c>
      <c r="JG134">
        <v>0</v>
      </c>
      <c r="JH134">
        <v>0</v>
      </c>
      <c r="JI134">
        <v>0</v>
      </c>
      <c r="JJ134">
        <v>0</v>
      </c>
      <c r="JL134" s="12" t="s">
        <v>721</v>
      </c>
      <c r="JQ134" s="4"/>
      <c r="JW134" s="4"/>
      <c r="JX134" s="4"/>
      <c r="JY134" s="4"/>
      <c r="JZ134" s="4"/>
      <c r="KA134" s="4"/>
      <c r="KB134" s="4"/>
      <c r="KG134" s="7" t="s">
        <v>12</v>
      </c>
      <c r="KK134" s="7" t="s">
        <v>720</v>
      </c>
      <c r="KL134" s="7"/>
      <c r="MZ134" t="s">
        <v>11</v>
      </c>
      <c r="NA134">
        <v>42</v>
      </c>
      <c r="NC134" s="4" t="s">
        <v>133</v>
      </c>
      <c r="NK134" t="s">
        <v>132</v>
      </c>
      <c r="NM134" s="4" t="s">
        <v>1156</v>
      </c>
      <c r="NN134" s="6" t="s">
        <v>7</v>
      </c>
      <c r="NV134" t="s">
        <v>735</v>
      </c>
      <c r="NW134" t="s">
        <v>6</v>
      </c>
      <c r="NX134" s="5" t="s">
        <v>140</v>
      </c>
      <c r="NY134" s="4" t="s">
        <v>4</v>
      </c>
      <c r="NZ134" s="3">
        <v>1.8170778329998E-2</v>
      </c>
      <c r="OC134">
        <v>4</v>
      </c>
      <c r="OT134" t="s">
        <v>139</v>
      </c>
      <c r="OV134">
        <v>1996</v>
      </c>
      <c r="OY134" s="2" t="s">
        <v>1</v>
      </c>
      <c r="PA134" t="s">
        <v>1169</v>
      </c>
      <c r="PB134" s="58">
        <v>46094</v>
      </c>
    </row>
    <row r="135" spans="1:418" ht="15.75" thickBot="1">
      <c r="A135" s="11" t="s">
        <v>36</v>
      </c>
      <c r="B135" t="s">
        <v>35</v>
      </c>
      <c r="C135" t="s">
        <v>34</v>
      </c>
      <c r="D135" s="4" t="s">
        <v>33</v>
      </c>
      <c r="E135" t="s">
        <v>32</v>
      </c>
      <c r="F135" s="4" t="s">
        <v>31</v>
      </c>
      <c r="G135" t="s">
        <v>2</v>
      </c>
      <c r="H135" t="s">
        <v>30</v>
      </c>
      <c r="I135" s="10">
        <v>0.1</v>
      </c>
      <c r="J135" s="10">
        <v>34.566667000000002</v>
      </c>
      <c r="K135" t="s">
        <v>29</v>
      </c>
      <c r="AV135" t="s">
        <v>28</v>
      </c>
      <c r="AW135">
        <v>100</v>
      </c>
      <c r="AX135" t="s">
        <v>29</v>
      </c>
      <c r="AY135">
        <v>4</v>
      </c>
      <c r="AZ135" t="s">
        <v>27</v>
      </c>
      <c r="BA135">
        <v>1994</v>
      </c>
      <c r="BB135">
        <v>1998</v>
      </c>
      <c r="BC135" t="s">
        <v>26</v>
      </c>
      <c r="BD135" t="s">
        <v>19</v>
      </c>
      <c r="BE135" s="10" t="s">
        <v>25</v>
      </c>
      <c r="BF135" t="s">
        <v>24</v>
      </c>
      <c r="BG135" s="3" t="s">
        <v>1233</v>
      </c>
      <c r="BH135" t="s">
        <v>23</v>
      </c>
      <c r="BI135" t="s">
        <v>750</v>
      </c>
      <c r="BJ135" s="4" t="s">
        <v>22</v>
      </c>
      <c r="BK135" s="9">
        <v>53000</v>
      </c>
      <c r="HR135" t="s">
        <v>21</v>
      </c>
      <c r="HT135" s="4" t="s">
        <v>20</v>
      </c>
      <c r="HU135" s="58">
        <v>34335</v>
      </c>
      <c r="HV135" s="58">
        <v>36160</v>
      </c>
      <c r="HW135" s="58"/>
      <c r="HX135" s="58"/>
      <c r="IP135" t="s">
        <v>16</v>
      </c>
      <c r="IQ135" s="54" t="s">
        <v>19</v>
      </c>
      <c r="IV135" s="4" t="s">
        <v>18</v>
      </c>
      <c r="IW135" t="s">
        <v>17</v>
      </c>
      <c r="IX135" s="54" t="s">
        <v>19</v>
      </c>
      <c r="JB135">
        <v>0</v>
      </c>
      <c r="JC135">
        <v>0</v>
      </c>
      <c r="JD135">
        <v>0</v>
      </c>
      <c r="JE135">
        <v>0</v>
      </c>
      <c r="JF135">
        <v>0</v>
      </c>
      <c r="JG135">
        <v>0</v>
      </c>
      <c r="JH135">
        <v>0</v>
      </c>
      <c r="JI135">
        <v>0</v>
      </c>
      <c r="JJ135">
        <v>0</v>
      </c>
      <c r="JK135" t="s">
        <v>16</v>
      </c>
      <c r="JL135" t="s">
        <v>15</v>
      </c>
      <c r="JM135" s="8" t="s">
        <v>14</v>
      </c>
      <c r="JQ135" s="4" t="s">
        <v>13</v>
      </c>
      <c r="JR135">
        <v>60</v>
      </c>
      <c r="JU135">
        <v>60</v>
      </c>
      <c r="JW135" s="4"/>
      <c r="JX135" s="4"/>
      <c r="JY135" s="4"/>
      <c r="JZ135" s="4"/>
      <c r="KA135" s="4"/>
      <c r="KB135" s="4"/>
      <c r="KG135" s="7" t="s">
        <v>12</v>
      </c>
      <c r="KK135" s="7" t="s">
        <v>720</v>
      </c>
      <c r="KL135" s="7"/>
      <c r="MZ135" t="s">
        <v>11</v>
      </c>
      <c r="NA135">
        <v>42</v>
      </c>
      <c r="NC135" s="4" t="s">
        <v>133</v>
      </c>
      <c r="NK135" t="s">
        <v>132</v>
      </c>
      <c r="NM135" s="4" t="s">
        <v>1156</v>
      </c>
      <c r="NN135" s="6" t="s">
        <v>7</v>
      </c>
      <c r="NV135" t="s">
        <v>747</v>
      </c>
      <c r="NW135" t="s">
        <v>6</v>
      </c>
      <c r="NX135">
        <v>0.28012346234286101</v>
      </c>
      <c r="NY135" s="4" t="s">
        <v>4</v>
      </c>
      <c r="NZ135" s="3">
        <v>2.7228056761192998E-2</v>
      </c>
      <c r="OC135">
        <v>4</v>
      </c>
      <c r="OT135" t="s">
        <v>139</v>
      </c>
      <c r="OV135">
        <v>1996</v>
      </c>
      <c r="OY135" s="2" t="s">
        <v>1</v>
      </c>
      <c r="PA135" t="s">
        <v>1169</v>
      </c>
      <c r="PB135" s="58">
        <v>46094</v>
      </c>
    </row>
    <row r="136" spans="1:418" ht="15.75" thickBot="1">
      <c r="A136" s="11" t="s">
        <v>36</v>
      </c>
      <c r="B136" t="s">
        <v>35</v>
      </c>
      <c r="C136" t="s">
        <v>34</v>
      </c>
      <c r="D136" s="4" t="s">
        <v>33</v>
      </c>
      <c r="E136" t="s">
        <v>32</v>
      </c>
      <c r="F136" s="4" t="s">
        <v>31</v>
      </c>
      <c r="G136" t="s">
        <v>2</v>
      </c>
      <c r="H136" t="s">
        <v>30</v>
      </c>
      <c r="I136" s="10">
        <v>0.1</v>
      </c>
      <c r="J136" s="10">
        <v>34.566667000000002</v>
      </c>
      <c r="K136" t="s">
        <v>29</v>
      </c>
      <c r="AV136" t="s">
        <v>28</v>
      </c>
      <c r="AW136">
        <v>100</v>
      </c>
      <c r="AX136" t="s">
        <v>29</v>
      </c>
      <c r="AY136">
        <v>4</v>
      </c>
      <c r="AZ136" t="s">
        <v>27</v>
      </c>
      <c r="BA136">
        <v>1994</v>
      </c>
      <c r="BB136">
        <v>1998</v>
      </c>
      <c r="BC136" t="s">
        <v>26</v>
      </c>
      <c r="BD136" t="s">
        <v>59</v>
      </c>
      <c r="BE136" s="10" t="s">
        <v>65</v>
      </c>
      <c r="BF136" t="s">
        <v>64</v>
      </c>
      <c r="BG136" s="3" t="s">
        <v>1233</v>
      </c>
      <c r="BH136" t="s">
        <v>23</v>
      </c>
      <c r="BI136" t="s">
        <v>750</v>
      </c>
      <c r="BJ136" s="4" t="s">
        <v>22</v>
      </c>
      <c r="BK136" s="9">
        <v>53000</v>
      </c>
      <c r="EE136" t="s">
        <v>55</v>
      </c>
      <c r="EF136" s="4" t="s">
        <v>22</v>
      </c>
      <c r="EG136" s="9">
        <v>53000</v>
      </c>
      <c r="EH136" s="9"/>
      <c r="EI136" s="9"/>
      <c r="EJ136" s="9"/>
      <c r="EK136" s="9"/>
      <c r="EL136" s="9"/>
      <c r="EM136" s="9"/>
      <c r="EN136" s="9"/>
      <c r="EO136" s="9"/>
      <c r="EP136" s="9"/>
      <c r="EQ136" s="9"/>
      <c r="ER136" s="9"/>
      <c r="ES136" s="9"/>
      <c r="ET136" s="9"/>
      <c r="EU136" s="9"/>
      <c r="EV136" s="9"/>
      <c r="EW136" s="9"/>
      <c r="EX136" s="9"/>
      <c r="EY136" s="9"/>
      <c r="EZ136" s="9"/>
      <c r="FA136" s="9"/>
      <c r="FB136" s="9"/>
      <c r="FC136" s="9"/>
      <c r="FD136" s="9"/>
      <c r="FE136" s="9"/>
      <c r="FF136" s="9"/>
      <c r="FG136" s="9"/>
      <c r="FH136" s="9"/>
      <c r="FI136" s="9"/>
      <c r="FJ136" s="9"/>
      <c r="FK136" s="9"/>
      <c r="FL136" s="9"/>
      <c r="FM136" s="9"/>
      <c r="FN136" s="9"/>
      <c r="FO136" s="9"/>
      <c r="FP136" s="9"/>
      <c r="FQ136" s="9"/>
      <c r="FR136" s="9"/>
      <c r="FS136" s="9"/>
      <c r="FT136" s="9"/>
      <c r="FU136" s="9"/>
      <c r="FV136" s="9"/>
      <c r="FW136" s="9"/>
      <c r="FX136" s="9"/>
      <c r="FY136" s="9"/>
      <c r="FZ136" s="9"/>
      <c r="GA136" s="9"/>
      <c r="GB136" s="9"/>
      <c r="GC136" s="9"/>
      <c r="GD136" s="9"/>
      <c r="GE136" s="9"/>
      <c r="GF136" s="9"/>
      <c r="GG136" s="9"/>
      <c r="GH136" s="9"/>
      <c r="GI136" s="9"/>
      <c r="GJ136" s="9"/>
      <c r="GK136" s="9"/>
      <c r="GL136" s="9"/>
      <c r="GM136" s="9"/>
      <c r="GN136" s="9"/>
      <c r="GO136" s="9"/>
      <c r="GP136" s="9"/>
      <c r="GQ136" s="9"/>
      <c r="GR136" s="9"/>
      <c r="GS136" s="9"/>
      <c r="GT136" s="9"/>
      <c r="GU136" s="9"/>
      <c r="GV136" s="9"/>
      <c r="GW136" s="9"/>
      <c r="GX136" s="9"/>
      <c r="GY136" s="9"/>
      <c r="GZ136" s="9"/>
      <c r="HA136" s="9"/>
      <c r="HB136" s="9"/>
      <c r="HC136" s="9"/>
      <c r="HD136" s="9"/>
      <c r="HE136" s="9"/>
      <c r="HF136" s="9"/>
      <c r="HG136" s="9"/>
      <c r="HH136" s="9"/>
      <c r="HI136" s="9"/>
      <c r="HJ136" s="9"/>
      <c r="HK136" s="9"/>
      <c r="HR136" t="s">
        <v>21</v>
      </c>
      <c r="HT136" s="4" t="s">
        <v>20</v>
      </c>
      <c r="HU136" s="58">
        <v>34335</v>
      </c>
      <c r="HV136" s="58">
        <v>36160</v>
      </c>
      <c r="HW136" s="58"/>
      <c r="HX136" s="58"/>
      <c r="IO136" s="4"/>
      <c r="IP136" t="s">
        <v>63</v>
      </c>
      <c r="IQ136" s="12" t="s">
        <v>1718</v>
      </c>
      <c r="IT136">
        <v>1995</v>
      </c>
      <c r="IU136">
        <v>1995.2</v>
      </c>
      <c r="IV136" s="4" t="s">
        <v>18</v>
      </c>
      <c r="IW136" t="s">
        <v>61</v>
      </c>
      <c r="IX136" s="12" t="s">
        <v>52</v>
      </c>
      <c r="JA136">
        <v>0.5</v>
      </c>
      <c r="JB136" t="s">
        <v>29</v>
      </c>
      <c r="JC136" t="s">
        <v>29</v>
      </c>
      <c r="JD136" t="s">
        <v>29</v>
      </c>
      <c r="JE136" t="s">
        <v>29</v>
      </c>
      <c r="JF136" t="s">
        <v>29</v>
      </c>
      <c r="JG136" t="s">
        <v>29</v>
      </c>
      <c r="JH136" t="s">
        <v>29</v>
      </c>
      <c r="JI136" t="s">
        <v>29</v>
      </c>
      <c r="JJ136" t="s">
        <v>29</v>
      </c>
      <c r="JL136" s="12" t="s">
        <v>721</v>
      </c>
      <c r="JQ136" s="4"/>
      <c r="JW136" s="4"/>
      <c r="JX136" s="4"/>
      <c r="JY136" s="4"/>
      <c r="JZ136" s="4"/>
      <c r="KA136" s="4"/>
      <c r="KB136" s="4"/>
      <c r="KG136" s="7" t="s">
        <v>12</v>
      </c>
      <c r="KK136" s="7" t="s">
        <v>719</v>
      </c>
      <c r="KL136" s="7" t="s">
        <v>51</v>
      </c>
      <c r="KN136" t="s">
        <v>29</v>
      </c>
      <c r="MZ136" t="s">
        <v>11</v>
      </c>
      <c r="NA136">
        <v>42</v>
      </c>
      <c r="NC136" s="4" t="s">
        <v>133</v>
      </c>
      <c r="NK136" t="s">
        <v>132</v>
      </c>
      <c r="NM136" s="4" t="s">
        <v>1156</v>
      </c>
      <c r="NN136" s="6" t="s">
        <v>7</v>
      </c>
      <c r="NW136" t="s">
        <v>6</v>
      </c>
      <c r="NX136" s="5" t="s">
        <v>138</v>
      </c>
      <c r="NY136" s="4" t="s">
        <v>4</v>
      </c>
      <c r="NZ136" s="3">
        <v>2.1189871140396999E-2</v>
      </c>
      <c r="OC136">
        <v>4</v>
      </c>
      <c r="OT136" t="s">
        <v>130</v>
      </c>
      <c r="OV136">
        <v>1997</v>
      </c>
      <c r="OY136" s="2" t="s">
        <v>1</v>
      </c>
      <c r="PA136" t="s">
        <v>1169</v>
      </c>
      <c r="PB136" s="58">
        <v>46094</v>
      </c>
    </row>
    <row r="137" spans="1:418" ht="15.75" thickBot="1">
      <c r="A137" s="11" t="s">
        <v>36</v>
      </c>
      <c r="B137" t="s">
        <v>35</v>
      </c>
      <c r="C137" t="s">
        <v>34</v>
      </c>
      <c r="D137" s="4" t="s">
        <v>33</v>
      </c>
      <c r="E137" t="s">
        <v>32</v>
      </c>
      <c r="F137" s="4" t="s">
        <v>31</v>
      </c>
      <c r="G137" t="s">
        <v>2</v>
      </c>
      <c r="H137" t="s">
        <v>30</v>
      </c>
      <c r="I137" s="10">
        <v>0.1</v>
      </c>
      <c r="J137" s="10">
        <v>34.566667000000002</v>
      </c>
      <c r="K137" t="s">
        <v>29</v>
      </c>
      <c r="AV137" t="s">
        <v>28</v>
      </c>
      <c r="AW137">
        <v>100</v>
      </c>
      <c r="AX137" t="s">
        <v>29</v>
      </c>
      <c r="AY137">
        <v>4</v>
      </c>
      <c r="AZ137" t="s">
        <v>27</v>
      </c>
      <c r="BA137">
        <v>1994</v>
      </c>
      <c r="BB137">
        <v>1998</v>
      </c>
      <c r="BC137" t="s">
        <v>26</v>
      </c>
      <c r="BD137" t="s">
        <v>59</v>
      </c>
      <c r="BE137" s="10" t="s">
        <v>58</v>
      </c>
      <c r="BF137" t="s">
        <v>57</v>
      </c>
      <c r="BG137" s="3" t="s">
        <v>1233</v>
      </c>
      <c r="BH137" t="s">
        <v>23</v>
      </c>
      <c r="BI137" t="s">
        <v>750</v>
      </c>
      <c r="BJ137" s="4" t="s">
        <v>22</v>
      </c>
      <c r="BK137" s="9">
        <v>53000</v>
      </c>
      <c r="EE137" t="s">
        <v>55</v>
      </c>
      <c r="EF137" s="4" t="s">
        <v>22</v>
      </c>
      <c r="EG137" s="9">
        <v>53000</v>
      </c>
      <c r="EH137" s="9"/>
      <c r="EI137" s="9"/>
      <c r="EJ137" s="9"/>
      <c r="EK137" s="9"/>
      <c r="EL137" s="9"/>
      <c r="EM137" s="9"/>
      <c r="EN137" s="9"/>
      <c r="EO137" s="9"/>
      <c r="EP137" s="9"/>
      <c r="EQ137" s="9"/>
      <c r="ER137" s="9"/>
      <c r="ES137" s="9"/>
      <c r="ET137" s="9"/>
      <c r="EU137" s="9"/>
      <c r="EV137" s="9"/>
      <c r="EW137" s="9"/>
      <c r="EX137" s="9"/>
      <c r="EY137" s="9"/>
      <c r="EZ137" s="9"/>
      <c r="FA137" s="9"/>
      <c r="FB137" s="9"/>
      <c r="FC137" s="9"/>
      <c r="FD137" s="9"/>
      <c r="FE137" s="9"/>
      <c r="FF137" s="9"/>
      <c r="FG137" s="9"/>
      <c r="FH137" s="9"/>
      <c r="FI137" s="9"/>
      <c r="FJ137" s="9"/>
      <c r="FK137" s="9"/>
      <c r="FL137" s="9"/>
      <c r="FM137" s="9"/>
      <c r="FN137" s="9"/>
      <c r="FO137" s="9"/>
      <c r="FP137" s="9"/>
      <c r="FQ137" s="9"/>
      <c r="FR137" s="9"/>
      <c r="FS137" s="9"/>
      <c r="FT137" s="9"/>
      <c r="FU137" s="9"/>
      <c r="FV137" s="9"/>
      <c r="FW137" s="9"/>
      <c r="FX137" s="9"/>
      <c r="FY137" s="9"/>
      <c r="FZ137" s="9"/>
      <c r="GA137" s="9"/>
      <c r="GB137" s="9"/>
      <c r="GC137" s="9"/>
      <c r="GD137" s="9"/>
      <c r="GE137" s="9"/>
      <c r="GF137" s="9"/>
      <c r="GG137" s="9"/>
      <c r="GH137" s="9"/>
      <c r="GI137" s="9"/>
      <c r="GJ137" s="9"/>
      <c r="GK137" s="9"/>
      <c r="GL137" s="9"/>
      <c r="GM137" s="9"/>
      <c r="GN137" s="9"/>
      <c r="GO137" s="9"/>
      <c r="GP137" s="9"/>
      <c r="GQ137" s="9"/>
      <c r="GR137" s="9"/>
      <c r="GS137" s="9"/>
      <c r="GT137" s="9"/>
      <c r="GU137" s="9"/>
      <c r="GV137" s="9"/>
      <c r="GW137" s="9"/>
      <c r="GX137" s="9"/>
      <c r="GY137" s="9"/>
      <c r="GZ137" s="9"/>
      <c r="HA137" s="9"/>
      <c r="HB137" s="9"/>
      <c r="HC137" s="9"/>
      <c r="HD137" s="9"/>
      <c r="HE137" s="9"/>
      <c r="HF137" s="9"/>
      <c r="HG137" s="9"/>
      <c r="HH137" s="9"/>
      <c r="HI137" s="9"/>
      <c r="HJ137" s="9"/>
      <c r="HK137" s="9"/>
      <c r="HR137" t="s">
        <v>21</v>
      </c>
      <c r="HT137" s="4" t="s">
        <v>20</v>
      </c>
      <c r="HU137" s="58">
        <v>34335</v>
      </c>
      <c r="HV137" s="58">
        <v>36160</v>
      </c>
      <c r="HW137" s="58"/>
      <c r="HX137" s="58"/>
      <c r="IO137" s="4"/>
      <c r="IP137" t="s">
        <v>54</v>
      </c>
      <c r="IQ137" s="12" t="s">
        <v>1719</v>
      </c>
      <c r="IT137">
        <v>1994</v>
      </c>
      <c r="IU137">
        <v>1994.2</v>
      </c>
      <c r="IV137" s="4" t="s">
        <v>18</v>
      </c>
      <c r="IW137" t="s">
        <v>53</v>
      </c>
      <c r="IX137" s="12" t="s">
        <v>52</v>
      </c>
      <c r="JA137">
        <v>0.5</v>
      </c>
      <c r="JB137" t="s">
        <v>29</v>
      </c>
      <c r="JC137" t="s">
        <v>29</v>
      </c>
      <c r="JD137" t="s">
        <v>29</v>
      </c>
      <c r="JE137" t="s">
        <v>29</v>
      </c>
      <c r="JF137" t="s">
        <v>29</v>
      </c>
      <c r="JG137" t="s">
        <v>29</v>
      </c>
      <c r="JH137" t="s">
        <v>29</v>
      </c>
      <c r="JI137" t="s">
        <v>29</v>
      </c>
      <c r="JJ137" t="s">
        <v>29</v>
      </c>
      <c r="JL137" s="12" t="s">
        <v>721</v>
      </c>
      <c r="JQ137" s="4"/>
      <c r="JW137" s="4"/>
      <c r="JX137" s="4"/>
      <c r="JY137" s="4"/>
      <c r="JZ137" s="4"/>
      <c r="KA137" s="4"/>
      <c r="KB137" s="4"/>
      <c r="KG137" s="7" t="s">
        <v>12</v>
      </c>
      <c r="KK137" s="7" t="s">
        <v>719</v>
      </c>
      <c r="KL137" s="7" t="s">
        <v>51</v>
      </c>
      <c r="KN137" t="s">
        <v>29</v>
      </c>
      <c r="MZ137" t="s">
        <v>11</v>
      </c>
      <c r="NA137">
        <v>42</v>
      </c>
      <c r="NC137" s="4" t="s">
        <v>133</v>
      </c>
      <c r="NK137" t="s">
        <v>132</v>
      </c>
      <c r="NM137" s="4" t="s">
        <v>1156</v>
      </c>
      <c r="NN137" s="6" t="s">
        <v>7</v>
      </c>
      <c r="NW137" t="s">
        <v>6</v>
      </c>
      <c r="NX137" s="5" t="s">
        <v>137</v>
      </c>
      <c r="NY137" s="4" t="s">
        <v>4</v>
      </c>
      <c r="NZ137" s="3">
        <v>2.4242696831358018E-2</v>
      </c>
      <c r="OC137">
        <v>4</v>
      </c>
      <c r="OT137" t="s">
        <v>130</v>
      </c>
      <c r="OV137">
        <v>1997</v>
      </c>
      <c r="OY137" s="2" t="s">
        <v>1</v>
      </c>
      <c r="PA137" t="s">
        <v>1169</v>
      </c>
      <c r="PB137" s="58">
        <v>46094</v>
      </c>
    </row>
    <row r="138" spans="1:418" ht="15.75" thickBot="1">
      <c r="A138" s="11" t="s">
        <v>36</v>
      </c>
      <c r="B138" t="s">
        <v>35</v>
      </c>
      <c r="C138" t="s">
        <v>34</v>
      </c>
      <c r="D138" s="4" t="s">
        <v>33</v>
      </c>
      <c r="E138" t="s">
        <v>32</v>
      </c>
      <c r="F138" s="4" t="s">
        <v>31</v>
      </c>
      <c r="G138" t="s">
        <v>2</v>
      </c>
      <c r="H138" t="s">
        <v>30</v>
      </c>
      <c r="I138" s="10">
        <v>0.1</v>
      </c>
      <c r="J138" s="10">
        <v>34.566667000000002</v>
      </c>
      <c r="K138" t="s">
        <v>29</v>
      </c>
      <c r="AV138" t="s">
        <v>28</v>
      </c>
      <c r="AW138">
        <v>100</v>
      </c>
      <c r="AX138" t="s">
        <v>29</v>
      </c>
      <c r="AY138">
        <v>4</v>
      </c>
      <c r="AZ138" t="s">
        <v>27</v>
      </c>
      <c r="BA138">
        <v>1994</v>
      </c>
      <c r="BB138">
        <v>1998</v>
      </c>
      <c r="BC138" t="s">
        <v>26</v>
      </c>
      <c r="BD138" t="s">
        <v>45</v>
      </c>
      <c r="BE138" s="10" t="s">
        <v>49</v>
      </c>
      <c r="BF138" t="s">
        <v>48</v>
      </c>
      <c r="BG138" s="3" t="s">
        <v>1233</v>
      </c>
      <c r="BH138" t="s">
        <v>23</v>
      </c>
      <c r="BI138" t="s">
        <v>750</v>
      </c>
      <c r="BJ138" s="4" t="s">
        <v>22</v>
      </c>
      <c r="BK138" s="9">
        <v>53000</v>
      </c>
      <c r="EF138" s="4"/>
      <c r="EG138" s="9"/>
      <c r="EH138" s="9"/>
      <c r="EI138" s="9"/>
      <c r="EJ138" s="9"/>
      <c r="EK138" s="9"/>
      <c r="EL138" s="9"/>
      <c r="EM138" s="9"/>
      <c r="EN138" s="9"/>
      <c r="EO138" s="9"/>
      <c r="EP138" s="9"/>
      <c r="EQ138" s="9"/>
      <c r="ER138" s="9"/>
      <c r="ES138" s="9"/>
      <c r="ET138" s="9"/>
      <c r="EU138" s="9"/>
      <c r="EV138" s="9"/>
      <c r="EW138" s="9"/>
      <c r="EX138" s="9"/>
      <c r="EY138" s="9"/>
      <c r="EZ138" s="9"/>
      <c r="FA138" s="9"/>
      <c r="FB138" s="9"/>
      <c r="FC138" s="9"/>
      <c r="FD138" s="9"/>
      <c r="FE138" s="9"/>
      <c r="FF138" s="9"/>
      <c r="FG138" s="9"/>
      <c r="FH138" s="9"/>
      <c r="FI138" s="9"/>
      <c r="FJ138" s="9"/>
      <c r="FK138" s="9"/>
      <c r="FL138" s="9"/>
      <c r="FM138" s="9"/>
      <c r="FN138" s="9"/>
      <c r="FO138" s="9"/>
      <c r="FP138" s="9"/>
      <c r="FQ138" s="9"/>
      <c r="FR138" s="9"/>
      <c r="FS138" s="9"/>
      <c r="FT138" s="9"/>
      <c r="FU138" s="9"/>
      <c r="FV138" s="9"/>
      <c r="FW138" s="9"/>
      <c r="FX138" s="9"/>
      <c r="FY138" s="9"/>
      <c r="FZ138" s="9"/>
      <c r="GA138" s="9"/>
      <c r="GB138" s="9"/>
      <c r="GC138" s="9"/>
      <c r="GD138" s="9"/>
      <c r="GE138" s="9"/>
      <c r="GF138" s="9"/>
      <c r="GG138" s="9"/>
      <c r="GH138" s="9"/>
      <c r="GI138" s="9"/>
      <c r="GJ138" s="9"/>
      <c r="GK138" s="9"/>
      <c r="GL138" s="9"/>
      <c r="GM138" s="9"/>
      <c r="GN138" s="9"/>
      <c r="GO138" s="9"/>
      <c r="GP138" s="9"/>
      <c r="GQ138" s="9"/>
      <c r="GR138" s="9"/>
      <c r="GS138" s="9"/>
      <c r="GT138" s="9"/>
      <c r="GU138" s="9"/>
      <c r="GV138" s="9"/>
      <c r="GW138" s="9"/>
      <c r="GX138" s="9"/>
      <c r="GY138" s="9"/>
      <c r="GZ138" s="9"/>
      <c r="HA138" s="9"/>
      <c r="HB138" s="9"/>
      <c r="HC138" s="9"/>
      <c r="HD138" s="9"/>
      <c r="HE138" s="9"/>
      <c r="HF138" s="9"/>
      <c r="HG138" s="9"/>
      <c r="HH138" s="9"/>
      <c r="HI138" s="9"/>
      <c r="HJ138" s="9"/>
      <c r="HK138" s="9"/>
      <c r="HR138" t="s">
        <v>21</v>
      </c>
      <c r="HT138" s="4" t="s">
        <v>20</v>
      </c>
      <c r="HU138" s="58">
        <v>34335</v>
      </c>
      <c r="HV138" s="58">
        <v>36160</v>
      </c>
      <c r="HW138" s="58"/>
      <c r="HX138" s="58"/>
      <c r="IP138" t="s">
        <v>47</v>
      </c>
      <c r="IQ138" s="54" t="s">
        <v>1226</v>
      </c>
      <c r="IT138">
        <v>1995</v>
      </c>
      <c r="IU138">
        <v>1995.2</v>
      </c>
      <c r="IV138" s="4" t="s">
        <v>18</v>
      </c>
      <c r="IW138" t="s">
        <v>38</v>
      </c>
      <c r="IX138" t="s">
        <v>19</v>
      </c>
      <c r="JB138">
        <v>0</v>
      </c>
      <c r="JC138">
        <v>0</v>
      </c>
      <c r="JD138">
        <v>0</v>
      </c>
      <c r="JE138">
        <v>0</v>
      </c>
      <c r="JF138">
        <v>0</v>
      </c>
      <c r="JG138">
        <v>0</v>
      </c>
      <c r="JH138">
        <v>0</v>
      </c>
      <c r="JI138">
        <v>0</v>
      </c>
      <c r="JJ138">
        <v>0</v>
      </c>
      <c r="JL138" s="12" t="s">
        <v>721</v>
      </c>
      <c r="JQ138" s="4"/>
      <c r="JW138" s="4"/>
      <c r="JX138" s="4"/>
      <c r="JY138" s="4"/>
      <c r="JZ138" s="4"/>
      <c r="KA138" s="4"/>
      <c r="KB138" s="4"/>
      <c r="KG138" s="7" t="s">
        <v>12</v>
      </c>
      <c r="KK138" s="7" t="s">
        <v>720</v>
      </c>
      <c r="KL138" s="7"/>
      <c r="MZ138" t="s">
        <v>11</v>
      </c>
      <c r="NA138">
        <v>42</v>
      </c>
      <c r="NC138" s="4" t="s">
        <v>133</v>
      </c>
      <c r="NK138" t="s">
        <v>132</v>
      </c>
      <c r="NM138" s="4" t="s">
        <v>1156</v>
      </c>
      <c r="NN138" s="6" t="s">
        <v>7</v>
      </c>
      <c r="NW138" t="s">
        <v>6</v>
      </c>
      <c r="NX138" s="5" t="s">
        <v>136</v>
      </c>
      <c r="NY138" s="4" t="s">
        <v>4</v>
      </c>
      <c r="NZ138" s="3">
        <v>3.0303371039197002E-2</v>
      </c>
      <c r="OC138">
        <v>4</v>
      </c>
      <c r="OT138" t="s">
        <v>130</v>
      </c>
      <c r="OV138">
        <v>1997</v>
      </c>
      <c r="OY138" s="2" t="s">
        <v>1</v>
      </c>
      <c r="PA138" t="s">
        <v>1169</v>
      </c>
      <c r="PB138" s="58">
        <v>46094</v>
      </c>
    </row>
    <row r="139" spans="1:418" ht="15.75" thickBot="1">
      <c r="A139" s="11" t="s">
        <v>36</v>
      </c>
      <c r="B139" t="s">
        <v>35</v>
      </c>
      <c r="C139" t="s">
        <v>34</v>
      </c>
      <c r="D139" s="4" t="s">
        <v>33</v>
      </c>
      <c r="E139" t="s">
        <v>32</v>
      </c>
      <c r="F139" s="4" t="s">
        <v>31</v>
      </c>
      <c r="G139" t="s">
        <v>2</v>
      </c>
      <c r="H139" t="s">
        <v>30</v>
      </c>
      <c r="I139" s="10">
        <v>0.1</v>
      </c>
      <c r="J139" s="10">
        <v>34.566667000000002</v>
      </c>
      <c r="K139" t="s">
        <v>29</v>
      </c>
      <c r="AV139" t="s">
        <v>28</v>
      </c>
      <c r="AW139">
        <v>100</v>
      </c>
      <c r="AX139" t="s">
        <v>29</v>
      </c>
      <c r="AY139">
        <v>4</v>
      </c>
      <c r="AZ139" t="s">
        <v>27</v>
      </c>
      <c r="BA139">
        <v>1994</v>
      </c>
      <c r="BB139">
        <v>1998</v>
      </c>
      <c r="BC139" t="s">
        <v>26</v>
      </c>
      <c r="BD139" t="s">
        <v>45</v>
      </c>
      <c r="BE139" s="10" t="s">
        <v>44</v>
      </c>
      <c r="BF139" t="s">
        <v>43</v>
      </c>
      <c r="BG139" s="3" t="s">
        <v>1233</v>
      </c>
      <c r="BH139" t="s">
        <v>23</v>
      </c>
      <c r="BI139" t="s">
        <v>750</v>
      </c>
      <c r="BJ139" s="4" t="s">
        <v>22</v>
      </c>
      <c r="BK139" s="9">
        <v>53000</v>
      </c>
      <c r="EF139" s="4"/>
      <c r="EG139" s="9"/>
      <c r="EH139" s="9"/>
      <c r="EI139" s="9"/>
      <c r="EJ139" s="9"/>
      <c r="EK139" s="9"/>
      <c r="EL139" s="9"/>
      <c r="EM139" s="9"/>
      <c r="EN139" s="9"/>
      <c r="EO139" s="9"/>
      <c r="EP139" s="9"/>
      <c r="EQ139" s="9"/>
      <c r="ER139" s="9"/>
      <c r="ES139" s="9"/>
      <c r="ET139" s="9"/>
      <c r="EU139" s="9"/>
      <c r="EV139" s="9"/>
      <c r="EW139" s="9"/>
      <c r="EX139" s="9"/>
      <c r="EY139" s="9"/>
      <c r="EZ139" s="9"/>
      <c r="FA139" s="9"/>
      <c r="FB139" s="9"/>
      <c r="FC139" s="9"/>
      <c r="FD139" s="9"/>
      <c r="FE139" s="9"/>
      <c r="FF139" s="9"/>
      <c r="FG139" s="9"/>
      <c r="FH139" s="9"/>
      <c r="FI139" s="9"/>
      <c r="FJ139" s="9"/>
      <c r="FK139" s="9"/>
      <c r="FL139" s="9"/>
      <c r="FM139" s="9"/>
      <c r="FN139" s="9"/>
      <c r="FO139" s="9"/>
      <c r="FP139" s="9"/>
      <c r="FQ139" s="9"/>
      <c r="FR139" s="9"/>
      <c r="FS139" s="9"/>
      <c r="FT139" s="9"/>
      <c r="FU139" s="9"/>
      <c r="FV139" s="9"/>
      <c r="FW139" s="9"/>
      <c r="FX139" s="9"/>
      <c r="FY139" s="9"/>
      <c r="FZ139" s="9"/>
      <c r="GA139" s="9"/>
      <c r="GB139" s="9"/>
      <c r="GC139" s="9"/>
      <c r="GD139" s="9"/>
      <c r="GE139" s="9"/>
      <c r="GF139" s="9"/>
      <c r="GG139" s="9"/>
      <c r="GH139" s="9"/>
      <c r="GI139" s="9"/>
      <c r="GJ139" s="9"/>
      <c r="GK139" s="9"/>
      <c r="GL139" s="9"/>
      <c r="GM139" s="9"/>
      <c r="GN139" s="9"/>
      <c r="GO139" s="9"/>
      <c r="GP139" s="9"/>
      <c r="GQ139" s="9"/>
      <c r="GR139" s="9"/>
      <c r="GS139" s="9"/>
      <c r="GT139" s="9"/>
      <c r="GU139" s="9"/>
      <c r="GV139" s="9"/>
      <c r="GW139" s="9"/>
      <c r="GX139" s="9"/>
      <c r="GY139" s="9"/>
      <c r="GZ139" s="9"/>
      <c r="HA139" s="9"/>
      <c r="HB139" s="9"/>
      <c r="HC139" s="9"/>
      <c r="HD139" s="9"/>
      <c r="HE139" s="9"/>
      <c r="HF139" s="9"/>
      <c r="HG139" s="9"/>
      <c r="HH139" s="9"/>
      <c r="HI139" s="9"/>
      <c r="HJ139" s="9"/>
      <c r="HK139" s="9"/>
      <c r="HR139" t="s">
        <v>21</v>
      </c>
      <c r="HT139" s="4" t="s">
        <v>20</v>
      </c>
      <c r="HU139" s="58">
        <v>34335</v>
      </c>
      <c r="HV139" s="58">
        <v>36160</v>
      </c>
      <c r="HW139" s="58"/>
      <c r="HX139" s="58"/>
      <c r="IP139" t="s">
        <v>42</v>
      </c>
      <c r="IQ139" s="13" t="s">
        <v>1227</v>
      </c>
      <c r="IT139">
        <v>1994</v>
      </c>
      <c r="IU139">
        <v>1994.2</v>
      </c>
      <c r="IV139" s="4" t="s">
        <v>18</v>
      </c>
      <c r="IW139" t="s">
        <v>38</v>
      </c>
      <c r="IX139" t="s">
        <v>19</v>
      </c>
      <c r="JB139">
        <v>0</v>
      </c>
      <c r="JC139">
        <v>0</v>
      </c>
      <c r="JD139">
        <v>0</v>
      </c>
      <c r="JE139">
        <v>0</v>
      </c>
      <c r="JF139">
        <v>0</v>
      </c>
      <c r="JG139">
        <v>0</v>
      </c>
      <c r="JH139">
        <v>0</v>
      </c>
      <c r="JI139">
        <v>0</v>
      </c>
      <c r="JJ139">
        <v>0</v>
      </c>
      <c r="JL139" s="12" t="s">
        <v>721</v>
      </c>
      <c r="JQ139" s="4"/>
      <c r="JW139" s="4"/>
      <c r="JX139" s="4"/>
      <c r="JY139" s="4"/>
      <c r="JZ139" s="4"/>
      <c r="KA139" s="4"/>
      <c r="KB139" s="4"/>
      <c r="KG139" s="7" t="s">
        <v>12</v>
      </c>
      <c r="KK139" s="7" t="s">
        <v>720</v>
      </c>
      <c r="KL139" s="7"/>
      <c r="MZ139" t="s">
        <v>11</v>
      </c>
      <c r="NA139">
        <v>42</v>
      </c>
      <c r="NC139" s="4" t="s">
        <v>133</v>
      </c>
      <c r="NK139" t="s">
        <v>132</v>
      </c>
      <c r="NM139" s="4" t="s">
        <v>1156</v>
      </c>
      <c r="NN139" s="6" t="s">
        <v>7</v>
      </c>
      <c r="NW139" t="s">
        <v>6</v>
      </c>
      <c r="NX139" s="5" t="s">
        <v>135</v>
      </c>
      <c r="NY139" s="4" t="s">
        <v>4</v>
      </c>
      <c r="NZ139" s="3">
        <v>2.7318011109362994E-2</v>
      </c>
      <c r="OC139">
        <v>4</v>
      </c>
      <c r="OT139" t="s">
        <v>130</v>
      </c>
      <c r="OV139">
        <v>1997</v>
      </c>
      <c r="OY139" s="2" t="s">
        <v>1</v>
      </c>
      <c r="PA139" t="s">
        <v>1169</v>
      </c>
      <c r="PB139" s="58">
        <v>46094</v>
      </c>
    </row>
    <row r="140" spans="1:418" ht="15.75" thickBot="1">
      <c r="A140" s="11" t="s">
        <v>36</v>
      </c>
      <c r="B140" t="s">
        <v>35</v>
      </c>
      <c r="C140" t="s">
        <v>34</v>
      </c>
      <c r="D140" s="4" t="s">
        <v>33</v>
      </c>
      <c r="E140" t="s">
        <v>32</v>
      </c>
      <c r="F140" s="4" t="s">
        <v>31</v>
      </c>
      <c r="G140" t="s">
        <v>2</v>
      </c>
      <c r="H140" t="s">
        <v>30</v>
      </c>
      <c r="I140" s="10">
        <v>0.1</v>
      </c>
      <c r="J140" s="10">
        <v>34.566667000000002</v>
      </c>
      <c r="K140" t="s">
        <v>29</v>
      </c>
      <c r="AV140" t="s">
        <v>28</v>
      </c>
      <c r="AW140">
        <v>100</v>
      </c>
      <c r="AX140" t="s">
        <v>29</v>
      </c>
      <c r="AY140">
        <v>4</v>
      </c>
      <c r="AZ140" t="s">
        <v>27</v>
      </c>
      <c r="BA140">
        <v>1994</v>
      </c>
      <c r="BB140">
        <v>1998</v>
      </c>
      <c r="BC140" t="s">
        <v>26</v>
      </c>
      <c r="BD140" t="s">
        <v>19</v>
      </c>
      <c r="BE140" s="10" t="s">
        <v>40</v>
      </c>
      <c r="BF140" t="s">
        <v>39</v>
      </c>
      <c r="BG140" s="3" t="s">
        <v>1233</v>
      </c>
      <c r="BH140" t="s">
        <v>23</v>
      </c>
      <c r="BI140" t="s">
        <v>750</v>
      </c>
      <c r="BJ140" s="4" t="s">
        <v>22</v>
      </c>
      <c r="BK140" s="9">
        <v>53000</v>
      </c>
      <c r="HR140" t="s">
        <v>21</v>
      </c>
      <c r="HT140" s="4" t="s">
        <v>20</v>
      </c>
      <c r="HU140" s="58">
        <v>34335</v>
      </c>
      <c r="HV140" s="58">
        <v>36160</v>
      </c>
      <c r="HW140" s="58"/>
      <c r="HX140" s="58"/>
      <c r="IP140" t="s">
        <v>38</v>
      </c>
      <c r="IQ140" s="54" t="s">
        <v>19</v>
      </c>
      <c r="IV140" s="4" t="s">
        <v>18</v>
      </c>
      <c r="IW140" t="s">
        <v>38</v>
      </c>
      <c r="IX140" s="54" t="s">
        <v>19</v>
      </c>
      <c r="JB140">
        <v>0</v>
      </c>
      <c r="JC140">
        <v>0</v>
      </c>
      <c r="JD140">
        <v>0</v>
      </c>
      <c r="JE140">
        <v>0</v>
      </c>
      <c r="JF140">
        <v>0</v>
      </c>
      <c r="JG140">
        <v>0</v>
      </c>
      <c r="JH140">
        <v>0</v>
      </c>
      <c r="JI140">
        <v>0</v>
      </c>
      <c r="JJ140">
        <v>0</v>
      </c>
      <c r="JL140" s="12" t="s">
        <v>721</v>
      </c>
      <c r="JQ140" s="4"/>
      <c r="JW140" s="4"/>
      <c r="JX140" s="4"/>
      <c r="JY140" s="4"/>
      <c r="JZ140" s="4"/>
      <c r="KA140" s="4"/>
      <c r="KB140" s="4"/>
      <c r="KG140" s="7" t="s">
        <v>12</v>
      </c>
      <c r="KK140" s="7" t="s">
        <v>720</v>
      </c>
      <c r="KL140" s="7"/>
      <c r="MZ140" t="s">
        <v>11</v>
      </c>
      <c r="NA140">
        <v>42</v>
      </c>
      <c r="NC140" s="4" t="s">
        <v>133</v>
      </c>
      <c r="NK140" t="s">
        <v>132</v>
      </c>
      <c r="NM140" s="4" t="s">
        <v>1156</v>
      </c>
      <c r="NN140" s="6" t="s">
        <v>7</v>
      </c>
      <c r="NV140" t="s">
        <v>735</v>
      </c>
      <c r="NW140" t="s">
        <v>6</v>
      </c>
      <c r="NX140" s="5" t="s">
        <v>134</v>
      </c>
      <c r="NY140" s="4" t="s">
        <v>4</v>
      </c>
      <c r="NZ140" s="3">
        <v>4.2435963748398003E-2</v>
      </c>
      <c r="OC140">
        <v>4</v>
      </c>
      <c r="OT140" t="s">
        <v>130</v>
      </c>
      <c r="OV140">
        <v>1997</v>
      </c>
      <c r="OY140" s="2" t="s">
        <v>1</v>
      </c>
      <c r="PA140" t="s">
        <v>1169</v>
      </c>
      <c r="PB140" s="58">
        <v>46094</v>
      </c>
    </row>
    <row r="141" spans="1:418" ht="15.75" thickBot="1">
      <c r="A141" s="11" t="s">
        <v>36</v>
      </c>
      <c r="B141" t="s">
        <v>35</v>
      </c>
      <c r="C141" t="s">
        <v>34</v>
      </c>
      <c r="D141" s="4" t="s">
        <v>33</v>
      </c>
      <c r="E141" t="s">
        <v>32</v>
      </c>
      <c r="F141" s="4" t="s">
        <v>31</v>
      </c>
      <c r="G141" t="s">
        <v>2</v>
      </c>
      <c r="H141" t="s">
        <v>30</v>
      </c>
      <c r="I141" s="10">
        <v>0.1</v>
      </c>
      <c r="J141" s="10">
        <v>34.566667000000002</v>
      </c>
      <c r="K141" t="s">
        <v>29</v>
      </c>
      <c r="AV141" t="s">
        <v>28</v>
      </c>
      <c r="AW141">
        <v>100</v>
      </c>
      <c r="AX141" t="s">
        <v>29</v>
      </c>
      <c r="AY141">
        <v>4</v>
      </c>
      <c r="AZ141" t="s">
        <v>27</v>
      </c>
      <c r="BA141">
        <v>1994</v>
      </c>
      <c r="BB141">
        <v>1998</v>
      </c>
      <c r="BC141" t="s">
        <v>26</v>
      </c>
      <c r="BD141" t="s">
        <v>19</v>
      </c>
      <c r="BE141" s="10" t="s">
        <v>25</v>
      </c>
      <c r="BF141" t="s">
        <v>24</v>
      </c>
      <c r="BG141" s="3" t="s">
        <v>1233</v>
      </c>
      <c r="BH141" t="s">
        <v>23</v>
      </c>
      <c r="BI141" t="s">
        <v>750</v>
      </c>
      <c r="BJ141" s="4" t="s">
        <v>22</v>
      </c>
      <c r="BK141" s="9">
        <v>53000</v>
      </c>
      <c r="HR141" t="s">
        <v>21</v>
      </c>
      <c r="HT141" s="4" t="s">
        <v>20</v>
      </c>
      <c r="HU141" s="58">
        <v>34335</v>
      </c>
      <c r="HV141" s="58">
        <v>36160</v>
      </c>
      <c r="HW141" s="58"/>
      <c r="HX141" s="58"/>
      <c r="IP141" t="s">
        <v>16</v>
      </c>
      <c r="IQ141" s="54" t="s">
        <v>19</v>
      </c>
      <c r="IV141" s="4" t="s">
        <v>18</v>
      </c>
      <c r="IW141" t="s">
        <v>17</v>
      </c>
      <c r="IX141" s="54" t="s">
        <v>19</v>
      </c>
      <c r="JB141">
        <v>0</v>
      </c>
      <c r="JC141">
        <v>0</v>
      </c>
      <c r="JD141">
        <v>0</v>
      </c>
      <c r="JE141">
        <v>0</v>
      </c>
      <c r="JF141">
        <v>0</v>
      </c>
      <c r="JG141">
        <v>0</v>
      </c>
      <c r="JH141">
        <v>0</v>
      </c>
      <c r="JI141">
        <v>0</v>
      </c>
      <c r="JJ141">
        <v>0</v>
      </c>
      <c r="JK141" t="s">
        <v>16</v>
      </c>
      <c r="JL141" t="s">
        <v>15</v>
      </c>
      <c r="JM141" s="8" t="s">
        <v>14</v>
      </c>
      <c r="JQ141" s="4" t="s">
        <v>13</v>
      </c>
      <c r="JR141">
        <v>60</v>
      </c>
      <c r="JU141">
        <v>60</v>
      </c>
      <c r="JW141" s="4"/>
      <c r="JX141" s="4"/>
      <c r="JY141" s="4"/>
      <c r="JZ141" s="4"/>
      <c r="KA141" s="4"/>
      <c r="KB141" s="4"/>
      <c r="KG141" s="7" t="s">
        <v>12</v>
      </c>
      <c r="KK141" s="7" t="s">
        <v>720</v>
      </c>
      <c r="KL141" s="7"/>
      <c r="MZ141" t="s">
        <v>11</v>
      </c>
      <c r="NA141">
        <v>42</v>
      </c>
      <c r="NC141" s="4" t="s">
        <v>133</v>
      </c>
      <c r="NK141" t="s">
        <v>132</v>
      </c>
      <c r="NM141" s="4" t="s">
        <v>1156</v>
      </c>
      <c r="NN141" s="6" t="s">
        <v>7</v>
      </c>
      <c r="NV141" t="s">
        <v>747</v>
      </c>
      <c r="NW141" t="s">
        <v>6</v>
      </c>
      <c r="NX141" s="5" t="s">
        <v>131</v>
      </c>
      <c r="NY141" s="4" t="s">
        <v>4</v>
      </c>
      <c r="NZ141" s="3">
        <v>3.0325859626239016E-2</v>
      </c>
      <c r="OC141">
        <v>4</v>
      </c>
      <c r="OT141" t="s">
        <v>130</v>
      </c>
      <c r="OV141">
        <v>1997</v>
      </c>
      <c r="OY141" s="2" t="s">
        <v>1</v>
      </c>
      <c r="PA141" t="s">
        <v>1169</v>
      </c>
      <c r="PB141" s="58">
        <v>46094</v>
      </c>
    </row>
    <row r="142" spans="1:418" ht="15.75" thickBot="1">
      <c r="A142" s="11" t="s">
        <v>36</v>
      </c>
      <c r="B142" t="s">
        <v>35</v>
      </c>
      <c r="C142" t="s">
        <v>34</v>
      </c>
      <c r="D142" s="4" t="s">
        <v>33</v>
      </c>
      <c r="E142" t="s">
        <v>32</v>
      </c>
      <c r="F142" s="4" t="s">
        <v>31</v>
      </c>
      <c r="G142" t="s">
        <v>2</v>
      </c>
      <c r="H142" t="s">
        <v>30</v>
      </c>
      <c r="I142" s="10">
        <v>0.1</v>
      </c>
      <c r="J142" s="10">
        <v>34.566667000000002</v>
      </c>
      <c r="K142" t="s">
        <v>29</v>
      </c>
      <c r="AV142" t="s">
        <v>28</v>
      </c>
      <c r="AW142">
        <v>100</v>
      </c>
      <c r="AX142" t="s">
        <v>29</v>
      </c>
      <c r="AY142">
        <v>4</v>
      </c>
      <c r="AZ142" t="s">
        <v>27</v>
      </c>
      <c r="BA142">
        <v>1994</v>
      </c>
      <c r="BB142">
        <v>1998</v>
      </c>
      <c r="BC142" t="s">
        <v>26</v>
      </c>
      <c r="BD142" t="s">
        <v>59</v>
      </c>
      <c r="BE142" s="10" t="s">
        <v>65</v>
      </c>
      <c r="BF142" t="s">
        <v>64</v>
      </c>
      <c r="BG142" s="3" t="s">
        <v>1233</v>
      </c>
      <c r="BH142" t="s">
        <v>23</v>
      </c>
      <c r="BI142" t="s">
        <v>750</v>
      </c>
      <c r="BJ142" s="4" t="s">
        <v>22</v>
      </c>
      <c r="BK142" s="9">
        <v>53000</v>
      </c>
      <c r="EE142" t="s">
        <v>55</v>
      </c>
      <c r="EF142" s="4" t="s">
        <v>22</v>
      </c>
      <c r="EG142" s="9">
        <v>53000</v>
      </c>
      <c r="EH142" s="9"/>
      <c r="EI142" s="9"/>
      <c r="EJ142" s="9"/>
      <c r="EK142" s="9"/>
      <c r="EL142" s="9"/>
      <c r="EM142" s="9"/>
      <c r="EN142" s="9"/>
      <c r="EO142" s="9"/>
      <c r="EP142" s="9"/>
      <c r="EQ142" s="9"/>
      <c r="ER142" s="9"/>
      <c r="ES142" s="9"/>
      <c r="ET142" s="9"/>
      <c r="EU142" s="9"/>
      <c r="EV142" s="9"/>
      <c r="EW142" s="9"/>
      <c r="EX142" s="9"/>
      <c r="EY142" s="9"/>
      <c r="EZ142" s="9"/>
      <c r="FA142" s="9"/>
      <c r="FB142" s="9"/>
      <c r="FC142" s="9"/>
      <c r="FD142" s="9"/>
      <c r="FE142" s="9"/>
      <c r="FF142" s="9"/>
      <c r="FG142" s="9"/>
      <c r="FH142" s="9"/>
      <c r="FI142" s="9"/>
      <c r="FJ142" s="9"/>
      <c r="FK142" s="9"/>
      <c r="FL142" s="9"/>
      <c r="FM142" s="9"/>
      <c r="FN142" s="9"/>
      <c r="FO142" s="9"/>
      <c r="FP142" s="9"/>
      <c r="FQ142" s="9"/>
      <c r="FR142" s="9"/>
      <c r="FS142" s="9"/>
      <c r="FT142" s="9"/>
      <c r="FU142" s="9"/>
      <c r="FV142" s="9"/>
      <c r="FW142" s="9"/>
      <c r="FX142" s="9"/>
      <c r="FY142" s="9"/>
      <c r="FZ142" s="9"/>
      <c r="GA142" s="9"/>
      <c r="GB142" s="9"/>
      <c r="GC142" s="9"/>
      <c r="GD142" s="9"/>
      <c r="GE142" s="9"/>
      <c r="GF142" s="9"/>
      <c r="GG142" s="9"/>
      <c r="GH142" s="9"/>
      <c r="GI142" s="9"/>
      <c r="GJ142" s="9"/>
      <c r="GK142" s="9"/>
      <c r="GL142" s="9"/>
      <c r="GM142" s="9"/>
      <c r="GN142" s="9"/>
      <c r="GO142" s="9"/>
      <c r="GP142" s="9"/>
      <c r="GQ142" s="9"/>
      <c r="GR142" s="9"/>
      <c r="GS142" s="9"/>
      <c r="GT142" s="9"/>
      <c r="GU142" s="9"/>
      <c r="GV142" s="9"/>
      <c r="GW142" s="9"/>
      <c r="GX142" s="9"/>
      <c r="GY142" s="9"/>
      <c r="GZ142" s="9"/>
      <c r="HA142" s="9"/>
      <c r="HB142" s="9"/>
      <c r="HC142" s="9"/>
      <c r="HD142" s="9"/>
      <c r="HE142" s="9"/>
      <c r="HF142" s="9"/>
      <c r="HG142" s="9"/>
      <c r="HH142" s="9"/>
      <c r="HI142" s="9"/>
      <c r="HJ142" s="9"/>
      <c r="HK142" s="9"/>
      <c r="HR142" t="s">
        <v>21</v>
      </c>
      <c r="HT142" s="4" t="s">
        <v>20</v>
      </c>
      <c r="HU142" s="58">
        <v>34335</v>
      </c>
      <c r="HV142" s="58">
        <v>36160</v>
      </c>
      <c r="HW142" s="58"/>
      <c r="HX142" s="58"/>
      <c r="IO142" s="4"/>
      <c r="IP142" t="s">
        <v>63</v>
      </c>
      <c r="IQ142" s="12" t="s">
        <v>1718</v>
      </c>
      <c r="IT142">
        <v>1995</v>
      </c>
      <c r="IU142">
        <v>1995.2</v>
      </c>
      <c r="IV142" s="4" t="s">
        <v>18</v>
      </c>
      <c r="IW142" t="s">
        <v>61</v>
      </c>
      <c r="IX142" s="12" t="s">
        <v>52</v>
      </c>
      <c r="JA142">
        <v>0.5</v>
      </c>
      <c r="JB142" t="s">
        <v>29</v>
      </c>
      <c r="JC142" t="s">
        <v>29</v>
      </c>
      <c r="JD142" t="s">
        <v>29</v>
      </c>
      <c r="JE142" t="s">
        <v>29</v>
      </c>
      <c r="JF142" t="s">
        <v>29</v>
      </c>
      <c r="JG142" t="s">
        <v>29</v>
      </c>
      <c r="JH142" t="s">
        <v>29</v>
      </c>
      <c r="JI142" t="s">
        <v>29</v>
      </c>
      <c r="JJ142" t="s">
        <v>29</v>
      </c>
      <c r="JL142" s="12" t="s">
        <v>721</v>
      </c>
      <c r="JQ142" s="4"/>
      <c r="JW142" s="4"/>
      <c r="JX142" s="4"/>
      <c r="JY142" s="4"/>
      <c r="JZ142" s="4"/>
      <c r="KA142" s="4"/>
      <c r="KB142" s="4"/>
      <c r="KG142" s="7" t="s">
        <v>12</v>
      </c>
      <c r="KK142" s="7" t="s">
        <v>719</v>
      </c>
      <c r="KL142" s="7" t="s">
        <v>51</v>
      </c>
      <c r="KN142" t="s">
        <v>29</v>
      </c>
      <c r="MZ142" t="s">
        <v>11</v>
      </c>
      <c r="NA142">
        <v>42</v>
      </c>
      <c r="NC142" s="4" t="s">
        <v>96</v>
      </c>
      <c r="NK142" t="s">
        <v>95</v>
      </c>
      <c r="NM142" s="4" t="s">
        <v>1156</v>
      </c>
      <c r="NN142" s="6" t="s">
        <v>7</v>
      </c>
      <c r="NW142" t="s">
        <v>6</v>
      </c>
      <c r="NX142" s="5" t="s">
        <v>129</v>
      </c>
      <c r="NY142" s="4" t="s">
        <v>4</v>
      </c>
      <c r="NZ142" s="3">
        <v>0.27494262741666997</v>
      </c>
      <c r="OC142">
        <v>4</v>
      </c>
      <c r="OT142" t="s">
        <v>123</v>
      </c>
      <c r="OV142">
        <v>1996</v>
      </c>
      <c r="OY142" s="2" t="s">
        <v>62</v>
      </c>
      <c r="PA142" t="s">
        <v>1169</v>
      </c>
      <c r="PB142" s="58">
        <v>46094</v>
      </c>
    </row>
    <row r="143" spans="1:418" ht="15.75" thickBot="1">
      <c r="A143" s="11" t="s">
        <v>36</v>
      </c>
      <c r="B143" t="s">
        <v>35</v>
      </c>
      <c r="C143" t="s">
        <v>34</v>
      </c>
      <c r="D143" s="4" t="s">
        <v>33</v>
      </c>
      <c r="E143" t="s">
        <v>32</v>
      </c>
      <c r="F143" s="4" t="s">
        <v>31</v>
      </c>
      <c r="G143" t="s">
        <v>2</v>
      </c>
      <c r="H143" t="s">
        <v>30</v>
      </c>
      <c r="I143" s="10">
        <v>0.1</v>
      </c>
      <c r="J143" s="10">
        <v>34.566667000000002</v>
      </c>
      <c r="K143" t="s">
        <v>29</v>
      </c>
      <c r="AV143" t="s">
        <v>28</v>
      </c>
      <c r="AW143">
        <v>100</v>
      </c>
      <c r="AX143" t="s">
        <v>29</v>
      </c>
      <c r="AY143">
        <v>4</v>
      </c>
      <c r="AZ143" t="s">
        <v>27</v>
      </c>
      <c r="BA143">
        <v>1994</v>
      </c>
      <c r="BB143">
        <v>1998</v>
      </c>
      <c r="BC143" t="s">
        <v>26</v>
      </c>
      <c r="BD143" t="s">
        <v>59</v>
      </c>
      <c r="BE143" s="10" t="s">
        <v>58</v>
      </c>
      <c r="BF143" t="s">
        <v>57</v>
      </c>
      <c r="BG143" s="3" t="s">
        <v>1233</v>
      </c>
      <c r="BH143" t="s">
        <v>23</v>
      </c>
      <c r="BI143" t="s">
        <v>750</v>
      </c>
      <c r="BJ143" s="4" t="s">
        <v>22</v>
      </c>
      <c r="BK143" s="9">
        <v>53000</v>
      </c>
      <c r="EE143" t="s">
        <v>55</v>
      </c>
      <c r="EF143" s="4" t="s">
        <v>22</v>
      </c>
      <c r="EG143" s="9">
        <v>53000</v>
      </c>
      <c r="EH143" s="9"/>
      <c r="EI143" s="9"/>
      <c r="EJ143" s="9"/>
      <c r="EK143" s="9"/>
      <c r="EL143" s="9"/>
      <c r="EM143" s="9"/>
      <c r="EN143" s="9"/>
      <c r="EO143" s="9"/>
      <c r="EP143" s="9"/>
      <c r="EQ143" s="9"/>
      <c r="ER143" s="9"/>
      <c r="ES143" s="9"/>
      <c r="ET143" s="9"/>
      <c r="EU143" s="9"/>
      <c r="EV143" s="9"/>
      <c r="EW143" s="9"/>
      <c r="EX143" s="9"/>
      <c r="EY143" s="9"/>
      <c r="EZ143" s="9"/>
      <c r="FA143" s="9"/>
      <c r="FB143" s="9"/>
      <c r="FC143" s="9"/>
      <c r="FD143" s="9"/>
      <c r="FE143" s="9"/>
      <c r="FF143" s="9"/>
      <c r="FG143" s="9"/>
      <c r="FH143" s="9"/>
      <c r="FI143" s="9"/>
      <c r="FJ143" s="9"/>
      <c r="FK143" s="9"/>
      <c r="FL143" s="9"/>
      <c r="FM143" s="9"/>
      <c r="FN143" s="9"/>
      <c r="FO143" s="9"/>
      <c r="FP143" s="9"/>
      <c r="FQ143" s="9"/>
      <c r="FR143" s="9"/>
      <c r="FS143" s="9"/>
      <c r="FT143" s="9"/>
      <c r="FU143" s="9"/>
      <c r="FV143" s="9"/>
      <c r="FW143" s="9"/>
      <c r="FX143" s="9"/>
      <c r="FY143" s="9"/>
      <c r="FZ143" s="9"/>
      <c r="GA143" s="9"/>
      <c r="GB143" s="9"/>
      <c r="GC143" s="9"/>
      <c r="GD143" s="9"/>
      <c r="GE143" s="9"/>
      <c r="GF143" s="9"/>
      <c r="GG143" s="9"/>
      <c r="GH143" s="9"/>
      <c r="GI143" s="9"/>
      <c r="GJ143" s="9"/>
      <c r="GK143" s="9"/>
      <c r="GL143" s="9"/>
      <c r="GM143" s="9"/>
      <c r="GN143" s="9"/>
      <c r="GO143" s="9"/>
      <c r="GP143" s="9"/>
      <c r="GQ143" s="9"/>
      <c r="GR143" s="9"/>
      <c r="GS143" s="9"/>
      <c r="GT143" s="9"/>
      <c r="GU143" s="9"/>
      <c r="GV143" s="9"/>
      <c r="GW143" s="9"/>
      <c r="GX143" s="9"/>
      <c r="GY143" s="9"/>
      <c r="GZ143" s="9"/>
      <c r="HA143" s="9"/>
      <c r="HB143" s="9"/>
      <c r="HC143" s="9"/>
      <c r="HD143" s="9"/>
      <c r="HE143" s="9"/>
      <c r="HF143" s="9"/>
      <c r="HG143" s="9"/>
      <c r="HH143" s="9"/>
      <c r="HI143" s="9"/>
      <c r="HJ143" s="9"/>
      <c r="HK143" s="9"/>
      <c r="HR143" t="s">
        <v>21</v>
      </c>
      <c r="HT143" s="4" t="s">
        <v>20</v>
      </c>
      <c r="HU143" s="58">
        <v>34335</v>
      </c>
      <c r="HV143" s="58">
        <v>36160</v>
      </c>
      <c r="HW143" s="58"/>
      <c r="HX143" s="58"/>
      <c r="IO143" s="4"/>
      <c r="IP143" t="s">
        <v>54</v>
      </c>
      <c r="IQ143" s="12" t="s">
        <v>1719</v>
      </c>
      <c r="IT143">
        <v>1994</v>
      </c>
      <c r="IU143">
        <v>1994.2</v>
      </c>
      <c r="IV143" s="4" t="s">
        <v>18</v>
      </c>
      <c r="IW143" t="s">
        <v>53</v>
      </c>
      <c r="IX143" s="12" t="s">
        <v>52</v>
      </c>
      <c r="JA143">
        <v>0.5</v>
      </c>
      <c r="JB143" t="s">
        <v>29</v>
      </c>
      <c r="JC143" t="s">
        <v>29</v>
      </c>
      <c r="JD143" t="s">
        <v>29</v>
      </c>
      <c r="JE143" t="s">
        <v>29</v>
      </c>
      <c r="JF143" t="s">
        <v>29</v>
      </c>
      <c r="JG143" t="s">
        <v>29</v>
      </c>
      <c r="JH143" t="s">
        <v>29</v>
      </c>
      <c r="JI143" t="s">
        <v>29</v>
      </c>
      <c r="JJ143" t="s">
        <v>29</v>
      </c>
      <c r="JL143" s="12" t="s">
        <v>721</v>
      </c>
      <c r="JQ143" s="4"/>
      <c r="JW143" s="4"/>
      <c r="JX143" s="4"/>
      <c r="JY143" s="4"/>
      <c r="JZ143" s="4"/>
      <c r="KA143" s="4"/>
      <c r="KB143" s="4"/>
      <c r="KG143" s="7" t="s">
        <v>12</v>
      </c>
      <c r="KK143" s="7" t="s">
        <v>719</v>
      </c>
      <c r="KL143" s="7" t="s">
        <v>51</v>
      </c>
      <c r="KN143" t="s">
        <v>29</v>
      </c>
      <c r="MZ143" t="s">
        <v>11</v>
      </c>
      <c r="NA143">
        <v>42</v>
      </c>
      <c r="NC143" s="4" t="s">
        <v>96</v>
      </c>
      <c r="NK143" t="s">
        <v>95</v>
      </c>
      <c r="NM143" s="4" t="s">
        <v>1156</v>
      </c>
      <c r="NN143" s="6" t="s">
        <v>7</v>
      </c>
      <c r="NW143" t="s">
        <v>6</v>
      </c>
      <c r="NX143" s="5" t="s">
        <v>128</v>
      </c>
      <c r="NY143" s="4" t="s">
        <v>4</v>
      </c>
      <c r="NZ143" s="3">
        <v>0.29593796606625</v>
      </c>
      <c r="OC143">
        <v>4</v>
      </c>
      <c r="OT143" t="s">
        <v>123</v>
      </c>
      <c r="OV143">
        <v>1996</v>
      </c>
      <c r="OY143" s="2" t="s">
        <v>62</v>
      </c>
      <c r="PA143" t="s">
        <v>1169</v>
      </c>
      <c r="PB143" s="58">
        <v>46094</v>
      </c>
    </row>
    <row r="144" spans="1:418" ht="15.75" thickBot="1">
      <c r="A144" s="11" t="s">
        <v>36</v>
      </c>
      <c r="B144" t="s">
        <v>35</v>
      </c>
      <c r="C144" t="s">
        <v>34</v>
      </c>
      <c r="D144" s="4" t="s">
        <v>33</v>
      </c>
      <c r="E144" t="s">
        <v>32</v>
      </c>
      <c r="F144" s="4" t="s">
        <v>31</v>
      </c>
      <c r="G144" t="s">
        <v>2</v>
      </c>
      <c r="H144" t="s">
        <v>30</v>
      </c>
      <c r="I144" s="10">
        <v>0.1</v>
      </c>
      <c r="J144" s="10">
        <v>34.566667000000002</v>
      </c>
      <c r="K144" t="s">
        <v>29</v>
      </c>
      <c r="AV144" t="s">
        <v>28</v>
      </c>
      <c r="AW144">
        <v>100</v>
      </c>
      <c r="AX144" t="s">
        <v>29</v>
      </c>
      <c r="AY144">
        <v>4</v>
      </c>
      <c r="AZ144" t="s">
        <v>27</v>
      </c>
      <c r="BA144">
        <v>1994</v>
      </c>
      <c r="BB144">
        <v>1998</v>
      </c>
      <c r="BC144" t="s">
        <v>26</v>
      </c>
      <c r="BD144" t="s">
        <v>45</v>
      </c>
      <c r="BE144" s="10" t="s">
        <v>49</v>
      </c>
      <c r="BF144" t="s">
        <v>48</v>
      </c>
      <c r="BG144" s="3" t="s">
        <v>1233</v>
      </c>
      <c r="BH144" t="s">
        <v>23</v>
      </c>
      <c r="BI144" t="s">
        <v>750</v>
      </c>
      <c r="BJ144" s="4" t="s">
        <v>22</v>
      </c>
      <c r="BK144" s="9">
        <v>53000</v>
      </c>
      <c r="EF144" s="4"/>
      <c r="EG144" s="9"/>
      <c r="EH144" s="9"/>
      <c r="EI144" s="9"/>
      <c r="EJ144" s="9"/>
      <c r="EK144" s="9"/>
      <c r="EL144" s="9"/>
      <c r="EM144" s="9"/>
      <c r="EN144" s="9"/>
      <c r="EO144" s="9"/>
      <c r="EP144" s="9"/>
      <c r="EQ144" s="9"/>
      <c r="ER144" s="9"/>
      <c r="ES144" s="9"/>
      <c r="ET144" s="9"/>
      <c r="EU144" s="9"/>
      <c r="EV144" s="9"/>
      <c r="EW144" s="9"/>
      <c r="EX144" s="9"/>
      <c r="EY144" s="9"/>
      <c r="EZ144" s="9"/>
      <c r="FA144" s="9"/>
      <c r="FB144" s="9"/>
      <c r="FC144" s="9"/>
      <c r="FD144" s="9"/>
      <c r="FE144" s="9"/>
      <c r="FF144" s="9"/>
      <c r="FG144" s="9"/>
      <c r="FH144" s="9"/>
      <c r="FI144" s="9"/>
      <c r="FJ144" s="9"/>
      <c r="FK144" s="9"/>
      <c r="FL144" s="9"/>
      <c r="FM144" s="9"/>
      <c r="FN144" s="9"/>
      <c r="FO144" s="9"/>
      <c r="FP144" s="9"/>
      <c r="FQ144" s="9"/>
      <c r="FR144" s="9"/>
      <c r="FS144" s="9"/>
      <c r="FT144" s="9"/>
      <c r="FU144" s="9"/>
      <c r="FV144" s="9"/>
      <c r="FW144" s="9"/>
      <c r="FX144" s="9"/>
      <c r="FY144" s="9"/>
      <c r="FZ144" s="9"/>
      <c r="GA144" s="9"/>
      <c r="GB144" s="9"/>
      <c r="GC144" s="9"/>
      <c r="GD144" s="9"/>
      <c r="GE144" s="9"/>
      <c r="GF144" s="9"/>
      <c r="GG144" s="9"/>
      <c r="GH144" s="9"/>
      <c r="GI144" s="9"/>
      <c r="GJ144" s="9"/>
      <c r="GK144" s="9"/>
      <c r="GL144" s="9"/>
      <c r="GM144" s="9"/>
      <c r="GN144" s="9"/>
      <c r="GO144" s="9"/>
      <c r="GP144" s="9"/>
      <c r="GQ144" s="9"/>
      <c r="GR144" s="9"/>
      <c r="GS144" s="9"/>
      <c r="GT144" s="9"/>
      <c r="GU144" s="9"/>
      <c r="GV144" s="9"/>
      <c r="GW144" s="9"/>
      <c r="GX144" s="9"/>
      <c r="GY144" s="9"/>
      <c r="GZ144" s="9"/>
      <c r="HA144" s="9"/>
      <c r="HB144" s="9"/>
      <c r="HC144" s="9"/>
      <c r="HD144" s="9"/>
      <c r="HE144" s="9"/>
      <c r="HF144" s="9"/>
      <c r="HG144" s="9"/>
      <c r="HH144" s="9"/>
      <c r="HI144" s="9"/>
      <c r="HJ144" s="9"/>
      <c r="HK144" s="9"/>
      <c r="HR144" t="s">
        <v>21</v>
      </c>
      <c r="HT144" s="4" t="s">
        <v>20</v>
      </c>
      <c r="HU144" s="58">
        <v>34335</v>
      </c>
      <c r="HV144" s="58">
        <v>36160</v>
      </c>
      <c r="HW144" s="58"/>
      <c r="HX144" s="58"/>
      <c r="IP144" t="s">
        <v>47</v>
      </c>
      <c r="IQ144" s="54" t="s">
        <v>1226</v>
      </c>
      <c r="IT144">
        <v>1995</v>
      </c>
      <c r="IU144">
        <v>1995.2</v>
      </c>
      <c r="IV144" s="4" t="s">
        <v>18</v>
      </c>
      <c r="IW144" t="s">
        <v>38</v>
      </c>
      <c r="IX144" t="s">
        <v>19</v>
      </c>
      <c r="JB144">
        <v>0</v>
      </c>
      <c r="JC144">
        <v>0</v>
      </c>
      <c r="JD144">
        <v>0</v>
      </c>
      <c r="JE144">
        <v>0</v>
      </c>
      <c r="JF144">
        <v>0</v>
      </c>
      <c r="JG144">
        <v>0</v>
      </c>
      <c r="JH144">
        <v>0</v>
      </c>
      <c r="JI144">
        <v>0</v>
      </c>
      <c r="JJ144">
        <v>0</v>
      </c>
      <c r="JL144" s="12" t="s">
        <v>721</v>
      </c>
      <c r="JQ144" s="4"/>
      <c r="JW144" s="4"/>
      <c r="JX144" s="4"/>
      <c r="JY144" s="4"/>
      <c r="JZ144" s="4"/>
      <c r="KA144" s="4"/>
      <c r="KB144" s="4"/>
      <c r="KG144" s="7" t="s">
        <v>12</v>
      </c>
      <c r="KK144" s="7" t="s">
        <v>720</v>
      </c>
      <c r="KL144" s="7"/>
      <c r="MZ144" t="s">
        <v>11</v>
      </c>
      <c r="NA144">
        <v>42</v>
      </c>
      <c r="NC144" s="4" t="s">
        <v>96</v>
      </c>
      <c r="NK144" t="s">
        <v>95</v>
      </c>
      <c r="NM144" s="4" t="s">
        <v>1156</v>
      </c>
      <c r="NN144" s="6" t="s">
        <v>7</v>
      </c>
      <c r="NW144" t="s">
        <v>6</v>
      </c>
      <c r="NX144" s="5" t="s">
        <v>127</v>
      </c>
      <c r="NY144" s="4" t="s">
        <v>4</v>
      </c>
      <c r="NZ144" s="3">
        <v>0.27509672164527998</v>
      </c>
      <c r="OC144">
        <v>4</v>
      </c>
      <c r="OT144" t="s">
        <v>123</v>
      </c>
      <c r="OV144">
        <v>1996</v>
      </c>
      <c r="OY144" s="2" t="s">
        <v>62</v>
      </c>
      <c r="PA144" t="s">
        <v>1169</v>
      </c>
      <c r="PB144" s="58">
        <v>46094</v>
      </c>
    </row>
    <row r="145" spans="1:418" ht="15.75" thickBot="1">
      <c r="A145" s="11" t="s">
        <v>36</v>
      </c>
      <c r="B145" t="s">
        <v>35</v>
      </c>
      <c r="C145" t="s">
        <v>34</v>
      </c>
      <c r="D145" s="4" t="s">
        <v>33</v>
      </c>
      <c r="E145" t="s">
        <v>32</v>
      </c>
      <c r="F145" s="4" t="s">
        <v>31</v>
      </c>
      <c r="G145" t="s">
        <v>2</v>
      </c>
      <c r="H145" t="s">
        <v>30</v>
      </c>
      <c r="I145" s="10">
        <v>0.1</v>
      </c>
      <c r="J145" s="10">
        <v>34.566667000000002</v>
      </c>
      <c r="K145" t="s">
        <v>29</v>
      </c>
      <c r="AV145" t="s">
        <v>28</v>
      </c>
      <c r="AW145">
        <v>100</v>
      </c>
      <c r="AX145" t="s">
        <v>29</v>
      </c>
      <c r="AY145">
        <v>4</v>
      </c>
      <c r="AZ145" t="s">
        <v>27</v>
      </c>
      <c r="BA145">
        <v>1994</v>
      </c>
      <c r="BB145">
        <v>1998</v>
      </c>
      <c r="BC145" t="s">
        <v>26</v>
      </c>
      <c r="BD145" t="s">
        <v>45</v>
      </c>
      <c r="BE145" s="10" t="s">
        <v>44</v>
      </c>
      <c r="BF145" t="s">
        <v>43</v>
      </c>
      <c r="BG145" s="3" t="s">
        <v>1233</v>
      </c>
      <c r="BH145" t="s">
        <v>23</v>
      </c>
      <c r="BI145" t="s">
        <v>750</v>
      </c>
      <c r="BJ145" s="4" t="s">
        <v>22</v>
      </c>
      <c r="BK145" s="9">
        <v>53000</v>
      </c>
      <c r="EF145" s="4"/>
      <c r="EG145" s="9"/>
      <c r="EH145" s="9"/>
      <c r="EI145" s="9"/>
      <c r="EJ145" s="9"/>
      <c r="EK145" s="9"/>
      <c r="EL145" s="9"/>
      <c r="EM145" s="9"/>
      <c r="EN145" s="9"/>
      <c r="EO145" s="9"/>
      <c r="EP145" s="9"/>
      <c r="EQ145" s="9"/>
      <c r="ER145" s="9"/>
      <c r="ES145" s="9"/>
      <c r="ET145" s="9"/>
      <c r="EU145" s="9"/>
      <c r="EV145" s="9"/>
      <c r="EW145" s="9"/>
      <c r="EX145" s="9"/>
      <c r="EY145" s="9"/>
      <c r="EZ145" s="9"/>
      <c r="FA145" s="9"/>
      <c r="FB145" s="9"/>
      <c r="FC145" s="9"/>
      <c r="FD145" s="9"/>
      <c r="FE145" s="9"/>
      <c r="FF145" s="9"/>
      <c r="FG145" s="9"/>
      <c r="FH145" s="9"/>
      <c r="FI145" s="9"/>
      <c r="FJ145" s="9"/>
      <c r="FK145" s="9"/>
      <c r="FL145" s="9"/>
      <c r="FM145" s="9"/>
      <c r="FN145" s="9"/>
      <c r="FO145" s="9"/>
      <c r="FP145" s="9"/>
      <c r="FQ145" s="9"/>
      <c r="FR145" s="9"/>
      <c r="FS145" s="9"/>
      <c r="FT145" s="9"/>
      <c r="FU145" s="9"/>
      <c r="FV145" s="9"/>
      <c r="FW145" s="9"/>
      <c r="FX145" s="9"/>
      <c r="FY145" s="9"/>
      <c r="FZ145" s="9"/>
      <c r="GA145" s="9"/>
      <c r="GB145" s="9"/>
      <c r="GC145" s="9"/>
      <c r="GD145" s="9"/>
      <c r="GE145" s="9"/>
      <c r="GF145" s="9"/>
      <c r="GG145" s="9"/>
      <c r="GH145" s="9"/>
      <c r="GI145" s="9"/>
      <c r="GJ145" s="9"/>
      <c r="GK145" s="9"/>
      <c r="GL145" s="9"/>
      <c r="GM145" s="9"/>
      <c r="GN145" s="9"/>
      <c r="GO145" s="9"/>
      <c r="GP145" s="9"/>
      <c r="GQ145" s="9"/>
      <c r="GR145" s="9"/>
      <c r="GS145" s="9"/>
      <c r="GT145" s="9"/>
      <c r="GU145" s="9"/>
      <c r="GV145" s="9"/>
      <c r="GW145" s="9"/>
      <c r="GX145" s="9"/>
      <c r="GY145" s="9"/>
      <c r="GZ145" s="9"/>
      <c r="HA145" s="9"/>
      <c r="HB145" s="9"/>
      <c r="HC145" s="9"/>
      <c r="HD145" s="9"/>
      <c r="HE145" s="9"/>
      <c r="HF145" s="9"/>
      <c r="HG145" s="9"/>
      <c r="HH145" s="9"/>
      <c r="HI145" s="9"/>
      <c r="HJ145" s="9"/>
      <c r="HK145" s="9"/>
      <c r="HR145" t="s">
        <v>21</v>
      </c>
      <c r="HT145" s="4" t="s">
        <v>20</v>
      </c>
      <c r="HU145" s="58">
        <v>34335</v>
      </c>
      <c r="HV145" s="58">
        <v>36160</v>
      </c>
      <c r="HW145" s="58"/>
      <c r="HX145" s="58"/>
      <c r="IP145" t="s">
        <v>42</v>
      </c>
      <c r="IQ145" s="13" t="s">
        <v>1227</v>
      </c>
      <c r="IT145">
        <v>1994</v>
      </c>
      <c r="IU145">
        <v>1994.2</v>
      </c>
      <c r="IV145" s="4" t="s">
        <v>18</v>
      </c>
      <c r="IW145" t="s">
        <v>38</v>
      </c>
      <c r="IX145" t="s">
        <v>19</v>
      </c>
      <c r="JB145">
        <v>0</v>
      </c>
      <c r="JC145">
        <v>0</v>
      </c>
      <c r="JD145">
        <v>0</v>
      </c>
      <c r="JE145">
        <v>0</v>
      </c>
      <c r="JF145">
        <v>0</v>
      </c>
      <c r="JG145">
        <v>0</v>
      </c>
      <c r="JH145">
        <v>0</v>
      </c>
      <c r="JI145">
        <v>0</v>
      </c>
      <c r="JJ145">
        <v>0</v>
      </c>
      <c r="JL145" s="12" t="s">
        <v>721</v>
      </c>
      <c r="JQ145" s="4"/>
      <c r="JW145" s="4"/>
      <c r="JX145" s="4"/>
      <c r="JY145" s="4"/>
      <c r="JZ145" s="4"/>
      <c r="KA145" s="4"/>
      <c r="KB145" s="4"/>
      <c r="KG145" s="7" t="s">
        <v>12</v>
      </c>
      <c r="KK145" s="7" t="s">
        <v>720</v>
      </c>
      <c r="KL145" s="7"/>
      <c r="MZ145" t="s">
        <v>11</v>
      </c>
      <c r="NA145">
        <v>42</v>
      </c>
      <c r="NC145" s="4" t="s">
        <v>96</v>
      </c>
      <c r="NK145" t="s">
        <v>95</v>
      </c>
      <c r="NM145" s="4" t="s">
        <v>1156</v>
      </c>
      <c r="NN145" s="6" t="s">
        <v>7</v>
      </c>
      <c r="NW145" t="s">
        <v>6</v>
      </c>
      <c r="NX145" s="5" t="s">
        <v>126</v>
      </c>
      <c r="NY145" s="4" t="s">
        <v>4</v>
      </c>
      <c r="NZ145" s="3">
        <v>0.38076683892200025</v>
      </c>
      <c r="OC145">
        <v>4</v>
      </c>
      <c r="OT145" t="s">
        <v>123</v>
      </c>
      <c r="OV145">
        <v>1996</v>
      </c>
      <c r="OY145" s="2" t="s">
        <v>62</v>
      </c>
      <c r="PA145" t="s">
        <v>1169</v>
      </c>
      <c r="PB145" s="58">
        <v>46094</v>
      </c>
    </row>
    <row r="146" spans="1:418" ht="15.75" thickBot="1">
      <c r="A146" s="11" t="s">
        <v>36</v>
      </c>
      <c r="B146" t="s">
        <v>35</v>
      </c>
      <c r="C146" t="s">
        <v>34</v>
      </c>
      <c r="D146" s="4" t="s">
        <v>33</v>
      </c>
      <c r="E146" t="s">
        <v>32</v>
      </c>
      <c r="F146" s="4" t="s">
        <v>31</v>
      </c>
      <c r="G146" t="s">
        <v>2</v>
      </c>
      <c r="H146" t="s">
        <v>30</v>
      </c>
      <c r="I146" s="10">
        <v>0.1</v>
      </c>
      <c r="J146" s="10">
        <v>34.566667000000002</v>
      </c>
      <c r="K146" t="s">
        <v>29</v>
      </c>
      <c r="AV146" t="s">
        <v>28</v>
      </c>
      <c r="AW146">
        <v>100</v>
      </c>
      <c r="AX146" t="s">
        <v>29</v>
      </c>
      <c r="AY146">
        <v>4</v>
      </c>
      <c r="AZ146" t="s">
        <v>27</v>
      </c>
      <c r="BA146">
        <v>1994</v>
      </c>
      <c r="BB146">
        <v>1998</v>
      </c>
      <c r="BC146" t="s">
        <v>26</v>
      </c>
      <c r="BD146" t="s">
        <v>19</v>
      </c>
      <c r="BE146" s="10" t="s">
        <v>40</v>
      </c>
      <c r="BF146" t="s">
        <v>39</v>
      </c>
      <c r="BG146" s="3" t="s">
        <v>1233</v>
      </c>
      <c r="BH146" t="s">
        <v>23</v>
      </c>
      <c r="BI146" t="s">
        <v>750</v>
      </c>
      <c r="BJ146" s="4" t="s">
        <v>22</v>
      </c>
      <c r="BK146" s="9">
        <v>53000</v>
      </c>
      <c r="HR146" t="s">
        <v>21</v>
      </c>
      <c r="HT146" s="4" t="s">
        <v>20</v>
      </c>
      <c r="HU146" s="58">
        <v>34335</v>
      </c>
      <c r="HV146" s="58">
        <v>36160</v>
      </c>
      <c r="HW146" s="58"/>
      <c r="HX146" s="58"/>
      <c r="IP146" t="s">
        <v>38</v>
      </c>
      <c r="IQ146" s="54" t="s">
        <v>19</v>
      </c>
      <c r="IV146" s="4" t="s">
        <v>18</v>
      </c>
      <c r="IW146" t="s">
        <v>38</v>
      </c>
      <c r="IX146" s="54" t="s">
        <v>19</v>
      </c>
      <c r="JB146">
        <v>0</v>
      </c>
      <c r="JC146">
        <v>0</v>
      </c>
      <c r="JD146">
        <v>0</v>
      </c>
      <c r="JE146">
        <v>0</v>
      </c>
      <c r="JF146">
        <v>0</v>
      </c>
      <c r="JG146">
        <v>0</v>
      </c>
      <c r="JH146">
        <v>0</v>
      </c>
      <c r="JI146">
        <v>0</v>
      </c>
      <c r="JJ146">
        <v>0</v>
      </c>
      <c r="JL146" s="12" t="s">
        <v>721</v>
      </c>
      <c r="JQ146" s="4"/>
      <c r="JW146" s="4"/>
      <c r="JX146" s="4"/>
      <c r="JY146" s="4"/>
      <c r="JZ146" s="4"/>
      <c r="KA146" s="4"/>
      <c r="KB146" s="4"/>
      <c r="KG146" s="7" t="s">
        <v>12</v>
      </c>
      <c r="KK146" s="7" t="s">
        <v>720</v>
      </c>
      <c r="KL146" s="7"/>
      <c r="MZ146" t="s">
        <v>11</v>
      </c>
      <c r="NA146">
        <v>42</v>
      </c>
      <c r="NC146" s="4" t="s">
        <v>96</v>
      </c>
      <c r="NK146" t="s">
        <v>95</v>
      </c>
      <c r="NM146" s="4" t="s">
        <v>1156</v>
      </c>
      <c r="NN146" s="6" t="s">
        <v>7</v>
      </c>
      <c r="NV146" t="s">
        <v>735</v>
      </c>
      <c r="NW146" t="s">
        <v>6</v>
      </c>
      <c r="NX146" s="5" t="s">
        <v>125</v>
      </c>
      <c r="NY146" s="4" t="s">
        <v>4</v>
      </c>
      <c r="NZ146" s="3">
        <v>0.29601501318055989</v>
      </c>
      <c r="OC146">
        <v>4</v>
      </c>
      <c r="OT146" t="s">
        <v>123</v>
      </c>
      <c r="OV146">
        <v>1996</v>
      </c>
      <c r="OY146" s="2" t="s">
        <v>62</v>
      </c>
      <c r="PA146" t="s">
        <v>1169</v>
      </c>
      <c r="PB146" s="58">
        <v>46094</v>
      </c>
    </row>
    <row r="147" spans="1:418" ht="15.75" thickBot="1">
      <c r="A147" s="11" t="s">
        <v>36</v>
      </c>
      <c r="B147" t="s">
        <v>35</v>
      </c>
      <c r="C147" t="s">
        <v>34</v>
      </c>
      <c r="D147" s="4" t="s">
        <v>33</v>
      </c>
      <c r="E147" t="s">
        <v>32</v>
      </c>
      <c r="F147" s="4" t="s">
        <v>31</v>
      </c>
      <c r="G147" t="s">
        <v>2</v>
      </c>
      <c r="H147" t="s">
        <v>30</v>
      </c>
      <c r="I147" s="10">
        <v>0.1</v>
      </c>
      <c r="J147" s="10">
        <v>34.566667000000002</v>
      </c>
      <c r="K147" t="s">
        <v>29</v>
      </c>
      <c r="AV147" t="s">
        <v>28</v>
      </c>
      <c r="AW147">
        <v>100</v>
      </c>
      <c r="AX147" t="s">
        <v>29</v>
      </c>
      <c r="AY147">
        <v>4</v>
      </c>
      <c r="AZ147" t="s">
        <v>27</v>
      </c>
      <c r="BA147">
        <v>1994</v>
      </c>
      <c r="BB147">
        <v>1998</v>
      </c>
      <c r="BC147" t="s">
        <v>26</v>
      </c>
      <c r="BD147" t="s">
        <v>19</v>
      </c>
      <c r="BE147" s="10" t="s">
        <v>25</v>
      </c>
      <c r="BF147" t="s">
        <v>24</v>
      </c>
      <c r="BG147" s="3" t="s">
        <v>1233</v>
      </c>
      <c r="BH147" t="s">
        <v>23</v>
      </c>
      <c r="BI147" t="s">
        <v>750</v>
      </c>
      <c r="BJ147" s="4" t="s">
        <v>22</v>
      </c>
      <c r="BK147" s="9">
        <v>53000</v>
      </c>
      <c r="HR147" t="s">
        <v>21</v>
      </c>
      <c r="HT147" s="4" t="s">
        <v>20</v>
      </c>
      <c r="HU147" s="58">
        <v>34335</v>
      </c>
      <c r="HV147" s="58">
        <v>36160</v>
      </c>
      <c r="HW147" s="58"/>
      <c r="HX147" s="58"/>
      <c r="IP147" t="s">
        <v>16</v>
      </c>
      <c r="IQ147" s="54" t="s">
        <v>19</v>
      </c>
      <c r="IV147" s="4" t="s">
        <v>18</v>
      </c>
      <c r="IW147" t="s">
        <v>17</v>
      </c>
      <c r="IX147" s="54" t="s">
        <v>19</v>
      </c>
      <c r="JB147">
        <v>0</v>
      </c>
      <c r="JC147">
        <v>0</v>
      </c>
      <c r="JD147">
        <v>0</v>
      </c>
      <c r="JE147">
        <v>0</v>
      </c>
      <c r="JF147">
        <v>0</v>
      </c>
      <c r="JG147">
        <v>0</v>
      </c>
      <c r="JH147">
        <v>0</v>
      </c>
      <c r="JI147">
        <v>0</v>
      </c>
      <c r="JJ147">
        <v>0</v>
      </c>
      <c r="JK147" t="s">
        <v>16</v>
      </c>
      <c r="JL147" t="s">
        <v>15</v>
      </c>
      <c r="JM147" s="8" t="s">
        <v>14</v>
      </c>
      <c r="JQ147" s="4" t="s">
        <v>13</v>
      </c>
      <c r="JR147">
        <v>60</v>
      </c>
      <c r="JU147">
        <v>60</v>
      </c>
      <c r="JW147" s="4"/>
      <c r="JX147" s="4"/>
      <c r="JY147" s="4"/>
      <c r="JZ147" s="4"/>
      <c r="KA147" s="4"/>
      <c r="KB147" s="4"/>
      <c r="KG147" s="7" t="s">
        <v>12</v>
      </c>
      <c r="KK147" s="7" t="s">
        <v>720</v>
      </c>
      <c r="KL147" s="7"/>
      <c r="MZ147" t="s">
        <v>11</v>
      </c>
      <c r="NA147">
        <v>42</v>
      </c>
      <c r="NC147" s="4" t="s">
        <v>96</v>
      </c>
      <c r="NK147" t="s">
        <v>95</v>
      </c>
      <c r="NM147" s="4" t="s">
        <v>1156</v>
      </c>
      <c r="NN147" s="6" t="s">
        <v>7</v>
      </c>
      <c r="NV147" t="s">
        <v>747</v>
      </c>
      <c r="NW147" t="s">
        <v>6</v>
      </c>
      <c r="NX147" s="5" t="s">
        <v>124</v>
      </c>
      <c r="NY147" s="4" t="s">
        <v>4</v>
      </c>
      <c r="NZ147" s="3">
        <v>0.16911841591132992</v>
      </c>
      <c r="OC147">
        <v>4</v>
      </c>
      <c r="OT147" t="s">
        <v>123</v>
      </c>
      <c r="OV147">
        <v>1996</v>
      </c>
      <c r="OY147" s="2" t="s">
        <v>62</v>
      </c>
      <c r="PA147" t="s">
        <v>1169</v>
      </c>
      <c r="PB147" s="58">
        <v>46094</v>
      </c>
    </row>
    <row r="148" spans="1:418" ht="15.75" thickBot="1">
      <c r="A148" s="11" t="s">
        <v>36</v>
      </c>
      <c r="B148" t="s">
        <v>35</v>
      </c>
      <c r="C148" t="s">
        <v>34</v>
      </c>
      <c r="D148" s="4" t="s">
        <v>33</v>
      </c>
      <c r="E148" t="s">
        <v>32</v>
      </c>
      <c r="F148" s="4" t="s">
        <v>31</v>
      </c>
      <c r="G148" t="s">
        <v>2</v>
      </c>
      <c r="H148" t="s">
        <v>30</v>
      </c>
      <c r="I148" s="10">
        <v>0.1</v>
      </c>
      <c r="J148" s="10">
        <v>34.566667000000002</v>
      </c>
      <c r="K148" t="s">
        <v>29</v>
      </c>
      <c r="AV148" t="s">
        <v>28</v>
      </c>
      <c r="AW148">
        <v>100</v>
      </c>
      <c r="AX148" t="s">
        <v>29</v>
      </c>
      <c r="AY148">
        <v>4</v>
      </c>
      <c r="AZ148" t="s">
        <v>27</v>
      </c>
      <c r="BA148">
        <v>1994</v>
      </c>
      <c r="BB148">
        <v>1998</v>
      </c>
      <c r="BC148" t="s">
        <v>26</v>
      </c>
      <c r="BD148" t="s">
        <v>59</v>
      </c>
      <c r="BE148" s="10" t="s">
        <v>65</v>
      </c>
      <c r="BF148" t="s">
        <v>64</v>
      </c>
      <c r="BG148" s="3" t="s">
        <v>1233</v>
      </c>
      <c r="BH148" t="s">
        <v>23</v>
      </c>
      <c r="BI148" t="s">
        <v>750</v>
      </c>
      <c r="BJ148" s="4" t="s">
        <v>22</v>
      </c>
      <c r="BK148" s="9">
        <v>53000</v>
      </c>
      <c r="EE148" t="s">
        <v>55</v>
      </c>
      <c r="EF148" s="4" t="s">
        <v>22</v>
      </c>
      <c r="EG148" s="9">
        <v>53000</v>
      </c>
      <c r="EH148" s="9"/>
      <c r="EI148" s="9"/>
      <c r="EJ148" s="9"/>
      <c r="EK148" s="9"/>
      <c r="EL148" s="9"/>
      <c r="EM148" s="9"/>
      <c r="EN148" s="9"/>
      <c r="EO148" s="9"/>
      <c r="EP148" s="9"/>
      <c r="EQ148" s="9"/>
      <c r="ER148" s="9"/>
      <c r="ES148" s="9"/>
      <c r="ET148" s="9"/>
      <c r="EU148" s="9"/>
      <c r="EV148" s="9"/>
      <c r="EW148" s="9"/>
      <c r="EX148" s="9"/>
      <c r="EY148" s="9"/>
      <c r="EZ148" s="9"/>
      <c r="FA148" s="9"/>
      <c r="FB148" s="9"/>
      <c r="FC148" s="9"/>
      <c r="FD148" s="9"/>
      <c r="FE148" s="9"/>
      <c r="FF148" s="9"/>
      <c r="FG148" s="9"/>
      <c r="FH148" s="9"/>
      <c r="FI148" s="9"/>
      <c r="FJ148" s="9"/>
      <c r="FK148" s="9"/>
      <c r="FL148" s="9"/>
      <c r="FM148" s="9"/>
      <c r="FN148" s="9"/>
      <c r="FO148" s="9"/>
      <c r="FP148" s="9"/>
      <c r="FQ148" s="9"/>
      <c r="FR148" s="9"/>
      <c r="FS148" s="9"/>
      <c r="FT148" s="9"/>
      <c r="FU148" s="9"/>
      <c r="FV148" s="9"/>
      <c r="FW148" s="9"/>
      <c r="FX148" s="9"/>
      <c r="FY148" s="9"/>
      <c r="FZ148" s="9"/>
      <c r="GA148" s="9"/>
      <c r="GB148" s="9"/>
      <c r="GC148" s="9"/>
      <c r="GD148" s="9"/>
      <c r="GE148" s="9"/>
      <c r="GF148" s="9"/>
      <c r="GG148" s="9"/>
      <c r="GH148" s="9"/>
      <c r="GI148" s="9"/>
      <c r="GJ148" s="9"/>
      <c r="GK148" s="9"/>
      <c r="GL148" s="9"/>
      <c r="GM148" s="9"/>
      <c r="GN148" s="9"/>
      <c r="GO148" s="9"/>
      <c r="GP148" s="9"/>
      <c r="GQ148" s="9"/>
      <c r="GR148" s="9"/>
      <c r="GS148" s="9"/>
      <c r="GT148" s="9"/>
      <c r="GU148" s="9"/>
      <c r="GV148" s="9"/>
      <c r="GW148" s="9"/>
      <c r="GX148" s="9"/>
      <c r="GY148" s="9"/>
      <c r="GZ148" s="9"/>
      <c r="HA148" s="9"/>
      <c r="HB148" s="9"/>
      <c r="HC148" s="9"/>
      <c r="HD148" s="9"/>
      <c r="HE148" s="9"/>
      <c r="HF148" s="9"/>
      <c r="HG148" s="9"/>
      <c r="HH148" s="9"/>
      <c r="HI148" s="9"/>
      <c r="HJ148" s="9"/>
      <c r="HK148" s="9"/>
      <c r="HR148" t="s">
        <v>21</v>
      </c>
      <c r="HT148" s="4" t="s">
        <v>20</v>
      </c>
      <c r="HU148" s="58">
        <v>34335</v>
      </c>
      <c r="HV148" s="58">
        <v>36160</v>
      </c>
      <c r="HW148" s="58"/>
      <c r="HX148" s="58"/>
      <c r="IO148" s="4"/>
      <c r="IP148" t="s">
        <v>63</v>
      </c>
      <c r="IQ148" s="12" t="s">
        <v>1718</v>
      </c>
      <c r="IT148">
        <v>1995</v>
      </c>
      <c r="IU148">
        <v>1995.2</v>
      </c>
      <c r="IV148" s="4" t="s">
        <v>18</v>
      </c>
      <c r="IW148" t="s">
        <v>61</v>
      </c>
      <c r="IX148" s="12" t="s">
        <v>52</v>
      </c>
      <c r="JA148">
        <v>0.5</v>
      </c>
      <c r="JB148" t="s">
        <v>29</v>
      </c>
      <c r="JC148" t="s">
        <v>29</v>
      </c>
      <c r="JD148" t="s">
        <v>29</v>
      </c>
      <c r="JE148" t="s">
        <v>29</v>
      </c>
      <c r="JF148" t="s">
        <v>29</v>
      </c>
      <c r="JG148" t="s">
        <v>29</v>
      </c>
      <c r="JH148" t="s">
        <v>29</v>
      </c>
      <c r="JI148" t="s">
        <v>29</v>
      </c>
      <c r="JJ148" t="s">
        <v>29</v>
      </c>
      <c r="JL148" s="12" t="s">
        <v>721</v>
      </c>
      <c r="JQ148" s="4"/>
      <c r="JW148" s="4"/>
      <c r="JX148" s="4"/>
      <c r="JY148" s="4"/>
      <c r="JZ148" s="4"/>
      <c r="KA148" s="4"/>
      <c r="KB148" s="4"/>
      <c r="KG148" s="7" t="s">
        <v>12</v>
      </c>
      <c r="KK148" s="7" t="s">
        <v>719</v>
      </c>
      <c r="KL148" s="7" t="s">
        <v>51</v>
      </c>
      <c r="KN148" t="s">
        <v>29</v>
      </c>
      <c r="MZ148" t="s">
        <v>11</v>
      </c>
      <c r="NA148">
        <v>42</v>
      </c>
      <c r="NC148" s="4" t="s">
        <v>96</v>
      </c>
      <c r="NK148" t="s">
        <v>95</v>
      </c>
      <c r="NM148" s="4" t="s">
        <v>1156</v>
      </c>
      <c r="NN148" s="6" t="s">
        <v>7</v>
      </c>
      <c r="NW148" t="s">
        <v>6</v>
      </c>
      <c r="NX148" s="5" t="s">
        <v>122</v>
      </c>
      <c r="NY148" s="4" t="s">
        <v>4</v>
      </c>
      <c r="NZ148" s="3">
        <v>0.52888991618373993</v>
      </c>
      <c r="OC148">
        <v>4</v>
      </c>
      <c r="OT148" t="s">
        <v>116</v>
      </c>
      <c r="OV148">
        <v>1997</v>
      </c>
      <c r="OY148" s="2" t="s">
        <v>62</v>
      </c>
      <c r="PA148" t="s">
        <v>1169</v>
      </c>
      <c r="PB148" s="58">
        <v>46094</v>
      </c>
    </row>
    <row r="149" spans="1:418" ht="15.75" thickBot="1">
      <c r="A149" s="11" t="s">
        <v>36</v>
      </c>
      <c r="B149" t="s">
        <v>35</v>
      </c>
      <c r="C149" t="s">
        <v>34</v>
      </c>
      <c r="D149" s="4" t="s">
        <v>33</v>
      </c>
      <c r="E149" t="s">
        <v>32</v>
      </c>
      <c r="F149" s="4" t="s">
        <v>31</v>
      </c>
      <c r="G149" t="s">
        <v>2</v>
      </c>
      <c r="H149" t="s">
        <v>30</v>
      </c>
      <c r="I149" s="10">
        <v>0.1</v>
      </c>
      <c r="J149" s="10">
        <v>34.566667000000002</v>
      </c>
      <c r="K149" t="s">
        <v>29</v>
      </c>
      <c r="AV149" t="s">
        <v>28</v>
      </c>
      <c r="AW149">
        <v>100</v>
      </c>
      <c r="AX149" t="s">
        <v>29</v>
      </c>
      <c r="AY149">
        <v>4</v>
      </c>
      <c r="AZ149" t="s">
        <v>27</v>
      </c>
      <c r="BA149">
        <v>1994</v>
      </c>
      <c r="BB149">
        <v>1998</v>
      </c>
      <c r="BC149" t="s">
        <v>26</v>
      </c>
      <c r="BD149" t="s">
        <v>59</v>
      </c>
      <c r="BE149" s="10" t="s">
        <v>58</v>
      </c>
      <c r="BF149" t="s">
        <v>57</v>
      </c>
      <c r="BG149" s="3" t="s">
        <v>1233</v>
      </c>
      <c r="BH149" t="s">
        <v>23</v>
      </c>
      <c r="BI149" t="s">
        <v>750</v>
      </c>
      <c r="BJ149" s="4" t="s">
        <v>22</v>
      </c>
      <c r="BK149" s="9">
        <v>53000</v>
      </c>
      <c r="EE149" t="s">
        <v>55</v>
      </c>
      <c r="EF149" s="4" t="s">
        <v>22</v>
      </c>
      <c r="EG149" s="9">
        <v>53000</v>
      </c>
      <c r="EH149" s="9"/>
      <c r="EI149" s="9"/>
      <c r="EJ149" s="9"/>
      <c r="EK149" s="9"/>
      <c r="EL149" s="9"/>
      <c r="EM149" s="9"/>
      <c r="EN149" s="9"/>
      <c r="EO149" s="9"/>
      <c r="EP149" s="9"/>
      <c r="EQ149" s="9"/>
      <c r="ER149" s="9"/>
      <c r="ES149" s="9"/>
      <c r="ET149" s="9"/>
      <c r="EU149" s="9"/>
      <c r="EV149" s="9"/>
      <c r="EW149" s="9"/>
      <c r="EX149" s="9"/>
      <c r="EY149" s="9"/>
      <c r="EZ149" s="9"/>
      <c r="FA149" s="9"/>
      <c r="FB149" s="9"/>
      <c r="FC149" s="9"/>
      <c r="FD149" s="9"/>
      <c r="FE149" s="9"/>
      <c r="FF149" s="9"/>
      <c r="FG149" s="9"/>
      <c r="FH149" s="9"/>
      <c r="FI149" s="9"/>
      <c r="FJ149" s="9"/>
      <c r="FK149" s="9"/>
      <c r="FL149" s="9"/>
      <c r="FM149" s="9"/>
      <c r="FN149" s="9"/>
      <c r="FO149" s="9"/>
      <c r="FP149" s="9"/>
      <c r="FQ149" s="9"/>
      <c r="FR149" s="9"/>
      <c r="FS149" s="9"/>
      <c r="FT149" s="9"/>
      <c r="FU149" s="9"/>
      <c r="FV149" s="9"/>
      <c r="FW149" s="9"/>
      <c r="FX149" s="9"/>
      <c r="FY149" s="9"/>
      <c r="FZ149" s="9"/>
      <c r="GA149" s="9"/>
      <c r="GB149" s="9"/>
      <c r="GC149" s="9"/>
      <c r="GD149" s="9"/>
      <c r="GE149" s="9"/>
      <c r="GF149" s="9"/>
      <c r="GG149" s="9"/>
      <c r="GH149" s="9"/>
      <c r="GI149" s="9"/>
      <c r="GJ149" s="9"/>
      <c r="GK149" s="9"/>
      <c r="GL149" s="9"/>
      <c r="GM149" s="9"/>
      <c r="GN149" s="9"/>
      <c r="GO149" s="9"/>
      <c r="GP149" s="9"/>
      <c r="GQ149" s="9"/>
      <c r="GR149" s="9"/>
      <c r="GS149" s="9"/>
      <c r="GT149" s="9"/>
      <c r="GU149" s="9"/>
      <c r="GV149" s="9"/>
      <c r="GW149" s="9"/>
      <c r="GX149" s="9"/>
      <c r="GY149" s="9"/>
      <c r="GZ149" s="9"/>
      <c r="HA149" s="9"/>
      <c r="HB149" s="9"/>
      <c r="HC149" s="9"/>
      <c r="HD149" s="9"/>
      <c r="HE149" s="9"/>
      <c r="HF149" s="9"/>
      <c r="HG149" s="9"/>
      <c r="HH149" s="9"/>
      <c r="HI149" s="9"/>
      <c r="HJ149" s="9"/>
      <c r="HK149" s="9"/>
      <c r="HR149" t="s">
        <v>21</v>
      </c>
      <c r="HT149" s="4" t="s">
        <v>20</v>
      </c>
      <c r="HU149" s="58">
        <v>34335</v>
      </c>
      <c r="HV149" s="58">
        <v>36160</v>
      </c>
      <c r="HW149" s="58"/>
      <c r="HX149" s="58"/>
      <c r="IO149" s="4"/>
      <c r="IP149" t="s">
        <v>54</v>
      </c>
      <c r="IQ149" s="12" t="s">
        <v>1719</v>
      </c>
      <c r="IT149">
        <v>1994</v>
      </c>
      <c r="IU149">
        <v>1994.2</v>
      </c>
      <c r="IV149" s="4" t="s">
        <v>18</v>
      </c>
      <c r="IW149" t="s">
        <v>53</v>
      </c>
      <c r="IX149" s="12" t="s">
        <v>52</v>
      </c>
      <c r="JA149">
        <v>0.5</v>
      </c>
      <c r="JB149" t="s">
        <v>29</v>
      </c>
      <c r="JC149" t="s">
        <v>29</v>
      </c>
      <c r="JD149" t="s">
        <v>29</v>
      </c>
      <c r="JE149" t="s">
        <v>29</v>
      </c>
      <c r="JF149" t="s">
        <v>29</v>
      </c>
      <c r="JG149" t="s">
        <v>29</v>
      </c>
      <c r="JH149" t="s">
        <v>29</v>
      </c>
      <c r="JI149" t="s">
        <v>29</v>
      </c>
      <c r="JJ149" t="s">
        <v>29</v>
      </c>
      <c r="JL149" s="12" t="s">
        <v>721</v>
      </c>
      <c r="JQ149" s="4"/>
      <c r="JW149" s="4"/>
      <c r="JX149" s="4"/>
      <c r="JY149" s="4"/>
      <c r="JZ149" s="4"/>
      <c r="KA149" s="4"/>
      <c r="KB149" s="4"/>
      <c r="KG149" s="7" t="s">
        <v>12</v>
      </c>
      <c r="KK149" s="7" t="s">
        <v>719</v>
      </c>
      <c r="KL149" s="7" t="s">
        <v>51</v>
      </c>
      <c r="KN149" t="s">
        <v>29</v>
      </c>
      <c r="MZ149" t="s">
        <v>11</v>
      </c>
      <c r="NA149">
        <v>42</v>
      </c>
      <c r="NC149" s="4" t="s">
        <v>96</v>
      </c>
      <c r="NK149" t="s">
        <v>95</v>
      </c>
      <c r="NM149" s="4" t="s">
        <v>1156</v>
      </c>
      <c r="NN149" s="6" t="s">
        <v>7</v>
      </c>
      <c r="NW149" t="s">
        <v>6</v>
      </c>
      <c r="NX149" s="5" t="s">
        <v>121</v>
      </c>
      <c r="NY149" s="4" t="s">
        <v>4</v>
      </c>
      <c r="NZ149" s="3">
        <v>0.29586091895194011</v>
      </c>
      <c r="OC149">
        <v>4</v>
      </c>
      <c r="OT149" t="s">
        <v>116</v>
      </c>
      <c r="OV149">
        <v>1997</v>
      </c>
      <c r="OY149" s="2" t="s">
        <v>62</v>
      </c>
      <c r="PA149" t="s">
        <v>1169</v>
      </c>
      <c r="PB149" s="58">
        <v>46094</v>
      </c>
    </row>
    <row r="150" spans="1:418" ht="15.75" thickBot="1">
      <c r="A150" s="11" t="s">
        <v>36</v>
      </c>
      <c r="B150" t="s">
        <v>35</v>
      </c>
      <c r="C150" t="s">
        <v>34</v>
      </c>
      <c r="D150" s="4" t="s">
        <v>33</v>
      </c>
      <c r="E150" t="s">
        <v>32</v>
      </c>
      <c r="F150" s="4" t="s">
        <v>31</v>
      </c>
      <c r="G150" t="s">
        <v>2</v>
      </c>
      <c r="H150" t="s">
        <v>30</v>
      </c>
      <c r="I150" s="10">
        <v>0.1</v>
      </c>
      <c r="J150" s="10">
        <v>34.566667000000002</v>
      </c>
      <c r="K150" t="s">
        <v>29</v>
      </c>
      <c r="AV150" t="s">
        <v>28</v>
      </c>
      <c r="AW150">
        <v>100</v>
      </c>
      <c r="AX150" t="s">
        <v>29</v>
      </c>
      <c r="AY150">
        <v>4</v>
      </c>
      <c r="AZ150" t="s">
        <v>27</v>
      </c>
      <c r="BA150">
        <v>1994</v>
      </c>
      <c r="BB150">
        <v>1998</v>
      </c>
      <c r="BC150" t="s">
        <v>26</v>
      </c>
      <c r="BD150" t="s">
        <v>45</v>
      </c>
      <c r="BE150" s="10" t="s">
        <v>49</v>
      </c>
      <c r="BF150" t="s">
        <v>48</v>
      </c>
      <c r="BG150" s="3" t="s">
        <v>1233</v>
      </c>
      <c r="BH150" t="s">
        <v>23</v>
      </c>
      <c r="BI150" t="s">
        <v>750</v>
      </c>
      <c r="BJ150" s="4" t="s">
        <v>22</v>
      </c>
      <c r="BK150" s="9">
        <v>53000</v>
      </c>
      <c r="EF150" s="4"/>
      <c r="EG150" s="9"/>
      <c r="EH150" s="9"/>
      <c r="EI150" s="9"/>
      <c r="EJ150" s="9"/>
      <c r="EK150" s="9"/>
      <c r="EL150" s="9"/>
      <c r="EM150" s="9"/>
      <c r="EN150" s="9"/>
      <c r="EO150" s="9"/>
      <c r="EP150" s="9"/>
      <c r="EQ150" s="9"/>
      <c r="ER150" s="9"/>
      <c r="ES150" s="9"/>
      <c r="ET150" s="9"/>
      <c r="EU150" s="9"/>
      <c r="EV150" s="9"/>
      <c r="EW150" s="9"/>
      <c r="EX150" s="9"/>
      <c r="EY150" s="9"/>
      <c r="EZ150" s="9"/>
      <c r="FA150" s="9"/>
      <c r="FB150" s="9"/>
      <c r="FC150" s="9"/>
      <c r="FD150" s="9"/>
      <c r="FE150" s="9"/>
      <c r="FF150" s="9"/>
      <c r="FG150" s="9"/>
      <c r="FH150" s="9"/>
      <c r="FI150" s="9"/>
      <c r="FJ150" s="9"/>
      <c r="FK150" s="9"/>
      <c r="FL150" s="9"/>
      <c r="FM150" s="9"/>
      <c r="FN150" s="9"/>
      <c r="FO150" s="9"/>
      <c r="FP150" s="9"/>
      <c r="FQ150" s="9"/>
      <c r="FR150" s="9"/>
      <c r="FS150" s="9"/>
      <c r="FT150" s="9"/>
      <c r="FU150" s="9"/>
      <c r="FV150" s="9"/>
      <c r="FW150" s="9"/>
      <c r="FX150" s="9"/>
      <c r="FY150" s="9"/>
      <c r="FZ150" s="9"/>
      <c r="GA150" s="9"/>
      <c r="GB150" s="9"/>
      <c r="GC150" s="9"/>
      <c r="GD150" s="9"/>
      <c r="GE150" s="9"/>
      <c r="GF150" s="9"/>
      <c r="GG150" s="9"/>
      <c r="GH150" s="9"/>
      <c r="GI150" s="9"/>
      <c r="GJ150" s="9"/>
      <c r="GK150" s="9"/>
      <c r="GL150" s="9"/>
      <c r="GM150" s="9"/>
      <c r="GN150" s="9"/>
      <c r="GO150" s="9"/>
      <c r="GP150" s="9"/>
      <c r="GQ150" s="9"/>
      <c r="GR150" s="9"/>
      <c r="GS150" s="9"/>
      <c r="GT150" s="9"/>
      <c r="GU150" s="9"/>
      <c r="GV150" s="9"/>
      <c r="GW150" s="9"/>
      <c r="GX150" s="9"/>
      <c r="GY150" s="9"/>
      <c r="GZ150" s="9"/>
      <c r="HA150" s="9"/>
      <c r="HB150" s="9"/>
      <c r="HC150" s="9"/>
      <c r="HD150" s="9"/>
      <c r="HE150" s="9"/>
      <c r="HF150" s="9"/>
      <c r="HG150" s="9"/>
      <c r="HH150" s="9"/>
      <c r="HI150" s="9"/>
      <c r="HJ150" s="9"/>
      <c r="HK150" s="9"/>
      <c r="HR150" t="s">
        <v>21</v>
      </c>
      <c r="HT150" s="4" t="s">
        <v>20</v>
      </c>
      <c r="HU150" s="58">
        <v>34335</v>
      </c>
      <c r="HV150" s="58">
        <v>36160</v>
      </c>
      <c r="HW150" s="58"/>
      <c r="HX150" s="58"/>
      <c r="IP150" t="s">
        <v>47</v>
      </c>
      <c r="IQ150" s="54" t="s">
        <v>1226</v>
      </c>
      <c r="IT150">
        <v>1995</v>
      </c>
      <c r="IU150">
        <v>1995.2</v>
      </c>
      <c r="IV150" s="4" t="s">
        <v>18</v>
      </c>
      <c r="IW150" t="s">
        <v>38</v>
      </c>
      <c r="IX150" t="s">
        <v>19</v>
      </c>
      <c r="JB150">
        <v>0</v>
      </c>
      <c r="JC150">
        <v>0</v>
      </c>
      <c r="JD150">
        <v>0</v>
      </c>
      <c r="JE150">
        <v>0</v>
      </c>
      <c r="JF150">
        <v>0</v>
      </c>
      <c r="JG150">
        <v>0</v>
      </c>
      <c r="JH150">
        <v>0</v>
      </c>
      <c r="JI150">
        <v>0</v>
      </c>
      <c r="JJ150">
        <v>0</v>
      </c>
      <c r="JL150" s="12" t="s">
        <v>721</v>
      </c>
      <c r="JQ150" s="4"/>
      <c r="JW150" s="4"/>
      <c r="JX150" s="4"/>
      <c r="JY150" s="4"/>
      <c r="JZ150" s="4"/>
      <c r="KA150" s="4"/>
      <c r="KB150" s="4"/>
      <c r="KG150" s="7" t="s">
        <v>12</v>
      </c>
      <c r="KK150" s="7" t="s">
        <v>720</v>
      </c>
      <c r="KL150" s="7"/>
      <c r="MZ150" t="s">
        <v>11</v>
      </c>
      <c r="NA150">
        <v>42</v>
      </c>
      <c r="NC150" s="4" t="s">
        <v>96</v>
      </c>
      <c r="NK150" t="s">
        <v>95</v>
      </c>
      <c r="NM150" s="4" t="s">
        <v>1156</v>
      </c>
      <c r="NN150" s="6" t="s">
        <v>7</v>
      </c>
      <c r="NW150" t="s">
        <v>6</v>
      </c>
      <c r="NX150" s="5" t="s">
        <v>120</v>
      </c>
      <c r="NY150" s="4" t="s">
        <v>4</v>
      </c>
      <c r="NZ150" s="3">
        <v>0.3595403589294901</v>
      </c>
      <c r="OC150">
        <v>4</v>
      </c>
      <c r="OT150" t="s">
        <v>116</v>
      </c>
      <c r="OV150">
        <v>1997</v>
      </c>
      <c r="OY150" s="2" t="s">
        <v>62</v>
      </c>
      <c r="PA150" t="s">
        <v>1169</v>
      </c>
      <c r="PB150" s="58">
        <v>46094</v>
      </c>
    </row>
    <row r="151" spans="1:418" ht="15.75" thickBot="1">
      <c r="A151" s="11" t="s">
        <v>36</v>
      </c>
      <c r="B151" t="s">
        <v>35</v>
      </c>
      <c r="C151" t="s">
        <v>34</v>
      </c>
      <c r="D151" s="4" t="s">
        <v>33</v>
      </c>
      <c r="E151" t="s">
        <v>32</v>
      </c>
      <c r="F151" s="4" t="s">
        <v>31</v>
      </c>
      <c r="G151" t="s">
        <v>2</v>
      </c>
      <c r="H151" t="s">
        <v>30</v>
      </c>
      <c r="I151" s="10">
        <v>0.1</v>
      </c>
      <c r="J151" s="10">
        <v>34.566667000000002</v>
      </c>
      <c r="K151" t="s">
        <v>29</v>
      </c>
      <c r="AV151" t="s">
        <v>28</v>
      </c>
      <c r="AW151">
        <v>100</v>
      </c>
      <c r="AX151" t="s">
        <v>29</v>
      </c>
      <c r="AY151">
        <v>4</v>
      </c>
      <c r="AZ151" t="s">
        <v>27</v>
      </c>
      <c r="BA151">
        <v>1994</v>
      </c>
      <c r="BB151">
        <v>1998</v>
      </c>
      <c r="BC151" t="s">
        <v>26</v>
      </c>
      <c r="BD151" t="s">
        <v>45</v>
      </c>
      <c r="BE151" s="10" t="s">
        <v>44</v>
      </c>
      <c r="BF151" t="s">
        <v>43</v>
      </c>
      <c r="BG151" s="3" t="s">
        <v>1233</v>
      </c>
      <c r="BH151" t="s">
        <v>23</v>
      </c>
      <c r="BI151" t="s">
        <v>750</v>
      </c>
      <c r="BJ151" s="4" t="s">
        <v>22</v>
      </c>
      <c r="BK151" s="9">
        <v>53000</v>
      </c>
      <c r="EF151" s="4"/>
      <c r="EG151" s="9"/>
      <c r="EH151" s="9"/>
      <c r="EI151" s="9"/>
      <c r="EJ151" s="9"/>
      <c r="EK151" s="9"/>
      <c r="EL151" s="9"/>
      <c r="EM151" s="9"/>
      <c r="EN151" s="9"/>
      <c r="EO151" s="9"/>
      <c r="EP151" s="9"/>
      <c r="EQ151" s="9"/>
      <c r="ER151" s="9"/>
      <c r="ES151" s="9"/>
      <c r="ET151" s="9"/>
      <c r="EU151" s="9"/>
      <c r="EV151" s="9"/>
      <c r="EW151" s="9"/>
      <c r="EX151" s="9"/>
      <c r="EY151" s="9"/>
      <c r="EZ151" s="9"/>
      <c r="FA151" s="9"/>
      <c r="FB151" s="9"/>
      <c r="FC151" s="9"/>
      <c r="FD151" s="9"/>
      <c r="FE151" s="9"/>
      <c r="FF151" s="9"/>
      <c r="FG151" s="9"/>
      <c r="FH151" s="9"/>
      <c r="FI151" s="9"/>
      <c r="FJ151" s="9"/>
      <c r="FK151" s="9"/>
      <c r="FL151" s="9"/>
      <c r="FM151" s="9"/>
      <c r="FN151" s="9"/>
      <c r="FO151" s="9"/>
      <c r="FP151" s="9"/>
      <c r="FQ151" s="9"/>
      <c r="FR151" s="9"/>
      <c r="FS151" s="9"/>
      <c r="FT151" s="9"/>
      <c r="FU151" s="9"/>
      <c r="FV151" s="9"/>
      <c r="FW151" s="9"/>
      <c r="FX151" s="9"/>
      <c r="FY151" s="9"/>
      <c r="FZ151" s="9"/>
      <c r="GA151" s="9"/>
      <c r="GB151" s="9"/>
      <c r="GC151" s="9"/>
      <c r="GD151" s="9"/>
      <c r="GE151" s="9"/>
      <c r="GF151" s="9"/>
      <c r="GG151" s="9"/>
      <c r="GH151" s="9"/>
      <c r="GI151" s="9"/>
      <c r="GJ151" s="9"/>
      <c r="GK151" s="9"/>
      <c r="GL151" s="9"/>
      <c r="GM151" s="9"/>
      <c r="GN151" s="9"/>
      <c r="GO151" s="9"/>
      <c r="GP151" s="9"/>
      <c r="GQ151" s="9"/>
      <c r="GR151" s="9"/>
      <c r="GS151" s="9"/>
      <c r="GT151" s="9"/>
      <c r="GU151" s="9"/>
      <c r="GV151" s="9"/>
      <c r="GW151" s="9"/>
      <c r="GX151" s="9"/>
      <c r="GY151" s="9"/>
      <c r="GZ151" s="9"/>
      <c r="HA151" s="9"/>
      <c r="HB151" s="9"/>
      <c r="HC151" s="9"/>
      <c r="HD151" s="9"/>
      <c r="HE151" s="9"/>
      <c r="HF151" s="9"/>
      <c r="HG151" s="9"/>
      <c r="HH151" s="9"/>
      <c r="HI151" s="9"/>
      <c r="HJ151" s="9"/>
      <c r="HK151" s="9"/>
      <c r="HR151" t="s">
        <v>21</v>
      </c>
      <c r="HT151" s="4" t="s">
        <v>20</v>
      </c>
      <c r="HU151" s="58">
        <v>34335</v>
      </c>
      <c r="HV151" s="58">
        <v>36160</v>
      </c>
      <c r="HW151" s="58"/>
      <c r="HX151" s="58"/>
      <c r="IP151" t="s">
        <v>42</v>
      </c>
      <c r="IQ151" s="13" t="s">
        <v>1227</v>
      </c>
      <c r="IT151">
        <v>1994</v>
      </c>
      <c r="IU151">
        <v>1994.2</v>
      </c>
      <c r="IV151" s="4" t="s">
        <v>18</v>
      </c>
      <c r="IW151" t="s">
        <v>38</v>
      </c>
      <c r="IX151" t="s">
        <v>19</v>
      </c>
      <c r="JB151">
        <v>0</v>
      </c>
      <c r="JC151">
        <v>0</v>
      </c>
      <c r="JD151">
        <v>0</v>
      </c>
      <c r="JE151">
        <v>0</v>
      </c>
      <c r="JF151">
        <v>0</v>
      </c>
      <c r="JG151">
        <v>0</v>
      </c>
      <c r="JH151">
        <v>0</v>
      </c>
      <c r="JI151">
        <v>0</v>
      </c>
      <c r="JJ151">
        <v>0</v>
      </c>
      <c r="JL151" s="12" t="s">
        <v>721</v>
      </c>
      <c r="JQ151" s="4"/>
      <c r="JW151" s="4"/>
      <c r="JX151" s="4"/>
      <c r="JY151" s="4"/>
      <c r="JZ151" s="4"/>
      <c r="KA151" s="4"/>
      <c r="KB151" s="4"/>
      <c r="KG151" s="7" t="s">
        <v>12</v>
      </c>
      <c r="KK151" s="7" t="s">
        <v>720</v>
      </c>
      <c r="KL151" s="7"/>
      <c r="MZ151" t="s">
        <v>11</v>
      </c>
      <c r="NA151">
        <v>42</v>
      </c>
      <c r="NC151" s="4" t="s">
        <v>96</v>
      </c>
      <c r="NK151" t="s">
        <v>95</v>
      </c>
      <c r="NM151" s="4" t="s">
        <v>1156</v>
      </c>
      <c r="NN151" s="6" t="s">
        <v>7</v>
      </c>
      <c r="NW151" t="s">
        <v>6</v>
      </c>
      <c r="NX151" s="5" t="s">
        <v>119</v>
      </c>
      <c r="NY151" s="4" t="s">
        <v>4</v>
      </c>
      <c r="NZ151" s="3">
        <v>0.48635990908440041</v>
      </c>
      <c r="OC151">
        <v>4</v>
      </c>
      <c r="OT151" t="s">
        <v>116</v>
      </c>
      <c r="OV151">
        <v>1997</v>
      </c>
      <c r="OY151" s="2" t="s">
        <v>62</v>
      </c>
      <c r="PA151" t="s">
        <v>1169</v>
      </c>
      <c r="PB151" s="58">
        <v>46094</v>
      </c>
    </row>
    <row r="152" spans="1:418" ht="15.75" thickBot="1">
      <c r="A152" s="11" t="s">
        <v>36</v>
      </c>
      <c r="B152" t="s">
        <v>35</v>
      </c>
      <c r="C152" t="s">
        <v>34</v>
      </c>
      <c r="D152" s="4" t="s">
        <v>33</v>
      </c>
      <c r="E152" t="s">
        <v>32</v>
      </c>
      <c r="F152" s="4" t="s">
        <v>31</v>
      </c>
      <c r="G152" t="s">
        <v>2</v>
      </c>
      <c r="H152" t="s">
        <v>30</v>
      </c>
      <c r="I152" s="10">
        <v>0.1</v>
      </c>
      <c r="J152" s="10">
        <v>34.566667000000002</v>
      </c>
      <c r="K152" t="s">
        <v>29</v>
      </c>
      <c r="AV152" t="s">
        <v>28</v>
      </c>
      <c r="AW152">
        <v>100</v>
      </c>
      <c r="AX152" t="s">
        <v>29</v>
      </c>
      <c r="AY152">
        <v>4</v>
      </c>
      <c r="AZ152" t="s">
        <v>27</v>
      </c>
      <c r="BA152">
        <v>1994</v>
      </c>
      <c r="BB152">
        <v>1998</v>
      </c>
      <c r="BC152" t="s">
        <v>26</v>
      </c>
      <c r="BD152" t="s">
        <v>19</v>
      </c>
      <c r="BE152" s="10" t="s">
        <v>40</v>
      </c>
      <c r="BF152" t="s">
        <v>39</v>
      </c>
      <c r="BG152" s="3" t="s">
        <v>1233</v>
      </c>
      <c r="BH152" t="s">
        <v>23</v>
      </c>
      <c r="BI152" t="s">
        <v>750</v>
      </c>
      <c r="BJ152" s="4" t="s">
        <v>22</v>
      </c>
      <c r="BK152" s="9">
        <v>53000</v>
      </c>
      <c r="HR152" t="s">
        <v>21</v>
      </c>
      <c r="HT152" s="4" t="s">
        <v>20</v>
      </c>
      <c r="HU152" s="58">
        <v>34335</v>
      </c>
      <c r="HV152" s="58">
        <v>36160</v>
      </c>
      <c r="HW152" s="58"/>
      <c r="HX152" s="58"/>
      <c r="IP152" t="s">
        <v>38</v>
      </c>
      <c r="IQ152" s="54" t="s">
        <v>19</v>
      </c>
      <c r="IV152" s="4" t="s">
        <v>18</v>
      </c>
      <c r="IW152" t="s">
        <v>38</v>
      </c>
      <c r="IX152" s="54" t="s">
        <v>19</v>
      </c>
      <c r="JB152">
        <v>0</v>
      </c>
      <c r="JC152">
        <v>0</v>
      </c>
      <c r="JD152">
        <v>0</v>
      </c>
      <c r="JE152">
        <v>0</v>
      </c>
      <c r="JF152">
        <v>0</v>
      </c>
      <c r="JG152">
        <v>0</v>
      </c>
      <c r="JH152">
        <v>0</v>
      </c>
      <c r="JI152">
        <v>0</v>
      </c>
      <c r="JJ152">
        <v>0</v>
      </c>
      <c r="JL152" s="12" t="s">
        <v>721</v>
      </c>
      <c r="JQ152" s="4"/>
      <c r="JW152" s="4"/>
      <c r="JX152" s="4"/>
      <c r="JY152" s="4"/>
      <c r="JZ152" s="4"/>
      <c r="KA152" s="4"/>
      <c r="KB152" s="4"/>
      <c r="KG152" s="7" t="s">
        <v>12</v>
      </c>
      <c r="KK152" s="7" t="s">
        <v>720</v>
      </c>
      <c r="KL152" s="7"/>
      <c r="MZ152" t="s">
        <v>11</v>
      </c>
      <c r="NA152">
        <v>42</v>
      </c>
      <c r="NC152" s="4" t="s">
        <v>96</v>
      </c>
      <c r="NK152" t="s">
        <v>95</v>
      </c>
      <c r="NM152" s="4" t="s">
        <v>1156</v>
      </c>
      <c r="NN152" s="6" t="s">
        <v>7</v>
      </c>
      <c r="NV152" t="s">
        <v>735</v>
      </c>
      <c r="NW152" t="s">
        <v>6</v>
      </c>
      <c r="NX152" s="5" t="s">
        <v>118</v>
      </c>
      <c r="NY152" s="4" t="s">
        <v>4</v>
      </c>
      <c r="NZ152" s="3">
        <v>0.25356205319553027</v>
      </c>
      <c r="OC152">
        <v>4</v>
      </c>
      <c r="OT152" t="s">
        <v>116</v>
      </c>
      <c r="OV152">
        <v>1997</v>
      </c>
      <c r="OY152" s="2" t="s">
        <v>62</v>
      </c>
      <c r="PA152" t="s">
        <v>1169</v>
      </c>
      <c r="PB152" s="58">
        <v>46094</v>
      </c>
    </row>
    <row r="153" spans="1:418" ht="15.75" thickBot="1">
      <c r="A153" s="11" t="s">
        <v>36</v>
      </c>
      <c r="B153" t="s">
        <v>35</v>
      </c>
      <c r="C153" t="s">
        <v>34</v>
      </c>
      <c r="D153" s="4" t="s">
        <v>33</v>
      </c>
      <c r="E153" t="s">
        <v>32</v>
      </c>
      <c r="F153" s="4" t="s">
        <v>31</v>
      </c>
      <c r="G153" t="s">
        <v>2</v>
      </c>
      <c r="H153" t="s">
        <v>30</v>
      </c>
      <c r="I153" s="10">
        <v>0.1</v>
      </c>
      <c r="J153" s="10">
        <v>34.566667000000002</v>
      </c>
      <c r="K153" t="s">
        <v>29</v>
      </c>
      <c r="AV153" t="s">
        <v>28</v>
      </c>
      <c r="AW153">
        <v>100</v>
      </c>
      <c r="AX153" t="s">
        <v>29</v>
      </c>
      <c r="AY153">
        <v>4</v>
      </c>
      <c r="AZ153" t="s">
        <v>27</v>
      </c>
      <c r="BA153">
        <v>1994</v>
      </c>
      <c r="BB153">
        <v>1998</v>
      </c>
      <c r="BC153" t="s">
        <v>26</v>
      </c>
      <c r="BD153" t="s">
        <v>19</v>
      </c>
      <c r="BE153" s="10" t="s">
        <v>25</v>
      </c>
      <c r="BF153" t="s">
        <v>24</v>
      </c>
      <c r="BG153" s="3" t="s">
        <v>1233</v>
      </c>
      <c r="BH153" t="s">
        <v>23</v>
      </c>
      <c r="BI153" t="s">
        <v>750</v>
      </c>
      <c r="BJ153" s="4" t="s">
        <v>22</v>
      </c>
      <c r="BK153" s="9">
        <v>53000</v>
      </c>
      <c r="HR153" t="s">
        <v>21</v>
      </c>
      <c r="HT153" s="4" t="s">
        <v>20</v>
      </c>
      <c r="HU153" s="58">
        <v>34335</v>
      </c>
      <c r="HV153" s="58">
        <v>36160</v>
      </c>
      <c r="HW153" s="58"/>
      <c r="HX153" s="58"/>
      <c r="IP153" t="s">
        <v>16</v>
      </c>
      <c r="IQ153" s="54" t="s">
        <v>19</v>
      </c>
      <c r="IV153" s="4" t="s">
        <v>18</v>
      </c>
      <c r="IW153" t="s">
        <v>17</v>
      </c>
      <c r="IX153" s="54" t="s">
        <v>19</v>
      </c>
      <c r="JB153">
        <v>0</v>
      </c>
      <c r="JC153">
        <v>0</v>
      </c>
      <c r="JD153">
        <v>0</v>
      </c>
      <c r="JE153">
        <v>0</v>
      </c>
      <c r="JF153">
        <v>0</v>
      </c>
      <c r="JG153">
        <v>0</v>
      </c>
      <c r="JH153">
        <v>0</v>
      </c>
      <c r="JI153">
        <v>0</v>
      </c>
      <c r="JJ153">
        <v>0</v>
      </c>
      <c r="JK153" t="s">
        <v>16</v>
      </c>
      <c r="JL153" t="s">
        <v>15</v>
      </c>
      <c r="JM153" s="8" t="s">
        <v>14</v>
      </c>
      <c r="JQ153" s="4" t="s">
        <v>13</v>
      </c>
      <c r="JR153">
        <v>60</v>
      </c>
      <c r="JU153">
        <v>60</v>
      </c>
      <c r="JW153" s="4"/>
      <c r="JX153" s="4"/>
      <c r="JY153" s="4"/>
      <c r="JZ153" s="4"/>
      <c r="KA153" s="4"/>
      <c r="KB153" s="4"/>
      <c r="KG153" s="7" t="s">
        <v>12</v>
      </c>
      <c r="KK153" s="7" t="s">
        <v>720</v>
      </c>
      <c r="KL153" s="7"/>
      <c r="MZ153" t="s">
        <v>11</v>
      </c>
      <c r="NA153">
        <v>42</v>
      </c>
      <c r="NC153" s="4" t="s">
        <v>96</v>
      </c>
      <c r="NK153" t="s">
        <v>95</v>
      </c>
      <c r="NM153" s="4" t="s">
        <v>1156</v>
      </c>
      <c r="NN153" s="6" t="s">
        <v>7</v>
      </c>
      <c r="NV153" t="s">
        <v>747</v>
      </c>
      <c r="NW153" t="s">
        <v>6</v>
      </c>
      <c r="NX153" s="5" t="s">
        <v>117</v>
      </c>
      <c r="NY153" s="4" t="s">
        <v>4</v>
      </c>
      <c r="NZ153" s="3">
        <v>0.29586091895194055</v>
      </c>
      <c r="OC153">
        <v>4</v>
      </c>
      <c r="OT153" t="s">
        <v>116</v>
      </c>
      <c r="OV153">
        <v>1997</v>
      </c>
      <c r="OY153" s="2" t="s">
        <v>62</v>
      </c>
      <c r="PA153" t="s">
        <v>1169</v>
      </c>
      <c r="PB153" s="58">
        <v>46094</v>
      </c>
    </row>
    <row r="154" spans="1:418" ht="15.75" thickBot="1">
      <c r="A154" s="11" t="s">
        <v>36</v>
      </c>
      <c r="B154" t="s">
        <v>35</v>
      </c>
      <c r="C154" t="s">
        <v>34</v>
      </c>
      <c r="D154" s="4" t="s">
        <v>33</v>
      </c>
      <c r="E154" t="s">
        <v>32</v>
      </c>
      <c r="F154" s="4" t="s">
        <v>31</v>
      </c>
      <c r="G154" t="s">
        <v>2</v>
      </c>
      <c r="H154" t="s">
        <v>30</v>
      </c>
      <c r="I154" s="10">
        <v>0.1</v>
      </c>
      <c r="J154" s="10">
        <v>34.566667000000002</v>
      </c>
      <c r="K154" t="s">
        <v>29</v>
      </c>
      <c r="AV154" t="s">
        <v>28</v>
      </c>
      <c r="AW154">
        <v>100</v>
      </c>
      <c r="AX154" t="s">
        <v>29</v>
      </c>
      <c r="AY154">
        <v>4</v>
      </c>
      <c r="AZ154" t="s">
        <v>27</v>
      </c>
      <c r="BA154">
        <v>1994</v>
      </c>
      <c r="BB154">
        <v>1998</v>
      </c>
      <c r="BC154" t="s">
        <v>26</v>
      </c>
      <c r="BD154" t="s">
        <v>59</v>
      </c>
      <c r="BE154" s="10" t="s">
        <v>65</v>
      </c>
      <c r="BF154" t="s">
        <v>64</v>
      </c>
      <c r="BG154" s="3" t="s">
        <v>1233</v>
      </c>
      <c r="BH154" t="s">
        <v>23</v>
      </c>
      <c r="BI154" t="s">
        <v>750</v>
      </c>
      <c r="BJ154" s="4" t="s">
        <v>22</v>
      </c>
      <c r="BK154" s="9">
        <v>53000</v>
      </c>
      <c r="EE154" t="s">
        <v>55</v>
      </c>
      <c r="EF154" s="4" t="s">
        <v>22</v>
      </c>
      <c r="EG154" s="9">
        <v>53000</v>
      </c>
      <c r="EH154" s="9"/>
      <c r="EI154" s="9"/>
      <c r="EJ154" s="9"/>
      <c r="EK154" s="9"/>
      <c r="EL154" s="9"/>
      <c r="EM154" s="9"/>
      <c r="EN154" s="9"/>
      <c r="EO154" s="9"/>
      <c r="EP154" s="9"/>
      <c r="EQ154" s="9"/>
      <c r="ER154" s="9"/>
      <c r="ES154" s="9"/>
      <c r="ET154" s="9"/>
      <c r="EU154" s="9"/>
      <c r="EV154" s="9"/>
      <c r="EW154" s="9"/>
      <c r="EX154" s="9"/>
      <c r="EY154" s="9"/>
      <c r="EZ154" s="9"/>
      <c r="FA154" s="9"/>
      <c r="FB154" s="9"/>
      <c r="FC154" s="9"/>
      <c r="FD154" s="9"/>
      <c r="FE154" s="9"/>
      <c r="FF154" s="9"/>
      <c r="FG154" s="9"/>
      <c r="FH154" s="9"/>
      <c r="FI154" s="9"/>
      <c r="FJ154" s="9"/>
      <c r="FK154" s="9"/>
      <c r="FL154" s="9"/>
      <c r="FM154" s="9"/>
      <c r="FN154" s="9"/>
      <c r="FO154" s="9"/>
      <c r="FP154" s="9"/>
      <c r="FQ154" s="9"/>
      <c r="FR154" s="9"/>
      <c r="FS154" s="9"/>
      <c r="FT154" s="9"/>
      <c r="FU154" s="9"/>
      <c r="FV154" s="9"/>
      <c r="FW154" s="9"/>
      <c r="FX154" s="9"/>
      <c r="FY154" s="9"/>
      <c r="FZ154" s="9"/>
      <c r="GA154" s="9"/>
      <c r="GB154" s="9"/>
      <c r="GC154" s="9"/>
      <c r="GD154" s="9"/>
      <c r="GE154" s="9"/>
      <c r="GF154" s="9"/>
      <c r="GG154" s="9"/>
      <c r="GH154" s="9"/>
      <c r="GI154" s="9"/>
      <c r="GJ154" s="9"/>
      <c r="GK154" s="9"/>
      <c r="GL154" s="9"/>
      <c r="GM154" s="9"/>
      <c r="GN154" s="9"/>
      <c r="GO154" s="9"/>
      <c r="GP154" s="9"/>
      <c r="GQ154" s="9"/>
      <c r="GR154" s="9"/>
      <c r="GS154" s="9"/>
      <c r="GT154" s="9"/>
      <c r="GU154" s="9"/>
      <c r="GV154" s="9"/>
      <c r="GW154" s="9"/>
      <c r="GX154" s="9"/>
      <c r="GY154" s="9"/>
      <c r="GZ154" s="9"/>
      <c r="HA154" s="9"/>
      <c r="HB154" s="9"/>
      <c r="HC154" s="9"/>
      <c r="HD154" s="9"/>
      <c r="HE154" s="9"/>
      <c r="HF154" s="9"/>
      <c r="HG154" s="9"/>
      <c r="HH154" s="9"/>
      <c r="HI154" s="9"/>
      <c r="HJ154" s="9"/>
      <c r="HK154" s="9"/>
      <c r="HR154" t="s">
        <v>21</v>
      </c>
      <c r="HT154" s="4" t="s">
        <v>20</v>
      </c>
      <c r="HU154" s="58">
        <v>34335</v>
      </c>
      <c r="HV154" s="58">
        <v>36160</v>
      </c>
      <c r="HW154" s="58"/>
      <c r="HX154" s="58"/>
      <c r="IO154" s="4"/>
      <c r="IP154" t="s">
        <v>63</v>
      </c>
      <c r="IQ154" s="12" t="s">
        <v>1718</v>
      </c>
      <c r="IT154">
        <v>1995</v>
      </c>
      <c r="IU154">
        <v>1995.2</v>
      </c>
      <c r="IV154" s="4" t="s">
        <v>18</v>
      </c>
      <c r="IW154" t="s">
        <v>61</v>
      </c>
      <c r="IX154" s="12" t="s">
        <v>52</v>
      </c>
      <c r="JA154">
        <v>0.5</v>
      </c>
      <c r="JB154" t="s">
        <v>29</v>
      </c>
      <c r="JC154" t="s">
        <v>29</v>
      </c>
      <c r="JD154" t="s">
        <v>29</v>
      </c>
      <c r="JE154" t="s">
        <v>29</v>
      </c>
      <c r="JF154" t="s">
        <v>29</v>
      </c>
      <c r="JG154" t="s">
        <v>29</v>
      </c>
      <c r="JH154" t="s">
        <v>29</v>
      </c>
      <c r="JI154" t="s">
        <v>29</v>
      </c>
      <c r="JJ154" t="s">
        <v>29</v>
      </c>
      <c r="JL154" s="12" t="s">
        <v>721</v>
      </c>
      <c r="JQ154" s="4"/>
      <c r="JW154" s="4"/>
      <c r="JX154" s="4"/>
      <c r="JY154" s="4"/>
      <c r="JZ154" s="4"/>
      <c r="KA154" s="4"/>
      <c r="KB154" s="4"/>
      <c r="KG154" s="7" t="s">
        <v>12</v>
      </c>
      <c r="KK154" s="7" t="s">
        <v>719</v>
      </c>
      <c r="KL154" s="7" t="s">
        <v>51</v>
      </c>
      <c r="KN154" t="s">
        <v>29</v>
      </c>
      <c r="MZ154" t="s">
        <v>11</v>
      </c>
      <c r="NA154">
        <v>42</v>
      </c>
      <c r="NC154" s="4" t="s">
        <v>96</v>
      </c>
      <c r="NK154" t="s">
        <v>95</v>
      </c>
      <c r="NM154" s="4" t="s">
        <v>1156</v>
      </c>
      <c r="NN154" s="6" t="s">
        <v>7</v>
      </c>
      <c r="NW154" t="s">
        <v>6</v>
      </c>
      <c r="NX154" s="5" t="s">
        <v>115</v>
      </c>
      <c r="NY154" s="4" t="s">
        <v>4</v>
      </c>
      <c r="NZ154" s="3">
        <v>0.25356205319553005</v>
      </c>
      <c r="OC154">
        <v>4</v>
      </c>
      <c r="OT154" t="s">
        <v>109</v>
      </c>
      <c r="OV154">
        <v>1998</v>
      </c>
      <c r="OY154" s="2" t="s">
        <v>62</v>
      </c>
      <c r="PA154" t="s">
        <v>1169</v>
      </c>
      <c r="PB154" s="58">
        <v>46094</v>
      </c>
    </row>
    <row r="155" spans="1:418" ht="15.75" thickBot="1">
      <c r="A155" s="11" t="s">
        <v>36</v>
      </c>
      <c r="B155" t="s">
        <v>35</v>
      </c>
      <c r="C155" t="s">
        <v>34</v>
      </c>
      <c r="D155" s="4" t="s">
        <v>33</v>
      </c>
      <c r="E155" t="s">
        <v>32</v>
      </c>
      <c r="F155" s="4" t="s">
        <v>31</v>
      </c>
      <c r="G155" t="s">
        <v>2</v>
      </c>
      <c r="H155" t="s">
        <v>30</v>
      </c>
      <c r="I155" s="10">
        <v>0.1</v>
      </c>
      <c r="J155" s="10">
        <v>34.566667000000002</v>
      </c>
      <c r="K155" t="s">
        <v>29</v>
      </c>
      <c r="AV155" t="s">
        <v>28</v>
      </c>
      <c r="AW155">
        <v>100</v>
      </c>
      <c r="AX155" t="s">
        <v>29</v>
      </c>
      <c r="AY155">
        <v>4</v>
      </c>
      <c r="AZ155" t="s">
        <v>27</v>
      </c>
      <c r="BA155">
        <v>1994</v>
      </c>
      <c r="BB155">
        <v>1998</v>
      </c>
      <c r="BC155" t="s">
        <v>26</v>
      </c>
      <c r="BD155" t="s">
        <v>59</v>
      </c>
      <c r="BE155" s="10" t="s">
        <v>58</v>
      </c>
      <c r="BF155" t="s">
        <v>57</v>
      </c>
      <c r="BG155" s="3" t="s">
        <v>1233</v>
      </c>
      <c r="BH155" t="s">
        <v>23</v>
      </c>
      <c r="BI155" t="s">
        <v>750</v>
      </c>
      <c r="BJ155" s="4" t="s">
        <v>22</v>
      </c>
      <c r="BK155" s="9">
        <v>53000</v>
      </c>
      <c r="EE155" t="s">
        <v>55</v>
      </c>
      <c r="EF155" s="4" t="s">
        <v>22</v>
      </c>
      <c r="EG155" s="9">
        <v>53000</v>
      </c>
      <c r="EH155" s="9"/>
      <c r="EI155" s="9"/>
      <c r="EJ155" s="9"/>
      <c r="EK155" s="9"/>
      <c r="EL155" s="9"/>
      <c r="EM155" s="9"/>
      <c r="EN155" s="9"/>
      <c r="EO155" s="9"/>
      <c r="EP155" s="9"/>
      <c r="EQ155" s="9"/>
      <c r="ER155" s="9"/>
      <c r="ES155" s="9"/>
      <c r="ET155" s="9"/>
      <c r="EU155" s="9"/>
      <c r="EV155" s="9"/>
      <c r="EW155" s="9"/>
      <c r="EX155" s="9"/>
      <c r="EY155" s="9"/>
      <c r="EZ155" s="9"/>
      <c r="FA155" s="9"/>
      <c r="FB155" s="9"/>
      <c r="FC155" s="9"/>
      <c r="FD155" s="9"/>
      <c r="FE155" s="9"/>
      <c r="FF155" s="9"/>
      <c r="FG155" s="9"/>
      <c r="FH155" s="9"/>
      <c r="FI155" s="9"/>
      <c r="FJ155" s="9"/>
      <c r="FK155" s="9"/>
      <c r="FL155" s="9"/>
      <c r="FM155" s="9"/>
      <c r="FN155" s="9"/>
      <c r="FO155" s="9"/>
      <c r="FP155" s="9"/>
      <c r="FQ155" s="9"/>
      <c r="FR155" s="9"/>
      <c r="FS155" s="9"/>
      <c r="FT155" s="9"/>
      <c r="FU155" s="9"/>
      <c r="FV155" s="9"/>
      <c r="FW155" s="9"/>
      <c r="FX155" s="9"/>
      <c r="FY155" s="9"/>
      <c r="FZ155" s="9"/>
      <c r="GA155" s="9"/>
      <c r="GB155" s="9"/>
      <c r="GC155" s="9"/>
      <c r="GD155" s="9"/>
      <c r="GE155" s="9"/>
      <c r="GF155" s="9"/>
      <c r="GG155" s="9"/>
      <c r="GH155" s="9"/>
      <c r="GI155" s="9"/>
      <c r="GJ155" s="9"/>
      <c r="GK155" s="9"/>
      <c r="GL155" s="9"/>
      <c r="GM155" s="9"/>
      <c r="GN155" s="9"/>
      <c r="GO155" s="9"/>
      <c r="GP155" s="9"/>
      <c r="GQ155" s="9"/>
      <c r="GR155" s="9"/>
      <c r="GS155" s="9"/>
      <c r="GT155" s="9"/>
      <c r="GU155" s="9"/>
      <c r="GV155" s="9"/>
      <c r="GW155" s="9"/>
      <c r="GX155" s="9"/>
      <c r="GY155" s="9"/>
      <c r="GZ155" s="9"/>
      <c r="HA155" s="9"/>
      <c r="HB155" s="9"/>
      <c r="HC155" s="9"/>
      <c r="HD155" s="9"/>
      <c r="HE155" s="9"/>
      <c r="HF155" s="9"/>
      <c r="HG155" s="9"/>
      <c r="HH155" s="9"/>
      <c r="HI155" s="9"/>
      <c r="HJ155" s="9"/>
      <c r="HK155" s="9"/>
      <c r="HR155" t="s">
        <v>21</v>
      </c>
      <c r="HT155" s="4" t="s">
        <v>20</v>
      </c>
      <c r="HU155" s="58">
        <v>34335</v>
      </c>
      <c r="HV155" s="58">
        <v>36160</v>
      </c>
      <c r="HW155" s="58"/>
      <c r="HX155" s="58"/>
      <c r="IO155" s="4"/>
      <c r="IP155" t="s">
        <v>54</v>
      </c>
      <c r="IQ155" s="12" t="s">
        <v>1719</v>
      </c>
      <c r="IT155">
        <v>1994</v>
      </c>
      <c r="IU155">
        <v>1994.2</v>
      </c>
      <c r="IV155" s="4" t="s">
        <v>18</v>
      </c>
      <c r="IW155" t="s">
        <v>53</v>
      </c>
      <c r="IX155" s="12" t="s">
        <v>52</v>
      </c>
      <c r="JA155">
        <v>0.5</v>
      </c>
      <c r="JB155" t="s">
        <v>29</v>
      </c>
      <c r="JC155" t="s">
        <v>29</v>
      </c>
      <c r="JD155" t="s">
        <v>29</v>
      </c>
      <c r="JE155" t="s">
        <v>29</v>
      </c>
      <c r="JF155" t="s">
        <v>29</v>
      </c>
      <c r="JG155" t="s">
        <v>29</v>
      </c>
      <c r="JH155" t="s">
        <v>29</v>
      </c>
      <c r="JI155" t="s">
        <v>29</v>
      </c>
      <c r="JJ155" t="s">
        <v>29</v>
      </c>
      <c r="JL155" s="12" t="s">
        <v>721</v>
      </c>
      <c r="JQ155" s="4"/>
      <c r="JW155" s="4"/>
      <c r="JX155" s="4"/>
      <c r="JY155" s="4"/>
      <c r="JZ155" s="4"/>
      <c r="KA155" s="4"/>
      <c r="KB155" s="4"/>
      <c r="KG155" s="7" t="s">
        <v>12</v>
      </c>
      <c r="KK155" s="7" t="s">
        <v>719</v>
      </c>
      <c r="KL155" s="7" t="s">
        <v>51</v>
      </c>
      <c r="KN155" t="s">
        <v>29</v>
      </c>
      <c r="MZ155" t="s">
        <v>11</v>
      </c>
      <c r="NA155">
        <v>42</v>
      </c>
      <c r="NC155" s="4" t="s">
        <v>96</v>
      </c>
      <c r="NK155" t="s">
        <v>95</v>
      </c>
      <c r="NM155" s="4" t="s">
        <v>1156</v>
      </c>
      <c r="NN155" s="6" t="s">
        <v>7</v>
      </c>
      <c r="NW155" t="s">
        <v>6</v>
      </c>
      <c r="NX155" s="5" t="s">
        <v>114</v>
      </c>
      <c r="NY155" s="4" t="s">
        <v>4</v>
      </c>
      <c r="NZ155" s="3">
        <v>0.31693330471583003</v>
      </c>
      <c r="OC155">
        <v>4</v>
      </c>
      <c r="OT155" t="s">
        <v>109</v>
      </c>
      <c r="OV155">
        <v>1998</v>
      </c>
      <c r="OY155" s="2" t="s">
        <v>62</v>
      </c>
      <c r="PA155" t="s">
        <v>1169</v>
      </c>
      <c r="PB155" s="58">
        <v>46094</v>
      </c>
    </row>
    <row r="156" spans="1:418" ht="15.75" thickBot="1">
      <c r="A156" s="11" t="s">
        <v>36</v>
      </c>
      <c r="B156" t="s">
        <v>35</v>
      </c>
      <c r="C156" t="s">
        <v>34</v>
      </c>
      <c r="D156" s="4" t="s">
        <v>33</v>
      </c>
      <c r="E156" t="s">
        <v>32</v>
      </c>
      <c r="F156" s="4" t="s">
        <v>31</v>
      </c>
      <c r="G156" t="s">
        <v>2</v>
      </c>
      <c r="H156" t="s">
        <v>30</v>
      </c>
      <c r="I156" s="10">
        <v>0.1</v>
      </c>
      <c r="J156" s="10">
        <v>34.566667000000002</v>
      </c>
      <c r="K156" t="s">
        <v>29</v>
      </c>
      <c r="AV156" t="s">
        <v>28</v>
      </c>
      <c r="AW156">
        <v>100</v>
      </c>
      <c r="AX156" t="s">
        <v>29</v>
      </c>
      <c r="AY156">
        <v>4</v>
      </c>
      <c r="AZ156" t="s">
        <v>27</v>
      </c>
      <c r="BA156">
        <v>1994</v>
      </c>
      <c r="BB156">
        <v>1998</v>
      </c>
      <c r="BC156" t="s">
        <v>26</v>
      </c>
      <c r="BD156" t="s">
        <v>45</v>
      </c>
      <c r="BE156" s="10" t="s">
        <v>49</v>
      </c>
      <c r="BF156" t="s">
        <v>48</v>
      </c>
      <c r="BG156" s="3" t="s">
        <v>1233</v>
      </c>
      <c r="BH156" t="s">
        <v>23</v>
      </c>
      <c r="BI156" t="s">
        <v>750</v>
      </c>
      <c r="BJ156" s="4" t="s">
        <v>22</v>
      </c>
      <c r="BK156" s="9">
        <v>53000</v>
      </c>
      <c r="EF156" s="4"/>
      <c r="EG156" s="9"/>
      <c r="EH156" s="9"/>
      <c r="EI156" s="9"/>
      <c r="EJ156" s="9"/>
      <c r="EK156" s="9"/>
      <c r="EL156" s="9"/>
      <c r="EM156" s="9"/>
      <c r="EN156" s="9"/>
      <c r="EO156" s="9"/>
      <c r="EP156" s="9"/>
      <c r="EQ156" s="9"/>
      <c r="ER156" s="9"/>
      <c r="ES156" s="9"/>
      <c r="ET156" s="9"/>
      <c r="EU156" s="9"/>
      <c r="EV156" s="9"/>
      <c r="EW156" s="9"/>
      <c r="EX156" s="9"/>
      <c r="EY156" s="9"/>
      <c r="EZ156" s="9"/>
      <c r="FA156" s="9"/>
      <c r="FB156" s="9"/>
      <c r="FC156" s="9"/>
      <c r="FD156" s="9"/>
      <c r="FE156" s="9"/>
      <c r="FF156" s="9"/>
      <c r="FG156" s="9"/>
      <c r="FH156" s="9"/>
      <c r="FI156" s="9"/>
      <c r="FJ156" s="9"/>
      <c r="FK156" s="9"/>
      <c r="FL156" s="9"/>
      <c r="FM156" s="9"/>
      <c r="FN156" s="9"/>
      <c r="FO156" s="9"/>
      <c r="FP156" s="9"/>
      <c r="FQ156" s="9"/>
      <c r="FR156" s="9"/>
      <c r="FS156" s="9"/>
      <c r="FT156" s="9"/>
      <c r="FU156" s="9"/>
      <c r="FV156" s="9"/>
      <c r="FW156" s="9"/>
      <c r="FX156" s="9"/>
      <c r="FY156" s="9"/>
      <c r="FZ156" s="9"/>
      <c r="GA156" s="9"/>
      <c r="GB156" s="9"/>
      <c r="GC156" s="9"/>
      <c r="GD156" s="9"/>
      <c r="GE156" s="9"/>
      <c r="GF156" s="9"/>
      <c r="GG156" s="9"/>
      <c r="GH156" s="9"/>
      <c r="GI156" s="9"/>
      <c r="GJ156" s="9"/>
      <c r="GK156" s="9"/>
      <c r="GL156" s="9"/>
      <c r="GM156" s="9"/>
      <c r="GN156" s="9"/>
      <c r="GO156" s="9"/>
      <c r="GP156" s="9"/>
      <c r="GQ156" s="9"/>
      <c r="GR156" s="9"/>
      <c r="GS156" s="9"/>
      <c r="GT156" s="9"/>
      <c r="GU156" s="9"/>
      <c r="GV156" s="9"/>
      <c r="GW156" s="9"/>
      <c r="GX156" s="9"/>
      <c r="GY156" s="9"/>
      <c r="GZ156" s="9"/>
      <c r="HA156" s="9"/>
      <c r="HB156" s="9"/>
      <c r="HC156" s="9"/>
      <c r="HD156" s="9"/>
      <c r="HE156" s="9"/>
      <c r="HF156" s="9"/>
      <c r="HG156" s="9"/>
      <c r="HH156" s="9"/>
      <c r="HI156" s="9"/>
      <c r="HJ156" s="9"/>
      <c r="HK156" s="9"/>
      <c r="HR156" t="s">
        <v>21</v>
      </c>
      <c r="HT156" s="4" t="s">
        <v>20</v>
      </c>
      <c r="HU156" s="58">
        <v>34335</v>
      </c>
      <c r="HV156" s="58">
        <v>36160</v>
      </c>
      <c r="HW156" s="58"/>
      <c r="HX156" s="58"/>
      <c r="IP156" t="s">
        <v>47</v>
      </c>
      <c r="IQ156" s="54" t="s">
        <v>1226</v>
      </c>
      <c r="IT156">
        <v>1995</v>
      </c>
      <c r="IU156">
        <v>1995.2</v>
      </c>
      <c r="IV156" s="4" t="s">
        <v>18</v>
      </c>
      <c r="IW156" t="s">
        <v>38</v>
      </c>
      <c r="IX156" t="s">
        <v>19</v>
      </c>
      <c r="JB156">
        <v>0</v>
      </c>
      <c r="JC156">
        <v>0</v>
      </c>
      <c r="JD156">
        <v>0</v>
      </c>
      <c r="JE156">
        <v>0</v>
      </c>
      <c r="JF156">
        <v>0</v>
      </c>
      <c r="JG156">
        <v>0</v>
      </c>
      <c r="JH156">
        <v>0</v>
      </c>
      <c r="JI156">
        <v>0</v>
      </c>
      <c r="JJ156">
        <v>0</v>
      </c>
      <c r="JL156" s="12" t="s">
        <v>721</v>
      </c>
      <c r="JQ156" s="4"/>
      <c r="JW156" s="4"/>
      <c r="JX156" s="4"/>
      <c r="JY156" s="4"/>
      <c r="JZ156" s="4"/>
      <c r="KA156" s="4"/>
      <c r="KB156" s="4"/>
      <c r="KG156" s="7" t="s">
        <v>12</v>
      </c>
      <c r="KK156" s="7" t="s">
        <v>720</v>
      </c>
      <c r="KL156" s="7"/>
      <c r="MZ156" t="s">
        <v>11</v>
      </c>
      <c r="NA156">
        <v>42</v>
      </c>
      <c r="NC156" s="4" t="s">
        <v>96</v>
      </c>
      <c r="NK156" t="s">
        <v>95</v>
      </c>
      <c r="NM156" s="4" t="s">
        <v>1156</v>
      </c>
      <c r="NN156" s="6" t="s">
        <v>7</v>
      </c>
      <c r="NW156" t="s">
        <v>6</v>
      </c>
      <c r="NX156" s="5" t="s">
        <v>113</v>
      </c>
      <c r="NY156" s="4" t="s">
        <v>4</v>
      </c>
      <c r="NZ156" s="3">
        <v>0.42314275179272021</v>
      </c>
      <c r="OC156">
        <v>4</v>
      </c>
      <c r="OT156" t="s">
        <v>109</v>
      </c>
      <c r="OV156">
        <v>1998</v>
      </c>
      <c r="OY156" s="2" t="s">
        <v>62</v>
      </c>
      <c r="PA156" t="s">
        <v>1169</v>
      </c>
      <c r="PB156" s="58">
        <v>46094</v>
      </c>
    </row>
    <row r="157" spans="1:418" ht="15.75" thickBot="1">
      <c r="A157" s="11" t="s">
        <v>36</v>
      </c>
      <c r="B157" t="s">
        <v>35</v>
      </c>
      <c r="C157" t="s">
        <v>34</v>
      </c>
      <c r="D157" s="4" t="s">
        <v>33</v>
      </c>
      <c r="E157" t="s">
        <v>32</v>
      </c>
      <c r="F157" s="4" t="s">
        <v>31</v>
      </c>
      <c r="G157" t="s">
        <v>2</v>
      </c>
      <c r="H157" t="s">
        <v>30</v>
      </c>
      <c r="I157" s="10">
        <v>0.1</v>
      </c>
      <c r="J157" s="10">
        <v>34.566667000000002</v>
      </c>
      <c r="K157" t="s">
        <v>29</v>
      </c>
      <c r="AV157" t="s">
        <v>28</v>
      </c>
      <c r="AW157">
        <v>100</v>
      </c>
      <c r="AX157" t="s">
        <v>29</v>
      </c>
      <c r="AY157">
        <v>4</v>
      </c>
      <c r="AZ157" t="s">
        <v>27</v>
      </c>
      <c r="BA157">
        <v>1994</v>
      </c>
      <c r="BB157">
        <v>1998</v>
      </c>
      <c r="BC157" t="s">
        <v>26</v>
      </c>
      <c r="BD157" t="s">
        <v>45</v>
      </c>
      <c r="BE157" s="10" t="s">
        <v>44</v>
      </c>
      <c r="BF157" t="s">
        <v>43</v>
      </c>
      <c r="BG157" s="3" t="s">
        <v>1233</v>
      </c>
      <c r="BH157" t="s">
        <v>23</v>
      </c>
      <c r="BI157" t="s">
        <v>750</v>
      </c>
      <c r="BJ157" s="4" t="s">
        <v>22</v>
      </c>
      <c r="BK157" s="9">
        <v>53000</v>
      </c>
      <c r="EF157" s="4"/>
      <c r="EG157" s="9"/>
      <c r="EH157" s="9"/>
      <c r="EI157" s="9"/>
      <c r="EJ157" s="9"/>
      <c r="EK157" s="9"/>
      <c r="EL157" s="9"/>
      <c r="EM157" s="9"/>
      <c r="EN157" s="9"/>
      <c r="EO157" s="9"/>
      <c r="EP157" s="9"/>
      <c r="EQ157" s="9"/>
      <c r="ER157" s="9"/>
      <c r="ES157" s="9"/>
      <c r="ET157" s="9"/>
      <c r="EU157" s="9"/>
      <c r="EV157" s="9"/>
      <c r="EW157" s="9"/>
      <c r="EX157" s="9"/>
      <c r="EY157" s="9"/>
      <c r="EZ157" s="9"/>
      <c r="FA157" s="9"/>
      <c r="FB157" s="9"/>
      <c r="FC157" s="9"/>
      <c r="FD157" s="9"/>
      <c r="FE157" s="9"/>
      <c r="FF157" s="9"/>
      <c r="FG157" s="9"/>
      <c r="FH157" s="9"/>
      <c r="FI157" s="9"/>
      <c r="FJ157" s="9"/>
      <c r="FK157" s="9"/>
      <c r="FL157" s="9"/>
      <c r="FM157" s="9"/>
      <c r="FN157" s="9"/>
      <c r="FO157" s="9"/>
      <c r="FP157" s="9"/>
      <c r="FQ157" s="9"/>
      <c r="FR157" s="9"/>
      <c r="FS157" s="9"/>
      <c r="FT157" s="9"/>
      <c r="FU157" s="9"/>
      <c r="FV157" s="9"/>
      <c r="FW157" s="9"/>
      <c r="FX157" s="9"/>
      <c r="FY157" s="9"/>
      <c r="FZ157" s="9"/>
      <c r="GA157" s="9"/>
      <c r="GB157" s="9"/>
      <c r="GC157" s="9"/>
      <c r="GD157" s="9"/>
      <c r="GE157" s="9"/>
      <c r="GF157" s="9"/>
      <c r="GG157" s="9"/>
      <c r="GH157" s="9"/>
      <c r="GI157" s="9"/>
      <c r="GJ157" s="9"/>
      <c r="GK157" s="9"/>
      <c r="GL157" s="9"/>
      <c r="GM157" s="9"/>
      <c r="GN157" s="9"/>
      <c r="GO157" s="9"/>
      <c r="GP157" s="9"/>
      <c r="GQ157" s="9"/>
      <c r="GR157" s="9"/>
      <c r="GS157" s="9"/>
      <c r="GT157" s="9"/>
      <c r="GU157" s="9"/>
      <c r="GV157" s="9"/>
      <c r="GW157" s="9"/>
      <c r="GX157" s="9"/>
      <c r="GY157" s="9"/>
      <c r="GZ157" s="9"/>
      <c r="HA157" s="9"/>
      <c r="HB157" s="9"/>
      <c r="HC157" s="9"/>
      <c r="HD157" s="9"/>
      <c r="HE157" s="9"/>
      <c r="HF157" s="9"/>
      <c r="HG157" s="9"/>
      <c r="HH157" s="9"/>
      <c r="HI157" s="9"/>
      <c r="HJ157" s="9"/>
      <c r="HK157" s="9"/>
      <c r="HR157" t="s">
        <v>21</v>
      </c>
      <c r="HT157" s="4" t="s">
        <v>20</v>
      </c>
      <c r="HU157" s="58">
        <v>34335</v>
      </c>
      <c r="HV157" s="58">
        <v>36160</v>
      </c>
      <c r="HW157" s="58"/>
      <c r="HX157" s="58"/>
      <c r="IP157" t="s">
        <v>42</v>
      </c>
      <c r="IQ157" s="13" t="s">
        <v>1227</v>
      </c>
      <c r="IT157">
        <v>1994</v>
      </c>
      <c r="IU157">
        <v>1994.2</v>
      </c>
      <c r="IV157" s="4" t="s">
        <v>18</v>
      </c>
      <c r="IW157" t="s">
        <v>38</v>
      </c>
      <c r="IX157" t="s">
        <v>19</v>
      </c>
      <c r="JB157">
        <v>0</v>
      </c>
      <c r="JC157">
        <v>0</v>
      </c>
      <c r="JD157">
        <v>0</v>
      </c>
      <c r="JE157">
        <v>0</v>
      </c>
      <c r="JF157">
        <v>0</v>
      </c>
      <c r="JG157">
        <v>0</v>
      </c>
      <c r="JH157">
        <v>0</v>
      </c>
      <c r="JI157">
        <v>0</v>
      </c>
      <c r="JJ157">
        <v>0</v>
      </c>
      <c r="JL157" s="12" t="s">
        <v>721</v>
      </c>
      <c r="JQ157" s="4"/>
      <c r="KG157" s="7" t="s">
        <v>12</v>
      </c>
      <c r="KK157" s="7" t="s">
        <v>720</v>
      </c>
      <c r="KL157" s="7"/>
      <c r="MZ157" t="s">
        <v>11</v>
      </c>
      <c r="NA157">
        <v>42</v>
      </c>
      <c r="NC157" s="4" t="s">
        <v>96</v>
      </c>
      <c r="NK157" t="s">
        <v>95</v>
      </c>
      <c r="NM157" s="4" t="s">
        <v>1156</v>
      </c>
      <c r="NN157" s="6" t="s">
        <v>7</v>
      </c>
      <c r="NW157" t="s">
        <v>6</v>
      </c>
      <c r="NX157" s="5" t="s">
        <v>112</v>
      </c>
      <c r="NY157" s="4" t="s">
        <v>4</v>
      </c>
      <c r="NZ157" s="3">
        <v>0.38076683892201002</v>
      </c>
      <c r="OC157">
        <v>4</v>
      </c>
      <c r="OT157" t="s">
        <v>109</v>
      </c>
      <c r="OV157">
        <v>1998</v>
      </c>
      <c r="OY157" s="2" t="s">
        <v>62</v>
      </c>
      <c r="PA157" t="s">
        <v>1169</v>
      </c>
      <c r="PB157" s="58">
        <v>46094</v>
      </c>
    </row>
    <row r="158" spans="1:418" ht="15.75" thickBot="1">
      <c r="A158" s="11" t="s">
        <v>36</v>
      </c>
      <c r="B158" t="s">
        <v>35</v>
      </c>
      <c r="C158" t="s">
        <v>34</v>
      </c>
      <c r="D158" s="4" t="s">
        <v>33</v>
      </c>
      <c r="E158" t="s">
        <v>32</v>
      </c>
      <c r="F158" s="4" t="s">
        <v>31</v>
      </c>
      <c r="G158" t="s">
        <v>2</v>
      </c>
      <c r="H158" t="s">
        <v>30</v>
      </c>
      <c r="I158" s="10">
        <v>0.1</v>
      </c>
      <c r="J158" s="10">
        <v>34.566667000000002</v>
      </c>
      <c r="K158" t="s">
        <v>29</v>
      </c>
      <c r="AV158" t="s">
        <v>28</v>
      </c>
      <c r="AW158">
        <v>100</v>
      </c>
      <c r="AX158" t="s">
        <v>29</v>
      </c>
      <c r="AY158">
        <v>4</v>
      </c>
      <c r="AZ158" t="s">
        <v>27</v>
      </c>
      <c r="BA158">
        <v>1994</v>
      </c>
      <c r="BB158">
        <v>1998</v>
      </c>
      <c r="BC158" t="s">
        <v>26</v>
      </c>
      <c r="BD158" t="s">
        <v>19</v>
      </c>
      <c r="BE158" s="10" t="s">
        <v>40</v>
      </c>
      <c r="BF158" t="s">
        <v>39</v>
      </c>
      <c r="BG158" s="3" t="s">
        <v>1233</v>
      </c>
      <c r="BH158" t="s">
        <v>23</v>
      </c>
      <c r="BI158" t="s">
        <v>750</v>
      </c>
      <c r="BJ158" s="4" t="s">
        <v>22</v>
      </c>
      <c r="BK158" s="9">
        <v>53000</v>
      </c>
      <c r="HR158" t="s">
        <v>21</v>
      </c>
      <c r="HT158" s="4" t="s">
        <v>20</v>
      </c>
      <c r="HU158" s="58">
        <v>34335</v>
      </c>
      <c r="HV158" s="58">
        <v>36160</v>
      </c>
      <c r="HW158" s="58"/>
      <c r="HX158" s="58"/>
      <c r="IP158" t="s">
        <v>38</v>
      </c>
      <c r="IQ158" s="54" t="s">
        <v>19</v>
      </c>
      <c r="IV158" s="4" t="s">
        <v>18</v>
      </c>
      <c r="IW158" t="s">
        <v>38</v>
      </c>
      <c r="IX158" s="54" t="s">
        <v>19</v>
      </c>
      <c r="JB158">
        <v>0</v>
      </c>
      <c r="JC158">
        <v>0</v>
      </c>
      <c r="JD158">
        <v>0</v>
      </c>
      <c r="JE158">
        <v>0</v>
      </c>
      <c r="JF158">
        <v>0</v>
      </c>
      <c r="JG158">
        <v>0</v>
      </c>
      <c r="JH158">
        <v>0</v>
      </c>
      <c r="JI158">
        <v>0</v>
      </c>
      <c r="JJ158">
        <v>0</v>
      </c>
      <c r="JL158" s="12" t="s">
        <v>721</v>
      </c>
      <c r="JQ158" s="4"/>
      <c r="KG158" s="7" t="s">
        <v>12</v>
      </c>
      <c r="KK158" s="7" t="s">
        <v>720</v>
      </c>
      <c r="KL158" s="7"/>
      <c r="MZ158" t="s">
        <v>11</v>
      </c>
      <c r="NA158">
        <v>42</v>
      </c>
      <c r="NC158" s="4" t="s">
        <v>96</v>
      </c>
      <c r="NK158" t="s">
        <v>95</v>
      </c>
      <c r="NM158" s="4" t="s">
        <v>1156</v>
      </c>
      <c r="NN158" s="6" t="s">
        <v>7</v>
      </c>
      <c r="NV158" t="s">
        <v>735</v>
      </c>
      <c r="NW158" t="s">
        <v>6</v>
      </c>
      <c r="NX158" s="5" t="s">
        <v>111</v>
      </c>
      <c r="NY158" s="4" t="s">
        <v>4</v>
      </c>
      <c r="NZ158" s="3">
        <v>0.38045865046476002</v>
      </c>
      <c r="OC158">
        <v>4</v>
      </c>
      <c r="OT158" t="s">
        <v>109</v>
      </c>
      <c r="OV158">
        <v>1998</v>
      </c>
      <c r="OY158" s="2" t="s">
        <v>62</v>
      </c>
      <c r="PA158" t="s">
        <v>1169</v>
      </c>
      <c r="PB158" s="58">
        <v>46094</v>
      </c>
    </row>
    <row r="159" spans="1:418" ht="15.75" thickBot="1">
      <c r="A159" s="11" t="s">
        <v>36</v>
      </c>
      <c r="B159" t="s">
        <v>35</v>
      </c>
      <c r="C159" t="s">
        <v>34</v>
      </c>
      <c r="D159" s="4" t="s">
        <v>33</v>
      </c>
      <c r="E159" t="s">
        <v>32</v>
      </c>
      <c r="F159" s="4" t="s">
        <v>31</v>
      </c>
      <c r="G159" t="s">
        <v>2</v>
      </c>
      <c r="H159" t="s">
        <v>30</v>
      </c>
      <c r="I159" s="10">
        <v>0.1</v>
      </c>
      <c r="J159" s="10">
        <v>34.566667000000002</v>
      </c>
      <c r="K159" t="s">
        <v>29</v>
      </c>
      <c r="AV159" t="s">
        <v>28</v>
      </c>
      <c r="AW159">
        <v>100</v>
      </c>
      <c r="AX159" t="s">
        <v>29</v>
      </c>
      <c r="AY159">
        <v>4</v>
      </c>
      <c r="AZ159" t="s">
        <v>27</v>
      </c>
      <c r="BA159">
        <v>1994</v>
      </c>
      <c r="BB159">
        <v>1998</v>
      </c>
      <c r="BC159" t="s">
        <v>26</v>
      </c>
      <c r="BD159" t="s">
        <v>19</v>
      </c>
      <c r="BE159" s="10" t="s">
        <v>25</v>
      </c>
      <c r="BF159" t="s">
        <v>24</v>
      </c>
      <c r="BG159" s="3" t="s">
        <v>1233</v>
      </c>
      <c r="BH159" t="s">
        <v>23</v>
      </c>
      <c r="BI159" t="s">
        <v>750</v>
      </c>
      <c r="BJ159" s="4" t="s">
        <v>22</v>
      </c>
      <c r="BK159" s="9">
        <v>53000</v>
      </c>
      <c r="HR159" t="s">
        <v>21</v>
      </c>
      <c r="HT159" s="4" t="s">
        <v>20</v>
      </c>
      <c r="HU159" s="58">
        <v>34335</v>
      </c>
      <c r="HV159" s="58">
        <v>36160</v>
      </c>
      <c r="HW159" s="58"/>
      <c r="HX159" s="58"/>
      <c r="IP159" t="s">
        <v>16</v>
      </c>
      <c r="IQ159" s="54" t="s">
        <v>19</v>
      </c>
      <c r="IV159" s="4" t="s">
        <v>18</v>
      </c>
      <c r="IW159" t="s">
        <v>17</v>
      </c>
      <c r="IX159" s="54" t="s">
        <v>19</v>
      </c>
      <c r="JB159">
        <v>0</v>
      </c>
      <c r="JC159">
        <v>0</v>
      </c>
      <c r="JD159">
        <v>0</v>
      </c>
      <c r="JE159">
        <v>0</v>
      </c>
      <c r="JF159">
        <v>0</v>
      </c>
      <c r="JG159">
        <v>0</v>
      </c>
      <c r="JH159">
        <v>0</v>
      </c>
      <c r="JI159">
        <v>0</v>
      </c>
      <c r="JJ159">
        <v>0</v>
      </c>
      <c r="JK159" t="s">
        <v>16</v>
      </c>
      <c r="JL159" t="s">
        <v>15</v>
      </c>
      <c r="JM159" s="8" t="s">
        <v>14</v>
      </c>
      <c r="JQ159" s="4" t="s">
        <v>13</v>
      </c>
      <c r="JR159">
        <v>60</v>
      </c>
      <c r="JU159">
        <v>60</v>
      </c>
      <c r="KG159" s="7" t="s">
        <v>12</v>
      </c>
      <c r="KK159" s="7" t="s">
        <v>720</v>
      </c>
      <c r="KL159" s="7"/>
      <c r="MZ159" t="s">
        <v>11</v>
      </c>
      <c r="NA159">
        <v>42</v>
      </c>
      <c r="NC159" s="4" t="s">
        <v>96</v>
      </c>
      <c r="NK159" t="s">
        <v>95</v>
      </c>
      <c r="NM159" s="4" t="s">
        <v>1156</v>
      </c>
      <c r="NN159" s="6" t="s">
        <v>7</v>
      </c>
      <c r="NV159" t="s">
        <v>747</v>
      </c>
      <c r="NW159" t="s">
        <v>6</v>
      </c>
      <c r="NX159" s="5" t="s">
        <v>110</v>
      </c>
      <c r="NY159" s="4" t="s">
        <v>4</v>
      </c>
      <c r="NZ159" s="3">
        <v>0.16881022745408991</v>
      </c>
      <c r="OC159">
        <v>4</v>
      </c>
      <c r="OT159" t="s">
        <v>109</v>
      </c>
      <c r="OV159">
        <v>1998</v>
      </c>
      <c r="OY159" s="2" t="s">
        <v>62</v>
      </c>
      <c r="PA159" t="s">
        <v>1169</v>
      </c>
      <c r="PB159" s="58">
        <v>46094</v>
      </c>
    </row>
    <row r="160" spans="1:418" ht="15.75" thickBot="1">
      <c r="A160" s="11" t="s">
        <v>36</v>
      </c>
      <c r="B160" t="s">
        <v>35</v>
      </c>
      <c r="C160" t="s">
        <v>34</v>
      </c>
      <c r="D160" s="4" t="s">
        <v>33</v>
      </c>
      <c r="E160" t="s">
        <v>32</v>
      </c>
      <c r="F160" s="4" t="s">
        <v>31</v>
      </c>
      <c r="G160" t="s">
        <v>2</v>
      </c>
      <c r="H160" t="s">
        <v>30</v>
      </c>
      <c r="I160" s="10">
        <v>0.1</v>
      </c>
      <c r="J160" s="10">
        <v>34.566667000000002</v>
      </c>
      <c r="K160" t="s">
        <v>29</v>
      </c>
      <c r="AV160" t="s">
        <v>28</v>
      </c>
      <c r="AW160">
        <v>100</v>
      </c>
      <c r="AX160" t="s">
        <v>29</v>
      </c>
      <c r="AY160">
        <v>4</v>
      </c>
      <c r="AZ160" t="s">
        <v>27</v>
      </c>
      <c r="BA160">
        <v>1994</v>
      </c>
      <c r="BB160">
        <v>1998</v>
      </c>
      <c r="BC160" t="s">
        <v>26</v>
      </c>
      <c r="BD160" t="s">
        <v>59</v>
      </c>
      <c r="BE160" s="10" t="s">
        <v>65</v>
      </c>
      <c r="BF160" t="s">
        <v>64</v>
      </c>
      <c r="BG160" s="3" t="s">
        <v>1233</v>
      </c>
      <c r="BH160" t="s">
        <v>23</v>
      </c>
      <c r="BI160" t="s">
        <v>750</v>
      </c>
      <c r="BJ160" s="4" t="s">
        <v>22</v>
      </c>
      <c r="BK160" s="9">
        <v>53000</v>
      </c>
      <c r="EE160" t="s">
        <v>55</v>
      </c>
      <c r="EF160" s="4" t="s">
        <v>22</v>
      </c>
      <c r="EG160" s="9">
        <v>53000</v>
      </c>
      <c r="EH160" s="9"/>
      <c r="EI160" s="9"/>
      <c r="EJ160" s="9"/>
      <c r="EK160" s="9"/>
      <c r="EL160" s="9"/>
      <c r="EM160" s="9"/>
      <c r="EN160" s="9"/>
      <c r="EO160" s="9"/>
      <c r="EP160" s="9"/>
      <c r="EQ160" s="9"/>
      <c r="ER160" s="9"/>
      <c r="ES160" s="9"/>
      <c r="ET160" s="9"/>
      <c r="EU160" s="9"/>
      <c r="EV160" s="9"/>
      <c r="EW160" s="9"/>
      <c r="EX160" s="9"/>
      <c r="EY160" s="9"/>
      <c r="EZ160" s="9"/>
      <c r="FA160" s="9"/>
      <c r="FB160" s="9"/>
      <c r="FC160" s="9"/>
      <c r="FD160" s="9"/>
      <c r="FE160" s="9"/>
      <c r="FF160" s="9"/>
      <c r="FG160" s="9"/>
      <c r="FH160" s="9"/>
      <c r="FI160" s="9"/>
      <c r="FJ160" s="9"/>
      <c r="FK160" s="9"/>
      <c r="FL160" s="9"/>
      <c r="FM160" s="9"/>
      <c r="FN160" s="9"/>
      <c r="FO160" s="9"/>
      <c r="FP160" s="9"/>
      <c r="FQ160" s="9"/>
      <c r="FR160" s="9"/>
      <c r="FS160" s="9"/>
      <c r="FT160" s="9"/>
      <c r="FU160" s="9"/>
      <c r="FV160" s="9"/>
      <c r="FW160" s="9"/>
      <c r="FX160" s="9"/>
      <c r="FY160" s="9"/>
      <c r="FZ160" s="9"/>
      <c r="GA160" s="9"/>
      <c r="GB160" s="9"/>
      <c r="GC160" s="9"/>
      <c r="GD160" s="9"/>
      <c r="GE160" s="9"/>
      <c r="GF160" s="9"/>
      <c r="GG160" s="9"/>
      <c r="GH160" s="9"/>
      <c r="GI160" s="9"/>
      <c r="GJ160" s="9"/>
      <c r="GK160" s="9"/>
      <c r="GL160" s="9"/>
      <c r="GM160" s="9"/>
      <c r="GN160" s="9"/>
      <c r="GO160" s="9"/>
      <c r="GP160" s="9"/>
      <c r="GQ160" s="9"/>
      <c r="GR160" s="9"/>
      <c r="GS160" s="9"/>
      <c r="GT160" s="9"/>
      <c r="GU160" s="9"/>
      <c r="GV160" s="9"/>
      <c r="GW160" s="9"/>
      <c r="GX160" s="9"/>
      <c r="GY160" s="9"/>
      <c r="GZ160" s="9"/>
      <c r="HA160" s="9"/>
      <c r="HB160" s="9"/>
      <c r="HC160" s="9"/>
      <c r="HD160" s="9"/>
      <c r="HE160" s="9"/>
      <c r="HF160" s="9"/>
      <c r="HG160" s="9"/>
      <c r="HH160" s="9"/>
      <c r="HI160" s="9"/>
      <c r="HJ160" s="9"/>
      <c r="HK160" s="9"/>
      <c r="HR160" t="s">
        <v>21</v>
      </c>
      <c r="HT160" s="4" t="s">
        <v>20</v>
      </c>
      <c r="HU160" s="58">
        <v>34335</v>
      </c>
      <c r="HV160" s="58">
        <v>36160</v>
      </c>
      <c r="HW160" s="58"/>
      <c r="HX160" s="58"/>
      <c r="IO160" s="4"/>
      <c r="IP160" t="s">
        <v>63</v>
      </c>
      <c r="IQ160" s="12" t="s">
        <v>1718</v>
      </c>
      <c r="IT160">
        <v>1995</v>
      </c>
      <c r="IU160">
        <v>1995.2</v>
      </c>
      <c r="IV160" s="4" t="s">
        <v>18</v>
      </c>
      <c r="IW160" t="s">
        <v>61</v>
      </c>
      <c r="IX160" s="12" t="s">
        <v>52</v>
      </c>
      <c r="JA160">
        <v>0.5</v>
      </c>
      <c r="JB160" t="s">
        <v>29</v>
      </c>
      <c r="JC160" t="s">
        <v>29</v>
      </c>
      <c r="JD160" t="s">
        <v>29</v>
      </c>
      <c r="JE160" t="s">
        <v>29</v>
      </c>
      <c r="JF160" t="s">
        <v>29</v>
      </c>
      <c r="JG160" t="s">
        <v>29</v>
      </c>
      <c r="JH160" t="s">
        <v>29</v>
      </c>
      <c r="JI160" t="s">
        <v>29</v>
      </c>
      <c r="JJ160" t="s">
        <v>29</v>
      </c>
      <c r="JL160" s="12" t="s">
        <v>721</v>
      </c>
      <c r="JQ160" s="4"/>
      <c r="KG160" s="7" t="s">
        <v>12</v>
      </c>
      <c r="KK160" s="7" t="s">
        <v>719</v>
      </c>
      <c r="KL160" s="7" t="s">
        <v>51</v>
      </c>
      <c r="KN160" t="s">
        <v>29</v>
      </c>
      <c r="MZ160" t="s">
        <v>11</v>
      </c>
      <c r="NA160">
        <v>42</v>
      </c>
      <c r="NC160" s="4" t="s">
        <v>96</v>
      </c>
      <c r="NK160" t="s">
        <v>95</v>
      </c>
      <c r="NM160" s="4" t="s">
        <v>1156</v>
      </c>
      <c r="NN160" s="6" t="s">
        <v>7</v>
      </c>
      <c r="NW160" t="s">
        <v>6</v>
      </c>
      <c r="NX160" s="5" t="s">
        <v>108</v>
      </c>
      <c r="NY160" s="4" t="s">
        <v>4</v>
      </c>
      <c r="NZ160" s="3">
        <v>0.57416550362152963</v>
      </c>
      <c r="OC160">
        <v>4</v>
      </c>
      <c r="OT160" t="s">
        <v>102</v>
      </c>
      <c r="OV160">
        <v>1996</v>
      </c>
      <c r="OY160" s="2" t="s">
        <v>1</v>
      </c>
      <c r="PA160" t="s">
        <v>1169</v>
      </c>
      <c r="PB160" s="58">
        <v>46094</v>
      </c>
    </row>
    <row r="161" spans="1:418" ht="15.75" thickBot="1">
      <c r="A161" s="11" t="s">
        <v>36</v>
      </c>
      <c r="B161" t="s">
        <v>35</v>
      </c>
      <c r="C161" t="s">
        <v>34</v>
      </c>
      <c r="D161" s="4" t="s">
        <v>33</v>
      </c>
      <c r="E161" t="s">
        <v>32</v>
      </c>
      <c r="F161" s="4" t="s">
        <v>31</v>
      </c>
      <c r="G161" t="s">
        <v>2</v>
      </c>
      <c r="H161" t="s">
        <v>30</v>
      </c>
      <c r="I161" s="10">
        <v>0.1</v>
      </c>
      <c r="J161" s="10">
        <v>34.566667000000002</v>
      </c>
      <c r="K161" t="s">
        <v>29</v>
      </c>
      <c r="AV161" t="s">
        <v>28</v>
      </c>
      <c r="AW161">
        <v>100</v>
      </c>
      <c r="AX161" t="s">
        <v>29</v>
      </c>
      <c r="AY161">
        <v>4</v>
      </c>
      <c r="AZ161" t="s">
        <v>27</v>
      </c>
      <c r="BA161">
        <v>1994</v>
      </c>
      <c r="BB161">
        <v>1998</v>
      </c>
      <c r="BC161" t="s">
        <v>26</v>
      </c>
      <c r="BD161" t="s">
        <v>59</v>
      </c>
      <c r="BE161" s="10" t="s">
        <v>58</v>
      </c>
      <c r="BF161" t="s">
        <v>57</v>
      </c>
      <c r="BG161" s="3" t="s">
        <v>1233</v>
      </c>
      <c r="BH161" t="s">
        <v>23</v>
      </c>
      <c r="BI161" t="s">
        <v>750</v>
      </c>
      <c r="BJ161" s="4" t="s">
        <v>22</v>
      </c>
      <c r="BK161" s="9">
        <v>53000</v>
      </c>
      <c r="EE161" t="s">
        <v>55</v>
      </c>
      <c r="EF161" s="4" t="s">
        <v>22</v>
      </c>
      <c r="EG161" s="9">
        <v>53000</v>
      </c>
      <c r="EH161" s="9"/>
      <c r="EI161" s="9"/>
      <c r="EJ161" s="9"/>
      <c r="EK161" s="9"/>
      <c r="EL161" s="9"/>
      <c r="EM161" s="9"/>
      <c r="EN161" s="9"/>
      <c r="EO161" s="9"/>
      <c r="EP161" s="9"/>
      <c r="EQ161" s="9"/>
      <c r="ER161" s="9"/>
      <c r="ES161" s="9"/>
      <c r="ET161" s="9"/>
      <c r="EU161" s="9"/>
      <c r="EV161" s="9"/>
      <c r="EW161" s="9"/>
      <c r="EX161" s="9"/>
      <c r="EY161" s="9"/>
      <c r="EZ161" s="9"/>
      <c r="FA161" s="9"/>
      <c r="FB161" s="9"/>
      <c r="FC161" s="9"/>
      <c r="FD161" s="9"/>
      <c r="FE161" s="9"/>
      <c r="FF161" s="9"/>
      <c r="FG161" s="9"/>
      <c r="FH161" s="9"/>
      <c r="FI161" s="9"/>
      <c r="FJ161" s="9"/>
      <c r="FK161" s="9"/>
      <c r="FL161" s="9"/>
      <c r="FM161" s="9"/>
      <c r="FN161" s="9"/>
      <c r="FO161" s="9"/>
      <c r="FP161" s="9"/>
      <c r="FQ161" s="9"/>
      <c r="FR161" s="9"/>
      <c r="FS161" s="9"/>
      <c r="FT161" s="9"/>
      <c r="FU161" s="9"/>
      <c r="FV161" s="9"/>
      <c r="FW161" s="9"/>
      <c r="FX161" s="9"/>
      <c r="FY161" s="9"/>
      <c r="FZ161" s="9"/>
      <c r="GA161" s="9"/>
      <c r="GB161" s="9"/>
      <c r="GC161" s="9"/>
      <c r="GD161" s="9"/>
      <c r="GE161" s="9"/>
      <c r="GF161" s="9"/>
      <c r="GG161" s="9"/>
      <c r="GH161" s="9"/>
      <c r="GI161" s="9"/>
      <c r="GJ161" s="9"/>
      <c r="GK161" s="9"/>
      <c r="GL161" s="9"/>
      <c r="GM161" s="9"/>
      <c r="GN161" s="9"/>
      <c r="GO161" s="9"/>
      <c r="GP161" s="9"/>
      <c r="GQ161" s="9"/>
      <c r="GR161" s="9"/>
      <c r="GS161" s="9"/>
      <c r="GT161" s="9"/>
      <c r="GU161" s="9"/>
      <c r="GV161" s="9"/>
      <c r="GW161" s="9"/>
      <c r="GX161" s="9"/>
      <c r="GY161" s="9"/>
      <c r="GZ161" s="9"/>
      <c r="HA161" s="9"/>
      <c r="HB161" s="9"/>
      <c r="HC161" s="9"/>
      <c r="HD161" s="9"/>
      <c r="HE161" s="9"/>
      <c r="HF161" s="9"/>
      <c r="HG161" s="9"/>
      <c r="HH161" s="9"/>
      <c r="HI161" s="9"/>
      <c r="HJ161" s="9"/>
      <c r="HK161" s="9"/>
      <c r="HR161" t="s">
        <v>21</v>
      </c>
      <c r="HT161" s="4" t="s">
        <v>20</v>
      </c>
      <c r="HU161" s="58">
        <v>34335</v>
      </c>
      <c r="HV161" s="58">
        <v>36160</v>
      </c>
      <c r="HW161" s="58"/>
      <c r="HX161" s="58"/>
      <c r="IO161" s="4"/>
      <c r="IP161" t="s">
        <v>54</v>
      </c>
      <c r="IQ161" s="12" t="s">
        <v>1719</v>
      </c>
      <c r="IT161">
        <v>1994</v>
      </c>
      <c r="IU161">
        <v>1994.2</v>
      </c>
      <c r="IV161" s="4" t="s">
        <v>18</v>
      </c>
      <c r="IW161" t="s">
        <v>53</v>
      </c>
      <c r="IX161" s="12" t="s">
        <v>52</v>
      </c>
      <c r="JA161">
        <v>0.5</v>
      </c>
      <c r="JB161" t="s">
        <v>29</v>
      </c>
      <c r="JC161" t="s">
        <v>29</v>
      </c>
      <c r="JD161" t="s">
        <v>29</v>
      </c>
      <c r="JE161" t="s">
        <v>29</v>
      </c>
      <c r="JF161" t="s">
        <v>29</v>
      </c>
      <c r="JG161" t="s">
        <v>29</v>
      </c>
      <c r="JH161" t="s">
        <v>29</v>
      </c>
      <c r="JI161" t="s">
        <v>29</v>
      </c>
      <c r="JJ161" t="s">
        <v>29</v>
      </c>
      <c r="JL161" s="12" t="s">
        <v>721</v>
      </c>
      <c r="JQ161" s="4"/>
      <c r="KG161" s="7" t="s">
        <v>12</v>
      </c>
      <c r="KK161" s="7" t="s">
        <v>719</v>
      </c>
      <c r="KL161" s="7" t="s">
        <v>51</v>
      </c>
      <c r="KN161" t="s">
        <v>29</v>
      </c>
      <c r="MZ161" t="s">
        <v>11</v>
      </c>
      <c r="NA161">
        <v>42</v>
      </c>
      <c r="NC161" s="4" t="s">
        <v>96</v>
      </c>
      <c r="NK161" t="s">
        <v>95</v>
      </c>
      <c r="NM161" s="4" t="s">
        <v>1156</v>
      </c>
      <c r="NN161" s="6" t="s">
        <v>7</v>
      </c>
      <c r="NW161" t="s">
        <v>6</v>
      </c>
      <c r="NX161" s="5" t="s">
        <v>107</v>
      </c>
      <c r="NY161" s="4" t="s">
        <v>4</v>
      </c>
      <c r="NZ161" s="3">
        <v>0.27675325606668011</v>
      </c>
      <c r="OC161">
        <v>4</v>
      </c>
      <c r="OT161" t="s">
        <v>102</v>
      </c>
      <c r="OV161">
        <v>1996</v>
      </c>
      <c r="OY161" s="2" t="s">
        <v>1</v>
      </c>
      <c r="PA161" t="s">
        <v>1169</v>
      </c>
      <c r="PB161" s="58">
        <v>46094</v>
      </c>
    </row>
    <row r="162" spans="1:418" ht="15.75" thickBot="1">
      <c r="A162" s="11" t="s">
        <v>36</v>
      </c>
      <c r="B162" t="s">
        <v>35</v>
      </c>
      <c r="C162" t="s">
        <v>34</v>
      </c>
      <c r="D162" s="4" t="s">
        <v>33</v>
      </c>
      <c r="E162" t="s">
        <v>32</v>
      </c>
      <c r="F162" s="4" t="s">
        <v>31</v>
      </c>
      <c r="G162" t="s">
        <v>2</v>
      </c>
      <c r="H162" t="s">
        <v>30</v>
      </c>
      <c r="I162" s="10">
        <v>0.1</v>
      </c>
      <c r="J162" s="10">
        <v>34.566667000000002</v>
      </c>
      <c r="K162" t="s">
        <v>29</v>
      </c>
      <c r="AV162" t="s">
        <v>28</v>
      </c>
      <c r="AW162">
        <v>100</v>
      </c>
      <c r="AX162" t="s">
        <v>29</v>
      </c>
      <c r="AY162">
        <v>4</v>
      </c>
      <c r="AZ162" t="s">
        <v>27</v>
      </c>
      <c r="BA162">
        <v>1994</v>
      </c>
      <c r="BB162">
        <v>1998</v>
      </c>
      <c r="BC162" t="s">
        <v>26</v>
      </c>
      <c r="BD162" t="s">
        <v>45</v>
      </c>
      <c r="BE162" s="10" t="s">
        <v>49</v>
      </c>
      <c r="BF162" t="s">
        <v>48</v>
      </c>
      <c r="BG162" s="3" t="s">
        <v>1233</v>
      </c>
      <c r="BH162" t="s">
        <v>23</v>
      </c>
      <c r="BI162" t="s">
        <v>750</v>
      </c>
      <c r="BJ162" s="4" t="s">
        <v>22</v>
      </c>
      <c r="BK162" s="9">
        <v>53000</v>
      </c>
      <c r="EF162" s="4"/>
      <c r="EG162" s="9"/>
      <c r="EH162" s="9"/>
      <c r="EI162" s="9"/>
      <c r="EJ162" s="9"/>
      <c r="EK162" s="9"/>
      <c r="EL162" s="9"/>
      <c r="EM162" s="9"/>
      <c r="EN162" s="9"/>
      <c r="EO162" s="9"/>
      <c r="EP162" s="9"/>
      <c r="EQ162" s="9"/>
      <c r="ER162" s="9"/>
      <c r="ES162" s="9"/>
      <c r="ET162" s="9"/>
      <c r="EU162" s="9"/>
      <c r="EV162" s="9"/>
      <c r="EW162" s="9"/>
      <c r="EX162" s="9"/>
      <c r="EY162" s="9"/>
      <c r="EZ162" s="9"/>
      <c r="FA162" s="9"/>
      <c r="FB162" s="9"/>
      <c r="FC162" s="9"/>
      <c r="FD162" s="9"/>
      <c r="FE162" s="9"/>
      <c r="FF162" s="9"/>
      <c r="FG162" s="9"/>
      <c r="FH162" s="9"/>
      <c r="FI162" s="9"/>
      <c r="FJ162" s="9"/>
      <c r="FK162" s="9"/>
      <c r="FL162" s="9"/>
      <c r="FM162" s="9"/>
      <c r="FN162" s="9"/>
      <c r="FO162" s="9"/>
      <c r="FP162" s="9"/>
      <c r="FQ162" s="9"/>
      <c r="FR162" s="9"/>
      <c r="FS162" s="9"/>
      <c r="FT162" s="9"/>
      <c r="FU162" s="9"/>
      <c r="FV162" s="9"/>
      <c r="FW162" s="9"/>
      <c r="FX162" s="9"/>
      <c r="FY162" s="9"/>
      <c r="FZ162" s="9"/>
      <c r="GA162" s="9"/>
      <c r="GB162" s="9"/>
      <c r="GC162" s="9"/>
      <c r="GD162" s="9"/>
      <c r="GE162" s="9"/>
      <c r="GF162" s="9"/>
      <c r="GG162" s="9"/>
      <c r="GH162" s="9"/>
      <c r="GI162" s="9"/>
      <c r="GJ162" s="9"/>
      <c r="GK162" s="9"/>
      <c r="GL162" s="9"/>
      <c r="GM162" s="9"/>
      <c r="GN162" s="9"/>
      <c r="GO162" s="9"/>
      <c r="GP162" s="9"/>
      <c r="GQ162" s="9"/>
      <c r="GR162" s="9"/>
      <c r="GS162" s="9"/>
      <c r="GT162" s="9"/>
      <c r="GU162" s="9"/>
      <c r="GV162" s="9"/>
      <c r="GW162" s="9"/>
      <c r="GX162" s="9"/>
      <c r="GY162" s="9"/>
      <c r="GZ162" s="9"/>
      <c r="HA162" s="9"/>
      <c r="HB162" s="9"/>
      <c r="HC162" s="9"/>
      <c r="HD162" s="9"/>
      <c r="HE162" s="9"/>
      <c r="HF162" s="9"/>
      <c r="HG162" s="9"/>
      <c r="HH162" s="9"/>
      <c r="HI162" s="9"/>
      <c r="HJ162" s="9"/>
      <c r="HK162" s="9"/>
      <c r="HR162" t="s">
        <v>21</v>
      </c>
      <c r="HT162" s="4" t="s">
        <v>20</v>
      </c>
      <c r="HU162" s="58">
        <v>34335</v>
      </c>
      <c r="HV162" s="58">
        <v>36160</v>
      </c>
      <c r="HW162" s="58"/>
      <c r="HX162" s="58"/>
      <c r="IP162" t="s">
        <v>47</v>
      </c>
      <c r="IQ162" s="54" t="s">
        <v>1226</v>
      </c>
      <c r="IT162">
        <v>1995</v>
      </c>
      <c r="IU162">
        <v>1995.2</v>
      </c>
      <c r="IV162" s="4" t="s">
        <v>18</v>
      </c>
      <c r="IW162" t="s">
        <v>38</v>
      </c>
      <c r="IX162" t="s">
        <v>19</v>
      </c>
      <c r="JB162">
        <v>0</v>
      </c>
      <c r="JC162">
        <v>0</v>
      </c>
      <c r="JD162">
        <v>0</v>
      </c>
      <c r="JE162">
        <v>0</v>
      </c>
      <c r="JF162">
        <v>0</v>
      </c>
      <c r="JG162">
        <v>0</v>
      </c>
      <c r="JH162">
        <v>0</v>
      </c>
      <c r="JI162">
        <v>0</v>
      </c>
      <c r="JJ162">
        <v>0</v>
      </c>
      <c r="JL162" s="12" t="s">
        <v>721</v>
      </c>
      <c r="JQ162" s="4"/>
      <c r="KG162" s="7" t="s">
        <v>12</v>
      </c>
      <c r="KK162" s="7" t="s">
        <v>720</v>
      </c>
      <c r="KL162" s="7"/>
      <c r="MZ162" t="s">
        <v>11</v>
      </c>
      <c r="NA162">
        <v>42</v>
      </c>
      <c r="NC162" s="4" t="s">
        <v>96</v>
      </c>
      <c r="NK162" t="s">
        <v>95</v>
      </c>
      <c r="NM162" s="4" t="s">
        <v>1156</v>
      </c>
      <c r="NN162" s="6" t="s">
        <v>7</v>
      </c>
      <c r="NW162" t="s">
        <v>6</v>
      </c>
      <c r="NX162" s="5" t="s">
        <v>106</v>
      </c>
      <c r="NY162" s="4" t="s">
        <v>4</v>
      </c>
      <c r="NZ162" s="3">
        <v>0.21261384510997017</v>
      </c>
      <c r="OC162">
        <v>4</v>
      </c>
      <c r="OT162" t="s">
        <v>102</v>
      </c>
      <c r="OV162">
        <v>1996</v>
      </c>
      <c r="OY162" s="2" t="s">
        <v>1</v>
      </c>
      <c r="PA162" t="s">
        <v>1169</v>
      </c>
      <c r="PB162" s="58">
        <v>46094</v>
      </c>
    </row>
    <row r="163" spans="1:418" ht="15.75" thickBot="1">
      <c r="A163" s="11" t="s">
        <v>36</v>
      </c>
      <c r="B163" t="s">
        <v>35</v>
      </c>
      <c r="C163" t="s">
        <v>34</v>
      </c>
      <c r="D163" s="4" t="s">
        <v>33</v>
      </c>
      <c r="E163" t="s">
        <v>32</v>
      </c>
      <c r="F163" s="4" t="s">
        <v>31</v>
      </c>
      <c r="G163" t="s">
        <v>2</v>
      </c>
      <c r="H163" t="s">
        <v>30</v>
      </c>
      <c r="I163" s="10">
        <v>0.1</v>
      </c>
      <c r="J163" s="10">
        <v>34.566667000000002</v>
      </c>
      <c r="K163" t="s">
        <v>29</v>
      </c>
      <c r="AV163" t="s">
        <v>28</v>
      </c>
      <c r="AW163">
        <v>100</v>
      </c>
      <c r="AX163" t="s">
        <v>29</v>
      </c>
      <c r="AY163">
        <v>4</v>
      </c>
      <c r="AZ163" t="s">
        <v>27</v>
      </c>
      <c r="BA163">
        <v>1994</v>
      </c>
      <c r="BB163">
        <v>1998</v>
      </c>
      <c r="BC163" t="s">
        <v>26</v>
      </c>
      <c r="BD163" t="s">
        <v>45</v>
      </c>
      <c r="BE163" s="10" t="s">
        <v>44</v>
      </c>
      <c r="BF163" t="s">
        <v>43</v>
      </c>
      <c r="BG163" s="3" t="s">
        <v>1233</v>
      </c>
      <c r="BH163" t="s">
        <v>23</v>
      </c>
      <c r="BI163" t="s">
        <v>750</v>
      </c>
      <c r="BJ163" s="4" t="s">
        <v>22</v>
      </c>
      <c r="BK163" s="9">
        <v>53000</v>
      </c>
      <c r="EF163" s="4"/>
      <c r="EG163" s="9"/>
      <c r="EH163" s="9"/>
      <c r="EI163" s="9"/>
      <c r="EJ163" s="9"/>
      <c r="EK163" s="9"/>
      <c r="EL163" s="9"/>
      <c r="EM163" s="9"/>
      <c r="EN163" s="9"/>
      <c r="EO163" s="9"/>
      <c r="EP163" s="9"/>
      <c r="EQ163" s="9"/>
      <c r="ER163" s="9"/>
      <c r="ES163" s="9"/>
      <c r="ET163" s="9"/>
      <c r="EU163" s="9"/>
      <c r="EV163" s="9"/>
      <c r="EW163" s="9"/>
      <c r="EX163" s="9"/>
      <c r="EY163" s="9"/>
      <c r="EZ163" s="9"/>
      <c r="FA163" s="9"/>
      <c r="FB163" s="9"/>
      <c r="FC163" s="9"/>
      <c r="FD163" s="9"/>
      <c r="FE163" s="9"/>
      <c r="FF163" s="9"/>
      <c r="FG163" s="9"/>
      <c r="FH163" s="9"/>
      <c r="FI163" s="9"/>
      <c r="FJ163" s="9"/>
      <c r="FK163" s="9"/>
      <c r="FL163" s="9"/>
      <c r="FM163" s="9"/>
      <c r="FN163" s="9"/>
      <c r="FO163" s="9"/>
      <c r="FP163" s="9"/>
      <c r="FQ163" s="9"/>
      <c r="FR163" s="9"/>
      <c r="FS163" s="9"/>
      <c r="FT163" s="9"/>
      <c r="FU163" s="9"/>
      <c r="FV163" s="9"/>
      <c r="FW163" s="9"/>
      <c r="FX163" s="9"/>
      <c r="FY163" s="9"/>
      <c r="FZ163" s="9"/>
      <c r="GA163" s="9"/>
      <c r="GB163" s="9"/>
      <c r="GC163" s="9"/>
      <c r="GD163" s="9"/>
      <c r="GE163" s="9"/>
      <c r="GF163" s="9"/>
      <c r="GG163" s="9"/>
      <c r="GH163" s="9"/>
      <c r="GI163" s="9"/>
      <c r="GJ163" s="9"/>
      <c r="GK163" s="9"/>
      <c r="GL163" s="9"/>
      <c r="GM163" s="9"/>
      <c r="GN163" s="9"/>
      <c r="GO163" s="9"/>
      <c r="GP163" s="9"/>
      <c r="GQ163" s="9"/>
      <c r="GR163" s="9"/>
      <c r="GS163" s="9"/>
      <c r="GT163" s="9"/>
      <c r="GU163" s="9"/>
      <c r="GV163" s="9"/>
      <c r="GW163" s="9"/>
      <c r="GX163" s="9"/>
      <c r="GY163" s="9"/>
      <c r="GZ163" s="9"/>
      <c r="HA163" s="9"/>
      <c r="HB163" s="9"/>
      <c r="HC163" s="9"/>
      <c r="HD163" s="9"/>
      <c r="HE163" s="9"/>
      <c r="HF163" s="9"/>
      <c r="HG163" s="9"/>
      <c r="HH163" s="9"/>
      <c r="HI163" s="9"/>
      <c r="HJ163" s="9"/>
      <c r="HK163" s="9"/>
      <c r="HR163" t="s">
        <v>21</v>
      </c>
      <c r="HT163" s="4" t="s">
        <v>20</v>
      </c>
      <c r="HU163" s="58">
        <v>34335</v>
      </c>
      <c r="HV163" s="58">
        <v>36160</v>
      </c>
      <c r="HW163" s="58"/>
      <c r="HX163" s="58"/>
      <c r="IP163" t="s">
        <v>42</v>
      </c>
      <c r="IQ163" s="13" t="s">
        <v>1227</v>
      </c>
      <c r="IT163">
        <v>1994</v>
      </c>
      <c r="IU163">
        <v>1994.2</v>
      </c>
      <c r="IV163" s="4" t="s">
        <v>18</v>
      </c>
      <c r="IW163" t="s">
        <v>38</v>
      </c>
      <c r="IX163" t="s">
        <v>19</v>
      </c>
      <c r="JB163">
        <v>0</v>
      </c>
      <c r="JC163">
        <v>0</v>
      </c>
      <c r="JD163">
        <v>0</v>
      </c>
      <c r="JE163">
        <v>0</v>
      </c>
      <c r="JF163">
        <v>0</v>
      </c>
      <c r="JG163">
        <v>0</v>
      </c>
      <c r="JH163">
        <v>0</v>
      </c>
      <c r="JI163">
        <v>0</v>
      </c>
      <c r="JJ163">
        <v>0</v>
      </c>
      <c r="JL163" s="12" t="s">
        <v>721</v>
      </c>
      <c r="JQ163" s="4"/>
      <c r="KG163" s="7" t="s">
        <v>12</v>
      </c>
      <c r="KK163" s="7" t="s">
        <v>720</v>
      </c>
      <c r="KL163" s="7"/>
      <c r="MZ163" t="s">
        <v>11</v>
      </c>
      <c r="NA163">
        <v>42</v>
      </c>
      <c r="NC163" s="4" t="s">
        <v>96</v>
      </c>
      <c r="NK163" t="s">
        <v>95</v>
      </c>
      <c r="NM163" s="4" t="s">
        <v>1156</v>
      </c>
      <c r="NN163" s="6" t="s">
        <v>7</v>
      </c>
      <c r="NW163" t="s">
        <v>6</v>
      </c>
      <c r="NX163" s="5" t="s">
        <v>105</v>
      </c>
      <c r="NY163" s="4" t="s">
        <v>4</v>
      </c>
      <c r="NZ163" s="3">
        <v>0.21330891398247021</v>
      </c>
      <c r="OC163">
        <v>4</v>
      </c>
      <c r="OT163" t="s">
        <v>102</v>
      </c>
      <c r="OV163">
        <v>1996</v>
      </c>
      <c r="OY163" s="2" t="s">
        <v>1</v>
      </c>
      <c r="PA163" t="s">
        <v>1169</v>
      </c>
      <c r="PB163" s="58">
        <v>46094</v>
      </c>
    </row>
    <row r="164" spans="1:418" ht="15.75" thickBot="1">
      <c r="A164" s="11" t="s">
        <v>36</v>
      </c>
      <c r="B164" t="s">
        <v>35</v>
      </c>
      <c r="C164" t="s">
        <v>34</v>
      </c>
      <c r="D164" s="4" t="s">
        <v>33</v>
      </c>
      <c r="E164" t="s">
        <v>32</v>
      </c>
      <c r="F164" s="4" t="s">
        <v>31</v>
      </c>
      <c r="G164" t="s">
        <v>2</v>
      </c>
      <c r="H164" t="s">
        <v>30</v>
      </c>
      <c r="I164" s="10">
        <v>0.1</v>
      </c>
      <c r="J164" s="10">
        <v>34.566667000000002</v>
      </c>
      <c r="K164" t="s">
        <v>29</v>
      </c>
      <c r="AV164" t="s">
        <v>28</v>
      </c>
      <c r="AW164">
        <v>100</v>
      </c>
      <c r="AX164" t="s">
        <v>29</v>
      </c>
      <c r="AY164">
        <v>4</v>
      </c>
      <c r="AZ164" t="s">
        <v>27</v>
      </c>
      <c r="BA164">
        <v>1994</v>
      </c>
      <c r="BB164">
        <v>1998</v>
      </c>
      <c r="BC164" t="s">
        <v>26</v>
      </c>
      <c r="BD164" t="s">
        <v>19</v>
      </c>
      <c r="BE164" s="10" t="s">
        <v>40</v>
      </c>
      <c r="BF164" t="s">
        <v>39</v>
      </c>
      <c r="BG164" s="3" t="s">
        <v>1233</v>
      </c>
      <c r="BH164" t="s">
        <v>23</v>
      </c>
      <c r="BI164" t="s">
        <v>750</v>
      </c>
      <c r="BJ164" s="4" t="s">
        <v>22</v>
      </c>
      <c r="BK164" s="9">
        <v>53000</v>
      </c>
      <c r="HR164" t="s">
        <v>21</v>
      </c>
      <c r="HT164" s="4" t="s">
        <v>20</v>
      </c>
      <c r="HU164" s="58">
        <v>34335</v>
      </c>
      <c r="HV164" s="58">
        <v>36160</v>
      </c>
      <c r="HW164" s="58"/>
      <c r="HX164" s="58"/>
      <c r="IP164" t="s">
        <v>38</v>
      </c>
      <c r="IQ164" s="54" t="s">
        <v>19</v>
      </c>
      <c r="IV164" s="4" t="s">
        <v>18</v>
      </c>
      <c r="IW164" t="s">
        <v>38</v>
      </c>
      <c r="IX164" s="54" t="s">
        <v>19</v>
      </c>
      <c r="JB164">
        <v>0</v>
      </c>
      <c r="JC164">
        <v>0</v>
      </c>
      <c r="JD164">
        <v>0</v>
      </c>
      <c r="JE164">
        <v>0</v>
      </c>
      <c r="JF164">
        <v>0</v>
      </c>
      <c r="JG164">
        <v>0</v>
      </c>
      <c r="JH164">
        <v>0</v>
      </c>
      <c r="JI164">
        <v>0</v>
      </c>
      <c r="JJ164">
        <v>0</v>
      </c>
      <c r="JL164" s="12" t="s">
        <v>721</v>
      </c>
      <c r="JQ164" s="4"/>
      <c r="KG164" s="7" t="s">
        <v>12</v>
      </c>
      <c r="KK164" s="7" t="s">
        <v>720</v>
      </c>
      <c r="KL164" s="7"/>
      <c r="MZ164" t="s">
        <v>11</v>
      </c>
      <c r="NA164">
        <v>42</v>
      </c>
      <c r="NC164" s="4" t="s">
        <v>96</v>
      </c>
      <c r="NK164" t="s">
        <v>95</v>
      </c>
      <c r="NM164" s="4" t="s">
        <v>1156</v>
      </c>
      <c r="NN164" s="6" t="s">
        <v>7</v>
      </c>
      <c r="NV164" t="s">
        <v>735</v>
      </c>
      <c r="NW164" t="s">
        <v>6</v>
      </c>
      <c r="NX164" s="5" t="s">
        <v>104</v>
      </c>
      <c r="NY164" s="4" t="s">
        <v>4</v>
      </c>
      <c r="NZ164" s="3">
        <v>8.5107321943770131E-2</v>
      </c>
      <c r="OC164">
        <v>4</v>
      </c>
      <c r="OT164" t="s">
        <v>102</v>
      </c>
      <c r="OV164">
        <v>1996</v>
      </c>
      <c r="OY164" s="2" t="s">
        <v>1</v>
      </c>
      <c r="PA164" t="s">
        <v>1169</v>
      </c>
      <c r="PB164" s="58">
        <v>46094</v>
      </c>
    </row>
    <row r="165" spans="1:418" ht="15.75" thickBot="1">
      <c r="A165" s="11" t="s">
        <v>36</v>
      </c>
      <c r="B165" t="s">
        <v>35</v>
      </c>
      <c r="C165" t="s">
        <v>34</v>
      </c>
      <c r="D165" s="4" t="s">
        <v>33</v>
      </c>
      <c r="E165" t="s">
        <v>32</v>
      </c>
      <c r="F165" s="4" t="s">
        <v>31</v>
      </c>
      <c r="G165" t="s">
        <v>2</v>
      </c>
      <c r="H165" t="s">
        <v>30</v>
      </c>
      <c r="I165" s="10">
        <v>0.1</v>
      </c>
      <c r="J165" s="10">
        <v>34.566667000000002</v>
      </c>
      <c r="K165" t="s">
        <v>29</v>
      </c>
      <c r="AV165" t="s">
        <v>28</v>
      </c>
      <c r="AW165">
        <v>100</v>
      </c>
      <c r="AX165" t="s">
        <v>29</v>
      </c>
      <c r="AY165">
        <v>4</v>
      </c>
      <c r="AZ165" t="s">
        <v>27</v>
      </c>
      <c r="BA165">
        <v>1994</v>
      </c>
      <c r="BB165">
        <v>1998</v>
      </c>
      <c r="BC165" t="s">
        <v>26</v>
      </c>
      <c r="BD165" t="s">
        <v>19</v>
      </c>
      <c r="BE165" s="10" t="s">
        <v>25</v>
      </c>
      <c r="BF165" t="s">
        <v>24</v>
      </c>
      <c r="BG165" s="3" t="s">
        <v>1233</v>
      </c>
      <c r="BH165" t="s">
        <v>23</v>
      </c>
      <c r="BI165" t="s">
        <v>750</v>
      </c>
      <c r="BJ165" s="4" t="s">
        <v>22</v>
      </c>
      <c r="BK165" s="9">
        <v>53000</v>
      </c>
      <c r="HR165" t="s">
        <v>21</v>
      </c>
      <c r="HT165" s="4" t="s">
        <v>20</v>
      </c>
      <c r="HU165" s="58">
        <v>34335</v>
      </c>
      <c r="HV165" s="58">
        <v>36160</v>
      </c>
      <c r="HW165" s="58"/>
      <c r="HX165" s="58"/>
      <c r="IP165" t="s">
        <v>16</v>
      </c>
      <c r="IQ165" s="54" t="s">
        <v>19</v>
      </c>
      <c r="IV165" s="4" t="s">
        <v>18</v>
      </c>
      <c r="IW165" t="s">
        <v>17</v>
      </c>
      <c r="IX165" s="54" t="s">
        <v>19</v>
      </c>
      <c r="JB165">
        <v>0</v>
      </c>
      <c r="JC165">
        <v>0</v>
      </c>
      <c r="JD165">
        <v>0</v>
      </c>
      <c r="JE165">
        <v>0</v>
      </c>
      <c r="JF165">
        <v>0</v>
      </c>
      <c r="JG165">
        <v>0</v>
      </c>
      <c r="JH165">
        <v>0</v>
      </c>
      <c r="JI165">
        <v>0</v>
      </c>
      <c r="JJ165">
        <v>0</v>
      </c>
      <c r="JK165" t="s">
        <v>16</v>
      </c>
      <c r="JL165" t="s">
        <v>15</v>
      </c>
      <c r="JM165" s="8" t="s">
        <v>14</v>
      </c>
      <c r="JQ165" s="4" t="s">
        <v>13</v>
      </c>
      <c r="JR165">
        <v>60</v>
      </c>
      <c r="JU165">
        <v>60</v>
      </c>
      <c r="KG165" s="7" t="s">
        <v>12</v>
      </c>
      <c r="KK165" s="7" t="s">
        <v>720</v>
      </c>
      <c r="KL165" s="7"/>
      <c r="MZ165" t="s">
        <v>11</v>
      </c>
      <c r="NA165">
        <v>42</v>
      </c>
      <c r="NC165" s="4" t="s">
        <v>96</v>
      </c>
      <c r="NK165" t="s">
        <v>95</v>
      </c>
      <c r="NM165" s="4" t="s">
        <v>1156</v>
      </c>
      <c r="NN165" s="6" t="s">
        <v>7</v>
      </c>
      <c r="NV165" t="s">
        <v>747</v>
      </c>
      <c r="NW165" t="s">
        <v>6</v>
      </c>
      <c r="NX165" s="5" t="s">
        <v>103</v>
      </c>
      <c r="NY165" s="4" t="s">
        <v>4</v>
      </c>
      <c r="NZ165" s="3">
        <v>0.12781544266508993</v>
      </c>
      <c r="OC165">
        <v>4</v>
      </c>
      <c r="OT165" t="s">
        <v>102</v>
      </c>
      <c r="OV165">
        <v>1996</v>
      </c>
      <c r="OY165" s="2" t="s">
        <v>1</v>
      </c>
      <c r="PA165" t="s">
        <v>1169</v>
      </c>
      <c r="PB165" s="58">
        <v>46094</v>
      </c>
    </row>
    <row r="166" spans="1:418" ht="15.75" thickBot="1">
      <c r="A166" s="11" t="s">
        <v>36</v>
      </c>
      <c r="B166" t="s">
        <v>35</v>
      </c>
      <c r="C166" t="s">
        <v>34</v>
      </c>
      <c r="D166" s="4" t="s">
        <v>33</v>
      </c>
      <c r="E166" t="s">
        <v>32</v>
      </c>
      <c r="F166" s="4" t="s">
        <v>31</v>
      </c>
      <c r="G166" t="s">
        <v>2</v>
      </c>
      <c r="H166" t="s">
        <v>30</v>
      </c>
      <c r="I166" s="10">
        <v>0.1</v>
      </c>
      <c r="J166" s="10">
        <v>34.566667000000002</v>
      </c>
      <c r="K166" t="s">
        <v>29</v>
      </c>
      <c r="AV166" t="s">
        <v>28</v>
      </c>
      <c r="AW166">
        <v>100</v>
      </c>
      <c r="AX166" t="s">
        <v>29</v>
      </c>
      <c r="AY166">
        <v>4</v>
      </c>
      <c r="AZ166" t="s">
        <v>27</v>
      </c>
      <c r="BA166">
        <v>1994</v>
      </c>
      <c r="BB166">
        <v>1998</v>
      </c>
      <c r="BC166" t="s">
        <v>26</v>
      </c>
      <c r="BD166" t="s">
        <v>59</v>
      </c>
      <c r="BE166" s="10" t="s">
        <v>65</v>
      </c>
      <c r="BF166" t="s">
        <v>64</v>
      </c>
      <c r="BG166" s="3" t="s">
        <v>1233</v>
      </c>
      <c r="BH166" t="s">
        <v>23</v>
      </c>
      <c r="BI166" t="s">
        <v>750</v>
      </c>
      <c r="BJ166" s="4" t="s">
        <v>22</v>
      </c>
      <c r="BK166" s="9">
        <v>53000</v>
      </c>
      <c r="EE166" t="s">
        <v>55</v>
      </c>
      <c r="EF166" s="4" t="s">
        <v>22</v>
      </c>
      <c r="EG166" s="9">
        <v>53000</v>
      </c>
      <c r="EH166" s="9"/>
      <c r="EI166" s="9"/>
      <c r="EJ166" s="9"/>
      <c r="EK166" s="9"/>
      <c r="EL166" s="9"/>
      <c r="EM166" s="9"/>
      <c r="EN166" s="9"/>
      <c r="EO166" s="9"/>
      <c r="EP166" s="9"/>
      <c r="EQ166" s="9"/>
      <c r="ER166" s="9"/>
      <c r="ES166" s="9"/>
      <c r="ET166" s="9"/>
      <c r="EU166" s="9"/>
      <c r="EV166" s="9"/>
      <c r="EW166" s="9"/>
      <c r="EX166" s="9"/>
      <c r="EY166" s="9"/>
      <c r="EZ166" s="9"/>
      <c r="FA166" s="9"/>
      <c r="FB166" s="9"/>
      <c r="FC166" s="9"/>
      <c r="FD166" s="9"/>
      <c r="FE166" s="9"/>
      <c r="FF166" s="9"/>
      <c r="FG166" s="9"/>
      <c r="FH166" s="9"/>
      <c r="FI166" s="9"/>
      <c r="FJ166" s="9"/>
      <c r="FK166" s="9"/>
      <c r="FL166" s="9"/>
      <c r="FM166" s="9"/>
      <c r="FN166" s="9"/>
      <c r="FO166" s="9"/>
      <c r="FP166" s="9"/>
      <c r="FQ166" s="9"/>
      <c r="FR166" s="9"/>
      <c r="FS166" s="9"/>
      <c r="FT166" s="9"/>
      <c r="FU166" s="9"/>
      <c r="FV166" s="9"/>
      <c r="FW166" s="9"/>
      <c r="FX166" s="9"/>
      <c r="FY166" s="9"/>
      <c r="FZ166" s="9"/>
      <c r="GA166" s="9"/>
      <c r="GB166" s="9"/>
      <c r="GC166" s="9"/>
      <c r="GD166" s="9"/>
      <c r="GE166" s="9"/>
      <c r="GF166" s="9"/>
      <c r="GG166" s="9"/>
      <c r="GH166" s="9"/>
      <c r="GI166" s="9"/>
      <c r="GJ166" s="9"/>
      <c r="GK166" s="9"/>
      <c r="GL166" s="9"/>
      <c r="GM166" s="9"/>
      <c r="GN166" s="9"/>
      <c r="GO166" s="9"/>
      <c r="GP166" s="9"/>
      <c r="GQ166" s="9"/>
      <c r="GR166" s="9"/>
      <c r="GS166" s="9"/>
      <c r="GT166" s="9"/>
      <c r="GU166" s="9"/>
      <c r="GV166" s="9"/>
      <c r="GW166" s="9"/>
      <c r="GX166" s="9"/>
      <c r="GY166" s="9"/>
      <c r="GZ166" s="9"/>
      <c r="HA166" s="9"/>
      <c r="HB166" s="9"/>
      <c r="HC166" s="9"/>
      <c r="HD166" s="9"/>
      <c r="HE166" s="9"/>
      <c r="HF166" s="9"/>
      <c r="HG166" s="9"/>
      <c r="HH166" s="9"/>
      <c r="HI166" s="9"/>
      <c r="HJ166" s="9"/>
      <c r="HK166" s="9"/>
      <c r="HR166" t="s">
        <v>21</v>
      </c>
      <c r="HT166" s="4" t="s">
        <v>20</v>
      </c>
      <c r="HU166" s="58">
        <v>34335</v>
      </c>
      <c r="HV166" s="58">
        <v>36160</v>
      </c>
      <c r="HW166" s="58"/>
      <c r="HX166" s="58"/>
      <c r="IO166" s="4"/>
      <c r="IP166" t="s">
        <v>63</v>
      </c>
      <c r="IQ166" s="12" t="s">
        <v>1718</v>
      </c>
      <c r="IT166">
        <v>1995</v>
      </c>
      <c r="IU166">
        <v>1995.2</v>
      </c>
      <c r="IV166" s="4" t="s">
        <v>18</v>
      </c>
      <c r="IW166" t="s">
        <v>61</v>
      </c>
      <c r="IX166" s="12" t="s">
        <v>52</v>
      </c>
      <c r="JA166">
        <v>0.5</v>
      </c>
      <c r="JB166" t="s">
        <v>29</v>
      </c>
      <c r="JC166" t="s">
        <v>29</v>
      </c>
      <c r="JD166" t="s">
        <v>29</v>
      </c>
      <c r="JE166" t="s">
        <v>29</v>
      </c>
      <c r="JF166" t="s">
        <v>29</v>
      </c>
      <c r="JG166" t="s">
        <v>29</v>
      </c>
      <c r="JH166" t="s">
        <v>29</v>
      </c>
      <c r="JI166" t="s">
        <v>29</v>
      </c>
      <c r="JJ166" t="s">
        <v>29</v>
      </c>
      <c r="JL166" s="12" t="s">
        <v>721</v>
      </c>
      <c r="JQ166" s="4"/>
      <c r="KG166" s="7" t="s">
        <v>12</v>
      </c>
      <c r="KK166" s="7" t="s">
        <v>719</v>
      </c>
      <c r="KL166" s="7" t="s">
        <v>51</v>
      </c>
      <c r="KN166" t="s">
        <v>29</v>
      </c>
      <c r="MZ166" t="s">
        <v>11</v>
      </c>
      <c r="NA166">
        <v>42</v>
      </c>
      <c r="NC166" s="4" t="s">
        <v>96</v>
      </c>
      <c r="NK166" t="s">
        <v>95</v>
      </c>
      <c r="NM166" s="4" t="s">
        <v>1156</v>
      </c>
      <c r="NN166" s="6" t="s">
        <v>7</v>
      </c>
      <c r="NW166" t="s">
        <v>6</v>
      </c>
      <c r="NX166" s="5" t="s">
        <v>101</v>
      </c>
      <c r="NY166" s="4" t="s">
        <v>4</v>
      </c>
      <c r="NZ166" s="3">
        <v>0.16982849451392013</v>
      </c>
      <c r="OC166">
        <v>4</v>
      </c>
      <c r="OT166" t="s">
        <v>93</v>
      </c>
      <c r="OV166">
        <v>1997</v>
      </c>
      <c r="OY166" s="2" t="s">
        <v>1</v>
      </c>
      <c r="PA166" t="s">
        <v>1169</v>
      </c>
      <c r="PB166" s="58">
        <v>46094</v>
      </c>
    </row>
    <row r="167" spans="1:418" ht="15.75" thickBot="1">
      <c r="A167" s="11" t="s">
        <v>36</v>
      </c>
      <c r="B167" t="s">
        <v>35</v>
      </c>
      <c r="C167" t="s">
        <v>34</v>
      </c>
      <c r="D167" s="4" t="s">
        <v>33</v>
      </c>
      <c r="E167" t="s">
        <v>32</v>
      </c>
      <c r="F167" s="4" t="s">
        <v>31</v>
      </c>
      <c r="G167" t="s">
        <v>2</v>
      </c>
      <c r="H167" t="s">
        <v>30</v>
      </c>
      <c r="I167" s="10">
        <v>0.1</v>
      </c>
      <c r="J167" s="10">
        <v>34.566667000000002</v>
      </c>
      <c r="K167" t="s">
        <v>29</v>
      </c>
      <c r="AV167" t="s">
        <v>28</v>
      </c>
      <c r="AW167">
        <v>100</v>
      </c>
      <c r="AX167" t="s">
        <v>29</v>
      </c>
      <c r="AY167">
        <v>4</v>
      </c>
      <c r="AZ167" t="s">
        <v>27</v>
      </c>
      <c r="BA167">
        <v>1994</v>
      </c>
      <c r="BB167">
        <v>1998</v>
      </c>
      <c r="BC167" t="s">
        <v>26</v>
      </c>
      <c r="BD167" t="s">
        <v>59</v>
      </c>
      <c r="BE167" s="10" t="s">
        <v>58</v>
      </c>
      <c r="BF167" t="s">
        <v>57</v>
      </c>
      <c r="BG167" s="3" t="s">
        <v>1233</v>
      </c>
      <c r="BH167" t="s">
        <v>23</v>
      </c>
      <c r="BI167" t="s">
        <v>750</v>
      </c>
      <c r="BJ167" s="4" t="s">
        <v>22</v>
      </c>
      <c r="BK167" s="9">
        <v>53000</v>
      </c>
      <c r="EE167" t="s">
        <v>55</v>
      </c>
      <c r="EF167" s="4" t="s">
        <v>22</v>
      </c>
      <c r="EG167" s="9">
        <v>53000</v>
      </c>
      <c r="EH167" s="9"/>
      <c r="EI167" s="9"/>
      <c r="EJ167" s="9"/>
      <c r="EK167" s="9"/>
      <c r="EL167" s="9"/>
      <c r="EM167" s="9"/>
      <c r="EN167" s="9"/>
      <c r="EO167" s="9"/>
      <c r="EP167" s="9"/>
      <c r="EQ167" s="9"/>
      <c r="ER167" s="9"/>
      <c r="ES167" s="9"/>
      <c r="ET167" s="9"/>
      <c r="EU167" s="9"/>
      <c r="EV167" s="9"/>
      <c r="EW167" s="9"/>
      <c r="EX167" s="9"/>
      <c r="EY167" s="9"/>
      <c r="EZ167" s="9"/>
      <c r="FA167" s="9"/>
      <c r="FB167" s="9"/>
      <c r="FC167" s="9"/>
      <c r="FD167" s="9"/>
      <c r="FE167" s="9"/>
      <c r="FF167" s="9"/>
      <c r="FG167" s="9"/>
      <c r="FH167" s="9"/>
      <c r="FI167" s="9"/>
      <c r="FJ167" s="9"/>
      <c r="FK167" s="9"/>
      <c r="FL167" s="9"/>
      <c r="FM167" s="9"/>
      <c r="FN167" s="9"/>
      <c r="FO167" s="9"/>
      <c r="FP167" s="9"/>
      <c r="FQ167" s="9"/>
      <c r="FR167" s="9"/>
      <c r="FS167" s="9"/>
      <c r="FT167" s="9"/>
      <c r="FU167" s="9"/>
      <c r="FV167" s="9"/>
      <c r="FW167" s="9"/>
      <c r="FX167" s="9"/>
      <c r="FY167" s="9"/>
      <c r="FZ167" s="9"/>
      <c r="GA167" s="9"/>
      <c r="GB167" s="9"/>
      <c r="GC167" s="9"/>
      <c r="GD167" s="9"/>
      <c r="GE167" s="9"/>
      <c r="GF167" s="9"/>
      <c r="GG167" s="9"/>
      <c r="GH167" s="9"/>
      <c r="GI167" s="9"/>
      <c r="GJ167" s="9"/>
      <c r="GK167" s="9"/>
      <c r="GL167" s="9"/>
      <c r="GM167" s="9"/>
      <c r="GN167" s="9"/>
      <c r="GO167" s="9"/>
      <c r="GP167" s="9"/>
      <c r="GQ167" s="9"/>
      <c r="GR167" s="9"/>
      <c r="GS167" s="9"/>
      <c r="GT167" s="9"/>
      <c r="GU167" s="9"/>
      <c r="GV167" s="9"/>
      <c r="GW167" s="9"/>
      <c r="GX167" s="9"/>
      <c r="GY167" s="9"/>
      <c r="GZ167" s="9"/>
      <c r="HA167" s="9"/>
      <c r="HB167" s="9"/>
      <c r="HC167" s="9"/>
      <c r="HD167" s="9"/>
      <c r="HE167" s="9"/>
      <c r="HF167" s="9"/>
      <c r="HG167" s="9"/>
      <c r="HH167" s="9"/>
      <c r="HI167" s="9"/>
      <c r="HJ167" s="9"/>
      <c r="HK167" s="9"/>
      <c r="HR167" t="s">
        <v>21</v>
      </c>
      <c r="HT167" s="4" t="s">
        <v>20</v>
      </c>
      <c r="HU167" s="58">
        <v>34335</v>
      </c>
      <c r="HV167" s="58">
        <v>36160</v>
      </c>
      <c r="HW167" s="58"/>
      <c r="HX167" s="58"/>
      <c r="IO167" s="4"/>
      <c r="IP167" t="s">
        <v>54</v>
      </c>
      <c r="IQ167" s="12" t="s">
        <v>1719</v>
      </c>
      <c r="IT167">
        <v>1994</v>
      </c>
      <c r="IU167">
        <v>1994.2</v>
      </c>
      <c r="IV167" s="4" t="s">
        <v>18</v>
      </c>
      <c r="IW167" t="s">
        <v>53</v>
      </c>
      <c r="IX167" s="12" t="s">
        <v>52</v>
      </c>
      <c r="JA167">
        <v>0.5</v>
      </c>
      <c r="JB167" t="s">
        <v>29</v>
      </c>
      <c r="JC167" t="s">
        <v>29</v>
      </c>
      <c r="JD167" t="s">
        <v>29</v>
      </c>
      <c r="JE167" t="s">
        <v>29</v>
      </c>
      <c r="JF167" t="s">
        <v>29</v>
      </c>
      <c r="JG167" t="s">
        <v>29</v>
      </c>
      <c r="JH167" t="s">
        <v>29</v>
      </c>
      <c r="JI167" t="s">
        <v>29</v>
      </c>
      <c r="JJ167" t="s">
        <v>29</v>
      </c>
      <c r="JL167" s="12" t="s">
        <v>721</v>
      </c>
      <c r="JQ167" s="4"/>
      <c r="KG167" s="7" t="s">
        <v>12</v>
      </c>
      <c r="KK167" s="7" t="s">
        <v>719</v>
      </c>
      <c r="KL167" s="7" t="s">
        <v>51</v>
      </c>
      <c r="KN167" t="s">
        <v>29</v>
      </c>
      <c r="MZ167" t="s">
        <v>11</v>
      </c>
      <c r="NA167">
        <v>42</v>
      </c>
      <c r="NC167" s="4" t="s">
        <v>96</v>
      </c>
      <c r="NK167" t="s">
        <v>95</v>
      </c>
      <c r="NM167" s="4" t="s">
        <v>1156</v>
      </c>
      <c r="NN167" s="6" t="s">
        <v>7</v>
      </c>
      <c r="NW167" t="s">
        <v>6</v>
      </c>
      <c r="NX167" s="5" t="s">
        <v>100</v>
      </c>
      <c r="NY167" s="4" t="s">
        <v>4</v>
      </c>
      <c r="NZ167" s="3">
        <v>8.5030092069049878E-2</v>
      </c>
      <c r="OC167">
        <v>4</v>
      </c>
      <c r="OT167" t="s">
        <v>93</v>
      </c>
      <c r="OV167">
        <v>1997</v>
      </c>
      <c r="OY167" s="2" t="s">
        <v>1</v>
      </c>
      <c r="PA167" t="s">
        <v>1169</v>
      </c>
      <c r="PB167" s="58">
        <v>46094</v>
      </c>
    </row>
    <row r="168" spans="1:418" ht="15.75" thickBot="1">
      <c r="A168" s="11" t="s">
        <v>36</v>
      </c>
      <c r="B168" t="s">
        <v>35</v>
      </c>
      <c r="C168" t="s">
        <v>34</v>
      </c>
      <c r="D168" s="4" t="s">
        <v>33</v>
      </c>
      <c r="E168" t="s">
        <v>32</v>
      </c>
      <c r="F168" s="4" t="s">
        <v>31</v>
      </c>
      <c r="G168" t="s">
        <v>2</v>
      </c>
      <c r="H168" t="s">
        <v>30</v>
      </c>
      <c r="I168" s="10">
        <v>0.1</v>
      </c>
      <c r="J168" s="10">
        <v>34.566667000000002</v>
      </c>
      <c r="K168" t="s">
        <v>29</v>
      </c>
      <c r="AV168" t="s">
        <v>28</v>
      </c>
      <c r="AW168">
        <v>100</v>
      </c>
      <c r="AX168" t="s">
        <v>29</v>
      </c>
      <c r="AY168">
        <v>4</v>
      </c>
      <c r="AZ168" t="s">
        <v>27</v>
      </c>
      <c r="BA168">
        <v>1994</v>
      </c>
      <c r="BB168">
        <v>1998</v>
      </c>
      <c r="BC168" t="s">
        <v>26</v>
      </c>
      <c r="BD168" t="s">
        <v>45</v>
      </c>
      <c r="BE168" s="10" t="s">
        <v>49</v>
      </c>
      <c r="BF168" t="s">
        <v>48</v>
      </c>
      <c r="BG168" s="3" t="s">
        <v>1233</v>
      </c>
      <c r="BH168" t="s">
        <v>23</v>
      </c>
      <c r="BI168" t="s">
        <v>750</v>
      </c>
      <c r="BJ168" s="4" t="s">
        <v>22</v>
      </c>
      <c r="BK168" s="9">
        <v>53000</v>
      </c>
      <c r="EF168" s="4"/>
      <c r="EG168" s="9"/>
      <c r="EH168" s="9"/>
      <c r="EI168" s="9"/>
      <c r="EJ168" s="9"/>
      <c r="EK168" s="9"/>
      <c r="EL168" s="9"/>
      <c r="EM168" s="9"/>
      <c r="EN168" s="9"/>
      <c r="EO168" s="9"/>
      <c r="EP168" s="9"/>
      <c r="EQ168" s="9"/>
      <c r="ER168" s="9"/>
      <c r="ES168" s="9"/>
      <c r="ET168" s="9"/>
      <c r="EU168" s="9"/>
      <c r="EV168" s="9"/>
      <c r="EW168" s="9"/>
      <c r="EX168" s="9"/>
      <c r="EY168" s="9"/>
      <c r="EZ168" s="9"/>
      <c r="FA168" s="9"/>
      <c r="FB168" s="9"/>
      <c r="FC168" s="9"/>
      <c r="FD168" s="9"/>
      <c r="FE168" s="9"/>
      <c r="FF168" s="9"/>
      <c r="FG168" s="9"/>
      <c r="FH168" s="9"/>
      <c r="FI168" s="9"/>
      <c r="FJ168" s="9"/>
      <c r="FK168" s="9"/>
      <c r="FL168" s="9"/>
      <c r="FM168" s="9"/>
      <c r="FN168" s="9"/>
      <c r="FO168" s="9"/>
      <c r="FP168" s="9"/>
      <c r="FQ168" s="9"/>
      <c r="FR168" s="9"/>
      <c r="FS168" s="9"/>
      <c r="FT168" s="9"/>
      <c r="FU168" s="9"/>
      <c r="FV168" s="9"/>
      <c r="FW168" s="9"/>
      <c r="FX168" s="9"/>
      <c r="FY168" s="9"/>
      <c r="FZ168" s="9"/>
      <c r="GA168" s="9"/>
      <c r="GB168" s="9"/>
      <c r="GC168" s="9"/>
      <c r="GD168" s="9"/>
      <c r="GE168" s="9"/>
      <c r="GF168" s="9"/>
      <c r="GG168" s="9"/>
      <c r="GH168" s="9"/>
      <c r="GI168" s="9"/>
      <c r="GJ168" s="9"/>
      <c r="GK168" s="9"/>
      <c r="GL168" s="9"/>
      <c r="GM168" s="9"/>
      <c r="GN168" s="9"/>
      <c r="GO168" s="9"/>
      <c r="GP168" s="9"/>
      <c r="GQ168" s="9"/>
      <c r="GR168" s="9"/>
      <c r="GS168" s="9"/>
      <c r="GT168" s="9"/>
      <c r="GU168" s="9"/>
      <c r="GV168" s="9"/>
      <c r="GW168" s="9"/>
      <c r="GX168" s="9"/>
      <c r="GY168" s="9"/>
      <c r="GZ168" s="9"/>
      <c r="HA168" s="9"/>
      <c r="HB168" s="9"/>
      <c r="HC168" s="9"/>
      <c r="HD168" s="9"/>
      <c r="HE168" s="9"/>
      <c r="HF168" s="9"/>
      <c r="HG168" s="9"/>
      <c r="HH168" s="9"/>
      <c r="HI168" s="9"/>
      <c r="HJ168" s="9"/>
      <c r="HK168" s="9"/>
      <c r="HR168" t="s">
        <v>21</v>
      </c>
      <c r="HT168" s="4" t="s">
        <v>20</v>
      </c>
      <c r="HU168" s="58">
        <v>34335</v>
      </c>
      <c r="HV168" s="58">
        <v>36160</v>
      </c>
      <c r="HW168" s="58"/>
      <c r="HX168" s="58"/>
      <c r="IP168" t="s">
        <v>47</v>
      </c>
      <c r="IQ168" s="54" t="s">
        <v>1226</v>
      </c>
      <c r="IT168">
        <v>1995</v>
      </c>
      <c r="IU168">
        <v>1995.2</v>
      </c>
      <c r="IV168" s="4" t="s">
        <v>18</v>
      </c>
      <c r="IW168" t="s">
        <v>38</v>
      </c>
      <c r="IX168" t="s">
        <v>19</v>
      </c>
      <c r="JB168">
        <v>0</v>
      </c>
      <c r="JC168">
        <v>0</v>
      </c>
      <c r="JD168">
        <v>0</v>
      </c>
      <c r="JE168">
        <v>0</v>
      </c>
      <c r="JF168">
        <v>0</v>
      </c>
      <c r="JG168">
        <v>0</v>
      </c>
      <c r="JH168">
        <v>0</v>
      </c>
      <c r="JI168">
        <v>0</v>
      </c>
      <c r="JJ168">
        <v>0</v>
      </c>
      <c r="JL168" s="12" t="s">
        <v>721</v>
      </c>
      <c r="JQ168" s="4"/>
      <c r="KG168" s="7" t="s">
        <v>12</v>
      </c>
      <c r="KK168" s="7" t="s">
        <v>720</v>
      </c>
      <c r="KL168" s="7"/>
      <c r="MZ168" t="s">
        <v>11</v>
      </c>
      <c r="NA168">
        <v>42</v>
      </c>
      <c r="NC168" s="4" t="s">
        <v>96</v>
      </c>
      <c r="NK168" t="s">
        <v>95</v>
      </c>
      <c r="NM168" s="4" t="s">
        <v>1156</v>
      </c>
      <c r="NN168" s="6" t="s">
        <v>7</v>
      </c>
      <c r="NW168" t="s">
        <v>6</v>
      </c>
      <c r="NX168" s="5" t="s">
        <v>99</v>
      </c>
      <c r="NY168" s="4" t="s">
        <v>4</v>
      </c>
      <c r="NZ168" s="3">
        <v>0.1487833536521499</v>
      </c>
      <c r="OC168">
        <v>4</v>
      </c>
      <c r="OT168" t="s">
        <v>93</v>
      </c>
      <c r="OV168">
        <v>1997</v>
      </c>
      <c r="OY168" s="2" t="s">
        <v>1</v>
      </c>
      <c r="PA168" t="s">
        <v>1169</v>
      </c>
      <c r="PB168" s="58">
        <v>46094</v>
      </c>
    </row>
    <row r="169" spans="1:418" ht="15.75" thickBot="1">
      <c r="A169" s="11" t="s">
        <v>36</v>
      </c>
      <c r="B169" t="s">
        <v>35</v>
      </c>
      <c r="C169" t="s">
        <v>34</v>
      </c>
      <c r="D169" s="4" t="s">
        <v>33</v>
      </c>
      <c r="E169" t="s">
        <v>32</v>
      </c>
      <c r="F169" s="4" t="s">
        <v>31</v>
      </c>
      <c r="G169" t="s">
        <v>2</v>
      </c>
      <c r="H169" t="s">
        <v>30</v>
      </c>
      <c r="I169" s="10">
        <v>0.1</v>
      </c>
      <c r="J169" s="10">
        <v>34.566667000000002</v>
      </c>
      <c r="K169" t="s">
        <v>29</v>
      </c>
      <c r="AV169" t="s">
        <v>28</v>
      </c>
      <c r="AW169">
        <v>100</v>
      </c>
      <c r="AX169" t="s">
        <v>29</v>
      </c>
      <c r="AY169">
        <v>4</v>
      </c>
      <c r="AZ169" t="s">
        <v>27</v>
      </c>
      <c r="BA169">
        <v>1994</v>
      </c>
      <c r="BB169">
        <v>1998</v>
      </c>
      <c r="BC169" t="s">
        <v>26</v>
      </c>
      <c r="BD169" t="s">
        <v>45</v>
      </c>
      <c r="BE169" s="10" t="s">
        <v>44</v>
      </c>
      <c r="BF169" t="s">
        <v>43</v>
      </c>
      <c r="BG169" s="3" t="s">
        <v>1233</v>
      </c>
      <c r="BH169" t="s">
        <v>23</v>
      </c>
      <c r="BI169" t="s">
        <v>750</v>
      </c>
      <c r="BJ169" s="4" t="s">
        <v>22</v>
      </c>
      <c r="BK169" s="9">
        <v>53000</v>
      </c>
      <c r="EF169" s="4"/>
      <c r="EG169" s="9"/>
      <c r="EH169" s="9"/>
      <c r="EI169" s="9"/>
      <c r="EJ169" s="9"/>
      <c r="EK169" s="9"/>
      <c r="EL169" s="9"/>
      <c r="EM169" s="9"/>
      <c r="EN169" s="9"/>
      <c r="EO169" s="9"/>
      <c r="EP169" s="9"/>
      <c r="EQ169" s="9"/>
      <c r="ER169" s="9"/>
      <c r="ES169" s="9"/>
      <c r="ET169" s="9"/>
      <c r="EU169" s="9"/>
      <c r="EV169" s="9"/>
      <c r="EW169" s="9"/>
      <c r="EX169" s="9"/>
      <c r="EY169" s="9"/>
      <c r="EZ169" s="9"/>
      <c r="FA169" s="9"/>
      <c r="FB169" s="9"/>
      <c r="FC169" s="9"/>
      <c r="FD169" s="9"/>
      <c r="FE169" s="9"/>
      <c r="FF169" s="9"/>
      <c r="FG169" s="9"/>
      <c r="FH169" s="9"/>
      <c r="FI169" s="9"/>
      <c r="FJ169" s="9"/>
      <c r="FK169" s="9"/>
      <c r="FL169" s="9"/>
      <c r="FM169" s="9"/>
      <c r="FN169" s="9"/>
      <c r="FO169" s="9"/>
      <c r="FP169" s="9"/>
      <c r="FQ169" s="9"/>
      <c r="FR169" s="9"/>
      <c r="FS169" s="9"/>
      <c r="FT169" s="9"/>
      <c r="FU169" s="9"/>
      <c r="FV169" s="9"/>
      <c r="FW169" s="9"/>
      <c r="FX169" s="9"/>
      <c r="FY169" s="9"/>
      <c r="FZ169" s="9"/>
      <c r="GA169" s="9"/>
      <c r="GB169" s="9"/>
      <c r="GC169" s="9"/>
      <c r="GD169" s="9"/>
      <c r="GE169" s="9"/>
      <c r="GF169" s="9"/>
      <c r="GG169" s="9"/>
      <c r="GH169" s="9"/>
      <c r="GI169" s="9"/>
      <c r="GJ169" s="9"/>
      <c r="GK169" s="9"/>
      <c r="GL169" s="9"/>
      <c r="GM169" s="9"/>
      <c r="GN169" s="9"/>
      <c r="GO169" s="9"/>
      <c r="GP169" s="9"/>
      <c r="GQ169" s="9"/>
      <c r="GR169" s="9"/>
      <c r="GS169" s="9"/>
      <c r="GT169" s="9"/>
      <c r="GU169" s="9"/>
      <c r="GV169" s="9"/>
      <c r="GW169" s="9"/>
      <c r="GX169" s="9"/>
      <c r="GY169" s="9"/>
      <c r="GZ169" s="9"/>
      <c r="HA169" s="9"/>
      <c r="HB169" s="9"/>
      <c r="HC169" s="9"/>
      <c r="HD169" s="9"/>
      <c r="HE169" s="9"/>
      <c r="HF169" s="9"/>
      <c r="HG169" s="9"/>
      <c r="HH169" s="9"/>
      <c r="HI169" s="9"/>
      <c r="HJ169" s="9"/>
      <c r="HK169" s="9"/>
      <c r="HR169" t="s">
        <v>21</v>
      </c>
      <c r="HT169" s="4" t="s">
        <v>20</v>
      </c>
      <c r="HU169" s="58">
        <v>34335</v>
      </c>
      <c r="HV169" s="58">
        <v>36160</v>
      </c>
      <c r="HW169" s="58"/>
      <c r="HX169" s="58"/>
      <c r="IP169" t="s">
        <v>42</v>
      </c>
      <c r="IQ169" s="13" t="s">
        <v>1227</v>
      </c>
      <c r="IT169">
        <v>1994</v>
      </c>
      <c r="IU169">
        <v>1994.2</v>
      </c>
      <c r="IV169" s="4" t="s">
        <v>18</v>
      </c>
      <c r="IW169" t="s">
        <v>38</v>
      </c>
      <c r="IX169" t="s">
        <v>19</v>
      </c>
      <c r="JB169">
        <v>0</v>
      </c>
      <c r="JC169">
        <v>0</v>
      </c>
      <c r="JD169">
        <v>0</v>
      </c>
      <c r="JE169">
        <v>0</v>
      </c>
      <c r="JF169">
        <v>0</v>
      </c>
      <c r="JG169">
        <v>0</v>
      </c>
      <c r="JH169">
        <v>0</v>
      </c>
      <c r="JI169">
        <v>0</v>
      </c>
      <c r="JJ169">
        <v>0</v>
      </c>
      <c r="JL169" s="12" t="s">
        <v>721</v>
      </c>
      <c r="JQ169" s="4"/>
      <c r="KG169" s="7" t="s">
        <v>12</v>
      </c>
      <c r="KK169" s="7" t="s">
        <v>720</v>
      </c>
      <c r="KL169" s="7"/>
      <c r="MZ169" t="s">
        <v>11</v>
      </c>
      <c r="NA169">
        <v>42</v>
      </c>
      <c r="NC169" s="4" t="s">
        <v>96</v>
      </c>
      <c r="NK169" t="s">
        <v>95</v>
      </c>
      <c r="NM169" s="4" t="s">
        <v>1156</v>
      </c>
      <c r="NN169" s="6" t="s">
        <v>7</v>
      </c>
      <c r="NW169" t="s">
        <v>6</v>
      </c>
      <c r="NX169" s="5" t="s">
        <v>98</v>
      </c>
      <c r="NY169" s="4" t="s">
        <v>4</v>
      </c>
      <c r="NZ169" s="3">
        <v>0.16990572438863993</v>
      </c>
      <c r="OC169">
        <v>4</v>
      </c>
      <c r="OT169" t="s">
        <v>93</v>
      </c>
      <c r="OV169">
        <v>1997</v>
      </c>
      <c r="OY169" s="2" t="s">
        <v>1</v>
      </c>
      <c r="PA169" t="s">
        <v>1169</v>
      </c>
      <c r="PB169" s="58">
        <v>46094</v>
      </c>
    </row>
    <row r="170" spans="1:418" ht="15.75" thickBot="1">
      <c r="A170" s="11" t="s">
        <v>36</v>
      </c>
      <c r="B170" t="s">
        <v>35</v>
      </c>
      <c r="C170" t="s">
        <v>34</v>
      </c>
      <c r="D170" s="4" t="s">
        <v>33</v>
      </c>
      <c r="E170" t="s">
        <v>32</v>
      </c>
      <c r="F170" s="4" t="s">
        <v>31</v>
      </c>
      <c r="G170" t="s">
        <v>2</v>
      </c>
      <c r="H170" t="s">
        <v>30</v>
      </c>
      <c r="I170" s="10">
        <v>0.1</v>
      </c>
      <c r="J170" s="10">
        <v>34.566667000000002</v>
      </c>
      <c r="K170" t="s">
        <v>29</v>
      </c>
      <c r="AV170" t="s">
        <v>28</v>
      </c>
      <c r="AW170">
        <v>100</v>
      </c>
      <c r="AX170" t="s">
        <v>29</v>
      </c>
      <c r="AY170">
        <v>4</v>
      </c>
      <c r="AZ170" t="s">
        <v>27</v>
      </c>
      <c r="BA170">
        <v>1994</v>
      </c>
      <c r="BB170">
        <v>1998</v>
      </c>
      <c r="BC170" t="s">
        <v>26</v>
      </c>
      <c r="BD170" t="s">
        <v>19</v>
      </c>
      <c r="BE170" s="10" t="s">
        <v>40</v>
      </c>
      <c r="BF170" t="s">
        <v>39</v>
      </c>
      <c r="BG170" s="3" t="s">
        <v>1233</v>
      </c>
      <c r="BH170" t="s">
        <v>23</v>
      </c>
      <c r="BI170" t="s">
        <v>750</v>
      </c>
      <c r="BJ170" s="4" t="s">
        <v>22</v>
      </c>
      <c r="BK170" s="9">
        <v>53000</v>
      </c>
      <c r="HR170" t="s">
        <v>21</v>
      </c>
      <c r="HT170" s="4" t="s">
        <v>20</v>
      </c>
      <c r="HU170" s="58">
        <v>34335</v>
      </c>
      <c r="HV170" s="58">
        <v>36160</v>
      </c>
      <c r="HW170" s="58"/>
      <c r="HX170" s="58"/>
      <c r="IP170" t="s">
        <v>38</v>
      </c>
      <c r="IQ170" s="54" t="s">
        <v>19</v>
      </c>
      <c r="IV170" s="4" t="s">
        <v>18</v>
      </c>
      <c r="IW170" t="s">
        <v>38</v>
      </c>
      <c r="IX170" s="54" t="s">
        <v>19</v>
      </c>
      <c r="JB170">
        <v>0</v>
      </c>
      <c r="JC170">
        <v>0</v>
      </c>
      <c r="JD170">
        <v>0</v>
      </c>
      <c r="JE170">
        <v>0</v>
      </c>
      <c r="JF170">
        <v>0</v>
      </c>
      <c r="JG170">
        <v>0</v>
      </c>
      <c r="JH170">
        <v>0</v>
      </c>
      <c r="JI170">
        <v>0</v>
      </c>
      <c r="JJ170">
        <v>0</v>
      </c>
      <c r="JL170" s="12" t="s">
        <v>721</v>
      </c>
      <c r="JQ170" s="4"/>
      <c r="KG170" s="7" t="s">
        <v>12</v>
      </c>
      <c r="KK170" s="7" t="s">
        <v>720</v>
      </c>
      <c r="KL170" s="7"/>
      <c r="MZ170" t="s">
        <v>11</v>
      </c>
      <c r="NA170">
        <v>42</v>
      </c>
      <c r="NC170" s="4" t="s">
        <v>96</v>
      </c>
      <c r="NK170" t="s">
        <v>95</v>
      </c>
      <c r="NM170" s="4" t="s">
        <v>1156</v>
      </c>
      <c r="NN170" s="6" t="s">
        <v>7</v>
      </c>
      <c r="NV170" t="s">
        <v>735</v>
      </c>
      <c r="NW170" t="s">
        <v>6</v>
      </c>
      <c r="NX170" s="5" t="s">
        <v>97</v>
      </c>
      <c r="NY170" s="4" t="s">
        <v>4</v>
      </c>
      <c r="NZ170" s="3">
        <v>0.17006018413809021</v>
      </c>
      <c r="OC170">
        <v>4</v>
      </c>
      <c r="OT170" t="s">
        <v>93</v>
      </c>
      <c r="OV170">
        <v>1997</v>
      </c>
      <c r="OY170" s="2" t="s">
        <v>1</v>
      </c>
      <c r="PA170" t="s">
        <v>1169</v>
      </c>
      <c r="PB170" s="58">
        <v>46094</v>
      </c>
    </row>
    <row r="171" spans="1:418" ht="15.75" thickBot="1">
      <c r="A171" s="11" t="s">
        <v>36</v>
      </c>
      <c r="B171" t="s">
        <v>35</v>
      </c>
      <c r="C171" t="s">
        <v>34</v>
      </c>
      <c r="D171" s="4" t="s">
        <v>33</v>
      </c>
      <c r="E171" t="s">
        <v>32</v>
      </c>
      <c r="F171" s="4" t="s">
        <v>31</v>
      </c>
      <c r="G171" t="s">
        <v>2</v>
      </c>
      <c r="H171" t="s">
        <v>30</v>
      </c>
      <c r="I171" s="10">
        <v>0.1</v>
      </c>
      <c r="J171" s="10">
        <v>34.566667000000002</v>
      </c>
      <c r="K171" t="s">
        <v>29</v>
      </c>
      <c r="AV171" t="s">
        <v>28</v>
      </c>
      <c r="AW171">
        <v>100</v>
      </c>
      <c r="AX171" t="s">
        <v>29</v>
      </c>
      <c r="AY171">
        <v>4</v>
      </c>
      <c r="AZ171" t="s">
        <v>27</v>
      </c>
      <c r="BA171">
        <v>1994</v>
      </c>
      <c r="BB171">
        <v>1998</v>
      </c>
      <c r="BC171" t="s">
        <v>26</v>
      </c>
      <c r="BD171" t="s">
        <v>19</v>
      </c>
      <c r="BE171" s="10" t="s">
        <v>25</v>
      </c>
      <c r="BF171" t="s">
        <v>24</v>
      </c>
      <c r="BG171" s="3" t="s">
        <v>1233</v>
      </c>
      <c r="BH171" t="s">
        <v>23</v>
      </c>
      <c r="BI171" t="s">
        <v>750</v>
      </c>
      <c r="BJ171" s="4" t="s">
        <v>22</v>
      </c>
      <c r="BK171" s="9">
        <v>53000</v>
      </c>
      <c r="HR171" t="s">
        <v>21</v>
      </c>
      <c r="HT171" s="4" t="s">
        <v>20</v>
      </c>
      <c r="HU171" s="58">
        <v>34335</v>
      </c>
      <c r="HV171" s="58">
        <v>36160</v>
      </c>
      <c r="HW171" s="58"/>
      <c r="HX171" s="58"/>
      <c r="IP171" t="s">
        <v>16</v>
      </c>
      <c r="IQ171" s="54" t="s">
        <v>19</v>
      </c>
      <c r="IV171" s="4" t="s">
        <v>18</v>
      </c>
      <c r="IW171" t="s">
        <v>17</v>
      </c>
      <c r="IX171" s="54" t="s">
        <v>19</v>
      </c>
      <c r="JB171">
        <v>0</v>
      </c>
      <c r="JC171">
        <v>0</v>
      </c>
      <c r="JD171">
        <v>0</v>
      </c>
      <c r="JE171">
        <v>0</v>
      </c>
      <c r="JF171">
        <v>0</v>
      </c>
      <c r="JG171">
        <v>0</v>
      </c>
      <c r="JH171">
        <v>0</v>
      </c>
      <c r="JI171">
        <v>0</v>
      </c>
      <c r="JJ171">
        <v>0</v>
      </c>
      <c r="JK171" t="s">
        <v>16</v>
      </c>
      <c r="JL171" t="s">
        <v>15</v>
      </c>
      <c r="JM171" s="8" t="s">
        <v>14</v>
      </c>
      <c r="JQ171" s="4" t="s">
        <v>13</v>
      </c>
      <c r="JR171">
        <v>60</v>
      </c>
      <c r="JU171">
        <v>60</v>
      </c>
      <c r="KG171" s="7" t="s">
        <v>12</v>
      </c>
      <c r="KK171" s="7" t="s">
        <v>720</v>
      </c>
      <c r="KL171" s="7"/>
      <c r="MZ171" t="s">
        <v>11</v>
      </c>
      <c r="NA171">
        <v>42</v>
      </c>
      <c r="NC171" s="4" t="s">
        <v>96</v>
      </c>
      <c r="NK171" t="s">
        <v>95</v>
      </c>
      <c r="NM171" s="4" t="s">
        <v>1156</v>
      </c>
      <c r="NN171" s="6" t="s">
        <v>7</v>
      </c>
      <c r="NV171" t="s">
        <v>747</v>
      </c>
      <c r="NW171" t="s">
        <v>6</v>
      </c>
      <c r="NX171" s="5" t="s">
        <v>94</v>
      </c>
      <c r="NY171" s="4" t="s">
        <v>4</v>
      </c>
      <c r="NZ171" s="3">
        <v>0.17006018413808999</v>
      </c>
      <c r="OC171">
        <v>4</v>
      </c>
      <c r="OT171" t="s">
        <v>93</v>
      </c>
      <c r="OV171">
        <v>1997</v>
      </c>
      <c r="OY171" s="2" t="s">
        <v>1</v>
      </c>
      <c r="PA171" t="s">
        <v>1169</v>
      </c>
      <c r="PB171" s="58">
        <v>46094</v>
      </c>
    </row>
    <row r="172" spans="1:418" ht="15.75" thickBot="1">
      <c r="A172" s="11" t="s">
        <v>36</v>
      </c>
      <c r="B172" t="s">
        <v>35</v>
      </c>
      <c r="C172" t="s">
        <v>34</v>
      </c>
      <c r="D172" s="4" t="s">
        <v>33</v>
      </c>
      <c r="E172" t="s">
        <v>32</v>
      </c>
      <c r="F172" s="4" t="s">
        <v>31</v>
      </c>
      <c r="G172" t="s">
        <v>2</v>
      </c>
      <c r="H172" t="s">
        <v>30</v>
      </c>
      <c r="I172" s="10">
        <v>0.1</v>
      </c>
      <c r="J172" s="10">
        <v>34.566667000000002</v>
      </c>
      <c r="K172" t="s">
        <v>29</v>
      </c>
      <c r="AV172" t="s">
        <v>28</v>
      </c>
      <c r="AW172">
        <v>100</v>
      </c>
      <c r="AX172" t="s">
        <v>29</v>
      </c>
      <c r="AY172">
        <v>4</v>
      </c>
      <c r="AZ172" t="s">
        <v>27</v>
      </c>
      <c r="BA172">
        <v>1994</v>
      </c>
      <c r="BB172">
        <v>1998</v>
      </c>
      <c r="BC172" t="s">
        <v>26</v>
      </c>
      <c r="BD172" t="s">
        <v>59</v>
      </c>
      <c r="BE172" s="10" t="s">
        <v>65</v>
      </c>
      <c r="BF172" t="s">
        <v>64</v>
      </c>
      <c r="BG172" s="3" t="s">
        <v>1233</v>
      </c>
      <c r="BH172" t="s">
        <v>23</v>
      </c>
      <c r="BI172" t="s">
        <v>750</v>
      </c>
      <c r="BJ172" s="4" t="s">
        <v>22</v>
      </c>
      <c r="BK172" s="9">
        <v>53000</v>
      </c>
      <c r="EE172" t="s">
        <v>55</v>
      </c>
      <c r="EF172" s="4" t="s">
        <v>22</v>
      </c>
      <c r="EG172" s="9">
        <v>53000</v>
      </c>
      <c r="EH172" s="9"/>
      <c r="EI172" s="9"/>
      <c r="EJ172" s="9"/>
      <c r="EK172" s="9"/>
      <c r="EL172" s="9"/>
      <c r="EM172" s="9"/>
      <c r="EN172" s="9"/>
      <c r="EO172" s="9"/>
      <c r="EP172" s="9"/>
      <c r="EQ172" s="9"/>
      <c r="ER172" s="9"/>
      <c r="ES172" s="9"/>
      <c r="ET172" s="9"/>
      <c r="EU172" s="9"/>
      <c r="EV172" s="9"/>
      <c r="EW172" s="9"/>
      <c r="EX172" s="9"/>
      <c r="EY172" s="9"/>
      <c r="EZ172" s="9"/>
      <c r="FA172" s="9"/>
      <c r="FB172" s="9"/>
      <c r="FC172" s="9"/>
      <c r="FD172" s="9"/>
      <c r="FE172" s="9"/>
      <c r="FF172" s="9"/>
      <c r="FG172" s="9"/>
      <c r="FH172" s="9"/>
      <c r="FI172" s="9"/>
      <c r="FJ172" s="9"/>
      <c r="FK172" s="9"/>
      <c r="FL172" s="9"/>
      <c r="FM172" s="9"/>
      <c r="FN172" s="9"/>
      <c r="FO172" s="9"/>
      <c r="FP172" s="9"/>
      <c r="FQ172" s="9"/>
      <c r="FR172" s="9"/>
      <c r="FS172" s="9"/>
      <c r="FT172" s="9"/>
      <c r="FU172" s="9"/>
      <c r="FV172" s="9"/>
      <c r="FW172" s="9"/>
      <c r="FX172" s="9"/>
      <c r="FY172" s="9"/>
      <c r="FZ172" s="9"/>
      <c r="GA172" s="9"/>
      <c r="GB172" s="9"/>
      <c r="GC172" s="9"/>
      <c r="GD172" s="9"/>
      <c r="GE172" s="9"/>
      <c r="GF172" s="9"/>
      <c r="GG172" s="9"/>
      <c r="GH172" s="9"/>
      <c r="GI172" s="9"/>
      <c r="GJ172" s="9"/>
      <c r="GK172" s="9"/>
      <c r="GL172" s="9"/>
      <c r="GM172" s="9"/>
      <c r="GN172" s="9"/>
      <c r="GO172" s="9"/>
      <c r="GP172" s="9"/>
      <c r="GQ172" s="9"/>
      <c r="GR172" s="9"/>
      <c r="GS172" s="9"/>
      <c r="GT172" s="9"/>
      <c r="GU172" s="9"/>
      <c r="GV172" s="9"/>
      <c r="GW172" s="9"/>
      <c r="GX172" s="9"/>
      <c r="GY172" s="9"/>
      <c r="GZ172" s="9"/>
      <c r="HA172" s="9"/>
      <c r="HB172" s="9"/>
      <c r="HC172" s="9"/>
      <c r="HD172" s="9"/>
      <c r="HE172" s="9"/>
      <c r="HF172" s="9"/>
      <c r="HG172" s="9"/>
      <c r="HH172" s="9"/>
      <c r="HI172" s="9"/>
      <c r="HJ172" s="9"/>
      <c r="HK172" s="9"/>
      <c r="HR172" t="s">
        <v>21</v>
      </c>
      <c r="HT172" s="4" t="s">
        <v>20</v>
      </c>
      <c r="HU172" s="58">
        <v>34335</v>
      </c>
      <c r="HV172" s="58">
        <v>36160</v>
      </c>
      <c r="HW172" s="58"/>
      <c r="HX172" s="58"/>
      <c r="IO172" s="4"/>
      <c r="IP172" t="s">
        <v>63</v>
      </c>
      <c r="IQ172" s="12" t="s">
        <v>1718</v>
      </c>
      <c r="IT172">
        <v>1995</v>
      </c>
      <c r="IU172">
        <v>1995.2</v>
      </c>
      <c r="IV172" s="4" t="s">
        <v>18</v>
      </c>
      <c r="IW172" t="s">
        <v>61</v>
      </c>
      <c r="IX172" s="12" t="s">
        <v>52</v>
      </c>
      <c r="JA172">
        <v>0.5</v>
      </c>
      <c r="JB172" t="s">
        <v>29</v>
      </c>
      <c r="JC172" t="s">
        <v>29</v>
      </c>
      <c r="JD172" t="s">
        <v>29</v>
      </c>
      <c r="JE172" t="s">
        <v>29</v>
      </c>
      <c r="JF172" t="s">
        <v>29</v>
      </c>
      <c r="JG172" t="s">
        <v>29</v>
      </c>
      <c r="JH172" t="s">
        <v>29</v>
      </c>
      <c r="JI172" t="s">
        <v>29</v>
      </c>
      <c r="JJ172" t="s">
        <v>29</v>
      </c>
      <c r="JL172" s="12" t="s">
        <v>721</v>
      </c>
      <c r="JQ172" s="4"/>
      <c r="KG172" s="7" t="s">
        <v>12</v>
      </c>
      <c r="KK172" s="7" t="s">
        <v>719</v>
      </c>
      <c r="KL172" s="7" t="s">
        <v>51</v>
      </c>
      <c r="KN172" t="s">
        <v>29</v>
      </c>
      <c r="MZ172" t="s">
        <v>11</v>
      </c>
      <c r="NA172">
        <v>42</v>
      </c>
      <c r="NC172" s="4" t="s">
        <v>10</v>
      </c>
      <c r="NK172" t="s">
        <v>9</v>
      </c>
      <c r="NM172" s="4" t="s">
        <v>1156</v>
      </c>
      <c r="NN172" s="6" t="s">
        <v>7</v>
      </c>
      <c r="NW172" t="s">
        <v>6</v>
      </c>
      <c r="NX172" s="5" t="s">
        <v>92</v>
      </c>
      <c r="NY172" s="4" t="s">
        <v>4</v>
      </c>
      <c r="NZ172" s="3">
        <v>0.83925673437070003</v>
      </c>
      <c r="OC172">
        <v>4</v>
      </c>
      <c r="OT172" t="s">
        <v>86</v>
      </c>
      <c r="OV172">
        <v>1996</v>
      </c>
      <c r="OY172" s="2" t="s">
        <v>62</v>
      </c>
      <c r="PA172" t="s">
        <v>1169</v>
      </c>
      <c r="PB172" s="58">
        <v>46094</v>
      </c>
    </row>
    <row r="173" spans="1:418" ht="15.75" thickBot="1">
      <c r="A173" s="11" t="s">
        <v>36</v>
      </c>
      <c r="B173" t="s">
        <v>35</v>
      </c>
      <c r="C173" t="s">
        <v>34</v>
      </c>
      <c r="D173" s="4" t="s">
        <v>33</v>
      </c>
      <c r="E173" t="s">
        <v>32</v>
      </c>
      <c r="F173" s="4" t="s">
        <v>31</v>
      </c>
      <c r="G173" t="s">
        <v>2</v>
      </c>
      <c r="H173" t="s">
        <v>30</v>
      </c>
      <c r="I173" s="10">
        <v>0.1</v>
      </c>
      <c r="J173" s="10">
        <v>34.566667000000002</v>
      </c>
      <c r="K173" t="s">
        <v>29</v>
      </c>
      <c r="AV173" t="s">
        <v>28</v>
      </c>
      <c r="AW173">
        <v>100</v>
      </c>
      <c r="AX173" t="s">
        <v>29</v>
      </c>
      <c r="AY173">
        <v>4</v>
      </c>
      <c r="AZ173" t="s">
        <v>27</v>
      </c>
      <c r="BA173">
        <v>1994</v>
      </c>
      <c r="BB173">
        <v>1998</v>
      </c>
      <c r="BC173" t="s">
        <v>26</v>
      </c>
      <c r="BD173" t="s">
        <v>59</v>
      </c>
      <c r="BE173" s="10" t="s">
        <v>58</v>
      </c>
      <c r="BF173" t="s">
        <v>57</v>
      </c>
      <c r="BG173" s="3" t="s">
        <v>1233</v>
      </c>
      <c r="BH173" t="s">
        <v>23</v>
      </c>
      <c r="BI173" t="s">
        <v>750</v>
      </c>
      <c r="BJ173" s="4" t="s">
        <v>22</v>
      </c>
      <c r="BK173" s="9">
        <v>53000</v>
      </c>
      <c r="EE173" t="s">
        <v>55</v>
      </c>
      <c r="EF173" s="4" t="s">
        <v>22</v>
      </c>
      <c r="EG173" s="9">
        <v>53000</v>
      </c>
      <c r="EH173" s="9"/>
      <c r="EI173" s="9"/>
      <c r="EJ173" s="9"/>
      <c r="EK173" s="9"/>
      <c r="EL173" s="9"/>
      <c r="EM173" s="9"/>
      <c r="EN173" s="9"/>
      <c r="EO173" s="9"/>
      <c r="EP173" s="9"/>
      <c r="EQ173" s="9"/>
      <c r="ER173" s="9"/>
      <c r="ES173" s="9"/>
      <c r="ET173" s="9"/>
      <c r="EU173" s="9"/>
      <c r="EV173" s="9"/>
      <c r="EW173" s="9"/>
      <c r="EX173" s="9"/>
      <c r="EY173" s="9"/>
      <c r="EZ173" s="9"/>
      <c r="FA173" s="9"/>
      <c r="FB173" s="9"/>
      <c r="FC173" s="9"/>
      <c r="FD173" s="9"/>
      <c r="FE173" s="9"/>
      <c r="FF173" s="9"/>
      <c r="FG173" s="9"/>
      <c r="FH173" s="9"/>
      <c r="FI173" s="9"/>
      <c r="FJ173" s="9"/>
      <c r="FK173" s="9"/>
      <c r="FL173" s="9"/>
      <c r="FM173" s="9"/>
      <c r="FN173" s="9"/>
      <c r="FO173" s="9"/>
      <c r="FP173" s="9"/>
      <c r="FQ173" s="9"/>
      <c r="FR173" s="9"/>
      <c r="FS173" s="9"/>
      <c r="FT173" s="9"/>
      <c r="FU173" s="9"/>
      <c r="FV173" s="9"/>
      <c r="FW173" s="9"/>
      <c r="FX173" s="9"/>
      <c r="FY173" s="9"/>
      <c r="FZ173" s="9"/>
      <c r="GA173" s="9"/>
      <c r="GB173" s="9"/>
      <c r="GC173" s="9"/>
      <c r="GD173" s="9"/>
      <c r="GE173" s="9"/>
      <c r="GF173" s="9"/>
      <c r="GG173" s="9"/>
      <c r="GH173" s="9"/>
      <c r="GI173" s="9"/>
      <c r="GJ173" s="9"/>
      <c r="GK173" s="9"/>
      <c r="GL173" s="9"/>
      <c r="GM173" s="9"/>
      <c r="GN173" s="9"/>
      <c r="GO173" s="9"/>
      <c r="GP173" s="9"/>
      <c r="GQ173" s="9"/>
      <c r="GR173" s="9"/>
      <c r="GS173" s="9"/>
      <c r="GT173" s="9"/>
      <c r="GU173" s="9"/>
      <c r="GV173" s="9"/>
      <c r="GW173" s="9"/>
      <c r="GX173" s="9"/>
      <c r="GY173" s="9"/>
      <c r="GZ173" s="9"/>
      <c r="HA173" s="9"/>
      <c r="HB173" s="9"/>
      <c r="HC173" s="9"/>
      <c r="HD173" s="9"/>
      <c r="HE173" s="9"/>
      <c r="HF173" s="9"/>
      <c r="HG173" s="9"/>
      <c r="HH173" s="9"/>
      <c r="HI173" s="9"/>
      <c r="HJ173" s="9"/>
      <c r="HK173" s="9"/>
      <c r="HR173" t="s">
        <v>21</v>
      </c>
      <c r="HT173" s="4" t="s">
        <v>20</v>
      </c>
      <c r="HU173" s="58">
        <v>34335</v>
      </c>
      <c r="HV173" s="58">
        <v>36160</v>
      </c>
      <c r="HW173" s="58"/>
      <c r="HX173" s="58"/>
      <c r="IO173" s="4"/>
      <c r="IP173" t="s">
        <v>54</v>
      </c>
      <c r="IQ173" s="12" t="s">
        <v>1719</v>
      </c>
      <c r="IT173">
        <v>1994</v>
      </c>
      <c r="IU173">
        <v>1994.2</v>
      </c>
      <c r="IV173" s="4" t="s">
        <v>18</v>
      </c>
      <c r="IW173" t="s">
        <v>53</v>
      </c>
      <c r="IX173" s="12" t="s">
        <v>52</v>
      </c>
      <c r="JA173">
        <v>0.5</v>
      </c>
      <c r="JB173" t="s">
        <v>29</v>
      </c>
      <c r="JC173" t="s">
        <v>29</v>
      </c>
      <c r="JD173" t="s">
        <v>29</v>
      </c>
      <c r="JE173" t="s">
        <v>29</v>
      </c>
      <c r="JF173" t="s">
        <v>29</v>
      </c>
      <c r="JG173" t="s">
        <v>29</v>
      </c>
      <c r="JH173" t="s">
        <v>29</v>
      </c>
      <c r="JI173" t="s">
        <v>29</v>
      </c>
      <c r="JJ173" t="s">
        <v>29</v>
      </c>
      <c r="JL173" s="12" t="s">
        <v>721</v>
      </c>
      <c r="JQ173" s="4"/>
      <c r="KG173" s="7" t="s">
        <v>12</v>
      </c>
      <c r="KK173" s="7" t="s">
        <v>719</v>
      </c>
      <c r="KL173" s="7" t="s">
        <v>51</v>
      </c>
      <c r="KN173" t="s">
        <v>29</v>
      </c>
      <c r="MZ173" t="s">
        <v>11</v>
      </c>
      <c r="NA173">
        <v>42</v>
      </c>
      <c r="NC173" s="4" t="s">
        <v>10</v>
      </c>
      <c r="NK173" t="s">
        <v>9</v>
      </c>
      <c r="NM173" s="4" t="s">
        <v>1156</v>
      </c>
      <c r="NN173" s="6" t="s">
        <v>7</v>
      </c>
      <c r="NW173" t="s">
        <v>6</v>
      </c>
      <c r="NX173" s="5" t="s">
        <v>91</v>
      </c>
      <c r="NY173" s="4" t="s">
        <v>4</v>
      </c>
      <c r="NZ173" s="3">
        <v>0.14295902380403991</v>
      </c>
      <c r="OC173">
        <v>4</v>
      </c>
      <c r="OT173" t="s">
        <v>86</v>
      </c>
      <c r="OV173">
        <v>1996</v>
      </c>
      <c r="OY173" s="2" t="s">
        <v>62</v>
      </c>
      <c r="PA173" t="s">
        <v>1169</v>
      </c>
      <c r="PB173" s="58">
        <v>46094</v>
      </c>
    </row>
    <row r="174" spans="1:418" ht="15.75" thickBot="1">
      <c r="A174" s="11" t="s">
        <v>36</v>
      </c>
      <c r="B174" t="s">
        <v>35</v>
      </c>
      <c r="C174" t="s">
        <v>34</v>
      </c>
      <c r="D174" s="4" t="s">
        <v>33</v>
      </c>
      <c r="E174" t="s">
        <v>32</v>
      </c>
      <c r="F174" s="4" t="s">
        <v>31</v>
      </c>
      <c r="G174" t="s">
        <v>2</v>
      </c>
      <c r="H174" t="s">
        <v>30</v>
      </c>
      <c r="I174" s="10">
        <v>0.1</v>
      </c>
      <c r="J174" s="10">
        <v>34.566667000000002</v>
      </c>
      <c r="K174" t="s">
        <v>29</v>
      </c>
      <c r="AV174" t="s">
        <v>28</v>
      </c>
      <c r="AW174">
        <v>100</v>
      </c>
      <c r="AX174" t="s">
        <v>29</v>
      </c>
      <c r="AY174">
        <v>4</v>
      </c>
      <c r="AZ174" t="s">
        <v>27</v>
      </c>
      <c r="BA174">
        <v>1994</v>
      </c>
      <c r="BB174">
        <v>1998</v>
      </c>
      <c r="BC174" t="s">
        <v>26</v>
      </c>
      <c r="BD174" t="s">
        <v>45</v>
      </c>
      <c r="BE174" s="10" t="s">
        <v>49</v>
      </c>
      <c r="BF174" t="s">
        <v>48</v>
      </c>
      <c r="BG174" s="3" t="s">
        <v>1233</v>
      </c>
      <c r="BH174" t="s">
        <v>23</v>
      </c>
      <c r="BI174" t="s">
        <v>750</v>
      </c>
      <c r="BJ174" s="4" t="s">
        <v>22</v>
      </c>
      <c r="BK174" s="9">
        <v>53000</v>
      </c>
      <c r="EF174" s="4"/>
      <c r="EG174" s="9"/>
      <c r="EH174" s="9"/>
      <c r="EI174" s="9"/>
      <c r="EJ174" s="9"/>
      <c r="EK174" s="9"/>
      <c r="EL174" s="9"/>
      <c r="EM174" s="9"/>
      <c r="EN174" s="9"/>
      <c r="EO174" s="9"/>
      <c r="EP174" s="9"/>
      <c r="EQ174" s="9"/>
      <c r="ER174" s="9"/>
      <c r="ES174" s="9"/>
      <c r="ET174" s="9"/>
      <c r="EU174" s="9"/>
      <c r="EV174" s="9"/>
      <c r="EW174" s="9"/>
      <c r="EX174" s="9"/>
      <c r="EY174" s="9"/>
      <c r="EZ174" s="9"/>
      <c r="FA174" s="9"/>
      <c r="FB174" s="9"/>
      <c r="FC174" s="9"/>
      <c r="FD174" s="9"/>
      <c r="FE174" s="9"/>
      <c r="FF174" s="9"/>
      <c r="FG174" s="9"/>
      <c r="FH174" s="9"/>
      <c r="FI174" s="9"/>
      <c r="FJ174" s="9"/>
      <c r="FK174" s="9"/>
      <c r="FL174" s="9"/>
      <c r="FM174" s="9"/>
      <c r="FN174" s="9"/>
      <c r="FO174" s="9"/>
      <c r="FP174" s="9"/>
      <c r="FQ174" s="9"/>
      <c r="FR174" s="9"/>
      <c r="FS174" s="9"/>
      <c r="FT174" s="9"/>
      <c r="FU174" s="9"/>
      <c r="FV174" s="9"/>
      <c r="FW174" s="9"/>
      <c r="FX174" s="9"/>
      <c r="FY174" s="9"/>
      <c r="FZ174" s="9"/>
      <c r="GA174" s="9"/>
      <c r="GB174" s="9"/>
      <c r="GC174" s="9"/>
      <c r="GD174" s="9"/>
      <c r="GE174" s="9"/>
      <c r="GF174" s="9"/>
      <c r="GG174" s="9"/>
      <c r="GH174" s="9"/>
      <c r="GI174" s="9"/>
      <c r="GJ174" s="9"/>
      <c r="GK174" s="9"/>
      <c r="GL174" s="9"/>
      <c r="GM174" s="9"/>
      <c r="GN174" s="9"/>
      <c r="GO174" s="9"/>
      <c r="GP174" s="9"/>
      <c r="GQ174" s="9"/>
      <c r="GR174" s="9"/>
      <c r="GS174" s="9"/>
      <c r="GT174" s="9"/>
      <c r="GU174" s="9"/>
      <c r="GV174" s="9"/>
      <c r="GW174" s="9"/>
      <c r="GX174" s="9"/>
      <c r="GY174" s="9"/>
      <c r="GZ174" s="9"/>
      <c r="HA174" s="9"/>
      <c r="HB174" s="9"/>
      <c r="HC174" s="9"/>
      <c r="HD174" s="9"/>
      <c r="HE174" s="9"/>
      <c r="HF174" s="9"/>
      <c r="HG174" s="9"/>
      <c r="HH174" s="9"/>
      <c r="HI174" s="9"/>
      <c r="HJ174" s="9"/>
      <c r="HK174" s="9"/>
      <c r="HR174" t="s">
        <v>21</v>
      </c>
      <c r="HT174" s="4" t="s">
        <v>20</v>
      </c>
      <c r="HU174" s="58">
        <v>34335</v>
      </c>
      <c r="HV174" s="58">
        <v>36160</v>
      </c>
      <c r="HW174" s="58"/>
      <c r="HX174" s="58"/>
      <c r="IP174" t="s">
        <v>47</v>
      </c>
      <c r="IQ174" s="54" t="s">
        <v>1226</v>
      </c>
      <c r="IT174">
        <v>1995</v>
      </c>
      <c r="IU174">
        <v>1995.2</v>
      </c>
      <c r="IV174" s="4" t="s">
        <v>18</v>
      </c>
      <c r="IW174" t="s">
        <v>38</v>
      </c>
      <c r="IX174" t="s">
        <v>19</v>
      </c>
      <c r="JB174">
        <v>0</v>
      </c>
      <c r="JC174">
        <v>0</v>
      </c>
      <c r="JD174">
        <v>0</v>
      </c>
      <c r="JE174">
        <v>0</v>
      </c>
      <c r="JF174">
        <v>0</v>
      </c>
      <c r="JG174">
        <v>0</v>
      </c>
      <c r="JH174">
        <v>0</v>
      </c>
      <c r="JI174">
        <v>0</v>
      </c>
      <c r="JJ174">
        <v>0</v>
      </c>
      <c r="JL174" s="12" t="s">
        <v>721</v>
      </c>
      <c r="JQ174" s="4"/>
      <c r="KG174" s="7" t="s">
        <v>12</v>
      </c>
      <c r="KK174" s="7" t="s">
        <v>720</v>
      </c>
      <c r="KL174" s="7"/>
      <c r="MZ174" t="s">
        <v>11</v>
      </c>
      <c r="NA174">
        <v>42</v>
      </c>
      <c r="NC174" s="4" t="s">
        <v>10</v>
      </c>
      <c r="NK174" t="s">
        <v>9</v>
      </c>
      <c r="NM174" s="4" t="s">
        <v>1156</v>
      </c>
      <c r="NN174" s="6" t="s">
        <v>7</v>
      </c>
      <c r="NW174" t="s">
        <v>6</v>
      </c>
      <c r="NX174" s="5" t="s">
        <v>90</v>
      </c>
      <c r="NY174" s="4" t="s">
        <v>4</v>
      </c>
      <c r="NZ174" s="3">
        <v>0.83952627766328014</v>
      </c>
      <c r="OC174">
        <v>4</v>
      </c>
      <c r="OT174" t="s">
        <v>86</v>
      </c>
      <c r="OV174">
        <v>1996</v>
      </c>
      <c r="OY174" s="2" t="s">
        <v>62</v>
      </c>
      <c r="PA174" t="s">
        <v>1169</v>
      </c>
      <c r="PB174" s="58">
        <v>46094</v>
      </c>
    </row>
    <row r="175" spans="1:418" ht="15.75" thickBot="1">
      <c r="A175" s="11" t="s">
        <v>36</v>
      </c>
      <c r="B175" t="s">
        <v>35</v>
      </c>
      <c r="C175" t="s">
        <v>34</v>
      </c>
      <c r="D175" s="4" t="s">
        <v>33</v>
      </c>
      <c r="E175" t="s">
        <v>32</v>
      </c>
      <c r="F175" s="4" t="s">
        <v>31</v>
      </c>
      <c r="G175" t="s">
        <v>2</v>
      </c>
      <c r="H175" t="s">
        <v>30</v>
      </c>
      <c r="I175" s="10">
        <v>0.1</v>
      </c>
      <c r="J175" s="10">
        <v>34.566667000000002</v>
      </c>
      <c r="K175" t="s">
        <v>29</v>
      </c>
      <c r="AV175" t="s">
        <v>28</v>
      </c>
      <c r="AW175">
        <v>100</v>
      </c>
      <c r="AX175" t="s">
        <v>29</v>
      </c>
      <c r="AY175">
        <v>4</v>
      </c>
      <c r="AZ175" t="s">
        <v>27</v>
      </c>
      <c r="BA175">
        <v>1994</v>
      </c>
      <c r="BB175">
        <v>1998</v>
      </c>
      <c r="BC175" t="s">
        <v>26</v>
      </c>
      <c r="BD175" t="s">
        <v>45</v>
      </c>
      <c r="BE175" s="10" t="s">
        <v>44</v>
      </c>
      <c r="BF175" t="s">
        <v>43</v>
      </c>
      <c r="BG175" s="3" t="s">
        <v>1233</v>
      </c>
      <c r="BH175" t="s">
        <v>23</v>
      </c>
      <c r="BI175" t="s">
        <v>750</v>
      </c>
      <c r="BJ175" s="4" t="s">
        <v>22</v>
      </c>
      <c r="BK175" s="9">
        <v>53000</v>
      </c>
      <c r="EF175" s="4"/>
      <c r="EG175" s="9"/>
      <c r="EH175" s="9"/>
      <c r="EI175" s="9"/>
      <c r="EJ175" s="9"/>
      <c r="EK175" s="9"/>
      <c r="EL175" s="9"/>
      <c r="EM175" s="9"/>
      <c r="EN175" s="9"/>
      <c r="EO175" s="9"/>
      <c r="EP175" s="9"/>
      <c r="EQ175" s="9"/>
      <c r="ER175" s="9"/>
      <c r="ES175" s="9"/>
      <c r="ET175" s="9"/>
      <c r="EU175" s="9"/>
      <c r="EV175" s="9"/>
      <c r="EW175" s="9"/>
      <c r="EX175" s="9"/>
      <c r="EY175" s="9"/>
      <c r="EZ175" s="9"/>
      <c r="FA175" s="9"/>
      <c r="FB175" s="9"/>
      <c r="FC175" s="9"/>
      <c r="FD175" s="9"/>
      <c r="FE175" s="9"/>
      <c r="FF175" s="9"/>
      <c r="FG175" s="9"/>
      <c r="FH175" s="9"/>
      <c r="FI175" s="9"/>
      <c r="FJ175" s="9"/>
      <c r="FK175" s="9"/>
      <c r="FL175" s="9"/>
      <c r="FM175" s="9"/>
      <c r="FN175" s="9"/>
      <c r="FO175" s="9"/>
      <c r="FP175" s="9"/>
      <c r="FQ175" s="9"/>
      <c r="FR175" s="9"/>
      <c r="FS175" s="9"/>
      <c r="FT175" s="9"/>
      <c r="FU175" s="9"/>
      <c r="FV175" s="9"/>
      <c r="FW175" s="9"/>
      <c r="FX175" s="9"/>
      <c r="FY175" s="9"/>
      <c r="FZ175" s="9"/>
      <c r="GA175" s="9"/>
      <c r="GB175" s="9"/>
      <c r="GC175" s="9"/>
      <c r="GD175" s="9"/>
      <c r="GE175" s="9"/>
      <c r="GF175" s="9"/>
      <c r="GG175" s="9"/>
      <c r="GH175" s="9"/>
      <c r="GI175" s="9"/>
      <c r="GJ175" s="9"/>
      <c r="GK175" s="9"/>
      <c r="GL175" s="9"/>
      <c r="GM175" s="9"/>
      <c r="GN175" s="9"/>
      <c r="GO175" s="9"/>
      <c r="GP175" s="9"/>
      <c r="GQ175" s="9"/>
      <c r="GR175" s="9"/>
      <c r="GS175" s="9"/>
      <c r="GT175" s="9"/>
      <c r="GU175" s="9"/>
      <c r="GV175" s="9"/>
      <c r="GW175" s="9"/>
      <c r="GX175" s="9"/>
      <c r="GY175" s="9"/>
      <c r="GZ175" s="9"/>
      <c r="HA175" s="9"/>
      <c r="HB175" s="9"/>
      <c r="HC175" s="9"/>
      <c r="HD175" s="9"/>
      <c r="HE175" s="9"/>
      <c r="HF175" s="9"/>
      <c r="HG175" s="9"/>
      <c r="HH175" s="9"/>
      <c r="HI175" s="9"/>
      <c r="HJ175" s="9"/>
      <c r="HK175" s="9"/>
      <c r="HR175" t="s">
        <v>21</v>
      </c>
      <c r="HT175" s="4" t="s">
        <v>20</v>
      </c>
      <c r="HU175" s="58">
        <v>34335</v>
      </c>
      <c r="HV175" s="58">
        <v>36160</v>
      </c>
      <c r="HW175" s="58"/>
      <c r="HX175" s="58"/>
      <c r="IP175" t="s">
        <v>42</v>
      </c>
      <c r="IQ175" s="13" t="s">
        <v>1227</v>
      </c>
      <c r="IT175">
        <v>1994</v>
      </c>
      <c r="IU175">
        <v>1994.2</v>
      </c>
      <c r="IV175" s="4" t="s">
        <v>18</v>
      </c>
      <c r="IW175" t="s">
        <v>38</v>
      </c>
      <c r="IX175" t="s">
        <v>19</v>
      </c>
      <c r="JB175">
        <v>0</v>
      </c>
      <c r="JC175">
        <v>0</v>
      </c>
      <c r="JD175">
        <v>0</v>
      </c>
      <c r="JE175">
        <v>0</v>
      </c>
      <c r="JF175">
        <v>0</v>
      </c>
      <c r="JG175">
        <v>0</v>
      </c>
      <c r="JH175">
        <v>0</v>
      </c>
      <c r="JI175">
        <v>0</v>
      </c>
      <c r="JJ175">
        <v>0</v>
      </c>
      <c r="JL175" s="12" t="s">
        <v>721</v>
      </c>
      <c r="JQ175" s="4"/>
      <c r="KG175" s="7" t="s">
        <v>12</v>
      </c>
      <c r="KK175" s="7" t="s">
        <v>720</v>
      </c>
      <c r="KL175" s="7"/>
      <c r="MZ175" t="s">
        <v>11</v>
      </c>
      <c r="NA175">
        <v>42</v>
      </c>
      <c r="NC175" s="4" t="s">
        <v>10</v>
      </c>
      <c r="NK175" t="s">
        <v>9</v>
      </c>
      <c r="NM175" s="4" t="s">
        <v>1156</v>
      </c>
      <c r="NN175" s="6" t="s">
        <v>7</v>
      </c>
      <c r="NW175" t="s">
        <v>6</v>
      </c>
      <c r="NX175" s="5" t="s">
        <v>89</v>
      </c>
      <c r="NY175" s="4" t="s">
        <v>4</v>
      </c>
      <c r="NZ175" s="3">
        <v>0.24993401804816995</v>
      </c>
      <c r="OC175">
        <v>4</v>
      </c>
      <c r="OT175" t="s">
        <v>86</v>
      </c>
      <c r="OV175">
        <v>1996</v>
      </c>
      <c r="OY175" s="2" t="s">
        <v>62</v>
      </c>
      <c r="PA175" t="s">
        <v>1169</v>
      </c>
      <c r="PB175" s="58">
        <v>46094</v>
      </c>
    </row>
    <row r="176" spans="1:418" ht="15.75" thickBot="1">
      <c r="A176" s="11" t="s">
        <v>36</v>
      </c>
      <c r="B176" t="s">
        <v>35</v>
      </c>
      <c r="C176" t="s">
        <v>34</v>
      </c>
      <c r="D176" s="4" t="s">
        <v>33</v>
      </c>
      <c r="E176" t="s">
        <v>32</v>
      </c>
      <c r="F176" s="4" t="s">
        <v>31</v>
      </c>
      <c r="G176" t="s">
        <v>2</v>
      </c>
      <c r="H176" t="s">
        <v>30</v>
      </c>
      <c r="I176" s="10">
        <v>0.1</v>
      </c>
      <c r="J176" s="10">
        <v>34.566667000000002</v>
      </c>
      <c r="K176" t="s">
        <v>29</v>
      </c>
      <c r="AV176" t="s">
        <v>28</v>
      </c>
      <c r="AW176">
        <v>100</v>
      </c>
      <c r="AX176" t="s">
        <v>29</v>
      </c>
      <c r="AY176">
        <v>4</v>
      </c>
      <c r="AZ176" t="s">
        <v>27</v>
      </c>
      <c r="BA176">
        <v>1994</v>
      </c>
      <c r="BB176">
        <v>1998</v>
      </c>
      <c r="BC176" t="s">
        <v>26</v>
      </c>
      <c r="BD176" t="s">
        <v>19</v>
      </c>
      <c r="BE176" s="10" t="s">
        <v>40</v>
      </c>
      <c r="BF176" t="s">
        <v>39</v>
      </c>
      <c r="BG176" s="3" t="s">
        <v>1233</v>
      </c>
      <c r="BH176" t="s">
        <v>23</v>
      </c>
      <c r="BI176" t="s">
        <v>750</v>
      </c>
      <c r="BJ176" s="4" t="s">
        <v>22</v>
      </c>
      <c r="BK176" s="9">
        <v>53000</v>
      </c>
      <c r="HR176" t="s">
        <v>21</v>
      </c>
      <c r="HT176" s="4" t="s">
        <v>20</v>
      </c>
      <c r="HU176" s="58">
        <v>34335</v>
      </c>
      <c r="HV176" s="58">
        <v>36160</v>
      </c>
      <c r="HW176" s="58"/>
      <c r="HX176" s="58"/>
      <c r="IP176" t="s">
        <v>38</v>
      </c>
      <c r="IQ176" s="54" t="s">
        <v>19</v>
      </c>
      <c r="IV176" s="4" t="s">
        <v>18</v>
      </c>
      <c r="IW176" t="s">
        <v>38</v>
      </c>
      <c r="IX176" s="54" t="s">
        <v>19</v>
      </c>
      <c r="JB176">
        <v>0</v>
      </c>
      <c r="JC176">
        <v>0</v>
      </c>
      <c r="JD176">
        <v>0</v>
      </c>
      <c r="JE176">
        <v>0</v>
      </c>
      <c r="JF176">
        <v>0</v>
      </c>
      <c r="JG176">
        <v>0</v>
      </c>
      <c r="JH176">
        <v>0</v>
      </c>
      <c r="JI176">
        <v>0</v>
      </c>
      <c r="JJ176">
        <v>0</v>
      </c>
      <c r="JL176" s="12" t="s">
        <v>721</v>
      </c>
      <c r="JQ176" s="4"/>
      <c r="KG176" s="7" t="s">
        <v>12</v>
      </c>
      <c r="KK176" s="7" t="s">
        <v>720</v>
      </c>
      <c r="KL176" s="7"/>
      <c r="MZ176" t="s">
        <v>11</v>
      </c>
      <c r="NA176">
        <v>42</v>
      </c>
      <c r="NC176" s="4" t="s">
        <v>10</v>
      </c>
      <c r="NK176" t="s">
        <v>9</v>
      </c>
      <c r="NM176" s="4" t="s">
        <v>1156</v>
      </c>
      <c r="NN176" s="6" t="s">
        <v>7</v>
      </c>
      <c r="NV176" t="s">
        <v>735</v>
      </c>
      <c r="NW176" t="s">
        <v>6</v>
      </c>
      <c r="NX176" s="5" t="s">
        <v>88</v>
      </c>
      <c r="NY176" s="4" t="s">
        <v>4</v>
      </c>
      <c r="NZ176" s="3">
        <v>0.44632999960691988</v>
      </c>
      <c r="OC176">
        <v>4</v>
      </c>
      <c r="OT176" t="s">
        <v>86</v>
      </c>
      <c r="OV176">
        <v>1996</v>
      </c>
      <c r="OY176" s="2" t="s">
        <v>62</v>
      </c>
      <c r="PA176" t="s">
        <v>1169</v>
      </c>
      <c r="PB176" s="58">
        <v>46094</v>
      </c>
    </row>
    <row r="177" spans="1:418" ht="15.75" thickBot="1">
      <c r="A177" s="11" t="s">
        <v>36</v>
      </c>
      <c r="B177" t="s">
        <v>35</v>
      </c>
      <c r="C177" t="s">
        <v>34</v>
      </c>
      <c r="D177" s="4" t="s">
        <v>33</v>
      </c>
      <c r="E177" t="s">
        <v>32</v>
      </c>
      <c r="F177" s="4" t="s">
        <v>31</v>
      </c>
      <c r="G177" t="s">
        <v>2</v>
      </c>
      <c r="H177" t="s">
        <v>30</v>
      </c>
      <c r="I177" s="10">
        <v>0.1</v>
      </c>
      <c r="J177" s="10">
        <v>34.566667000000002</v>
      </c>
      <c r="K177" t="s">
        <v>29</v>
      </c>
      <c r="AV177" t="s">
        <v>28</v>
      </c>
      <c r="AW177">
        <v>100</v>
      </c>
      <c r="AX177" t="s">
        <v>29</v>
      </c>
      <c r="AY177">
        <v>4</v>
      </c>
      <c r="AZ177" t="s">
        <v>27</v>
      </c>
      <c r="BA177">
        <v>1994</v>
      </c>
      <c r="BB177">
        <v>1998</v>
      </c>
      <c r="BC177" t="s">
        <v>26</v>
      </c>
      <c r="BD177" t="s">
        <v>19</v>
      </c>
      <c r="BE177" s="10" t="s">
        <v>25</v>
      </c>
      <c r="BF177" t="s">
        <v>24</v>
      </c>
      <c r="BG177" s="3" t="s">
        <v>1233</v>
      </c>
      <c r="BH177" t="s">
        <v>23</v>
      </c>
      <c r="BI177" t="s">
        <v>750</v>
      </c>
      <c r="BJ177" s="4" t="s">
        <v>22</v>
      </c>
      <c r="BK177" s="9">
        <v>53000</v>
      </c>
      <c r="HR177" t="s">
        <v>21</v>
      </c>
      <c r="HT177" s="4" t="s">
        <v>20</v>
      </c>
      <c r="HU177" s="58">
        <v>34335</v>
      </c>
      <c r="HV177" s="58">
        <v>36160</v>
      </c>
      <c r="HW177" s="58"/>
      <c r="HX177" s="58"/>
      <c r="IP177" t="s">
        <v>16</v>
      </c>
      <c r="IQ177" s="54" t="s">
        <v>19</v>
      </c>
      <c r="IV177" s="4" t="s">
        <v>18</v>
      </c>
      <c r="IW177" t="s">
        <v>17</v>
      </c>
      <c r="IX177" s="54" t="s">
        <v>19</v>
      </c>
      <c r="JB177">
        <v>0</v>
      </c>
      <c r="JC177">
        <v>0</v>
      </c>
      <c r="JD177">
        <v>0</v>
      </c>
      <c r="JE177">
        <v>0</v>
      </c>
      <c r="JF177">
        <v>0</v>
      </c>
      <c r="JG177">
        <v>0</v>
      </c>
      <c r="JH177">
        <v>0</v>
      </c>
      <c r="JI177">
        <v>0</v>
      </c>
      <c r="JJ177">
        <v>0</v>
      </c>
      <c r="JK177" t="s">
        <v>16</v>
      </c>
      <c r="JL177" t="s">
        <v>15</v>
      </c>
      <c r="JM177" s="8" t="s">
        <v>14</v>
      </c>
      <c r="JQ177" s="4" t="s">
        <v>13</v>
      </c>
      <c r="JR177">
        <v>60</v>
      </c>
      <c r="JU177">
        <v>60</v>
      </c>
      <c r="KG177" s="7" t="s">
        <v>12</v>
      </c>
      <c r="KK177" s="7" t="s">
        <v>720</v>
      </c>
      <c r="KL177" s="7"/>
      <c r="MZ177" t="s">
        <v>11</v>
      </c>
      <c r="NA177">
        <v>42</v>
      </c>
      <c r="NC177" s="4" t="s">
        <v>10</v>
      </c>
      <c r="NK177" t="s">
        <v>9</v>
      </c>
      <c r="NM177" s="4" t="s">
        <v>1156</v>
      </c>
      <c r="NN177" s="6" t="s">
        <v>7</v>
      </c>
      <c r="NV177" t="s">
        <v>747</v>
      </c>
      <c r="NW177" t="s">
        <v>6</v>
      </c>
      <c r="NX177" s="5" t="s">
        <v>87</v>
      </c>
      <c r="NY177" s="4" t="s">
        <v>4</v>
      </c>
      <c r="NZ177" s="3">
        <v>0.53578467983310984</v>
      </c>
      <c r="OC177">
        <v>4</v>
      </c>
      <c r="OT177" t="s">
        <v>86</v>
      </c>
      <c r="OV177">
        <v>1996</v>
      </c>
      <c r="OY177" s="2" t="s">
        <v>62</v>
      </c>
      <c r="PA177" t="s">
        <v>1169</v>
      </c>
      <c r="PB177" s="58">
        <v>46094</v>
      </c>
    </row>
    <row r="178" spans="1:418" ht="15.75" thickBot="1">
      <c r="A178" s="11" t="s">
        <v>36</v>
      </c>
      <c r="B178" t="s">
        <v>35</v>
      </c>
      <c r="C178" t="s">
        <v>34</v>
      </c>
      <c r="D178" s="4" t="s">
        <v>33</v>
      </c>
      <c r="E178" t="s">
        <v>32</v>
      </c>
      <c r="F178" s="4" t="s">
        <v>31</v>
      </c>
      <c r="G178" t="s">
        <v>2</v>
      </c>
      <c r="H178" t="s">
        <v>30</v>
      </c>
      <c r="I178" s="10">
        <v>0.1</v>
      </c>
      <c r="J178" s="10">
        <v>34.566667000000002</v>
      </c>
      <c r="K178" t="s">
        <v>29</v>
      </c>
      <c r="AV178" t="s">
        <v>28</v>
      </c>
      <c r="AW178">
        <v>100</v>
      </c>
      <c r="AX178" t="s">
        <v>29</v>
      </c>
      <c r="AY178">
        <v>4</v>
      </c>
      <c r="AZ178" t="s">
        <v>27</v>
      </c>
      <c r="BA178">
        <v>1994</v>
      </c>
      <c r="BB178">
        <v>1998</v>
      </c>
      <c r="BC178" t="s">
        <v>26</v>
      </c>
      <c r="BD178" t="s">
        <v>59</v>
      </c>
      <c r="BE178" s="10" t="s">
        <v>65</v>
      </c>
      <c r="BF178" t="s">
        <v>64</v>
      </c>
      <c r="BG178" s="3" t="s">
        <v>1233</v>
      </c>
      <c r="BH178" t="s">
        <v>23</v>
      </c>
      <c r="BI178" t="s">
        <v>750</v>
      </c>
      <c r="BJ178" s="4" t="s">
        <v>22</v>
      </c>
      <c r="BK178" s="9">
        <v>53000</v>
      </c>
      <c r="EE178" t="s">
        <v>55</v>
      </c>
      <c r="EF178" s="4" t="s">
        <v>22</v>
      </c>
      <c r="EG178" s="9">
        <v>53000</v>
      </c>
      <c r="EH178" s="9"/>
      <c r="EI178" s="9"/>
      <c r="EJ178" s="9"/>
      <c r="EK178" s="9"/>
      <c r="EL178" s="9"/>
      <c r="EM178" s="9"/>
      <c r="EN178" s="9"/>
      <c r="EO178" s="9"/>
      <c r="EP178" s="9"/>
      <c r="EQ178" s="9"/>
      <c r="ER178" s="9"/>
      <c r="ES178" s="9"/>
      <c r="ET178" s="9"/>
      <c r="EU178" s="9"/>
      <c r="EV178" s="9"/>
      <c r="EW178" s="9"/>
      <c r="EX178" s="9"/>
      <c r="EY178" s="9"/>
      <c r="EZ178" s="9"/>
      <c r="FA178" s="9"/>
      <c r="FB178" s="9"/>
      <c r="FC178" s="9"/>
      <c r="FD178" s="9"/>
      <c r="FE178" s="9"/>
      <c r="FF178" s="9"/>
      <c r="FG178" s="9"/>
      <c r="FH178" s="9"/>
      <c r="FI178" s="9"/>
      <c r="FJ178" s="9"/>
      <c r="FK178" s="9"/>
      <c r="FL178" s="9"/>
      <c r="FM178" s="9"/>
      <c r="FN178" s="9"/>
      <c r="FO178" s="9"/>
      <c r="FP178" s="9"/>
      <c r="FQ178" s="9"/>
      <c r="FR178" s="9"/>
      <c r="FS178" s="9"/>
      <c r="FT178" s="9"/>
      <c r="FU178" s="9"/>
      <c r="FV178" s="9"/>
      <c r="FW178" s="9"/>
      <c r="FX178" s="9"/>
      <c r="FY178" s="9"/>
      <c r="FZ178" s="9"/>
      <c r="GA178" s="9"/>
      <c r="GB178" s="9"/>
      <c r="GC178" s="9"/>
      <c r="GD178" s="9"/>
      <c r="GE178" s="9"/>
      <c r="GF178" s="9"/>
      <c r="GG178" s="9"/>
      <c r="GH178" s="9"/>
      <c r="GI178" s="9"/>
      <c r="GJ178" s="9"/>
      <c r="GK178" s="9"/>
      <c r="GL178" s="9"/>
      <c r="GM178" s="9"/>
      <c r="GN178" s="9"/>
      <c r="GO178" s="9"/>
      <c r="GP178" s="9"/>
      <c r="GQ178" s="9"/>
      <c r="GR178" s="9"/>
      <c r="GS178" s="9"/>
      <c r="GT178" s="9"/>
      <c r="GU178" s="9"/>
      <c r="GV178" s="9"/>
      <c r="GW178" s="9"/>
      <c r="GX178" s="9"/>
      <c r="GY178" s="9"/>
      <c r="GZ178" s="9"/>
      <c r="HA178" s="9"/>
      <c r="HB178" s="9"/>
      <c r="HC178" s="9"/>
      <c r="HD178" s="9"/>
      <c r="HE178" s="9"/>
      <c r="HF178" s="9"/>
      <c r="HG178" s="9"/>
      <c r="HH178" s="9"/>
      <c r="HI178" s="9"/>
      <c r="HJ178" s="9"/>
      <c r="HK178" s="9"/>
      <c r="HR178" t="s">
        <v>21</v>
      </c>
      <c r="HT178" s="4" t="s">
        <v>20</v>
      </c>
      <c r="HU178" s="58">
        <v>34335</v>
      </c>
      <c r="HV178" s="58">
        <v>36160</v>
      </c>
      <c r="HW178" s="58"/>
      <c r="HX178" s="58"/>
      <c r="IO178" s="4"/>
      <c r="IP178" t="s">
        <v>63</v>
      </c>
      <c r="IQ178" s="12" t="s">
        <v>1718</v>
      </c>
      <c r="IT178">
        <v>1995</v>
      </c>
      <c r="IU178">
        <v>1995.2</v>
      </c>
      <c r="IV178" s="4" t="s">
        <v>18</v>
      </c>
      <c r="IW178" t="s">
        <v>61</v>
      </c>
      <c r="IX178" s="12" t="s">
        <v>52</v>
      </c>
      <c r="JA178">
        <v>0.5</v>
      </c>
      <c r="JB178" t="s">
        <v>29</v>
      </c>
      <c r="JC178" t="s">
        <v>29</v>
      </c>
      <c r="JD178" t="s">
        <v>29</v>
      </c>
      <c r="JE178" t="s">
        <v>29</v>
      </c>
      <c r="JF178" t="s">
        <v>29</v>
      </c>
      <c r="JG178" t="s">
        <v>29</v>
      </c>
      <c r="JH178" t="s">
        <v>29</v>
      </c>
      <c r="JI178" t="s">
        <v>29</v>
      </c>
      <c r="JJ178" t="s">
        <v>29</v>
      </c>
      <c r="JL178" s="12" t="s">
        <v>721</v>
      </c>
      <c r="JQ178" s="4"/>
      <c r="KG178" s="7" t="s">
        <v>12</v>
      </c>
      <c r="KK178" s="7" t="s">
        <v>719</v>
      </c>
      <c r="KL178" s="7" t="s">
        <v>51</v>
      </c>
      <c r="KN178" t="s">
        <v>29</v>
      </c>
      <c r="MZ178" t="s">
        <v>11</v>
      </c>
      <c r="NA178">
        <v>42</v>
      </c>
      <c r="NC178" s="4" t="s">
        <v>10</v>
      </c>
      <c r="NK178" t="s">
        <v>9</v>
      </c>
      <c r="NM178" s="4" t="s">
        <v>1156</v>
      </c>
      <c r="NN178" s="6" t="s">
        <v>7</v>
      </c>
      <c r="NW178" t="s">
        <v>6</v>
      </c>
      <c r="NX178" s="5" t="s">
        <v>85</v>
      </c>
      <c r="NY178" s="4" t="s">
        <v>4</v>
      </c>
      <c r="NZ178" s="3">
        <v>0.21432061051555973</v>
      </c>
      <c r="OC178">
        <v>4</v>
      </c>
      <c r="OT178" t="s">
        <v>80</v>
      </c>
      <c r="OV178">
        <v>1997</v>
      </c>
      <c r="OY178" s="2" t="s">
        <v>62</v>
      </c>
      <c r="PA178" t="s">
        <v>1169</v>
      </c>
      <c r="PB178" s="58">
        <v>46094</v>
      </c>
    </row>
    <row r="179" spans="1:418" ht="15.75" thickBot="1">
      <c r="A179" s="11" t="s">
        <v>36</v>
      </c>
      <c r="B179" t="s">
        <v>35</v>
      </c>
      <c r="C179" t="s">
        <v>34</v>
      </c>
      <c r="D179" s="4" t="s">
        <v>33</v>
      </c>
      <c r="E179" t="s">
        <v>32</v>
      </c>
      <c r="F179" s="4" t="s">
        <v>31</v>
      </c>
      <c r="G179" t="s">
        <v>2</v>
      </c>
      <c r="H179" t="s">
        <v>30</v>
      </c>
      <c r="I179" s="10">
        <v>0.1</v>
      </c>
      <c r="J179" s="10">
        <v>34.566667000000002</v>
      </c>
      <c r="K179" t="s">
        <v>29</v>
      </c>
      <c r="AV179" t="s">
        <v>28</v>
      </c>
      <c r="AW179">
        <v>100</v>
      </c>
      <c r="AX179" t="s">
        <v>29</v>
      </c>
      <c r="AY179">
        <v>4</v>
      </c>
      <c r="AZ179" t="s">
        <v>27</v>
      </c>
      <c r="BA179">
        <v>1994</v>
      </c>
      <c r="BB179">
        <v>1998</v>
      </c>
      <c r="BC179" t="s">
        <v>26</v>
      </c>
      <c r="BD179" t="s">
        <v>59</v>
      </c>
      <c r="BE179" s="10" t="s">
        <v>58</v>
      </c>
      <c r="BF179" t="s">
        <v>57</v>
      </c>
      <c r="BG179" s="3" t="s">
        <v>1233</v>
      </c>
      <c r="BH179" t="s">
        <v>23</v>
      </c>
      <c r="BI179" t="s">
        <v>750</v>
      </c>
      <c r="BJ179" s="4" t="s">
        <v>22</v>
      </c>
      <c r="BK179" s="9">
        <v>53000</v>
      </c>
      <c r="EE179" t="s">
        <v>55</v>
      </c>
      <c r="EF179" s="4" t="s">
        <v>22</v>
      </c>
      <c r="EG179" s="9">
        <v>53000</v>
      </c>
      <c r="EH179" s="9"/>
      <c r="EI179" s="9"/>
      <c r="EJ179" s="9"/>
      <c r="EK179" s="9"/>
      <c r="EL179" s="9"/>
      <c r="EM179" s="9"/>
      <c r="EN179" s="9"/>
      <c r="EO179" s="9"/>
      <c r="EP179" s="9"/>
      <c r="EQ179" s="9"/>
      <c r="ER179" s="9"/>
      <c r="ES179" s="9"/>
      <c r="ET179" s="9"/>
      <c r="EU179" s="9"/>
      <c r="EV179" s="9"/>
      <c r="EW179" s="9"/>
      <c r="EX179" s="9"/>
      <c r="EY179" s="9"/>
      <c r="EZ179" s="9"/>
      <c r="FA179" s="9"/>
      <c r="FB179" s="9"/>
      <c r="FC179" s="9"/>
      <c r="FD179" s="9"/>
      <c r="FE179" s="9"/>
      <c r="FF179" s="9"/>
      <c r="FG179" s="9"/>
      <c r="FH179" s="9"/>
      <c r="FI179" s="9"/>
      <c r="FJ179" s="9"/>
      <c r="FK179" s="9"/>
      <c r="FL179" s="9"/>
      <c r="FM179" s="9"/>
      <c r="FN179" s="9"/>
      <c r="FO179" s="9"/>
      <c r="FP179" s="9"/>
      <c r="FQ179" s="9"/>
      <c r="FR179" s="9"/>
      <c r="FS179" s="9"/>
      <c r="FT179" s="9"/>
      <c r="FU179" s="9"/>
      <c r="FV179" s="9"/>
      <c r="FW179" s="9"/>
      <c r="FX179" s="9"/>
      <c r="FY179" s="9"/>
      <c r="FZ179" s="9"/>
      <c r="GA179" s="9"/>
      <c r="GB179" s="9"/>
      <c r="GC179" s="9"/>
      <c r="GD179" s="9"/>
      <c r="GE179" s="9"/>
      <c r="GF179" s="9"/>
      <c r="GG179" s="9"/>
      <c r="GH179" s="9"/>
      <c r="GI179" s="9"/>
      <c r="GJ179" s="9"/>
      <c r="GK179" s="9"/>
      <c r="GL179" s="9"/>
      <c r="GM179" s="9"/>
      <c r="GN179" s="9"/>
      <c r="GO179" s="9"/>
      <c r="GP179" s="9"/>
      <c r="GQ179" s="9"/>
      <c r="GR179" s="9"/>
      <c r="GS179" s="9"/>
      <c r="GT179" s="9"/>
      <c r="GU179" s="9"/>
      <c r="GV179" s="9"/>
      <c r="GW179" s="9"/>
      <c r="GX179" s="9"/>
      <c r="GY179" s="9"/>
      <c r="GZ179" s="9"/>
      <c r="HA179" s="9"/>
      <c r="HB179" s="9"/>
      <c r="HC179" s="9"/>
      <c r="HD179" s="9"/>
      <c r="HE179" s="9"/>
      <c r="HF179" s="9"/>
      <c r="HG179" s="9"/>
      <c r="HH179" s="9"/>
      <c r="HI179" s="9"/>
      <c r="HJ179" s="9"/>
      <c r="HK179" s="9"/>
      <c r="HR179" t="s">
        <v>21</v>
      </c>
      <c r="HT179" s="4" t="s">
        <v>20</v>
      </c>
      <c r="HU179" s="58">
        <v>34335</v>
      </c>
      <c r="HV179" s="58">
        <v>36160</v>
      </c>
      <c r="HW179" s="58"/>
      <c r="HX179" s="58"/>
      <c r="IO179" s="4"/>
      <c r="IP179" t="s">
        <v>54</v>
      </c>
      <c r="IQ179" s="12" t="s">
        <v>1719</v>
      </c>
      <c r="IT179">
        <v>1994</v>
      </c>
      <c r="IU179">
        <v>1994.2</v>
      </c>
      <c r="IV179" s="4" t="s">
        <v>18</v>
      </c>
      <c r="IW179" t="s">
        <v>53</v>
      </c>
      <c r="IX179" s="12" t="s">
        <v>52</v>
      </c>
      <c r="JA179">
        <v>0.5</v>
      </c>
      <c r="JB179" t="s">
        <v>29</v>
      </c>
      <c r="JC179" t="s">
        <v>29</v>
      </c>
      <c r="JD179" t="s">
        <v>29</v>
      </c>
      <c r="JE179" t="s">
        <v>29</v>
      </c>
      <c r="JF179" t="s">
        <v>29</v>
      </c>
      <c r="JG179" t="s">
        <v>29</v>
      </c>
      <c r="JH179" t="s">
        <v>29</v>
      </c>
      <c r="JI179" t="s">
        <v>29</v>
      </c>
      <c r="JJ179" t="s">
        <v>29</v>
      </c>
      <c r="JL179" s="12" t="s">
        <v>721</v>
      </c>
      <c r="JQ179" s="4"/>
      <c r="KG179" s="7" t="s">
        <v>12</v>
      </c>
      <c r="KK179" s="7" t="s">
        <v>719</v>
      </c>
      <c r="KL179" s="7" t="s">
        <v>51</v>
      </c>
      <c r="KN179" t="s">
        <v>29</v>
      </c>
      <c r="MZ179" t="s">
        <v>11</v>
      </c>
      <c r="NA179">
        <v>42</v>
      </c>
      <c r="NC179" s="4" t="s">
        <v>10</v>
      </c>
      <c r="NK179" t="s">
        <v>9</v>
      </c>
      <c r="NM179" s="4" t="s">
        <v>1156</v>
      </c>
      <c r="NN179" s="6" t="s">
        <v>7</v>
      </c>
      <c r="NW179" t="s">
        <v>6</v>
      </c>
      <c r="NX179" s="5" t="s">
        <v>84</v>
      </c>
      <c r="NY179" s="4" t="s">
        <v>4</v>
      </c>
      <c r="NZ179" s="3">
        <v>0.23221154656080012</v>
      </c>
      <c r="OC179">
        <v>4</v>
      </c>
      <c r="OT179" t="s">
        <v>80</v>
      </c>
      <c r="OV179">
        <v>1997</v>
      </c>
      <c r="OY179" s="2" t="s">
        <v>62</v>
      </c>
      <c r="PA179" t="s">
        <v>1169</v>
      </c>
      <c r="PB179" s="58">
        <v>46094</v>
      </c>
    </row>
    <row r="180" spans="1:418" ht="15.75" thickBot="1">
      <c r="A180" s="11" t="s">
        <v>36</v>
      </c>
      <c r="B180" t="s">
        <v>35</v>
      </c>
      <c r="C180" t="s">
        <v>34</v>
      </c>
      <c r="D180" s="4" t="s">
        <v>33</v>
      </c>
      <c r="E180" t="s">
        <v>32</v>
      </c>
      <c r="F180" s="4" t="s">
        <v>31</v>
      </c>
      <c r="G180" t="s">
        <v>2</v>
      </c>
      <c r="H180" t="s">
        <v>30</v>
      </c>
      <c r="I180" s="10">
        <v>0.1</v>
      </c>
      <c r="J180" s="10">
        <v>34.566667000000002</v>
      </c>
      <c r="K180" t="s">
        <v>29</v>
      </c>
      <c r="AV180" t="s">
        <v>28</v>
      </c>
      <c r="AW180">
        <v>100</v>
      </c>
      <c r="AX180" t="s">
        <v>29</v>
      </c>
      <c r="AY180">
        <v>4</v>
      </c>
      <c r="AZ180" t="s">
        <v>27</v>
      </c>
      <c r="BA180">
        <v>1994</v>
      </c>
      <c r="BB180">
        <v>1998</v>
      </c>
      <c r="BC180" t="s">
        <v>26</v>
      </c>
      <c r="BD180" t="s">
        <v>45</v>
      </c>
      <c r="BE180" s="10" t="s">
        <v>49</v>
      </c>
      <c r="BF180" t="s">
        <v>48</v>
      </c>
      <c r="BG180" s="3" t="s">
        <v>1233</v>
      </c>
      <c r="BH180" t="s">
        <v>23</v>
      </c>
      <c r="BI180" t="s">
        <v>750</v>
      </c>
      <c r="BJ180" s="4" t="s">
        <v>22</v>
      </c>
      <c r="BK180" s="9">
        <v>53000</v>
      </c>
      <c r="EF180" s="4"/>
      <c r="EG180" s="9"/>
      <c r="EH180" s="9"/>
      <c r="EI180" s="9"/>
      <c r="EJ180" s="9"/>
      <c r="EK180" s="9"/>
      <c r="EL180" s="9"/>
      <c r="EM180" s="9"/>
      <c r="EN180" s="9"/>
      <c r="EO180" s="9"/>
      <c r="EP180" s="9"/>
      <c r="EQ180" s="9"/>
      <c r="ER180" s="9"/>
      <c r="ES180" s="9"/>
      <c r="ET180" s="9"/>
      <c r="EU180" s="9"/>
      <c r="EV180" s="9"/>
      <c r="EW180" s="9"/>
      <c r="EX180" s="9"/>
      <c r="EY180" s="9"/>
      <c r="EZ180" s="9"/>
      <c r="FA180" s="9"/>
      <c r="FB180" s="9"/>
      <c r="FC180" s="9"/>
      <c r="FD180" s="9"/>
      <c r="FE180" s="9"/>
      <c r="FF180" s="9"/>
      <c r="FG180" s="9"/>
      <c r="FH180" s="9"/>
      <c r="FI180" s="9"/>
      <c r="FJ180" s="9"/>
      <c r="FK180" s="9"/>
      <c r="FL180" s="9"/>
      <c r="FM180" s="9"/>
      <c r="FN180" s="9"/>
      <c r="FO180" s="9"/>
      <c r="FP180" s="9"/>
      <c r="FQ180" s="9"/>
      <c r="FR180" s="9"/>
      <c r="FS180" s="9"/>
      <c r="FT180" s="9"/>
      <c r="FU180" s="9"/>
      <c r="FV180" s="9"/>
      <c r="FW180" s="9"/>
      <c r="FX180" s="9"/>
      <c r="FY180" s="9"/>
      <c r="FZ180" s="9"/>
      <c r="GA180" s="9"/>
      <c r="GB180" s="9"/>
      <c r="GC180" s="9"/>
      <c r="GD180" s="9"/>
      <c r="GE180" s="9"/>
      <c r="GF180" s="9"/>
      <c r="GG180" s="9"/>
      <c r="GH180" s="9"/>
      <c r="GI180" s="9"/>
      <c r="GJ180" s="9"/>
      <c r="GK180" s="9"/>
      <c r="GL180" s="9"/>
      <c r="GM180" s="9"/>
      <c r="GN180" s="9"/>
      <c r="GO180" s="9"/>
      <c r="GP180" s="9"/>
      <c r="GQ180" s="9"/>
      <c r="GR180" s="9"/>
      <c r="GS180" s="9"/>
      <c r="GT180" s="9"/>
      <c r="GU180" s="9"/>
      <c r="GV180" s="9"/>
      <c r="GW180" s="9"/>
      <c r="GX180" s="9"/>
      <c r="GY180" s="9"/>
      <c r="GZ180" s="9"/>
      <c r="HA180" s="9"/>
      <c r="HB180" s="9"/>
      <c r="HC180" s="9"/>
      <c r="HD180" s="9"/>
      <c r="HE180" s="9"/>
      <c r="HF180" s="9"/>
      <c r="HG180" s="9"/>
      <c r="HH180" s="9"/>
      <c r="HI180" s="9"/>
      <c r="HJ180" s="9"/>
      <c r="HK180" s="9"/>
      <c r="HR180" t="s">
        <v>21</v>
      </c>
      <c r="HT180" s="4" t="s">
        <v>20</v>
      </c>
      <c r="HU180" s="58">
        <v>34335</v>
      </c>
      <c r="HV180" s="58">
        <v>36160</v>
      </c>
      <c r="HW180" s="58"/>
      <c r="HX180" s="58"/>
      <c r="IP180" t="s">
        <v>47</v>
      </c>
      <c r="IQ180" s="54" t="s">
        <v>1226</v>
      </c>
      <c r="IT180">
        <v>1995</v>
      </c>
      <c r="IU180">
        <v>1995.2</v>
      </c>
      <c r="IV180" s="4" t="s">
        <v>18</v>
      </c>
      <c r="IW180" t="s">
        <v>38</v>
      </c>
      <c r="IX180" t="s">
        <v>19</v>
      </c>
      <c r="JB180">
        <v>0</v>
      </c>
      <c r="JC180">
        <v>0</v>
      </c>
      <c r="JD180">
        <v>0</v>
      </c>
      <c r="JE180">
        <v>0</v>
      </c>
      <c r="JF180">
        <v>0</v>
      </c>
      <c r="JG180">
        <v>0</v>
      </c>
      <c r="JH180">
        <v>0</v>
      </c>
      <c r="JI180">
        <v>0</v>
      </c>
      <c r="JJ180">
        <v>0</v>
      </c>
      <c r="JL180" s="12" t="s">
        <v>721</v>
      </c>
      <c r="JQ180" s="4"/>
      <c r="KG180" s="7" t="s">
        <v>12</v>
      </c>
      <c r="KK180" s="7" t="s">
        <v>720</v>
      </c>
      <c r="KL180" s="7"/>
      <c r="MZ180" t="s">
        <v>11</v>
      </c>
      <c r="NA180">
        <v>42</v>
      </c>
      <c r="NC180" s="4" t="s">
        <v>10</v>
      </c>
      <c r="NK180" t="s">
        <v>9</v>
      </c>
      <c r="NM180" s="4" t="s">
        <v>1156</v>
      </c>
      <c r="NN180" s="6" t="s">
        <v>7</v>
      </c>
      <c r="NW180" t="s">
        <v>6</v>
      </c>
      <c r="NX180">
        <v>2.2021013145851001</v>
      </c>
      <c r="NY180" s="4" t="s">
        <v>4</v>
      </c>
      <c r="NZ180" s="3">
        <v>0.21442168925026994</v>
      </c>
      <c r="OC180">
        <v>4</v>
      </c>
      <c r="OT180" t="s">
        <v>80</v>
      </c>
      <c r="OV180">
        <v>1997</v>
      </c>
      <c r="OY180" s="2" t="s">
        <v>62</v>
      </c>
      <c r="PA180" t="s">
        <v>1169</v>
      </c>
      <c r="PB180" s="58">
        <v>46094</v>
      </c>
    </row>
    <row r="181" spans="1:418" ht="15.75" thickBot="1">
      <c r="A181" s="11" t="s">
        <v>36</v>
      </c>
      <c r="B181" t="s">
        <v>35</v>
      </c>
      <c r="C181" t="s">
        <v>34</v>
      </c>
      <c r="D181" s="4" t="s">
        <v>33</v>
      </c>
      <c r="E181" t="s">
        <v>32</v>
      </c>
      <c r="F181" s="4" t="s">
        <v>31</v>
      </c>
      <c r="G181" t="s">
        <v>2</v>
      </c>
      <c r="H181" t="s">
        <v>30</v>
      </c>
      <c r="I181" s="10">
        <v>0.1</v>
      </c>
      <c r="J181" s="10">
        <v>34.566667000000002</v>
      </c>
      <c r="K181" t="s">
        <v>29</v>
      </c>
      <c r="AV181" t="s">
        <v>28</v>
      </c>
      <c r="AW181">
        <v>100</v>
      </c>
      <c r="AX181" t="s">
        <v>29</v>
      </c>
      <c r="AY181">
        <v>4</v>
      </c>
      <c r="AZ181" t="s">
        <v>27</v>
      </c>
      <c r="BA181">
        <v>1994</v>
      </c>
      <c r="BB181">
        <v>1998</v>
      </c>
      <c r="BC181" t="s">
        <v>26</v>
      </c>
      <c r="BD181" t="s">
        <v>45</v>
      </c>
      <c r="BE181" s="10" t="s">
        <v>44</v>
      </c>
      <c r="BF181" t="s">
        <v>43</v>
      </c>
      <c r="BG181" s="3" t="s">
        <v>1233</v>
      </c>
      <c r="BH181" t="s">
        <v>23</v>
      </c>
      <c r="BI181" t="s">
        <v>750</v>
      </c>
      <c r="BJ181" s="4" t="s">
        <v>22</v>
      </c>
      <c r="BK181" s="9">
        <v>53000</v>
      </c>
      <c r="EF181" s="4"/>
      <c r="EG181" s="9"/>
      <c r="EH181" s="9"/>
      <c r="EI181" s="9"/>
      <c r="EJ181" s="9"/>
      <c r="EK181" s="9"/>
      <c r="EL181" s="9"/>
      <c r="EM181" s="9"/>
      <c r="EN181" s="9"/>
      <c r="EO181" s="9"/>
      <c r="EP181" s="9"/>
      <c r="EQ181" s="9"/>
      <c r="ER181" s="9"/>
      <c r="ES181" s="9"/>
      <c r="ET181" s="9"/>
      <c r="EU181" s="9"/>
      <c r="EV181" s="9"/>
      <c r="EW181" s="9"/>
      <c r="EX181" s="9"/>
      <c r="EY181" s="9"/>
      <c r="EZ181" s="9"/>
      <c r="FA181" s="9"/>
      <c r="FB181" s="9"/>
      <c r="FC181" s="9"/>
      <c r="FD181" s="9"/>
      <c r="FE181" s="9"/>
      <c r="FF181" s="9"/>
      <c r="FG181" s="9"/>
      <c r="FH181" s="9"/>
      <c r="FI181" s="9"/>
      <c r="FJ181" s="9"/>
      <c r="FK181" s="9"/>
      <c r="FL181" s="9"/>
      <c r="FM181" s="9"/>
      <c r="FN181" s="9"/>
      <c r="FO181" s="9"/>
      <c r="FP181" s="9"/>
      <c r="FQ181" s="9"/>
      <c r="FR181" s="9"/>
      <c r="FS181" s="9"/>
      <c r="FT181" s="9"/>
      <c r="FU181" s="9"/>
      <c r="FV181" s="9"/>
      <c r="FW181" s="9"/>
      <c r="FX181" s="9"/>
      <c r="FY181" s="9"/>
      <c r="FZ181" s="9"/>
      <c r="GA181" s="9"/>
      <c r="GB181" s="9"/>
      <c r="GC181" s="9"/>
      <c r="GD181" s="9"/>
      <c r="GE181" s="9"/>
      <c r="GF181" s="9"/>
      <c r="GG181" s="9"/>
      <c r="GH181" s="9"/>
      <c r="GI181" s="9"/>
      <c r="GJ181" s="9"/>
      <c r="GK181" s="9"/>
      <c r="GL181" s="9"/>
      <c r="GM181" s="9"/>
      <c r="GN181" s="9"/>
      <c r="GO181" s="9"/>
      <c r="GP181" s="9"/>
      <c r="GQ181" s="9"/>
      <c r="GR181" s="9"/>
      <c r="GS181" s="9"/>
      <c r="GT181" s="9"/>
      <c r="GU181" s="9"/>
      <c r="GV181" s="9"/>
      <c r="GW181" s="9"/>
      <c r="GX181" s="9"/>
      <c r="GY181" s="9"/>
      <c r="GZ181" s="9"/>
      <c r="HA181" s="9"/>
      <c r="HB181" s="9"/>
      <c r="HC181" s="9"/>
      <c r="HD181" s="9"/>
      <c r="HE181" s="9"/>
      <c r="HF181" s="9"/>
      <c r="HG181" s="9"/>
      <c r="HH181" s="9"/>
      <c r="HI181" s="9"/>
      <c r="HJ181" s="9"/>
      <c r="HK181" s="9"/>
      <c r="HR181" t="s">
        <v>21</v>
      </c>
      <c r="HT181" s="4" t="s">
        <v>20</v>
      </c>
      <c r="HU181" s="58">
        <v>34335</v>
      </c>
      <c r="HV181" s="58">
        <v>36160</v>
      </c>
      <c r="HW181" s="58"/>
      <c r="HX181" s="58"/>
      <c r="IP181" t="s">
        <v>42</v>
      </c>
      <c r="IQ181" s="13" t="s">
        <v>1227</v>
      </c>
      <c r="IT181">
        <v>1994</v>
      </c>
      <c r="IU181">
        <v>1994.2</v>
      </c>
      <c r="IV181" s="4" t="s">
        <v>18</v>
      </c>
      <c r="IW181" t="s">
        <v>38</v>
      </c>
      <c r="IX181" t="s">
        <v>19</v>
      </c>
      <c r="JB181">
        <v>0</v>
      </c>
      <c r="JC181">
        <v>0</v>
      </c>
      <c r="JD181">
        <v>0</v>
      </c>
      <c r="JE181">
        <v>0</v>
      </c>
      <c r="JF181">
        <v>0</v>
      </c>
      <c r="JG181">
        <v>0</v>
      </c>
      <c r="JH181">
        <v>0</v>
      </c>
      <c r="JI181">
        <v>0</v>
      </c>
      <c r="JJ181">
        <v>0</v>
      </c>
      <c r="JL181" s="12" t="s">
        <v>721</v>
      </c>
      <c r="JQ181" s="4"/>
      <c r="KG181" s="7" t="s">
        <v>12</v>
      </c>
      <c r="KK181" s="7" t="s">
        <v>720</v>
      </c>
      <c r="KL181" s="7"/>
      <c r="MZ181" t="s">
        <v>11</v>
      </c>
      <c r="NA181">
        <v>42</v>
      </c>
      <c r="NC181" s="4" t="s">
        <v>10</v>
      </c>
      <c r="NK181" t="s">
        <v>9</v>
      </c>
      <c r="NM181" s="4" t="s">
        <v>1156</v>
      </c>
      <c r="NN181" s="6" t="s">
        <v>7</v>
      </c>
      <c r="NW181" t="s">
        <v>6</v>
      </c>
      <c r="NX181" s="5" t="s">
        <v>83</v>
      </c>
      <c r="NY181" s="4" t="s">
        <v>4</v>
      </c>
      <c r="NZ181" s="3">
        <v>0.21432061051556017</v>
      </c>
      <c r="OC181">
        <v>4</v>
      </c>
      <c r="OT181" t="s">
        <v>80</v>
      </c>
      <c r="OV181">
        <v>1997</v>
      </c>
      <c r="OY181" s="2" t="s">
        <v>62</v>
      </c>
      <c r="PA181" t="s">
        <v>1169</v>
      </c>
      <c r="PB181" s="58">
        <v>46094</v>
      </c>
    </row>
    <row r="182" spans="1:418" ht="15.75" thickBot="1">
      <c r="A182" s="11" t="s">
        <v>36</v>
      </c>
      <c r="B182" t="s">
        <v>35</v>
      </c>
      <c r="C182" t="s">
        <v>34</v>
      </c>
      <c r="D182" s="4" t="s">
        <v>33</v>
      </c>
      <c r="E182" t="s">
        <v>32</v>
      </c>
      <c r="F182" s="4" t="s">
        <v>31</v>
      </c>
      <c r="G182" t="s">
        <v>2</v>
      </c>
      <c r="H182" t="s">
        <v>30</v>
      </c>
      <c r="I182" s="10">
        <v>0.1</v>
      </c>
      <c r="J182" s="10">
        <v>34.566667000000002</v>
      </c>
      <c r="K182" t="s">
        <v>29</v>
      </c>
      <c r="AV182" t="s">
        <v>28</v>
      </c>
      <c r="AW182">
        <v>100</v>
      </c>
      <c r="AX182" t="s">
        <v>29</v>
      </c>
      <c r="AY182">
        <v>4</v>
      </c>
      <c r="AZ182" t="s">
        <v>27</v>
      </c>
      <c r="BA182">
        <v>1994</v>
      </c>
      <c r="BB182">
        <v>1998</v>
      </c>
      <c r="BC182" t="s">
        <v>26</v>
      </c>
      <c r="BD182" t="s">
        <v>19</v>
      </c>
      <c r="BE182" s="10" t="s">
        <v>40</v>
      </c>
      <c r="BF182" t="s">
        <v>39</v>
      </c>
      <c r="BG182" s="3" t="s">
        <v>1233</v>
      </c>
      <c r="BH182" t="s">
        <v>23</v>
      </c>
      <c r="BI182" t="s">
        <v>750</v>
      </c>
      <c r="BJ182" s="4" t="s">
        <v>22</v>
      </c>
      <c r="BK182" s="9">
        <v>53000</v>
      </c>
      <c r="HR182" t="s">
        <v>21</v>
      </c>
      <c r="HT182" s="4" t="s">
        <v>20</v>
      </c>
      <c r="HU182" s="58">
        <v>34335</v>
      </c>
      <c r="HV182" s="58">
        <v>36160</v>
      </c>
      <c r="HW182" s="58"/>
      <c r="HX182" s="58"/>
      <c r="IP182" t="s">
        <v>38</v>
      </c>
      <c r="IQ182" s="54" t="s">
        <v>19</v>
      </c>
      <c r="IV182" s="4" t="s">
        <v>18</v>
      </c>
      <c r="IW182" t="s">
        <v>38</v>
      </c>
      <c r="IX182" s="54" t="s">
        <v>19</v>
      </c>
      <c r="JB182">
        <v>0</v>
      </c>
      <c r="JC182">
        <v>0</v>
      </c>
      <c r="JD182">
        <v>0</v>
      </c>
      <c r="JE182">
        <v>0</v>
      </c>
      <c r="JF182">
        <v>0</v>
      </c>
      <c r="JG182">
        <v>0</v>
      </c>
      <c r="JH182">
        <v>0</v>
      </c>
      <c r="JI182">
        <v>0</v>
      </c>
      <c r="JJ182">
        <v>0</v>
      </c>
      <c r="JL182" s="12" t="s">
        <v>721</v>
      </c>
      <c r="JQ182" s="4"/>
      <c r="KG182" s="7" t="s">
        <v>12</v>
      </c>
      <c r="KK182" s="7" t="s">
        <v>720</v>
      </c>
      <c r="KL182" s="7"/>
      <c r="MZ182" t="s">
        <v>11</v>
      </c>
      <c r="NA182">
        <v>42</v>
      </c>
      <c r="NC182" s="4" t="s">
        <v>10</v>
      </c>
      <c r="NK182" t="s">
        <v>9</v>
      </c>
      <c r="NM182" s="4" t="s">
        <v>1156</v>
      </c>
      <c r="NN182" s="6" t="s">
        <v>7</v>
      </c>
      <c r="NV182" t="s">
        <v>735</v>
      </c>
      <c r="NW182" t="s">
        <v>6</v>
      </c>
      <c r="NX182" s="5" t="s">
        <v>82</v>
      </c>
      <c r="NY182" s="4" t="s">
        <v>4</v>
      </c>
      <c r="NZ182" s="3">
        <v>0.23217785364921983</v>
      </c>
      <c r="OC182">
        <v>4</v>
      </c>
      <c r="OT182" t="s">
        <v>80</v>
      </c>
      <c r="OV182">
        <v>1997</v>
      </c>
      <c r="OY182" s="2" t="s">
        <v>62</v>
      </c>
      <c r="PA182" t="s">
        <v>1169</v>
      </c>
      <c r="PB182" s="58">
        <v>46094</v>
      </c>
    </row>
    <row r="183" spans="1:418" ht="15.75" thickBot="1">
      <c r="A183" s="11" t="s">
        <v>36</v>
      </c>
      <c r="B183" t="s">
        <v>35</v>
      </c>
      <c r="C183" t="s">
        <v>34</v>
      </c>
      <c r="D183" s="4" t="s">
        <v>33</v>
      </c>
      <c r="E183" t="s">
        <v>32</v>
      </c>
      <c r="F183" s="4" t="s">
        <v>31</v>
      </c>
      <c r="G183" t="s">
        <v>2</v>
      </c>
      <c r="H183" t="s">
        <v>30</v>
      </c>
      <c r="I183" s="10">
        <v>0.1</v>
      </c>
      <c r="J183" s="10">
        <v>34.566667000000002</v>
      </c>
      <c r="K183" t="s">
        <v>29</v>
      </c>
      <c r="AV183" t="s">
        <v>28</v>
      </c>
      <c r="AW183">
        <v>100</v>
      </c>
      <c r="AX183" t="s">
        <v>29</v>
      </c>
      <c r="AY183">
        <v>4</v>
      </c>
      <c r="AZ183" t="s">
        <v>27</v>
      </c>
      <c r="BA183">
        <v>1994</v>
      </c>
      <c r="BB183">
        <v>1998</v>
      </c>
      <c r="BC183" t="s">
        <v>26</v>
      </c>
      <c r="BD183" t="s">
        <v>19</v>
      </c>
      <c r="BE183" s="10" t="s">
        <v>25</v>
      </c>
      <c r="BF183" t="s">
        <v>24</v>
      </c>
      <c r="BG183" s="3" t="s">
        <v>1233</v>
      </c>
      <c r="BH183" t="s">
        <v>23</v>
      </c>
      <c r="BI183" t="s">
        <v>750</v>
      </c>
      <c r="BJ183" s="4" t="s">
        <v>22</v>
      </c>
      <c r="BK183" s="9">
        <v>53000</v>
      </c>
      <c r="HR183" t="s">
        <v>21</v>
      </c>
      <c r="HT183" s="4" t="s">
        <v>20</v>
      </c>
      <c r="HU183" s="58">
        <v>34335</v>
      </c>
      <c r="HV183" s="58">
        <v>36160</v>
      </c>
      <c r="HW183" s="58"/>
      <c r="HX183" s="58"/>
      <c r="IP183" t="s">
        <v>16</v>
      </c>
      <c r="IQ183" s="54" t="s">
        <v>19</v>
      </c>
      <c r="IV183" s="4" t="s">
        <v>18</v>
      </c>
      <c r="IW183" t="s">
        <v>17</v>
      </c>
      <c r="IX183" s="54" t="s">
        <v>19</v>
      </c>
      <c r="JB183">
        <v>0</v>
      </c>
      <c r="JC183">
        <v>0</v>
      </c>
      <c r="JD183">
        <v>0</v>
      </c>
      <c r="JE183">
        <v>0</v>
      </c>
      <c r="JF183">
        <v>0</v>
      </c>
      <c r="JG183">
        <v>0</v>
      </c>
      <c r="JH183">
        <v>0</v>
      </c>
      <c r="JI183">
        <v>0</v>
      </c>
      <c r="JJ183">
        <v>0</v>
      </c>
      <c r="JK183" t="s">
        <v>16</v>
      </c>
      <c r="JL183" t="s">
        <v>15</v>
      </c>
      <c r="JM183" s="8" t="s">
        <v>14</v>
      </c>
      <c r="JQ183" s="4" t="s">
        <v>13</v>
      </c>
      <c r="JR183">
        <v>60</v>
      </c>
      <c r="JU183">
        <v>60</v>
      </c>
      <c r="KG183" s="7" t="s">
        <v>12</v>
      </c>
      <c r="KK183" s="7" t="s">
        <v>720</v>
      </c>
      <c r="KL183" s="7"/>
      <c r="MZ183" t="s">
        <v>11</v>
      </c>
      <c r="NA183">
        <v>42</v>
      </c>
      <c r="NC183" s="4" t="s">
        <v>10</v>
      </c>
      <c r="NK183" t="s">
        <v>9</v>
      </c>
      <c r="NM183" s="4" t="s">
        <v>1156</v>
      </c>
      <c r="NN183" s="6" t="s">
        <v>7</v>
      </c>
      <c r="NV183" t="s">
        <v>747</v>
      </c>
      <c r="NW183" t="s">
        <v>6</v>
      </c>
      <c r="NX183" s="5" t="s">
        <v>81</v>
      </c>
      <c r="NY183" s="4" t="s">
        <v>4</v>
      </c>
      <c r="NZ183" s="3">
        <v>0.30367421200702971</v>
      </c>
      <c r="OC183">
        <v>4</v>
      </c>
      <c r="OT183" t="s">
        <v>80</v>
      </c>
      <c r="OV183">
        <v>1997</v>
      </c>
      <c r="OY183" s="2" t="s">
        <v>62</v>
      </c>
      <c r="PA183" t="s">
        <v>1169</v>
      </c>
      <c r="PB183" s="58">
        <v>46094</v>
      </c>
    </row>
    <row r="184" spans="1:418" ht="15.75" thickBot="1">
      <c r="A184" s="11" t="s">
        <v>36</v>
      </c>
      <c r="B184" t="s">
        <v>35</v>
      </c>
      <c r="C184" t="s">
        <v>34</v>
      </c>
      <c r="D184" s="4" t="s">
        <v>33</v>
      </c>
      <c r="E184" t="s">
        <v>32</v>
      </c>
      <c r="F184" s="4" t="s">
        <v>31</v>
      </c>
      <c r="G184" t="s">
        <v>2</v>
      </c>
      <c r="H184" t="s">
        <v>30</v>
      </c>
      <c r="I184" s="10">
        <v>0.1</v>
      </c>
      <c r="J184" s="10">
        <v>34.566667000000002</v>
      </c>
      <c r="K184" t="s">
        <v>29</v>
      </c>
      <c r="AV184" t="s">
        <v>28</v>
      </c>
      <c r="AW184">
        <v>100</v>
      </c>
      <c r="AX184" t="s">
        <v>29</v>
      </c>
      <c r="AY184">
        <v>4</v>
      </c>
      <c r="AZ184" t="s">
        <v>27</v>
      </c>
      <c r="BA184">
        <v>1994</v>
      </c>
      <c r="BB184">
        <v>1998</v>
      </c>
      <c r="BC184" t="s">
        <v>26</v>
      </c>
      <c r="BD184" t="s">
        <v>59</v>
      </c>
      <c r="BE184" s="10" t="s">
        <v>65</v>
      </c>
      <c r="BF184" t="s">
        <v>64</v>
      </c>
      <c r="BG184" s="3" t="s">
        <v>1233</v>
      </c>
      <c r="BH184" t="s">
        <v>23</v>
      </c>
      <c r="BI184" t="s">
        <v>750</v>
      </c>
      <c r="BJ184" s="4" t="s">
        <v>22</v>
      </c>
      <c r="BK184" s="9">
        <v>53000</v>
      </c>
      <c r="EE184" t="s">
        <v>55</v>
      </c>
      <c r="EF184" s="4" t="s">
        <v>22</v>
      </c>
      <c r="EG184" s="9">
        <v>53000</v>
      </c>
      <c r="EH184" s="9"/>
      <c r="EI184" s="9"/>
      <c r="EJ184" s="9"/>
      <c r="EK184" s="9"/>
      <c r="EL184" s="9"/>
      <c r="EM184" s="9"/>
      <c r="EN184" s="9"/>
      <c r="EO184" s="9"/>
      <c r="EP184" s="9"/>
      <c r="EQ184" s="9"/>
      <c r="ER184" s="9"/>
      <c r="ES184" s="9"/>
      <c r="ET184" s="9"/>
      <c r="EU184" s="9"/>
      <c r="EV184" s="9"/>
      <c r="EW184" s="9"/>
      <c r="EX184" s="9"/>
      <c r="EY184" s="9"/>
      <c r="EZ184" s="9"/>
      <c r="FA184" s="9"/>
      <c r="FB184" s="9"/>
      <c r="FC184" s="9"/>
      <c r="FD184" s="9"/>
      <c r="FE184" s="9"/>
      <c r="FF184" s="9"/>
      <c r="FG184" s="9"/>
      <c r="FH184" s="9"/>
      <c r="FI184" s="9"/>
      <c r="FJ184" s="9"/>
      <c r="FK184" s="9"/>
      <c r="FL184" s="9"/>
      <c r="FM184" s="9"/>
      <c r="FN184" s="9"/>
      <c r="FO184" s="9"/>
      <c r="FP184" s="9"/>
      <c r="FQ184" s="9"/>
      <c r="FR184" s="9"/>
      <c r="FS184" s="9"/>
      <c r="FT184" s="9"/>
      <c r="FU184" s="9"/>
      <c r="FV184" s="9"/>
      <c r="FW184" s="9"/>
      <c r="FX184" s="9"/>
      <c r="FY184" s="9"/>
      <c r="FZ184" s="9"/>
      <c r="GA184" s="9"/>
      <c r="GB184" s="9"/>
      <c r="GC184" s="9"/>
      <c r="GD184" s="9"/>
      <c r="GE184" s="9"/>
      <c r="GF184" s="9"/>
      <c r="GG184" s="9"/>
      <c r="GH184" s="9"/>
      <c r="GI184" s="9"/>
      <c r="GJ184" s="9"/>
      <c r="GK184" s="9"/>
      <c r="GL184" s="9"/>
      <c r="GM184" s="9"/>
      <c r="GN184" s="9"/>
      <c r="GO184" s="9"/>
      <c r="GP184" s="9"/>
      <c r="GQ184" s="9"/>
      <c r="GR184" s="9"/>
      <c r="GS184" s="9"/>
      <c r="GT184" s="9"/>
      <c r="GU184" s="9"/>
      <c r="GV184" s="9"/>
      <c r="GW184" s="9"/>
      <c r="GX184" s="9"/>
      <c r="GY184" s="9"/>
      <c r="GZ184" s="9"/>
      <c r="HA184" s="9"/>
      <c r="HB184" s="9"/>
      <c r="HC184" s="9"/>
      <c r="HD184" s="9"/>
      <c r="HE184" s="9"/>
      <c r="HF184" s="9"/>
      <c r="HG184" s="9"/>
      <c r="HH184" s="9"/>
      <c r="HI184" s="9"/>
      <c r="HJ184" s="9"/>
      <c r="HK184" s="9"/>
      <c r="HR184" t="s">
        <v>21</v>
      </c>
      <c r="HT184" s="4" t="s">
        <v>20</v>
      </c>
      <c r="HU184" s="58">
        <v>34335</v>
      </c>
      <c r="HV184" s="58">
        <v>36160</v>
      </c>
      <c r="HW184" s="58"/>
      <c r="HX184" s="58"/>
      <c r="IO184" s="4"/>
      <c r="IP184" t="s">
        <v>63</v>
      </c>
      <c r="IQ184" s="12" t="s">
        <v>1718</v>
      </c>
      <c r="IT184">
        <v>1995</v>
      </c>
      <c r="IU184">
        <v>1995.2</v>
      </c>
      <c r="IV184" s="4" t="s">
        <v>18</v>
      </c>
      <c r="IW184" t="s">
        <v>61</v>
      </c>
      <c r="IX184" s="12" t="s">
        <v>52</v>
      </c>
      <c r="JA184">
        <v>0.5</v>
      </c>
      <c r="JB184" t="s">
        <v>29</v>
      </c>
      <c r="JC184" t="s">
        <v>29</v>
      </c>
      <c r="JD184" t="s">
        <v>29</v>
      </c>
      <c r="JE184" t="s">
        <v>29</v>
      </c>
      <c r="JF184" t="s">
        <v>29</v>
      </c>
      <c r="JG184" t="s">
        <v>29</v>
      </c>
      <c r="JH184" t="s">
        <v>29</v>
      </c>
      <c r="JI184" t="s">
        <v>29</v>
      </c>
      <c r="JJ184" t="s">
        <v>29</v>
      </c>
      <c r="JL184" s="12" t="s">
        <v>721</v>
      </c>
      <c r="JQ184" s="4"/>
      <c r="KG184" s="7" t="s">
        <v>12</v>
      </c>
      <c r="KK184" s="7" t="s">
        <v>719</v>
      </c>
      <c r="KL184" s="7" t="s">
        <v>51</v>
      </c>
      <c r="KN184" t="s">
        <v>29</v>
      </c>
      <c r="MZ184" t="s">
        <v>11</v>
      </c>
      <c r="NA184">
        <v>42</v>
      </c>
      <c r="NC184" s="4" t="s">
        <v>10</v>
      </c>
      <c r="NK184" t="s">
        <v>9</v>
      </c>
      <c r="NM184" s="4" t="s">
        <v>1156</v>
      </c>
      <c r="NN184" s="6" t="s">
        <v>7</v>
      </c>
      <c r="NW184" t="s">
        <v>6</v>
      </c>
      <c r="NX184" s="5" t="s">
        <v>79</v>
      </c>
      <c r="NY184" s="4" t="s">
        <v>4</v>
      </c>
      <c r="NZ184" s="3">
        <v>0.19639598155875015</v>
      </c>
      <c r="OC184">
        <v>4</v>
      </c>
      <c r="OT184" t="s">
        <v>73</v>
      </c>
      <c r="OV184">
        <v>1998</v>
      </c>
      <c r="OY184" s="2" t="s">
        <v>62</v>
      </c>
      <c r="PA184" t="s">
        <v>1169</v>
      </c>
      <c r="PB184" s="58">
        <v>46094</v>
      </c>
    </row>
    <row r="185" spans="1:418" ht="15.75" thickBot="1">
      <c r="A185" s="11" t="s">
        <v>36</v>
      </c>
      <c r="B185" t="s">
        <v>35</v>
      </c>
      <c r="C185" t="s">
        <v>34</v>
      </c>
      <c r="D185" s="4" t="s">
        <v>33</v>
      </c>
      <c r="E185" t="s">
        <v>32</v>
      </c>
      <c r="F185" s="4" t="s">
        <v>31</v>
      </c>
      <c r="G185" t="s">
        <v>2</v>
      </c>
      <c r="H185" t="s">
        <v>30</v>
      </c>
      <c r="I185" s="10">
        <v>0.1</v>
      </c>
      <c r="J185" s="10">
        <v>34.566667000000002</v>
      </c>
      <c r="K185" t="s">
        <v>29</v>
      </c>
      <c r="AV185" t="s">
        <v>28</v>
      </c>
      <c r="AW185">
        <v>100</v>
      </c>
      <c r="AX185" t="s">
        <v>29</v>
      </c>
      <c r="AY185">
        <v>4</v>
      </c>
      <c r="AZ185" t="s">
        <v>27</v>
      </c>
      <c r="BA185">
        <v>1994</v>
      </c>
      <c r="BB185">
        <v>1998</v>
      </c>
      <c r="BC185" t="s">
        <v>26</v>
      </c>
      <c r="BD185" t="s">
        <v>59</v>
      </c>
      <c r="BE185" s="10" t="s">
        <v>58</v>
      </c>
      <c r="BF185" t="s">
        <v>57</v>
      </c>
      <c r="BG185" s="3" t="s">
        <v>1233</v>
      </c>
      <c r="BH185" t="s">
        <v>23</v>
      </c>
      <c r="BI185" t="s">
        <v>750</v>
      </c>
      <c r="BJ185" s="4" t="s">
        <v>22</v>
      </c>
      <c r="BK185" s="9">
        <v>53000</v>
      </c>
      <c r="EE185" t="s">
        <v>55</v>
      </c>
      <c r="EF185" s="4" t="s">
        <v>22</v>
      </c>
      <c r="EG185" s="9">
        <v>53000</v>
      </c>
      <c r="EH185" s="9"/>
      <c r="EI185" s="9"/>
      <c r="EJ185" s="9"/>
      <c r="EK185" s="9"/>
      <c r="EL185" s="9"/>
      <c r="EM185" s="9"/>
      <c r="EN185" s="9"/>
      <c r="EO185" s="9"/>
      <c r="EP185" s="9"/>
      <c r="EQ185" s="9"/>
      <c r="ER185" s="9"/>
      <c r="ES185" s="9"/>
      <c r="ET185" s="9"/>
      <c r="EU185" s="9"/>
      <c r="EV185" s="9"/>
      <c r="EW185" s="9"/>
      <c r="EX185" s="9"/>
      <c r="EY185" s="9"/>
      <c r="EZ185" s="9"/>
      <c r="FA185" s="9"/>
      <c r="FB185" s="9"/>
      <c r="FC185" s="9"/>
      <c r="FD185" s="9"/>
      <c r="FE185" s="9"/>
      <c r="FF185" s="9"/>
      <c r="FG185" s="9"/>
      <c r="FH185" s="9"/>
      <c r="FI185" s="9"/>
      <c r="FJ185" s="9"/>
      <c r="FK185" s="9"/>
      <c r="FL185" s="9"/>
      <c r="FM185" s="9"/>
      <c r="FN185" s="9"/>
      <c r="FO185" s="9"/>
      <c r="FP185" s="9"/>
      <c r="FQ185" s="9"/>
      <c r="FR185" s="9"/>
      <c r="FS185" s="9"/>
      <c r="FT185" s="9"/>
      <c r="FU185" s="9"/>
      <c r="FV185" s="9"/>
      <c r="FW185" s="9"/>
      <c r="FX185" s="9"/>
      <c r="FY185" s="9"/>
      <c r="FZ185" s="9"/>
      <c r="GA185" s="9"/>
      <c r="GB185" s="9"/>
      <c r="GC185" s="9"/>
      <c r="GD185" s="9"/>
      <c r="GE185" s="9"/>
      <c r="GF185" s="9"/>
      <c r="GG185" s="9"/>
      <c r="GH185" s="9"/>
      <c r="GI185" s="9"/>
      <c r="GJ185" s="9"/>
      <c r="GK185" s="9"/>
      <c r="GL185" s="9"/>
      <c r="GM185" s="9"/>
      <c r="GN185" s="9"/>
      <c r="GO185" s="9"/>
      <c r="GP185" s="9"/>
      <c r="GQ185" s="9"/>
      <c r="GR185" s="9"/>
      <c r="GS185" s="9"/>
      <c r="GT185" s="9"/>
      <c r="GU185" s="9"/>
      <c r="GV185" s="9"/>
      <c r="GW185" s="9"/>
      <c r="GX185" s="9"/>
      <c r="GY185" s="9"/>
      <c r="GZ185" s="9"/>
      <c r="HA185" s="9"/>
      <c r="HB185" s="9"/>
      <c r="HC185" s="9"/>
      <c r="HD185" s="9"/>
      <c r="HE185" s="9"/>
      <c r="HF185" s="9"/>
      <c r="HG185" s="9"/>
      <c r="HH185" s="9"/>
      <c r="HI185" s="9"/>
      <c r="HJ185" s="9"/>
      <c r="HK185" s="9"/>
      <c r="HR185" t="s">
        <v>21</v>
      </c>
      <c r="HT185" s="4" t="s">
        <v>20</v>
      </c>
      <c r="HU185" s="58">
        <v>34335</v>
      </c>
      <c r="HV185" s="58">
        <v>36160</v>
      </c>
      <c r="HW185" s="58"/>
      <c r="HX185" s="58"/>
      <c r="IO185" s="4"/>
      <c r="IP185" t="s">
        <v>54</v>
      </c>
      <c r="IQ185" s="12" t="s">
        <v>1719</v>
      </c>
      <c r="IT185">
        <v>1994</v>
      </c>
      <c r="IU185">
        <v>1994.2</v>
      </c>
      <c r="IV185" s="4" t="s">
        <v>18</v>
      </c>
      <c r="IW185" t="s">
        <v>53</v>
      </c>
      <c r="IX185" s="12" t="s">
        <v>52</v>
      </c>
      <c r="JA185">
        <v>0.5</v>
      </c>
      <c r="JB185" t="s">
        <v>29</v>
      </c>
      <c r="JC185" t="s">
        <v>29</v>
      </c>
      <c r="JD185" t="s">
        <v>29</v>
      </c>
      <c r="JE185" t="s">
        <v>29</v>
      </c>
      <c r="JF185" t="s">
        <v>29</v>
      </c>
      <c r="JG185" t="s">
        <v>29</v>
      </c>
      <c r="JH185" t="s">
        <v>29</v>
      </c>
      <c r="JI185" t="s">
        <v>29</v>
      </c>
      <c r="JJ185" t="s">
        <v>29</v>
      </c>
      <c r="JL185" s="12" t="s">
        <v>721</v>
      </c>
      <c r="JQ185" s="4"/>
      <c r="KG185" s="7" t="s">
        <v>12</v>
      </c>
      <c r="KK185" s="7" t="s">
        <v>719</v>
      </c>
      <c r="KL185" s="7" t="s">
        <v>51</v>
      </c>
      <c r="KN185" t="s">
        <v>29</v>
      </c>
      <c r="MZ185" t="s">
        <v>11</v>
      </c>
      <c r="NA185">
        <v>42</v>
      </c>
      <c r="NC185" s="4" t="s">
        <v>10</v>
      </c>
      <c r="NK185" t="s">
        <v>9</v>
      </c>
      <c r="NM185" s="4" t="s">
        <v>1156</v>
      </c>
      <c r="NN185" s="6" t="s">
        <v>7</v>
      </c>
      <c r="NW185" t="s">
        <v>6</v>
      </c>
      <c r="NX185" s="5" t="s">
        <v>78</v>
      </c>
      <c r="NY185" s="4" t="s">
        <v>4</v>
      </c>
      <c r="NZ185" s="3">
        <v>0.19649706029347014</v>
      </c>
      <c r="OC185">
        <v>4</v>
      </c>
      <c r="OT185" t="s">
        <v>73</v>
      </c>
      <c r="OV185">
        <v>1998</v>
      </c>
      <c r="OY185" s="2" t="s">
        <v>62</v>
      </c>
      <c r="PA185" t="s">
        <v>1169</v>
      </c>
      <c r="PB185" s="58">
        <v>46094</v>
      </c>
    </row>
    <row r="186" spans="1:418" ht="15.75" thickBot="1">
      <c r="A186" s="11" t="s">
        <v>36</v>
      </c>
      <c r="B186" t="s">
        <v>35</v>
      </c>
      <c r="C186" t="s">
        <v>34</v>
      </c>
      <c r="D186" s="4" t="s">
        <v>33</v>
      </c>
      <c r="E186" t="s">
        <v>32</v>
      </c>
      <c r="F186" s="4" t="s">
        <v>31</v>
      </c>
      <c r="G186" t="s">
        <v>2</v>
      </c>
      <c r="H186" t="s">
        <v>30</v>
      </c>
      <c r="I186" s="10">
        <v>0.1</v>
      </c>
      <c r="J186" s="10">
        <v>34.566667000000002</v>
      </c>
      <c r="K186" t="s">
        <v>29</v>
      </c>
      <c r="AV186" t="s">
        <v>28</v>
      </c>
      <c r="AW186">
        <v>100</v>
      </c>
      <c r="AX186" t="s">
        <v>29</v>
      </c>
      <c r="AY186">
        <v>4</v>
      </c>
      <c r="AZ186" t="s">
        <v>27</v>
      </c>
      <c r="BA186">
        <v>1994</v>
      </c>
      <c r="BB186">
        <v>1998</v>
      </c>
      <c r="BC186" t="s">
        <v>26</v>
      </c>
      <c r="BD186" t="s">
        <v>45</v>
      </c>
      <c r="BE186" s="10" t="s">
        <v>49</v>
      </c>
      <c r="BF186" t="s">
        <v>48</v>
      </c>
      <c r="BG186" s="3" t="s">
        <v>1233</v>
      </c>
      <c r="BH186" t="s">
        <v>23</v>
      </c>
      <c r="BI186" t="s">
        <v>750</v>
      </c>
      <c r="BJ186" s="4" t="s">
        <v>22</v>
      </c>
      <c r="BK186" s="9">
        <v>53000</v>
      </c>
      <c r="EF186" s="4"/>
      <c r="EG186" s="9"/>
      <c r="EH186" s="9"/>
      <c r="EI186" s="9"/>
      <c r="EJ186" s="9"/>
      <c r="EK186" s="9"/>
      <c r="EL186" s="9"/>
      <c r="EM186" s="9"/>
      <c r="EN186" s="9"/>
      <c r="EO186" s="9"/>
      <c r="EP186" s="9"/>
      <c r="EQ186" s="9"/>
      <c r="ER186" s="9"/>
      <c r="ES186" s="9"/>
      <c r="ET186" s="9"/>
      <c r="EU186" s="9"/>
      <c r="EV186" s="9"/>
      <c r="EW186" s="9"/>
      <c r="EX186" s="9"/>
      <c r="EY186" s="9"/>
      <c r="EZ186" s="9"/>
      <c r="FA186" s="9"/>
      <c r="FB186" s="9"/>
      <c r="FC186" s="9"/>
      <c r="FD186" s="9"/>
      <c r="FE186" s="9"/>
      <c r="FF186" s="9"/>
      <c r="FG186" s="9"/>
      <c r="FH186" s="9"/>
      <c r="FI186" s="9"/>
      <c r="FJ186" s="9"/>
      <c r="FK186" s="9"/>
      <c r="FL186" s="9"/>
      <c r="FM186" s="9"/>
      <c r="FN186" s="9"/>
      <c r="FO186" s="9"/>
      <c r="FP186" s="9"/>
      <c r="FQ186" s="9"/>
      <c r="FR186" s="9"/>
      <c r="FS186" s="9"/>
      <c r="FT186" s="9"/>
      <c r="FU186" s="9"/>
      <c r="FV186" s="9"/>
      <c r="FW186" s="9"/>
      <c r="FX186" s="9"/>
      <c r="FY186" s="9"/>
      <c r="FZ186" s="9"/>
      <c r="GA186" s="9"/>
      <c r="GB186" s="9"/>
      <c r="GC186" s="9"/>
      <c r="GD186" s="9"/>
      <c r="GE186" s="9"/>
      <c r="GF186" s="9"/>
      <c r="GG186" s="9"/>
      <c r="GH186" s="9"/>
      <c r="GI186" s="9"/>
      <c r="GJ186" s="9"/>
      <c r="GK186" s="9"/>
      <c r="GL186" s="9"/>
      <c r="GM186" s="9"/>
      <c r="GN186" s="9"/>
      <c r="GO186" s="9"/>
      <c r="GP186" s="9"/>
      <c r="GQ186" s="9"/>
      <c r="GR186" s="9"/>
      <c r="GS186" s="9"/>
      <c r="GT186" s="9"/>
      <c r="GU186" s="9"/>
      <c r="GV186" s="9"/>
      <c r="GW186" s="9"/>
      <c r="GX186" s="9"/>
      <c r="GY186" s="9"/>
      <c r="GZ186" s="9"/>
      <c r="HA186" s="9"/>
      <c r="HB186" s="9"/>
      <c r="HC186" s="9"/>
      <c r="HD186" s="9"/>
      <c r="HE186" s="9"/>
      <c r="HF186" s="9"/>
      <c r="HG186" s="9"/>
      <c r="HH186" s="9"/>
      <c r="HI186" s="9"/>
      <c r="HJ186" s="9"/>
      <c r="HK186" s="9"/>
      <c r="HR186" t="s">
        <v>21</v>
      </c>
      <c r="HT186" s="4" t="s">
        <v>20</v>
      </c>
      <c r="HU186" s="58">
        <v>34335</v>
      </c>
      <c r="HV186" s="58">
        <v>36160</v>
      </c>
      <c r="HW186" s="58"/>
      <c r="HX186" s="58"/>
      <c r="IP186" t="s">
        <v>47</v>
      </c>
      <c r="IQ186" s="54" t="s">
        <v>1226</v>
      </c>
      <c r="IT186">
        <v>1995</v>
      </c>
      <c r="IU186">
        <v>1995.2</v>
      </c>
      <c r="IV186" s="4" t="s">
        <v>18</v>
      </c>
      <c r="IW186" t="s">
        <v>38</v>
      </c>
      <c r="IX186" t="s">
        <v>19</v>
      </c>
      <c r="JB186">
        <v>0</v>
      </c>
      <c r="JC186">
        <v>0</v>
      </c>
      <c r="JD186">
        <v>0</v>
      </c>
      <c r="JE186">
        <v>0</v>
      </c>
      <c r="JF186">
        <v>0</v>
      </c>
      <c r="JG186">
        <v>0</v>
      </c>
      <c r="JH186">
        <v>0</v>
      </c>
      <c r="JI186">
        <v>0</v>
      </c>
      <c r="JJ186">
        <v>0</v>
      </c>
      <c r="JL186" s="12" t="s">
        <v>721</v>
      </c>
      <c r="JQ186" s="4"/>
      <c r="KG186" s="7" t="s">
        <v>12</v>
      </c>
      <c r="KK186" s="7" t="s">
        <v>720</v>
      </c>
      <c r="KL186" s="7"/>
      <c r="MZ186" t="s">
        <v>11</v>
      </c>
      <c r="NA186">
        <v>42</v>
      </c>
      <c r="NC186" s="4" t="s">
        <v>10</v>
      </c>
      <c r="NK186" t="s">
        <v>9</v>
      </c>
      <c r="NM186" s="4" t="s">
        <v>1156</v>
      </c>
      <c r="NN186" s="6" t="s">
        <v>7</v>
      </c>
      <c r="NW186" t="s">
        <v>6</v>
      </c>
      <c r="NX186" s="5" t="s">
        <v>77</v>
      </c>
      <c r="NY186" s="4" t="s">
        <v>4</v>
      </c>
      <c r="NZ186" s="3">
        <v>0.14279055924617001</v>
      </c>
      <c r="OC186">
        <v>4</v>
      </c>
      <c r="OT186" t="s">
        <v>73</v>
      </c>
      <c r="OV186">
        <v>1998</v>
      </c>
      <c r="OY186" s="2" t="s">
        <v>62</v>
      </c>
      <c r="PA186" t="s">
        <v>1169</v>
      </c>
      <c r="PB186" s="58">
        <v>46094</v>
      </c>
    </row>
    <row r="187" spans="1:418" ht="15.75" thickBot="1">
      <c r="A187" s="11" t="s">
        <v>36</v>
      </c>
      <c r="B187" t="s">
        <v>35</v>
      </c>
      <c r="C187" t="s">
        <v>34</v>
      </c>
      <c r="D187" s="4" t="s">
        <v>33</v>
      </c>
      <c r="E187" t="s">
        <v>32</v>
      </c>
      <c r="F187" s="4" t="s">
        <v>31</v>
      </c>
      <c r="G187" t="s">
        <v>2</v>
      </c>
      <c r="H187" t="s">
        <v>30</v>
      </c>
      <c r="I187" s="10">
        <v>0.1</v>
      </c>
      <c r="J187" s="10">
        <v>34.566667000000002</v>
      </c>
      <c r="K187" t="s">
        <v>29</v>
      </c>
      <c r="AV187" t="s">
        <v>28</v>
      </c>
      <c r="AW187">
        <v>100</v>
      </c>
      <c r="AX187" t="s">
        <v>29</v>
      </c>
      <c r="AY187">
        <v>4</v>
      </c>
      <c r="AZ187" t="s">
        <v>27</v>
      </c>
      <c r="BA187">
        <v>1994</v>
      </c>
      <c r="BB187">
        <v>1998</v>
      </c>
      <c r="BC187" t="s">
        <v>26</v>
      </c>
      <c r="BD187" t="s">
        <v>45</v>
      </c>
      <c r="BE187" s="10" t="s">
        <v>44</v>
      </c>
      <c r="BF187" t="s">
        <v>43</v>
      </c>
      <c r="BG187" s="3" t="s">
        <v>1233</v>
      </c>
      <c r="BH187" t="s">
        <v>23</v>
      </c>
      <c r="BI187" t="s">
        <v>750</v>
      </c>
      <c r="BJ187" s="4" t="s">
        <v>22</v>
      </c>
      <c r="BK187" s="9">
        <v>53000</v>
      </c>
      <c r="EF187" s="4"/>
      <c r="EG187" s="9"/>
      <c r="EH187" s="9"/>
      <c r="EI187" s="9"/>
      <c r="EJ187" s="9"/>
      <c r="EK187" s="9"/>
      <c r="EL187" s="9"/>
      <c r="EM187" s="9"/>
      <c r="EN187" s="9"/>
      <c r="EO187" s="9"/>
      <c r="EP187" s="9"/>
      <c r="EQ187" s="9"/>
      <c r="ER187" s="9"/>
      <c r="ES187" s="9"/>
      <c r="ET187" s="9"/>
      <c r="EU187" s="9"/>
      <c r="EV187" s="9"/>
      <c r="EW187" s="9"/>
      <c r="EX187" s="9"/>
      <c r="EY187" s="9"/>
      <c r="EZ187" s="9"/>
      <c r="FA187" s="9"/>
      <c r="FB187" s="9"/>
      <c r="FC187" s="9"/>
      <c r="FD187" s="9"/>
      <c r="FE187" s="9"/>
      <c r="FF187" s="9"/>
      <c r="FG187" s="9"/>
      <c r="FH187" s="9"/>
      <c r="FI187" s="9"/>
      <c r="FJ187" s="9"/>
      <c r="FK187" s="9"/>
      <c r="FL187" s="9"/>
      <c r="FM187" s="9"/>
      <c r="FN187" s="9"/>
      <c r="FO187" s="9"/>
      <c r="FP187" s="9"/>
      <c r="FQ187" s="9"/>
      <c r="FR187" s="9"/>
      <c r="FS187" s="9"/>
      <c r="FT187" s="9"/>
      <c r="FU187" s="9"/>
      <c r="FV187" s="9"/>
      <c r="FW187" s="9"/>
      <c r="FX187" s="9"/>
      <c r="FY187" s="9"/>
      <c r="FZ187" s="9"/>
      <c r="GA187" s="9"/>
      <c r="GB187" s="9"/>
      <c r="GC187" s="9"/>
      <c r="GD187" s="9"/>
      <c r="GE187" s="9"/>
      <c r="GF187" s="9"/>
      <c r="GG187" s="9"/>
      <c r="GH187" s="9"/>
      <c r="GI187" s="9"/>
      <c r="GJ187" s="9"/>
      <c r="GK187" s="9"/>
      <c r="GL187" s="9"/>
      <c r="GM187" s="9"/>
      <c r="GN187" s="9"/>
      <c r="GO187" s="9"/>
      <c r="GP187" s="9"/>
      <c r="GQ187" s="9"/>
      <c r="GR187" s="9"/>
      <c r="GS187" s="9"/>
      <c r="GT187" s="9"/>
      <c r="GU187" s="9"/>
      <c r="GV187" s="9"/>
      <c r="GW187" s="9"/>
      <c r="GX187" s="9"/>
      <c r="GY187" s="9"/>
      <c r="GZ187" s="9"/>
      <c r="HA187" s="9"/>
      <c r="HB187" s="9"/>
      <c r="HC187" s="9"/>
      <c r="HD187" s="9"/>
      <c r="HE187" s="9"/>
      <c r="HF187" s="9"/>
      <c r="HG187" s="9"/>
      <c r="HH187" s="9"/>
      <c r="HI187" s="9"/>
      <c r="HJ187" s="9"/>
      <c r="HK187" s="9"/>
      <c r="HR187" t="s">
        <v>21</v>
      </c>
      <c r="HT187" s="4" t="s">
        <v>20</v>
      </c>
      <c r="HU187" s="58">
        <v>34335</v>
      </c>
      <c r="HV187" s="58">
        <v>36160</v>
      </c>
      <c r="HW187" s="58"/>
      <c r="HX187" s="58"/>
      <c r="IP187" t="s">
        <v>42</v>
      </c>
      <c r="IQ187" s="13" t="s">
        <v>1227</v>
      </c>
      <c r="IT187">
        <v>1994</v>
      </c>
      <c r="IU187">
        <v>1994.2</v>
      </c>
      <c r="IV187" s="4" t="s">
        <v>18</v>
      </c>
      <c r="IW187" t="s">
        <v>38</v>
      </c>
      <c r="IX187" t="s">
        <v>19</v>
      </c>
      <c r="JB187">
        <v>0</v>
      </c>
      <c r="JC187">
        <v>0</v>
      </c>
      <c r="JD187">
        <v>0</v>
      </c>
      <c r="JE187">
        <v>0</v>
      </c>
      <c r="JF187">
        <v>0</v>
      </c>
      <c r="JG187">
        <v>0</v>
      </c>
      <c r="JH187">
        <v>0</v>
      </c>
      <c r="JI187">
        <v>0</v>
      </c>
      <c r="JJ187">
        <v>0</v>
      </c>
      <c r="JL187" s="12" t="s">
        <v>721</v>
      </c>
      <c r="JQ187" s="4"/>
      <c r="KG187" s="7" t="s">
        <v>12</v>
      </c>
      <c r="KK187" s="7" t="s">
        <v>720</v>
      </c>
      <c r="KL187" s="7"/>
      <c r="MZ187" t="s">
        <v>11</v>
      </c>
      <c r="NA187">
        <v>42</v>
      </c>
      <c r="NC187" s="4" t="s">
        <v>10</v>
      </c>
      <c r="NK187" t="s">
        <v>9</v>
      </c>
      <c r="NM187" s="4" t="s">
        <v>1156</v>
      </c>
      <c r="NN187" s="6" t="s">
        <v>7</v>
      </c>
      <c r="NW187" t="s">
        <v>6</v>
      </c>
      <c r="NX187" s="5" t="s">
        <v>76</v>
      </c>
      <c r="NY187" s="4" t="s">
        <v>4</v>
      </c>
      <c r="NZ187" s="3">
        <v>0.21425322469241004</v>
      </c>
      <c r="OC187">
        <v>4</v>
      </c>
      <c r="OT187" t="s">
        <v>73</v>
      </c>
      <c r="OV187">
        <v>1998</v>
      </c>
      <c r="OY187" s="2" t="s">
        <v>62</v>
      </c>
      <c r="PA187" t="s">
        <v>1169</v>
      </c>
      <c r="PB187" s="58">
        <v>46094</v>
      </c>
    </row>
    <row r="188" spans="1:418" ht="15.75" thickBot="1">
      <c r="A188" s="11" t="s">
        <v>36</v>
      </c>
      <c r="B188" t="s">
        <v>35</v>
      </c>
      <c r="C188" t="s">
        <v>34</v>
      </c>
      <c r="D188" s="4" t="s">
        <v>33</v>
      </c>
      <c r="E188" t="s">
        <v>32</v>
      </c>
      <c r="F188" s="4" t="s">
        <v>31</v>
      </c>
      <c r="G188" t="s">
        <v>2</v>
      </c>
      <c r="H188" t="s">
        <v>30</v>
      </c>
      <c r="I188" s="10">
        <v>0.1</v>
      </c>
      <c r="J188" s="10">
        <v>34.566667000000002</v>
      </c>
      <c r="K188" t="s">
        <v>29</v>
      </c>
      <c r="AV188" t="s">
        <v>28</v>
      </c>
      <c r="AW188">
        <v>100</v>
      </c>
      <c r="AX188" t="s">
        <v>29</v>
      </c>
      <c r="AY188">
        <v>4</v>
      </c>
      <c r="AZ188" t="s">
        <v>27</v>
      </c>
      <c r="BA188">
        <v>1994</v>
      </c>
      <c r="BB188">
        <v>1998</v>
      </c>
      <c r="BC188" t="s">
        <v>26</v>
      </c>
      <c r="BD188" t="s">
        <v>19</v>
      </c>
      <c r="BE188" s="10" t="s">
        <v>40</v>
      </c>
      <c r="BF188" t="s">
        <v>39</v>
      </c>
      <c r="BG188" s="3" t="s">
        <v>1233</v>
      </c>
      <c r="BH188" t="s">
        <v>23</v>
      </c>
      <c r="BI188" t="s">
        <v>750</v>
      </c>
      <c r="BJ188" s="4" t="s">
        <v>22</v>
      </c>
      <c r="BK188" s="9">
        <v>53000</v>
      </c>
      <c r="HR188" t="s">
        <v>21</v>
      </c>
      <c r="HT188" s="4" t="s">
        <v>20</v>
      </c>
      <c r="HU188" s="58">
        <v>34335</v>
      </c>
      <c r="HV188" s="58">
        <v>36160</v>
      </c>
      <c r="HW188" s="58"/>
      <c r="HX188" s="58"/>
      <c r="IP188" t="s">
        <v>38</v>
      </c>
      <c r="IQ188" s="54" t="s">
        <v>19</v>
      </c>
      <c r="IV188" s="4" t="s">
        <v>18</v>
      </c>
      <c r="IW188" t="s">
        <v>38</v>
      </c>
      <c r="IX188" s="54" t="s">
        <v>19</v>
      </c>
      <c r="JB188">
        <v>0</v>
      </c>
      <c r="JC188">
        <v>0</v>
      </c>
      <c r="JD188">
        <v>0</v>
      </c>
      <c r="JE188">
        <v>0</v>
      </c>
      <c r="JF188">
        <v>0</v>
      </c>
      <c r="JG188">
        <v>0</v>
      </c>
      <c r="JH188">
        <v>0</v>
      </c>
      <c r="JI188">
        <v>0</v>
      </c>
      <c r="JJ188">
        <v>0</v>
      </c>
      <c r="JL188" s="12" t="s">
        <v>721</v>
      </c>
      <c r="JQ188" s="4"/>
      <c r="KG188" s="7" t="s">
        <v>12</v>
      </c>
      <c r="KK188" s="7" t="s">
        <v>720</v>
      </c>
      <c r="KL188" s="7"/>
      <c r="MZ188" t="s">
        <v>11</v>
      </c>
      <c r="NA188">
        <v>42</v>
      </c>
      <c r="NC188" s="4" t="s">
        <v>10</v>
      </c>
      <c r="NK188" t="s">
        <v>9</v>
      </c>
      <c r="NM188" s="4" t="s">
        <v>1156</v>
      </c>
      <c r="NN188" s="6" t="s">
        <v>7</v>
      </c>
      <c r="NV188" t="s">
        <v>735</v>
      </c>
      <c r="NW188" t="s">
        <v>6</v>
      </c>
      <c r="NX188" s="5" t="s">
        <v>75</v>
      </c>
      <c r="NY188" s="4" t="s">
        <v>4</v>
      </c>
      <c r="NZ188" s="3">
        <v>0.28568219722707</v>
      </c>
      <c r="OC188">
        <v>4</v>
      </c>
      <c r="OT188" t="s">
        <v>73</v>
      </c>
      <c r="OV188">
        <v>1998</v>
      </c>
      <c r="OY188" s="2" t="s">
        <v>62</v>
      </c>
      <c r="PA188" t="s">
        <v>1169</v>
      </c>
      <c r="PB188" s="58">
        <v>46094</v>
      </c>
    </row>
    <row r="189" spans="1:418" ht="15.75" thickBot="1">
      <c r="A189" s="11" t="s">
        <v>36</v>
      </c>
      <c r="B189" t="s">
        <v>35</v>
      </c>
      <c r="C189" t="s">
        <v>34</v>
      </c>
      <c r="D189" s="4" t="s">
        <v>33</v>
      </c>
      <c r="E189" t="s">
        <v>32</v>
      </c>
      <c r="F189" s="4" t="s">
        <v>31</v>
      </c>
      <c r="G189" t="s">
        <v>2</v>
      </c>
      <c r="H189" t="s">
        <v>30</v>
      </c>
      <c r="I189" s="10">
        <v>0.1</v>
      </c>
      <c r="J189" s="10">
        <v>34.566667000000002</v>
      </c>
      <c r="K189" t="s">
        <v>29</v>
      </c>
      <c r="AV189" t="s">
        <v>28</v>
      </c>
      <c r="AW189">
        <v>100</v>
      </c>
      <c r="AX189" t="s">
        <v>29</v>
      </c>
      <c r="AY189">
        <v>4</v>
      </c>
      <c r="AZ189" t="s">
        <v>27</v>
      </c>
      <c r="BA189">
        <v>1994</v>
      </c>
      <c r="BB189">
        <v>1998</v>
      </c>
      <c r="BC189" t="s">
        <v>26</v>
      </c>
      <c r="BD189" t="s">
        <v>19</v>
      </c>
      <c r="BE189" s="10" t="s">
        <v>25</v>
      </c>
      <c r="BF189" t="s">
        <v>24</v>
      </c>
      <c r="BG189" s="3" t="s">
        <v>1233</v>
      </c>
      <c r="BH189" t="s">
        <v>23</v>
      </c>
      <c r="BI189" t="s">
        <v>750</v>
      </c>
      <c r="BJ189" s="4" t="s">
        <v>22</v>
      </c>
      <c r="BK189" s="9">
        <v>53000</v>
      </c>
      <c r="HR189" t="s">
        <v>21</v>
      </c>
      <c r="HT189" s="4" t="s">
        <v>20</v>
      </c>
      <c r="HU189" s="58">
        <v>34335</v>
      </c>
      <c r="HV189" s="58">
        <v>36160</v>
      </c>
      <c r="HW189" s="58"/>
      <c r="HX189" s="58"/>
      <c r="IP189" t="s">
        <v>16</v>
      </c>
      <c r="IQ189" s="54" t="s">
        <v>19</v>
      </c>
      <c r="IV189" s="4" t="s">
        <v>18</v>
      </c>
      <c r="IW189" t="s">
        <v>17</v>
      </c>
      <c r="IX189" s="54" t="s">
        <v>19</v>
      </c>
      <c r="JB189">
        <v>0</v>
      </c>
      <c r="JC189">
        <v>0</v>
      </c>
      <c r="JD189">
        <v>0</v>
      </c>
      <c r="JE189">
        <v>0</v>
      </c>
      <c r="JF189">
        <v>0</v>
      </c>
      <c r="JG189">
        <v>0</v>
      </c>
      <c r="JH189">
        <v>0</v>
      </c>
      <c r="JI189">
        <v>0</v>
      </c>
      <c r="JJ189">
        <v>0</v>
      </c>
      <c r="JK189" t="s">
        <v>16</v>
      </c>
      <c r="JL189" t="s">
        <v>15</v>
      </c>
      <c r="JM189" s="8" t="s">
        <v>14</v>
      </c>
      <c r="JQ189" s="4" t="s">
        <v>13</v>
      </c>
      <c r="JR189">
        <v>60</v>
      </c>
      <c r="JU189">
        <v>60</v>
      </c>
      <c r="KG189" s="7" t="s">
        <v>12</v>
      </c>
      <c r="KK189" s="7" t="s">
        <v>720</v>
      </c>
      <c r="KL189" s="7"/>
      <c r="MZ189" t="s">
        <v>11</v>
      </c>
      <c r="NA189">
        <v>42</v>
      </c>
      <c r="NC189" s="4" t="s">
        <v>10</v>
      </c>
      <c r="NK189" t="s">
        <v>9</v>
      </c>
      <c r="NM189" s="4" t="s">
        <v>1156</v>
      </c>
      <c r="NN189" s="6" t="s">
        <v>7</v>
      </c>
      <c r="NV189" t="s">
        <v>747</v>
      </c>
      <c r="NW189" t="s">
        <v>6</v>
      </c>
      <c r="NX189" s="5" t="s">
        <v>74</v>
      </c>
      <c r="NY189" s="4" t="s">
        <v>4</v>
      </c>
      <c r="NZ189" s="3">
        <v>0.41085136372059994</v>
      </c>
      <c r="OC189">
        <v>4</v>
      </c>
      <c r="OT189" t="s">
        <v>73</v>
      </c>
      <c r="OV189">
        <v>1998</v>
      </c>
      <c r="OY189" s="2" t="s">
        <v>62</v>
      </c>
      <c r="PA189" t="s">
        <v>1169</v>
      </c>
      <c r="PB189" s="58">
        <v>46094</v>
      </c>
    </row>
    <row r="190" spans="1:418" ht="15.75" thickBot="1">
      <c r="A190" s="11" t="s">
        <v>36</v>
      </c>
      <c r="B190" t="s">
        <v>35</v>
      </c>
      <c r="C190" t="s">
        <v>34</v>
      </c>
      <c r="D190" s="4" t="s">
        <v>33</v>
      </c>
      <c r="E190" t="s">
        <v>32</v>
      </c>
      <c r="F190" s="4" t="s">
        <v>31</v>
      </c>
      <c r="G190" t="s">
        <v>2</v>
      </c>
      <c r="H190" t="s">
        <v>30</v>
      </c>
      <c r="I190" s="10">
        <v>0.1</v>
      </c>
      <c r="J190" s="10">
        <v>34.566667000000002</v>
      </c>
      <c r="K190" t="s">
        <v>29</v>
      </c>
      <c r="AV190" t="s">
        <v>28</v>
      </c>
      <c r="AW190">
        <v>100</v>
      </c>
      <c r="AX190" t="s">
        <v>29</v>
      </c>
      <c r="AY190">
        <v>4</v>
      </c>
      <c r="AZ190" t="s">
        <v>27</v>
      </c>
      <c r="BA190">
        <v>1994</v>
      </c>
      <c r="BB190">
        <v>1998</v>
      </c>
      <c r="BC190" t="s">
        <v>26</v>
      </c>
      <c r="BD190" t="s">
        <v>59</v>
      </c>
      <c r="BE190" s="10" t="s">
        <v>65</v>
      </c>
      <c r="BF190" t="s">
        <v>64</v>
      </c>
      <c r="BG190" s="3" t="s">
        <v>1233</v>
      </c>
      <c r="BH190" t="s">
        <v>23</v>
      </c>
      <c r="BI190" t="s">
        <v>750</v>
      </c>
      <c r="BJ190" s="4" t="s">
        <v>22</v>
      </c>
      <c r="BK190" s="9">
        <v>53000</v>
      </c>
      <c r="EE190" t="s">
        <v>55</v>
      </c>
      <c r="EF190" s="4" t="s">
        <v>22</v>
      </c>
      <c r="EG190" s="9">
        <v>53000</v>
      </c>
      <c r="EH190" s="9"/>
      <c r="EI190" s="9"/>
      <c r="EJ190" s="9"/>
      <c r="EK190" s="9"/>
      <c r="EL190" s="9"/>
      <c r="EM190" s="9"/>
      <c r="EN190" s="9"/>
      <c r="EO190" s="9"/>
      <c r="EP190" s="9"/>
      <c r="EQ190" s="9"/>
      <c r="ER190" s="9"/>
      <c r="ES190" s="9"/>
      <c r="ET190" s="9"/>
      <c r="EU190" s="9"/>
      <c r="EV190" s="9"/>
      <c r="EW190" s="9"/>
      <c r="EX190" s="9"/>
      <c r="EY190" s="9"/>
      <c r="EZ190" s="9"/>
      <c r="FA190" s="9"/>
      <c r="FB190" s="9"/>
      <c r="FC190" s="9"/>
      <c r="FD190" s="9"/>
      <c r="FE190" s="9"/>
      <c r="FF190" s="9"/>
      <c r="FG190" s="9"/>
      <c r="FH190" s="9"/>
      <c r="FI190" s="9"/>
      <c r="FJ190" s="9"/>
      <c r="FK190" s="9"/>
      <c r="FL190" s="9"/>
      <c r="FM190" s="9"/>
      <c r="FN190" s="9"/>
      <c r="FO190" s="9"/>
      <c r="FP190" s="9"/>
      <c r="FQ190" s="9"/>
      <c r="FR190" s="9"/>
      <c r="FS190" s="9"/>
      <c r="FT190" s="9"/>
      <c r="FU190" s="9"/>
      <c r="FV190" s="9"/>
      <c r="FW190" s="9"/>
      <c r="FX190" s="9"/>
      <c r="FY190" s="9"/>
      <c r="FZ190" s="9"/>
      <c r="GA190" s="9"/>
      <c r="GB190" s="9"/>
      <c r="GC190" s="9"/>
      <c r="GD190" s="9"/>
      <c r="GE190" s="9"/>
      <c r="GF190" s="9"/>
      <c r="GG190" s="9"/>
      <c r="GH190" s="9"/>
      <c r="GI190" s="9"/>
      <c r="GJ190" s="9"/>
      <c r="GK190" s="9"/>
      <c r="GL190" s="9"/>
      <c r="GM190" s="9"/>
      <c r="GN190" s="9"/>
      <c r="GO190" s="9"/>
      <c r="GP190" s="9"/>
      <c r="GQ190" s="9"/>
      <c r="GR190" s="9"/>
      <c r="GS190" s="9"/>
      <c r="GT190" s="9"/>
      <c r="GU190" s="9"/>
      <c r="GV190" s="9"/>
      <c r="GW190" s="9"/>
      <c r="GX190" s="9"/>
      <c r="GY190" s="9"/>
      <c r="GZ190" s="9"/>
      <c r="HA190" s="9"/>
      <c r="HB190" s="9"/>
      <c r="HC190" s="9"/>
      <c r="HD190" s="9"/>
      <c r="HE190" s="9"/>
      <c r="HF190" s="9"/>
      <c r="HG190" s="9"/>
      <c r="HH190" s="9"/>
      <c r="HI190" s="9"/>
      <c r="HJ190" s="9"/>
      <c r="HK190" s="9"/>
      <c r="HR190" t="s">
        <v>21</v>
      </c>
      <c r="HT190" s="4" t="s">
        <v>20</v>
      </c>
      <c r="HU190" s="58">
        <v>34335</v>
      </c>
      <c r="HV190" s="58">
        <v>36160</v>
      </c>
      <c r="HW190" s="58"/>
      <c r="HX190" s="58"/>
      <c r="IO190" s="4"/>
      <c r="IP190" t="s">
        <v>63</v>
      </c>
      <c r="IQ190" s="12" t="s">
        <v>1718</v>
      </c>
      <c r="IT190">
        <v>1995</v>
      </c>
      <c r="IU190">
        <v>1995.2</v>
      </c>
      <c r="IV190" s="4" t="s">
        <v>18</v>
      </c>
      <c r="IW190" t="s">
        <v>61</v>
      </c>
      <c r="IX190" s="12" t="s">
        <v>52</v>
      </c>
      <c r="JA190">
        <v>0.5</v>
      </c>
      <c r="JB190" t="s">
        <v>29</v>
      </c>
      <c r="JC190" t="s">
        <v>29</v>
      </c>
      <c r="JD190" t="s">
        <v>29</v>
      </c>
      <c r="JE190" t="s">
        <v>29</v>
      </c>
      <c r="JF190" t="s">
        <v>29</v>
      </c>
      <c r="JG190" t="s">
        <v>29</v>
      </c>
      <c r="JH190" t="s">
        <v>29</v>
      </c>
      <c r="JI190" t="s">
        <v>29</v>
      </c>
      <c r="JJ190" t="s">
        <v>29</v>
      </c>
      <c r="JL190" s="12" t="s">
        <v>721</v>
      </c>
      <c r="JQ190" s="4"/>
      <c r="KG190" s="7" t="s">
        <v>12</v>
      </c>
      <c r="KK190" s="7" t="s">
        <v>719</v>
      </c>
      <c r="KL190" s="7" t="s">
        <v>51</v>
      </c>
      <c r="KN190" t="s">
        <v>29</v>
      </c>
      <c r="MZ190" t="s">
        <v>11</v>
      </c>
      <c r="NA190">
        <v>42</v>
      </c>
      <c r="NC190" s="4" t="s">
        <v>10</v>
      </c>
      <c r="NK190" t="s">
        <v>9</v>
      </c>
      <c r="NM190" s="4" t="s">
        <v>1156</v>
      </c>
      <c r="NN190" s="6" t="s">
        <v>7</v>
      </c>
      <c r="NW190" t="s">
        <v>6</v>
      </c>
      <c r="NX190" s="5" t="s">
        <v>72</v>
      </c>
      <c r="NY190" s="4" t="s">
        <v>4</v>
      </c>
      <c r="NZ190" s="3">
        <v>0.17911057637738015</v>
      </c>
      <c r="OC190">
        <v>4</v>
      </c>
      <c r="OT190" t="s">
        <v>66</v>
      </c>
      <c r="OV190">
        <v>1996</v>
      </c>
      <c r="OY190" s="2" t="s">
        <v>1</v>
      </c>
      <c r="PA190" t="s">
        <v>1169</v>
      </c>
      <c r="PB190" s="58">
        <v>46094</v>
      </c>
    </row>
    <row r="191" spans="1:418" ht="15.75" thickBot="1">
      <c r="A191" s="11" t="s">
        <v>36</v>
      </c>
      <c r="B191" t="s">
        <v>35</v>
      </c>
      <c r="C191" t="s">
        <v>34</v>
      </c>
      <c r="D191" s="4" t="s">
        <v>33</v>
      </c>
      <c r="E191" t="s">
        <v>32</v>
      </c>
      <c r="F191" s="4" t="s">
        <v>31</v>
      </c>
      <c r="G191" t="s">
        <v>2</v>
      </c>
      <c r="H191" t="s">
        <v>30</v>
      </c>
      <c r="I191" s="10">
        <v>0.1</v>
      </c>
      <c r="J191" s="10">
        <v>34.566667000000002</v>
      </c>
      <c r="K191" t="s">
        <v>29</v>
      </c>
      <c r="AV191" t="s">
        <v>28</v>
      </c>
      <c r="AW191">
        <v>100</v>
      </c>
      <c r="AX191" t="s">
        <v>29</v>
      </c>
      <c r="AY191">
        <v>4</v>
      </c>
      <c r="AZ191" t="s">
        <v>27</v>
      </c>
      <c r="BA191">
        <v>1994</v>
      </c>
      <c r="BB191">
        <v>1998</v>
      </c>
      <c r="BC191" t="s">
        <v>26</v>
      </c>
      <c r="BD191" t="s">
        <v>59</v>
      </c>
      <c r="BE191" s="10" t="s">
        <v>58</v>
      </c>
      <c r="BF191" t="s">
        <v>57</v>
      </c>
      <c r="BG191" s="3" t="s">
        <v>1233</v>
      </c>
      <c r="BH191" t="s">
        <v>23</v>
      </c>
      <c r="BI191" t="s">
        <v>750</v>
      </c>
      <c r="BJ191" s="4" t="s">
        <v>22</v>
      </c>
      <c r="BK191" s="9">
        <v>53000</v>
      </c>
      <c r="EE191" t="s">
        <v>55</v>
      </c>
      <c r="EF191" s="4" t="s">
        <v>22</v>
      </c>
      <c r="EG191" s="9">
        <v>53000</v>
      </c>
      <c r="EH191" s="9"/>
      <c r="EI191" s="9"/>
      <c r="EJ191" s="9"/>
      <c r="EK191" s="9"/>
      <c r="EL191" s="9"/>
      <c r="EM191" s="9"/>
      <c r="EN191" s="9"/>
      <c r="EO191" s="9"/>
      <c r="EP191" s="9"/>
      <c r="EQ191" s="9"/>
      <c r="ER191" s="9"/>
      <c r="ES191" s="9"/>
      <c r="ET191" s="9"/>
      <c r="EU191" s="9"/>
      <c r="EV191" s="9"/>
      <c r="EW191" s="9"/>
      <c r="EX191" s="9"/>
      <c r="EY191" s="9"/>
      <c r="EZ191" s="9"/>
      <c r="FA191" s="9"/>
      <c r="FB191" s="9"/>
      <c r="FC191" s="9"/>
      <c r="FD191" s="9"/>
      <c r="FE191" s="9"/>
      <c r="FF191" s="9"/>
      <c r="FG191" s="9"/>
      <c r="FH191" s="9"/>
      <c r="FI191" s="9"/>
      <c r="FJ191" s="9"/>
      <c r="FK191" s="9"/>
      <c r="FL191" s="9"/>
      <c r="FM191" s="9"/>
      <c r="FN191" s="9"/>
      <c r="FO191" s="9"/>
      <c r="FP191" s="9"/>
      <c r="FQ191" s="9"/>
      <c r="FR191" s="9"/>
      <c r="FS191" s="9"/>
      <c r="FT191" s="9"/>
      <c r="FU191" s="9"/>
      <c r="FV191" s="9"/>
      <c r="FW191" s="9"/>
      <c r="FX191" s="9"/>
      <c r="FY191" s="9"/>
      <c r="FZ191" s="9"/>
      <c r="GA191" s="9"/>
      <c r="GB191" s="9"/>
      <c r="GC191" s="9"/>
      <c r="GD191" s="9"/>
      <c r="GE191" s="9"/>
      <c r="GF191" s="9"/>
      <c r="GG191" s="9"/>
      <c r="GH191" s="9"/>
      <c r="GI191" s="9"/>
      <c r="GJ191" s="9"/>
      <c r="GK191" s="9"/>
      <c r="GL191" s="9"/>
      <c r="GM191" s="9"/>
      <c r="GN191" s="9"/>
      <c r="GO191" s="9"/>
      <c r="GP191" s="9"/>
      <c r="GQ191" s="9"/>
      <c r="GR191" s="9"/>
      <c r="GS191" s="9"/>
      <c r="GT191" s="9"/>
      <c r="GU191" s="9"/>
      <c r="GV191" s="9"/>
      <c r="GW191" s="9"/>
      <c r="GX191" s="9"/>
      <c r="GY191" s="9"/>
      <c r="GZ191" s="9"/>
      <c r="HA191" s="9"/>
      <c r="HB191" s="9"/>
      <c r="HC191" s="9"/>
      <c r="HD191" s="9"/>
      <c r="HE191" s="9"/>
      <c r="HF191" s="9"/>
      <c r="HG191" s="9"/>
      <c r="HH191" s="9"/>
      <c r="HI191" s="9"/>
      <c r="HJ191" s="9"/>
      <c r="HK191" s="9"/>
      <c r="HR191" t="s">
        <v>21</v>
      </c>
      <c r="HT191" s="4" t="s">
        <v>20</v>
      </c>
      <c r="HU191" s="58">
        <v>34335</v>
      </c>
      <c r="HV191" s="58">
        <v>36160</v>
      </c>
      <c r="HW191" s="58"/>
      <c r="HX191" s="58"/>
      <c r="IO191" s="4"/>
      <c r="IP191" t="s">
        <v>54</v>
      </c>
      <c r="IQ191" s="12" t="s">
        <v>1719</v>
      </c>
      <c r="IT191">
        <v>1994</v>
      </c>
      <c r="IU191">
        <v>1994.2</v>
      </c>
      <c r="IV191" s="4" t="s">
        <v>18</v>
      </c>
      <c r="IW191" t="s">
        <v>53</v>
      </c>
      <c r="IX191" s="12" t="s">
        <v>52</v>
      </c>
      <c r="JA191">
        <v>0.5</v>
      </c>
      <c r="JB191" t="s">
        <v>29</v>
      </c>
      <c r="JC191" t="s">
        <v>29</v>
      </c>
      <c r="JD191" t="s">
        <v>29</v>
      </c>
      <c r="JE191" t="s">
        <v>29</v>
      </c>
      <c r="JF191" t="s">
        <v>29</v>
      </c>
      <c r="JG191" t="s">
        <v>29</v>
      </c>
      <c r="JH191" t="s">
        <v>29</v>
      </c>
      <c r="JI191" t="s">
        <v>29</v>
      </c>
      <c r="JJ191" t="s">
        <v>29</v>
      </c>
      <c r="JL191" s="12" t="s">
        <v>721</v>
      </c>
      <c r="JQ191" s="4"/>
      <c r="KG191" s="7" t="s">
        <v>12</v>
      </c>
      <c r="KK191" s="7" t="s">
        <v>719</v>
      </c>
      <c r="KL191" s="7" t="s">
        <v>51</v>
      </c>
      <c r="KN191" t="s">
        <v>29</v>
      </c>
      <c r="MZ191" t="s">
        <v>11</v>
      </c>
      <c r="NA191">
        <v>42</v>
      </c>
      <c r="NC191" s="4" t="s">
        <v>10</v>
      </c>
      <c r="NK191" t="s">
        <v>9</v>
      </c>
      <c r="NM191" s="4" t="s">
        <v>1156</v>
      </c>
      <c r="NN191" s="6" t="s">
        <v>7</v>
      </c>
      <c r="NW191" t="s">
        <v>6</v>
      </c>
      <c r="NX191" s="5" t="s">
        <v>71</v>
      </c>
      <c r="NY191" s="4" t="s">
        <v>4</v>
      </c>
      <c r="NZ191" s="3">
        <v>0.2685977616853199</v>
      </c>
      <c r="OC191">
        <v>4</v>
      </c>
      <c r="OT191" t="s">
        <v>66</v>
      </c>
      <c r="OV191">
        <v>1996</v>
      </c>
      <c r="OY191" s="2" t="s">
        <v>1</v>
      </c>
      <c r="PA191" t="s">
        <v>1169</v>
      </c>
      <c r="PB191" s="58">
        <v>46094</v>
      </c>
    </row>
    <row r="192" spans="1:418" ht="15.75" thickBot="1">
      <c r="A192" s="11" t="s">
        <v>36</v>
      </c>
      <c r="B192" t="s">
        <v>35</v>
      </c>
      <c r="C192" t="s">
        <v>34</v>
      </c>
      <c r="D192" s="4" t="s">
        <v>33</v>
      </c>
      <c r="E192" t="s">
        <v>32</v>
      </c>
      <c r="F192" s="4" t="s">
        <v>31</v>
      </c>
      <c r="G192" t="s">
        <v>2</v>
      </c>
      <c r="H192" t="s">
        <v>30</v>
      </c>
      <c r="I192" s="10">
        <v>0.1</v>
      </c>
      <c r="J192" s="10">
        <v>34.566667000000002</v>
      </c>
      <c r="K192" t="s">
        <v>29</v>
      </c>
      <c r="AV192" t="s">
        <v>28</v>
      </c>
      <c r="AW192">
        <v>100</v>
      </c>
      <c r="AX192" t="s">
        <v>29</v>
      </c>
      <c r="AY192">
        <v>4</v>
      </c>
      <c r="AZ192" t="s">
        <v>27</v>
      </c>
      <c r="BA192">
        <v>1994</v>
      </c>
      <c r="BB192">
        <v>1998</v>
      </c>
      <c r="BC192" t="s">
        <v>26</v>
      </c>
      <c r="BD192" t="s">
        <v>45</v>
      </c>
      <c r="BE192" s="10" t="s">
        <v>49</v>
      </c>
      <c r="BF192" t="s">
        <v>48</v>
      </c>
      <c r="BG192" s="3" t="s">
        <v>1233</v>
      </c>
      <c r="BH192" t="s">
        <v>23</v>
      </c>
      <c r="BI192" t="s">
        <v>750</v>
      </c>
      <c r="BJ192" s="4" t="s">
        <v>22</v>
      </c>
      <c r="BK192" s="9">
        <v>53000</v>
      </c>
      <c r="EF192" s="4"/>
      <c r="EG192" s="9"/>
      <c r="EH192" s="9"/>
      <c r="EI192" s="9"/>
      <c r="EJ192" s="9"/>
      <c r="EK192" s="9"/>
      <c r="EL192" s="9"/>
      <c r="EM192" s="9"/>
      <c r="EN192" s="9"/>
      <c r="EO192" s="9"/>
      <c r="EP192" s="9"/>
      <c r="EQ192" s="9"/>
      <c r="ER192" s="9"/>
      <c r="ES192" s="9"/>
      <c r="ET192" s="9"/>
      <c r="EU192" s="9"/>
      <c r="EV192" s="9"/>
      <c r="EW192" s="9"/>
      <c r="EX192" s="9"/>
      <c r="EY192" s="9"/>
      <c r="EZ192" s="9"/>
      <c r="FA192" s="9"/>
      <c r="FB192" s="9"/>
      <c r="FC192" s="9"/>
      <c r="FD192" s="9"/>
      <c r="FE192" s="9"/>
      <c r="FF192" s="9"/>
      <c r="FG192" s="9"/>
      <c r="FH192" s="9"/>
      <c r="FI192" s="9"/>
      <c r="FJ192" s="9"/>
      <c r="FK192" s="9"/>
      <c r="FL192" s="9"/>
      <c r="FM192" s="9"/>
      <c r="FN192" s="9"/>
      <c r="FO192" s="9"/>
      <c r="FP192" s="9"/>
      <c r="FQ192" s="9"/>
      <c r="FR192" s="9"/>
      <c r="FS192" s="9"/>
      <c r="FT192" s="9"/>
      <c r="FU192" s="9"/>
      <c r="FV192" s="9"/>
      <c r="FW192" s="9"/>
      <c r="FX192" s="9"/>
      <c r="FY192" s="9"/>
      <c r="FZ192" s="9"/>
      <c r="GA192" s="9"/>
      <c r="GB192" s="9"/>
      <c r="GC192" s="9"/>
      <c r="GD192" s="9"/>
      <c r="GE192" s="9"/>
      <c r="GF192" s="9"/>
      <c r="GG192" s="9"/>
      <c r="GH192" s="9"/>
      <c r="GI192" s="9"/>
      <c r="GJ192" s="9"/>
      <c r="GK192" s="9"/>
      <c r="GL192" s="9"/>
      <c r="GM192" s="9"/>
      <c r="GN192" s="9"/>
      <c r="GO192" s="9"/>
      <c r="GP192" s="9"/>
      <c r="GQ192" s="9"/>
      <c r="GR192" s="9"/>
      <c r="GS192" s="9"/>
      <c r="GT192" s="9"/>
      <c r="GU192" s="9"/>
      <c r="GV192" s="9"/>
      <c r="GW192" s="9"/>
      <c r="GX192" s="9"/>
      <c r="GY192" s="9"/>
      <c r="GZ192" s="9"/>
      <c r="HA192" s="9"/>
      <c r="HB192" s="9"/>
      <c r="HC192" s="9"/>
      <c r="HD192" s="9"/>
      <c r="HE192" s="9"/>
      <c r="HF192" s="9"/>
      <c r="HG192" s="9"/>
      <c r="HH192" s="9"/>
      <c r="HI192" s="9"/>
      <c r="HJ192" s="9"/>
      <c r="HK192" s="9"/>
      <c r="HR192" t="s">
        <v>21</v>
      </c>
      <c r="HT192" s="4" t="s">
        <v>20</v>
      </c>
      <c r="HU192" s="58">
        <v>34335</v>
      </c>
      <c r="HV192" s="58">
        <v>36160</v>
      </c>
      <c r="HW192" s="58"/>
      <c r="HX192" s="58"/>
      <c r="IP192" t="s">
        <v>47</v>
      </c>
      <c r="IQ192" s="54" t="s">
        <v>1226</v>
      </c>
      <c r="IT192">
        <v>1995</v>
      </c>
      <c r="IU192">
        <v>1995.2</v>
      </c>
      <c r="IV192" s="4" t="s">
        <v>18</v>
      </c>
      <c r="IW192" t="s">
        <v>38</v>
      </c>
      <c r="IX192" t="s">
        <v>19</v>
      </c>
      <c r="JB192">
        <v>0</v>
      </c>
      <c r="JC192">
        <v>0</v>
      </c>
      <c r="JD192">
        <v>0</v>
      </c>
      <c r="JE192">
        <v>0</v>
      </c>
      <c r="JF192">
        <v>0</v>
      </c>
      <c r="JG192">
        <v>0</v>
      </c>
      <c r="JH192">
        <v>0</v>
      </c>
      <c r="JI192">
        <v>0</v>
      </c>
      <c r="JJ192">
        <v>0</v>
      </c>
      <c r="JL192" s="12" t="s">
        <v>721</v>
      </c>
      <c r="JQ192" s="4"/>
      <c r="KG192" s="7" t="s">
        <v>12</v>
      </c>
      <c r="KK192" s="7" t="s">
        <v>720</v>
      </c>
      <c r="KL192" s="7"/>
      <c r="MZ192" t="s">
        <v>11</v>
      </c>
      <c r="NA192">
        <v>42</v>
      </c>
      <c r="NC192" s="4" t="s">
        <v>10</v>
      </c>
      <c r="NK192" t="s">
        <v>9</v>
      </c>
      <c r="NM192" s="4" t="s">
        <v>1156</v>
      </c>
      <c r="NN192" s="6" t="s">
        <v>7</v>
      </c>
      <c r="NW192" t="s">
        <v>6</v>
      </c>
      <c r="NX192" s="5" t="s">
        <v>70</v>
      </c>
      <c r="NY192" s="4" t="s">
        <v>4</v>
      </c>
      <c r="NZ192" s="3">
        <v>0.30421556831853991</v>
      </c>
      <c r="OC192">
        <v>4</v>
      </c>
      <c r="OT192" t="s">
        <v>66</v>
      </c>
      <c r="OV192">
        <v>1996</v>
      </c>
      <c r="OY192" s="2" t="s">
        <v>1</v>
      </c>
      <c r="PA192" t="s">
        <v>1169</v>
      </c>
      <c r="PB192" s="58">
        <v>46094</v>
      </c>
    </row>
    <row r="193" spans="1:418" ht="15.75" thickBot="1">
      <c r="A193" s="11" t="s">
        <v>36</v>
      </c>
      <c r="B193" t="s">
        <v>35</v>
      </c>
      <c r="C193" t="s">
        <v>34</v>
      </c>
      <c r="D193" s="4" t="s">
        <v>33</v>
      </c>
      <c r="E193" t="s">
        <v>32</v>
      </c>
      <c r="F193" s="4" t="s">
        <v>31</v>
      </c>
      <c r="G193" t="s">
        <v>2</v>
      </c>
      <c r="H193" t="s">
        <v>30</v>
      </c>
      <c r="I193" s="10">
        <v>0.1</v>
      </c>
      <c r="J193" s="10">
        <v>34.566667000000002</v>
      </c>
      <c r="K193" t="s">
        <v>29</v>
      </c>
      <c r="AV193" t="s">
        <v>28</v>
      </c>
      <c r="AW193">
        <v>100</v>
      </c>
      <c r="AX193" t="s">
        <v>29</v>
      </c>
      <c r="AY193">
        <v>4</v>
      </c>
      <c r="AZ193" t="s">
        <v>27</v>
      </c>
      <c r="BA193">
        <v>1994</v>
      </c>
      <c r="BB193">
        <v>1998</v>
      </c>
      <c r="BC193" t="s">
        <v>26</v>
      </c>
      <c r="BD193" t="s">
        <v>45</v>
      </c>
      <c r="BE193" s="10" t="s">
        <v>44</v>
      </c>
      <c r="BF193" t="s">
        <v>43</v>
      </c>
      <c r="BG193" s="3" t="s">
        <v>1233</v>
      </c>
      <c r="BH193" t="s">
        <v>23</v>
      </c>
      <c r="BI193" t="s">
        <v>750</v>
      </c>
      <c r="BJ193" s="4" t="s">
        <v>22</v>
      </c>
      <c r="BK193" s="9">
        <v>53000</v>
      </c>
      <c r="EF193" s="4"/>
      <c r="EG193" s="9"/>
      <c r="EH193" s="9"/>
      <c r="EI193" s="9"/>
      <c r="EJ193" s="9"/>
      <c r="EK193" s="9"/>
      <c r="EL193" s="9"/>
      <c r="EM193" s="9"/>
      <c r="EN193" s="9"/>
      <c r="EO193" s="9"/>
      <c r="EP193" s="9"/>
      <c r="EQ193" s="9"/>
      <c r="ER193" s="9"/>
      <c r="ES193" s="9"/>
      <c r="ET193" s="9"/>
      <c r="EU193" s="9"/>
      <c r="EV193" s="9"/>
      <c r="EW193" s="9"/>
      <c r="EX193" s="9"/>
      <c r="EY193" s="9"/>
      <c r="EZ193" s="9"/>
      <c r="FA193" s="9"/>
      <c r="FB193" s="9"/>
      <c r="FC193" s="9"/>
      <c r="FD193" s="9"/>
      <c r="FE193" s="9"/>
      <c r="FF193" s="9"/>
      <c r="FG193" s="9"/>
      <c r="FH193" s="9"/>
      <c r="FI193" s="9"/>
      <c r="FJ193" s="9"/>
      <c r="FK193" s="9"/>
      <c r="FL193" s="9"/>
      <c r="FM193" s="9"/>
      <c r="FN193" s="9"/>
      <c r="FO193" s="9"/>
      <c r="FP193" s="9"/>
      <c r="FQ193" s="9"/>
      <c r="FR193" s="9"/>
      <c r="FS193" s="9"/>
      <c r="FT193" s="9"/>
      <c r="FU193" s="9"/>
      <c r="FV193" s="9"/>
      <c r="FW193" s="9"/>
      <c r="FX193" s="9"/>
      <c r="FY193" s="9"/>
      <c r="FZ193" s="9"/>
      <c r="GA193" s="9"/>
      <c r="GB193" s="9"/>
      <c r="GC193" s="9"/>
      <c r="GD193" s="9"/>
      <c r="GE193" s="9"/>
      <c r="GF193" s="9"/>
      <c r="GG193" s="9"/>
      <c r="GH193" s="9"/>
      <c r="GI193" s="9"/>
      <c r="GJ193" s="9"/>
      <c r="GK193" s="9"/>
      <c r="GL193" s="9"/>
      <c r="GM193" s="9"/>
      <c r="GN193" s="9"/>
      <c r="GO193" s="9"/>
      <c r="GP193" s="9"/>
      <c r="GQ193" s="9"/>
      <c r="GR193" s="9"/>
      <c r="GS193" s="9"/>
      <c r="GT193" s="9"/>
      <c r="GU193" s="9"/>
      <c r="GV193" s="9"/>
      <c r="GW193" s="9"/>
      <c r="GX193" s="9"/>
      <c r="GY193" s="9"/>
      <c r="GZ193" s="9"/>
      <c r="HA193" s="9"/>
      <c r="HB193" s="9"/>
      <c r="HC193" s="9"/>
      <c r="HD193" s="9"/>
      <c r="HE193" s="9"/>
      <c r="HF193" s="9"/>
      <c r="HG193" s="9"/>
      <c r="HH193" s="9"/>
      <c r="HI193" s="9"/>
      <c r="HJ193" s="9"/>
      <c r="HK193" s="9"/>
      <c r="HR193" t="s">
        <v>21</v>
      </c>
      <c r="HT193" s="4" t="s">
        <v>20</v>
      </c>
      <c r="HU193" s="58">
        <v>34335</v>
      </c>
      <c r="HV193" s="58">
        <v>36160</v>
      </c>
      <c r="HW193" s="58"/>
      <c r="HX193" s="58"/>
      <c r="IP193" t="s">
        <v>42</v>
      </c>
      <c r="IQ193" s="13" t="s">
        <v>1227</v>
      </c>
      <c r="IT193">
        <v>1994</v>
      </c>
      <c r="IU193">
        <v>1994.2</v>
      </c>
      <c r="IV193" s="4" t="s">
        <v>18</v>
      </c>
      <c r="IW193" t="s">
        <v>38</v>
      </c>
      <c r="IX193" t="s">
        <v>19</v>
      </c>
      <c r="JB193">
        <v>0</v>
      </c>
      <c r="JC193">
        <v>0</v>
      </c>
      <c r="JD193">
        <v>0</v>
      </c>
      <c r="JE193">
        <v>0</v>
      </c>
      <c r="JF193">
        <v>0</v>
      </c>
      <c r="JG193">
        <v>0</v>
      </c>
      <c r="JH193">
        <v>0</v>
      </c>
      <c r="JI193">
        <v>0</v>
      </c>
      <c r="JJ193">
        <v>0</v>
      </c>
      <c r="JL193" s="12" t="s">
        <v>721</v>
      </c>
      <c r="JQ193" s="4"/>
      <c r="KG193" s="7" t="s">
        <v>12</v>
      </c>
      <c r="KK193" s="7" t="s">
        <v>720</v>
      </c>
      <c r="KL193" s="7"/>
      <c r="MZ193" t="s">
        <v>11</v>
      </c>
      <c r="NA193">
        <v>42</v>
      </c>
      <c r="NC193" s="4" t="s">
        <v>10</v>
      </c>
      <c r="NK193" t="s">
        <v>9</v>
      </c>
      <c r="NM193" s="4" t="s">
        <v>1156</v>
      </c>
      <c r="NN193" s="6" t="s">
        <v>7</v>
      </c>
      <c r="NW193" t="s">
        <v>6</v>
      </c>
      <c r="NX193" s="5" t="s">
        <v>69</v>
      </c>
      <c r="NY193" s="4" t="s">
        <v>4</v>
      </c>
      <c r="NZ193" s="3">
        <v>0.3046922884837997</v>
      </c>
      <c r="OC193">
        <v>4</v>
      </c>
      <c r="OT193" t="s">
        <v>66</v>
      </c>
      <c r="OV193">
        <v>1996</v>
      </c>
      <c r="OY193" s="2" t="s">
        <v>1</v>
      </c>
      <c r="PA193" t="s">
        <v>1169</v>
      </c>
      <c r="PB193" s="58">
        <v>46094</v>
      </c>
    </row>
    <row r="194" spans="1:418" ht="15.75" thickBot="1">
      <c r="A194" s="11" t="s">
        <v>36</v>
      </c>
      <c r="B194" t="s">
        <v>35</v>
      </c>
      <c r="C194" t="s">
        <v>34</v>
      </c>
      <c r="D194" s="4" t="s">
        <v>33</v>
      </c>
      <c r="E194" t="s">
        <v>32</v>
      </c>
      <c r="F194" s="4" t="s">
        <v>31</v>
      </c>
      <c r="G194" t="s">
        <v>2</v>
      </c>
      <c r="H194" t="s">
        <v>30</v>
      </c>
      <c r="I194" s="10">
        <v>0.1</v>
      </c>
      <c r="J194" s="10">
        <v>34.566667000000002</v>
      </c>
      <c r="K194" t="s">
        <v>29</v>
      </c>
      <c r="AV194" t="s">
        <v>28</v>
      </c>
      <c r="AW194">
        <v>100</v>
      </c>
      <c r="AX194" t="s">
        <v>29</v>
      </c>
      <c r="AY194">
        <v>4</v>
      </c>
      <c r="AZ194" t="s">
        <v>27</v>
      </c>
      <c r="BA194">
        <v>1994</v>
      </c>
      <c r="BB194">
        <v>1998</v>
      </c>
      <c r="BC194" t="s">
        <v>26</v>
      </c>
      <c r="BD194" t="s">
        <v>19</v>
      </c>
      <c r="BE194" s="10" t="s">
        <v>40</v>
      </c>
      <c r="BF194" t="s">
        <v>39</v>
      </c>
      <c r="BG194" s="3" t="s">
        <v>1233</v>
      </c>
      <c r="BH194" t="s">
        <v>23</v>
      </c>
      <c r="BI194" t="s">
        <v>750</v>
      </c>
      <c r="BJ194" s="4" t="s">
        <v>22</v>
      </c>
      <c r="BK194" s="9">
        <v>53000</v>
      </c>
      <c r="HR194" t="s">
        <v>21</v>
      </c>
      <c r="HT194" s="4" t="s">
        <v>20</v>
      </c>
      <c r="HU194" s="58">
        <v>34335</v>
      </c>
      <c r="HV194" s="58">
        <v>36160</v>
      </c>
      <c r="HW194" s="58"/>
      <c r="HX194" s="58"/>
      <c r="IP194" t="s">
        <v>38</v>
      </c>
      <c r="IQ194" s="54" t="s">
        <v>19</v>
      </c>
      <c r="IV194" s="4" t="s">
        <v>18</v>
      </c>
      <c r="IW194" t="s">
        <v>38</v>
      </c>
      <c r="IX194" s="54" t="s">
        <v>19</v>
      </c>
      <c r="JB194">
        <v>0</v>
      </c>
      <c r="JC194">
        <v>0</v>
      </c>
      <c r="JD194">
        <v>0</v>
      </c>
      <c r="JE194">
        <v>0</v>
      </c>
      <c r="JF194">
        <v>0</v>
      </c>
      <c r="JG194">
        <v>0</v>
      </c>
      <c r="JH194">
        <v>0</v>
      </c>
      <c r="JI194">
        <v>0</v>
      </c>
      <c r="JJ194">
        <v>0</v>
      </c>
      <c r="JL194" s="12" t="s">
        <v>721</v>
      </c>
      <c r="JQ194" s="4"/>
      <c r="KG194" s="7" t="s">
        <v>12</v>
      </c>
      <c r="KK194" s="7" t="s">
        <v>720</v>
      </c>
      <c r="KL194" s="7"/>
      <c r="MZ194" t="s">
        <v>11</v>
      </c>
      <c r="NA194">
        <v>42</v>
      </c>
      <c r="NC194" s="4" t="s">
        <v>10</v>
      </c>
      <c r="NK194" t="s">
        <v>9</v>
      </c>
      <c r="NM194" s="4" t="s">
        <v>1156</v>
      </c>
      <c r="NN194" s="6" t="s">
        <v>7</v>
      </c>
      <c r="NV194" t="s">
        <v>735</v>
      </c>
      <c r="NW194" t="s">
        <v>6</v>
      </c>
      <c r="NX194" s="5" t="s">
        <v>68</v>
      </c>
      <c r="NY194" s="4" t="s">
        <v>4</v>
      </c>
      <c r="NZ194" s="3">
        <v>0.28644071644229996</v>
      </c>
      <c r="OC194">
        <v>4</v>
      </c>
      <c r="OT194" t="s">
        <v>66</v>
      </c>
      <c r="OV194">
        <v>1996</v>
      </c>
      <c r="OY194" s="2" t="s">
        <v>1</v>
      </c>
      <c r="PA194" t="s">
        <v>1169</v>
      </c>
      <c r="PB194" s="58">
        <v>46094</v>
      </c>
    </row>
    <row r="195" spans="1:418" ht="15.75" thickBot="1">
      <c r="A195" s="11" t="s">
        <v>36</v>
      </c>
      <c r="B195" t="s">
        <v>35</v>
      </c>
      <c r="C195" t="s">
        <v>34</v>
      </c>
      <c r="D195" s="4" t="s">
        <v>33</v>
      </c>
      <c r="E195" t="s">
        <v>32</v>
      </c>
      <c r="F195" s="4" t="s">
        <v>31</v>
      </c>
      <c r="G195" t="s">
        <v>2</v>
      </c>
      <c r="H195" t="s">
        <v>30</v>
      </c>
      <c r="I195" s="10">
        <v>0.1</v>
      </c>
      <c r="J195" s="10">
        <v>34.566667000000002</v>
      </c>
      <c r="K195" t="s">
        <v>29</v>
      </c>
      <c r="AV195" t="s">
        <v>28</v>
      </c>
      <c r="AW195">
        <v>100</v>
      </c>
      <c r="AX195" t="s">
        <v>29</v>
      </c>
      <c r="AY195">
        <v>4</v>
      </c>
      <c r="AZ195" t="s">
        <v>27</v>
      </c>
      <c r="BA195">
        <v>1994</v>
      </c>
      <c r="BB195">
        <v>1998</v>
      </c>
      <c r="BC195" t="s">
        <v>26</v>
      </c>
      <c r="BD195" t="s">
        <v>19</v>
      </c>
      <c r="BE195" s="10" t="s">
        <v>25</v>
      </c>
      <c r="BF195" t="s">
        <v>24</v>
      </c>
      <c r="BG195" s="3" t="s">
        <v>1233</v>
      </c>
      <c r="BH195" t="s">
        <v>23</v>
      </c>
      <c r="BI195" t="s">
        <v>750</v>
      </c>
      <c r="BJ195" s="4" t="s">
        <v>22</v>
      </c>
      <c r="BK195" s="9">
        <v>53000</v>
      </c>
      <c r="HR195" t="s">
        <v>21</v>
      </c>
      <c r="HT195" s="4" t="s">
        <v>20</v>
      </c>
      <c r="HU195" s="58">
        <v>34335</v>
      </c>
      <c r="HV195" s="58">
        <v>36160</v>
      </c>
      <c r="HW195" s="58"/>
      <c r="HX195" s="58"/>
      <c r="IP195" t="s">
        <v>16</v>
      </c>
      <c r="IQ195" s="54" t="s">
        <v>19</v>
      </c>
      <c r="IV195" s="4" t="s">
        <v>18</v>
      </c>
      <c r="IW195" t="s">
        <v>17</v>
      </c>
      <c r="IX195" s="54" t="s">
        <v>19</v>
      </c>
      <c r="JB195">
        <v>0</v>
      </c>
      <c r="JC195">
        <v>0</v>
      </c>
      <c r="JD195">
        <v>0</v>
      </c>
      <c r="JE195">
        <v>0</v>
      </c>
      <c r="JF195">
        <v>0</v>
      </c>
      <c r="JG195">
        <v>0</v>
      </c>
      <c r="JH195">
        <v>0</v>
      </c>
      <c r="JI195">
        <v>0</v>
      </c>
      <c r="JJ195">
        <v>0</v>
      </c>
      <c r="JK195" t="s">
        <v>16</v>
      </c>
      <c r="JL195" t="s">
        <v>15</v>
      </c>
      <c r="JM195" s="8" t="s">
        <v>14</v>
      </c>
      <c r="JQ195" s="4" t="s">
        <v>13</v>
      </c>
      <c r="JR195">
        <v>60</v>
      </c>
      <c r="JU195">
        <v>60</v>
      </c>
      <c r="KG195" s="7" t="s">
        <v>12</v>
      </c>
      <c r="KK195" s="7" t="s">
        <v>720</v>
      </c>
      <c r="KL195" s="7"/>
      <c r="MZ195" t="s">
        <v>11</v>
      </c>
      <c r="NA195">
        <v>42</v>
      </c>
      <c r="NC195" s="4" t="s">
        <v>10</v>
      </c>
      <c r="NK195" t="s">
        <v>9</v>
      </c>
      <c r="NM195" s="4" t="s">
        <v>1156</v>
      </c>
      <c r="NN195" s="6" t="s">
        <v>7</v>
      </c>
      <c r="NV195" t="s">
        <v>747</v>
      </c>
      <c r="NW195" t="s">
        <v>6</v>
      </c>
      <c r="NX195" s="5" t="s">
        <v>67</v>
      </c>
      <c r="NY195" s="4" t="s">
        <v>4</v>
      </c>
      <c r="NZ195" s="3">
        <v>0.16106331297814025</v>
      </c>
      <c r="OC195">
        <v>4</v>
      </c>
      <c r="OT195" t="s">
        <v>66</v>
      </c>
      <c r="OV195">
        <v>1996</v>
      </c>
      <c r="OY195" s="2" t="s">
        <v>1</v>
      </c>
      <c r="PA195" t="s">
        <v>1169</v>
      </c>
      <c r="PB195" s="58">
        <v>46094</v>
      </c>
    </row>
    <row r="196" spans="1:418" ht="15.75" thickBot="1">
      <c r="A196" s="11" t="s">
        <v>36</v>
      </c>
      <c r="B196" t="s">
        <v>35</v>
      </c>
      <c r="C196" t="s">
        <v>34</v>
      </c>
      <c r="D196" s="4" t="s">
        <v>33</v>
      </c>
      <c r="E196" t="s">
        <v>32</v>
      </c>
      <c r="F196" s="4" t="s">
        <v>31</v>
      </c>
      <c r="G196" t="s">
        <v>2</v>
      </c>
      <c r="H196" t="s">
        <v>30</v>
      </c>
      <c r="I196" s="10">
        <v>0.1</v>
      </c>
      <c r="J196" s="10">
        <v>34.566667000000002</v>
      </c>
      <c r="K196" t="s">
        <v>29</v>
      </c>
      <c r="AV196" t="s">
        <v>28</v>
      </c>
      <c r="AW196">
        <v>100</v>
      </c>
      <c r="AX196" t="s">
        <v>29</v>
      </c>
      <c r="AY196">
        <v>4</v>
      </c>
      <c r="AZ196" t="s">
        <v>27</v>
      </c>
      <c r="BA196">
        <v>1994</v>
      </c>
      <c r="BB196">
        <v>1998</v>
      </c>
      <c r="BC196" t="s">
        <v>26</v>
      </c>
      <c r="BD196" t="s">
        <v>59</v>
      </c>
      <c r="BE196" s="10" t="s">
        <v>65</v>
      </c>
      <c r="BF196" t="s">
        <v>64</v>
      </c>
      <c r="BG196" s="3" t="s">
        <v>1233</v>
      </c>
      <c r="BH196" t="s">
        <v>23</v>
      </c>
      <c r="BI196" t="s">
        <v>750</v>
      </c>
      <c r="BJ196" s="4" t="s">
        <v>22</v>
      </c>
      <c r="BK196" s="9">
        <v>53000</v>
      </c>
      <c r="EE196" t="s">
        <v>55</v>
      </c>
      <c r="EF196" s="4" t="s">
        <v>22</v>
      </c>
      <c r="EG196" s="9">
        <v>53000</v>
      </c>
      <c r="EH196" s="9"/>
      <c r="EI196" s="9"/>
      <c r="EJ196" s="9"/>
      <c r="EK196" s="9"/>
      <c r="EL196" s="9"/>
      <c r="EM196" s="9"/>
      <c r="EN196" s="9"/>
      <c r="EO196" s="9"/>
      <c r="EP196" s="9"/>
      <c r="EQ196" s="9"/>
      <c r="ER196" s="9"/>
      <c r="ES196" s="9"/>
      <c r="ET196" s="9"/>
      <c r="EU196" s="9"/>
      <c r="EV196" s="9"/>
      <c r="EW196" s="9"/>
      <c r="EX196" s="9"/>
      <c r="EY196" s="9"/>
      <c r="EZ196" s="9"/>
      <c r="FA196" s="9"/>
      <c r="FB196" s="9"/>
      <c r="FC196" s="9"/>
      <c r="FD196" s="9"/>
      <c r="FE196" s="9"/>
      <c r="FF196" s="9"/>
      <c r="FG196" s="9"/>
      <c r="FH196" s="9"/>
      <c r="FI196" s="9"/>
      <c r="FJ196" s="9"/>
      <c r="FK196" s="9"/>
      <c r="FL196" s="9"/>
      <c r="FM196" s="9"/>
      <c r="FN196" s="9"/>
      <c r="FO196" s="9"/>
      <c r="FP196" s="9"/>
      <c r="FQ196" s="9"/>
      <c r="FR196" s="9"/>
      <c r="FS196" s="9"/>
      <c r="FT196" s="9"/>
      <c r="FU196" s="9"/>
      <c r="FV196" s="9"/>
      <c r="FW196" s="9"/>
      <c r="FX196" s="9"/>
      <c r="FY196" s="9"/>
      <c r="FZ196" s="9"/>
      <c r="GA196" s="9"/>
      <c r="GB196" s="9"/>
      <c r="GC196" s="9"/>
      <c r="GD196" s="9"/>
      <c r="GE196" s="9"/>
      <c r="GF196" s="9"/>
      <c r="GG196" s="9"/>
      <c r="GH196" s="9"/>
      <c r="GI196" s="9"/>
      <c r="GJ196" s="9"/>
      <c r="GK196" s="9"/>
      <c r="GL196" s="9"/>
      <c r="GM196" s="9"/>
      <c r="GN196" s="9"/>
      <c r="GO196" s="9"/>
      <c r="GP196" s="9"/>
      <c r="GQ196" s="9"/>
      <c r="GR196" s="9"/>
      <c r="GS196" s="9"/>
      <c r="GT196" s="9"/>
      <c r="GU196" s="9"/>
      <c r="GV196" s="9"/>
      <c r="GW196" s="9"/>
      <c r="GX196" s="9"/>
      <c r="GY196" s="9"/>
      <c r="GZ196" s="9"/>
      <c r="HA196" s="9"/>
      <c r="HB196" s="9"/>
      <c r="HC196" s="9"/>
      <c r="HD196" s="9"/>
      <c r="HE196" s="9"/>
      <c r="HF196" s="9"/>
      <c r="HG196" s="9"/>
      <c r="HH196" s="9"/>
      <c r="HI196" s="9"/>
      <c r="HJ196" s="9"/>
      <c r="HK196" s="9"/>
      <c r="HR196" t="s">
        <v>21</v>
      </c>
      <c r="HT196" s="4" t="s">
        <v>20</v>
      </c>
      <c r="HU196" s="58">
        <v>34335</v>
      </c>
      <c r="HV196" s="58">
        <v>36160</v>
      </c>
      <c r="HW196" s="58"/>
      <c r="HX196" s="58"/>
      <c r="IO196" s="4"/>
      <c r="IP196" t="s">
        <v>63</v>
      </c>
      <c r="IQ196" s="12" t="s">
        <v>1718</v>
      </c>
      <c r="IT196">
        <v>1995</v>
      </c>
      <c r="IU196">
        <v>1995.2</v>
      </c>
      <c r="IV196" s="4" t="s">
        <v>18</v>
      </c>
      <c r="IW196" t="s">
        <v>61</v>
      </c>
      <c r="IX196" s="12" t="s">
        <v>52</v>
      </c>
      <c r="JA196">
        <v>0.5</v>
      </c>
      <c r="JB196" t="s">
        <v>29</v>
      </c>
      <c r="JC196" t="s">
        <v>29</v>
      </c>
      <c r="JD196" t="s">
        <v>29</v>
      </c>
      <c r="JE196" t="s">
        <v>29</v>
      </c>
      <c r="JF196" t="s">
        <v>29</v>
      </c>
      <c r="JG196" t="s">
        <v>29</v>
      </c>
      <c r="JH196" t="s">
        <v>29</v>
      </c>
      <c r="JI196" t="s">
        <v>29</v>
      </c>
      <c r="JJ196" t="s">
        <v>29</v>
      </c>
      <c r="JL196" s="12" t="s">
        <v>721</v>
      </c>
      <c r="JQ196" s="4"/>
      <c r="KG196" s="7" t="s">
        <v>12</v>
      </c>
      <c r="KK196" s="7" t="s">
        <v>719</v>
      </c>
      <c r="KL196" s="7" t="s">
        <v>51</v>
      </c>
      <c r="KN196" t="s">
        <v>29</v>
      </c>
      <c r="MZ196" t="s">
        <v>11</v>
      </c>
      <c r="NA196">
        <v>42</v>
      </c>
      <c r="NC196" s="4" t="s">
        <v>10</v>
      </c>
      <c r="NK196" t="s">
        <v>9</v>
      </c>
      <c r="NM196" s="4" t="s">
        <v>1156</v>
      </c>
      <c r="NN196" s="6" t="s">
        <v>7</v>
      </c>
      <c r="NW196" t="s">
        <v>6</v>
      </c>
      <c r="NX196" s="5" t="s">
        <v>60</v>
      </c>
      <c r="NY196" s="4" t="s">
        <v>4</v>
      </c>
      <c r="NZ196" s="3">
        <v>0.12510499194115998</v>
      </c>
      <c r="OC196">
        <v>4</v>
      </c>
      <c r="OT196" t="s">
        <v>3</v>
      </c>
      <c r="OV196">
        <v>1997</v>
      </c>
      <c r="OY196" s="2" t="s">
        <v>1</v>
      </c>
      <c r="PA196" t="s">
        <v>1169</v>
      </c>
      <c r="PB196" s="58">
        <v>46094</v>
      </c>
    </row>
    <row r="197" spans="1:418" ht="15.75" thickBot="1">
      <c r="A197" s="11" t="s">
        <v>36</v>
      </c>
      <c r="B197" t="s">
        <v>35</v>
      </c>
      <c r="C197" t="s">
        <v>34</v>
      </c>
      <c r="D197" s="4" t="s">
        <v>33</v>
      </c>
      <c r="E197" t="s">
        <v>32</v>
      </c>
      <c r="F197" s="4" t="s">
        <v>31</v>
      </c>
      <c r="G197" t="s">
        <v>2</v>
      </c>
      <c r="H197" t="s">
        <v>30</v>
      </c>
      <c r="I197" s="10">
        <v>0.1</v>
      </c>
      <c r="J197" s="10">
        <v>34.566667000000002</v>
      </c>
      <c r="K197" t="s">
        <v>29</v>
      </c>
      <c r="AV197" t="s">
        <v>28</v>
      </c>
      <c r="AW197">
        <v>100</v>
      </c>
      <c r="AX197" t="s">
        <v>29</v>
      </c>
      <c r="AY197">
        <v>4</v>
      </c>
      <c r="AZ197" t="s">
        <v>27</v>
      </c>
      <c r="BA197">
        <v>1994</v>
      </c>
      <c r="BB197">
        <v>1998</v>
      </c>
      <c r="BC197" t="s">
        <v>26</v>
      </c>
      <c r="BD197" t="s">
        <v>59</v>
      </c>
      <c r="BE197" s="10" t="s">
        <v>58</v>
      </c>
      <c r="BF197" t="s">
        <v>57</v>
      </c>
      <c r="BG197" s="3" t="s">
        <v>1233</v>
      </c>
      <c r="BH197" t="s">
        <v>23</v>
      </c>
      <c r="BI197" t="s">
        <v>750</v>
      </c>
      <c r="BJ197" s="4" t="s">
        <v>22</v>
      </c>
      <c r="BK197" s="9">
        <v>53000</v>
      </c>
      <c r="EE197" t="s">
        <v>55</v>
      </c>
      <c r="EF197" s="4" t="s">
        <v>22</v>
      </c>
      <c r="EG197" s="9">
        <v>53000</v>
      </c>
      <c r="EH197" s="9"/>
      <c r="EI197" s="9"/>
      <c r="EJ197" s="9"/>
      <c r="EK197" s="9"/>
      <c r="EL197" s="9"/>
      <c r="EM197" s="9"/>
      <c r="EN197" s="9"/>
      <c r="EO197" s="9"/>
      <c r="EP197" s="9"/>
      <c r="EQ197" s="9"/>
      <c r="ER197" s="9"/>
      <c r="ES197" s="9"/>
      <c r="ET197" s="9"/>
      <c r="EU197" s="9"/>
      <c r="EV197" s="9"/>
      <c r="EW197" s="9"/>
      <c r="EX197" s="9"/>
      <c r="EY197" s="9"/>
      <c r="EZ197" s="9"/>
      <c r="FA197" s="9"/>
      <c r="FB197" s="9"/>
      <c r="FC197" s="9"/>
      <c r="FD197" s="9"/>
      <c r="FE197" s="9"/>
      <c r="FF197" s="9"/>
      <c r="FG197" s="9"/>
      <c r="FH197" s="9"/>
      <c r="FI197" s="9"/>
      <c r="FJ197" s="9"/>
      <c r="FK197" s="9"/>
      <c r="FL197" s="9"/>
      <c r="FM197" s="9"/>
      <c r="FN197" s="9"/>
      <c r="FO197" s="9"/>
      <c r="FP197" s="9"/>
      <c r="FQ197" s="9"/>
      <c r="FR197" s="9"/>
      <c r="FS197" s="9"/>
      <c r="FT197" s="9"/>
      <c r="FU197" s="9"/>
      <c r="FV197" s="9"/>
      <c r="FW197" s="9"/>
      <c r="FX197" s="9"/>
      <c r="FY197" s="9"/>
      <c r="FZ197" s="9"/>
      <c r="GA197" s="9"/>
      <c r="GB197" s="9"/>
      <c r="GC197" s="9"/>
      <c r="GD197" s="9"/>
      <c r="GE197" s="9"/>
      <c r="GF197" s="9"/>
      <c r="GG197" s="9"/>
      <c r="GH197" s="9"/>
      <c r="GI197" s="9"/>
      <c r="GJ197" s="9"/>
      <c r="GK197" s="9"/>
      <c r="GL197" s="9"/>
      <c r="GM197" s="9"/>
      <c r="GN197" s="9"/>
      <c r="GO197" s="9"/>
      <c r="GP197" s="9"/>
      <c r="GQ197" s="9"/>
      <c r="GR197" s="9"/>
      <c r="GS197" s="9"/>
      <c r="GT197" s="9"/>
      <c r="GU197" s="9"/>
      <c r="GV197" s="9"/>
      <c r="GW197" s="9"/>
      <c r="GX197" s="9"/>
      <c r="GY197" s="9"/>
      <c r="GZ197" s="9"/>
      <c r="HA197" s="9"/>
      <c r="HB197" s="9"/>
      <c r="HC197" s="9"/>
      <c r="HD197" s="9"/>
      <c r="HE197" s="9"/>
      <c r="HF197" s="9"/>
      <c r="HG197" s="9"/>
      <c r="HH197" s="9"/>
      <c r="HI197" s="9"/>
      <c r="HJ197" s="9"/>
      <c r="HK197" s="9"/>
      <c r="HR197" t="s">
        <v>21</v>
      </c>
      <c r="HT197" s="4" t="s">
        <v>20</v>
      </c>
      <c r="HU197" s="58">
        <v>34335</v>
      </c>
      <c r="HV197" s="58">
        <v>36160</v>
      </c>
      <c r="HW197" s="58"/>
      <c r="HX197" s="58"/>
      <c r="IO197" s="4"/>
      <c r="IP197" t="s">
        <v>54</v>
      </c>
      <c r="IQ197" s="12" t="s">
        <v>1719</v>
      </c>
      <c r="IT197">
        <v>1994</v>
      </c>
      <c r="IU197">
        <v>1994.2</v>
      </c>
      <c r="IV197" s="4" t="s">
        <v>18</v>
      </c>
      <c r="IW197" t="s">
        <v>53</v>
      </c>
      <c r="IX197" s="12" t="s">
        <v>52</v>
      </c>
      <c r="JA197">
        <v>0.5</v>
      </c>
      <c r="JB197" t="s">
        <v>29</v>
      </c>
      <c r="JC197" t="s">
        <v>29</v>
      </c>
      <c r="JD197" t="s">
        <v>29</v>
      </c>
      <c r="JE197" t="s">
        <v>29</v>
      </c>
      <c r="JF197" t="s">
        <v>29</v>
      </c>
      <c r="JG197" t="s">
        <v>29</v>
      </c>
      <c r="JH197" t="s">
        <v>29</v>
      </c>
      <c r="JI197" t="s">
        <v>29</v>
      </c>
      <c r="JJ197" t="s">
        <v>29</v>
      </c>
      <c r="JL197" s="12" t="s">
        <v>721</v>
      </c>
      <c r="JQ197" s="4"/>
      <c r="KG197" s="7" t="s">
        <v>12</v>
      </c>
      <c r="KK197" s="7" t="s">
        <v>719</v>
      </c>
      <c r="KL197" s="7" t="s">
        <v>51</v>
      </c>
      <c r="KN197" t="s">
        <v>29</v>
      </c>
      <c r="MZ197" t="s">
        <v>11</v>
      </c>
      <c r="NA197">
        <v>42</v>
      </c>
      <c r="NC197" s="4" t="s">
        <v>10</v>
      </c>
      <c r="NK197" t="s">
        <v>9</v>
      </c>
      <c r="NM197" s="4" t="s">
        <v>1156</v>
      </c>
      <c r="NN197" s="6" t="s">
        <v>7</v>
      </c>
      <c r="NW197" t="s">
        <v>6</v>
      </c>
      <c r="NX197" s="5" t="s">
        <v>50</v>
      </c>
      <c r="NY197" s="4" t="s">
        <v>4</v>
      </c>
      <c r="NZ197" s="3">
        <v>0.14342466686340982</v>
      </c>
      <c r="OC197">
        <v>4</v>
      </c>
      <c r="OT197" t="s">
        <v>3</v>
      </c>
      <c r="OV197">
        <v>1997</v>
      </c>
      <c r="OY197" s="2" t="s">
        <v>1</v>
      </c>
      <c r="PA197" t="s">
        <v>1169</v>
      </c>
      <c r="PB197" s="58">
        <v>46094</v>
      </c>
    </row>
    <row r="198" spans="1:418" ht="15.75" thickBot="1">
      <c r="A198" s="11" t="s">
        <v>36</v>
      </c>
      <c r="B198" t="s">
        <v>35</v>
      </c>
      <c r="C198" t="s">
        <v>34</v>
      </c>
      <c r="D198" s="4" t="s">
        <v>33</v>
      </c>
      <c r="E198" t="s">
        <v>32</v>
      </c>
      <c r="F198" s="4" t="s">
        <v>31</v>
      </c>
      <c r="G198" t="s">
        <v>2</v>
      </c>
      <c r="H198" t="s">
        <v>30</v>
      </c>
      <c r="I198" s="10">
        <v>0.1</v>
      </c>
      <c r="J198" s="10">
        <v>34.566667000000002</v>
      </c>
      <c r="K198" t="s">
        <v>29</v>
      </c>
      <c r="AV198" t="s">
        <v>28</v>
      </c>
      <c r="AW198">
        <v>100</v>
      </c>
      <c r="AX198" t="s">
        <v>29</v>
      </c>
      <c r="AY198">
        <v>4</v>
      </c>
      <c r="AZ198" t="s">
        <v>27</v>
      </c>
      <c r="BA198">
        <v>1994</v>
      </c>
      <c r="BB198">
        <v>1998</v>
      </c>
      <c r="BC198" t="s">
        <v>26</v>
      </c>
      <c r="BD198" t="s">
        <v>45</v>
      </c>
      <c r="BE198" s="10" t="s">
        <v>49</v>
      </c>
      <c r="BF198" t="s">
        <v>48</v>
      </c>
      <c r="BG198" s="3" t="s">
        <v>1233</v>
      </c>
      <c r="BH198" t="s">
        <v>23</v>
      </c>
      <c r="BI198" t="s">
        <v>750</v>
      </c>
      <c r="BJ198" s="4" t="s">
        <v>22</v>
      </c>
      <c r="BK198" s="9">
        <v>53000</v>
      </c>
      <c r="EF198" s="4"/>
      <c r="EG198" s="9"/>
      <c r="EH198" s="9"/>
      <c r="EI198" s="9"/>
      <c r="EJ198" s="9"/>
      <c r="EK198" s="9"/>
      <c r="EL198" s="9"/>
      <c r="EM198" s="9"/>
      <c r="EN198" s="9"/>
      <c r="EO198" s="9"/>
      <c r="EP198" s="9"/>
      <c r="EQ198" s="9"/>
      <c r="ER198" s="9"/>
      <c r="ES198" s="9"/>
      <c r="ET198" s="9"/>
      <c r="EU198" s="9"/>
      <c r="EV198" s="9"/>
      <c r="EW198" s="9"/>
      <c r="EX198" s="9"/>
      <c r="EY198" s="9"/>
      <c r="EZ198" s="9"/>
      <c r="FA198" s="9"/>
      <c r="FB198" s="9"/>
      <c r="FC198" s="9"/>
      <c r="FD198" s="9"/>
      <c r="FE198" s="9"/>
      <c r="FF198" s="9"/>
      <c r="FG198" s="9"/>
      <c r="FH198" s="9"/>
      <c r="FI198" s="9"/>
      <c r="FJ198" s="9"/>
      <c r="FK198" s="9"/>
      <c r="FL198" s="9"/>
      <c r="FM198" s="9"/>
      <c r="FN198" s="9"/>
      <c r="FO198" s="9"/>
      <c r="FP198" s="9"/>
      <c r="FQ198" s="9"/>
      <c r="FR198" s="9"/>
      <c r="FS198" s="9"/>
      <c r="FT198" s="9"/>
      <c r="FU198" s="9"/>
      <c r="FV198" s="9"/>
      <c r="FW198" s="9"/>
      <c r="FX198" s="9"/>
      <c r="FY198" s="9"/>
      <c r="FZ198" s="9"/>
      <c r="GA198" s="9"/>
      <c r="GB198" s="9"/>
      <c r="GC198" s="9"/>
      <c r="GD198" s="9"/>
      <c r="GE198" s="9"/>
      <c r="GF198" s="9"/>
      <c r="GG198" s="9"/>
      <c r="GH198" s="9"/>
      <c r="GI198" s="9"/>
      <c r="GJ198" s="9"/>
      <c r="GK198" s="9"/>
      <c r="GL198" s="9"/>
      <c r="GM198" s="9"/>
      <c r="GN198" s="9"/>
      <c r="GO198" s="9"/>
      <c r="GP198" s="9"/>
      <c r="GQ198" s="9"/>
      <c r="GR198" s="9"/>
      <c r="GS198" s="9"/>
      <c r="GT198" s="9"/>
      <c r="GU198" s="9"/>
      <c r="GV198" s="9"/>
      <c r="GW198" s="9"/>
      <c r="GX198" s="9"/>
      <c r="GY198" s="9"/>
      <c r="GZ198" s="9"/>
      <c r="HA198" s="9"/>
      <c r="HB198" s="9"/>
      <c r="HC198" s="9"/>
      <c r="HD198" s="9"/>
      <c r="HE198" s="9"/>
      <c r="HF198" s="9"/>
      <c r="HG198" s="9"/>
      <c r="HH198" s="9"/>
      <c r="HI198" s="9"/>
      <c r="HJ198" s="9"/>
      <c r="HK198" s="9"/>
      <c r="HR198" t="s">
        <v>21</v>
      </c>
      <c r="HT198" s="4" t="s">
        <v>20</v>
      </c>
      <c r="HU198" s="58">
        <v>34335</v>
      </c>
      <c r="HV198" s="58">
        <v>36160</v>
      </c>
      <c r="HW198" s="58"/>
      <c r="HX198" s="58"/>
      <c r="IP198" t="s">
        <v>47</v>
      </c>
      <c r="IQ198" s="54" t="s">
        <v>1226</v>
      </c>
      <c r="IT198">
        <v>1995</v>
      </c>
      <c r="IU198">
        <v>1995.2</v>
      </c>
      <c r="IV198" s="4" t="s">
        <v>18</v>
      </c>
      <c r="IW198" t="s">
        <v>38</v>
      </c>
      <c r="IX198" t="s">
        <v>19</v>
      </c>
      <c r="JB198">
        <v>0</v>
      </c>
      <c r="JC198">
        <v>0</v>
      </c>
      <c r="JD198">
        <v>0</v>
      </c>
      <c r="JE198">
        <v>0</v>
      </c>
      <c r="JF198">
        <v>0</v>
      </c>
      <c r="JG198">
        <v>0</v>
      </c>
      <c r="JH198">
        <v>0</v>
      </c>
      <c r="JI198">
        <v>0</v>
      </c>
      <c r="JJ198">
        <v>0</v>
      </c>
      <c r="JL198" s="12" t="s">
        <v>721</v>
      </c>
      <c r="JQ198" s="4"/>
      <c r="KG198" s="7" t="s">
        <v>12</v>
      </c>
      <c r="KK198" s="7" t="s">
        <v>720</v>
      </c>
      <c r="KL198" s="7"/>
      <c r="MZ198" t="s">
        <v>11</v>
      </c>
      <c r="NA198">
        <v>42</v>
      </c>
      <c r="NC198" s="4" t="s">
        <v>10</v>
      </c>
      <c r="NK198" t="s">
        <v>9</v>
      </c>
      <c r="NM198" s="4" t="s">
        <v>1156</v>
      </c>
      <c r="NN198" s="6" t="s">
        <v>7</v>
      </c>
      <c r="NW198" t="s">
        <v>6</v>
      </c>
      <c r="NX198" s="5" t="s">
        <v>46</v>
      </c>
      <c r="NY198" s="4" t="s">
        <v>4</v>
      </c>
      <c r="NZ198" s="3">
        <v>0.21479648589135003</v>
      </c>
      <c r="OC198">
        <v>4</v>
      </c>
      <c r="OT198" t="s">
        <v>3</v>
      </c>
      <c r="OV198">
        <v>1997</v>
      </c>
      <c r="OY198" s="2" t="s">
        <v>1</v>
      </c>
      <c r="PA198" t="s">
        <v>1169</v>
      </c>
      <c r="PB198" s="58">
        <v>46094</v>
      </c>
    </row>
    <row r="199" spans="1:418" ht="15.75" thickBot="1">
      <c r="A199" s="11" t="s">
        <v>36</v>
      </c>
      <c r="B199" t="s">
        <v>35</v>
      </c>
      <c r="C199" t="s">
        <v>34</v>
      </c>
      <c r="D199" s="4" t="s">
        <v>33</v>
      </c>
      <c r="E199" t="s">
        <v>32</v>
      </c>
      <c r="F199" s="4" t="s">
        <v>31</v>
      </c>
      <c r="G199" t="s">
        <v>2</v>
      </c>
      <c r="H199" t="s">
        <v>30</v>
      </c>
      <c r="I199" s="10">
        <v>0.1</v>
      </c>
      <c r="J199" s="10">
        <v>34.566667000000002</v>
      </c>
      <c r="K199" t="s">
        <v>29</v>
      </c>
      <c r="AV199" t="s">
        <v>28</v>
      </c>
      <c r="AW199">
        <v>100</v>
      </c>
      <c r="AX199" t="s">
        <v>29</v>
      </c>
      <c r="AY199">
        <v>4</v>
      </c>
      <c r="AZ199" t="s">
        <v>27</v>
      </c>
      <c r="BA199">
        <v>1994</v>
      </c>
      <c r="BB199">
        <v>1998</v>
      </c>
      <c r="BC199" t="s">
        <v>26</v>
      </c>
      <c r="BD199" t="s">
        <v>45</v>
      </c>
      <c r="BE199" s="10" t="s">
        <v>44</v>
      </c>
      <c r="BF199" t="s">
        <v>43</v>
      </c>
      <c r="BG199" s="3" t="s">
        <v>1233</v>
      </c>
      <c r="BH199" t="s">
        <v>23</v>
      </c>
      <c r="BI199" t="s">
        <v>750</v>
      </c>
      <c r="BJ199" s="4" t="s">
        <v>22</v>
      </c>
      <c r="BK199" s="9">
        <v>53000</v>
      </c>
      <c r="EF199" s="4"/>
      <c r="EG199" s="9"/>
      <c r="EH199" s="9"/>
      <c r="EI199" s="9"/>
      <c r="EJ199" s="9"/>
      <c r="EK199" s="9"/>
      <c r="EL199" s="9"/>
      <c r="EM199" s="9"/>
      <c r="EN199" s="9"/>
      <c r="EO199" s="9"/>
      <c r="EP199" s="9"/>
      <c r="EQ199" s="9"/>
      <c r="ER199" s="9"/>
      <c r="ES199" s="9"/>
      <c r="ET199" s="9"/>
      <c r="EU199" s="9"/>
      <c r="EV199" s="9"/>
      <c r="EW199" s="9"/>
      <c r="EX199" s="9"/>
      <c r="EY199" s="9"/>
      <c r="EZ199" s="9"/>
      <c r="FA199" s="9"/>
      <c r="FB199" s="9"/>
      <c r="FC199" s="9"/>
      <c r="FD199" s="9"/>
      <c r="FE199" s="9"/>
      <c r="FF199" s="9"/>
      <c r="FG199" s="9"/>
      <c r="FH199" s="9"/>
      <c r="FI199" s="9"/>
      <c r="FJ199" s="9"/>
      <c r="FK199" s="9"/>
      <c r="FL199" s="9"/>
      <c r="FM199" s="9"/>
      <c r="FN199" s="9"/>
      <c r="FO199" s="9"/>
      <c r="FP199" s="9"/>
      <c r="FQ199" s="9"/>
      <c r="FR199" s="9"/>
      <c r="FS199" s="9"/>
      <c r="FT199" s="9"/>
      <c r="FU199" s="9"/>
      <c r="FV199" s="9"/>
      <c r="FW199" s="9"/>
      <c r="FX199" s="9"/>
      <c r="FY199" s="9"/>
      <c r="FZ199" s="9"/>
      <c r="GA199" s="9"/>
      <c r="GB199" s="9"/>
      <c r="GC199" s="9"/>
      <c r="GD199" s="9"/>
      <c r="GE199" s="9"/>
      <c r="GF199" s="9"/>
      <c r="GG199" s="9"/>
      <c r="GH199" s="9"/>
      <c r="GI199" s="9"/>
      <c r="GJ199" s="9"/>
      <c r="GK199" s="9"/>
      <c r="GL199" s="9"/>
      <c r="GM199" s="9"/>
      <c r="GN199" s="9"/>
      <c r="GO199" s="9"/>
      <c r="GP199" s="9"/>
      <c r="GQ199" s="9"/>
      <c r="GR199" s="9"/>
      <c r="GS199" s="9"/>
      <c r="GT199" s="9"/>
      <c r="GU199" s="9"/>
      <c r="GV199" s="9"/>
      <c r="GW199" s="9"/>
      <c r="GX199" s="9"/>
      <c r="GY199" s="9"/>
      <c r="GZ199" s="9"/>
      <c r="HA199" s="9"/>
      <c r="HB199" s="9"/>
      <c r="HC199" s="9"/>
      <c r="HD199" s="9"/>
      <c r="HE199" s="9"/>
      <c r="HF199" s="9"/>
      <c r="HG199" s="9"/>
      <c r="HH199" s="9"/>
      <c r="HI199" s="9"/>
      <c r="HJ199" s="9"/>
      <c r="HK199" s="9"/>
      <c r="HR199" t="s">
        <v>21</v>
      </c>
      <c r="HT199" s="4" t="s">
        <v>20</v>
      </c>
      <c r="HU199" s="58">
        <v>34335</v>
      </c>
      <c r="HV199" s="58">
        <v>36160</v>
      </c>
      <c r="HW199" s="58"/>
      <c r="HX199" s="58"/>
      <c r="IP199" t="s">
        <v>42</v>
      </c>
      <c r="IQ199" s="13" t="s">
        <v>1227</v>
      </c>
      <c r="IT199">
        <v>1994</v>
      </c>
      <c r="IU199">
        <v>1994.2</v>
      </c>
      <c r="IV199" s="4" t="s">
        <v>18</v>
      </c>
      <c r="IW199" t="s">
        <v>38</v>
      </c>
      <c r="IX199" t="s">
        <v>19</v>
      </c>
      <c r="JB199">
        <v>0</v>
      </c>
      <c r="JC199">
        <v>0</v>
      </c>
      <c r="JD199">
        <v>0</v>
      </c>
      <c r="JE199">
        <v>0</v>
      </c>
      <c r="JF199">
        <v>0</v>
      </c>
      <c r="JG199">
        <v>0</v>
      </c>
      <c r="JH199">
        <v>0</v>
      </c>
      <c r="JI199">
        <v>0</v>
      </c>
      <c r="JJ199">
        <v>0</v>
      </c>
      <c r="JL199" s="12" t="s">
        <v>721</v>
      </c>
      <c r="JQ199" s="4"/>
      <c r="KG199" s="7" t="s">
        <v>12</v>
      </c>
      <c r="KK199" s="7" t="s">
        <v>720</v>
      </c>
      <c r="KL199" s="7"/>
      <c r="MZ199" t="s">
        <v>11</v>
      </c>
      <c r="NA199">
        <v>42</v>
      </c>
      <c r="NC199" s="4" t="s">
        <v>10</v>
      </c>
      <c r="NK199" t="s">
        <v>9</v>
      </c>
      <c r="NM199" s="4" t="s">
        <v>1156</v>
      </c>
      <c r="NN199" s="6" t="s">
        <v>7</v>
      </c>
      <c r="NW199" t="s">
        <v>6</v>
      </c>
      <c r="NX199" s="5" t="s">
        <v>41</v>
      </c>
      <c r="NY199" s="4" t="s">
        <v>4</v>
      </c>
      <c r="NZ199" s="3">
        <v>0.10746634582643</v>
      </c>
      <c r="OC199">
        <v>4</v>
      </c>
      <c r="OT199" t="s">
        <v>3</v>
      </c>
      <c r="OV199">
        <v>1997</v>
      </c>
      <c r="OY199" s="2" t="s">
        <v>1</v>
      </c>
      <c r="PA199" t="s">
        <v>1169</v>
      </c>
      <c r="PB199" s="58">
        <v>46094</v>
      </c>
    </row>
    <row r="200" spans="1:418" ht="15.75" thickBot="1">
      <c r="A200" s="11" t="s">
        <v>36</v>
      </c>
      <c r="B200" t="s">
        <v>35</v>
      </c>
      <c r="C200" t="s">
        <v>34</v>
      </c>
      <c r="D200" s="4" t="s">
        <v>33</v>
      </c>
      <c r="E200" t="s">
        <v>32</v>
      </c>
      <c r="F200" s="4" t="s">
        <v>31</v>
      </c>
      <c r="G200" t="s">
        <v>2</v>
      </c>
      <c r="H200" t="s">
        <v>30</v>
      </c>
      <c r="I200" s="10">
        <v>0.1</v>
      </c>
      <c r="J200" s="10">
        <v>34.566667000000002</v>
      </c>
      <c r="K200" t="s">
        <v>29</v>
      </c>
      <c r="AV200" t="s">
        <v>28</v>
      </c>
      <c r="AW200">
        <v>100</v>
      </c>
      <c r="AX200" t="s">
        <v>29</v>
      </c>
      <c r="AY200">
        <v>4</v>
      </c>
      <c r="AZ200" t="s">
        <v>27</v>
      </c>
      <c r="BA200">
        <v>1994</v>
      </c>
      <c r="BB200">
        <v>1998</v>
      </c>
      <c r="BC200" t="s">
        <v>26</v>
      </c>
      <c r="BD200" t="s">
        <v>19</v>
      </c>
      <c r="BE200" s="10" t="s">
        <v>40</v>
      </c>
      <c r="BF200" t="s">
        <v>39</v>
      </c>
      <c r="BG200" s="3" t="s">
        <v>1233</v>
      </c>
      <c r="BH200" t="s">
        <v>23</v>
      </c>
      <c r="BI200" t="s">
        <v>750</v>
      </c>
      <c r="BJ200" s="4" t="s">
        <v>22</v>
      </c>
      <c r="BK200" s="9">
        <v>53000</v>
      </c>
      <c r="HR200" t="s">
        <v>21</v>
      </c>
      <c r="HT200" s="4" t="s">
        <v>20</v>
      </c>
      <c r="HU200" s="58">
        <v>34335</v>
      </c>
      <c r="HV200" s="58">
        <v>36160</v>
      </c>
      <c r="HW200" s="58"/>
      <c r="HX200" s="58"/>
      <c r="IP200" t="s">
        <v>38</v>
      </c>
      <c r="IQ200" s="54" t="s">
        <v>19</v>
      </c>
      <c r="IV200" s="4" t="s">
        <v>18</v>
      </c>
      <c r="IW200" t="s">
        <v>38</v>
      </c>
      <c r="IX200" s="54" t="s">
        <v>19</v>
      </c>
      <c r="JB200">
        <v>0</v>
      </c>
      <c r="JC200">
        <v>0</v>
      </c>
      <c r="JD200">
        <v>0</v>
      </c>
      <c r="JE200">
        <v>0</v>
      </c>
      <c r="JF200">
        <v>0</v>
      </c>
      <c r="JG200">
        <v>0</v>
      </c>
      <c r="JH200">
        <v>0</v>
      </c>
      <c r="JI200">
        <v>0</v>
      </c>
      <c r="JJ200">
        <v>0</v>
      </c>
      <c r="JL200" s="12" t="s">
        <v>721</v>
      </c>
      <c r="JQ200" s="4"/>
      <c r="KG200" s="7" t="s">
        <v>12</v>
      </c>
      <c r="KK200" s="7" t="s">
        <v>720</v>
      </c>
      <c r="KL200" s="7"/>
      <c r="MZ200" t="s">
        <v>11</v>
      </c>
      <c r="NA200">
        <v>42</v>
      </c>
      <c r="NC200" s="4" t="s">
        <v>10</v>
      </c>
      <c r="NK200" t="s">
        <v>9</v>
      </c>
      <c r="NM200" s="4" t="s">
        <v>1156</v>
      </c>
      <c r="NN200" s="6" t="s">
        <v>7</v>
      </c>
      <c r="NV200" t="s">
        <v>735</v>
      </c>
      <c r="NW200" t="s">
        <v>6</v>
      </c>
      <c r="NX200" s="5" t="s">
        <v>37</v>
      </c>
      <c r="NY200" s="4" t="s">
        <v>4</v>
      </c>
      <c r="NZ200" s="3">
        <v>0.17897437061588017</v>
      </c>
      <c r="OC200">
        <v>4</v>
      </c>
      <c r="OT200" t="s">
        <v>3</v>
      </c>
      <c r="OV200">
        <v>1997</v>
      </c>
      <c r="OY200" s="2" t="s">
        <v>1</v>
      </c>
      <c r="PA200" t="s">
        <v>1169</v>
      </c>
      <c r="PB200" s="58">
        <v>46094</v>
      </c>
    </row>
    <row r="201" spans="1:418" ht="15.75" thickBot="1">
      <c r="A201" s="11" t="s">
        <v>36</v>
      </c>
      <c r="B201" t="s">
        <v>35</v>
      </c>
      <c r="C201" t="s">
        <v>34</v>
      </c>
      <c r="D201" s="4" t="s">
        <v>33</v>
      </c>
      <c r="E201" t="s">
        <v>32</v>
      </c>
      <c r="F201" s="4" t="s">
        <v>31</v>
      </c>
      <c r="G201" t="s">
        <v>2</v>
      </c>
      <c r="H201" t="s">
        <v>30</v>
      </c>
      <c r="I201" s="10">
        <v>0.1</v>
      </c>
      <c r="J201" s="10">
        <v>34.566667000000002</v>
      </c>
      <c r="K201" t="s">
        <v>29</v>
      </c>
      <c r="AV201" t="s">
        <v>28</v>
      </c>
      <c r="AW201">
        <v>100</v>
      </c>
      <c r="AX201" t="s">
        <v>29</v>
      </c>
      <c r="AY201">
        <v>4</v>
      </c>
      <c r="AZ201" t="s">
        <v>27</v>
      </c>
      <c r="BA201">
        <v>1994</v>
      </c>
      <c r="BB201">
        <v>1998</v>
      </c>
      <c r="BC201" t="s">
        <v>26</v>
      </c>
      <c r="BD201" t="s">
        <v>19</v>
      </c>
      <c r="BE201" s="10" t="s">
        <v>25</v>
      </c>
      <c r="BF201" t="s">
        <v>24</v>
      </c>
      <c r="BG201" s="3" t="s">
        <v>1233</v>
      </c>
      <c r="BH201" t="s">
        <v>23</v>
      </c>
      <c r="BI201" t="s">
        <v>750</v>
      </c>
      <c r="BJ201" s="4" t="s">
        <v>22</v>
      </c>
      <c r="BK201" s="9">
        <v>53000</v>
      </c>
      <c r="HR201" t="s">
        <v>21</v>
      </c>
      <c r="HT201" s="4" t="s">
        <v>20</v>
      </c>
      <c r="HU201" s="58">
        <v>34335</v>
      </c>
      <c r="HV201" s="58">
        <v>36160</v>
      </c>
      <c r="HW201" s="58"/>
      <c r="HX201" s="58"/>
      <c r="IP201" t="s">
        <v>16</v>
      </c>
      <c r="IQ201" s="54" t="s">
        <v>19</v>
      </c>
      <c r="IV201" s="4" t="s">
        <v>18</v>
      </c>
      <c r="IW201" t="s">
        <v>17</v>
      </c>
      <c r="IX201" s="54" t="s">
        <v>19</v>
      </c>
      <c r="JB201">
        <v>0</v>
      </c>
      <c r="JC201">
        <v>0</v>
      </c>
      <c r="JD201">
        <v>0</v>
      </c>
      <c r="JE201">
        <v>0</v>
      </c>
      <c r="JF201">
        <v>0</v>
      </c>
      <c r="JG201">
        <v>0</v>
      </c>
      <c r="JH201">
        <v>0</v>
      </c>
      <c r="JI201">
        <v>0</v>
      </c>
      <c r="JJ201">
        <v>0</v>
      </c>
      <c r="JK201" t="s">
        <v>16</v>
      </c>
      <c r="JL201" t="s">
        <v>15</v>
      </c>
      <c r="JM201" s="8" t="s">
        <v>14</v>
      </c>
      <c r="JQ201" s="4" t="s">
        <v>13</v>
      </c>
      <c r="JR201">
        <v>60</v>
      </c>
      <c r="JU201">
        <v>60</v>
      </c>
      <c r="KG201" s="7" t="s">
        <v>12</v>
      </c>
      <c r="KK201" s="7" t="s">
        <v>720</v>
      </c>
      <c r="KL201" s="7"/>
      <c r="MZ201" t="s">
        <v>11</v>
      </c>
      <c r="NA201">
        <v>42</v>
      </c>
      <c r="NC201" s="4" t="s">
        <v>10</v>
      </c>
      <c r="NK201" t="s">
        <v>9</v>
      </c>
      <c r="NM201" s="4" t="s">
        <v>1156</v>
      </c>
      <c r="NN201" s="6" t="s">
        <v>7</v>
      </c>
      <c r="NV201" t="s">
        <v>747</v>
      </c>
      <c r="NW201" t="s">
        <v>6</v>
      </c>
      <c r="NX201" s="5" t="s">
        <v>5</v>
      </c>
      <c r="NY201" s="4" t="s">
        <v>4</v>
      </c>
      <c r="NZ201" s="3">
        <v>0.10726203718416993</v>
      </c>
      <c r="OC201">
        <v>4</v>
      </c>
      <c r="OT201" t="s">
        <v>3</v>
      </c>
      <c r="OV201">
        <v>1997</v>
      </c>
      <c r="OY201" s="2" t="s">
        <v>1</v>
      </c>
      <c r="PA201" t="s">
        <v>1169</v>
      </c>
      <c r="PB201" s="58">
        <v>46094</v>
      </c>
    </row>
    <row r="202" spans="1:418" ht="15.75" thickBot="1">
      <c r="A202" s="11" t="s">
        <v>2455</v>
      </c>
      <c r="B202" t="s">
        <v>2511</v>
      </c>
      <c r="C202" s="93" t="s">
        <v>1173</v>
      </c>
      <c r="D202" s="4" t="s">
        <v>29</v>
      </c>
      <c r="E202" t="s">
        <v>1200</v>
      </c>
      <c r="F202" t="s">
        <v>1195</v>
      </c>
      <c r="G202" t="s">
        <v>2</v>
      </c>
      <c r="H202" t="s">
        <v>234</v>
      </c>
      <c r="K202" t="s">
        <v>29</v>
      </c>
      <c r="AV202" t="s">
        <v>1201</v>
      </c>
      <c r="AW202" t="s">
        <v>29</v>
      </c>
      <c r="AX202" t="s">
        <v>29</v>
      </c>
      <c r="AY202">
        <v>2</v>
      </c>
      <c r="AZ202" t="s">
        <v>1209</v>
      </c>
      <c r="BA202">
        <v>2002</v>
      </c>
      <c r="BB202">
        <v>2005</v>
      </c>
      <c r="BD202" t="s">
        <v>19</v>
      </c>
      <c r="BE202" t="s">
        <v>1176</v>
      </c>
      <c r="BF202" t="s">
        <v>39</v>
      </c>
      <c r="BG202" s="3" t="s">
        <v>1233</v>
      </c>
      <c r="BH202" t="s">
        <v>1174</v>
      </c>
      <c r="BI202" t="s">
        <v>1202</v>
      </c>
      <c r="BJ202" s="4" t="s">
        <v>22</v>
      </c>
      <c r="BK202">
        <v>333333</v>
      </c>
      <c r="EH202" s="9"/>
      <c r="EI202" s="9"/>
      <c r="EJ202" s="9"/>
      <c r="EK202" s="9"/>
      <c r="EL202" s="9"/>
      <c r="EM202" s="9"/>
      <c r="EN202" s="9"/>
      <c r="EO202" s="9"/>
      <c r="EP202" s="9"/>
      <c r="EQ202" s="9"/>
      <c r="ER202" s="9"/>
      <c r="ES202" s="9"/>
      <c r="ET202" s="9"/>
      <c r="EU202" s="9"/>
      <c r="EV202" s="9"/>
      <c r="EW202" s="9"/>
      <c r="EX202" s="9"/>
      <c r="EY202" s="9"/>
      <c r="EZ202" s="9"/>
      <c r="FA202" s="9"/>
      <c r="FB202" s="9"/>
      <c r="FC202" s="9"/>
      <c r="FD202" s="9"/>
      <c r="FE202" s="9"/>
      <c r="FF202" s="9"/>
      <c r="FG202" s="9"/>
      <c r="FH202" s="9"/>
      <c r="FI202" s="9"/>
      <c r="FJ202" s="9"/>
      <c r="FK202" s="9"/>
      <c r="FL202" s="9"/>
      <c r="FM202" s="9"/>
      <c r="FN202" s="9"/>
      <c r="FO202" s="9"/>
      <c r="FP202" s="9"/>
      <c r="FQ202" s="9"/>
      <c r="FR202" s="9"/>
      <c r="FS202" s="9"/>
      <c r="FT202" s="9"/>
      <c r="FU202" s="9"/>
      <c r="FV202" s="9"/>
      <c r="FW202" s="9"/>
      <c r="FX202" s="9"/>
      <c r="FY202" s="9"/>
      <c r="FZ202" s="9"/>
      <c r="GA202" s="9"/>
      <c r="GB202" s="9"/>
      <c r="GC202" s="9"/>
      <c r="GD202" s="9"/>
      <c r="GE202" s="9"/>
      <c r="GF202" s="9"/>
      <c r="GG202" s="9"/>
      <c r="GH202" s="9"/>
      <c r="GI202" s="9"/>
      <c r="GJ202" s="9"/>
      <c r="GK202" s="9"/>
      <c r="GL202" s="9"/>
      <c r="GM202" s="9"/>
      <c r="GN202" s="9"/>
      <c r="GO202" s="9"/>
      <c r="GP202" s="9"/>
      <c r="GQ202" s="9"/>
      <c r="GR202" s="9"/>
      <c r="GS202" s="9"/>
      <c r="GT202" s="9"/>
      <c r="GU202" s="9"/>
      <c r="GV202" s="9"/>
      <c r="GW202" s="9"/>
      <c r="GX202" s="9"/>
      <c r="GY202" s="9"/>
      <c r="GZ202" s="9"/>
      <c r="HA202" s="9"/>
      <c r="HB202" s="9"/>
      <c r="HC202" s="9"/>
      <c r="HD202" s="9"/>
      <c r="HE202" s="9"/>
      <c r="HF202" s="9"/>
      <c r="HG202" s="9"/>
      <c r="HH202" s="9"/>
      <c r="HI202" s="9"/>
      <c r="HJ202" s="9"/>
      <c r="HK202" s="9"/>
      <c r="HW202" s="58"/>
      <c r="HX202" s="58"/>
      <c r="II202" t="s">
        <v>1176</v>
      </c>
      <c r="IJ202" s="13" t="s">
        <v>19</v>
      </c>
      <c r="JK202" t="s">
        <v>15</v>
      </c>
      <c r="JL202" s="84" t="s">
        <v>15</v>
      </c>
      <c r="JM202" s="8" t="s">
        <v>14</v>
      </c>
      <c r="JQ202" t="s">
        <v>13</v>
      </c>
      <c r="JR202">
        <v>60</v>
      </c>
      <c r="JU202">
        <v>45</v>
      </c>
      <c r="MZ202" t="s">
        <v>1194</v>
      </c>
      <c r="NC202" s="4" t="s">
        <v>1178</v>
      </c>
      <c r="NK202" s="93" t="s">
        <v>1193</v>
      </c>
      <c r="NL202" t="s">
        <v>1180</v>
      </c>
      <c r="NM202" t="s">
        <v>8</v>
      </c>
      <c r="NN202" t="s">
        <v>1175</v>
      </c>
      <c r="NV202" t="s">
        <v>1210</v>
      </c>
      <c r="NW202" t="s">
        <v>6</v>
      </c>
      <c r="NY202" t="s">
        <v>29</v>
      </c>
      <c r="OC202">
        <v>3</v>
      </c>
      <c r="OD202">
        <v>24.24</v>
      </c>
      <c r="OE202" t="s">
        <v>29</v>
      </c>
      <c r="ON202" t="s">
        <v>56</v>
      </c>
      <c r="OO202" t="s">
        <v>56</v>
      </c>
      <c r="OP202" t="s">
        <v>56</v>
      </c>
      <c r="OQ202" t="s">
        <v>56</v>
      </c>
      <c r="OR202">
        <v>1</v>
      </c>
      <c r="OS202" t="s">
        <v>29</v>
      </c>
      <c r="OT202" t="s">
        <v>1514</v>
      </c>
      <c r="OV202">
        <v>2002</v>
      </c>
      <c r="PA202" t="s">
        <v>1169</v>
      </c>
      <c r="PB202" s="58">
        <v>46105</v>
      </c>
    </row>
    <row r="203" spans="1:418" ht="15.75" thickBot="1">
      <c r="A203" s="11" t="s">
        <v>2455</v>
      </c>
      <c r="B203" t="s">
        <v>2511</v>
      </c>
      <c r="C203" s="93" t="s">
        <v>1173</v>
      </c>
      <c r="D203" s="4" t="s">
        <v>29</v>
      </c>
      <c r="E203" t="s">
        <v>1200</v>
      </c>
      <c r="F203" t="s">
        <v>1195</v>
      </c>
      <c r="G203" t="s">
        <v>2</v>
      </c>
      <c r="H203" t="s">
        <v>234</v>
      </c>
      <c r="K203" t="s">
        <v>29</v>
      </c>
      <c r="AV203" t="s">
        <v>1201</v>
      </c>
      <c r="AW203" t="s">
        <v>29</v>
      </c>
      <c r="AX203" t="s">
        <v>29</v>
      </c>
      <c r="AY203">
        <v>2</v>
      </c>
      <c r="AZ203" t="s">
        <v>1209</v>
      </c>
      <c r="BA203">
        <v>2002</v>
      </c>
      <c r="BB203">
        <v>2005</v>
      </c>
      <c r="BD203" t="s">
        <v>238</v>
      </c>
      <c r="BE203" t="s">
        <v>1177</v>
      </c>
      <c r="BF203" t="s">
        <v>64</v>
      </c>
      <c r="BG203" s="3" t="s">
        <v>1233</v>
      </c>
      <c r="BH203" t="s">
        <v>1174</v>
      </c>
      <c r="BI203" t="s">
        <v>1202</v>
      </c>
      <c r="BJ203" s="4" t="s">
        <v>22</v>
      </c>
      <c r="BK203">
        <v>333333</v>
      </c>
      <c r="BM203" t="s">
        <v>1186</v>
      </c>
      <c r="BN203" t="s">
        <v>1203</v>
      </c>
      <c r="BO203">
        <v>55556</v>
      </c>
      <c r="EH203" s="9"/>
      <c r="EI203" s="9"/>
      <c r="EJ203" s="9"/>
      <c r="EK203" s="9"/>
      <c r="EL203" s="9"/>
      <c r="EM203" s="9"/>
      <c r="EN203" s="9"/>
      <c r="EO203" s="9"/>
      <c r="EP203" s="9"/>
      <c r="EQ203" s="9"/>
      <c r="ER203" s="9"/>
      <c r="ES203" s="9"/>
      <c r="ET203" s="9"/>
      <c r="EU203" s="9"/>
      <c r="EV203" s="9"/>
      <c r="EW203" s="9"/>
      <c r="EX203" s="9"/>
      <c r="EY203" s="9"/>
      <c r="EZ203" s="9"/>
      <c r="FA203" s="9"/>
      <c r="FB203" s="9"/>
      <c r="FC203" s="9"/>
      <c r="FD203" s="9"/>
      <c r="FE203" s="9"/>
      <c r="FF203" s="9"/>
      <c r="FG203" s="9"/>
      <c r="FH203" s="9"/>
      <c r="FI203" s="9"/>
      <c r="FJ203" s="9"/>
      <c r="FK203" s="9"/>
      <c r="FL203" s="9"/>
      <c r="FM203" s="9"/>
      <c r="FN203" s="9"/>
      <c r="FO203" s="9"/>
      <c r="FP203" s="9"/>
      <c r="FQ203" s="9"/>
      <c r="FR203" s="9"/>
      <c r="FS203" s="9"/>
      <c r="FT203" s="9"/>
      <c r="FU203" s="9"/>
      <c r="FV203" s="9"/>
      <c r="FW203" s="9"/>
      <c r="FX203" s="9"/>
      <c r="FY203" s="9"/>
      <c r="FZ203" s="9"/>
      <c r="GA203" s="9"/>
      <c r="GB203" s="9"/>
      <c r="GC203" s="9"/>
      <c r="GD203" s="9"/>
      <c r="GE203" s="9"/>
      <c r="GF203" s="9"/>
      <c r="GG203" s="9"/>
      <c r="GH203" s="9"/>
      <c r="GI203" s="9"/>
      <c r="GJ203" s="9"/>
      <c r="GK203" s="9"/>
      <c r="GL203" s="9"/>
      <c r="GM203" s="9"/>
      <c r="GN203" s="9"/>
      <c r="GO203" s="9"/>
      <c r="GP203" s="9"/>
      <c r="GQ203" s="9"/>
      <c r="GR203" s="9"/>
      <c r="GS203" s="9"/>
      <c r="GT203" s="9"/>
      <c r="GU203" s="9"/>
      <c r="GV203" s="9"/>
      <c r="GW203" s="9"/>
      <c r="GX203" s="9"/>
      <c r="GY203" s="9"/>
      <c r="GZ203" s="9"/>
      <c r="HA203" s="9"/>
      <c r="HB203" s="9"/>
      <c r="HC203" s="9"/>
      <c r="HD203" s="9"/>
      <c r="HE203" s="9"/>
      <c r="HF203" s="9"/>
      <c r="HG203" s="9"/>
      <c r="HH203" s="9"/>
      <c r="HI203" s="9"/>
      <c r="HJ203" s="9"/>
      <c r="HK203" s="9"/>
      <c r="HW203" s="58"/>
      <c r="HX203" s="58"/>
      <c r="II203" t="s">
        <v>1177</v>
      </c>
      <c r="IJ203" s="12" t="s">
        <v>1190</v>
      </c>
      <c r="IK203" t="s">
        <v>660</v>
      </c>
      <c r="IL203" t="s">
        <v>29</v>
      </c>
      <c r="IM203" t="s">
        <v>29</v>
      </c>
      <c r="IN203">
        <v>2002</v>
      </c>
      <c r="IO203" t="s">
        <v>29</v>
      </c>
      <c r="JK203" t="s">
        <v>15</v>
      </c>
      <c r="JL203" s="84" t="s">
        <v>15</v>
      </c>
      <c r="JM203" s="8" t="s">
        <v>14</v>
      </c>
      <c r="JQ203" t="s">
        <v>13</v>
      </c>
      <c r="JR203">
        <v>60</v>
      </c>
      <c r="JU203">
        <v>45</v>
      </c>
      <c r="MZ203" t="s">
        <v>1194</v>
      </c>
      <c r="NC203" s="4" t="s">
        <v>1178</v>
      </c>
      <c r="ND203" t="s">
        <v>1179</v>
      </c>
      <c r="NK203" s="93" t="s">
        <v>1193</v>
      </c>
      <c r="NL203" t="s">
        <v>1181</v>
      </c>
      <c r="NM203" t="s">
        <v>8</v>
      </c>
      <c r="NN203" t="s">
        <v>1175</v>
      </c>
      <c r="NW203" t="s">
        <v>6</v>
      </c>
      <c r="NY203" t="s">
        <v>29</v>
      </c>
      <c r="OC203">
        <v>3</v>
      </c>
      <c r="OD203">
        <v>12.12</v>
      </c>
      <c r="OE203" t="s">
        <v>29</v>
      </c>
      <c r="OF203">
        <v>2.4</v>
      </c>
      <c r="OG203" t="s">
        <v>29</v>
      </c>
      <c r="ON203">
        <v>0.5</v>
      </c>
      <c r="OO203" t="s">
        <v>29</v>
      </c>
      <c r="OP203">
        <v>0.32</v>
      </c>
      <c r="OQ203" t="s">
        <v>29</v>
      </c>
      <c r="OR203">
        <v>0.82</v>
      </c>
      <c r="OS203" t="s">
        <v>29</v>
      </c>
      <c r="OT203" t="s">
        <v>2454</v>
      </c>
      <c r="OV203">
        <v>2002</v>
      </c>
      <c r="PA203" t="s">
        <v>1169</v>
      </c>
      <c r="PB203" s="58">
        <v>46105</v>
      </c>
    </row>
    <row r="204" spans="1:418" ht="15.75" thickBot="1">
      <c r="A204" s="11" t="s">
        <v>2455</v>
      </c>
      <c r="B204" t="s">
        <v>2511</v>
      </c>
      <c r="C204" s="93" t="s">
        <v>1173</v>
      </c>
      <c r="D204" s="4" t="s">
        <v>29</v>
      </c>
      <c r="E204" t="s">
        <v>1200</v>
      </c>
      <c r="F204" t="s">
        <v>1195</v>
      </c>
      <c r="G204" t="s">
        <v>2</v>
      </c>
      <c r="H204" t="s">
        <v>234</v>
      </c>
      <c r="K204" t="s">
        <v>29</v>
      </c>
      <c r="AV204" t="s">
        <v>1201</v>
      </c>
      <c r="AW204" t="s">
        <v>29</v>
      </c>
      <c r="AX204" t="s">
        <v>29</v>
      </c>
      <c r="AY204">
        <v>2</v>
      </c>
      <c r="AZ204" t="s">
        <v>1209</v>
      </c>
      <c r="BA204">
        <v>2002</v>
      </c>
      <c r="BB204">
        <v>2005</v>
      </c>
      <c r="BD204" t="s">
        <v>238</v>
      </c>
      <c r="BE204" t="s">
        <v>1187</v>
      </c>
      <c r="BF204" t="s">
        <v>57</v>
      </c>
      <c r="BG204" s="3" t="s">
        <v>1233</v>
      </c>
      <c r="BH204" t="s">
        <v>1174</v>
      </c>
      <c r="BI204" t="s">
        <v>1202</v>
      </c>
      <c r="BJ204" s="4" t="s">
        <v>22</v>
      </c>
      <c r="BK204">
        <v>333333</v>
      </c>
      <c r="BM204" t="s">
        <v>1186</v>
      </c>
      <c r="BN204" t="s">
        <v>1203</v>
      </c>
      <c r="BO204" s="9">
        <v>37037</v>
      </c>
      <c r="EH204" s="9"/>
      <c r="EI204" s="9"/>
      <c r="EJ204" s="9"/>
      <c r="EK204" s="9"/>
      <c r="EL204" s="9"/>
      <c r="EM204" s="9"/>
      <c r="EN204" s="9"/>
      <c r="EO204" s="9"/>
      <c r="EP204" s="9"/>
      <c r="EQ204" s="9"/>
      <c r="ER204" s="9"/>
      <c r="ES204" s="9"/>
      <c r="ET204" s="9"/>
      <c r="EU204" s="9"/>
      <c r="EV204" s="9"/>
      <c r="EW204" s="9"/>
      <c r="EX204" s="9"/>
      <c r="EY204" s="9"/>
      <c r="EZ204" s="9"/>
      <c r="FA204" s="9"/>
      <c r="FB204" s="9"/>
      <c r="FC204" s="9"/>
      <c r="FD204" s="9"/>
      <c r="FE204" s="9"/>
      <c r="FF204" s="9"/>
      <c r="FG204" s="9"/>
      <c r="FH204" s="9"/>
      <c r="FI204" s="9"/>
      <c r="FJ204" s="9"/>
      <c r="FK204" s="9"/>
      <c r="FL204" s="9"/>
      <c r="FM204" s="9"/>
      <c r="FN204" s="9"/>
      <c r="FO204" s="9"/>
      <c r="FP204" s="9"/>
      <c r="FQ204" s="9"/>
      <c r="FR204" s="9"/>
      <c r="FS204" s="9"/>
      <c r="FT204" s="9"/>
      <c r="FU204" s="9"/>
      <c r="FV204" s="9"/>
      <c r="FW204" s="9"/>
      <c r="FX204" s="9"/>
      <c r="FY204" s="9"/>
      <c r="FZ204" s="9"/>
      <c r="GA204" s="9"/>
      <c r="GB204" s="9"/>
      <c r="GC204" s="9"/>
      <c r="GD204" s="9"/>
      <c r="GE204" s="9"/>
      <c r="GF204" s="9"/>
      <c r="GG204" s="9"/>
      <c r="GH204" s="9"/>
      <c r="GI204" s="9"/>
      <c r="GJ204" s="9"/>
      <c r="GK204" s="9"/>
      <c r="GL204" s="9"/>
      <c r="GM204" s="9"/>
      <c r="GN204" s="9"/>
      <c r="GO204" s="9"/>
      <c r="GP204" s="9"/>
      <c r="GQ204" s="9"/>
      <c r="GR204" s="9"/>
      <c r="GS204" s="9"/>
      <c r="GT204" s="9"/>
      <c r="GU204" s="9"/>
      <c r="GV204" s="9"/>
      <c r="GW204" s="9"/>
      <c r="GX204" s="9"/>
      <c r="GY204" s="9"/>
      <c r="GZ204" s="9"/>
      <c r="HA204" s="9"/>
      <c r="HB204" s="9"/>
      <c r="HC204" s="9"/>
      <c r="HD204" s="9"/>
      <c r="HE204" s="9"/>
      <c r="HF204" s="9"/>
      <c r="HG204" s="9"/>
      <c r="HH204" s="9"/>
      <c r="HI204" s="9"/>
      <c r="HJ204" s="9"/>
      <c r="HK204" s="9"/>
      <c r="HW204" s="58"/>
      <c r="HX204" s="58"/>
      <c r="II204" t="s">
        <v>1187</v>
      </c>
      <c r="IJ204" s="12" t="s">
        <v>1190</v>
      </c>
      <c r="IK204" t="s">
        <v>660</v>
      </c>
      <c r="IL204" t="s">
        <v>29</v>
      </c>
      <c r="IM204" t="s">
        <v>29</v>
      </c>
      <c r="IN204">
        <v>2002</v>
      </c>
      <c r="IO204" t="s">
        <v>29</v>
      </c>
      <c r="JK204" t="s">
        <v>15</v>
      </c>
      <c r="JL204" s="84" t="s">
        <v>15</v>
      </c>
      <c r="JM204" s="8" t="s">
        <v>14</v>
      </c>
      <c r="JQ204" t="s">
        <v>13</v>
      </c>
      <c r="JR204">
        <v>60</v>
      </c>
      <c r="JU204">
        <v>45</v>
      </c>
      <c r="MZ204" t="s">
        <v>1194</v>
      </c>
      <c r="NC204" s="4" t="s">
        <v>1178</v>
      </c>
      <c r="ND204" t="s">
        <v>1179</v>
      </c>
      <c r="NK204" s="93" t="s">
        <v>1193</v>
      </c>
      <c r="NL204" t="s">
        <v>1181</v>
      </c>
      <c r="NM204" t="s">
        <v>8</v>
      </c>
      <c r="NN204" t="s">
        <v>1175</v>
      </c>
      <c r="NW204" t="s">
        <v>6</v>
      </c>
      <c r="NY204" t="s">
        <v>29</v>
      </c>
      <c r="OC204">
        <v>3</v>
      </c>
      <c r="OD204">
        <v>16.2</v>
      </c>
      <c r="OE204" t="s">
        <v>29</v>
      </c>
      <c r="OF204">
        <v>4.25</v>
      </c>
      <c r="OG204" t="s">
        <v>29</v>
      </c>
      <c r="ON204">
        <v>0.67</v>
      </c>
      <c r="OO204" t="s">
        <v>29</v>
      </c>
      <c r="OP204">
        <v>0.51</v>
      </c>
      <c r="OQ204" t="s">
        <v>29</v>
      </c>
      <c r="OR204">
        <v>1.18</v>
      </c>
      <c r="OS204" t="s">
        <v>29</v>
      </c>
      <c r="OT204" t="s">
        <v>2454</v>
      </c>
      <c r="OV204">
        <v>2002</v>
      </c>
      <c r="PA204" t="s">
        <v>1169</v>
      </c>
      <c r="PB204" s="58">
        <v>46105</v>
      </c>
    </row>
    <row r="205" spans="1:418" ht="15.75" thickBot="1">
      <c r="A205" s="11" t="s">
        <v>2455</v>
      </c>
      <c r="B205" t="s">
        <v>2511</v>
      </c>
      <c r="C205" s="93" t="s">
        <v>1173</v>
      </c>
      <c r="D205" s="4" t="s">
        <v>29</v>
      </c>
      <c r="E205" t="s">
        <v>1200</v>
      </c>
      <c r="F205" t="s">
        <v>1195</v>
      </c>
      <c r="G205" t="s">
        <v>2</v>
      </c>
      <c r="H205" t="s">
        <v>234</v>
      </c>
      <c r="K205" t="s">
        <v>29</v>
      </c>
      <c r="AV205" t="s">
        <v>1201</v>
      </c>
      <c r="AW205" t="s">
        <v>29</v>
      </c>
      <c r="AX205" t="s">
        <v>29</v>
      </c>
      <c r="AY205">
        <v>2</v>
      </c>
      <c r="AZ205" t="s">
        <v>1209</v>
      </c>
      <c r="BA205">
        <v>2002</v>
      </c>
      <c r="BB205">
        <v>2005</v>
      </c>
      <c r="BD205" t="s">
        <v>238</v>
      </c>
      <c r="BE205" t="s">
        <v>1188</v>
      </c>
      <c r="BF205" t="s">
        <v>48</v>
      </c>
      <c r="BG205" s="3" t="s">
        <v>1233</v>
      </c>
      <c r="BH205" t="s">
        <v>1174</v>
      </c>
      <c r="BI205" t="s">
        <v>1202</v>
      </c>
      <c r="BJ205" s="4" t="s">
        <v>22</v>
      </c>
      <c r="BK205">
        <v>333333</v>
      </c>
      <c r="BM205" t="s">
        <v>1186</v>
      </c>
      <c r="BN205" t="s">
        <v>1203</v>
      </c>
      <c r="BO205" s="9">
        <v>27778</v>
      </c>
      <c r="EH205" s="9"/>
      <c r="EI205" s="9"/>
      <c r="EJ205" s="9"/>
      <c r="EK205" s="9"/>
      <c r="EL205" s="9"/>
      <c r="EM205" s="9"/>
      <c r="EN205" s="9"/>
      <c r="EO205" s="9"/>
      <c r="EP205" s="9"/>
      <c r="EQ205" s="9"/>
      <c r="ER205" s="9"/>
      <c r="ES205" s="9"/>
      <c r="ET205" s="9"/>
      <c r="EU205" s="9"/>
      <c r="EV205" s="9"/>
      <c r="EW205" s="9"/>
      <c r="EX205" s="9"/>
      <c r="EY205" s="9"/>
      <c r="EZ205" s="9"/>
      <c r="FA205" s="9"/>
      <c r="FB205" s="9"/>
      <c r="FC205" s="9"/>
      <c r="FD205" s="9"/>
      <c r="FE205" s="9"/>
      <c r="FF205" s="9"/>
      <c r="FG205" s="9"/>
      <c r="FH205" s="9"/>
      <c r="FI205" s="9"/>
      <c r="FJ205" s="9"/>
      <c r="FK205" s="9"/>
      <c r="FL205" s="9"/>
      <c r="FM205" s="9"/>
      <c r="FN205" s="9"/>
      <c r="FO205" s="9"/>
      <c r="FP205" s="9"/>
      <c r="FQ205" s="9"/>
      <c r="FR205" s="9"/>
      <c r="FS205" s="9"/>
      <c r="FT205" s="9"/>
      <c r="FU205" s="9"/>
      <c r="FV205" s="9"/>
      <c r="FW205" s="9"/>
      <c r="FX205" s="9"/>
      <c r="FY205" s="9"/>
      <c r="FZ205" s="9"/>
      <c r="GA205" s="9"/>
      <c r="GB205" s="9"/>
      <c r="GC205" s="9"/>
      <c r="GD205" s="9"/>
      <c r="GE205" s="9"/>
      <c r="GF205" s="9"/>
      <c r="GG205" s="9"/>
      <c r="GH205" s="9"/>
      <c r="GI205" s="9"/>
      <c r="GJ205" s="9"/>
      <c r="GK205" s="9"/>
      <c r="GL205" s="9"/>
      <c r="GM205" s="9"/>
      <c r="GN205" s="9"/>
      <c r="GO205" s="9"/>
      <c r="GP205" s="9"/>
      <c r="GQ205" s="9"/>
      <c r="GR205" s="9"/>
      <c r="GS205" s="9"/>
      <c r="GT205" s="9"/>
      <c r="GU205" s="9"/>
      <c r="GV205" s="9"/>
      <c r="GW205" s="9"/>
      <c r="GX205" s="9"/>
      <c r="GY205" s="9"/>
      <c r="GZ205" s="9"/>
      <c r="HA205" s="9"/>
      <c r="HB205" s="9"/>
      <c r="HC205" s="9"/>
      <c r="HD205" s="9"/>
      <c r="HE205" s="9"/>
      <c r="HF205" s="9"/>
      <c r="HG205" s="9"/>
      <c r="HH205" s="9"/>
      <c r="HI205" s="9"/>
      <c r="HJ205" s="9"/>
      <c r="HK205" s="9"/>
      <c r="HW205" s="58"/>
      <c r="HX205" s="58"/>
      <c r="II205" t="s">
        <v>1188</v>
      </c>
      <c r="IJ205" s="12" t="s">
        <v>1190</v>
      </c>
      <c r="IK205" t="s">
        <v>660</v>
      </c>
      <c r="IL205" t="s">
        <v>29</v>
      </c>
      <c r="IM205" t="s">
        <v>29</v>
      </c>
      <c r="IN205">
        <v>2002</v>
      </c>
      <c r="IO205" t="s">
        <v>29</v>
      </c>
      <c r="JK205" t="s">
        <v>15</v>
      </c>
      <c r="JL205" s="84" t="s">
        <v>15</v>
      </c>
      <c r="JM205" s="8" t="s">
        <v>14</v>
      </c>
      <c r="JQ205" t="s">
        <v>13</v>
      </c>
      <c r="JR205">
        <v>60</v>
      </c>
      <c r="JU205">
        <v>45</v>
      </c>
      <c r="MZ205" t="s">
        <v>1194</v>
      </c>
      <c r="NC205" s="4" t="s">
        <v>1178</v>
      </c>
      <c r="ND205" t="s">
        <v>1179</v>
      </c>
      <c r="NK205" s="93" t="s">
        <v>1193</v>
      </c>
      <c r="NL205" t="s">
        <v>1181</v>
      </c>
      <c r="NM205" t="s">
        <v>8</v>
      </c>
      <c r="NN205" t="s">
        <v>1175</v>
      </c>
      <c r="NW205" t="s">
        <v>6</v>
      </c>
      <c r="NY205" t="s">
        <v>29</v>
      </c>
      <c r="OC205">
        <v>3</v>
      </c>
      <c r="OD205">
        <v>8.08</v>
      </c>
      <c r="OE205" t="s">
        <v>29</v>
      </c>
      <c r="OF205">
        <v>1.63</v>
      </c>
      <c r="OG205" t="s">
        <v>29</v>
      </c>
      <c r="ON205">
        <v>0.33</v>
      </c>
      <c r="OO205" t="s">
        <v>29</v>
      </c>
      <c r="OP205">
        <v>0.23</v>
      </c>
      <c r="OQ205" t="s">
        <v>29</v>
      </c>
      <c r="OR205">
        <v>0.56000000000000005</v>
      </c>
      <c r="OS205" t="s">
        <v>29</v>
      </c>
      <c r="OT205" t="s">
        <v>2454</v>
      </c>
      <c r="OV205">
        <v>2002</v>
      </c>
      <c r="PA205" t="s">
        <v>1169</v>
      </c>
      <c r="PB205" s="58">
        <v>46105</v>
      </c>
    </row>
    <row r="206" spans="1:418" ht="15.75" thickBot="1">
      <c r="A206" s="11" t="s">
        <v>2455</v>
      </c>
      <c r="B206" t="s">
        <v>2511</v>
      </c>
      <c r="C206" s="93" t="s">
        <v>1173</v>
      </c>
      <c r="D206" s="4" t="s">
        <v>29</v>
      </c>
      <c r="E206" t="s">
        <v>1200</v>
      </c>
      <c r="F206" t="s">
        <v>1195</v>
      </c>
      <c r="G206" t="s">
        <v>2</v>
      </c>
      <c r="H206" t="s">
        <v>234</v>
      </c>
      <c r="K206" t="s">
        <v>29</v>
      </c>
      <c r="AV206" t="s">
        <v>1201</v>
      </c>
      <c r="AW206" t="s">
        <v>29</v>
      </c>
      <c r="AX206" t="s">
        <v>29</v>
      </c>
      <c r="AY206">
        <v>2</v>
      </c>
      <c r="AZ206" t="s">
        <v>1209</v>
      </c>
      <c r="BA206">
        <v>2002</v>
      </c>
      <c r="BB206">
        <v>2005</v>
      </c>
      <c r="BD206" t="s">
        <v>238</v>
      </c>
      <c r="BE206" t="s">
        <v>1189</v>
      </c>
      <c r="BF206" t="s">
        <v>43</v>
      </c>
      <c r="BG206" s="3" t="s">
        <v>1233</v>
      </c>
      <c r="BH206" t="s">
        <v>1174</v>
      </c>
      <c r="BI206" t="s">
        <v>1202</v>
      </c>
      <c r="BJ206" s="4" t="s">
        <v>22</v>
      </c>
      <c r="BK206">
        <v>333333</v>
      </c>
      <c r="BM206" t="s">
        <v>1186</v>
      </c>
      <c r="BN206" t="s">
        <v>1203</v>
      </c>
      <c r="BO206" s="9">
        <v>22222</v>
      </c>
      <c r="EH206" s="9"/>
      <c r="EI206" s="9"/>
      <c r="EJ206" s="9"/>
      <c r="EK206" s="9"/>
      <c r="EL206" s="9"/>
      <c r="EM206" s="9"/>
      <c r="EN206" s="9"/>
      <c r="EO206" s="9"/>
      <c r="EP206" s="9"/>
      <c r="EQ206" s="9"/>
      <c r="ER206" s="9"/>
      <c r="ES206" s="9"/>
      <c r="ET206" s="9"/>
      <c r="EU206" s="9"/>
      <c r="EV206" s="9"/>
      <c r="EW206" s="9"/>
      <c r="EX206" s="9"/>
      <c r="EY206" s="9"/>
      <c r="EZ206" s="9"/>
      <c r="FA206" s="9"/>
      <c r="FB206" s="9"/>
      <c r="FC206" s="9"/>
      <c r="FD206" s="9"/>
      <c r="FE206" s="9"/>
      <c r="FF206" s="9"/>
      <c r="FG206" s="9"/>
      <c r="FH206" s="9"/>
      <c r="FI206" s="9"/>
      <c r="FJ206" s="9"/>
      <c r="FK206" s="9"/>
      <c r="FL206" s="9"/>
      <c r="FM206" s="9"/>
      <c r="FN206" s="9"/>
      <c r="FO206" s="9"/>
      <c r="FP206" s="9"/>
      <c r="FQ206" s="9"/>
      <c r="FR206" s="9"/>
      <c r="FS206" s="9"/>
      <c r="FT206" s="9"/>
      <c r="FU206" s="9"/>
      <c r="FV206" s="9"/>
      <c r="FW206" s="9"/>
      <c r="FX206" s="9"/>
      <c r="FY206" s="9"/>
      <c r="FZ206" s="9"/>
      <c r="GA206" s="9"/>
      <c r="GB206" s="9"/>
      <c r="GC206" s="9"/>
      <c r="GD206" s="9"/>
      <c r="GE206" s="9"/>
      <c r="GF206" s="9"/>
      <c r="GG206" s="9"/>
      <c r="GH206" s="9"/>
      <c r="GI206" s="9"/>
      <c r="GJ206" s="9"/>
      <c r="GK206" s="9"/>
      <c r="GL206" s="9"/>
      <c r="GM206" s="9"/>
      <c r="GN206" s="9"/>
      <c r="GO206" s="9"/>
      <c r="GP206" s="9"/>
      <c r="GQ206" s="9"/>
      <c r="GR206" s="9"/>
      <c r="GS206" s="9"/>
      <c r="GT206" s="9"/>
      <c r="GU206" s="9"/>
      <c r="GV206" s="9"/>
      <c r="GW206" s="9"/>
      <c r="GX206" s="9"/>
      <c r="GY206" s="9"/>
      <c r="GZ206" s="9"/>
      <c r="HA206" s="9"/>
      <c r="HB206" s="9"/>
      <c r="HC206" s="9"/>
      <c r="HD206" s="9"/>
      <c r="HE206" s="9"/>
      <c r="HF206" s="9"/>
      <c r="HG206" s="9"/>
      <c r="HH206" s="9"/>
      <c r="HI206" s="9"/>
      <c r="HJ206" s="9"/>
      <c r="HK206" s="9"/>
      <c r="HW206" s="58"/>
      <c r="HX206" s="58"/>
      <c r="II206" t="s">
        <v>1189</v>
      </c>
      <c r="IJ206" s="12" t="s">
        <v>1190</v>
      </c>
      <c r="IK206" t="s">
        <v>660</v>
      </c>
      <c r="IL206" t="s">
        <v>29</v>
      </c>
      <c r="IM206" t="s">
        <v>29</v>
      </c>
      <c r="IN206">
        <v>2002</v>
      </c>
      <c r="IO206" t="s">
        <v>29</v>
      </c>
      <c r="JK206" t="s">
        <v>15</v>
      </c>
      <c r="JL206" s="84" t="s">
        <v>15</v>
      </c>
      <c r="JM206" s="8" t="s">
        <v>14</v>
      </c>
      <c r="JQ206" t="s">
        <v>13</v>
      </c>
      <c r="JR206">
        <v>60</v>
      </c>
      <c r="JU206">
        <v>45</v>
      </c>
      <c r="MZ206" t="s">
        <v>1194</v>
      </c>
      <c r="NC206" s="4" t="s">
        <v>1178</v>
      </c>
      <c r="ND206" t="s">
        <v>1179</v>
      </c>
      <c r="NK206" s="93" t="s">
        <v>1193</v>
      </c>
      <c r="NL206" t="s">
        <v>1181</v>
      </c>
      <c r="NM206" t="s">
        <v>8</v>
      </c>
      <c r="NN206" t="s">
        <v>1175</v>
      </c>
      <c r="NW206" t="s">
        <v>6</v>
      </c>
      <c r="NY206" t="s">
        <v>29</v>
      </c>
      <c r="OC206">
        <v>3</v>
      </c>
      <c r="OD206">
        <v>18.2</v>
      </c>
      <c r="OE206" t="s">
        <v>29</v>
      </c>
      <c r="OF206">
        <v>2.27</v>
      </c>
      <c r="OG206" t="s">
        <v>29</v>
      </c>
      <c r="ON206">
        <v>0.75</v>
      </c>
      <c r="OO206" t="s">
        <v>29</v>
      </c>
      <c r="OP206">
        <v>0.28999999999999998</v>
      </c>
      <c r="OQ206" t="s">
        <v>29</v>
      </c>
      <c r="OR206">
        <v>1.04</v>
      </c>
      <c r="OS206" t="s">
        <v>29</v>
      </c>
      <c r="OT206" t="s">
        <v>2454</v>
      </c>
      <c r="OV206">
        <v>2002</v>
      </c>
      <c r="PA206" t="s">
        <v>1169</v>
      </c>
      <c r="PB206" s="58">
        <v>46105</v>
      </c>
    </row>
    <row r="207" spans="1:418" ht="15.75" thickBot="1">
      <c r="A207" s="11" t="s">
        <v>2455</v>
      </c>
      <c r="B207" t="s">
        <v>2511</v>
      </c>
      <c r="C207" s="93" t="s">
        <v>1173</v>
      </c>
      <c r="D207" s="4" t="s">
        <v>29</v>
      </c>
      <c r="E207" t="s">
        <v>1200</v>
      </c>
      <c r="F207" t="s">
        <v>1195</v>
      </c>
      <c r="G207" t="s">
        <v>2</v>
      </c>
      <c r="H207" t="s">
        <v>234</v>
      </c>
      <c r="K207" t="s">
        <v>29</v>
      </c>
      <c r="AV207" t="s">
        <v>1201</v>
      </c>
      <c r="AW207" t="s">
        <v>29</v>
      </c>
      <c r="AX207" t="s">
        <v>29</v>
      </c>
      <c r="AY207">
        <v>2</v>
      </c>
      <c r="AZ207" t="s">
        <v>1209</v>
      </c>
      <c r="BA207">
        <v>2002</v>
      </c>
      <c r="BB207">
        <v>2005</v>
      </c>
      <c r="BD207" t="s">
        <v>19</v>
      </c>
      <c r="BE207" t="s">
        <v>1192</v>
      </c>
      <c r="BF207" t="s">
        <v>24</v>
      </c>
      <c r="BG207" s="3" t="s">
        <v>1233</v>
      </c>
      <c r="BH207" t="s">
        <v>1186</v>
      </c>
      <c r="BI207" t="s">
        <v>1203</v>
      </c>
      <c r="BJ207" s="4" t="s">
        <v>22</v>
      </c>
      <c r="BK207" s="9">
        <v>55556</v>
      </c>
      <c r="EH207" s="9"/>
      <c r="EI207" s="9"/>
      <c r="EJ207" s="9"/>
      <c r="EK207" s="9"/>
      <c r="EL207" s="9"/>
      <c r="EM207" s="9"/>
      <c r="EN207" s="9"/>
      <c r="EO207" s="9"/>
      <c r="EP207" s="9"/>
      <c r="EQ207" s="9"/>
      <c r="ER207" s="9"/>
      <c r="ES207" s="9"/>
      <c r="ET207" s="9"/>
      <c r="EU207" s="9"/>
      <c r="EV207" s="9"/>
      <c r="EW207" s="9"/>
      <c r="EX207" s="9"/>
      <c r="EY207" s="9"/>
      <c r="EZ207" s="9"/>
      <c r="FA207" s="9"/>
      <c r="FB207" s="9"/>
      <c r="FC207" s="9"/>
      <c r="FD207" s="9"/>
      <c r="FE207" s="9"/>
      <c r="FF207" s="9"/>
      <c r="FG207" s="9"/>
      <c r="FH207" s="9"/>
      <c r="FI207" s="9"/>
      <c r="FJ207" s="9"/>
      <c r="FK207" s="9"/>
      <c r="FL207" s="9"/>
      <c r="FM207" s="9"/>
      <c r="FN207" s="9"/>
      <c r="FO207" s="9"/>
      <c r="FP207" s="9"/>
      <c r="FQ207" s="9"/>
      <c r="FR207" s="9"/>
      <c r="FS207" s="9"/>
      <c r="FT207" s="9"/>
      <c r="FU207" s="9"/>
      <c r="FV207" s="9"/>
      <c r="FW207" s="9"/>
      <c r="FX207" s="9"/>
      <c r="FY207" s="9"/>
      <c r="FZ207" s="9"/>
      <c r="GA207" s="9"/>
      <c r="GB207" s="9"/>
      <c r="GC207" s="9"/>
      <c r="GD207" s="9"/>
      <c r="GE207" s="9"/>
      <c r="GF207" s="9"/>
      <c r="GG207" s="9"/>
      <c r="GH207" s="9"/>
      <c r="GI207" s="9"/>
      <c r="GJ207" s="9"/>
      <c r="GK207" s="9"/>
      <c r="GL207" s="9"/>
      <c r="GM207" s="9"/>
      <c r="GN207" s="9"/>
      <c r="GO207" s="9"/>
      <c r="GP207" s="9"/>
      <c r="GQ207" s="9"/>
      <c r="GR207" s="9"/>
      <c r="GS207" s="9"/>
      <c r="GT207" s="9"/>
      <c r="GU207" s="9"/>
      <c r="GV207" s="9"/>
      <c r="GW207" s="9"/>
      <c r="GX207" s="9"/>
      <c r="GY207" s="9"/>
      <c r="GZ207" s="9"/>
      <c r="HA207" s="9"/>
      <c r="HB207" s="9"/>
      <c r="HC207" s="9"/>
      <c r="HD207" s="9"/>
      <c r="HE207" s="9"/>
      <c r="HF207" s="9"/>
      <c r="HG207" s="9"/>
      <c r="HH207" s="9"/>
      <c r="HI207" s="9"/>
      <c r="HJ207" s="9"/>
      <c r="HK207" s="9"/>
      <c r="HW207" s="58"/>
      <c r="HX207" s="58"/>
      <c r="II207" t="s">
        <v>1192</v>
      </c>
      <c r="IJ207" s="13" t="s">
        <v>19</v>
      </c>
      <c r="JK207" t="s">
        <v>15</v>
      </c>
      <c r="JL207" s="84" t="s">
        <v>15</v>
      </c>
      <c r="JM207" s="8" t="s">
        <v>14</v>
      </c>
      <c r="JQ207" t="s">
        <v>13</v>
      </c>
      <c r="JR207">
        <v>60</v>
      </c>
      <c r="JU207">
        <v>45</v>
      </c>
      <c r="MZ207" t="s">
        <v>1194</v>
      </c>
      <c r="ND207" t="s">
        <v>1179</v>
      </c>
      <c r="NK207" s="93" t="s">
        <v>1208</v>
      </c>
      <c r="NL207" t="s">
        <v>1191</v>
      </c>
      <c r="NM207" t="s">
        <v>8</v>
      </c>
      <c r="NN207" t="s">
        <v>1175</v>
      </c>
      <c r="NV207" t="s">
        <v>1210</v>
      </c>
      <c r="NW207" t="s">
        <v>6</v>
      </c>
      <c r="NY207" t="s">
        <v>29</v>
      </c>
      <c r="OC207">
        <v>3</v>
      </c>
      <c r="OF207">
        <v>8.56</v>
      </c>
      <c r="OG207" t="s">
        <v>29</v>
      </c>
      <c r="ON207" t="s">
        <v>56</v>
      </c>
      <c r="OO207" t="s">
        <v>56</v>
      </c>
      <c r="OP207" t="s">
        <v>56</v>
      </c>
      <c r="OQ207" t="s">
        <v>56</v>
      </c>
      <c r="OR207">
        <v>1</v>
      </c>
      <c r="OS207" t="s">
        <v>29</v>
      </c>
      <c r="OT207" t="s">
        <v>1515</v>
      </c>
      <c r="OV207">
        <v>2002</v>
      </c>
      <c r="PA207" t="s">
        <v>1169</v>
      </c>
      <c r="PB207" s="58">
        <v>46105</v>
      </c>
    </row>
    <row r="208" spans="1:418" ht="15.75" thickBot="1">
      <c r="A208" s="11" t="s">
        <v>2455</v>
      </c>
      <c r="B208" t="s">
        <v>2511</v>
      </c>
      <c r="C208" s="93" t="s">
        <v>1173</v>
      </c>
      <c r="D208" s="4" t="s">
        <v>29</v>
      </c>
      <c r="E208" t="s">
        <v>1200</v>
      </c>
      <c r="F208" t="s">
        <v>1195</v>
      </c>
      <c r="G208" t="s">
        <v>2</v>
      </c>
      <c r="H208" t="s">
        <v>234</v>
      </c>
      <c r="K208" t="s">
        <v>29</v>
      </c>
      <c r="AV208" t="s">
        <v>1201</v>
      </c>
      <c r="AW208" t="s">
        <v>29</v>
      </c>
      <c r="AX208" t="s">
        <v>29</v>
      </c>
      <c r="AY208">
        <v>2</v>
      </c>
      <c r="AZ208" t="s">
        <v>1209</v>
      </c>
      <c r="BA208">
        <v>2002</v>
      </c>
      <c r="BB208">
        <v>2005</v>
      </c>
      <c r="BD208" t="s">
        <v>238</v>
      </c>
      <c r="BE208" t="s">
        <v>1204</v>
      </c>
      <c r="BF208" t="s">
        <v>252</v>
      </c>
      <c r="BG208" s="3" t="s">
        <v>1233</v>
      </c>
      <c r="BH208" t="s">
        <v>1174</v>
      </c>
      <c r="BI208" t="s">
        <v>1202</v>
      </c>
      <c r="BJ208" s="4" t="s">
        <v>22</v>
      </c>
      <c r="BK208" s="9">
        <v>333333</v>
      </c>
      <c r="BM208" t="s">
        <v>1186</v>
      </c>
      <c r="BN208" t="s">
        <v>1203</v>
      </c>
      <c r="BO208" s="9">
        <v>55556</v>
      </c>
      <c r="EH208" s="9"/>
      <c r="EI208" s="9"/>
      <c r="EJ208" s="9"/>
      <c r="EK208" s="9"/>
      <c r="EL208" s="9"/>
      <c r="EM208" s="9"/>
      <c r="EN208" s="9"/>
      <c r="EO208" s="9"/>
      <c r="EP208" s="9"/>
      <c r="EQ208" s="9"/>
      <c r="ER208" s="9"/>
      <c r="ES208" s="9"/>
      <c r="ET208" s="9"/>
      <c r="EU208" s="9"/>
      <c r="EV208" s="9"/>
      <c r="EW208" s="9"/>
      <c r="EX208" s="9"/>
      <c r="EY208" s="9"/>
      <c r="EZ208" s="9"/>
      <c r="FA208" s="9"/>
      <c r="FB208" s="9"/>
      <c r="FC208" s="9"/>
      <c r="FD208" s="9"/>
      <c r="FE208" s="9"/>
      <c r="FF208" s="9"/>
      <c r="FG208" s="9"/>
      <c r="FH208" s="9"/>
      <c r="FI208" s="9"/>
      <c r="FJ208" s="9"/>
      <c r="FK208" s="9"/>
      <c r="FL208" s="9"/>
      <c r="FM208" s="9"/>
      <c r="FN208" s="9"/>
      <c r="FO208" s="9"/>
      <c r="FP208" s="9"/>
      <c r="FQ208" s="9"/>
      <c r="FR208" s="9"/>
      <c r="FS208" s="9"/>
      <c r="FT208" s="9"/>
      <c r="FU208" s="9"/>
      <c r="FV208" s="9"/>
      <c r="FW208" s="9"/>
      <c r="FX208" s="9"/>
      <c r="FY208" s="9"/>
      <c r="FZ208" s="9"/>
      <c r="GA208" s="9"/>
      <c r="GB208" s="9"/>
      <c r="GC208" s="9"/>
      <c r="GD208" s="9"/>
      <c r="GE208" s="9"/>
      <c r="GF208" s="9"/>
      <c r="GG208" s="9"/>
      <c r="GH208" s="9"/>
      <c r="GI208" s="9"/>
      <c r="GJ208" s="9"/>
      <c r="GK208" s="9"/>
      <c r="GL208" s="9"/>
      <c r="GM208" s="9"/>
      <c r="GN208" s="9"/>
      <c r="GO208" s="9"/>
      <c r="GP208" s="9"/>
      <c r="GQ208" s="9"/>
      <c r="GR208" s="9"/>
      <c r="GS208" s="9"/>
      <c r="GT208" s="9"/>
      <c r="GU208" s="9"/>
      <c r="GV208" s="9"/>
      <c r="GW208" s="9"/>
      <c r="GX208" s="9"/>
      <c r="GY208" s="9"/>
      <c r="GZ208" s="9"/>
      <c r="HA208" s="9"/>
      <c r="HB208" s="9"/>
      <c r="HC208" s="9"/>
      <c r="HD208" s="9"/>
      <c r="HE208" s="9"/>
      <c r="HF208" s="9"/>
      <c r="HG208" s="9"/>
      <c r="HH208" s="9"/>
      <c r="HI208" s="9"/>
      <c r="HJ208" s="9"/>
      <c r="HK208" s="9"/>
      <c r="HW208" s="58"/>
      <c r="HX208" s="58"/>
      <c r="II208" t="s">
        <v>1177</v>
      </c>
      <c r="IJ208" s="12" t="s">
        <v>1190</v>
      </c>
      <c r="IK208" t="s">
        <v>660</v>
      </c>
      <c r="IL208" t="s">
        <v>29</v>
      </c>
      <c r="IM208" t="s">
        <v>29</v>
      </c>
      <c r="IN208">
        <v>2002</v>
      </c>
      <c r="IO208" t="s">
        <v>29</v>
      </c>
      <c r="JK208" t="s">
        <v>15</v>
      </c>
      <c r="JL208" s="84" t="s">
        <v>15</v>
      </c>
      <c r="JM208" s="8" t="s">
        <v>14</v>
      </c>
      <c r="JQ208" t="s">
        <v>13</v>
      </c>
      <c r="JR208">
        <v>60</v>
      </c>
      <c r="JU208">
        <v>45</v>
      </c>
      <c r="MZ208" t="s">
        <v>1194</v>
      </c>
      <c r="NC208" s="4" t="s">
        <v>1178</v>
      </c>
      <c r="ND208" t="s">
        <v>1179</v>
      </c>
      <c r="NK208" s="93" t="s">
        <v>1193</v>
      </c>
      <c r="NL208" t="s">
        <v>1181</v>
      </c>
      <c r="NM208" t="s">
        <v>8</v>
      </c>
      <c r="NN208" t="s">
        <v>1175</v>
      </c>
      <c r="NW208" t="s">
        <v>6</v>
      </c>
      <c r="NY208" t="s">
        <v>29</v>
      </c>
      <c r="OC208">
        <v>3</v>
      </c>
      <c r="OD208">
        <v>10.1</v>
      </c>
      <c r="OE208" t="s">
        <v>29</v>
      </c>
      <c r="OF208">
        <v>4.88</v>
      </c>
      <c r="OG208" t="s">
        <v>29</v>
      </c>
      <c r="ON208">
        <v>0.42</v>
      </c>
      <c r="OP208">
        <v>0.48</v>
      </c>
      <c r="OQ208" t="s">
        <v>29</v>
      </c>
      <c r="OR208">
        <v>0.9</v>
      </c>
      <c r="OS208" t="s">
        <v>29</v>
      </c>
      <c r="OT208" t="s">
        <v>1515</v>
      </c>
      <c r="OV208">
        <v>2002</v>
      </c>
      <c r="PA208" t="s">
        <v>1169</v>
      </c>
      <c r="PB208" s="58">
        <v>46105</v>
      </c>
    </row>
    <row r="209" spans="1:418" ht="15.75" thickBot="1">
      <c r="A209" s="11" t="s">
        <v>2455</v>
      </c>
      <c r="B209" t="s">
        <v>2511</v>
      </c>
      <c r="C209" s="93" t="s">
        <v>1173</v>
      </c>
      <c r="D209" s="4" t="s">
        <v>29</v>
      </c>
      <c r="E209" t="s">
        <v>1200</v>
      </c>
      <c r="F209" t="s">
        <v>1195</v>
      </c>
      <c r="G209" t="s">
        <v>2</v>
      </c>
      <c r="H209" t="s">
        <v>234</v>
      </c>
      <c r="K209" t="s">
        <v>29</v>
      </c>
      <c r="AV209" t="s">
        <v>1201</v>
      </c>
      <c r="AW209" t="s">
        <v>29</v>
      </c>
      <c r="AX209" t="s">
        <v>29</v>
      </c>
      <c r="AY209">
        <v>2</v>
      </c>
      <c r="AZ209" t="s">
        <v>1209</v>
      </c>
      <c r="BA209">
        <v>2002</v>
      </c>
      <c r="BB209">
        <v>2005</v>
      </c>
      <c r="BD209" t="s">
        <v>238</v>
      </c>
      <c r="BE209" t="s">
        <v>1205</v>
      </c>
      <c r="BF209" t="s">
        <v>236</v>
      </c>
      <c r="BG209" s="3" t="s">
        <v>1233</v>
      </c>
      <c r="BH209" t="s">
        <v>1174</v>
      </c>
      <c r="BI209" t="s">
        <v>1202</v>
      </c>
      <c r="BJ209" s="4" t="s">
        <v>22</v>
      </c>
      <c r="BK209" s="9">
        <v>222222</v>
      </c>
      <c r="BM209" t="s">
        <v>1186</v>
      </c>
      <c r="BN209" t="s">
        <v>1203</v>
      </c>
      <c r="BO209" s="9">
        <v>55556</v>
      </c>
      <c r="EH209" s="9"/>
      <c r="EI209" s="9"/>
      <c r="EJ209" s="9"/>
      <c r="EK209" s="9"/>
      <c r="EL209" s="9"/>
      <c r="EM209" s="9"/>
      <c r="EN209" s="9"/>
      <c r="EO209" s="9"/>
      <c r="EP209" s="9"/>
      <c r="EQ209" s="9"/>
      <c r="ER209" s="9"/>
      <c r="ES209" s="9"/>
      <c r="ET209" s="9"/>
      <c r="EU209" s="9"/>
      <c r="EV209" s="9"/>
      <c r="EW209" s="9"/>
      <c r="EX209" s="9"/>
      <c r="EY209" s="9"/>
      <c r="EZ209" s="9"/>
      <c r="FA209" s="9"/>
      <c r="FB209" s="9"/>
      <c r="FC209" s="9"/>
      <c r="FD209" s="9"/>
      <c r="FE209" s="9"/>
      <c r="FF209" s="9"/>
      <c r="FG209" s="9"/>
      <c r="FH209" s="9"/>
      <c r="FI209" s="9"/>
      <c r="FJ209" s="9"/>
      <c r="FK209" s="9"/>
      <c r="FL209" s="9"/>
      <c r="FM209" s="9"/>
      <c r="FN209" s="9"/>
      <c r="FO209" s="9"/>
      <c r="FP209" s="9"/>
      <c r="FQ209" s="9"/>
      <c r="FR209" s="9"/>
      <c r="FS209" s="9"/>
      <c r="FT209" s="9"/>
      <c r="FU209" s="9"/>
      <c r="FV209" s="9"/>
      <c r="FW209" s="9"/>
      <c r="FX209" s="9"/>
      <c r="FY209" s="9"/>
      <c r="FZ209" s="9"/>
      <c r="GA209" s="9"/>
      <c r="GB209" s="9"/>
      <c r="GC209" s="9"/>
      <c r="GD209" s="9"/>
      <c r="GE209" s="9"/>
      <c r="GF209" s="9"/>
      <c r="GG209" s="9"/>
      <c r="GH209" s="9"/>
      <c r="GI209" s="9"/>
      <c r="GJ209" s="9"/>
      <c r="GK209" s="9"/>
      <c r="GL209" s="9"/>
      <c r="GM209" s="9"/>
      <c r="GN209" s="9"/>
      <c r="GO209" s="9"/>
      <c r="GP209" s="9"/>
      <c r="GQ209" s="9"/>
      <c r="GR209" s="9"/>
      <c r="GS209" s="9"/>
      <c r="GT209" s="9"/>
      <c r="GU209" s="9"/>
      <c r="GV209" s="9"/>
      <c r="GW209" s="9"/>
      <c r="GX209" s="9"/>
      <c r="GY209" s="9"/>
      <c r="GZ209" s="9"/>
      <c r="HA209" s="9"/>
      <c r="HB209" s="9"/>
      <c r="HC209" s="9"/>
      <c r="HD209" s="9"/>
      <c r="HE209" s="9"/>
      <c r="HF209" s="9"/>
      <c r="HG209" s="9"/>
      <c r="HH209" s="9"/>
      <c r="HI209" s="9"/>
      <c r="HJ209" s="9"/>
      <c r="HK209" s="9"/>
      <c r="HW209" s="58"/>
      <c r="HX209" s="58"/>
      <c r="II209" t="s">
        <v>1187</v>
      </c>
      <c r="IJ209" s="12" t="s">
        <v>1190</v>
      </c>
      <c r="IK209" t="s">
        <v>660</v>
      </c>
      <c r="IL209" t="s">
        <v>29</v>
      </c>
      <c r="IM209" t="s">
        <v>29</v>
      </c>
      <c r="IN209">
        <v>2002</v>
      </c>
      <c r="IO209" t="s">
        <v>29</v>
      </c>
      <c r="JK209" t="s">
        <v>15</v>
      </c>
      <c r="JL209" s="84" t="s">
        <v>15</v>
      </c>
      <c r="JM209" s="8" t="s">
        <v>14</v>
      </c>
      <c r="JQ209" t="s">
        <v>13</v>
      </c>
      <c r="JR209">
        <v>60</v>
      </c>
      <c r="JU209">
        <v>45</v>
      </c>
      <c r="MZ209" t="s">
        <v>1194</v>
      </c>
      <c r="NC209" s="4" t="s">
        <v>1178</v>
      </c>
      <c r="ND209" t="s">
        <v>1179</v>
      </c>
      <c r="NK209" s="93" t="s">
        <v>1193</v>
      </c>
      <c r="NL209" t="s">
        <v>1181</v>
      </c>
      <c r="NM209" t="s">
        <v>8</v>
      </c>
      <c r="NN209" t="s">
        <v>1175</v>
      </c>
      <c r="NW209" t="s">
        <v>6</v>
      </c>
      <c r="NY209" t="s">
        <v>29</v>
      </c>
      <c r="OC209">
        <v>3</v>
      </c>
      <c r="OD209">
        <v>7.86</v>
      </c>
      <c r="OE209" t="s">
        <v>29</v>
      </c>
      <c r="OF209">
        <v>5.82</v>
      </c>
      <c r="OG209" t="s">
        <v>29</v>
      </c>
      <c r="ON209">
        <v>0.32</v>
      </c>
      <c r="OP209">
        <v>0.75</v>
      </c>
      <c r="OQ209" t="s">
        <v>29</v>
      </c>
      <c r="OR209">
        <v>1.07</v>
      </c>
      <c r="OS209" t="s">
        <v>29</v>
      </c>
      <c r="OT209" t="s">
        <v>1515</v>
      </c>
      <c r="OV209">
        <v>2002</v>
      </c>
      <c r="PA209" t="s">
        <v>1169</v>
      </c>
      <c r="PB209" s="58">
        <v>46105</v>
      </c>
    </row>
    <row r="210" spans="1:418" ht="15.75" thickBot="1">
      <c r="A210" s="11" t="s">
        <v>2455</v>
      </c>
      <c r="B210" t="s">
        <v>2511</v>
      </c>
      <c r="C210" s="93" t="s">
        <v>1173</v>
      </c>
      <c r="D210" s="4" t="s">
        <v>29</v>
      </c>
      <c r="E210" t="s">
        <v>1200</v>
      </c>
      <c r="F210" t="s">
        <v>1195</v>
      </c>
      <c r="G210" t="s">
        <v>2</v>
      </c>
      <c r="H210" t="s">
        <v>234</v>
      </c>
      <c r="K210" t="s">
        <v>29</v>
      </c>
      <c r="AV210" t="s">
        <v>1201</v>
      </c>
      <c r="AW210" t="s">
        <v>29</v>
      </c>
      <c r="AX210" t="s">
        <v>29</v>
      </c>
      <c r="AY210">
        <v>2</v>
      </c>
      <c r="AZ210" t="s">
        <v>1209</v>
      </c>
      <c r="BA210">
        <v>2002</v>
      </c>
      <c r="BB210">
        <v>2005</v>
      </c>
      <c r="BD210" t="s">
        <v>238</v>
      </c>
      <c r="BE210" t="s">
        <v>1206</v>
      </c>
      <c r="BF210" t="s">
        <v>284</v>
      </c>
      <c r="BG210" s="3" t="s">
        <v>1233</v>
      </c>
      <c r="BH210" t="s">
        <v>1174</v>
      </c>
      <c r="BI210" t="s">
        <v>1202</v>
      </c>
      <c r="BJ210" s="4" t="s">
        <v>22</v>
      </c>
      <c r="BK210" s="9">
        <v>166667</v>
      </c>
      <c r="BM210" t="s">
        <v>1186</v>
      </c>
      <c r="BN210" t="s">
        <v>1203</v>
      </c>
      <c r="BO210" s="9">
        <v>55556</v>
      </c>
      <c r="EH210" s="9"/>
      <c r="EI210" s="9"/>
      <c r="EJ210" s="9"/>
      <c r="EK210" s="9"/>
      <c r="EL210" s="9"/>
      <c r="EM210" s="9"/>
      <c r="EN210" s="9"/>
      <c r="EO210" s="9"/>
      <c r="EP210" s="9"/>
      <c r="EQ210" s="9"/>
      <c r="ER210" s="9"/>
      <c r="ES210" s="9"/>
      <c r="ET210" s="9"/>
      <c r="EU210" s="9"/>
      <c r="EV210" s="9"/>
      <c r="EW210" s="9"/>
      <c r="EX210" s="9"/>
      <c r="EY210" s="9"/>
      <c r="EZ210" s="9"/>
      <c r="FA210" s="9"/>
      <c r="FB210" s="9"/>
      <c r="FC210" s="9"/>
      <c r="FD210" s="9"/>
      <c r="FE210" s="9"/>
      <c r="FF210" s="9"/>
      <c r="FG210" s="9"/>
      <c r="FH210" s="9"/>
      <c r="FI210" s="9"/>
      <c r="FJ210" s="9"/>
      <c r="FK210" s="9"/>
      <c r="FL210" s="9"/>
      <c r="FM210" s="9"/>
      <c r="FN210" s="9"/>
      <c r="FO210" s="9"/>
      <c r="FP210" s="9"/>
      <c r="FQ210" s="9"/>
      <c r="FR210" s="9"/>
      <c r="FS210" s="9"/>
      <c r="FT210" s="9"/>
      <c r="FU210" s="9"/>
      <c r="FV210" s="9"/>
      <c r="FW210" s="9"/>
      <c r="FX210" s="9"/>
      <c r="FY210" s="9"/>
      <c r="FZ210" s="9"/>
      <c r="GA210" s="9"/>
      <c r="GB210" s="9"/>
      <c r="GC210" s="9"/>
      <c r="GD210" s="9"/>
      <c r="GE210" s="9"/>
      <c r="GF210" s="9"/>
      <c r="GG210" s="9"/>
      <c r="GH210" s="9"/>
      <c r="GI210" s="9"/>
      <c r="GJ210" s="9"/>
      <c r="GK210" s="9"/>
      <c r="GL210" s="9"/>
      <c r="GM210" s="9"/>
      <c r="GN210" s="9"/>
      <c r="GO210" s="9"/>
      <c r="GP210" s="9"/>
      <c r="GQ210" s="9"/>
      <c r="GR210" s="9"/>
      <c r="GS210" s="9"/>
      <c r="GT210" s="9"/>
      <c r="GU210" s="9"/>
      <c r="GV210" s="9"/>
      <c r="GW210" s="9"/>
      <c r="GX210" s="9"/>
      <c r="GY210" s="9"/>
      <c r="GZ210" s="9"/>
      <c r="HA210" s="9"/>
      <c r="HB210" s="9"/>
      <c r="HC210" s="9"/>
      <c r="HD210" s="9"/>
      <c r="HE210" s="9"/>
      <c r="HF210" s="9"/>
      <c r="HG210" s="9"/>
      <c r="HH210" s="9"/>
      <c r="HI210" s="9"/>
      <c r="HJ210" s="9"/>
      <c r="HK210" s="9"/>
      <c r="HW210" s="58"/>
      <c r="HX210" s="58"/>
      <c r="II210" t="s">
        <v>1188</v>
      </c>
      <c r="IJ210" s="12" t="s">
        <v>1190</v>
      </c>
      <c r="IK210" t="s">
        <v>660</v>
      </c>
      <c r="IL210" t="s">
        <v>29</v>
      </c>
      <c r="IM210" t="s">
        <v>29</v>
      </c>
      <c r="IN210">
        <v>2002</v>
      </c>
      <c r="IO210" t="s">
        <v>29</v>
      </c>
      <c r="JK210" t="s">
        <v>15</v>
      </c>
      <c r="JL210" s="84" t="s">
        <v>15</v>
      </c>
      <c r="JM210" s="8" t="s">
        <v>14</v>
      </c>
      <c r="JQ210" t="s">
        <v>13</v>
      </c>
      <c r="JR210">
        <v>60</v>
      </c>
      <c r="JU210">
        <v>45</v>
      </c>
      <c r="MZ210" t="s">
        <v>1194</v>
      </c>
      <c r="NC210" s="4" t="s">
        <v>1178</v>
      </c>
      <c r="ND210" t="s">
        <v>1179</v>
      </c>
      <c r="NK210" s="93" t="s">
        <v>1193</v>
      </c>
      <c r="NL210" t="s">
        <v>1181</v>
      </c>
      <c r="NM210" t="s">
        <v>8</v>
      </c>
      <c r="NN210" t="s">
        <v>1175</v>
      </c>
      <c r="NW210" t="s">
        <v>6</v>
      </c>
      <c r="NY210" t="s">
        <v>29</v>
      </c>
      <c r="OC210">
        <v>3</v>
      </c>
      <c r="OD210">
        <v>7.18</v>
      </c>
      <c r="OE210" t="s">
        <v>29</v>
      </c>
      <c r="OF210">
        <v>7.52</v>
      </c>
      <c r="OG210" t="s">
        <v>29</v>
      </c>
      <c r="ON210">
        <v>0.3</v>
      </c>
      <c r="OP210">
        <v>0.89</v>
      </c>
      <c r="OQ210" t="s">
        <v>29</v>
      </c>
      <c r="OR210">
        <v>1.19</v>
      </c>
      <c r="OS210" t="s">
        <v>29</v>
      </c>
      <c r="OT210" t="s">
        <v>1515</v>
      </c>
      <c r="OV210">
        <v>2002</v>
      </c>
      <c r="PA210" t="s">
        <v>1169</v>
      </c>
      <c r="PB210" s="58">
        <v>46105</v>
      </c>
    </row>
    <row r="211" spans="1:418" ht="15.75" thickBot="1">
      <c r="A211" s="11" t="s">
        <v>2455</v>
      </c>
      <c r="B211" t="s">
        <v>2511</v>
      </c>
      <c r="C211" s="93" t="s">
        <v>1173</v>
      </c>
      <c r="D211" s="4" t="s">
        <v>29</v>
      </c>
      <c r="E211" t="s">
        <v>1200</v>
      </c>
      <c r="F211" t="s">
        <v>1195</v>
      </c>
      <c r="G211" t="s">
        <v>2</v>
      </c>
      <c r="H211" t="s">
        <v>234</v>
      </c>
      <c r="K211" t="s">
        <v>29</v>
      </c>
      <c r="AV211" t="s">
        <v>1201</v>
      </c>
      <c r="AW211" t="s">
        <v>29</v>
      </c>
      <c r="AX211" t="s">
        <v>29</v>
      </c>
      <c r="AY211">
        <v>2</v>
      </c>
      <c r="AZ211" t="s">
        <v>1209</v>
      </c>
      <c r="BA211">
        <v>2002</v>
      </c>
      <c r="BB211">
        <v>2005</v>
      </c>
      <c r="BD211" t="s">
        <v>238</v>
      </c>
      <c r="BE211" t="s">
        <v>1207</v>
      </c>
      <c r="BF211" t="s">
        <v>277</v>
      </c>
      <c r="BG211" s="3" t="s">
        <v>1233</v>
      </c>
      <c r="BH211" t="s">
        <v>1174</v>
      </c>
      <c r="BI211" t="s">
        <v>1202</v>
      </c>
      <c r="BJ211" s="4" t="s">
        <v>22</v>
      </c>
      <c r="BK211" s="9">
        <v>133333</v>
      </c>
      <c r="BM211" t="s">
        <v>1186</v>
      </c>
      <c r="BN211" t="s">
        <v>1203</v>
      </c>
      <c r="BO211" s="9">
        <v>55556</v>
      </c>
      <c r="EH211" s="9"/>
      <c r="EI211" s="9"/>
      <c r="EJ211" s="9"/>
      <c r="EK211" s="9"/>
      <c r="EL211" s="9"/>
      <c r="EM211" s="9"/>
      <c r="EN211" s="9"/>
      <c r="EO211" s="9"/>
      <c r="EP211" s="9"/>
      <c r="EQ211" s="9"/>
      <c r="ER211" s="9"/>
      <c r="ES211" s="9"/>
      <c r="ET211" s="9"/>
      <c r="EU211" s="9"/>
      <c r="EV211" s="9"/>
      <c r="EW211" s="9"/>
      <c r="EX211" s="9"/>
      <c r="EY211" s="9"/>
      <c r="EZ211" s="9"/>
      <c r="FA211" s="9"/>
      <c r="FB211" s="9"/>
      <c r="FC211" s="9"/>
      <c r="FD211" s="9"/>
      <c r="FE211" s="9"/>
      <c r="FF211" s="9"/>
      <c r="FG211" s="9"/>
      <c r="FH211" s="9"/>
      <c r="FI211" s="9"/>
      <c r="FJ211" s="9"/>
      <c r="FK211" s="9"/>
      <c r="FL211" s="9"/>
      <c r="FM211" s="9"/>
      <c r="FN211" s="9"/>
      <c r="FO211" s="9"/>
      <c r="FP211" s="9"/>
      <c r="FQ211" s="9"/>
      <c r="FR211" s="9"/>
      <c r="FS211" s="9"/>
      <c r="FT211" s="9"/>
      <c r="FU211" s="9"/>
      <c r="FV211" s="9"/>
      <c r="FW211" s="9"/>
      <c r="FX211" s="9"/>
      <c r="FY211" s="9"/>
      <c r="FZ211" s="9"/>
      <c r="GA211" s="9"/>
      <c r="GB211" s="9"/>
      <c r="GC211" s="9"/>
      <c r="GD211" s="9"/>
      <c r="GE211" s="9"/>
      <c r="GF211" s="9"/>
      <c r="GG211" s="9"/>
      <c r="GH211" s="9"/>
      <c r="GI211" s="9"/>
      <c r="GJ211" s="9"/>
      <c r="GK211" s="9"/>
      <c r="GL211" s="9"/>
      <c r="GM211" s="9"/>
      <c r="GN211" s="9"/>
      <c r="GO211" s="9"/>
      <c r="GP211" s="9"/>
      <c r="GQ211" s="9"/>
      <c r="GR211" s="9"/>
      <c r="GS211" s="9"/>
      <c r="GT211" s="9"/>
      <c r="GU211" s="9"/>
      <c r="GV211" s="9"/>
      <c r="GW211" s="9"/>
      <c r="GX211" s="9"/>
      <c r="GY211" s="9"/>
      <c r="GZ211" s="9"/>
      <c r="HA211" s="9"/>
      <c r="HB211" s="9"/>
      <c r="HC211" s="9"/>
      <c r="HD211" s="9"/>
      <c r="HE211" s="9"/>
      <c r="HF211" s="9"/>
      <c r="HG211" s="9"/>
      <c r="HH211" s="9"/>
      <c r="HI211" s="9"/>
      <c r="HJ211" s="9"/>
      <c r="HK211" s="9"/>
      <c r="HW211" s="58"/>
      <c r="HX211" s="58"/>
      <c r="II211" t="s">
        <v>1189</v>
      </c>
      <c r="IJ211" s="12" t="s">
        <v>1190</v>
      </c>
      <c r="IK211" t="s">
        <v>660</v>
      </c>
      <c r="IL211" t="s">
        <v>29</v>
      </c>
      <c r="IM211" t="s">
        <v>29</v>
      </c>
      <c r="IN211">
        <v>2002</v>
      </c>
      <c r="IO211" t="s">
        <v>29</v>
      </c>
      <c r="JK211" t="s">
        <v>15</v>
      </c>
      <c r="JL211" s="84" t="s">
        <v>15</v>
      </c>
      <c r="JM211" s="8" t="s">
        <v>14</v>
      </c>
      <c r="JQ211" t="s">
        <v>13</v>
      </c>
      <c r="JR211">
        <v>60</v>
      </c>
      <c r="JU211">
        <v>45</v>
      </c>
      <c r="MZ211" t="s">
        <v>1194</v>
      </c>
      <c r="NC211" s="4" t="s">
        <v>1178</v>
      </c>
      <c r="ND211" t="s">
        <v>1179</v>
      </c>
      <c r="NK211" s="93" t="s">
        <v>1193</v>
      </c>
      <c r="NL211" t="s">
        <v>1181</v>
      </c>
      <c r="NM211" t="s">
        <v>8</v>
      </c>
      <c r="NN211" t="s">
        <v>1175</v>
      </c>
      <c r="NW211" t="s">
        <v>6</v>
      </c>
      <c r="NY211" t="s">
        <v>29</v>
      </c>
      <c r="OC211">
        <v>3</v>
      </c>
      <c r="OD211">
        <v>4.04</v>
      </c>
      <c r="OE211" t="s">
        <v>29</v>
      </c>
      <c r="OF211">
        <v>5.75</v>
      </c>
      <c r="OG211" t="s">
        <v>29</v>
      </c>
      <c r="ON211">
        <v>0.17</v>
      </c>
      <c r="OP211">
        <v>0.73</v>
      </c>
      <c r="OQ211" t="s">
        <v>29</v>
      </c>
      <c r="OR211">
        <v>1</v>
      </c>
      <c r="OS211" t="s">
        <v>29</v>
      </c>
      <c r="OT211" t="s">
        <v>1515</v>
      </c>
      <c r="OV211">
        <v>2002</v>
      </c>
      <c r="PA211" t="s">
        <v>1169</v>
      </c>
      <c r="PB211" s="58">
        <v>46105</v>
      </c>
    </row>
    <row r="212" spans="1:418" ht="15.75" thickBot="1">
      <c r="A212" s="11" t="s">
        <v>2455</v>
      </c>
      <c r="B212" t="s">
        <v>2511</v>
      </c>
      <c r="C212" s="93" t="s">
        <v>1173</v>
      </c>
      <c r="D212" s="4" t="s">
        <v>29</v>
      </c>
      <c r="E212" t="s">
        <v>1200</v>
      </c>
      <c r="F212" t="s">
        <v>1195</v>
      </c>
      <c r="G212" t="s">
        <v>2</v>
      </c>
      <c r="H212" t="s">
        <v>234</v>
      </c>
      <c r="K212" t="s">
        <v>29</v>
      </c>
      <c r="AV212" t="s">
        <v>1201</v>
      </c>
      <c r="AW212" t="s">
        <v>29</v>
      </c>
      <c r="AX212" t="s">
        <v>29</v>
      </c>
      <c r="AY212">
        <v>2</v>
      </c>
      <c r="AZ212" t="s">
        <v>1209</v>
      </c>
      <c r="BA212">
        <v>2002</v>
      </c>
      <c r="BB212">
        <v>2005</v>
      </c>
      <c r="BD212" t="s">
        <v>19</v>
      </c>
      <c r="BE212" t="s">
        <v>1176</v>
      </c>
      <c r="BF212" t="s">
        <v>39</v>
      </c>
      <c r="BG212" s="3" t="s">
        <v>1233</v>
      </c>
      <c r="BH212" t="s">
        <v>1174</v>
      </c>
      <c r="BI212" t="s">
        <v>1202</v>
      </c>
      <c r="BJ212" s="4" t="s">
        <v>22</v>
      </c>
      <c r="BK212">
        <v>333333</v>
      </c>
      <c r="EH212" s="9"/>
      <c r="EI212" s="9"/>
      <c r="EJ212" s="9"/>
      <c r="EK212" s="9"/>
      <c r="EL212" s="9"/>
      <c r="EM212" s="9"/>
      <c r="EN212" s="9"/>
      <c r="EO212" s="9"/>
      <c r="EP212" s="9"/>
      <c r="EQ212" s="9"/>
      <c r="ER212" s="9"/>
      <c r="ES212" s="9"/>
      <c r="ET212" s="9"/>
      <c r="EU212" s="9"/>
      <c r="EV212" s="9"/>
      <c r="EW212" s="9"/>
      <c r="EX212" s="9"/>
      <c r="EY212" s="9"/>
      <c r="EZ212" s="9"/>
      <c r="FA212" s="9"/>
      <c r="FB212" s="9"/>
      <c r="FC212" s="9"/>
      <c r="FD212" s="9"/>
      <c r="FE212" s="9"/>
      <c r="FF212" s="9"/>
      <c r="FG212" s="9"/>
      <c r="FH212" s="9"/>
      <c r="FI212" s="9"/>
      <c r="FJ212" s="9"/>
      <c r="FK212" s="9"/>
      <c r="FL212" s="9"/>
      <c r="FM212" s="9"/>
      <c r="FN212" s="9"/>
      <c r="FO212" s="9"/>
      <c r="FP212" s="9"/>
      <c r="FQ212" s="9"/>
      <c r="FR212" s="9"/>
      <c r="FS212" s="9"/>
      <c r="FT212" s="9"/>
      <c r="FU212" s="9"/>
      <c r="FV212" s="9"/>
      <c r="FW212" s="9"/>
      <c r="FX212" s="9"/>
      <c r="FY212" s="9"/>
      <c r="FZ212" s="9"/>
      <c r="GA212" s="9"/>
      <c r="GB212" s="9"/>
      <c r="GC212" s="9"/>
      <c r="GD212" s="9"/>
      <c r="GE212" s="9"/>
      <c r="GF212" s="9"/>
      <c r="GG212" s="9"/>
      <c r="GH212" s="9"/>
      <c r="GI212" s="9"/>
      <c r="GJ212" s="9"/>
      <c r="GK212" s="9"/>
      <c r="GL212" s="9"/>
      <c r="GM212" s="9"/>
      <c r="GN212" s="9"/>
      <c r="GO212" s="9"/>
      <c r="GP212" s="9"/>
      <c r="GQ212" s="9"/>
      <c r="GR212" s="9"/>
      <c r="GS212" s="9"/>
      <c r="GT212" s="9"/>
      <c r="GU212" s="9"/>
      <c r="GV212" s="9"/>
      <c r="GW212" s="9"/>
      <c r="GX212" s="9"/>
      <c r="GY212" s="9"/>
      <c r="GZ212" s="9"/>
      <c r="HA212" s="9"/>
      <c r="HB212" s="9"/>
      <c r="HC212" s="9"/>
      <c r="HD212" s="9"/>
      <c r="HE212" s="9"/>
      <c r="HF212" s="9"/>
      <c r="HG212" s="9"/>
      <c r="HH212" s="9"/>
      <c r="HI212" s="9"/>
      <c r="HJ212" s="9"/>
      <c r="HK212" s="9"/>
      <c r="HW212" s="58"/>
      <c r="HX212" s="58"/>
      <c r="II212" t="s">
        <v>1176</v>
      </c>
      <c r="IJ212" s="13" t="s">
        <v>19</v>
      </c>
      <c r="JK212" t="s">
        <v>15</v>
      </c>
      <c r="JL212" s="84" t="s">
        <v>15</v>
      </c>
      <c r="JM212" s="8" t="s">
        <v>14</v>
      </c>
      <c r="JQ212" t="s">
        <v>13</v>
      </c>
      <c r="JR212">
        <v>60</v>
      </c>
      <c r="JU212">
        <v>45</v>
      </c>
      <c r="MZ212" t="s">
        <v>1194</v>
      </c>
      <c r="NC212" s="4" t="s">
        <v>1178</v>
      </c>
      <c r="NK212" s="93" t="s">
        <v>1193</v>
      </c>
      <c r="NL212" t="s">
        <v>1180</v>
      </c>
      <c r="NM212" t="s">
        <v>8</v>
      </c>
      <c r="NN212" t="s">
        <v>1175</v>
      </c>
      <c r="NV212" t="s">
        <v>1210</v>
      </c>
      <c r="NW212" t="s">
        <v>6</v>
      </c>
      <c r="NY212" t="s">
        <v>29</v>
      </c>
      <c r="OC212">
        <v>3</v>
      </c>
      <c r="OD212">
        <v>22.2</v>
      </c>
      <c r="OE212" t="s">
        <v>29</v>
      </c>
      <c r="ON212" t="s">
        <v>56</v>
      </c>
      <c r="OO212" t="s">
        <v>56</v>
      </c>
      <c r="OP212" t="s">
        <v>56</v>
      </c>
      <c r="OQ212" t="s">
        <v>56</v>
      </c>
      <c r="OR212">
        <v>1</v>
      </c>
      <c r="OS212" t="s">
        <v>29</v>
      </c>
      <c r="OT212" t="s">
        <v>1516</v>
      </c>
      <c r="OV212">
        <v>2004</v>
      </c>
      <c r="PA212" t="s">
        <v>1169</v>
      </c>
      <c r="PB212" s="58">
        <v>46105</v>
      </c>
    </row>
    <row r="213" spans="1:418" ht="15.75" thickBot="1">
      <c r="A213" s="11" t="s">
        <v>2455</v>
      </c>
      <c r="B213" t="s">
        <v>2511</v>
      </c>
      <c r="C213" s="93" t="s">
        <v>1173</v>
      </c>
      <c r="D213" s="4" t="s">
        <v>29</v>
      </c>
      <c r="E213" t="s">
        <v>1200</v>
      </c>
      <c r="F213" t="s">
        <v>1195</v>
      </c>
      <c r="G213" t="s">
        <v>2</v>
      </c>
      <c r="H213" t="s">
        <v>234</v>
      </c>
      <c r="K213" t="s">
        <v>29</v>
      </c>
      <c r="AV213" t="s">
        <v>1201</v>
      </c>
      <c r="AW213" t="s">
        <v>29</v>
      </c>
      <c r="AX213" t="s">
        <v>29</v>
      </c>
      <c r="AY213">
        <v>2</v>
      </c>
      <c r="AZ213" t="s">
        <v>1209</v>
      </c>
      <c r="BA213">
        <v>2002</v>
      </c>
      <c r="BB213">
        <v>2005</v>
      </c>
      <c r="BD213" t="s">
        <v>238</v>
      </c>
      <c r="BE213" t="s">
        <v>1177</v>
      </c>
      <c r="BF213" t="s">
        <v>64</v>
      </c>
      <c r="BG213" s="3" t="s">
        <v>1233</v>
      </c>
      <c r="BH213" t="s">
        <v>1174</v>
      </c>
      <c r="BI213" t="s">
        <v>1202</v>
      </c>
      <c r="BJ213" s="4" t="s">
        <v>22</v>
      </c>
      <c r="BK213">
        <v>333333</v>
      </c>
      <c r="BM213" t="s">
        <v>1186</v>
      </c>
      <c r="BN213" t="s">
        <v>1203</v>
      </c>
      <c r="BO213">
        <v>55556</v>
      </c>
      <c r="EH213" s="9"/>
      <c r="EI213" s="9"/>
      <c r="EJ213" s="9"/>
      <c r="EK213" s="9"/>
      <c r="EL213" s="9"/>
      <c r="EM213" s="9"/>
      <c r="EN213" s="9"/>
      <c r="EO213" s="9"/>
      <c r="EP213" s="9"/>
      <c r="EQ213" s="9"/>
      <c r="ER213" s="9"/>
      <c r="ES213" s="9"/>
      <c r="ET213" s="9"/>
      <c r="EU213" s="9"/>
      <c r="EV213" s="9"/>
      <c r="EW213" s="9"/>
      <c r="EX213" s="9"/>
      <c r="EY213" s="9"/>
      <c r="EZ213" s="9"/>
      <c r="FA213" s="9"/>
      <c r="FB213" s="9"/>
      <c r="FC213" s="9"/>
      <c r="FD213" s="9"/>
      <c r="FE213" s="9"/>
      <c r="FF213" s="9"/>
      <c r="FG213" s="9"/>
      <c r="FH213" s="9"/>
      <c r="FI213" s="9"/>
      <c r="FJ213" s="9"/>
      <c r="FK213" s="9"/>
      <c r="FL213" s="9"/>
      <c r="FM213" s="9"/>
      <c r="FN213" s="9"/>
      <c r="FO213" s="9"/>
      <c r="FP213" s="9"/>
      <c r="FQ213" s="9"/>
      <c r="FR213" s="9"/>
      <c r="FS213" s="9"/>
      <c r="FT213" s="9"/>
      <c r="FU213" s="9"/>
      <c r="FV213" s="9"/>
      <c r="FW213" s="9"/>
      <c r="FX213" s="9"/>
      <c r="FY213" s="9"/>
      <c r="FZ213" s="9"/>
      <c r="GA213" s="9"/>
      <c r="GB213" s="9"/>
      <c r="GC213" s="9"/>
      <c r="GD213" s="9"/>
      <c r="GE213" s="9"/>
      <c r="GF213" s="9"/>
      <c r="GG213" s="9"/>
      <c r="GH213" s="9"/>
      <c r="GI213" s="9"/>
      <c r="GJ213" s="9"/>
      <c r="GK213" s="9"/>
      <c r="GL213" s="9"/>
      <c r="GM213" s="9"/>
      <c r="GN213" s="9"/>
      <c r="GO213" s="9"/>
      <c r="GP213" s="9"/>
      <c r="GQ213" s="9"/>
      <c r="GR213" s="9"/>
      <c r="GS213" s="9"/>
      <c r="GT213" s="9"/>
      <c r="GU213" s="9"/>
      <c r="GV213" s="9"/>
      <c r="GW213" s="9"/>
      <c r="GX213" s="9"/>
      <c r="GY213" s="9"/>
      <c r="GZ213" s="9"/>
      <c r="HA213" s="9"/>
      <c r="HB213" s="9"/>
      <c r="HC213" s="9"/>
      <c r="HD213" s="9"/>
      <c r="HE213" s="9"/>
      <c r="HF213" s="9"/>
      <c r="HG213" s="9"/>
      <c r="HH213" s="9"/>
      <c r="HI213" s="9"/>
      <c r="HJ213" s="9"/>
      <c r="HK213" s="9"/>
      <c r="HW213" s="58"/>
      <c r="HX213" s="58"/>
      <c r="II213" t="s">
        <v>1177</v>
      </c>
      <c r="IJ213" s="12" t="s">
        <v>1190</v>
      </c>
      <c r="IK213" t="s">
        <v>660</v>
      </c>
      <c r="IL213" t="s">
        <v>29</v>
      </c>
      <c r="IM213" t="s">
        <v>29</v>
      </c>
      <c r="IN213">
        <v>2002</v>
      </c>
      <c r="IO213" t="s">
        <v>29</v>
      </c>
      <c r="JK213" t="s">
        <v>15</v>
      </c>
      <c r="JL213" s="84" t="s">
        <v>15</v>
      </c>
      <c r="JM213" s="8" t="s">
        <v>14</v>
      </c>
      <c r="JQ213" t="s">
        <v>13</v>
      </c>
      <c r="JR213">
        <v>60</v>
      </c>
      <c r="JU213">
        <v>45</v>
      </c>
      <c r="MZ213" t="s">
        <v>1194</v>
      </c>
      <c r="NC213" s="4" t="s">
        <v>1178</v>
      </c>
      <c r="ND213" t="s">
        <v>1179</v>
      </c>
      <c r="NK213" s="93" t="s">
        <v>1193</v>
      </c>
      <c r="NL213" t="s">
        <v>1181</v>
      </c>
      <c r="NM213" t="s">
        <v>8</v>
      </c>
      <c r="NN213" t="s">
        <v>1175</v>
      </c>
      <c r="NW213" t="s">
        <v>6</v>
      </c>
      <c r="NY213" t="s">
        <v>29</v>
      </c>
      <c r="OC213">
        <v>3</v>
      </c>
      <c r="OD213">
        <v>10.81</v>
      </c>
      <c r="OE213" t="s">
        <v>29</v>
      </c>
      <c r="OF213">
        <v>2.81</v>
      </c>
      <c r="OG213" t="s">
        <v>29</v>
      </c>
      <c r="ON213">
        <v>0.46</v>
      </c>
      <c r="OO213" t="s">
        <v>29</v>
      </c>
      <c r="OP213">
        <v>0.35</v>
      </c>
      <c r="OQ213" t="s">
        <v>29</v>
      </c>
      <c r="OR213">
        <v>0.84</v>
      </c>
      <c r="OS213" t="s">
        <v>29</v>
      </c>
      <c r="OT213" t="s">
        <v>1517</v>
      </c>
      <c r="OV213">
        <v>2004</v>
      </c>
      <c r="PA213" t="s">
        <v>1169</v>
      </c>
      <c r="PB213" s="58">
        <v>46105</v>
      </c>
    </row>
    <row r="214" spans="1:418" ht="15.75" thickBot="1">
      <c r="A214" s="11" t="s">
        <v>2455</v>
      </c>
      <c r="B214" t="s">
        <v>2511</v>
      </c>
      <c r="C214" s="93" t="s">
        <v>1173</v>
      </c>
      <c r="D214" s="4" t="s">
        <v>29</v>
      </c>
      <c r="E214" t="s">
        <v>1200</v>
      </c>
      <c r="F214" t="s">
        <v>1195</v>
      </c>
      <c r="G214" t="s">
        <v>2</v>
      </c>
      <c r="H214" t="s">
        <v>234</v>
      </c>
      <c r="K214" t="s">
        <v>29</v>
      </c>
      <c r="AV214" t="s">
        <v>1201</v>
      </c>
      <c r="AW214" t="s">
        <v>29</v>
      </c>
      <c r="AX214" t="s">
        <v>29</v>
      </c>
      <c r="AY214">
        <v>2</v>
      </c>
      <c r="AZ214" t="s">
        <v>1209</v>
      </c>
      <c r="BA214">
        <v>2002</v>
      </c>
      <c r="BB214">
        <v>2005</v>
      </c>
      <c r="BD214" t="s">
        <v>238</v>
      </c>
      <c r="BE214" t="s">
        <v>1187</v>
      </c>
      <c r="BF214" t="s">
        <v>57</v>
      </c>
      <c r="BG214" s="3" t="s">
        <v>1233</v>
      </c>
      <c r="BH214" t="s">
        <v>1174</v>
      </c>
      <c r="BI214" t="s">
        <v>1202</v>
      </c>
      <c r="BJ214" s="4" t="s">
        <v>22</v>
      </c>
      <c r="BK214">
        <v>333333</v>
      </c>
      <c r="BM214" t="s">
        <v>1186</v>
      </c>
      <c r="BN214" t="s">
        <v>1203</v>
      </c>
      <c r="BO214" s="9">
        <v>37037</v>
      </c>
      <c r="EH214" s="9"/>
      <c r="EI214" s="9"/>
      <c r="EJ214" s="9"/>
      <c r="EK214" s="9"/>
      <c r="EL214" s="9"/>
      <c r="EM214" s="9"/>
      <c r="EN214" s="9"/>
      <c r="EO214" s="9"/>
      <c r="EP214" s="9"/>
      <c r="EQ214" s="9"/>
      <c r="ER214" s="9"/>
      <c r="ES214" s="9"/>
      <c r="ET214" s="9"/>
      <c r="EU214" s="9"/>
      <c r="EV214" s="9"/>
      <c r="EW214" s="9"/>
      <c r="EX214" s="9"/>
      <c r="EY214" s="9"/>
      <c r="EZ214" s="9"/>
      <c r="FA214" s="9"/>
      <c r="FB214" s="9"/>
      <c r="FC214" s="9"/>
      <c r="FD214" s="9"/>
      <c r="FE214" s="9"/>
      <c r="FF214" s="9"/>
      <c r="FG214" s="9"/>
      <c r="FH214" s="9"/>
      <c r="FI214" s="9"/>
      <c r="FJ214" s="9"/>
      <c r="FK214" s="9"/>
      <c r="FL214" s="9"/>
      <c r="FM214" s="9"/>
      <c r="FN214" s="9"/>
      <c r="FO214" s="9"/>
      <c r="FP214" s="9"/>
      <c r="FQ214" s="9"/>
      <c r="FR214" s="9"/>
      <c r="FS214" s="9"/>
      <c r="FT214" s="9"/>
      <c r="FU214" s="9"/>
      <c r="FV214" s="9"/>
      <c r="FW214" s="9"/>
      <c r="FX214" s="9"/>
      <c r="FY214" s="9"/>
      <c r="FZ214" s="9"/>
      <c r="GA214" s="9"/>
      <c r="GB214" s="9"/>
      <c r="GC214" s="9"/>
      <c r="GD214" s="9"/>
      <c r="GE214" s="9"/>
      <c r="GF214" s="9"/>
      <c r="GG214" s="9"/>
      <c r="GH214" s="9"/>
      <c r="GI214" s="9"/>
      <c r="GJ214" s="9"/>
      <c r="GK214" s="9"/>
      <c r="GL214" s="9"/>
      <c r="GM214" s="9"/>
      <c r="GN214" s="9"/>
      <c r="GO214" s="9"/>
      <c r="GP214" s="9"/>
      <c r="GQ214" s="9"/>
      <c r="GR214" s="9"/>
      <c r="GS214" s="9"/>
      <c r="GT214" s="9"/>
      <c r="GU214" s="9"/>
      <c r="GV214" s="9"/>
      <c r="GW214" s="9"/>
      <c r="GX214" s="9"/>
      <c r="GY214" s="9"/>
      <c r="GZ214" s="9"/>
      <c r="HA214" s="9"/>
      <c r="HB214" s="9"/>
      <c r="HC214" s="9"/>
      <c r="HD214" s="9"/>
      <c r="HE214" s="9"/>
      <c r="HF214" s="9"/>
      <c r="HG214" s="9"/>
      <c r="HH214" s="9"/>
      <c r="HI214" s="9"/>
      <c r="HJ214" s="9"/>
      <c r="HK214" s="9"/>
      <c r="HW214" s="58"/>
      <c r="HX214" s="58"/>
      <c r="II214" t="s">
        <v>1187</v>
      </c>
      <c r="IJ214" s="12" t="s">
        <v>1190</v>
      </c>
      <c r="IK214" t="s">
        <v>660</v>
      </c>
      <c r="IL214" t="s">
        <v>29</v>
      </c>
      <c r="IM214" t="s">
        <v>29</v>
      </c>
      <c r="IN214">
        <v>2002</v>
      </c>
      <c r="IO214" t="s">
        <v>29</v>
      </c>
      <c r="JK214" t="s">
        <v>15</v>
      </c>
      <c r="JL214" s="84" t="s">
        <v>15</v>
      </c>
      <c r="JM214" s="8" t="s">
        <v>14</v>
      </c>
      <c r="JQ214" t="s">
        <v>13</v>
      </c>
      <c r="JR214">
        <v>60</v>
      </c>
      <c r="JU214">
        <v>45</v>
      </c>
      <c r="MZ214" t="s">
        <v>1194</v>
      </c>
      <c r="NC214" s="4" t="s">
        <v>1178</v>
      </c>
      <c r="ND214" t="s">
        <v>1179</v>
      </c>
      <c r="NK214" s="93" t="s">
        <v>1193</v>
      </c>
      <c r="NL214" t="s">
        <v>1181</v>
      </c>
      <c r="NM214" t="s">
        <v>8</v>
      </c>
      <c r="NN214" t="s">
        <v>1175</v>
      </c>
      <c r="NW214" t="s">
        <v>6</v>
      </c>
      <c r="NY214" t="s">
        <v>29</v>
      </c>
      <c r="OC214">
        <v>3</v>
      </c>
      <c r="OD214">
        <v>16</v>
      </c>
      <c r="OE214" t="s">
        <v>29</v>
      </c>
      <c r="OF214">
        <v>4.74</v>
      </c>
      <c r="OG214" t="s">
        <v>29</v>
      </c>
      <c r="ON214">
        <v>0.65</v>
      </c>
      <c r="OO214" t="s">
        <v>29</v>
      </c>
      <c r="OP214">
        <v>0.5</v>
      </c>
      <c r="OQ214" t="s">
        <v>29</v>
      </c>
      <c r="OR214">
        <v>1.1499999999999999</v>
      </c>
      <c r="OS214" t="s">
        <v>29</v>
      </c>
      <c r="OT214" t="s">
        <v>1517</v>
      </c>
      <c r="OV214">
        <v>2004</v>
      </c>
      <c r="PA214" t="s">
        <v>1169</v>
      </c>
      <c r="PB214" s="58">
        <v>46105</v>
      </c>
    </row>
    <row r="215" spans="1:418" ht="15.75" thickBot="1">
      <c r="A215" s="11" t="s">
        <v>2455</v>
      </c>
      <c r="B215" t="s">
        <v>2511</v>
      </c>
      <c r="C215" s="93" t="s">
        <v>1173</v>
      </c>
      <c r="D215" s="4" t="s">
        <v>29</v>
      </c>
      <c r="E215" t="s">
        <v>1200</v>
      </c>
      <c r="F215" t="s">
        <v>1195</v>
      </c>
      <c r="G215" t="s">
        <v>2</v>
      </c>
      <c r="H215" t="s">
        <v>234</v>
      </c>
      <c r="K215" t="s">
        <v>29</v>
      </c>
      <c r="AV215" t="s">
        <v>1201</v>
      </c>
      <c r="AW215" t="s">
        <v>29</v>
      </c>
      <c r="AX215" t="s">
        <v>29</v>
      </c>
      <c r="AY215">
        <v>2</v>
      </c>
      <c r="AZ215" t="s">
        <v>1209</v>
      </c>
      <c r="BA215">
        <v>2002</v>
      </c>
      <c r="BB215">
        <v>2005</v>
      </c>
      <c r="BD215" t="s">
        <v>238</v>
      </c>
      <c r="BE215" t="s">
        <v>1188</v>
      </c>
      <c r="BF215" t="s">
        <v>48</v>
      </c>
      <c r="BG215" s="3" t="s">
        <v>1233</v>
      </c>
      <c r="BH215" t="s">
        <v>1174</v>
      </c>
      <c r="BI215" t="s">
        <v>1202</v>
      </c>
      <c r="BJ215" s="4" t="s">
        <v>22</v>
      </c>
      <c r="BK215">
        <v>333333</v>
      </c>
      <c r="BM215" t="s">
        <v>1186</v>
      </c>
      <c r="BN215" t="s">
        <v>1203</v>
      </c>
      <c r="BO215" s="9">
        <v>27778</v>
      </c>
      <c r="EH215" s="9"/>
      <c r="EI215" s="9"/>
      <c r="EJ215" s="9"/>
      <c r="EK215" s="9"/>
      <c r="EL215" s="9"/>
      <c r="EM215" s="9"/>
      <c r="EN215" s="9"/>
      <c r="EO215" s="9"/>
      <c r="EP215" s="9"/>
      <c r="EQ215" s="9"/>
      <c r="ER215" s="9"/>
      <c r="ES215" s="9"/>
      <c r="ET215" s="9"/>
      <c r="EU215" s="9"/>
      <c r="EV215" s="9"/>
      <c r="EW215" s="9"/>
      <c r="EX215" s="9"/>
      <c r="EY215" s="9"/>
      <c r="EZ215" s="9"/>
      <c r="FA215" s="9"/>
      <c r="FB215" s="9"/>
      <c r="FC215" s="9"/>
      <c r="FD215" s="9"/>
      <c r="FE215" s="9"/>
      <c r="FF215" s="9"/>
      <c r="FG215" s="9"/>
      <c r="FH215" s="9"/>
      <c r="FI215" s="9"/>
      <c r="FJ215" s="9"/>
      <c r="FK215" s="9"/>
      <c r="FL215" s="9"/>
      <c r="FM215" s="9"/>
      <c r="FN215" s="9"/>
      <c r="FO215" s="9"/>
      <c r="FP215" s="9"/>
      <c r="FQ215" s="9"/>
      <c r="FR215" s="9"/>
      <c r="FS215" s="9"/>
      <c r="FT215" s="9"/>
      <c r="FU215" s="9"/>
      <c r="FV215" s="9"/>
      <c r="FW215" s="9"/>
      <c r="FX215" s="9"/>
      <c r="FY215" s="9"/>
      <c r="FZ215" s="9"/>
      <c r="GA215" s="9"/>
      <c r="GB215" s="9"/>
      <c r="GC215" s="9"/>
      <c r="GD215" s="9"/>
      <c r="GE215" s="9"/>
      <c r="GF215" s="9"/>
      <c r="GG215" s="9"/>
      <c r="GH215" s="9"/>
      <c r="GI215" s="9"/>
      <c r="GJ215" s="9"/>
      <c r="GK215" s="9"/>
      <c r="GL215" s="9"/>
      <c r="GM215" s="9"/>
      <c r="GN215" s="9"/>
      <c r="GO215" s="9"/>
      <c r="GP215" s="9"/>
      <c r="GQ215" s="9"/>
      <c r="GR215" s="9"/>
      <c r="GS215" s="9"/>
      <c r="GT215" s="9"/>
      <c r="GU215" s="9"/>
      <c r="GV215" s="9"/>
      <c r="GW215" s="9"/>
      <c r="GX215" s="9"/>
      <c r="GY215" s="9"/>
      <c r="GZ215" s="9"/>
      <c r="HA215" s="9"/>
      <c r="HB215" s="9"/>
      <c r="HC215" s="9"/>
      <c r="HD215" s="9"/>
      <c r="HE215" s="9"/>
      <c r="HF215" s="9"/>
      <c r="HG215" s="9"/>
      <c r="HH215" s="9"/>
      <c r="HI215" s="9"/>
      <c r="HJ215" s="9"/>
      <c r="HK215" s="9"/>
      <c r="HW215" s="58"/>
      <c r="HX215" s="58"/>
      <c r="II215" t="s">
        <v>1188</v>
      </c>
      <c r="IJ215" s="12" t="s">
        <v>1190</v>
      </c>
      <c r="IK215" t="s">
        <v>660</v>
      </c>
      <c r="IL215" t="s">
        <v>29</v>
      </c>
      <c r="IM215" t="s">
        <v>29</v>
      </c>
      <c r="IN215">
        <v>2002</v>
      </c>
      <c r="IO215" t="s">
        <v>29</v>
      </c>
      <c r="JK215" t="s">
        <v>15</v>
      </c>
      <c r="JL215" s="84" t="s">
        <v>15</v>
      </c>
      <c r="JM215" s="8" t="s">
        <v>14</v>
      </c>
      <c r="JQ215" t="s">
        <v>13</v>
      </c>
      <c r="JR215">
        <v>60</v>
      </c>
      <c r="JU215">
        <v>45</v>
      </c>
      <c r="MZ215" t="s">
        <v>1194</v>
      </c>
      <c r="NC215" s="4" t="s">
        <v>1178</v>
      </c>
      <c r="ND215" t="s">
        <v>1179</v>
      </c>
      <c r="NK215" s="93" t="s">
        <v>1193</v>
      </c>
      <c r="NL215" t="s">
        <v>1181</v>
      </c>
      <c r="NM215" t="s">
        <v>8</v>
      </c>
      <c r="NN215" t="s">
        <v>1175</v>
      </c>
      <c r="NW215" t="s">
        <v>6</v>
      </c>
      <c r="NY215" t="s">
        <v>29</v>
      </c>
      <c r="OC215">
        <v>3</v>
      </c>
      <c r="OD215">
        <v>9</v>
      </c>
      <c r="OE215" t="s">
        <v>29</v>
      </c>
      <c r="OF215">
        <v>2.13</v>
      </c>
      <c r="OG215" t="s">
        <v>29</v>
      </c>
      <c r="ON215">
        <v>0.3</v>
      </c>
      <c r="OO215" t="s">
        <v>29</v>
      </c>
      <c r="OP215">
        <v>0.25</v>
      </c>
      <c r="OQ215" t="s">
        <v>29</v>
      </c>
      <c r="OR215">
        <v>0.55000000000000004</v>
      </c>
      <c r="OS215" t="s">
        <v>29</v>
      </c>
      <c r="OT215" t="s">
        <v>1517</v>
      </c>
      <c r="OV215">
        <v>2004</v>
      </c>
      <c r="PA215" t="s">
        <v>1169</v>
      </c>
      <c r="PB215" s="58">
        <v>46105</v>
      </c>
    </row>
    <row r="216" spans="1:418" ht="15.75" thickBot="1">
      <c r="A216" s="11" t="s">
        <v>2455</v>
      </c>
      <c r="B216" t="s">
        <v>2511</v>
      </c>
      <c r="C216" s="93" t="s">
        <v>1173</v>
      </c>
      <c r="D216" s="4" t="s">
        <v>29</v>
      </c>
      <c r="E216" t="s">
        <v>1200</v>
      </c>
      <c r="F216" t="s">
        <v>1195</v>
      </c>
      <c r="G216" t="s">
        <v>2</v>
      </c>
      <c r="H216" t="s">
        <v>234</v>
      </c>
      <c r="K216" t="s">
        <v>29</v>
      </c>
      <c r="AV216" t="s">
        <v>1201</v>
      </c>
      <c r="AW216" t="s">
        <v>29</v>
      </c>
      <c r="AX216" t="s">
        <v>29</v>
      </c>
      <c r="AY216">
        <v>2</v>
      </c>
      <c r="AZ216" t="s">
        <v>1209</v>
      </c>
      <c r="BA216">
        <v>2002</v>
      </c>
      <c r="BB216">
        <v>2005</v>
      </c>
      <c r="BD216" t="s">
        <v>238</v>
      </c>
      <c r="BE216" t="s">
        <v>1189</v>
      </c>
      <c r="BF216" t="s">
        <v>43</v>
      </c>
      <c r="BG216" s="3" t="s">
        <v>1233</v>
      </c>
      <c r="BH216" t="s">
        <v>1174</v>
      </c>
      <c r="BI216" t="s">
        <v>1202</v>
      </c>
      <c r="BJ216" s="4" t="s">
        <v>22</v>
      </c>
      <c r="BK216">
        <v>333333</v>
      </c>
      <c r="BM216" t="s">
        <v>1186</v>
      </c>
      <c r="BN216" t="s">
        <v>1203</v>
      </c>
      <c r="BO216" s="9">
        <v>22222</v>
      </c>
      <c r="EH216" s="9"/>
      <c r="EI216" s="9"/>
      <c r="EJ216" s="9"/>
      <c r="EK216" s="9"/>
      <c r="EL216" s="9"/>
      <c r="EM216" s="9"/>
      <c r="EN216" s="9"/>
      <c r="EO216" s="9"/>
      <c r="EP216" s="9"/>
      <c r="EQ216" s="9"/>
      <c r="ER216" s="9"/>
      <c r="ES216" s="9"/>
      <c r="ET216" s="9"/>
      <c r="EU216" s="9"/>
      <c r="EV216" s="9"/>
      <c r="EW216" s="9"/>
      <c r="EX216" s="9"/>
      <c r="EY216" s="9"/>
      <c r="EZ216" s="9"/>
      <c r="FA216" s="9"/>
      <c r="FB216" s="9"/>
      <c r="FC216" s="9"/>
      <c r="FD216" s="9"/>
      <c r="FE216" s="9"/>
      <c r="FF216" s="9"/>
      <c r="FG216" s="9"/>
      <c r="FH216" s="9"/>
      <c r="FI216" s="9"/>
      <c r="FJ216" s="9"/>
      <c r="FK216" s="9"/>
      <c r="FL216" s="9"/>
      <c r="FM216" s="9"/>
      <c r="FN216" s="9"/>
      <c r="FO216" s="9"/>
      <c r="FP216" s="9"/>
      <c r="FQ216" s="9"/>
      <c r="FR216" s="9"/>
      <c r="FS216" s="9"/>
      <c r="FT216" s="9"/>
      <c r="FU216" s="9"/>
      <c r="FV216" s="9"/>
      <c r="FW216" s="9"/>
      <c r="FX216" s="9"/>
      <c r="FY216" s="9"/>
      <c r="FZ216" s="9"/>
      <c r="GA216" s="9"/>
      <c r="GB216" s="9"/>
      <c r="GC216" s="9"/>
      <c r="GD216" s="9"/>
      <c r="GE216" s="9"/>
      <c r="GF216" s="9"/>
      <c r="GG216" s="9"/>
      <c r="GH216" s="9"/>
      <c r="GI216" s="9"/>
      <c r="GJ216" s="9"/>
      <c r="GK216" s="9"/>
      <c r="GL216" s="9"/>
      <c r="GM216" s="9"/>
      <c r="GN216" s="9"/>
      <c r="GO216" s="9"/>
      <c r="GP216" s="9"/>
      <c r="GQ216" s="9"/>
      <c r="GR216" s="9"/>
      <c r="GS216" s="9"/>
      <c r="GT216" s="9"/>
      <c r="GU216" s="9"/>
      <c r="GV216" s="9"/>
      <c r="GW216" s="9"/>
      <c r="GX216" s="9"/>
      <c r="GY216" s="9"/>
      <c r="GZ216" s="9"/>
      <c r="HA216" s="9"/>
      <c r="HB216" s="9"/>
      <c r="HC216" s="9"/>
      <c r="HD216" s="9"/>
      <c r="HE216" s="9"/>
      <c r="HF216" s="9"/>
      <c r="HG216" s="9"/>
      <c r="HH216" s="9"/>
      <c r="HI216" s="9"/>
      <c r="HJ216" s="9"/>
      <c r="HK216" s="9"/>
      <c r="HW216" s="58"/>
      <c r="HX216" s="58"/>
      <c r="II216" t="s">
        <v>1189</v>
      </c>
      <c r="IJ216" s="12" t="s">
        <v>1190</v>
      </c>
      <c r="IK216" t="s">
        <v>660</v>
      </c>
      <c r="IL216" t="s">
        <v>29</v>
      </c>
      <c r="IM216" t="s">
        <v>29</v>
      </c>
      <c r="IN216">
        <v>2002</v>
      </c>
      <c r="IO216" t="s">
        <v>29</v>
      </c>
      <c r="JK216" t="s">
        <v>15</v>
      </c>
      <c r="JL216" s="84" t="s">
        <v>15</v>
      </c>
      <c r="JM216" s="8" t="s">
        <v>14</v>
      </c>
      <c r="JQ216" t="s">
        <v>13</v>
      </c>
      <c r="JR216">
        <v>60</v>
      </c>
      <c r="JU216">
        <v>45</v>
      </c>
      <c r="MZ216" t="s">
        <v>1194</v>
      </c>
      <c r="NC216" s="4" t="s">
        <v>1178</v>
      </c>
      <c r="ND216" t="s">
        <v>1179</v>
      </c>
      <c r="NK216" s="93" t="s">
        <v>1193</v>
      </c>
      <c r="NL216" t="s">
        <v>1181</v>
      </c>
      <c r="NM216" t="s">
        <v>8</v>
      </c>
      <c r="NN216" t="s">
        <v>1175</v>
      </c>
      <c r="NW216" t="s">
        <v>6</v>
      </c>
      <c r="NY216" t="s">
        <v>29</v>
      </c>
      <c r="OC216">
        <v>3</v>
      </c>
      <c r="OD216">
        <v>16.52</v>
      </c>
      <c r="OE216" t="s">
        <v>29</v>
      </c>
      <c r="OF216">
        <v>2.58</v>
      </c>
      <c r="OG216" t="s">
        <v>29</v>
      </c>
      <c r="ON216">
        <v>0.65</v>
      </c>
      <c r="OO216" t="s">
        <v>29</v>
      </c>
      <c r="OP216">
        <v>0.36</v>
      </c>
      <c r="OQ216" t="s">
        <v>29</v>
      </c>
      <c r="OR216">
        <v>1.01</v>
      </c>
      <c r="OS216" t="s">
        <v>29</v>
      </c>
      <c r="OT216" t="s">
        <v>1517</v>
      </c>
      <c r="OV216">
        <v>2004</v>
      </c>
      <c r="PA216" t="s">
        <v>1169</v>
      </c>
      <c r="PB216" s="58">
        <v>46105</v>
      </c>
    </row>
    <row r="217" spans="1:418" ht="15.75" thickBot="1">
      <c r="A217" s="11" t="s">
        <v>2455</v>
      </c>
      <c r="B217" t="s">
        <v>2511</v>
      </c>
      <c r="C217" s="93" t="s">
        <v>1173</v>
      </c>
      <c r="D217" s="4" t="s">
        <v>29</v>
      </c>
      <c r="E217" t="s">
        <v>1200</v>
      </c>
      <c r="F217" t="s">
        <v>1195</v>
      </c>
      <c r="G217" t="s">
        <v>2</v>
      </c>
      <c r="H217" t="s">
        <v>234</v>
      </c>
      <c r="K217" t="s">
        <v>29</v>
      </c>
      <c r="AV217" t="s">
        <v>1201</v>
      </c>
      <c r="AW217" t="s">
        <v>29</v>
      </c>
      <c r="AX217" t="s">
        <v>29</v>
      </c>
      <c r="AY217">
        <v>2</v>
      </c>
      <c r="AZ217" t="s">
        <v>1209</v>
      </c>
      <c r="BA217">
        <v>2002</v>
      </c>
      <c r="BB217">
        <v>2005</v>
      </c>
      <c r="BD217" t="s">
        <v>19</v>
      </c>
      <c r="BE217" t="s">
        <v>1192</v>
      </c>
      <c r="BF217" t="s">
        <v>24</v>
      </c>
      <c r="BG217" s="3" t="s">
        <v>1233</v>
      </c>
      <c r="BH217" t="s">
        <v>1186</v>
      </c>
      <c r="BI217" t="s">
        <v>1203</v>
      </c>
      <c r="BJ217" s="4" t="s">
        <v>22</v>
      </c>
      <c r="BK217" s="9">
        <v>55556</v>
      </c>
      <c r="EH217" s="9"/>
      <c r="EI217" s="9"/>
      <c r="EJ217" s="9"/>
      <c r="EK217" s="9"/>
      <c r="EL217" s="9"/>
      <c r="EM217" s="9"/>
      <c r="EN217" s="9"/>
      <c r="EO217" s="9"/>
      <c r="EP217" s="9"/>
      <c r="EQ217" s="9"/>
      <c r="ER217" s="9"/>
      <c r="ES217" s="9"/>
      <c r="ET217" s="9"/>
      <c r="EU217" s="9"/>
      <c r="EV217" s="9"/>
      <c r="EW217" s="9"/>
      <c r="EX217" s="9"/>
      <c r="EY217" s="9"/>
      <c r="EZ217" s="9"/>
      <c r="FA217" s="9"/>
      <c r="FB217" s="9"/>
      <c r="FC217" s="9"/>
      <c r="FD217" s="9"/>
      <c r="FE217" s="9"/>
      <c r="FF217" s="9"/>
      <c r="FG217" s="9"/>
      <c r="FH217" s="9"/>
      <c r="FI217" s="9"/>
      <c r="FJ217" s="9"/>
      <c r="FK217" s="9"/>
      <c r="FL217" s="9"/>
      <c r="FM217" s="9"/>
      <c r="FN217" s="9"/>
      <c r="FO217" s="9"/>
      <c r="FP217" s="9"/>
      <c r="FQ217" s="9"/>
      <c r="FR217" s="9"/>
      <c r="FS217" s="9"/>
      <c r="FT217" s="9"/>
      <c r="FU217" s="9"/>
      <c r="FV217" s="9"/>
      <c r="FW217" s="9"/>
      <c r="FX217" s="9"/>
      <c r="FY217" s="9"/>
      <c r="FZ217" s="9"/>
      <c r="GA217" s="9"/>
      <c r="GB217" s="9"/>
      <c r="GC217" s="9"/>
      <c r="GD217" s="9"/>
      <c r="GE217" s="9"/>
      <c r="GF217" s="9"/>
      <c r="GG217" s="9"/>
      <c r="GH217" s="9"/>
      <c r="GI217" s="9"/>
      <c r="GJ217" s="9"/>
      <c r="GK217" s="9"/>
      <c r="GL217" s="9"/>
      <c r="GM217" s="9"/>
      <c r="GN217" s="9"/>
      <c r="GO217" s="9"/>
      <c r="GP217" s="9"/>
      <c r="GQ217" s="9"/>
      <c r="GR217" s="9"/>
      <c r="GS217" s="9"/>
      <c r="GT217" s="9"/>
      <c r="GU217" s="9"/>
      <c r="GV217" s="9"/>
      <c r="GW217" s="9"/>
      <c r="GX217" s="9"/>
      <c r="GY217" s="9"/>
      <c r="GZ217" s="9"/>
      <c r="HA217" s="9"/>
      <c r="HB217" s="9"/>
      <c r="HC217" s="9"/>
      <c r="HD217" s="9"/>
      <c r="HE217" s="9"/>
      <c r="HF217" s="9"/>
      <c r="HG217" s="9"/>
      <c r="HH217" s="9"/>
      <c r="HI217" s="9"/>
      <c r="HJ217" s="9"/>
      <c r="HK217" s="9"/>
      <c r="HW217" s="58"/>
      <c r="HX217" s="58"/>
      <c r="II217" t="s">
        <v>1192</v>
      </c>
      <c r="IJ217" s="13" t="s">
        <v>19</v>
      </c>
      <c r="JK217" t="s">
        <v>15</v>
      </c>
      <c r="JL217" s="84" t="s">
        <v>15</v>
      </c>
      <c r="JM217" s="8" t="s">
        <v>14</v>
      </c>
      <c r="JQ217" t="s">
        <v>13</v>
      </c>
      <c r="JR217">
        <v>60</v>
      </c>
      <c r="JU217">
        <v>45</v>
      </c>
      <c r="MZ217" t="s">
        <v>1194</v>
      </c>
      <c r="ND217" t="s">
        <v>1179</v>
      </c>
      <c r="NK217" s="93" t="s">
        <v>1208</v>
      </c>
      <c r="NL217" t="s">
        <v>1191</v>
      </c>
      <c r="NM217" t="s">
        <v>8</v>
      </c>
      <c r="NN217" t="s">
        <v>1175</v>
      </c>
      <c r="NV217" t="s">
        <v>1210</v>
      </c>
      <c r="NW217" t="s">
        <v>6</v>
      </c>
      <c r="NY217" t="s">
        <v>29</v>
      </c>
      <c r="OC217">
        <v>3</v>
      </c>
      <c r="OF217">
        <v>9</v>
      </c>
      <c r="OG217" t="s">
        <v>29</v>
      </c>
      <c r="ON217" t="s">
        <v>56</v>
      </c>
      <c r="OO217" t="s">
        <v>56</v>
      </c>
      <c r="OP217" t="s">
        <v>56</v>
      </c>
      <c r="OQ217" t="s">
        <v>56</v>
      </c>
      <c r="OR217">
        <v>1</v>
      </c>
      <c r="OS217" t="s">
        <v>29</v>
      </c>
      <c r="OT217" t="s">
        <v>1517</v>
      </c>
      <c r="OV217">
        <v>2004</v>
      </c>
      <c r="PA217" t="s">
        <v>1169</v>
      </c>
      <c r="PB217" s="58">
        <v>46105</v>
      </c>
    </row>
    <row r="218" spans="1:418" ht="15.75" thickBot="1">
      <c r="A218" s="11" t="s">
        <v>2455</v>
      </c>
      <c r="B218" t="s">
        <v>2511</v>
      </c>
      <c r="C218" s="93" t="s">
        <v>1173</v>
      </c>
      <c r="D218" s="4" t="s">
        <v>29</v>
      </c>
      <c r="E218" t="s">
        <v>1200</v>
      </c>
      <c r="F218" t="s">
        <v>1195</v>
      </c>
      <c r="G218" t="s">
        <v>2</v>
      </c>
      <c r="H218" t="s">
        <v>234</v>
      </c>
      <c r="K218" t="s">
        <v>29</v>
      </c>
      <c r="AV218" t="s">
        <v>1201</v>
      </c>
      <c r="AW218" t="s">
        <v>29</v>
      </c>
      <c r="AX218" t="s">
        <v>29</v>
      </c>
      <c r="AY218">
        <v>2</v>
      </c>
      <c r="AZ218" t="s">
        <v>1209</v>
      </c>
      <c r="BA218">
        <v>2002</v>
      </c>
      <c r="BB218">
        <v>2005</v>
      </c>
      <c r="BD218" t="s">
        <v>238</v>
      </c>
      <c r="BE218" t="s">
        <v>1204</v>
      </c>
      <c r="BF218" t="s">
        <v>252</v>
      </c>
      <c r="BG218" s="3" t="s">
        <v>1233</v>
      </c>
      <c r="BH218" t="s">
        <v>1174</v>
      </c>
      <c r="BI218" t="s">
        <v>1202</v>
      </c>
      <c r="BJ218" s="4" t="s">
        <v>22</v>
      </c>
      <c r="BK218" s="9">
        <v>333333</v>
      </c>
      <c r="BM218" t="s">
        <v>1186</v>
      </c>
      <c r="BN218" t="s">
        <v>1203</v>
      </c>
      <c r="BO218" s="9">
        <v>55556</v>
      </c>
      <c r="EH218" s="9"/>
      <c r="EI218" s="9"/>
      <c r="EJ218" s="9"/>
      <c r="EK218" s="9"/>
      <c r="EL218" s="9"/>
      <c r="EM218" s="9"/>
      <c r="EN218" s="9"/>
      <c r="EO218" s="9"/>
      <c r="EP218" s="9"/>
      <c r="EQ218" s="9"/>
      <c r="ER218" s="9"/>
      <c r="ES218" s="9"/>
      <c r="ET218" s="9"/>
      <c r="EU218" s="9"/>
      <c r="EV218" s="9"/>
      <c r="EW218" s="9"/>
      <c r="EX218" s="9"/>
      <c r="EY218" s="9"/>
      <c r="EZ218" s="9"/>
      <c r="FA218" s="9"/>
      <c r="FB218" s="9"/>
      <c r="FC218" s="9"/>
      <c r="FD218" s="9"/>
      <c r="FE218" s="9"/>
      <c r="FF218" s="9"/>
      <c r="FG218" s="9"/>
      <c r="FH218" s="9"/>
      <c r="FI218" s="9"/>
      <c r="FJ218" s="9"/>
      <c r="FK218" s="9"/>
      <c r="FL218" s="9"/>
      <c r="FM218" s="9"/>
      <c r="FN218" s="9"/>
      <c r="FO218" s="9"/>
      <c r="FP218" s="9"/>
      <c r="FQ218" s="9"/>
      <c r="FR218" s="9"/>
      <c r="FS218" s="9"/>
      <c r="FT218" s="9"/>
      <c r="FU218" s="9"/>
      <c r="FV218" s="9"/>
      <c r="FW218" s="9"/>
      <c r="FX218" s="9"/>
      <c r="FY218" s="9"/>
      <c r="FZ218" s="9"/>
      <c r="GA218" s="9"/>
      <c r="GB218" s="9"/>
      <c r="GC218" s="9"/>
      <c r="GD218" s="9"/>
      <c r="GE218" s="9"/>
      <c r="GF218" s="9"/>
      <c r="GG218" s="9"/>
      <c r="GH218" s="9"/>
      <c r="GI218" s="9"/>
      <c r="GJ218" s="9"/>
      <c r="GK218" s="9"/>
      <c r="GL218" s="9"/>
      <c r="GM218" s="9"/>
      <c r="GN218" s="9"/>
      <c r="GO218" s="9"/>
      <c r="GP218" s="9"/>
      <c r="GQ218" s="9"/>
      <c r="GR218" s="9"/>
      <c r="GS218" s="9"/>
      <c r="GT218" s="9"/>
      <c r="GU218" s="9"/>
      <c r="GV218" s="9"/>
      <c r="GW218" s="9"/>
      <c r="GX218" s="9"/>
      <c r="GY218" s="9"/>
      <c r="GZ218" s="9"/>
      <c r="HA218" s="9"/>
      <c r="HB218" s="9"/>
      <c r="HC218" s="9"/>
      <c r="HD218" s="9"/>
      <c r="HE218" s="9"/>
      <c r="HF218" s="9"/>
      <c r="HG218" s="9"/>
      <c r="HH218" s="9"/>
      <c r="HI218" s="9"/>
      <c r="HJ218" s="9"/>
      <c r="HK218" s="9"/>
      <c r="HW218" s="58"/>
      <c r="HX218" s="58"/>
      <c r="II218" t="s">
        <v>1177</v>
      </c>
      <c r="IJ218" s="12" t="s">
        <v>1190</v>
      </c>
      <c r="IK218" t="s">
        <v>660</v>
      </c>
      <c r="IL218" t="s">
        <v>29</v>
      </c>
      <c r="IM218" t="s">
        <v>29</v>
      </c>
      <c r="IN218">
        <v>2002</v>
      </c>
      <c r="IO218" t="s">
        <v>29</v>
      </c>
      <c r="JK218" t="s">
        <v>15</v>
      </c>
      <c r="JL218" s="84" t="s">
        <v>15</v>
      </c>
      <c r="JM218" s="8" t="s">
        <v>14</v>
      </c>
      <c r="JQ218" t="s">
        <v>13</v>
      </c>
      <c r="JR218">
        <v>60</v>
      </c>
      <c r="JU218">
        <v>45</v>
      </c>
      <c r="MZ218" t="s">
        <v>1194</v>
      </c>
      <c r="NC218" s="4" t="s">
        <v>1178</v>
      </c>
      <c r="ND218" t="s">
        <v>1179</v>
      </c>
      <c r="NK218" s="93" t="s">
        <v>1193</v>
      </c>
      <c r="NL218" t="s">
        <v>1181</v>
      </c>
      <c r="NM218" t="s">
        <v>8</v>
      </c>
      <c r="NN218" t="s">
        <v>1175</v>
      </c>
      <c r="NW218" t="s">
        <v>6</v>
      </c>
      <c r="NY218" t="s">
        <v>29</v>
      </c>
      <c r="OC218">
        <v>3</v>
      </c>
      <c r="OD218">
        <v>10</v>
      </c>
      <c r="OE218" t="s">
        <v>29</v>
      </c>
      <c r="OF218">
        <v>5.2</v>
      </c>
      <c r="OG218" t="s">
        <v>29</v>
      </c>
      <c r="ON218">
        <v>0.5</v>
      </c>
      <c r="OP218">
        <v>0.42</v>
      </c>
      <c r="OR218">
        <v>0.92</v>
      </c>
      <c r="OS218" t="s">
        <v>29</v>
      </c>
      <c r="OT218" t="s">
        <v>1517</v>
      </c>
      <c r="OV218">
        <v>2004</v>
      </c>
      <c r="PA218" t="s">
        <v>1169</v>
      </c>
      <c r="PB218" s="58">
        <v>46105</v>
      </c>
    </row>
    <row r="219" spans="1:418" ht="15.75" thickBot="1">
      <c r="A219" s="11" t="s">
        <v>2455</v>
      </c>
      <c r="B219" t="s">
        <v>2511</v>
      </c>
      <c r="C219" s="93" t="s">
        <v>1173</v>
      </c>
      <c r="D219" s="4" t="s">
        <v>29</v>
      </c>
      <c r="E219" t="s">
        <v>1200</v>
      </c>
      <c r="F219" t="s">
        <v>1195</v>
      </c>
      <c r="G219" t="s">
        <v>2</v>
      </c>
      <c r="H219" t="s">
        <v>234</v>
      </c>
      <c r="K219" t="s">
        <v>29</v>
      </c>
      <c r="AV219" t="s">
        <v>1201</v>
      </c>
      <c r="AW219" t="s">
        <v>29</v>
      </c>
      <c r="AX219" t="s">
        <v>29</v>
      </c>
      <c r="AY219">
        <v>2</v>
      </c>
      <c r="AZ219" t="s">
        <v>1209</v>
      </c>
      <c r="BA219">
        <v>2002</v>
      </c>
      <c r="BB219">
        <v>2005</v>
      </c>
      <c r="BD219" t="s">
        <v>238</v>
      </c>
      <c r="BE219" t="s">
        <v>1205</v>
      </c>
      <c r="BF219" t="s">
        <v>236</v>
      </c>
      <c r="BG219" s="3" t="s">
        <v>1233</v>
      </c>
      <c r="BH219" t="s">
        <v>1174</v>
      </c>
      <c r="BI219" t="s">
        <v>1202</v>
      </c>
      <c r="BJ219" s="4" t="s">
        <v>22</v>
      </c>
      <c r="BK219" s="9">
        <v>222222</v>
      </c>
      <c r="BM219" t="s">
        <v>1186</v>
      </c>
      <c r="BN219" t="s">
        <v>1203</v>
      </c>
      <c r="BO219" s="9">
        <v>55556</v>
      </c>
      <c r="EH219" s="9"/>
      <c r="EI219" s="9"/>
      <c r="EJ219" s="9"/>
      <c r="EK219" s="9"/>
      <c r="EL219" s="9"/>
      <c r="EM219" s="9"/>
      <c r="EN219" s="9"/>
      <c r="EO219" s="9"/>
      <c r="EP219" s="9"/>
      <c r="EQ219" s="9"/>
      <c r="ER219" s="9"/>
      <c r="ES219" s="9"/>
      <c r="ET219" s="9"/>
      <c r="EU219" s="9"/>
      <c r="EV219" s="9"/>
      <c r="EW219" s="9"/>
      <c r="EX219" s="9"/>
      <c r="EY219" s="9"/>
      <c r="EZ219" s="9"/>
      <c r="FA219" s="9"/>
      <c r="FB219" s="9"/>
      <c r="FC219" s="9"/>
      <c r="FD219" s="9"/>
      <c r="FE219" s="9"/>
      <c r="FF219" s="9"/>
      <c r="FG219" s="9"/>
      <c r="FH219" s="9"/>
      <c r="FI219" s="9"/>
      <c r="FJ219" s="9"/>
      <c r="FK219" s="9"/>
      <c r="FL219" s="9"/>
      <c r="FM219" s="9"/>
      <c r="FN219" s="9"/>
      <c r="FO219" s="9"/>
      <c r="FP219" s="9"/>
      <c r="FQ219" s="9"/>
      <c r="FR219" s="9"/>
      <c r="FS219" s="9"/>
      <c r="FT219" s="9"/>
      <c r="FU219" s="9"/>
      <c r="FV219" s="9"/>
      <c r="FW219" s="9"/>
      <c r="FX219" s="9"/>
      <c r="FY219" s="9"/>
      <c r="FZ219" s="9"/>
      <c r="GA219" s="9"/>
      <c r="GB219" s="9"/>
      <c r="GC219" s="9"/>
      <c r="GD219" s="9"/>
      <c r="GE219" s="9"/>
      <c r="GF219" s="9"/>
      <c r="GG219" s="9"/>
      <c r="GH219" s="9"/>
      <c r="GI219" s="9"/>
      <c r="GJ219" s="9"/>
      <c r="GK219" s="9"/>
      <c r="GL219" s="9"/>
      <c r="GM219" s="9"/>
      <c r="GN219" s="9"/>
      <c r="GO219" s="9"/>
      <c r="GP219" s="9"/>
      <c r="GQ219" s="9"/>
      <c r="GR219" s="9"/>
      <c r="GS219" s="9"/>
      <c r="GT219" s="9"/>
      <c r="GU219" s="9"/>
      <c r="GV219" s="9"/>
      <c r="GW219" s="9"/>
      <c r="GX219" s="9"/>
      <c r="GY219" s="9"/>
      <c r="GZ219" s="9"/>
      <c r="HA219" s="9"/>
      <c r="HB219" s="9"/>
      <c r="HC219" s="9"/>
      <c r="HD219" s="9"/>
      <c r="HE219" s="9"/>
      <c r="HF219" s="9"/>
      <c r="HG219" s="9"/>
      <c r="HH219" s="9"/>
      <c r="HI219" s="9"/>
      <c r="HJ219" s="9"/>
      <c r="HK219" s="9"/>
      <c r="HW219" s="58"/>
      <c r="HX219" s="58"/>
      <c r="II219" t="s">
        <v>1187</v>
      </c>
      <c r="IJ219" s="12" t="s">
        <v>1190</v>
      </c>
      <c r="IK219" t="s">
        <v>660</v>
      </c>
      <c r="IL219" t="s">
        <v>29</v>
      </c>
      <c r="IM219" t="s">
        <v>29</v>
      </c>
      <c r="IN219">
        <v>2002</v>
      </c>
      <c r="IO219" t="s">
        <v>29</v>
      </c>
      <c r="JK219" t="s">
        <v>15</v>
      </c>
      <c r="JL219" s="84" t="s">
        <v>15</v>
      </c>
      <c r="JM219" s="8" t="s">
        <v>14</v>
      </c>
      <c r="JQ219" t="s">
        <v>13</v>
      </c>
      <c r="JR219">
        <v>60</v>
      </c>
      <c r="JU219">
        <v>45</v>
      </c>
      <c r="MZ219" t="s">
        <v>1194</v>
      </c>
      <c r="NC219" s="4" t="s">
        <v>1178</v>
      </c>
      <c r="ND219" t="s">
        <v>1179</v>
      </c>
      <c r="NK219" s="93" t="s">
        <v>1193</v>
      </c>
      <c r="NL219" t="s">
        <v>1181</v>
      </c>
      <c r="NM219" t="s">
        <v>8</v>
      </c>
      <c r="NN219" t="s">
        <v>1175</v>
      </c>
      <c r="NW219" t="s">
        <v>6</v>
      </c>
      <c r="NY219" t="s">
        <v>29</v>
      </c>
      <c r="OC219">
        <v>3</v>
      </c>
      <c r="OD219">
        <v>7.52</v>
      </c>
      <c r="OE219" t="s">
        <v>29</v>
      </c>
      <c r="OF219">
        <v>6.31</v>
      </c>
      <c r="OG219" t="s">
        <v>29</v>
      </c>
      <c r="ON219">
        <v>0.3</v>
      </c>
      <c r="OP219">
        <v>0.74</v>
      </c>
      <c r="OR219">
        <v>1.05</v>
      </c>
      <c r="OS219" t="s">
        <v>29</v>
      </c>
      <c r="OT219" t="s">
        <v>1517</v>
      </c>
      <c r="OV219">
        <v>2004</v>
      </c>
      <c r="PA219" t="s">
        <v>1169</v>
      </c>
      <c r="PB219" s="58">
        <v>46105</v>
      </c>
    </row>
    <row r="220" spans="1:418" ht="15.75" thickBot="1">
      <c r="A220" s="11" t="s">
        <v>2455</v>
      </c>
      <c r="B220" t="s">
        <v>2511</v>
      </c>
      <c r="C220" s="93" t="s">
        <v>1173</v>
      </c>
      <c r="D220" s="4" t="s">
        <v>29</v>
      </c>
      <c r="E220" t="s">
        <v>1200</v>
      </c>
      <c r="F220" t="s">
        <v>1195</v>
      </c>
      <c r="G220" t="s">
        <v>2</v>
      </c>
      <c r="H220" t="s">
        <v>234</v>
      </c>
      <c r="K220" t="s">
        <v>29</v>
      </c>
      <c r="AV220" t="s">
        <v>1201</v>
      </c>
      <c r="AW220" t="s">
        <v>29</v>
      </c>
      <c r="AX220" t="s">
        <v>29</v>
      </c>
      <c r="AY220">
        <v>2</v>
      </c>
      <c r="AZ220" t="s">
        <v>1209</v>
      </c>
      <c r="BA220">
        <v>2002</v>
      </c>
      <c r="BB220">
        <v>2005</v>
      </c>
      <c r="BD220" t="s">
        <v>238</v>
      </c>
      <c r="BE220" t="s">
        <v>1206</v>
      </c>
      <c r="BF220" t="s">
        <v>284</v>
      </c>
      <c r="BG220" s="3" t="s">
        <v>1233</v>
      </c>
      <c r="BH220" t="s">
        <v>1174</v>
      </c>
      <c r="BI220" t="s">
        <v>1202</v>
      </c>
      <c r="BJ220" s="4" t="s">
        <v>22</v>
      </c>
      <c r="BK220" s="9">
        <v>166667</v>
      </c>
      <c r="BM220" t="s">
        <v>1186</v>
      </c>
      <c r="BN220" t="s">
        <v>1203</v>
      </c>
      <c r="BO220" s="9">
        <v>55556</v>
      </c>
      <c r="EH220" s="9"/>
      <c r="EI220" s="9"/>
      <c r="EJ220" s="9"/>
      <c r="EK220" s="9"/>
      <c r="EL220" s="9"/>
      <c r="EM220" s="9"/>
      <c r="EN220" s="9"/>
      <c r="EO220" s="9"/>
      <c r="EP220" s="9"/>
      <c r="EQ220" s="9"/>
      <c r="ER220" s="9"/>
      <c r="ES220" s="9"/>
      <c r="ET220" s="9"/>
      <c r="EU220" s="9"/>
      <c r="EV220" s="9"/>
      <c r="EW220" s="9"/>
      <c r="EX220" s="9"/>
      <c r="EY220" s="9"/>
      <c r="EZ220" s="9"/>
      <c r="FA220" s="9"/>
      <c r="FB220" s="9"/>
      <c r="FC220" s="9"/>
      <c r="FD220" s="9"/>
      <c r="FE220" s="9"/>
      <c r="FF220" s="9"/>
      <c r="FG220" s="9"/>
      <c r="FH220" s="9"/>
      <c r="FI220" s="9"/>
      <c r="FJ220" s="9"/>
      <c r="FK220" s="9"/>
      <c r="FL220" s="9"/>
      <c r="FM220" s="9"/>
      <c r="FN220" s="9"/>
      <c r="FO220" s="9"/>
      <c r="FP220" s="9"/>
      <c r="FQ220" s="9"/>
      <c r="FR220" s="9"/>
      <c r="FS220" s="9"/>
      <c r="FT220" s="9"/>
      <c r="FU220" s="9"/>
      <c r="FV220" s="9"/>
      <c r="FW220" s="9"/>
      <c r="FX220" s="9"/>
      <c r="FY220" s="9"/>
      <c r="FZ220" s="9"/>
      <c r="GA220" s="9"/>
      <c r="GB220" s="9"/>
      <c r="GC220" s="9"/>
      <c r="GD220" s="9"/>
      <c r="GE220" s="9"/>
      <c r="GF220" s="9"/>
      <c r="GG220" s="9"/>
      <c r="GH220" s="9"/>
      <c r="GI220" s="9"/>
      <c r="GJ220" s="9"/>
      <c r="GK220" s="9"/>
      <c r="GL220" s="9"/>
      <c r="GM220" s="9"/>
      <c r="GN220" s="9"/>
      <c r="GO220" s="9"/>
      <c r="GP220" s="9"/>
      <c r="GQ220" s="9"/>
      <c r="GR220" s="9"/>
      <c r="GS220" s="9"/>
      <c r="GT220" s="9"/>
      <c r="GU220" s="9"/>
      <c r="GV220" s="9"/>
      <c r="GW220" s="9"/>
      <c r="GX220" s="9"/>
      <c r="GY220" s="9"/>
      <c r="GZ220" s="9"/>
      <c r="HA220" s="9"/>
      <c r="HB220" s="9"/>
      <c r="HC220" s="9"/>
      <c r="HD220" s="9"/>
      <c r="HE220" s="9"/>
      <c r="HF220" s="9"/>
      <c r="HG220" s="9"/>
      <c r="HH220" s="9"/>
      <c r="HI220" s="9"/>
      <c r="HJ220" s="9"/>
      <c r="HK220" s="9"/>
      <c r="HW220" s="58"/>
      <c r="HX220" s="58"/>
      <c r="II220" t="s">
        <v>1188</v>
      </c>
      <c r="IJ220" s="12" t="s">
        <v>1190</v>
      </c>
      <c r="IK220" t="s">
        <v>660</v>
      </c>
      <c r="IL220" t="s">
        <v>29</v>
      </c>
      <c r="IM220" t="s">
        <v>29</v>
      </c>
      <c r="IN220">
        <v>2002</v>
      </c>
      <c r="IO220" t="s">
        <v>29</v>
      </c>
      <c r="JK220" t="s">
        <v>15</v>
      </c>
      <c r="JL220" s="84" t="s">
        <v>15</v>
      </c>
      <c r="JM220" s="8" t="s">
        <v>14</v>
      </c>
      <c r="JQ220" t="s">
        <v>13</v>
      </c>
      <c r="JR220">
        <v>60</v>
      </c>
      <c r="JU220">
        <v>45</v>
      </c>
      <c r="MZ220" t="s">
        <v>1194</v>
      </c>
      <c r="NC220" s="4" t="s">
        <v>1178</v>
      </c>
      <c r="ND220" t="s">
        <v>1179</v>
      </c>
      <c r="NK220" s="93" t="s">
        <v>1193</v>
      </c>
      <c r="NL220" t="s">
        <v>1181</v>
      </c>
      <c r="NM220" t="s">
        <v>8</v>
      </c>
      <c r="NN220" t="s">
        <v>1175</v>
      </c>
      <c r="NW220" t="s">
        <v>6</v>
      </c>
      <c r="NY220" t="s">
        <v>29</v>
      </c>
      <c r="OC220">
        <v>3</v>
      </c>
      <c r="OD220">
        <v>7</v>
      </c>
      <c r="OE220" t="s">
        <v>29</v>
      </c>
      <c r="OF220">
        <v>8</v>
      </c>
      <c r="OG220" t="s">
        <v>29</v>
      </c>
      <c r="ON220">
        <v>0.33</v>
      </c>
      <c r="OP220">
        <v>0.85</v>
      </c>
      <c r="OR220">
        <v>1.18</v>
      </c>
      <c r="OS220" t="s">
        <v>29</v>
      </c>
      <c r="OT220" t="s">
        <v>1517</v>
      </c>
      <c r="OV220">
        <v>2004</v>
      </c>
      <c r="PA220" t="s">
        <v>1169</v>
      </c>
      <c r="PB220" s="58">
        <v>46105</v>
      </c>
    </row>
    <row r="221" spans="1:418" ht="15.75" thickBot="1">
      <c r="A221" s="11" t="s">
        <v>2455</v>
      </c>
      <c r="B221" t="s">
        <v>2511</v>
      </c>
      <c r="C221" s="93" t="s">
        <v>1173</v>
      </c>
      <c r="D221" s="4" t="s">
        <v>29</v>
      </c>
      <c r="E221" t="s">
        <v>1200</v>
      </c>
      <c r="F221" t="s">
        <v>1195</v>
      </c>
      <c r="G221" t="s">
        <v>2</v>
      </c>
      <c r="H221" t="s">
        <v>234</v>
      </c>
      <c r="K221" t="s">
        <v>29</v>
      </c>
      <c r="AV221" t="s">
        <v>1201</v>
      </c>
      <c r="AW221" t="s">
        <v>29</v>
      </c>
      <c r="AX221" t="s">
        <v>29</v>
      </c>
      <c r="AY221">
        <v>2</v>
      </c>
      <c r="AZ221" t="s">
        <v>1209</v>
      </c>
      <c r="BA221">
        <v>2002</v>
      </c>
      <c r="BB221">
        <v>2005</v>
      </c>
      <c r="BD221" t="s">
        <v>238</v>
      </c>
      <c r="BE221" t="s">
        <v>1207</v>
      </c>
      <c r="BF221" t="s">
        <v>277</v>
      </c>
      <c r="BG221" s="3" t="s">
        <v>1233</v>
      </c>
      <c r="BH221" t="s">
        <v>1174</v>
      </c>
      <c r="BI221" t="s">
        <v>1202</v>
      </c>
      <c r="BJ221" s="4" t="s">
        <v>22</v>
      </c>
      <c r="BK221" s="9">
        <v>133333</v>
      </c>
      <c r="BM221" t="s">
        <v>1186</v>
      </c>
      <c r="BN221" t="s">
        <v>1203</v>
      </c>
      <c r="BO221" s="9">
        <v>55556</v>
      </c>
      <c r="EH221" s="9"/>
      <c r="EI221" s="9"/>
      <c r="EJ221" s="9"/>
      <c r="EK221" s="9"/>
      <c r="EL221" s="9"/>
      <c r="EM221" s="9"/>
      <c r="EN221" s="9"/>
      <c r="EO221" s="9"/>
      <c r="EP221" s="9"/>
      <c r="EQ221" s="9"/>
      <c r="ER221" s="9"/>
      <c r="ES221" s="9"/>
      <c r="ET221" s="9"/>
      <c r="EU221" s="9"/>
      <c r="EV221" s="9"/>
      <c r="EW221" s="9"/>
      <c r="EX221" s="9"/>
      <c r="EY221" s="9"/>
      <c r="EZ221" s="9"/>
      <c r="FA221" s="9"/>
      <c r="FB221" s="9"/>
      <c r="FC221" s="9"/>
      <c r="FD221" s="9"/>
      <c r="FE221" s="9"/>
      <c r="FF221" s="9"/>
      <c r="FG221" s="9"/>
      <c r="FH221" s="9"/>
      <c r="FI221" s="9"/>
      <c r="FJ221" s="9"/>
      <c r="FK221" s="9"/>
      <c r="FL221" s="9"/>
      <c r="FM221" s="9"/>
      <c r="FN221" s="9"/>
      <c r="FO221" s="9"/>
      <c r="FP221" s="9"/>
      <c r="FQ221" s="9"/>
      <c r="FR221" s="9"/>
      <c r="FS221" s="9"/>
      <c r="FT221" s="9"/>
      <c r="FU221" s="9"/>
      <c r="FV221" s="9"/>
      <c r="FW221" s="9"/>
      <c r="FX221" s="9"/>
      <c r="FY221" s="9"/>
      <c r="FZ221" s="9"/>
      <c r="GA221" s="9"/>
      <c r="GB221" s="9"/>
      <c r="GC221" s="9"/>
      <c r="GD221" s="9"/>
      <c r="GE221" s="9"/>
      <c r="GF221" s="9"/>
      <c r="GG221" s="9"/>
      <c r="GH221" s="9"/>
      <c r="GI221" s="9"/>
      <c r="GJ221" s="9"/>
      <c r="GK221" s="9"/>
      <c r="GL221" s="9"/>
      <c r="GM221" s="9"/>
      <c r="GN221" s="9"/>
      <c r="GO221" s="9"/>
      <c r="GP221" s="9"/>
      <c r="GQ221" s="9"/>
      <c r="GR221" s="9"/>
      <c r="GS221" s="9"/>
      <c r="GT221" s="9"/>
      <c r="GU221" s="9"/>
      <c r="GV221" s="9"/>
      <c r="GW221" s="9"/>
      <c r="GX221" s="9"/>
      <c r="GY221" s="9"/>
      <c r="GZ221" s="9"/>
      <c r="HA221" s="9"/>
      <c r="HB221" s="9"/>
      <c r="HC221" s="9"/>
      <c r="HD221" s="9"/>
      <c r="HE221" s="9"/>
      <c r="HF221" s="9"/>
      <c r="HG221" s="9"/>
      <c r="HH221" s="9"/>
      <c r="HI221" s="9"/>
      <c r="HJ221" s="9"/>
      <c r="HK221" s="9"/>
      <c r="HW221" s="58"/>
      <c r="HX221" s="58"/>
      <c r="II221" t="s">
        <v>1189</v>
      </c>
      <c r="IJ221" s="12" t="s">
        <v>1190</v>
      </c>
      <c r="IK221" t="s">
        <v>660</v>
      </c>
      <c r="IL221" t="s">
        <v>29</v>
      </c>
      <c r="IM221" t="s">
        <v>29</v>
      </c>
      <c r="IN221">
        <v>2002</v>
      </c>
      <c r="IO221" t="s">
        <v>29</v>
      </c>
      <c r="JK221" t="s">
        <v>15</v>
      </c>
      <c r="JL221" s="84" t="s">
        <v>15</v>
      </c>
      <c r="JM221" s="8" t="s">
        <v>14</v>
      </c>
      <c r="JQ221" t="s">
        <v>13</v>
      </c>
      <c r="JR221">
        <v>60</v>
      </c>
      <c r="JU221">
        <v>45</v>
      </c>
      <c r="MZ221" t="s">
        <v>1194</v>
      </c>
      <c r="NC221" s="4" t="s">
        <v>1178</v>
      </c>
      <c r="ND221" t="s">
        <v>1179</v>
      </c>
      <c r="NK221" s="93" t="s">
        <v>1193</v>
      </c>
      <c r="NL221" t="s">
        <v>1181</v>
      </c>
      <c r="NM221" t="s">
        <v>8</v>
      </c>
      <c r="NN221" t="s">
        <v>1175</v>
      </c>
      <c r="NW221" t="s">
        <v>6</v>
      </c>
      <c r="NY221" t="s">
        <v>29</v>
      </c>
      <c r="OC221">
        <v>3</v>
      </c>
      <c r="OD221">
        <v>3.91</v>
      </c>
      <c r="OE221" t="s">
        <v>29</v>
      </c>
      <c r="OF221">
        <v>6</v>
      </c>
      <c r="OG221" t="s">
        <v>29</v>
      </c>
      <c r="ON221">
        <v>0.2</v>
      </c>
      <c r="OP221">
        <v>0.65</v>
      </c>
      <c r="OR221">
        <v>0.85</v>
      </c>
      <c r="OS221" t="s">
        <v>29</v>
      </c>
      <c r="OT221" t="s">
        <v>1517</v>
      </c>
      <c r="OV221">
        <v>2004</v>
      </c>
      <c r="PA221" t="s">
        <v>1169</v>
      </c>
      <c r="PB221" s="58">
        <v>46105</v>
      </c>
    </row>
    <row r="222" spans="1:418" ht="15.75" thickBot="1">
      <c r="A222" t="s">
        <v>248</v>
      </c>
      <c r="B222" t="s">
        <v>1403</v>
      </c>
      <c r="C222" t="s">
        <v>1404</v>
      </c>
      <c r="D222" s="67" t="s">
        <v>245</v>
      </c>
      <c r="E222" t="s">
        <v>1415</v>
      </c>
      <c r="F222" s="4" t="s">
        <v>1417</v>
      </c>
      <c r="G222" t="s">
        <v>2</v>
      </c>
      <c r="H222" t="s">
        <v>30</v>
      </c>
      <c r="I222">
        <v>7.971944444</v>
      </c>
      <c r="J222">
        <v>38.633055560000003</v>
      </c>
      <c r="K222" t="s">
        <v>29</v>
      </c>
      <c r="AV222" t="s">
        <v>1418</v>
      </c>
      <c r="AW222">
        <v>420</v>
      </c>
      <c r="AX222">
        <v>2.5</v>
      </c>
      <c r="AY222">
        <v>1</v>
      </c>
      <c r="AZ222" t="s">
        <v>836</v>
      </c>
      <c r="BA222">
        <v>2015</v>
      </c>
      <c r="BB222">
        <v>2016</v>
      </c>
      <c r="BD222" t="s">
        <v>19</v>
      </c>
      <c r="BE222" t="s">
        <v>1420</v>
      </c>
      <c r="BF222" t="s">
        <v>39</v>
      </c>
      <c r="BG222" s="3" t="s">
        <v>1233</v>
      </c>
      <c r="BH222" t="s">
        <v>23</v>
      </c>
      <c r="BI222" t="s">
        <v>29</v>
      </c>
      <c r="BJ222" s="4" t="s">
        <v>22</v>
      </c>
      <c r="BK222">
        <v>53333</v>
      </c>
      <c r="II222" t="s">
        <v>255</v>
      </c>
      <c r="IJ222" t="s">
        <v>19</v>
      </c>
      <c r="JK222" t="s">
        <v>1419</v>
      </c>
      <c r="JL222" s="84" t="s">
        <v>1427</v>
      </c>
      <c r="JM222" s="8" t="s">
        <v>14</v>
      </c>
      <c r="JN222" s="8" t="s">
        <v>1436</v>
      </c>
      <c r="JO222" s="4" t="s">
        <v>13</v>
      </c>
      <c r="JP222" t="s">
        <v>1437</v>
      </c>
      <c r="MZ222" t="s">
        <v>1441</v>
      </c>
      <c r="NA222">
        <v>70</v>
      </c>
      <c r="NB222" t="s">
        <v>1442</v>
      </c>
      <c r="NC222" t="s">
        <v>168</v>
      </c>
      <c r="ND222" s="4" t="s">
        <v>10</v>
      </c>
      <c r="NJ222" t="s">
        <v>1445</v>
      </c>
      <c r="NK222" t="s">
        <v>1406</v>
      </c>
      <c r="NL222" t="s">
        <v>1407</v>
      </c>
      <c r="NM222" s="4" t="s">
        <v>266</v>
      </c>
      <c r="NN222" s="6" t="s">
        <v>265</v>
      </c>
      <c r="NV222" t="s">
        <v>1447</v>
      </c>
      <c r="NW222" t="s">
        <v>6</v>
      </c>
      <c r="NX222">
        <v>2128</v>
      </c>
      <c r="NY222" s="4" t="s">
        <v>1446</v>
      </c>
      <c r="NZ222">
        <v>365</v>
      </c>
      <c r="OC222" s="15">
        <v>3</v>
      </c>
      <c r="OT222" t="s">
        <v>1408</v>
      </c>
      <c r="OU222" t="s">
        <v>6</v>
      </c>
      <c r="OW222">
        <v>2015</v>
      </c>
      <c r="OX222">
        <v>2016</v>
      </c>
      <c r="PA222" t="s">
        <v>1169</v>
      </c>
      <c r="PB222" s="58">
        <v>46104</v>
      </c>
    </row>
    <row r="223" spans="1:418" ht="15.75" thickBot="1">
      <c r="A223" t="s">
        <v>248</v>
      </c>
      <c r="B223" t="s">
        <v>1403</v>
      </c>
      <c r="C223" t="s">
        <v>1404</v>
      </c>
      <c r="D223" s="67" t="s">
        <v>245</v>
      </c>
      <c r="E223" t="s">
        <v>1415</v>
      </c>
      <c r="F223" s="4" t="s">
        <v>1417</v>
      </c>
      <c r="G223" t="s">
        <v>2</v>
      </c>
      <c r="H223" t="s">
        <v>30</v>
      </c>
      <c r="I223">
        <v>7.971944444</v>
      </c>
      <c r="J223">
        <v>38.633055560000003</v>
      </c>
      <c r="K223" t="s">
        <v>29</v>
      </c>
      <c r="AV223" t="s">
        <v>1418</v>
      </c>
      <c r="AW223">
        <v>420</v>
      </c>
      <c r="AX223">
        <v>2.5</v>
      </c>
      <c r="AY223">
        <v>1</v>
      </c>
      <c r="AZ223" t="s">
        <v>836</v>
      </c>
      <c r="BA223">
        <v>2015</v>
      </c>
      <c r="BB223">
        <v>2016</v>
      </c>
      <c r="BD223" t="s">
        <v>19</v>
      </c>
      <c r="BE223" t="s">
        <v>1421</v>
      </c>
      <c r="BF223" t="s">
        <v>24</v>
      </c>
      <c r="BG223" s="3" t="s">
        <v>1233</v>
      </c>
      <c r="BH223" t="s">
        <v>23</v>
      </c>
      <c r="BI223" t="s">
        <v>29</v>
      </c>
      <c r="BJ223" t="s">
        <v>22</v>
      </c>
      <c r="BK223">
        <v>53333</v>
      </c>
      <c r="II223" t="s">
        <v>255</v>
      </c>
      <c r="IJ223" t="s">
        <v>19</v>
      </c>
      <c r="JK223" t="s">
        <v>1428</v>
      </c>
      <c r="JL223" s="54" t="s">
        <v>1430</v>
      </c>
      <c r="JM223" s="8" t="s">
        <v>14</v>
      </c>
      <c r="JN223" s="8" t="s">
        <v>1436</v>
      </c>
      <c r="JO223" s="4" t="s">
        <v>13</v>
      </c>
      <c r="JP223" t="s">
        <v>1438</v>
      </c>
      <c r="MZ223" t="s">
        <v>1441</v>
      </c>
      <c r="NA223">
        <v>70</v>
      </c>
      <c r="NB223" t="s">
        <v>1442</v>
      </c>
      <c r="NC223" t="s">
        <v>168</v>
      </c>
      <c r="ND223" s="4" t="s">
        <v>10</v>
      </c>
      <c r="NJ223" t="s">
        <v>1445</v>
      </c>
      <c r="NK223" t="s">
        <v>1406</v>
      </c>
      <c r="NL223" t="s">
        <v>1407</v>
      </c>
      <c r="NM223" s="4" t="s">
        <v>266</v>
      </c>
      <c r="NN223" s="6" t="s">
        <v>265</v>
      </c>
      <c r="NV223" t="s">
        <v>745</v>
      </c>
      <c r="NW223" t="s">
        <v>6</v>
      </c>
      <c r="NX223">
        <v>3116</v>
      </c>
      <c r="NY223" s="4" t="s">
        <v>1446</v>
      </c>
      <c r="NZ223">
        <v>107</v>
      </c>
      <c r="OC223" s="15">
        <v>3</v>
      </c>
      <c r="OT223" t="s">
        <v>1408</v>
      </c>
      <c r="OU223" t="s">
        <v>6</v>
      </c>
      <c r="OW223">
        <v>2015</v>
      </c>
      <c r="OX223">
        <v>2016</v>
      </c>
      <c r="PA223" t="s">
        <v>1169</v>
      </c>
      <c r="PB223" s="58">
        <v>46104</v>
      </c>
    </row>
    <row r="224" spans="1:418" ht="15.75" thickBot="1">
      <c r="A224" t="s">
        <v>248</v>
      </c>
      <c r="B224" t="s">
        <v>1403</v>
      </c>
      <c r="C224" t="s">
        <v>1404</v>
      </c>
      <c r="D224" s="67" t="s">
        <v>245</v>
      </c>
      <c r="E224" t="s">
        <v>1415</v>
      </c>
      <c r="F224" s="4" t="s">
        <v>1417</v>
      </c>
      <c r="G224" t="s">
        <v>2</v>
      </c>
      <c r="H224" t="s">
        <v>30</v>
      </c>
      <c r="I224">
        <v>7.971944444</v>
      </c>
      <c r="J224">
        <v>38.633055560000003</v>
      </c>
      <c r="K224" t="s">
        <v>29</v>
      </c>
      <c r="AV224" t="s">
        <v>1418</v>
      </c>
      <c r="AW224">
        <v>420</v>
      </c>
      <c r="AX224">
        <v>2.5</v>
      </c>
      <c r="AY224">
        <v>1</v>
      </c>
      <c r="AZ224" t="s">
        <v>836</v>
      </c>
      <c r="BA224">
        <v>2015</v>
      </c>
      <c r="BB224">
        <v>2016</v>
      </c>
      <c r="BD224" t="s">
        <v>19</v>
      </c>
      <c r="BE224" t="s">
        <v>1422</v>
      </c>
      <c r="BF224" t="s">
        <v>299</v>
      </c>
      <c r="BG224" s="3" t="s">
        <v>1233</v>
      </c>
      <c r="BH224" t="s">
        <v>23</v>
      </c>
      <c r="BI224" t="s">
        <v>29</v>
      </c>
      <c r="BJ224" t="s">
        <v>22</v>
      </c>
      <c r="BK224">
        <v>53333</v>
      </c>
      <c r="HR224" t="s">
        <v>1439</v>
      </c>
      <c r="II224" t="s">
        <v>255</v>
      </c>
      <c r="IJ224" t="s">
        <v>19</v>
      </c>
      <c r="JK224" t="s">
        <v>1429</v>
      </c>
      <c r="JL224" s="84" t="s">
        <v>1427</v>
      </c>
      <c r="JM224" t="s">
        <v>14</v>
      </c>
      <c r="JN224" t="s">
        <v>1436</v>
      </c>
      <c r="JO224" s="4" t="s">
        <v>13</v>
      </c>
      <c r="JP224" t="s">
        <v>1437</v>
      </c>
      <c r="KW224" t="s">
        <v>1440</v>
      </c>
      <c r="MZ224" t="s">
        <v>1441</v>
      </c>
      <c r="NA224">
        <v>70</v>
      </c>
      <c r="NB224" t="s">
        <v>1442</v>
      </c>
      <c r="NC224" t="s">
        <v>168</v>
      </c>
      <c r="ND224" s="4" t="s">
        <v>10</v>
      </c>
      <c r="NJ224" t="s">
        <v>1445</v>
      </c>
      <c r="NK224" t="s">
        <v>1406</v>
      </c>
      <c r="NL224" t="s">
        <v>1407</v>
      </c>
      <c r="NM224" s="4" t="s">
        <v>266</v>
      </c>
      <c r="NN224" s="6" t="s">
        <v>265</v>
      </c>
      <c r="NV224" t="s">
        <v>1447</v>
      </c>
      <c r="NW224" t="s">
        <v>6</v>
      </c>
      <c r="NX224">
        <v>2713</v>
      </c>
      <c r="NY224" s="4" t="s">
        <v>1446</v>
      </c>
      <c r="NZ224">
        <v>289</v>
      </c>
      <c r="OC224" s="15">
        <v>3</v>
      </c>
      <c r="OT224" t="s">
        <v>1408</v>
      </c>
      <c r="OU224" t="s">
        <v>6</v>
      </c>
      <c r="OW224">
        <v>2015</v>
      </c>
      <c r="OX224">
        <v>2016</v>
      </c>
      <c r="PA224" t="s">
        <v>1169</v>
      </c>
      <c r="PB224" s="58">
        <v>46104</v>
      </c>
    </row>
    <row r="225" spans="1:418" ht="15.75" thickBot="1">
      <c r="A225" t="s">
        <v>248</v>
      </c>
      <c r="B225" t="s">
        <v>1403</v>
      </c>
      <c r="C225" t="s">
        <v>1404</v>
      </c>
      <c r="D225" s="67" t="s">
        <v>245</v>
      </c>
      <c r="E225" t="s">
        <v>1415</v>
      </c>
      <c r="F225" s="4" t="s">
        <v>1417</v>
      </c>
      <c r="G225" t="s">
        <v>2</v>
      </c>
      <c r="H225" t="s">
        <v>30</v>
      </c>
      <c r="I225">
        <v>7.971944444</v>
      </c>
      <c r="J225">
        <v>38.633055560000003</v>
      </c>
      <c r="K225" t="s">
        <v>29</v>
      </c>
      <c r="AV225" t="s">
        <v>1418</v>
      </c>
      <c r="AW225">
        <v>420</v>
      </c>
      <c r="AX225">
        <v>2.5</v>
      </c>
      <c r="AY225">
        <v>1</v>
      </c>
      <c r="AZ225" t="s">
        <v>836</v>
      </c>
      <c r="BA225">
        <v>2015</v>
      </c>
      <c r="BB225">
        <v>2016</v>
      </c>
      <c r="BD225" t="s">
        <v>238</v>
      </c>
      <c r="BE225" t="s">
        <v>1424</v>
      </c>
      <c r="BF225" t="s">
        <v>64</v>
      </c>
      <c r="BG225" s="3" t="s">
        <v>1233</v>
      </c>
      <c r="BH225" t="s">
        <v>23</v>
      </c>
      <c r="BI225" t="s">
        <v>29</v>
      </c>
      <c r="BJ225" t="s">
        <v>22</v>
      </c>
      <c r="BK225">
        <v>53333</v>
      </c>
      <c r="BL225" t="s">
        <v>56</v>
      </c>
      <c r="BM225" t="s">
        <v>1426</v>
      </c>
      <c r="BN225" t="s">
        <v>29</v>
      </c>
      <c r="BO225" t="s">
        <v>22</v>
      </c>
      <c r="BP225">
        <v>266666</v>
      </c>
      <c r="EH225" s="9"/>
      <c r="EI225" s="9"/>
      <c r="EJ225" s="9"/>
      <c r="EK225" s="9"/>
      <c r="EL225" s="9"/>
      <c r="EM225" s="9"/>
      <c r="EN225" s="9"/>
      <c r="EO225" s="9"/>
      <c r="EP225" s="9"/>
      <c r="EQ225" s="9"/>
      <c r="ER225" s="9"/>
      <c r="ES225" s="9"/>
      <c r="ET225" s="9"/>
      <c r="EU225" s="9"/>
      <c r="EV225" s="9"/>
      <c r="EW225" s="9"/>
      <c r="EX225" s="9"/>
      <c r="EY225" s="9"/>
      <c r="EZ225" s="9"/>
      <c r="FA225" s="9"/>
      <c r="FB225" s="9"/>
      <c r="FC225" s="9"/>
      <c r="FD225" s="9"/>
      <c r="FE225" s="9"/>
      <c r="FF225" s="9"/>
      <c r="FG225" s="9"/>
      <c r="FH225" s="9"/>
      <c r="FI225" s="9"/>
      <c r="FJ225" s="9"/>
      <c r="FK225" s="9"/>
      <c r="FL225" s="9"/>
      <c r="FM225" s="9"/>
      <c r="FN225" s="9"/>
      <c r="FO225" s="9"/>
      <c r="FP225" s="9"/>
      <c r="FQ225" s="9"/>
      <c r="FR225" s="9"/>
      <c r="FS225" s="9"/>
      <c r="FT225" s="9"/>
      <c r="FU225" s="9"/>
      <c r="FV225" s="9"/>
      <c r="FW225" s="9"/>
      <c r="FX225" s="9"/>
      <c r="FY225" s="9"/>
      <c r="FZ225" s="9"/>
      <c r="GA225" s="9"/>
      <c r="GB225" s="9"/>
      <c r="GC225" s="9"/>
      <c r="GD225" s="9"/>
      <c r="GE225" s="9"/>
      <c r="GF225" s="9"/>
      <c r="GG225" s="9"/>
      <c r="GH225" s="9"/>
      <c r="GI225" s="9"/>
      <c r="GJ225" s="9"/>
      <c r="GK225" s="9"/>
      <c r="GL225" s="9"/>
      <c r="GM225" s="9"/>
      <c r="GN225" s="9"/>
      <c r="GO225" s="9"/>
      <c r="GP225" s="9"/>
      <c r="GQ225" s="9"/>
      <c r="GR225" s="9"/>
      <c r="GS225" s="9"/>
      <c r="GT225" s="9"/>
      <c r="GU225" s="9"/>
      <c r="GV225" s="9"/>
      <c r="GW225" s="9"/>
      <c r="GX225" s="9"/>
      <c r="GY225" s="9"/>
      <c r="GZ225" s="9"/>
      <c r="HA225" s="9"/>
      <c r="HB225" s="9"/>
      <c r="HC225" s="9"/>
      <c r="HD225" s="9"/>
      <c r="HE225" s="9"/>
      <c r="HF225" s="9"/>
      <c r="HG225" s="9"/>
      <c r="HH225" s="9"/>
      <c r="HI225" s="9"/>
      <c r="HJ225" s="9"/>
      <c r="HK225" s="9"/>
      <c r="HW225" s="58"/>
      <c r="HX225" s="58"/>
      <c r="II225" t="s">
        <v>1432</v>
      </c>
      <c r="IJ225" s="84" t="s">
        <v>1443</v>
      </c>
      <c r="IK225" t="s">
        <v>660</v>
      </c>
      <c r="IL225" t="s">
        <v>661</v>
      </c>
      <c r="IM225" t="s">
        <v>29</v>
      </c>
      <c r="IN225" t="s">
        <v>29</v>
      </c>
      <c r="IO225" t="s">
        <v>29</v>
      </c>
      <c r="JK225" t="s">
        <v>1431</v>
      </c>
      <c r="JL225" t="s">
        <v>1430</v>
      </c>
      <c r="JM225" t="s">
        <v>14</v>
      </c>
      <c r="JN225" t="s">
        <v>1436</v>
      </c>
      <c r="JO225" s="4" t="s">
        <v>13</v>
      </c>
      <c r="JP225" t="s">
        <v>1438</v>
      </c>
      <c r="MZ225" t="s">
        <v>1441</v>
      </c>
      <c r="NA225">
        <v>70</v>
      </c>
      <c r="NB225" t="s">
        <v>1442</v>
      </c>
      <c r="NC225" t="s">
        <v>168</v>
      </c>
      <c r="ND225" s="4" t="s">
        <v>10</v>
      </c>
      <c r="NE225" t="s">
        <v>1426</v>
      </c>
      <c r="NJ225" t="s">
        <v>1445</v>
      </c>
      <c r="NK225" t="s">
        <v>1406</v>
      </c>
      <c r="NL225" t="s">
        <v>1407</v>
      </c>
      <c r="NM225" s="4" t="s">
        <v>266</v>
      </c>
      <c r="NN225" s="6" t="s">
        <v>265</v>
      </c>
      <c r="NW225" t="s">
        <v>6</v>
      </c>
      <c r="NX225">
        <v>3825</v>
      </c>
      <c r="NY225" s="4" t="s">
        <v>1446</v>
      </c>
      <c r="NZ225">
        <v>567</v>
      </c>
      <c r="OC225" s="15">
        <v>3</v>
      </c>
      <c r="OT225" t="s">
        <v>1408</v>
      </c>
      <c r="OU225" t="s">
        <v>6</v>
      </c>
      <c r="OW225">
        <v>2015</v>
      </c>
      <c r="OX225">
        <v>2016</v>
      </c>
      <c r="PA225" t="s">
        <v>1169</v>
      </c>
      <c r="PB225" s="58">
        <v>46104</v>
      </c>
    </row>
    <row r="226" spans="1:418" ht="15.75" thickBot="1">
      <c r="A226" t="s">
        <v>248</v>
      </c>
      <c r="B226" t="s">
        <v>1403</v>
      </c>
      <c r="C226" t="s">
        <v>1404</v>
      </c>
      <c r="D226" s="67" t="s">
        <v>245</v>
      </c>
      <c r="E226" t="s">
        <v>1415</v>
      </c>
      <c r="F226" s="4" t="s">
        <v>1417</v>
      </c>
      <c r="G226" t="s">
        <v>2</v>
      </c>
      <c r="H226" t="s">
        <v>30</v>
      </c>
      <c r="I226">
        <v>7.971944444</v>
      </c>
      <c r="J226">
        <v>38.633055560000003</v>
      </c>
      <c r="K226" t="s">
        <v>29</v>
      </c>
      <c r="AV226" t="s">
        <v>1418</v>
      </c>
      <c r="AW226">
        <v>420</v>
      </c>
      <c r="AX226">
        <v>2.5</v>
      </c>
      <c r="AY226">
        <v>1</v>
      </c>
      <c r="AZ226" t="s">
        <v>836</v>
      </c>
      <c r="BA226">
        <v>2015</v>
      </c>
      <c r="BB226">
        <v>2016</v>
      </c>
      <c r="BD226" t="s">
        <v>238</v>
      </c>
      <c r="BE226" t="s">
        <v>1425</v>
      </c>
      <c r="BF226" t="s">
        <v>57</v>
      </c>
      <c r="BG226" s="3" t="s">
        <v>1233</v>
      </c>
      <c r="BH226" t="s">
        <v>23</v>
      </c>
      <c r="BI226" t="s">
        <v>29</v>
      </c>
      <c r="BJ226" t="s">
        <v>22</v>
      </c>
      <c r="BK226">
        <v>53333</v>
      </c>
      <c r="BL226" t="s">
        <v>56</v>
      </c>
      <c r="BM226" t="s">
        <v>1414</v>
      </c>
      <c r="BN226" t="s">
        <v>29</v>
      </c>
      <c r="BO226" t="s">
        <v>22</v>
      </c>
      <c r="BP226">
        <v>66666</v>
      </c>
      <c r="EH226" s="9"/>
      <c r="EI226" s="9"/>
      <c r="EJ226" s="9"/>
      <c r="EK226" s="9"/>
      <c r="EL226" s="9"/>
      <c r="EM226" s="9"/>
      <c r="EN226" s="9"/>
      <c r="EO226" s="9"/>
      <c r="EP226" s="9"/>
      <c r="EQ226" s="9"/>
      <c r="ER226" s="9"/>
      <c r="ES226" s="9"/>
      <c r="ET226" s="9"/>
      <c r="EU226" s="9"/>
      <c r="EV226" s="9"/>
      <c r="EW226" s="9"/>
      <c r="EX226" s="9"/>
      <c r="EY226" s="9"/>
      <c r="EZ226" s="9"/>
      <c r="FA226" s="9"/>
      <c r="FB226" s="9"/>
      <c r="FC226" s="9"/>
      <c r="FD226" s="9"/>
      <c r="FE226" s="9"/>
      <c r="FF226" s="9"/>
      <c r="FG226" s="9"/>
      <c r="FH226" s="9"/>
      <c r="FI226" s="9"/>
      <c r="FJ226" s="9"/>
      <c r="FK226" s="9"/>
      <c r="FL226" s="9"/>
      <c r="FM226" s="9"/>
      <c r="FN226" s="9"/>
      <c r="FO226" s="9"/>
      <c r="FP226" s="9"/>
      <c r="FQ226" s="9"/>
      <c r="FR226" s="9"/>
      <c r="FS226" s="9"/>
      <c r="FT226" s="9"/>
      <c r="FU226" s="9"/>
      <c r="FV226" s="9"/>
      <c r="FW226" s="9"/>
      <c r="FX226" s="9"/>
      <c r="FY226" s="9"/>
      <c r="FZ226" s="9"/>
      <c r="GA226" s="9"/>
      <c r="GB226" s="9"/>
      <c r="GC226" s="9"/>
      <c r="GD226" s="9"/>
      <c r="GE226" s="9"/>
      <c r="GF226" s="9"/>
      <c r="GG226" s="9"/>
      <c r="GH226" s="9"/>
      <c r="GI226" s="9"/>
      <c r="GJ226" s="9"/>
      <c r="GK226" s="9"/>
      <c r="GL226" s="9"/>
      <c r="GM226" s="9"/>
      <c r="GN226" s="9"/>
      <c r="GO226" s="9"/>
      <c r="GP226" s="9"/>
      <c r="GQ226" s="9"/>
      <c r="GR226" s="9"/>
      <c r="GS226" s="9"/>
      <c r="GT226" s="9"/>
      <c r="GU226" s="9"/>
      <c r="GV226" s="9"/>
      <c r="GW226" s="9"/>
      <c r="GX226" s="9"/>
      <c r="GY226" s="9"/>
      <c r="GZ226" s="9"/>
      <c r="HA226" s="9"/>
      <c r="HB226" s="9"/>
      <c r="HC226" s="9"/>
      <c r="HD226" s="9"/>
      <c r="HE226" s="9"/>
      <c r="HF226" s="9"/>
      <c r="HG226" s="9"/>
      <c r="HH226" s="9"/>
      <c r="HI226" s="9"/>
      <c r="HJ226" s="9"/>
      <c r="HK226" s="9"/>
      <c r="HW226" s="58"/>
      <c r="HX226" s="58"/>
      <c r="II226" t="s">
        <v>1433</v>
      </c>
      <c r="IJ226" s="84" t="s">
        <v>1443</v>
      </c>
      <c r="IK226" t="s">
        <v>660</v>
      </c>
      <c r="IL226" t="s">
        <v>661</v>
      </c>
      <c r="IM226" t="s">
        <v>29</v>
      </c>
      <c r="IN226" t="s">
        <v>29</v>
      </c>
      <c r="IO226" t="s">
        <v>29</v>
      </c>
      <c r="JK226" t="s">
        <v>1434</v>
      </c>
      <c r="JL226" t="s">
        <v>1430</v>
      </c>
      <c r="JM226" t="s">
        <v>14</v>
      </c>
      <c r="JN226" t="s">
        <v>1436</v>
      </c>
      <c r="JO226" s="4" t="s">
        <v>13</v>
      </c>
      <c r="JP226" t="s">
        <v>1438</v>
      </c>
      <c r="MZ226" t="s">
        <v>1441</v>
      </c>
      <c r="NA226">
        <v>70</v>
      </c>
      <c r="NB226" t="s">
        <v>1442</v>
      </c>
      <c r="NC226" t="s">
        <v>168</v>
      </c>
      <c r="ND226" s="4" t="s">
        <v>10</v>
      </c>
      <c r="NE226" t="s">
        <v>1444</v>
      </c>
      <c r="NJ226" t="s">
        <v>1445</v>
      </c>
      <c r="NK226" t="s">
        <v>1406</v>
      </c>
      <c r="NL226" t="s">
        <v>1407</v>
      </c>
      <c r="NM226" s="4" t="s">
        <v>266</v>
      </c>
      <c r="NN226" s="6" t="s">
        <v>265</v>
      </c>
      <c r="NW226" t="s">
        <v>6</v>
      </c>
      <c r="NX226">
        <v>3563</v>
      </c>
      <c r="NY226" t="s">
        <v>1446</v>
      </c>
      <c r="NZ226">
        <v>549</v>
      </c>
      <c r="OC226" s="15">
        <v>3</v>
      </c>
      <c r="OT226" t="s">
        <v>1408</v>
      </c>
      <c r="OU226" t="s">
        <v>6</v>
      </c>
      <c r="OW226">
        <v>2015</v>
      </c>
      <c r="OX226">
        <v>2016</v>
      </c>
      <c r="PA226" t="s">
        <v>1169</v>
      </c>
      <c r="PB226" s="58">
        <v>46104</v>
      </c>
    </row>
    <row r="227" spans="1:418" ht="15.75" thickBot="1">
      <c r="A227" t="s">
        <v>248</v>
      </c>
      <c r="B227" t="s">
        <v>1403</v>
      </c>
      <c r="C227" t="s">
        <v>1404</v>
      </c>
      <c r="D227" s="67" t="s">
        <v>245</v>
      </c>
      <c r="E227" t="s">
        <v>1415</v>
      </c>
      <c r="F227" s="4" t="s">
        <v>1417</v>
      </c>
      <c r="G227" t="s">
        <v>2</v>
      </c>
      <c r="H227" t="s">
        <v>30</v>
      </c>
      <c r="I227">
        <v>7.971944444</v>
      </c>
      <c r="J227">
        <v>38.633055560000003</v>
      </c>
      <c r="K227" t="s">
        <v>29</v>
      </c>
      <c r="AV227" t="s">
        <v>1418</v>
      </c>
      <c r="AW227">
        <v>420</v>
      </c>
      <c r="AX227">
        <v>2.5</v>
      </c>
      <c r="AY227">
        <v>1</v>
      </c>
      <c r="AZ227" t="s">
        <v>836</v>
      </c>
      <c r="BA227">
        <v>2015</v>
      </c>
      <c r="BB227">
        <v>2016</v>
      </c>
      <c r="BD227" t="s">
        <v>19</v>
      </c>
      <c r="BE227" t="s">
        <v>1423</v>
      </c>
      <c r="BF227" t="s">
        <v>256</v>
      </c>
      <c r="BG227" s="3" t="s">
        <v>1233</v>
      </c>
      <c r="BH227" t="s">
        <v>23</v>
      </c>
      <c r="BI227" t="s">
        <v>29</v>
      </c>
      <c r="BJ227" t="s">
        <v>22</v>
      </c>
      <c r="BK227">
        <v>53333</v>
      </c>
      <c r="HR227" t="s">
        <v>1439</v>
      </c>
      <c r="II227" t="s">
        <v>255</v>
      </c>
      <c r="IJ227" t="s">
        <v>19</v>
      </c>
      <c r="JK227" t="s">
        <v>1435</v>
      </c>
      <c r="JL227" t="s">
        <v>1430</v>
      </c>
      <c r="JM227" t="s">
        <v>14</v>
      </c>
      <c r="JN227" t="s">
        <v>1436</v>
      </c>
      <c r="JO227" s="4" t="s">
        <v>13</v>
      </c>
      <c r="JP227" t="s">
        <v>1438</v>
      </c>
      <c r="MZ227" t="s">
        <v>1441</v>
      </c>
      <c r="NA227">
        <v>70</v>
      </c>
      <c r="NB227" t="s">
        <v>1442</v>
      </c>
      <c r="NC227" t="s">
        <v>168</v>
      </c>
      <c r="ND227" s="4" t="s">
        <v>10</v>
      </c>
      <c r="NJ227" t="s">
        <v>1445</v>
      </c>
      <c r="NK227" t="s">
        <v>1406</v>
      </c>
      <c r="NL227" t="s">
        <v>1407</v>
      </c>
      <c r="NM227" s="4" t="s">
        <v>266</v>
      </c>
      <c r="NN227" s="6" t="s">
        <v>265</v>
      </c>
      <c r="NV227" t="s">
        <v>745</v>
      </c>
      <c r="NW227" t="s">
        <v>6</v>
      </c>
      <c r="NX227">
        <v>3699</v>
      </c>
      <c r="NY227" t="s">
        <v>1446</v>
      </c>
      <c r="NZ227">
        <v>390</v>
      </c>
      <c r="OC227" s="15">
        <v>3</v>
      </c>
      <c r="OT227" t="s">
        <v>1408</v>
      </c>
      <c r="OU227" t="s">
        <v>6</v>
      </c>
      <c r="OW227">
        <v>2015</v>
      </c>
      <c r="OX227">
        <v>2016</v>
      </c>
      <c r="PA227" t="s">
        <v>1169</v>
      </c>
      <c r="PB227" s="58">
        <v>46104</v>
      </c>
    </row>
    <row r="228" spans="1:418" ht="15.75" thickBot="1">
      <c r="A228" t="s">
        <v>248</v>
      </c>
      <c r="B228" t="s">
        <v>1403</v>
      </c>
      <c r="C228" t="s">
        <v>1404</v>
      </c>
      <c r="D228" s="67" t="s">
        <v>245</v>
      </c>
      <c r="E228" t="s">
        <v>1409</v>
      </c>
      <c r="F228" s="4" t="s">
        <v>1417</v>
      </c>
      <c r="G228" t="s">
        <v>2</v>
      </c>
      <c r="H228" t="s">
        <v>30</v>
      </c>
      <c r="I228">
        <v>7.306944444</v>
      </c>
      <c r="J228">
        <v>38.012222219999998</v>
      </c>
      <c r="K228" t="s">
        <v>29</v>
      </c>
      <c r="AV228" t="s">
        <v>1418</v>
      </c>
      <c r="AW228">
        <v>420</v>
      </c>
      <c r="AX228">
        <v>1.5</v>
      </c>
      <c r="AY228">
        <v>1</v>
      </c>
      <c r="AZ228" t="s">
        <v>836</v>
      </c>
      <c r="BA228">
        <v>2015</v>
      </c>
      <c r="BB228">
        <v>2016</v>
      </c>
      <c r="BD228" t="s">
        <v>19</v>
      </c>
      <c r="BE228" t="s">
        <v>1420</v>
      </c>
      <c r="BF228" t="s">
        <v>39</v>
      </c>
      <c r="BG228" s="3" t="s">
        <v>1233</v>
      </c>
      <c r="BH228" t="s">
        <v>23</v>
      </c>
      <c r="BI228" t="s">
        <v>29</v>
      </c>
      <c r="BJ228" s="4" t="s">
        <v>22</v>
      </c>
      <c r="BK228">
        <v>53333</v>
      </c>
      <c r="II228" t="s">
        <v>255</v>
      </c>
      <c r="IJ228" t="s">
        <v>19</v>
      </c>
      <c r="JK228" t="s">
        <v>1419</v>
      </c>
      <c r="JL228" s="84" t="s">
        <v>1427</v>
      </c>
      <c r="JM228" s="8" t="s">
        <v>14</v>
      </c>
      <c r="JN228" s="8" t="s">
        <v>1436</v>
      </c>
      <c r="JO228" s="4" t="s">
        <v>13</v>
      </c>
      <c r="JP228" t="s">
        <v>1437</v>
      </c>
      <c r="MZ228" t="s">
        <v>1441</v>
      </c>
      <c r="NA228">
        <v>70</v>
      </c>
      <c r="NB228" t="s">
        <v>1442</v>
      </c>
      <c r="NC228" t="s">
        <v>168</v>
      </c>
      <c r="ND228" s="4" t="s">
        <v>10</v>
      </c>
      <c r="NJ228" t="s">
        <v>1445</v>
      </c>
      <c r="NK228" t="s">
        <v>1406</v>
      </c>
      <c r="NL228" t="s">
        <v>1407</v>
      </c>
      <c r="NM228" s="4" t="s">
        <v>266</v>
      </c>
      <c r="NN228" s="6" t="s">
        <v>265</v>
      </c>
      <c r="NV228" t="s">
        <v>1447</v>
      </c>
      <c r="NW228" t="s">
        <v>6</v>
      </c>
      <c r="NX228">
        <v>2815</v>
      </c>
      <c r="NY228" t="s">
        <v>1446</v>
      </c>
      <c r="NZ228">
        <v>697</v>
      </c>
      <c r="OC228" s="15">
        <v>3</v>
      </c>
      <c r="OT228" t="s">
        <v>1410</v>
      </c>
      <c r="OU228" t="s">
        <v>6</v>
      </c>
      <c r="OW228">
        <v>2015</v>
      </c>
      <c r="OX228">
        <v>2016</v>
      </c>
      <c r="PA228" t="s">
        <v>1169</v>
      </c>
      <c r="PB228" s="58">
        <v>46104</v>
      </c>
    </row>
    <row r="229" spans="1:418" ht="15.75" thickBot="1">
      <c r="A229" t="s">
        <v>248</v>
      </c>
      <c r="B229" t="s">
        <v>1403</v>
      </c>
      <c r="C229" t="s">
        <v>1404</v>
      </c>
      <c r="D229" s="67" t="s">
        <v>245</v>
      </c>
      <c r="E229" t="s">
        <v>1409</v>
      </c>
      <c r="F229" s="4" t="s">
        <v>1417</v>
      </c>
      <c r="G229" t="s">
        <v>2</v>
      </c>
      <c r="H229" t="s">
        <v>30</v>
      </c>
      <c r="I229">
        <v>7.306944444</v>
      </c>
      <c r="J229">
        <v>38.012222219999998</v>
      </c>
      <c r="K229" t="s">
        <v>29</v>
      </c>
      <c r="AV229" t="s">
        <v>1418</v>
      </c>
      <c r="AW229">
        <v>420</v>
      </c>
      <c r="AX229">
        <v>1.5</v>
      </c>
      <c r="AY229">
        <v>1</v>
      </c>
      <c r="AZ229" t="s">
        <v>836</v>
      </c>
      <c r="BA229">
        <v>2015</v>
      </c>
      <c r="BB229">
        <v>2016</v>
      </c>
      <c r="BD229" t="s">
        <v>19</v>
      </c>
      <c r="BE229" t="s">
        <v>1421</v>
      </c>
      <c r="BF229" t="s">
        <v>24</v>
      </c>
      <c r="BG229" s="3" t="s">
        <v>1233</v>
      </c>
      <c r="BH229" t="s">
        <v>23</v>
      </c>
      <c r="BI229" t="s">
        <v>29</v>
      </c>
      <c r="BJ229" t="s">
        <v>22</v>
      </c>
      <c r="BK229">
        <v>53333</v>
      </c>
      <c r="II229" t="s">
        <v>255</v>
      </c>
      <c r="IJ229" t="s">
        <v>19</v>
      </c>
      <c r="JK229" t="s">
        <v>1428</v>
      </c>
      <c r="JL229" s="54" t="s">
        <v>1430</v>
      </c>
      <c r="JM229" t="s">
        <v>14</v>
      </c>
      <c r="JN229" s="8" t="s">
        <v>1436</v>
      </c>
      <c r="JO229" s="4" t="s">
        <v>13</v>
      </c>
      <c r="JP229" t="s">
        <v>1438</v>
      </c>
      <c r="MZ229" t="s">
        <v>1441</v>
      </c>
      <c r="NA229">
        <v>70</v>
      </c>
      <c r="NB229" t="s">
        <v>1442</v>
      </c>
      <c r="NC229" t="s">
        <v>168</v>
      </c>
      <c r="ND229" s="4" t="s">
        <v>10</v>
      </c>
      <c r="NJ229" t="s">
        <v>1445</v>
      </c>
      <c r="NK229" t="s">
        <v>1406</v>
      </c>
      <c r="NL229" t="s">
        <v>1407</v>
      </c>
      <c r="NM229" s="4" t="s">
        <v>266</v>
      </c>
      <c r="NN229" s="6" t="s">
        <v>265</v>
      </c>
      <c r="NV229" t="s">
        <v>745</v>
      </c>
      <c r="NW229" t="s">
        <v>6</v>
      </c>
      <c r="NX229">
        <v>3243</v>
      </c>
      <c r="NY229" t="s">
        <v>1446</v>
      </c>
      <c r="NZ229">
        <v>705</v>
      </c>
      <c r="OC229" s="15">
        <v>3</v>
      </c>
      <c r="OT229" t="s">
        <v>1410</v>
      </c>
      <c r="OU229" t="s">
        <v>6</v>
      </c>
      <c r="OW229">
        <v>2015</v>
      </c>
      <c r="OX229">
        <v>2016</v>
      </c>
      <c r="PA229" t="s">
        <v>1169</v>
      </c>
      <c r="PB229" s="58">
        <v>46104</v>
      </c>
    </row>
    <row r="230" spans="1:418" ht="15.75" thickBot="1">
      <c r="A230" t="s">
        <v>248</v>
      </c>
      <c r="B230" t="s">
        <v>1403</v>
      </c>
      <c r="C230" t="s">
        <v>1404</v>
      </c>
      <c r="D230" s="67" t="s">
        <v>245</v>
      </c>
      <c r="E230" t="s">
        <v>1409</v>
      </c>
      <c r="F230" s="4" t="s">
        <v>1417</v>
      </c>
      <c r="G230" t="s">
        <v>2</v>
      </c>
      <c r="H230" t="s">
        <v>30</v>
      </c>
      <c r="I230">
        <v>7.306944444</v>
      </c>
      <c r="J230">
        <v>38.012222219999998</v>
      </c>
      <c r="K230" t="s">
        <v>29</v>
      </c>
      <c r="AV230" t="s">
        <v>1418</v>
      </c>
      <c r="AW230">
        <v>420</v>
      </c>
      <c r="AX230">
        <v>1.5</v>
      </c>
      <c r="AY230">
        <v>1</v>
      </c>
      <c r="AZ230" t="s">
        <v>836</v>
      </c>
      <c r="BA230">
        <v>2015</v>
      </c>
      <c r="BB230">
        <v>2016</v>
      </c>
      <c r="BD230" t="s">
        <v>19</v>
      </c>
      <c r="BE230" t="s">
        <v>1422</v>
      </c>
      <c r="BF230" t="s">
        <v>299</v>
      </c>
      <c r="BG230" s="3" t="s">
        <v>1233</v>
      </c>
      <c r="BH230" t="s">
        <v>23</v>
      </c>
      <c r="BI230" t="s">
        <v>29</v>
      </c>
      <c r="BJ230" t="s">
        <v>22</v>
      </c>
      <c r="BK230">
        <v>53333</v>
      </c>
      <c r="HR230" t="s">
        <v>1439</v>
      </c>
      <c r="II230" t="s">
        <v>255</v>
      </c>
      <c r="IJ230" t="s">
        <v>19</v>
      </c>
      <c r="JK230" t="s">
        <v>1429</v>
      </c>
      <c r="JL230" s="84" t="s">
        <v>1427</v>
      </c>
      <c r="JM230" t="s">
        <v>14</v>
      </c>
      <c r="JN230" s="8" t="s">
        <v>1436</v>
      </c>
      <c r="JO230" s="4" t="s">
        <v>13</v>
      </c>
      <c r="JP230" t="s">
        <v>1437</v>
      </c>
      <c r="KW230" t="s">
        <v>1440</v>
      </c>
      <c r="MZ230" t="s">
        <v>1441</v>
      </c>
      <c r="NA230">
        <v>70</v>
      </c>
      <c r="NB230" t="s">
        <v>1442</v>
      </c>
      <c r="NC230" t="s">
        <v>168</v>
      </c>
      <c r="ND230" s="4" t="s">
        <v>10</v>
      </c>
      <c r="NJ230" t="s">
        <v>1445</v>
      </c>
      <c r="NK230" t="s">
        <v>1406</v>
      </c>
      <c r="NL230" t="s">
        <v>1407</v>
      </c>
      <c r="NM230" s="4" t="s">
        <v>266</v>
      </c>
      <c r="NN230" s="6" t="s">
        <v>265</v>
      </c>
      <c r="NV230" t="s">
        <v>1447</v>
      </c>
      <c r="NW230" t="s">
        <v>6</v>
      </c>
      <c r="NX230">
        <v>3658</v>
      </c>
      <c r="NY230" t="s">
        <v>1446</v>
      </c>
      <c r="NZ230">
        <v>890</v>
      </c>
      <c r="OC230" s="15">
        <v>3</v>
      </c>
      <c r="OT230" t="s">
        <v>1410</v>
      </c>
      <c r="OU230" t="s">
        <v>6</v>
      </c>
      <c r="OW230">
        <v>2015</v>
      </c>
      <c r="OX230">
        <v>2016</v>
      </c>
      <c r="PA230" t="s">
        <v>1169</v>
      </c>
      <c r="PB230" s="58">
        <v>46104</v>
      </c>
    </row>
    <row r="231" spans="1:418" ht="15.75" thickBot="1">
      <c r="A231" t="s">
        <v>248</v>
      </c>
      <c r="B231" t="s">
        <v>1403</v>
      </c>
      <c r="C231" t="s">
        <v>1404</v>
      </c>
      <c r="D231" s="67" t="s">
        <v>245</v>
      </c>
      <c r="E231" t="s">
        <v>1409</v>
      </c>
      <c r="F231" s="4" t="s">
        <v>1417</v>
      </c>
      <c r="G231" t="s">
        <v>2</v>
      </c>
      <c r="H231" t="s">
        <v>30</v>
      </c>
      <c r="I231">
        <v>7.306944444</v>
      </c>
      <c r="J231">
        <v>38.012222219999998</v>
      </c>
      <c r="K231" t="s">
        <v>29</v>
      </c>
      <c r="AV231" t="s">
        <v>1418</v>
      </c>
      <c r="AW231">
        <v>420</v>
      </c>
      <c r="AX231">
        <v>1.5</v>
      </c>
      <c r="AY231">
        <v>1</v>
      </c>
      <c r="AZ231" t="s">
        <v>836</v>
      </c>
      <c r="BA231">
        <v>2015</v>
      </c>
      <c r="BB231">
        <v>2016</v>
      </c>
      <c r="BD231" t="s">
        <v>238</v>
      </c>
      <c r="BE231" t="s">
        <v>1424</v>
      </c>
      <c r="BF231" t="s">
        <v>64</v>
      </c>
      <c r="BG231" s="3" t="s">
        <v>1233</v>
      </c>
      <c r="BH231" t="s">
        <v>23</v>
      </c>
      <c r="BI231" t="s">
        <v>29</v>
      </c>
      <c r="BJ231" t="s">
        <v>22</v>
      </c>
      <c r="BK231">
        <v>53333</v>
      </c>
      <c r="BL231" t="s">
        <v>56</v>
      </c>
      <c r="BM231" t="s">
        <v>1426</v>
      </c>
      <c r="BN231" t="s">
        <v>29</v>
      </c>
      <c r="BO231" t="s">
        <v>22</v>
      </c>
      <c r="BP231">
        <v>266666</v>
      </c>
      <c r="EH231" s="9"/>
      <c r="EI231" s="9"/>
      <c r="EJ231" s="9"/>
      <c r="EK231" s="9"/>
      <c r="EL231" s="9"/>
      <c r="EM231" s="9"/>
      <c r="EN231" s="9"/>
      <c r="EO231" s="9"/>
      <c r="EP231" s="9"/>
      <c r="EQ231" s="9"/>
      <c r="ER231" s="9"/>
      <c r="ES231" s="9"/>
      <c r="ET231" s="9"/>
      <c r="EU231" s="9"/>
      <c r="EV231" s="9"/>
      <c r="EW231" s="9"/>
      <c r="EX231" s="9"/>
      <c r="EY231" s="9"/>
      <c r="EZ231" s="9"/>
      <c r="FA231" s="9"/>
      <c r="FB231" s="9"/>
      <c r="FC231" s="9"/>
      <c r="FD231" s="9"/>
      <c r="FE231" s="9"/>
      <c r="FF231" s="9"/>
      <c r="FG231" s="9"/>
      <c r="FH231" s="9"/>
      <c r="FI231" s="9"/>
      <c r="FJ231" s="9"/>
      <c r="FK231" s="9"/>
      <c r="FL231" s="9"/>
      <c r="FM231" s="9"/>
      <c r="FN231" s="9"/>
      <c r="FO231" s="9"/>
      <c r="FP231" s="9"/>
      <c r="FQ231" s="9"/>
      <c r="FR231" s="9"/>
      <c r="FS231" s="9"/>
      <c r="FT231" s="9"/>
      <c r="FU231" s="9"/>
      <c r="FV231" s="9"/>
      <c r="FW231" s="9"/>
      <c r="FX231" s="9"/>
      <c r="FY231" s="9"/>
      <c r="FZ231" s="9"/>
      <c r="GA231" s="9"/>
      <c r="GB231" s="9"/>
      <c r="GC231" s="9"/>
      <c r="GD231" s="9"/>
      <c r="GE231" s="9"/>
      <c r="GF231" s="9"/>
      <c r="GG231" s="9"/>
      <c r="GH231" s="9"/>
      <c r="GI231" s="9"/>
      <c r="GJ231" s="9"/>
      <c r="GK231" s="9"/>
      <c r="GL231" s="9"/>
      <c r="GM231" s="9"/>
      <c r="GN231" s="9"/>
      <c r="GO231" s="9"/>
      <c r="GP231" s="9"/>
      <c r="GQ231" s="9"/>
      <c r="GR231" s="9"/>
      <c r="GS231" s="9"/>
      <c r="GT231" s="9"/>
      <c r="GU231" s="9"/>
      <c r="GV231" s="9"/>
      <c r="GW231" s="9"/>
      <c r="GX231" s="9"/>
      <c r="GY231" s="9"/>
      <c r="GZ231" s="9"/>
      <c r="HA231" s="9"/>
      <c r="HB231" s="9"/>
      <c r="HC231" s="9"/>
      <c r="HD231" s="9"/>
      <c r="HE231" s="9"/>
      <c r="HF231" s="9"/>
      <c r="HG231" s="9"/>
      <c r="HH231" s="9"/>
      <c r="HI231" s="9"/>
      <c r="HJ231" s="9"/>
      <c r="HK231" s="9"/>
      <c r="HW231" s="58"/>
      <c r="HX231" s="58"/>
      <c r="II231" t="s">
        <v>1432</v>
      </c>
      <c r="IJ231" s="84" t="s">
        <v>1443</v>
      </c>
      <c r="IK231" t="s">
        <v>660</v>
      </c>
      <c r="IL231" t="s">
        <v>661</v>
      </c>
      <c r="IM231" t="s">
        <v>29</v>
      </c>
      <c r="IN231" t="s">
        <v>29</v>
      </c>
      <c r="IO231" t="s">
        <v>29</v>
      </c>
      <c r="JK231" t="s">
        <v>1431</v>
      </c>
      <c r="JL231" t="s">
        <v>1430</v>
      </c>
      <c r="JM231" t="s">
        <v>14</v>
      </c>
      <c r="JN231" t="s">
        <v>1436</v>
      </c>
      <c r="JO231" s="4" t="s">
        <v>13</v>
      </c>
      <c r="JP231" t="s">
        <v>1438</v>
      </c>
      <c r="MZ231" t="s">
        <v>1441</v>
      </c>
      <c r="NA231">
        <v>70</v>
      </c>
      <c r="NB231" t="s">
        <v>1442</v>
      </c>
      <c r="NC231" t="s">
        <v>168</v>
      </c>
      <c r="ND231" s="4" t="s">
        <v>10</v>
      </c>
      <c r="NE231" t="s">
        <v>1426</v>
      </c>
      <c r="NJ231" t="s">
        <v>1445</v>
      </c>
      <c r="NK231" t="s">
        <v>1406</v>
      </c>
      <c r="NL231" t="s">
        <v>1407</v>
      </c>
      <c r="NM231" s="4" t="s">
        <v>266</v>
      </c>
      <c r="NN231" s="6" t="s">
        <v>265</v>
      </c>
      <c r="NW231" t="s">
        <v>6</v>
      </c>
      <c r="NX231">
        <v>5684</v>
      </c>
      <c r="NY231" t="s">
        <v>1446</v>
      </c>
      <c r="NZ231">
        <v>452</v>
      </c>
      <c r="OC231" s="15">
        <v>3</v>
      </c>
      <c r="OT231" t="s">
        <v>1410</v>
      </c>
      <c r="OU231" t="s">
        <v>6</v>
      </c>
      <c r="OW231">
        <v>2015</v>
      </c>
      <c r="OX231">
        <v>2016</v>
      </c>
      <c r="PA231" t="s">
        <v>1169</v>
      </c>
      <c r="PB231" s="58">
        <v>46104</v>
      </c>
    </row>
    <row r="232" spans="1:418" ht="15.75" thickBot="1">
      <c r="A232" t="s">
        <v>248</v>
      </c>
      <c r="B232" t="s">
        <v>1403</v>
      </c>
      <c r="C232" t="s">
        <v>1404</v>
      </c>
      <c r="D232" s="67" t="s">
        <v>245</v>
      </c>
      <c r="E232" t="s">
        <v>1409</v>
      </c>
      <c r="F232" s="4" t="s">
        <v>1417</v>
      </c>
      <c r="G232" t="s">
        <v>2</v>
      </c>
      <c r="H232" t="s">
        <v>30</v>
      </c>
      <c r="I232">
        <v>7.306944444</v>
      </c>
      <c r="J232">
        <v>38.012222219999998</v>
      </c>
      <c r="K232" t="s">
        <v>29</v>
      </c>
      <c r="AV232" t="s">
        <v>1418</v>
      </c>
      <c r="AW232">
        <v>420</v>
      </c>
      <c r="AX232">
        <v>1.5</v>
      </c>
      <c r="AY232">
        <v>1</v>
      </c>
      <c r="AZ232" t="s">
        <v>836</v>
      </c>
      <c r="BA232">
        <v>2015</v>
      </c>
      <c r="BB232">
        <v>2016</v>
      </c>
      <c r="BD232" t="s">
        <v>238</v>
      </c>
      <c r="BE232" t="s">
        <v>1425</v>
      </c>
      <c r="BF232" t="s">
        <v>57</v>
      </c>
      <c r="BG232" s="3" t="s">
        <v>1233</v>
      </c>
      <c r="BH232" t="s">
        <v>23</v>
      </c>
      <c r="BI232" t="s">
        <v>29</v>
      </c>
      <c r="BJ232" t="s">
        <v>22</v>
      </c>
      <c r="BK232">
        <v>53333</v>
      </c>
      <c r="BL232" t="s">
        <v>56</v>
      </c>
      <c r="BM232" t="s">
        <v>1414</v>
      </c>
      <c r="BN232" t="s">
        <v>29</v>
      </c>
      <c r="BO232" t="s">
        <v>22</v>
      </c>
      <c r="BP232">
        <v>66666</v>
      </c>
      <c r="EH232" s="9"/>
      <c r="EI232" s="9"/>
      <c r="EJ232" s="9"/>
      <c r="EK232" s="9"/>
      <c r="EL232" s="9"/>
      <c r="EM232" s="9"/>
      <c r="EN232" s="9"/>
      <c r="EO232" s="9"/>
      <c r="EP232" s="9"/>
      <c r="EQ232" s="9"/>
      <c r="ER232" s="9"/>
      <c r="ES232" s="9"/>
      <c r="ET232" s="9"/>
      <c r="EU232" s="9"/>
      <c r="EV232" s="9"/>
      <c r="EW232" s="9"/>
      <c r="EX232" s="9"/>
      <c r="EY232" s="9"/>
      <c r="EZ232" s="9"/>
      <c r="FA232" s="9"/>
      <c r="FB232" s="9"/>
      <c r="FC232" s="9"/>
      <c r="FD232" s="9"/>
      <c r="FE232" s="9"/>
      <c r="FF232" s="9"/>
      <c r="FG232" s="9"/>
      <c r="FH232" s="9"/>
      <c r="FI232" s="9"/>
      <c r="FJ232" s="9"/>
      <c r="FK232" s="9"/>
      <c r="FL232" s="9"/>
      <c r="FM232" s="9"/>
      <c r="FN232" s="9"/>
      <c r="FO232" s="9"/>
      <c r="FP232" s="9"/>
      <c r="FQ232" s="9"/>
      <c r="FR232" s="9"/>
      <c r="FS232" s="9"/>
      <c r="FT232" s="9"/>
      <c r="FU232" s="9"/>
      <c r="FV232" s="9"/>
      <c r="FW232" s="9"/>
      <c r="FX232" s="9"/>
      <c r="FY232" s="9"/>
      <c r="FZ232" s="9"/>
      <c r="GA232" s="9"/>
      <c r="GB232" s="9"/>
      <c r="GC232" s="9"/>
      <c r="GD232" s="9"/>
      <c r="GE232" s="9"/>
      <c r="GF232" s="9"/>
      <c r="GG232" s="9"/>
      <c r="GH232" s="9"/>
      <c r="GI232" s="9"/>
      <c r="GJ232" s="9"/>
      <c r="GK232" s="9"/>
      <c r="GL232" s="9"/>
      <c r="GM232" s="9"/>
      <c r="GN232" s="9"/>
      <c r="GO232" s="9"/>
      <c r="GP232" s="9"/>
      <c r="GQ232" s="9"/>
      <c r="GR232" s="9"/>
      <c r="GS232" s="9"/>
      <c r="GT232" s="9"/>
      <c r="GU232" s="9"/>
      <c r="GV232" s="9"/>
      <c r="GW232" s="9"/>
      <c r="GX232" s="9"/>
      <c r="GY232" s="9"/>
      <c r="GZ232" s="9"/>
      <c r="HA232" s="9"/>
      <c r="HB232" s="9"/>
      <c r="HC232" s="9"/>
      <c r="HD232" s="9"/>
      <c r="HE232" s="9"/>
      <c r="HF232" s="9"/>
      <c r="HG232" s="9"/>
      <c r="HH232" s="9"/>
      <c r="HI232" s="9"/>
      <c r="HJ232" s="9"/>
      <c r="HK232" s="9"/>
      <c r="HW232" s="58"/>
      <c r="HX232" s="58"/>
      <c r="II232" t="s">
        <v>1433</v>
      </c>
      <c r="IJ232" s="84" t="s">
        <v>1443</v>
      </c>
      <c r="IK232" t="s">
        <v>660</v>
      </c>
      <c r="IL232" t="s">
        <v>661</v>
      </c>
      <c r="IM232" t="s">
        <v>29</v>
      </c>
      <c r="IN232" t="s">
        <v>29</v>
      </c>
      <c r="IO232" t="s">
        <v>29</v>
      </c>
      <c r="JK232" t="s">
        <v>1434</v>
      </c>
      <c r="JL232" t="s">
        <v>1430</v>
      </c>
      <c r="JM232" t="s">
        <v>14</v>
      </c>
      <c r="JN232" t="s">
        <v>1436</v>
      </c>
      <c r="JO232" s="4" t="s">
        <v>13</v>
      </c>
      <c r="JP232" t="s">
        <v>1438</v>
      </c>
      <c r="MZ232" t="s">
        <v>1441</v>
      </c>
      <c r="NA232">
        <v>70</v>
      </c>
      <c r="NB232" t="s">
        <v>1442</v>
      </c>
      <c r="NC232" t="s">
        <v>168</v>
      </c>
      <c r="ND232" s="4" t="s">
        <v>10</v>
      </c>
      <c r="NE232" t="s">
        <v>1444</v>
      </c>
      <c r="NJ232" t="s">
        <v>1445</v>
      </c>
      <c r="NK232" t="s">
        <v>1406</v>
      </c>
      <c r="NL232" t="s">
        <v>1407</v>
      </c>
      <c r="NM232" s="4" t="s">
        <v>266</v>
      </c>
      <c r="NN232" s="6" t="s">
        <v>265</v>
      </c>
      <c r="NW232" t="s">
        <v>6</v>
      </c>
      <c r="NX232">
        <v>4543</v>
      </c>
      <c r="NY232" t="s">
        <v>1446</v>
      </c>
      <c r="NZ232">
        <v>929</v>
      </c>
      <c r="OC232" s="15">
        <v>3</v>
      </c>
      <c r="OT232" t="s">
        <v>1410</v>
      </c>
      <c r="OU232" t="s">
        <v>6</v>
      </c>
      <c r="OW232">
        <v>2015</v>
      </c>
      <c r="OX232">
        <v>2016</v>
      </c>
      <c r="PA232" t="s">
        <v>1169</v>
      </c>
      <c r="PB232" s="58">
        <v>46104</v>
      </c>
    </row>
    <row r="233" spans="1:418" ht="15.75" thickBot="1">
      <c r="A233" t="s">
        <v>248</v>
      </c>
      <c r="B233" t="s">
        <v>1403</v>
      </c>
      <c r="C233" t="s">
        <v>1404</v>
      </c>
      <c r="D233" s="67" t="s">
        <v>245</v>
      </c>
      <c r="E233" t="s">
        <v>1409</v>
      </c>
      <c r="F233" s="4" t="s">
        <v>1417</v>
      </c>
      <c r="G233" t="s">
        <v>2</v>
      </c>
      <c r="H233" t="s">
        <v>30</v>
      </c>
      <c r="I233">
        <v>7.306944444</v>
      </c>
      <c r="J233">
        <v>38.012222219999998</v>
      </c>
      <c r="K233" t="s">
        <v>29</v>
      </c>
      <c r="AV233" t="s">
        <v>1418</v>
      </c>
      <c r="AW233">
        <v>420</v>
      </c>
      <c r="AX233">
        <v>1.5</v>
      </c>
      <c r="AY233">
        <v>1</v>
      </c>
      <c r="AZ233" t="s">
        <v>836</v>
      </c>
      <c r="BA233">
        <v>2015</v>
      </c>
      <c r="BB233">
        <v>2016</v>
      </c>
      <c r="BD233" t="s">
        <v>19</v>
      </c>
      <c r="BE233" t="s">
        <v>1423</v>
      </c>
      <c r="BF233" t="s">
        <v>256</v>
      </c>
      <c r="BG233" s="3" t="s">
        <v>1233</v>
      </c>
      <c r="BH233" t="s">
        <v>23</v>
      </c>
      <c r="BI233" t="s">
        <v>29</v>
      </c>
      <c r="BJ233" t="s">
        <v>22</v>
      </c>
      <c r="BK233">
        <v>53333</v>
      </c>
      <c r="HR233" t="s">
        <v>1439</v>
      </c>
      <c r="II233" t="s">
        <v>255</v>
      </c>
      <c r="IJ233" t="s">
        <v>19</v>
      </c>
      <c r="JK233" t="s">
        <v>1435</v>
      </c>
      <c r="JL233" t="s">
        <v>1430</v>
      </c>
      <c r="JM233" t="s">
        <v>14</v>
      </c>
      <c r="JN233" s="8" t="s">
        <v>1436</v>
      </c>
      <c r="JO233" s="4" t="s">
        <v>13</v>
      </c>
      <c r="JP233" t="s">
        <v>1438</v>
      </c>
      <c r="MZ233" t="s">
        <v>1441</v>
      </c>
      <c r="NA233">
        <v>70</v>
      </c>
      <c r="NB233" t="s">
        <v>1442</v>
      </c>
      <c r="NC233" t="s">
        <v>168</v>
      </c>
      <c r="ND233" s="4" t="s">
        <v>10</v>
      </c>
      <c r="NJ233" t="s">
        <v>1445</v>
      </c>
      <c r="NK233" t="s">
        <v>1406</v>
      </c>
      <c r="NL233" t="s">
        <v>1407</v>
      </c>
      <c r="NM233" s="4" t="s">
        <v>266</v>
      </c>
      <c r="NN233" s="6" t="s">
        <v>265</v>
      </c>
      <c r="NV233" t="s">
        <v>745</v>
      </c>
      <c r="NW233" t="s">
        <v>6</v>
      </c>
      <c r="NX233">
        <v>4028</v>
      </c>
      <c r="NY233" t="s">
        <v>1446</v>
      </c>
      <c r="NZ233">
        <v>1284</v>
      </c>
      <c r="OC233" s="15">
        <v>3</v>
      </c>
      <c r="OT233" t="s">
        <v>1410</v>
      </c>
      <c r="OU233" t="s">
        <v>6</v>
      </c>
      <c r="OW233">
        <v>2015</v>
      </c>
      <c r="OX233">
        <v>2016</v>
      </c>
      <c r="PA233" t="s">
        <v>1169</v>
      </c>
      <c r="PB233" s="58">
        <v>46104</v>
      </c>
    </row>
    <row r="234" spans="1:418" ht="15.75" thickBot="1">
      <c r="A234" t="s">
        <v>248</v>
      </c>
      <c r="B234" t="s">
        <v>1403</v>
      </c>
      <c r="C234" t="s">
        <v>1404</v>
      </c>
      <c r="D234" s="67" t="s">
        <v>245</v>
      </c>
      <c r="E234" t="s">
        <v>1411</v>
      </c>
      <c r="F234" s="4" t="s">
        <v>1417</v>
      </c>
      <c r="G234" t="s">
        <v>2</v>
      </c>
      <c r="H234" t="s">
        <v>30</v>
      </c>
      <c r="I234">
        <v>6.7519444440000003</v>
      </c>
      <c r="J234">
        <v>38.33361111</v>
      </c>
      <c r="K234" t="s">
        <v>29</v>
      </c>
      <c r="AV234" t="s">
        <v>1418</v>
      </c>
      <c r="AW234">
        <v>420</v>
      </c>
      <c r="AX234">
        <v>0.18</v>
      </c>
      <c r="AY234">
        <v>1</v>
      </c>
      <c r="AZ234" t="s">
        <v>836</v>
      </c>
      <c r="BA234">
        <v>2015</v>
      </c>
      <c r="BB234">
        <v>2016</v>
      </c>
      <c r="BD234" t="s">
        <v>19</v>
      </c>
      <c r="BE234" t="s">
        <v>1420</v>
      </c>
      <c r="BF234" t="s">
        <v>39</v>
      </c>
      <c r="BG234" s="3" t="s">
        <v>1233</v>
      </c>
      <c r="BH234" t="s">
        <v>23</v>
      </c>
      <c r="BI234" t="s">
        <v>29</v>
      </c>
      <c r="BJ234" s="4" t="s">
        <v>22</v>
      </c>
      <c r="BK234">
        <v>53333</v>
      </c>
      <c r="II234" t="s">
        <v>255</v>
      </c>
      <c r="IJ234" t="s">
        <v>19</v>
      </c>
      <c r="JK234" t="s">
        <v>1419</v>
      </c>
      <c r="JL234" s="84" t="s">
        <v>1427</v>
      </c>
      <c r="JM234" s="8" t="s">
        <v>14</v>
      </c>
      <c r="JN234" s="8" t="s">
        <v>1436</v>
      </c>
      <c r="JO234" s="4" t="s">
        <v>13</v>
      </c>
      <c r="JP234" t="s">
        <v>1437</v>
      </c>
      <c r="MZ234" t="s">
        <v>1441</v>
      </c>
      <c r="NA234">
        <v>70</v>
      </c>
      <c r="NB234" t="s">
        <v>1442</v>
      </c>
      <c r="NC234" t="s">
        <v>168</v>
      </c>
      <c r="ND234" s="4" t="s">
        <v>10</v>
      </c>
      <c r="NJ234" t="s">
        <v>1445</v>
      </c>
      <c r="NK234" t="s">
        <v>1406</v>
      </c>
      <c r="NL234" t="s">
        <v>1407</v>
      </c>
      <c r="NM234" s="4" t="s">
        <v>266</v>
      </c>
      <c r="NN234" s="6" t="s">
        <v>265</v>
      </c>
      <c r="NV234" t="s">
        <v>1447</v>
      </c>
      <c r="NW234" t="s">
        <v>6</v>
      </c>
      <c r="NX234">
        <v>3253</v>
      </c>
      <c r="NY234" t="s">
        <v>1446</v>
      </c>
      <c r="NZ234">
        <v>976</v>
      </c>
      <c r="OC234" s="15">
        <v>3</v>
      </c>
      <c r="OT234" t="s">
        <v>1412</v>
      </c>
      <c r="OU234" t="s">
        <v>6</v>
      </c>
      <c r="OW234">
        <v>2015</v>
      </c>
      <c r="OX234">
        <v>2016</v>
      </c>
      <c r="PA234" t="s">
        <v>1169</v>
      </c>
      <c r="PB234" s="58">
        <v>46104</v>
      </c>
    </row>
    <row r="235" spans="1:418" ht="15.75" thickBot="1">
      <c r="A235" t="s">
        <v>248</v>
      </c>
      <c r="B235" t="s">
        <v>1403</v>
      </c>
      <c r="C235" t="s">
        <v>1404</v>
      </c>
      <c r="D235" s="67" t="s">
        <v>245</v>
      </c>
      <c r="E235" t="s">
        <v>1411</v>
      </c>
      <c r="F235" s="4" t="s">
        <v>1417</v>
      </c>
      <c r="G235" t="s">
        <v>2</v>
      </c>
      <c r="H235" t="s">
        <v>30</v>
      </c>
      <c r="I235">
        <v>6.7519444440000003</v>
      </c>
      <c r="J235">
        <v>38.33361111</v>
      </c>
      <c r="K235" t="s">
        <v>29</v>
      </c>
      <c r="AV235" t="s">
        <v>1418</v>
      </c>
      <c r="AW235">
        <v>420</v>
      </c>
      <c r="AX235">
        <v>0.18</v>
      </c>
      <c r="AY235">
        <v>1</v>
      </c>
      <c r="AZ235" t="s">
        <v>836</v>
      </c>
      <c r="BA235">
        <v>2015</v>
      </c>
      <c r="BB235">
        <v>2016</v>
      </c>
      <c r="BD235" t="s">
        <v>19</v>
      </c>
      <c r="BE235" t="s">
        <v>1421</v>
      </c>
      <c r="BF235" t="s">
        <v>24</v>
      </c>
      <c r="BG235" s="3" t="s">
        <v>1233</v>
      </c>
      <c r="BH235" t="s">
        <v>23</v>
      </c>
      <c r="BI235" t="s">
        <v>29</v>
      </c>
      <c r="BJ235" t="s">
        <v>22</v>
      </c>
      <c r="BK235">
        <v>53333</v>
      </c>
      <c r="II235" t="s">
        <v>255</v>
      </c>
      <c r="IJ235" t="s">
        <v>19</v>
      </c>
      <c r="JK235" t="s">
        <v>1428</v>
      </c>
      <c r="JL235" s="54" t="s">
        <v>1430</v>
      </c>
      <c r="JM235" t="s">
        <v>14</v>
      </c>
      <c r="JN235" s="8" t="s">
        <v>1436</v>
      </c>
      <c r="JO235" s="4" t="s">
        <v>13</v>
      </c>
      <c r="JP235" t="s">
        <v>1438</v>
      </c>
      <c r="MZ235" t="s">
        <v>1441</v>
      </c>
      <c r="NA235">
        <v>70</v>
      </c>
      <c r="NB235" t="s">
        <v>1442</v>
      </c>
      <c r="NC235" t="s">
        <v>168</v>
      </c>
      <c r="ND235" s="4" t="s">
        <v>10</v>
      </c>
      <c r="NJ235" t="s">
        <v>1445</v>
      </c>
      <c r="NK235" t="s">
        <v>1406</v>
      </c>
      <c r="NL235" t="s">
        <v>1407</v>
      </c>
      <c r="NM235" s="4" t="s">
        <v>266</v>
      </c>
      <c r="NN235" s="6" t="s">
        <v>265</v>
      </c>
      <c r="NV235" t="s">
        <v>745</v>
      </c>
      <c r="NW235" t="s">
        <v>6</v>
      </c>
      <c r="NX235">
        <v>3599</v>
      </c>
      <c r="NY235" t="s">
        <v>1446</v>
      </c>
      <c r="NZ235">
        <v>679</v>
      </c>
      <c r="OC235" s="15">
        <v>3</v>
      </c>
      <c r="OT235" t="s">
        <v>1412</v>
      </c>
      <c r="OU235" t="s">
        <v>6</v>
      </c>
      <c r="OW235">
        <v>2015</v>
      </c>
      <c r="OX235">
        <v>2016</v>
      </c>
      <c r="PA235" t="s">
        <v>1169</v>
      </c>
      <c r="PB235" s="58">
        <v>46104</v>
      </c>
    </row>
    <row r="236" spans="1:418" ht="15.75" thickBot="1">
      <c r="A236" t="s">
        <v>248</v>
      </c>
      <c r="B236" t="s">
        <v>1403</v>
      </c>
      <c r="C236" t="s">
        <v>1404</v>
      </c>
      <c r="D236" s="67" t="s">
        <v>245</v>
      </c>
      <c r="E236" t="s">
        <v>1411</v>
      </c>
      <c r="F236" s="4" t="s">
        <v>1417</v>
      </c>
      <c r="G236" t="s">
        <v>2</v>
      </c>
      <c r="H236" t="s">
        <v>30</v>
      </c>
      <c r="I236">
        <v>6.7519444440000003</v>
      </c>
      <c r="J236">
        <v>38.33361111</v>
      </c>
      <c r="K236" t="s">
        <v>29</v>
      </c>
      <c r="AV236" t="s">
        <v>1418</v>
      </c>
      <c r="AW236">
        <v>420</v>
      </c>
      <c r="AX236">
        <v>0.18</v>
      </c>
      <c r="AY236">
        <v>1</v>
      </c>
      <c r="AZ236" t="s">
        <v>836</v>
      </c>
      <c r="BA236">
        <v>2015</v>
      </c>
      <c r="BB236">
        <v>2016</v>
      </c>
      <c r="BD236" t="s">
        <v>19</v>
      </c>
      <c r="BE236" t="s">
        <v>1422</v>
      </c>
      <c r="BF236" t="s">
        <v>299</v>
      </c>
      <c r="BG236" s="3" t="s">
        <v>1233</v>
      </c>
      <c r="BH236" t="s">
        <v>23</v>
      </c>
      <c r="BI236" t="s">
        <v>29</v>
      </c>
      <c r="BJ236" t="s">
        <v>22</v>
      </c>
      <c r="BK236">
        <v>53333</v>
      </c>
      <c r="HR236" t="s">
        <v>1439</v>
      </c>
      <c r="II236" t="s">
        <v>255</v>
      </c>
      <c r="IJ236" t="s">
        <v>19</v>
      </c>
      <c r="JK236" t="s">
        <v>1429</v>
      </c>
      <c r="JL236" s="84" t="s">
        <v>1427</v>
      </c>
      <c r="JM236" t="s">
        <v>14</v>
      </c>
      <c r="JN236" t="s">
        <v>1436</v>
      </c>
      <c r="JO236" s="4" t="s">
        <v>13</v>
      </c>
      <c r="JP236" t="s">
        <v>1437</v>
      </c>
      <c r="KW236" t="s">
        <v>1440</v>
      </c>
      <c r="MZ236" t="s">
        <v>1441</v>
      </c>
      <c r="NA236">
        <v>70</v>
      </c>
      <c r="NB236" t="s">
        <v>1442</v>
      </c>
      <c r="NC236" t="s">
        <v>168</v>
      </c>
      <c r="ND236" s="4" t="s">
        <v>10</v>
      </c>
      <c r="NJ236" t="s">
        <v>1445</v>
      </c>
      <c r="NK236" t="s">
        <v>1406</v>
      </c>
      <c r="NL236" t="s">
        <v>1407</v>
      </c>
      <c r="NM236" s="4" t="s">
        <v>266</v>
      </c>
      <c r="NN236" s="6" t="s">
        <v>265</v>
      </c>
      <c r="NV236" t="s">
        <v>1447</v>
      </c>
      <c r="NW236" t="s">
        <v>6</v>
      </c>
      <c r="NX236">
        <v>4035</v>
      </c>
      <c r="NY236" t="s">
        <v>1446</v>
      </c>
      <c r="NZ236">
        <v>220</v>
      </c>
      <c r="OC236" s="15">
        <v>3</v>
      </c>
      <c r="OT236" t="s">
        <v>1412</v>
      </c>
      <c r="OU236" t="s">
        <v>6</v>
      </c>
      <c r="OW236">
        <v>2015</v>
      </c>
      <c r="OX236">
        <v>2016</v>
      </c>
      <c r="PA236" t="s">
        <v>1169</v>
      </c>
      <c r="PB236" s="58">
        <v>46104</v>
      </c>
    </row>
    <row r="237" spans="1:418" ht="15.75" thickBot="1">
      <c r="A237" t="s">
        <v>248</v>
      </c>
      <c r="B237" t="s">
        <v>1403</v>
      </c>
      <c r="C237" t="s">
        <v>1404</v>
      </c>
      <c r="D237" s="67" t="s">
        <v>245</v>
      </c>
      <c r="E237" t="s">
        <v>1411</v>
      </c>
      <c r="F237" s="4" t="s">
        <v>1417</v>
      </c>
      <c r="G237" t="s">
        <v>2</v>
      </c>
      <c r="H237" t="s">
        <v>30</v>
      </c>
      <c r="I237">
        <v>6.7519444440000003</v>
      </c>
      <c r="J237">
        <v>38.33361111</v>
      </c>
      <c r="K237" t="s">
        <v>29</v>
      </c>
      <c r="AV237" t="s">
        <v>1418</v>
      </c>
      <c r="AW237">
        <v>420</v>
      </c>
      <c r="AX237">
        <v>0.18</v>
      </c>
      <c r="AY237">
        <v>1</v>
      </c>
      <c r="AZ237" t="s">
        <v>836</v>
      </c>
      <c r="BA237">
        <v>2015</v>
      </c>
      <c r="BB237">
        <v>2016</v>
      </c>
      <c r="BD237" t="s">
        <v>238</v>
      </c>
      <c r="BE237" t="s">
        <v>1424</v>
      </c>
      <c r="BF237" t="s">
        <v>64</v>
      </c>
      <c r="BG237" s="3" t="s">
        <v>1233</v>
      </c>
      <c r="BH237" t="s">
        <v>23</v>
      </c>
      <c r="BI237" t="s">
        <v>29</v>
      </c>
      <c r="BJ237" t="s">
        <v>22</v>
      </c>
      <c r="BK237">
        <v>53333</v>
      </c>
      <c r="BL237" t="s">
        <v>56</v>
      </c>
      <c r="BM237" t="s">
        <v>1426</v>
      </c>
      <c r="BN237" t="s">
        <v>29</v>
      </c>
      <c r="BO237" t="s">
        <v>22</v>
      </c>
      <c r="BP237">
        <v>266666</v>
      </c>
      <c r="EH237" s="9"/>
      <c r="EI237" s="9"/>
      <c r="EJ237" s="9"/>
      <c r="EK237" s="9"/>
      <c r="EL237" s="9"/>
      <c r="EM237" s="9"/>
      <c r="EN237" s="9"/>
      <c r="EO237" s="9"/>
      <c r="EP237" s="9"/>
      <c r="EQ237" s="9"/>
      <c r="ER237" s="9"/>
      <c r="ES237" s="9"/>
      <c r="ET237" s="9"/>
      <c r="EU237" s="9"/>
      <c r="EV237" s="9"/>
      <c r="EW237" s="9"/>
      <c r="EX237" s="9"/>
      <c r="EY237" s="9"/>
      <c r="EZ237" s="9"/>
      <c r="FA237" s="9"/>
      <c r="FB237" s="9"/>
      <c r="FC237" s="9"/>
      <c r="FD237" s="9"/>
      <c r="FE237" s="9"/>
      <c r="FF237" s="9"/>
      <c r="FG237" s="9"/>
      <c r="FH237" s="9"/>
      <c r="FI237" s="9"/>
      <c r="FJ237" s="9"/>
      <c r="FK237" s="9"/>
      <c r="FL237" s="9"/>
      <c r="FM237" s="9"/>
      <c r="FN237" s="9"/>
      <c r="FO237" s="9"/>
      <c r="FP237" s="9"/>
      <c r="FQ237" s="9"/>
      <c r="FR237" s="9"/>
      <c r="FS237" s="9"/>
      <c r="FT237" s="9"/>
      <c r="FU237" s="9"/>
      <c r="FV237" s="9"/>
      <c r="FW237" s="9"/>
      <c r="FX237" s="9"/>
      <c r="FY237" s="9"/>
      <c r="FZ237" s="9"/>
      <c r="GA237" s="9"/>
      <c r="GB237" s="9"/>
      <c r="GC237" s="9"/>
      <c r="GD237" s="9"/>
      <c r="GE237" s="9"/>
      <c r="GF237" s="9"/>
      <c r="GG237" s="9"/>
      <c r="GH237" s="9"/>
      <c r="GI237" s="9"/>
      <c r="GJ237" s="9"/>
      <c r="GK237" s="9"/>
      <c r="GL237" s="9"/>
      <c r="GM237" s="9"/>
      <c r="GN237" s="9"/>
      <c r="GO237" s="9"/>
      <c r="GP237" s="9"/>
      <c r="GQ237" s="9"/>
      <c r="GR237" s="9"/>
      <c r="GS237" s="9"/>
      <c r="GT237" s="9"/>
      <c r="GU237" s="9"/>
      <c r="GV237" s="9"/>
      <c r="GW237" s="9"/>
      <c r="GX237" s="9"/>
      <c r="GY237" s="9"/>
      <c r="GZ237" s="9"/>
      <c r="HA237" s="9"/>
      <c r="HB237" s="9"/>
      <c r="HC237" s="9"/>
      <c r="HD237" s="9"/>
      <c r="HE237" s="9"/>
      <c r="HF237" s="9"/>
      <c r="HG237" s="9"/>
      <c r="HH237" s="9"/>
      <c r="HI237" s="9"/>
      <c r="HJ237" s="9"/>
      <c r="HK237" s="9"/>
      <c r="HW237" s="58"/>
      <c r="HX237" s="58"/>
      <c r="II237" t="s">
        <v>1432</v>
      </c>
      <c r="IJ237" s="84" t="s">
        <v>1443</v>
      </c>
      <c r="IK237" t="s">
        <v>660</v>
      </c>
      <c r="IL237" t="s">
        <v>661</v>
      </c>
      <c r="IM237" t="s">
        <v>29</v>
      </c>
      <c r="IN237" t="s">
        <v>29</v>
      </c>
      <c r="IO237" t="s">
        <v>29</v>
      </c>
      <c r="JK237" t="s">
        <v>1431</v>
      </c>
      <c r="JL237" t="s">
        <v>1430</v>
      </c>
      <c r="JM237" t="s">
        <v>14</v>
      </c>
      <c r="JN237" t="s">
        <v>1436</v>
      </c>
      <c r="JO237" s="4" t="s">
        <v>13</v>
      </c>
      <c r="JP237" t="s">
        <v>1438</v>
      </c>
      <c r="MZ237" t="s">
        <v>1441</v>
      </c>
      <c r="NA237">
        <v>70</v>
      </c>
      <c r="NB237" t="s">
        <v>1442</v>
      </c>
      <c r="NC237" t="s">
        <v>168</v>
      </c>
      <c r="ND237" s="4" t="s">
        <v>10</v>
      </c>
      <c r="NE237" t="s">
        <v>1426</v>
      </c>
      <c r="NJ237" t="s">
        <v>1445</v>
      </c>
      <c r="NK237" t="s">
        <v>1406</v>
      </c>
      <c r="NL237" t="s">
        <v>1407</v>
      </c>
      <c r="NM237" s="4" t="s">
        <v>266</v>
      </c>
      <c r="NN237" s="6" t="s">
        <v>265</v>
      </c>
      <c r="NW237" t="s">
        <v>6</v>
      </c>
      <c r="NX237">
        <v>4337</v>
      </c>
      <c r="NY237" t="s">
        <v>1446</v>
      </c>
      <c r="NZ237">
        <v>529</v>
      </c>
      <c r="OC237" s="15">
        <v>3</v>
      </c>
      <c r="OT237" t="s">
        <v>1412</v>
      </c>
      <c r="OU237" t="s">
        <v>6</v>
      </c>
      <c r="OW237">
        <v>2015</v>
      </c>
      <c r="OX237">
        <v>2016</v>
      </c>
      <c r="PA237" t="s">
        <v>1169</v>
      </c>
      <c r="PB237" s="58">
        <v>46104</v>
      </c>
    </row>
    <row r="238" spans="1:418" ht="15.75" thickBot="1">
      <c r="A238" t="s">
        <v>248</v>
      </c>
      <c r="B238" t="s">
        <v>1403</v>
      </c>
      <c r="C238" t="s">
        <v>1404</v>
      </c>
      <c r="D238" s="67" t="s">
        <v>245</v>
      </c>
      <c r="E238" t="s">
        <v>1411</v>
      </c>
      <c r="F238" s="4" t="s">
        <v>1417</v>
      </c>
      <c r="G238" t="s">
        <v>2</v>
      </c>
      <c r="H238" t="s">
        <v>30</v>
      </c>
      <c r="I238">
        <v>6.7519444440000003</v>
      </c>
      <c r="J238">
        <v>38.33361111</v>
      </c>
      <c r="K238" t="s">
        <v>29</v>
      </c>
      <c r="AV238" t="s">
        <v>1418</v>
      </c>
      <c r="AW238">
        <v>420</v>
      </c>
      <c r="AX238">
        <v>0.18</v>
      </c>
      <c r="AY238">
        <v>1</v>
      </c>
      <c r="AZ238" t="s">
        <v>836</v>
      </c>
      <c r="BA238">
        <v>2015</v>
      </c>
      <c r="BB238">
        <v>2016</v>
      </c>
      <c r="BD238" t="s">
        <v>238</v>
      </c>
      <c r="BE238" t="s">
        <v>1425</v>
      </c>
      <c r="BF238" t="s">
        <v>57</v>
      </c>
      <c r="BG238" s="3" t="s">
        <v>1233</v>
      </c>
      <c r="BH238" t="s">
        <v>23</v>
      </c>
      <c r="BI238" t="s">
        <v>29</v>
      </c>
      <c r="BJ238" t="s">
        <v>22</v>
      </c>
      <c r="BK238">
        <v>53333</v>
      </c>
      <c r="BL238" t="s">
        <v>56</v>
      </c>
      <c r="BM238" t="s">
        <v>1414</v>
      </c>
      <c r="BN238" t="s">
        <v>29</v>
      </c>
      <c r="BO238" t="s">
        <v>22</v>
      </c>
      <c r="BP238">
        <v>66666</v>
      </c>
      <c r="EH238" s="9"/>
      <c r="EI238" s="9"/>
      <c r="EJ238" s="9"/>
      <c r="EK238" s="9"/>
      <c r="EL238" s="9"/>
      <c r="EM238" s="9"/>
      <c r="EN238" s="9"/>
      <c r="EO238" s="9"/>
      <c r="EP238" s="9"/>
      <c r="EQ238" s="9"/>
      <c r="ER238" s="9"/>
      <c r="ES238" s="9"/>
      <c r="ET238" s="9"/>
      <c r="EU238" s="9"/>
      <c r="EV238" s="9"/>
      <c r="EW238" s="9"/>
      <c r="EX238" s="9"/>
      <c r="EY238" s="9"/>
      <c r="EZ238" s="9"/>
      <c r="FA238" s="9"/>
      <c r="FB238" s="9"/>
      <c r="FC238" s="9"/>
      <c r="FD238" s="9"/>
      <c r="FE238" s="9"/>
      <c r="FF238" s="9"/>
      <c r="FG238" s="9"/>
      <c r="FH238" s="9"/>
      <c r="FI238" s="9"/>
      <c r="FJ238" s="9"/>
      <c r="FK238" s="9"/>
      <c r="FL238" s="9"/>
      <c r="FM238" s="9"/>
      <c r="FN238" s="9"/>
      <c r="FO238" s="9"/>
      <c r="FP238" s="9"/>
      <c r="FQ238" s="9"/>
      <c r="FR238" s="9"/>
      <c r="FS238" s="9"/>
      <c r="FT238" s="9"/>
      <c r="FU238" s="9"/>
      <c r="FV238" s="9"/>
      <c r="FW238" s="9"/>
      <c r="FX238" s="9"/>
      <c r="FY238" s="9"/>
      <c r="FZ238" s="9"/>
      <c r="GA238" s="9"/>
      <c r="GB238" s="9"/>
      <c r="GC238" s="9"/>
      <c r="GD238" s="9"/>
      <c r="GE238" s="9"/>
      <c r="GF238" s="9"/>
      <c r="GG238" s="9"/>
      <c r="GH238" s="9"/>
      <c r="GI238" s="9"/>
      <c r="GJ238" s="9"/>
      <c r="GK238" s="9"/>
      <c r="GL238" s="9"/>
      <c r="GM238" s="9"/>
      <c r="GN238" s="9"/>
      <c r="GO238" s="9"/>
      <c r="GP238" s="9"/>
      <c r="GQ238" s="9"/>
      <c r="GR238" s="9"/>
      <c r="GS238" s="9"/>
      <c r="GT238" s="9"/>
      <c r="GU238" s="9"/>
      <c r="GV238" s="9"/>
      <c r="GW238" s="9"/>
      <c r="GX238" s="9"/>
      <c r="GY238" s="9"/>
      <c r="GZ238" s="9"/>
      <c r="HA238" s="9"/>
      <c r="HB238" s="9"/>
      <c r="HC238" s="9"/>
      <c r="HD238" s="9"/>
      <c r="HE238" s="9"/>
      <c r="HF238" s="9"/>
      <c r="HG238" s="9"/>
      <c r="HH238" s="9"/>
      <c r="HI238" s="9"/>
      <c r="HJ238" s="9"/>
      <c r="HK238" s="9"/>
      <c r="HW238" s="58"/>
      <c r="HX238" s="58"/>
      <c r="II238" t="s">
        <v>1433</v>
      </c>
      <c r="IJ238" s="84" t="s">
        <v>1443</v>
      </c>
      <c r="IK238" t="s">
        <v>660</v>
      </c>
      <c r="IL238" t="s">
        <v>661</v>
      </c>
      <c r="IM238" t="s">
        <v>29</v>
      </c>
      <c r="IN238" t="s">
        <v>29</v>
      </c>
      <c r="IO238" t="s">
        <v>29</v>
      </c>
      <c r="JK238" t="s">
        <v>1434</v>
      </c>
      <c r="JL238" t="s">
        <v>1430</v>
      </c>
      <c r="JM238" t="s">
        <v>14</v>
      </c>
      <c r="JN238" t="s">
        <v>1436</v>
      </c>
      <c r="JO238" s="4" t="s">
        <v>13</v>
      </c>
      <c r="JP238" t="s">
        <v>1438</v>
      </c>
      <c r="MZ238" t="s">
        <v>1441</v>
      </c>
      <c r="NA238">
        <v>70</v>
      </c>
      <c r="NB238" t="s">
        <v>1442</v>
      </c>
      <c r="NC238" t="s">
        <v>168</v>
      </c>
      <c r="ND238" s="4" t="s">
        <v>10</v>
      </c>
      <c r="NE238" t="s">
        <v>1444</v>
      </c>
      <c r="NJ238" t="s">
        <v>1445</v>
      </c>
      <c r="NK238" t="s">
        <v>1406</v>
      </c>
      <c r="NL238" t="s">
        <v>1407</v>
      </c>
      <c r="NM238" s="4" t="s">
        <v>266</v>
      </c>
      <c r="NN238" s="6" t="s">
        <v>265</v>
      </c>
      <c r="NW238" t="s">
        <v>6</v>
      </c>
      <c r="NX238">
        <v>3489</v>
      </c>
      <c r="NY238" t="s">
        <v>1446</v>
      </c>
      <c r="NZ238">
        <v>868</v>
      </c>
      <c r="OC238" s="15">
        <v>3</v>
      </c>
      <c r="OT238" t="s">
        <v>1412</v>
      </c>
      <c r="OU238" t="s">
        <v>6</v>
      </c>
      <c r="OW238">
        <v>2015</v>
      </c>
      <c r="OX238">
        <v>2016</v>
      </c>
      <c r="PA238" t="s">
        <v>1169</v>
      </c>
      <c r="PB238" s="58">
        <v>46104</v>
      </c>
    </row>
    <row r="239" spans="1:418" ht="15.75" thickBot="1">
      <c r="A239" t="s">
        <v>248</v>
      </c>
      <c r="B239" t="s">
        <v>1403</v>
      </c>
      <c r="C239" t="s">
        <v>1404</v>
      </c>
      <c r="D239" s="67" t="s">
        <v>245</v>
      </c>
      <c r="E239" t="s">
        <v>1411</v>
      </c>
      <c r="F239" s="4" t="s">
        <v>1417</v>
      </c>
      <c r="G239" t="s">
        <v>2</v>
      </c>
      <c r="H239" t="s">
        <v>30</v>
      </c>
      <c r="I239">
        <v>6.7519444440000003</v>
      </c>
      <c r="J239">
        <v>38.33361111</v>
      </c>
      <c r="K239" t="s">
        <v>29</v>
      </c>
      <c r="AV239" t="s">
        <v>1418</v>
      </c>
      <c r="AW239">
        <v>420</v>
      </c>
      <c r="AX239">
        <v>0.18</v>
      </c>
      <c r="AY239">
        <v>1</v>
      </c>
      <c r="AZ239" t="s">
        <v>836</v>
      </c>
      <c r="BA239">
        <v>2015</v>
      </c>
      <c r="BB239">
        <v>2016</v>
      </c>
      <c r="BD239" t="s">
        <v>19</v>
      </c>
      <c r="BE239" t="s">
        <v>1423</v>
      </c>
      <c r="BF239" t="s">
        <v>256</v>
      </c>
      <c r="BG239" s="3" t="s">
        <v>1233</v>
      </c>
      <c r="BH239" t="s">
        <v>23</v>
      </c>
      <c r="BI239" t="s">
        <v>29</v>
      </c>
      <c r="BJ239" t="s">
        <v>22</v>
      </c>
      <c r="BK239">
        <v>53333</v>
      </c>
      <c r="HR239" t="s">
        <v>1439</v>
      </c>
      <c r="II239" t="s">
        <v>255</v>
      </c>
      <c r="IJ239" t="s">
        <v>19</v>
      </c>
      <c r="JK239" t="s">
        <v>1435</v>
      </c>
      <c r="JL239" t="s">
        <v>1430</v>
      </c>
      <c r="JM239" t="s">
        <v>14</v>
      </c>
      <c r="JN239" t="s">
        <v>1436</v>
      </c>
      <c r="JO239" s="4" t="s">
        <v>13</v>
      </c>
      <c r="JP239" t="s">
        <v>1438</v>
      </c>
      <c r="MZ239" t="s">
        <v>1441</v>
      </c>
      <c r="NA239">
        <v>70</v>
      </c>
      <c r="NB239" t="s">
        <v>1442</v>
      </c>
      <c r="NC239" t="s">
        <v>168</v>
      </c>
      <c r="ND239" s="4" t="s">
        <v>10</v>
      </c>
      <c r="NJ239" t="s">
        <v>1445</v>
      </c>
      <c r="NK239" t="s">
        <v>1406</v>
      </c>
      <c r="NL239" t="s">
        <v>1407</v>
      </c>
      <c r="NM239" s="4" t="s">
        <v>266</v>
      </c>
      <c r="NN239" s="6" t="s">
        <v>265</v>
      </c>
      <c r="NV239" t="s">
        <v>745</v>
      </c>
      <c r="NW239" t="s">
        <v>6</v>
      </c>
      <c r="NX239">
        <v>4653</v>
      </c>
      <c r="NY239" t="s">
        <v>1446</v>
      </c>
      <c r="NZ239">
        <v>1054</v>
      </c>
      <c r="OC239" s="15">
        <v>3</v>
      </c>
      <c r="OT239" t="s">
        <v>1412</v>
      </c>
      <c r="OU239" t="s">
        <v>6</v>
      </c>
      <c r="OW239">
        <v>2015</v>
      </c>
      <c r="OX239">
        <v>2016</v>
      </c>
      <c r="PA239" t="s">
        <v>1169</v>
      </c>
      <c r="PB239" s="58">
        <v>46104</v>
      </c>
    </row>
    <row r="240" spans="1:418" ht="15.75" thickBot="1">
      <c r="A240" t="s">
        <v>248</v>
      </c>
      <c r="B240" t="s">
        <v>1403</v>
      </c>
      <c r="C240" t="s">
        <v>1404</v>
      </c>
      <c r="D240" s="67" t="s">
        <v>245</v>
      </c>
      <c r="E240" t="s">
        <v>1415</v>
      </c>
      <c r="F240" s="4" t="s">
        <v>1417</v>
      </c>
      <c r="G240" t="s">
        <v>2</v>
      </c>
      <c r="H240" t="s">
        <v>30</v>
      </c>
      <c r="I240">
        <v>7.971944444</v>
      </c>
      <c r="J240">
        <v>38.633055560000003</v>
      </c>
      <c r="K240" t="s">
        <v>29</v>
      </c>
      <c r="AV240" t="s">
        <v>1418</v>
      </c>
      <c r="AW240">
        <v>420</v>
      </c>
      <c r="AX240">
        <v>2.5</v>
      </c>
      <c r="AY240">
        <v>1</v>
      </c>
      <c r="AZ240" t="s">
        <v>836</v>
      </c>
      <c r="BA240">
        <v>2015</v>
      </c>
      <c r="BB240">
        <v>2016</v>
      </c>
      <c r="BD240" t="s">
        <v>19</v>
      </c>
      <c r="BE240" t="s">
        <v>1420</v>
      </c>
      <c r="BF240" t="s">
        <v>39</v>
      </c>
      <c r="BG240" s="3" t="s">
        <v>1233</v>
      </c>
      <c r="BH240" t="s">
        <v>23</v>
      </c>
      <c r="BI240" t="s">
        <v>29</v>
      </c>
      <c r="BJ240" s="4" t="s">
        <v>22</v>
      </c>
      <c r="BK240">
        <v>53333</v>
      </c>
      <c r="EH240" s="9"/>
      <c r="EI240" s="9"/>
      <c r="EJ240" s="9"/>
      <c r="EK240" s="9"/>
      <c r="EL240" s="9"/>
      <c r="EM240" s="9"/>
      <c r="EN240" s="9"/>
      <c r="EO240" s="9"/>
      <c r="EP240" s="9"/>
      <c r="EQ240" s="9"/>
      <c r="ER240" s="9"/>
      <c r="ES240" s="9"/>
      <c r="ET240" s="9"/>
      <c r="EU240" s="9"/>
      <c r="EV240" s="9"/>
      <c r="EW240" s="9"/>
      <c r="EX240" s="9"/>
      <c r="EY240" s="9"/>
      <c r="EZ240" s="9"/>
      <c r="FA240" s="9"/>
      <c r="FB240" s="9"/>
      <c r="FC240" s="9"/>
      <c r="FD240" s="9"/>
      <c r="FE240" s="9"/>
      <c r="FF240" s="9"/>
      <c r="FG240" s="9"/>
      <c r="FH240" s="9"/>
      <c r="FI240" s="9"/>
      <c r="FJ240" s="9"/>
      <c r="FK240" s="9"/>
      <c r="FL240" s="9"/>
      <c r="FM240" s="9"/>
      <c r="FN240" s="9"/>
      <c r="FO240" s="9"/>
      <c r="FP240" s="9"/>
      <c r="FQ240" s="9"/>
      <c r="FR240" s="9"/>
      <c r="FS240" s="9"/>
      <c r="FT240" s="9"/>
      <c r="FU240" s="9"/>
      <c r="FV240" s="9"/>
      <c r="FW240" s="9"/>
      <c r="FX240" s="9"/>
      <c r="FY240" s="9"/>
      <c r="FZ240" s="9"/>
      <c r="GA240" s="9"/>
      <c r="GB240" s="9"/>
      <c r="GC240" s="9"/>
      <c r="GD240" s="9"/>
      <c r="GE240" s="9"/>
      <c r="GF240" s="9"/>
      <c r="GG240" s="9"/>
      <c r="GH240" s="9"/>
      <c r="GI240" s="9"/>
      <c r="GJ240" s="9"/>
      <c r="GK240" s="9"/>
      <c r="GL240" s="9"/>
      <c r="GM240" s="9"/>
      <c r="GN240" s="9"/>
      <c r="GO240" s="9"/>
      <c r="GP240" s="9"/>
      <c r="GQ240" s="9"/>
      <c r="GR240" s="9"/>
      <c r="GS240" s="9"/>
      <c r="GT240" s="9"/>
      <c r="GU240" s="9"/>
      <c r="GV240" s="9"/>
      <c r="GW240" s="9"/>
      <c r="GX240" s="9"/>
      <c r="GY240" s="9"/>
      <c r="GZ240" s="9"/>
      <c r="HA240" s="9"/>
      <c r="HB240" s="9"/>
      <c r="HC240" s="9"/>
      <c r="HD240" s="9"/>
      <c r="HE240" s="9"/>
      <c r="HF240" s="9"/>
      <c r="HG240" s="9"/>
      <c r="HH240" s="9"/>
      <c r="HI240" s="9"/>
      <c r="HJ240" s="9"/>
      <c r="HK240" s="9"/>
      <c r="HW240" s="58"/>
      <c r="HX240" s="58"/>
      <c r="II240" t="s">
        <v>255</v>
      </c>
      <c r="IJ240" t="s">
        <v>19</v>
      </c>
      <c r="JK240" t="s">
        <v>1419</v>
      </c>
      <c r="JL240" s="84" t="s">
        <v>1427</v>
      </c>
      <c r="JM240" s="8" t="s">
        <v>14</v>
      </c>
      <c r="JN240" s="8" t="s">
        <v>1436</v>
      </c>
      <c r="JO240" s="4" t="s">
        <v>13</v>
      </c>
      <c r="JP240" s="4" t="s">
        <v>13</v>
      </c>
      <c r="MZ240" t="s">
        <v>1405</v>
      </c>
      <c r="NA240">
        <v>70</v>
      </c>
      <c r="NJ240" t="s">
        <v>1445</v>
      </c>
      <c r="NK240" t="s">
        <v>1413</v>
      </c>
      <c r="NL240" t="s">
        <v>1407</v>
      </c>
      <c r="NM240" s="4" t="s">
        <v>1416</v>
      </c>
      <c r="NN240" s="6" t="s">
        <v>265</v>
      </c>
      <c r="NV240" t="s">
        <v>1447</v>
      </c>
      <c r="NW240" t="s">
        <v>6</v>
      </c>
      <c r="NX240">
        <v>219</v>
      </c>
      <c r="NY240" t="s">
        <v>1446</v>
      </c>
      <c r="NZ240">
        <v>6</v>
      </c>
      <c r="OC240">
        <v>3</v>
      </c>
      <c r="OT240" t="s">
        <v>1408</v>
      </c>
      <c r="OU240" t="s">
        <v>6</v>
      </c>
      <c r="OW240">
        <v>2015</v>
      </c>
      <c r="OX240">
        <v>2016</v>
      </c>
      <c r="PA240" t="s">
        <v>1169</v>
      </c>
      <c r="PB240" s="58">
        <v>46104</v>
      </c>
    </row>
    <row r="241" spans="1:418" ht="15.75" thickBot="1">
      <c r="A241" t="s">
        <v>248</v>
      </c>
      <c r="B241" t="s">
        <v>1403</v>
      </c>
      <c r="C241" t="s">
        <v>1404</v>
      </c>
      <c r="D241" s="67" t="s">
        <v>245</v>
      </c>
      <c r="E241" t="s">
        <v>1415</v>
      </c>
      <c r="F241" s="4" t="s">
        <v>1417</v>
      </c>
      <c r="G241" t="s">
        <v>2</v>
      </c>
      <c r="H241" t="s">
        <v>30</v>
      </c>
      <c r="I241">
        <v>7.971944444</v>
      </c>
      <c r="J241">
        <v>38.633055560000003</v>
      </c>
      <c r="K241" t="s">
        <v>29</v>
      </c>
      <c r="AV241" t="s">
        <v>1418</v>
      </c>
      <c r="AW241">
        <v>420</v>
      </c>
      <c r="AX241">
        <v>2.5</v>
      </c>
      <c r="AY241">
        <v>1</v>
      </c>
      <c r="AZ241" t="s">
        <v>836</v>
      </c>
      <c r="BA241">
        <v>2015</v>
      </c>
      <c r="BB241">
        <v>2016</v>
      </c>
      <c r="BD241" t="s">
        <v>19</v>
      </c>
      <c r="BE241" t="s">
        <v>1421</v>
      </c>
      <c r="BF241" t="s">
        <v>24</v>
      </c>
      <c r="BG241" s="3" t="s">
        <v>1233</v>
      </c>
      <c r="BH241" t="s">
        <v>23</v>
      </c>
      <c r="BI241" t="s">
        <v>29</v>
      </c>
      <c r="BJ241" t="s">
        <v>22</v>
      </c>
      <c r="BK241">
        <v>53333</v>
      </c>
      <c r="EH241" s="9"/>
      <c r="EI241" s="9"/>
      <c r="EJ241" s="9"/>
      <c r="EK241" s="9"/>
      <c r="EL241" s="9"/>
      <c r="EM241" s="9"/>
      <c r="EN241" s="9"/>
      <c r="EO241" s="9"/>
      <c r="EP241" s="9"/>
      <c r="EQ241" s="9"/>
      <c r="ER241" s="9"/>
      <c r="ES241" s="9"/>
      <c r="ET241" s="9"/>
      <c r="EU241" s="9"/>
      <c r="EV241" s="9"/>
      <c r="EW241" s="9"/>
      <c r="EX241" s="9"/>
      <c r="EY241" s="9"/>
      <c r="EZ241" s="9"/>
      <c r="FA241" s="9"/>
      <c r="FB241" s="9"/>
      <c r="FC241" s="9"/>
      <c r="FD241" s="9"/>
      <c r="FE241" s="9"/>
      <c r="FF241" s="9"/>
      <c r="FG241" s="9"/>
      <c r="FH241" s="9"/>
      <c r="FI241" s="9"/>
      <c r="FJ241" s="9"/>
      <c r="FK241" s="9"/>
      <c r="FL241" s="9"/>
      <c r="FM241" s="9"/>
      <c r="FN241" s="9"/>
      <c r="FO241" s="9"/>
      <c r="FP241" s="9"/>
      <c r="FQ241" s="9"/>
      <c r="FR241" s="9"/>
      <c r="FS241" s="9"/>
      <c r="FT241" s="9"/>
      <c r="FU241" s="9"/>
      <c r="FV241" s="9"/>
      <c r="FW241" s="9"/>
      <c r="FX241" s="9"/>
      <c r="FY241" s="9"/>
      <c r="FZ241" s="9"/>
      <c r="GA241" s="9"/>
      <c r="GB241" s="9"/>
      <c r="GC241" s="9"/>
      <c r="GD241" s="9"/>
      <c r="GE241" s="9"/>
      <c r="GF241" s="9"/>
      <c r="GG241" s="9"/>
      <c r="GH241" s="9"/>
      <c r="GI241" s="9"/>
      <c r="GJ241" s="9"/>
      <c r="GK241" s="9"/>
      <c r="GL241" s="9"/>
      <c r="GM241" s="9"/>
      <c r="GN241" s="9"/>
      <c r="GO241" s="9"/>
      <c r="GP241" s="9"/>
      <c r="GQ241" s="9"/>
      <c r="GR241" s="9"/>
      <c r="GS241" s="9"/>
      <c r="GT241" s="9"/>
      <c r="GU241" s="9"/>
      <c r="GV241" s="9"/>
      <c r="GW241" s="9"/>
      <c r="GX241" s="9"/>
      <c r="GY241" s="9"/>
      <c r="GZ241" s="9"/>
      <c r="HA241" s="9"/>
      <c r="HB241" s="9"/>
      <c r="HC241" s="9"/>
      <c r="HD241" s="9"/>
      <c r="HE241" s="9"/>
      <c r="HF241" s="9"/>
      <c r="HG241" s="9"/>
      <c r="HH241" s="9"/>
      <c r="HI241" s="9"/>
      <c r="HJ241" s="9"/>
      <c r="HK241" s="9"/>
      <c r="HW241" s="58"/>
      <c r="HX241" s="58"/>
      <c r="II241" t="s">
        <v>255</v>
      </c>
      <c r="IJ241" t="s">
        <v>19</v>
      </c>
      <c r="JK241" t="s">
        <v>1428</v>
      </c>
      <c r="JL241" s="54" t="s">
        <v>1430</v>
      </c>
      <c r="JM241" t="s">
        <v>14</v>
      </c>
      <c r="JN241" s="8" t="s">
        <v>1436</v>
      </c>
      <c r="JO241" s="4" t="s">
        <v>13</v>
      </c>
      <c r="JP241" s="4" t="s">
        <v>13</v>
      </c>
      <c r="MZ241" t="s">
        <v>1405</v>
      </c>
      <c r="NA241">
        <v>70</v>
      </c>
      <c r="NJ241" t="s">
        <v>1445</v>
      </c>
      <c r="NK241" t="s">
        <v>1413</v>
      </c>
      <c r="NL241" t="s">
        <v>1407</v>
      </c>
      <c r="NM241" s="4" t="s">
        <v>1416</v>
      </c>
      <c r="NN241" s="6" t="s">
        <v>265</v>
      </c>
      <c r="NV241" t="s">
        <v>745</v>
      </c>
      <c r="NW241" t="s">
        <v>6</v>
      </c>
      <c r="NX241">
        <v>136</v>
      </c>
      <c r="NY241" t="s">
        <v>1446</v>
      </c>
      <c r="NZ241">
        <v>6</v>
      </c>
      <c r="OC241">
        <v>3</v>
      </c>
      <c r="OT241" t="s">
        <v>1408</v>
      </c>
      <c r="OU241" t="s">
        <v>6</v>
      </c>
      <c r="OW241">
        <v>2015</v>
      </c>
      <c r="OX241">
        <v>2016</v>
      </c>
      <c r="PA241" t="s">
        <v>1169</v>
      </c>
      <c r="PB241" s="58">
        <v>46104</v>
      </c>
    </row>
    <row r="242" spans="1:418" ht="15.75" thickBot="1">
      <c r="A242" t="s">
        <v>248</v>
      </c>
      <c r="B242" t="s">
        <v>1403</v>
      </c>
      <c r="C242" t="s">
        <v>1404</v>
      </c>
      <c r="D242" s="67" t="s">
        <v>245</v>
      </c>
      <c r="E242" t="s">
        <v>1415</v>
      </c>
      <c r="F242" s="4" t="s">
        <v>1417</v>
      </c>
      <c r="G242" t="s">
        <v>2</v>
      </c>
      <c r="H242" t="s">
        <v>30</v>
      </c>
      <c r="I242">
        <v>7.971944444</v>
      </c>
      <c r="J242">
        <v>38.633055560000003</v>
      </c>
      <c r="K242" t="s">
        <v>29</v>
      </c>
      <c r="AV242" t="s">
        <v>1418</v>
      </c>
      <c r="AW242">
        <v>420</v>
      </c>
      <c r="AX242">
        <v>2.5</v>
      </c>
      <c r="AY242">
        <v>1</v>
      </c>
      <c r="AZ242" t="s">
        <v>836</v>
      </c>
      <c r="BA242">
        <v>2015</v>
      </c>
      <c r="BB242">
        <v>2016</v>
      </c>
      <c r="BD242" t="s">
        <v>19</v>
      </c>
      <c r="BE242" t="s">
        <v>1422</v>
      </c>
      <c r="BF242" t="s">
        <v>299</v>
      </c>
      <c r="BG242" s="3" t="s">
        <v>1233</v>
      </c>
      <c r="BH242" t="s">
        <v>23</v>
      </c>
      <c r="BI242" t="s">
        <v>29</v>
      </c>
      <c r="BJ242" t="s">
        <v>22</v>
      </c>
      <c r="BK242">
        <v>53333</v>
      </c>
      <c r="EH242" s="9"/>
      <c r="EI242" s="9"/>
      <c r="EJ242" s="9"/>
      <c r="EK242" s="9"/>
      <c r="EL242" s="9"/>
      <c r="EM242" s="9"/>
      <c r="EN242" s="9"/>
      <c r="EO242" s="9"/>
      <c r="EP242" s="9"/>
      <c r="EQ242" s="9"/>
      <c r="ER242" s="9"/>
      <c r="ES242" s="9"/>
      <c r="ET242" s="9"/>
      <c r="EU242" s="9"/>
      <c r="EV242" s="9"/>
      <c r="EW242" s="9"/>
      <c r="EX242" s="9"/>
      <c r="EY242" s="9"/>
      <c r="EZ242" s="9"/>
      <c r="FA242" s="9"/>
      <c r="FB242" s="9"/>
      <c r="FC242" s="9"/>
      <c r="FD242" s="9"/>
      <c r="FE242" s="9"/>
      <c r="FF242" s="9"/>
      <c r="FG242" s="9"/>
      <c r="FH242" s="9"/>
      <c r="FI242" s="9"/>
      <c r="FJ242" s="9"/>
      <c r="FK242" s="9"/>
      <c r="FL242" s="9"/>
      <c r="FM242" s="9"/>
      <c r="FN242" s="9"/>
      <c r="FO242" s="9"/>
      <c r="FP242" s="9"/>
      <c r="FQ242" s="9"/>
      <c r="FR242" s="9"/>
      <c r="FS242" s="9"/>
      <c r="FT242" s="9"/>
      <c r="FU242" s="9"/>
      <c r="FV242" s="9"/>
      <c r="FW242" s="9"/>
      <c r="FX242" s="9"/>
      <c r="FY242" s="9"/>
      <c r="FZ242" s="9"/>
      <c r="GA242" s="9"/>
      <c r="GB242" s="9"/>
      <c r="GC242" s="9"/>
      <c r="GD242" s="9"/>
      <c r="GE242" s="9"/>
      <c r="GF242" s="9"/>
      <c r="GG242" s="9"/>
      <c r="GH242" s="9"/>
      <c r="GI242" s="9"/>
      <c r="GJ242" s="9"/>
      <c r="GK242" s="9"/>
      <c r="GL242" s="9"/>
      <c r="GM242" s="9"/>
      <c r="GN242" s="9"/>
      <c r="GO242" s="9"/>
      <c r="GP242" s="9"/>
      <c r="GQ242" s="9"/>
      <c r="GR242" s="9"/>
      <c r="GS242" s="9"/>
      <c r="GT242" s="9"/>
      <c r="GU242" s="9"/>
      <c r="GV242" s="9"/>
      <c r="GW242" s="9"/>
      <c r="GX242" s="9"/>
      <c r="GY242" s="9"/>
      <c r="GZ242" s="9"/>
      <c r="HA242" s="9"/>
      <c r="HB242" s="9"/>
      <c r="HC242" s="9"/>
      <c r="HD242" s="9"/>
      <c r="HE242" s="9"/>
      <c r="HF242" s="9"/>
      <c r="HG242" s="9"/>
      <c r="HH242" s="9"/>
      <c r="HI242" s="9"/>
      <c r="HJ242" s="9"/>
      <c r="HK242" s="9"/>
      <c r="HR242" t="s">
        <v>1439</v>
      </c>
      <c r="HW242" s="58"/>
      <c r="HX242" s="58"/>
      <c r="II242" t="s">
        <v>255</v>
      </c>
      <c r="IJ242" t="s">
        <v>19</v>
      </c>
      <c r="JK242" t="s">
        <v>1429</v>
      </c>
      <c r="JL242" s="84" t="s">
        <v>1427</v>
      </c>
      <c r="JM242" t="s">
        <v>14</v>
      </c>
      <c r="JN242" t="s">
        <v>1436</v>
      </c>
      <c r="JO242" s="4" t="s">
        <v>13</v>
      </c>
      <c r="JP242" t="s">
        <v>13</v>
      </c>
      <c r="KW242" t="s">
        <v>1440</v>
      </c>
      <c r="MZ242" t="s">
        <v>1405</v>
      </c>
      <c r="NA242">
        <v>70</v>
      </c>
      <c r="NJ242" t="s">
        <v>1445</v>
      </c>
      <c r="NK242" t="s">
        <v>1413</v>
      </c>
      <c r="NL242" t="s">
        <v>1407</v>
      </c>
      <c r="NM242" s="4" t="s">
        <v>1416</v>
      </c>
      <c r="NN242" s="6" t="s">
        <v>265</v>
      </c>
      <c r="NV242" t="s">
        <v>1447</v>
      </c>
      <c r="NW242" t="s">
        <v>6</v>
      </c>
      <c r="NX242">
        <v>219</v>
      </c>
      <c r="NY242" t="s">
        <v>1446</v>
      </c>
      <c r="NZ242">
        <v>6</v>
      </c>
      <c r="OC242">
        <v>3</v>
      </c>
      <c r="OT242" t="s">
        <v>1408</v>
      </c>
      <c r="OU242" t="s">
        <v>6</v>
      </c>
      <c r="OW242">
        <v>2015</v>
      </c>
      <c r="OX242">
        <v>2016</v>
      </c>
      <c r="PA242" t="s">
        <v>1169</v>
      </c>
      <c r="PB242" s="58">
        <v>46104</v>
      </c>
    </row>
    <row r="243" spans="1:418" ht="15.75" thickBot="1">
      <c r="A243" t="s">
        <v>248</v>
      </c>
      <c r="B243" t="s">
        <v>1403</v>
      </c>
      <c r="C243" t="s">
        <v>1404</v>
      </c>
      <c r="D243" s="67" t="s">
        <v>245</v>
      </c>
      <c r="E243" t="s">
        <v>1415</v>
      </c>
      <c r="F243" s="4" t="s">
        <v>1417</v>
      </c>
      <c r="G243" t="s">
        <v>2</v>
      </c>
      <c r="H243" t="s">
        <v>30</v>
      </c>
      <c r="I243">
        <v>7.971944444</v>
      </c>
      <c r="J243">
        <v>38.633055560000003</v>
      </c>
      <c r="K243" t="s">
        <v>29</v>
      </c>
      <c r="AV243" t="s">
        <v>1418</v>
      </c>
      <c r="AW243">
        <v>420</v>
      </c>
      <c r="AX243">
        <v>2.5</v>
      </c>
      <c r="AY243">
        <v>1</v>
      </c>
      <c r="AZ243" t="s">
        <v>836</v>
      </c>
      <c r="BA243">
        <v>2015</v>
      </c>
      <c r="BB243">
        <v>2016</v>
      </c>
      <c r="BD243" t="s">
        <v>238</v>
      </c>
      <c r="BE243" t="s">
        <v>1424</v>
      </c>
      <c r="BF243" t="s">
        <v>64</v>
      </c>
      <c r="BG243" s="3" t="s">
        <v>1233</v>
      </c>
      <c r="BH243" t="s">
        <v>23</v>
      </c>
      <c r="BI243" t="s">
        <v>29</v>
      </c>
      <c r="BJ243" t="s">
        <v>22</v>
      </c>
      <c r="BK243">
        <v>53333</v>
      </c>
      <c r="BL243" t="s">
        <v>56</v>
      </c>
      <c r="BM243" t="s">
        <v>1426</v>
      </c>
      <c r="BN243" t="s">
        <v>29</v>
      </c>
      <c r="BO243" t="s">
        <v>22</v>
      </c>
      <c r="BP243">
        <v>266666</v>
      </c>
      <c r="EH243" s="9"/>
      <c r="EI243" s="9"/>
      <c r="EJ243" s="9"/>
      <c r="EK243" s="9"/>
      <c r="EL243" s="9"/>
      <c r="EM243" s="9"/>
      <c r="EN243" s="9"/>
      <c r="EO243" s="9"/>
      <c r="EP243" s="9"/>
      <c r="EQ243" s="9"/>
      <c r="ER243" s="9"/>
      <c r="ES243" s="9"/>
      <c r="ET243" s="9"/>
      <c r="EU243" s="9"/>
      <c r="EV243" s="9"/>
      <c r="EW243" s="9"/>
      <c r="EX243" s="9"/>
      <c r="EY243" s="9"/>
      <c r="EZ243" s="9"/>
      <c r="FA243" s="9"/>
      <c r="FB243" s="9"/>
      <c r="FC243" s="9"/>
      <c r="FD243" s="9"/>
      <c r="FE243" s="9"/>
      <c r="FF243" s="9"/>
      <c r="FG243" s="9"/>
      <c r="FH243" s="9"/>
      <c r="FI243" s="9"/>
      <c r="FJ243" s="9"/>
      <c r="FK243" s="9"/>
      <c r="FL243" s="9"/>
      <c r="FM243" s="9"/>
      <c r="FN243" s="9"/>
      <c r="FO243" s="9"/>
      <c r="FP243" s="9"/>
      <c r="FQ243" s="9"/>
      <c r="FR243" s="9"/>
      <c r="FS243" s="9"/>
      <c r="FT243" s="9"/>
      <c r="FU243" s="9"/>
      <c r="FV243" s="9"/>
      <c r="FW243" s="9"/>
      <c r="FX243" s="9"/>
      <c r="FY243" s="9"/>
      <c r="FZ243" s="9"/>
      <c r="GA243" s="9"/>
      <c r="GB243" s="9"/>
      <c r="GC243" s="9"/>
      <c r="GD243" s="9"/>
      <c r="GE243" s="9"/>
      <c r="GF243" s="9"/>
      <c r="GG243" s="9"/>
      <c r="GH243" s="9"/>
      <c r="GI243" s="9"/>
      <c r="GJ243" s="9"/>
      <c r="GK243" s="9"/>
      <c r="GL243" s="9"/>
      <c r="GM243" s="9"/>
      <c r="GN243" s="9"/>
      <c r="GO243" s="9"/>
      <c r="GP243" s="9"/>
      <c r="GQ243" s="9"/>
      <c r="GR243" s="9"/>
      <c r="GS243" s="9"/>
      <c r="GT243" s="9"/>
      <c r="GU243" s="9"/>
      <c r="GV243" s="9"/>
      <c r="GW243" s="9"/>
      <c r="GX243" s="9"/>
      <c r="GY243" s="9"/>
      <c r="GZ243" s="9"/>
      <c r="HA243" s="9"/>
      <c r="HB243" s="9"/>
      <c r="HC243" s="9"/>
      <c r="HD243" s="9"/>
      <c r="HE243" s="9"/>
      <c r="HF243" s="9"/>
      <c r="HG243" s="9"/>
      <c r="HH243" s="9"/>
      <c r="HI243" s="9"/>
      <c r="HJ243" s="9"/>
      <c r="HK243" s="9"/>
      <c r="HW243" s="58"/>
      <c r="HX243" s="58"/>
      <c r="II243" t="s">
        <v>1432</v>
      </c>
      <c r="IJ243" s="84" t="s">
        <v>1443</v>
      </c>
      <c r="IK243" t="s">
        <v>660</v>
      </c>
      <c r="IL243" t="s">
        <v>661</v>
      </c>
      <c r="IM243" t="s">
        <v>29</v>
      </c>
      <c r="IN243" t="s">
        <v>29</v>
      </c>
      <c r="IO243" t="s">
        <v>29</v>
      </c>
      <c r="JK243" t="s">
        <v>1431</v>
      </c>
      <c r="JL243" t="s">
        <v>1430</v>
      </c>
      <c r="JM243" t="s">
        <v>14</v>
      </c>
      <c r="JN243" t="s">
        <v>1436</v>
      </c>
      <c r="JO243" s="4" t="s">
        <v>13</v>
      </c>
      <c r="JP243" t="s">
        <v>1438</v>
      </c>
      <c r="MZ243" t="s">
        <v>1405</v>
      </c>
      <c r="NA243">
        <v>70</v>
      </c>
      <c r="NJ243" t="s">
        <v>1445</v>
      </c>
      <c r="NK243" t="s">
        <v>1413</v>
      </c>
      <c r="NL243" t="s">
        <v>1407</v>
      </c>
      <c r="NM243" s="4" t="s">
        <v>1416</v>
      </c>
      <c r="NN243" s="6" t="s">
        <v>265</v>
      </c>
      <c r="NW243" t="s">
        <v>6</v>
      </c>
      <c r="NX243">
        <v>188</v>
      </c>
      <c r="NY243" t="s">
        <v>1446</v>
      </c>
      <c r="NZ243">
        <v>6</v>
      </c>
      <c r="OC243">
        <v>3</v>
      </c>
      <c r="OT243" t="s">
        <v>1408</v>
      </c>
      <c r="OU243" t="s">
        <v>6</v>
      </c>
      <c r="OW243">
        <v>2015</v>
      </c>
      <c r="OX243">
        <v>2016</v>
      </c>
      <c r="PA243" t="s">
        <v>1169</v>
      </c>
      <c r="PB243" s="58">
        <v>46104</v>
      </c>
    </row>
    <row r="244" spans="1:418" ht="15.75" thickBot="1">
      <c r="A244" t="s">
        <v>248</v>
      </c>
      <c r="B244" t="s">
        <v>1403</v>
      </c>
      <c r="C244" t="s">
        <v>1404</v>
      </c>
      <c r="D244" s="67" t="s">
        <v>245</v>
      </c>
      <c r="E244" t="s">
        <v>1415</v>
      </c>
      <c r="F244" s="4" t="s">
        <v>1417</v>
      </c>
      <c r="G244" t="s">
        <v>2</v>
      </c>
      <c r="H244" t="s">
        <v>30</v>
      </c>
      <c r="I244">
        <v>7.971944444</v>
      </c>
      <c r="J244">
        <v>38.633055560000003</v>
      </c>
      <c r="K244" t="s">
        <v>29</v>
      </c>
      <c r="AV244" t="s">
        <v>1418</v>
      </c>
      <c r="AW244">
        <v>420</v>
      </c>
      <c r="AX244">
        <v>2.5</v>
      </c>
      <c r="AY244">
        <v>1</v>
      </c>
      <c r="AZ244" t="s">
        <v>836</v>
      </c>
      <c r="BA244">
        <v>2015</v>
      </c>
      <c r="BB244">
        <v>2016</v>
      </c>
      <c r="BD244" t="s">
        <v>238</v>
      </c>
      <c r="BE244" t="s">
        <v>1425</v>
      </c>
      <c r="BF244" t="s">
        <v>57</v>
      </c>
      <c r="BG244" s="3" t="s">
        <v>1233</v>
      </c>
      <c r="BH244" t="s">
        <v>23</v>
      </c>
      <c r="BI244" t="s">
        <v>29</v>
      </c>
      <c r="BJ244" t="s">
        <v>22</v>
      </c>
      <c r="BK244">
        <v>53333</v>
      </c>
      <c r="BL244" t="s">
        <v>56</v>
      </c>
      <c r="BM244" t="s">
        <v>1414</v>
      </c>
      <c r="BN244" t="s">
        <v>29</v>
      </c>
      <c r="BO244" t="s">
        <v>22</v>
      </c>
      <c r="BP244">
        <v>66666</v>
      </c>
      <c r="EH244" s="9"/>
      <c r="EI244" s="9"/>
      <c r="EJ244" s="9"/>
      <c r="EK244" s="9"/>
      <c r="EL244" s="9"/>
      <c r="EM244" s="9"/>
      <c r="EN244" s="9"/>
      <c r="EO244" s="9"/>
      <c r="EP244" s="9"/>
      <c r="EQ244" s="9"/>
      <c r="ER244" s="9"/>
      <c r="ES244" s="9"/>
      <c r="ET244" s="9"/>
      <c r="EU244" s="9"/>
      <c r="EV244" s="9"/>
      <c r="EW244" s="9"/>
      <c r="EX244" s="9"/>
      <c r="EY244" s="9"/>
      <c r="EZ244" s="9"/>
      <c r="FA244" s="9"/>
      <c r="FB244" s="9"/>
      <c r="FC244" s="9"/>
      <c r="FD244" s="9"/>
      <c r="FE244" s="9"/>
      <c r="FF244" s="9"/>
      <c r="FG244" s="9"/>
      <c r="FH244" s="9"/>
      <c r="FI244" s="9"/>
      <c r="FJ244" s="9"/>
      <c r="FK244" s="9"/>
      <c r="FL244" s="9"/>
      <c r="FM244" s="9"/>
      <c r="FN244" s="9"/>
      <c r="FO244" s="9"/>
      <c r="FP244" s="9"/>
      <c r="FQ244" s="9"/>
      <c r="FR244" s="9"/>
      <c r="FS244" s="9"/>
      <c r="FT244" s="9"/>
      <c r="FU244" s="9"/>
      <c r="FV244" s="9"/>
      <c r="FW244" s="9"/>
      <c r="FX244" s="9"/>
      <c r="FY244" s="9"/>
      <c r="FZ244" s="9"/>
      <c r="GA244" s="9"/>
      <c r="GB244" s="9"/>
      <c r="GC244" s="9"/>
      <c r="GD244" s="9"/>
      <c r="GE244" s="9"/>
      <c r="GF244" s="9"/>
      <c r="GG244" s="9"/>
      <c r="GH244" s="9"/>
      <c r="GI244" s="9"/>
      <c r="GJ244" s="9"/>
      <c r="GK244" s="9"/>
      <c r="GL244" s="9"/>
      <c r="GM244" s="9"/>
      <c r="GN244" s="9"/>
      <c r="GO244" s="9"/>
      <c r="GP244" s="9"/>
      <c r="GQ244" s="9"/>
      <c r="GR244" s="9"/>
      <c r="GS244" s="9"/>
      <c r="GT244" s="9"/>
      <c r="GU244" s="9"/>
      <c r="GV244" s="9"/>
      <c r="GW244" s="9"/>
      <c r="GX244" s="9"/>
      <c r="GY244" s="9"/>
      <c r="GZ244" s="9"/>
      <c r="HA244" s="9"/>
      <c r="HB244" s="9"/>
      <c r="HC244" s="9"/>
      <c r="HD244" s="9"/>
      <c r="HE244" s="9"/>
      <c r="HF244" s="9"/>
      <c r="HG244" s="9"/>
      <c r="HH244" s="9"/>
      <c r="HI244" s="9"/>
      <c r="HJ244" s="9"/>
      <c r="HK244" s="9"/>
      <c r="HW244" s="58"/>
      <c r="HX244" s="58"/>
      <c r="II244" t="s">
        <v>1433</v>
      </c>
      <c r="IJ244" s="84" t="s">
        <v>1443</v>
      </c>
      <c r="IK244" t="s">
        <v>660</v>
      </c>
      <c r="IL244" t="s">
        <v>661</v>
      </c>
      <c r="IM244" t="s">
        <v>29</v>
      </c>
      <c r="IN244" t="s">
        <v>29</v>
      </c>
      <c r="IO244" t="s">
        <v>29</v>
      </c>
      <c r="JK244" t="s">
        <v>1434</v>
      </c>
      <c r="JL244" t="s">
        <v>1430</v>
      </c>
      <c r="JM244" t="s">
        <v>14</v>
      </c>
      <c r="JN244" t="s">
        <v>1436</v>
      </c>
      <c r="JO244" s="4" t="s">
        <v>13</v>
      </c>
      <c r="JP244" t="s">
        <v>1438</v>
      </c>
      <c r="MZ244" t="s">
        <v>1405</v>
      </c>
      <c r="NA244">
        <v>70</v>
      </c>
      <c r="NJ244" t="s">
        <v>1445</v>
      </c>
      <c r="NK244" t="s">
        <v>1413</v>
      </c>
      <c r="NL244" t="s">
        <v>1407</v>
      </c>
      <c r="NM244" s="4" t="s">
        <v>1416</v>
      </c>
      <c r="NN244" s="6" t="s">
        <v>265</v>
      </c>
      <c r="NW244" t="s">
        <v>6</v>
      </c>
      <c r="NX244">
        <v>225</v>
      </c>
      <c r="NY244" t="s">
        <v>1446</v>
      </c>
      <c r="NZ244">
        <v>6</v>
      </c>
      <c r="OC244">
        <v>3</v>
      </c>
      <c r="OT244" t="s">
        <v>1408</v>
      </c>
      <c r="OU244" t="s">
        <v>6</v>
      </c>
      <c r="OW244">
        <v>2015</v>
      </c>
      <c r="OX244">
        <v>2016</v>
      </c>
      <c r="PA244" t="s">
        <v>1169</v>
      </c>
      <c r="PB244" s="58">
        <v>46104</v>
      </c>
    </row>
    <row r="245" spans="1:418" ht="15.75" thickBot="1">
      <c r="A245" t="s">
        <v>248</v>
      </c>
      <c r="B245" t="s">
        <v>1403</v>
      </c>
      <c r="C245" t="s">
        <v>1404</v>
      </c>
      <c r="D245" s="67" t="s">
        <v>245</v>
      </c>
      <c r="E245" t="s">
        <v>1415</v>
      </c>
      <c r="F245" s="4" t="s">
        <v>1417</v>
      </c>
      <c r="G245" t="s">
        <v>2</v>
      </c>
      <c r="H245" t="s">
        <v>30</v>
      </c>
      <c r="I245">
        <v>7.971944444</v>
      </c>
      <c r="J245">
        <v>38.633055560000003</v>
      </c>
      <c r="K245" t="s">
        <v>29</v>
      </c>
      <c r="AV245" t="s">
        <v>1418</v>
      </c>
      <c r="AW245">
        <v>420</v>
      </c>
      <c r="AX245">
        <v>2.5</v>
      </c>
      <c r="AY245">
        <v>1</v>
      </c>
      <c r="AZ245" t="s">
        <v>836</v>
      </c>
      <c r="BA245">
        <v>2015</v>
      </c>
      <c r="BB245">
        <v>2016</v>
      </c>
      <c r="BD245" t="s">
        <v>19</v>
      </c>
      <c r="BE245" t="s">
        <v>1423</v>
      </c>
      <c r="BF245" t="s">
        <v>256</v>
      </c>
      <c r="BG245" s="3" t="s">
        <v>1233</v>
      </c>
      <c r="BH245" t="s">
        <v>23</v>
      </c>
      <c r="BI245" t="s">
        <v>29</v>
      </c>
      <c r="BJ245" t="s">
        <v>22</v>
      </c>
      <c r="BK245">
        <v>53333</v>
      </c>
      <c r="EH245" s="9"/>
      <c r="EI245" s="9"/>
      <c r="EJ245" s="9"/>
      <c r="EK245" s="9"/>
      <c r="EL245" s="9"/>
      <c r="EM245" s="9"/>
      <c r="EN245" s="9"/>
      <c r="EO245" s="9"/>
      <c r="EP245" s="9"/>
      <c r="EQ245" s="9"/>
      <c r="ER245" s="9"/>
      <c r="ES245" s="9"/>
      <c r="ET245" s="9"/>
      <c r="EU245" s="9"/>
      <c r="EV245" s="9"/>
      <c r="EW245" s="9"/>
      <c r="EX245" s="9"/>
      <c r="EY245" s="9"/>
      <c r="EZ245" s="9"/>
      <c r="FA245" s="9"/>
      <c r="FB245" s="9"/>
      <c r="FC245" s="9"/>
      <c r="FD245" s="9"/>
      <c r="FE245" s="9"/>
      <c r="FF245" s="9"/>
      <c r="FG245" s="9"/>
      <c r="FH245" s="9"/>
      <c r="FI245" s="9"/>
      <c r="FJ245" s="9"/>
      <c r="FK245" s="9"/>
      <c r="FL245" s="9"/>
      <c r="FM245" s="9"/>
      <c r="FN245" s="9"/>
      <c r="FO245" s="9"/>
      <c r="FP245" s="9"/>
      <c r="FQ245" s="9"/>
      <c r="FR245" s="9"/>
      <c r="FS245" s="9"/>
      <c r="FT245" s="9"/>
      <c r="FU245" s="9"/>
      <c r="FV245" s="9"/>
      <c r="FW245" s="9"/>
      <c r="FX245" s="9"/>
      <c r="FY245" s="9"/>
      <c r="FZ245" s="9"/>
      <c r="GA245" s="9"/>
      <c r="GB245" s="9"/>
      <c r="GC245" s="9"/>
      <c r="GD245" s="9"/>
      <c r="GE245" s="9"/>
      <c r="GF245" s="9"/>
      <c r="GG245" s="9"/>
      <c r="GH245" s="9"/>
      <c r="GI245" s="9"/>
      <c r="GJ245" s="9"/>
      <c r="GK245" s="9"/>
      <c r="GL245" s="9"/>
      <c r="GM245" s="9"/>
      <c r="GN245" s="9"/>
      <c r="GO245" s="9"/>
      <c r="GP245" s="9"/>
      <c r="GQ245" s="9"/>
      <c r="GR245" s="9"/>
      <c r="GS245" s="9"/>
      <c r="GT245" s="9"/>
      <c r="GU245" s="9"/>
      <c r="GV245" s="9"/>
      <c r="GW245" s="9"/>
      <c r="GX245" s="9"/>
      <c r="GY245" s="9"/>
      <c r="GZ245" s="9"/>
      <c r="HA245" s="9"/>
      <c r="HB245" s="9"/>
      <c r="HC245" s="9"/>
      <c r="HD245" s="9"/>
      <c r="HE245" s="9"/>
      <c r="HF245" s="9"/>
      <c r="HG245" s="9"/>
      <c r="HH245" s="9"/>
      <c r="HI245" s="9"/>
      <c r="HJ245" s="9"/>
      <c r="HK245" s="9"/>
      <c r="HR245" t="s">
        <v>1439</v>
      </c>
      <c r="HW245" s="58"/>
      <c r="HX245" s="58"/>
      <c r="II245" t="s">
        <v>255</v>
      </c>
      <c r="IJ245" t="s">
        <v>19</v>
      </c>
      <c r="JK245" t="s">
        <v>1435</v>
      </c>
      <c r="JL245" t="s">
        <v>1430</v>
      </c>
      <c r="JM245" t="s">
        <v>14</v>
      </c>
      <c r="JN245" t="s">
        <v>1436</v>
      </c>
      <c r="JO245" s="4" t="s">
        <v>13</v>
      </c>
      <c r="JP245" t="s">
        <v>1438</v>
      </c>
      <c r="MZ245" t="s">
        <v>1405</v>
      </c>
      <c r="NA245">
        <v>70</v>
      </c>
      <c r="NJ245" t="s">
        <v>1445</v>
      </c>
      <c r="NK245" t="s">
        <v>1413</v>
      </c>
      <c r="NL245" t="s">
        <v>1407</v>
      </c>
      <c r="NM245" s="4" t="s">
        <v>1416</v>
      </c>
      <c r="NN245" s="6" t="s">
        <v>265</v>
      </c>
      <c r="NV245" t="s">
        <v>745</v>
      </c>
      <c r="NW245" t="s">
        <v>6</v>
      </c>
      <c r="NX245">
        <v>136</v>
      </c>
      <c r="NY245" t="s">
        <v>1446</v>
      </c>
      <c r="NZ245">
        <v>6</v>
      </c>
      <c r="OC245">
        <v>3</v>
      </c>
      <c r="OT245" t="s">
        <v>1408</v>
      </c>
      <c r="OU245" t="s">
        <v>6</v>
      </c>
      <c r="OW245">
        <v>2015</v>
      </c>
      <c r="OX245">
        <v>2016</v>
      </c>
      <c r="PA245" t="s">
        <v>1169</v>
      </c>
      <c r="PB245" s="58">
        <v>46104</v>
      </c>
    </row>
    <row r="246" spans="1:418" ht="15.75" thickBot="1">
      <c r="A246" t="s">
        <v>248</v>
      </c>
      <c r="B246" t="s">
        <v>1403</v>
      </c>
      <c r="C246" t="s">
        <v>1404</v>
      </c>
      <c r="D246" s="67" t="s">
        <v>245</v>
      </c>
      <c r="E246" t="s">
        <v>1409</v>
      </c>
      <c r="F246" s="4" t="s">
        <v>1417</v>
      </c>
      <c r="G246" t="s">
        <v>2</v>
      </c>
      <c r="H246" t="s">
        <v>30</v>
      </c>
      <c r="I246">
        <v>7.306944444</v>
      </c>
      <c r="J246">
        <v>38.012222219999998</v>
      </c>
      <c r="K246" t="s">
        <v>29</v>
      </c>
      <c r="AV246" t="s">
        <v>1418</v>
      </c>
      <c r="AW246">
        <v>420</v>
      </c>
      <c r="AX246">
        <v>1.5</v>
      </c>
      <c r="AY246">
        <v>1</v>
      </c>
      <c r="AZ246" t="s">
        <v>836</v>
      </c>
      <c r="BA246">
        <v>2015</v>
      </c>
      <c r="BB246">
        <v>2016</v>
      </c>
      <c r="BD246" t="s">
        <v>19</v>
      </c>
      <c r="BE246" t="s">
        <v>1420</v>
      </c>
      <c r="BF246" t="s">
        <v>39</v>
      </c>
      <c r="BG246" s="3" t="s">
        <v>1233</v>
      </c>
      <c r="BH246" t="s">
        <v>23</v>
      </c>
      <c r="BI246" t="s">
        <v>29</v>
      </c>
      <c r="BJ246" s="4" t="s">
        <v>22</v>
      </c>
      <c r="BK246">
        <v>53333</v>
      </c>
      <c r="EH246" s="9"/>
      <c r="EI246" s="9"/>
      <c r="EJ246" s="9"/>
      <c r="EK246" s="9"/>
      <c r="EL246" s="9"/>
      <c r="EM246" s="9"/>
      <c r="EN246" s="9"/>
      <c r="EO246" s="9"/>
      <c r="EP246" s="9"/>
      <c r="EQ246" s="9"/>
      <c r="ER246" s="9"/>
      <c r="ES246" s="9"/>
      <c r="ET246" s="9"/>
      <c r="EU246" s="9"/>
      <c r="EV246" s="9"/>
      <c r="EW246" s="9"/>
      <c r="EX246" s="9"/>
      <c r="EY246" s="9"/>
      <c r="EZ246" s="9"/>
      <c r="FA246" s="9"/>
      <c r="FB246" s="9"/>
      <c r="FC246" s="9"/>
      <c r="FD246" s="9"/>
      <c r="FE246" s="9"/>
      <c r="FF246" s="9"/>
      <c r="FG246" s="9"/>
      <c r="FH246" s="9"/>
      <c r="FI246" s="9"/>
      <c r="FJ246" s="9"/>
      <c r="FK246" s="9"/>
      <c r="FL246" s="9"/>
      <c r="FM246" s="9"/>
      <c r="FN246" s="9"/>
      <c r="FO246" s="9"/>
      <c r="FP246" s="9"/>
      <c r="FQ246" s="9"/>
      <c r="FR246" s="9"/>
      <c r="FS246" s="9"/>
      <c r="FT246" s="9"/>
      <c r="FU246" s="9"/>
      <c r="FV246" s="9"/>
      <c r="FW246" s="9"/>
      <c r="FX246" s="9"/>
      <c r="FY246" s="9"/>
      <c r="FZ246" s="9"/>
      <c r="GA246" s="9"/>
      <c r="GB246" s="9"/>
      <c r="GC246" s="9"/>
      <c r="GD246" s="9"/>
      <c r="GE246" s="9"/>
      <c r="GF246" s="9"/>
      <c r="GG246" s="9"/>
      <c r="GH246" s="9"/>
      <c r="GI246" s="9"/>
      <c r="GJ246" s="9"/>
      <c r="GK246" s="9"/>
      <c r="GL246" s="9"/>
      <c r="GM246" s="9"/>
      <c r="GN246" s="9"/>
      <c r="GO246" s="9"/>
      <c r="GP246" s="9"/>
      <c r="GQ246" s="9"/>
      <c r="GR246" s="9"/>
      <c r="GS246" s="9"/>
      <c r="GT246" s="9"/>
      <c r="GU246" s="9"/>
      <c r="GV246" s="9"/>
      <c r="GW246" s="9"/>
      <c r="GX246" s="9"/>
      <c r="GY246" s="9"/>
      <c r="GZ246" s="9"/>
      <c r="HA246" s="9"/>
      <c r="HB246" s="9"/>
      <c r="HC246" s="9"/>
      <c r="HD246" s="9"/>
      <c r="HE246" s="9"/>
      <c r="HF246" s="9"/>
      <c r="HG246" s="9"/>
      <c r="HH246" s="9"/>
      <c r="HI246" s="9"/>
      <c r="HJ246" s="9"/>
      <c r="HK246" s="9"/>
      <c r="HW246" s="58"/>
      <c r="HX246" s="58"/>
      <c r="II246" t="s">
        <v>255</v>
      </c>
      <c r="IJ246" t="s">
        <v>19</v>
      </c>
      <c r="JK246" t="s">
        <v>1419</v>
      </c>
      <c r="JL246" s="84" t="s">
        <v>1427</v>
      </c>
      <c r="JM246" s="8" t="s">
        <v>14</v>
      </c>
      <c r="JN246" s="8" t="s">
        <v>1436</v>
      </c>
      <c r="JO246" s="4" t="s">
        <v>13</v>
      </c>
      <c r="JP246" s="4" t="s">
        <v>13</v>
      </c>
      <c r="MZ246" t="s">
        <v>1405</v>
      </c>
      <c r="NA246">
        <v>70</v>
      </c>
      <c r="NJ246" t="s">
        <v>1445</v>
      </c>
      <c r="NK246" t="s">
        <v>1413</v>
      </c>
      <c r="NL246" t="s">
        <v>1407</v>
      </c>
      <c r="NM246" s="4" t="s">
        <v>1416</v>
      </c>
      <c r="NN246" s="6" t="s">
        <v>265</v>
      </c>
      <c r="NV246" t="s">
        <v>1447</v>
      </c>
      <c r="NW246" t="s">
        <v>6</v>
      </c>
      <c r="NX246">
        <v>213</v>
      </c>
      <c r="NY246" t="s">
        <v>1446</v>
      </c>
      <c r="NZ246">
        <v>4</v>
      </c>
      <c r="OC246">
        <v>3</v>
      </c>
      <c r="OT246" t="s">
        <v>1410</v>
      </c>
      <c r="OU246" t="s">
        <v>6</v>
      </c>
      <c r="OW246">
        <v>2015</v>
      </c>
      <c r="OX246">
        <v>2016</v>
      </c>
      <c r="PA246" t="s">
        <v>1169</v>
      </c>
      <c r="PB246" s="58">
        <v>46104</v>
      </c>
    </row>
    <row r="247" spans="1:418" ht="15.75" thickBot="1">
      <c r="A247" t="s">
        <v>248</v>
      </c>
      <c r="B247" t="s">
        <v>1403</v>
      </c>
      <c r="C247" t="s">
        <v>1404</v>
      </c>
      <c r="D247" s="67" t="s">
        <v>245</v>
      </c>
      <c r="E247" t="s">
        <v>1409</v>
      </c>
      <c r="F247" s="4" t="s">
        <v>1417</v>
      </c>
      <c r="G247" t="s">
        <v>2</v>
      </c>
      <c r="H247" t="s">
        <v>30</v>
      </c>
      <c r="I247">
        <v>7.306944444</v>
      </c>
      <c r="J247">
        <v>38.012222219999998</v>
      </c>
      <c r="K247" t="s">
        <v>29</v>
      </c>
      <c r="AV247" t="s">
        <v>1418</v>
      </c>
      <c r="AW247">
        <v>420</v>
      </c>
      <c r="AX247">
        <v>1.5</v>
      </c>
      <c r="AY247">
        <v>1</v>
      </c>
      <c r="AZ247" t="s">
        <v>836</v>
      </c>
      <c r="BA247">
        <v>2015</v>
      </c>
      <c r="BB247">
        <v>2016</v>
      </c>
      <c r="BD247" t="s">
        <v>19</v>
      </c>
      <c r="BE247" t="s">
        <v>1421</v>
      </c>
      <c r="BF247" t="s">
        <v>24</v>
      </c>
      <c r="BG247" s="3" t="s">
        <v>1233</v>
      </c>
      <c r="BH247" t="s">
        <v>23</v>
      </c>
      <c r="BI247" t="s">
        <v>29</v>
      </c>
      <c r="BJ247" t="s">
        <v>22</v>
      </c>
      <c r="BK247">
        <v>53333</v>
      </c>
      <c r="EH247" s="9"/>
      <c r="EI247" s="9"/>
      <c r="EJ247" s="9"/>
      <c r="EK247" s="9"/>
      <c r="EL247" s="9"/>
      <c r="EM247" s="9"/>
      <c r="EN247" s="9"/>
      <c r="EO247" s="9"/>
      <c r="EP247" s="9"/>
      <c r="EQ247" s="9"/>
      <c r="ER247" s="9"/>
      <c r="ES247" s="9"/>
      <c r="ET247" s="9"/>
      <c r="EU247" s="9"/>
      <c r="EV247" s="9"/>
      <c r="EW247" s="9"/>
      <c r="EX247" s="9"/>
      <c r="EY247" s="9"/>
      <c r="EZ247" s="9"/>
      <c r="FA247" s="9"/>
      <c r="FB247" s="9"/>
      <c r="FC247" s="9"/>
      <c r="FD247" s="9"/>
      <c r="FE247" s="9"/>
      <c r="FF247" s="9"/>
      <c r="FG247" s="9"/>
      <c r="FH247" s="9"/>
      <c r="FI247" s="9"/>
      <c r="FJ247" s="9"/>
      <c r="FK247" s="9"/>
      <c r="FL247" s="9"/>
      <c r="FM247" s="9"/>
      <c r="FN247" s="9"/>
      <c r="FO247" s="9"/>
      <c r="FP247" s="9"/>
      <c r="FQ247" s="9"/>
      <c r="FR247" s="9"/>
      <c r="FS247" s="9"/>
      <c r="FT247" s="9"/>
      <c r="FU247" s="9"/>
      <c r="FV247" s="9"/>
      <c r="FW247" s="9"/>
      <c r="FX247" s="9"/>
      <c r="FY247" s="9"/>
      <c r="FZ247" s="9"/>
      <c r="GA247" s="9"/>
      <c r="GB247" s="9"/>
      <c r="GC247" s="9"/>
      <c r="GD247" s="9"/>
      <c r="GE247" s="9"/>
      <c r="GF247" s="9"/>
      <c r="GG247" s="9"/>
      <c r="GH247" s="9"/>
      <c r="GI247" s="9"/>
      <c r="GJ247" s="9"/>
      <c r="GK247" s="9"/>
      <c r="GL247" s="9"/>
      <c r="GM247" s="9"/>
      <c r="GN247" s="9"/>
      <c r="GO247" s="9"/>
      <c r="GP247" s="9"/>
      <c r="GQ247" s="9"/>
      <c r="GR247" s="9"/>
      <c r="GS247" s="9"/>
      <c r="GT247" s="9"/>
      <c r="GU247" s="9"/>
      <c r="GV247" s="9"/>
      <c r="GW247" s="9"/>
      <c r="GX247" s="9"/>
      <c r="GY247" s="9"/>
      <c r="GZ247" s="9"/>
      <c r="HA247" s="9"/>
      <c r="HB247" s="9"/>
      <c r="HC247" s="9"/>
      <c r="HD247" s="9"/>
      <c r="HE247" s="9"/>
      <c r="HF247" s="9"/>
      <c r="HG247" s="9"/>
      <c r="HH247" s="9"/>
      <c r="HI247" s="9"/>
      <c r="HJ247" s="9"/>
      <c r="HK247" s="9"/>
      <c r="HW247" s="58"/>
      <c r="HX247" s="58"/>
      <c r="II247" t="s">
        <v>255</v>
      </c>
      <c r="IJ247" t="s">
        <v>19</v>
      </c>
      <c r="JK247" t="s">
        <v>1428</v>
      </c>
      <c r="JL247" s="54" t="s">
        <v>1430</v>
      </c>
      <c r="JM247" t="s">
        <v>14</v>
      </c>
      <c r="JN247" s="8" t="s">
        <v>1436</v>
      </c>
      <c r="JO247" s="4" t="s">
        <v>13</v>
      </c>
      <c r="JP247" s="4" t="s">
        <v>13</v>
      </c>
      <c r="MZ247" t="s">
        <v>1405</v>
      </c>
      <c r="NA247">
        <v>70</v>
      </c>
      <c r="NJ247" t="s">
        <v>1445</v>
      </c>
      <c r="NK247" t="s">
        <v>1413</v>
      </c>
      <c r="NL247" t="s">
        <v>1407</v>
      </c>
      <c r="NM247" s="4" t="s">
        <v>1416</v>
      </c>
      <c r="NN247" s="6" t="s">
        <v>265</v>
      </c>
      <c r="NV247" t="s">
        <v>745</v>
      </c>
      <c r="NW247" t="s">
        <v>6</v>
      </c>
      <c r="NX247">
        <v>129</v>
      </c>
      <c r="NY247" t="s">
        <v>1446</v>
      </c>
      <c r="NZ247">
        <v>4</v>
      </c>
      <c r="OC247">
        <v>3</v>
      </c>
      <c r="OT247" t="s">
        <v>1410</v>
      </c>
      <c r="OU247" t="s">
        <v>6</v>
      </c>
      <c r="OW247">
        <v>2015</v>
      </c>
      <c r="OX247">
        <v>2016</v>
      </c>
      <c r="PA247" t="s">
        <v>1169</v>
      </c>
      <c r="PB247" s="58">
        <v>46104</v>
      </c>
    </row>
    <row r="248" spans="1:418" ht="15.75" thickBot="1">
      <c r="A248" t="s">
        <v>248</v>
      </c>
      <c r="B248" t="s">
        <v>1403</v>
      </c>
      <c r="C248" t="s">
        <v>1404</v>
      </c>
      <c r="D248" s="67" t="s">
        <v>245</v>
      </c>
      <c r="E248" t="s">
        <v>1409</v>
      </c>
      <c r="F248" s="4" t="s">
        <v>1417</v>
      </c>
      <c r="G248" t="s">
        <v>2</v>
      </c>
      <c r="H248" t="s">
        <v>30</v>
      </c>
      <c r="I248">
        <v>7.306944444</v>
      </c>
      <c r="J248">
        <v>38.012222219999998</v>
      </c>
      <c r="K248" t="s">
        <v>29</v>
      </c>
      <c r="AV248" t="s">
        <v>1418</v>
      </c>
      <c r="AW248">
        <v>420</v>
      </c>
      <c r="AX248">
        <v>1.5</v>
      </c>
      <c r="AY248">
        <v>1</v>
      </c>
      <c r="AZ248" t="s">
        <v>836</v>
      </c>
      <c r="BA248">
        <v>2015</v>
      </c>
      <c r="BB248">
        <v>2016</v>
      </c>
      <c r="BD248" t="s">
        <v>19</v>
      </c>
      <c r="BE248" t="s">
        <v>1422</v>
      </c>
      <c r="BF248" t="s">
        <v>299</v>
      </c>
      <c r="BG248" s="3" t="s">
        <v>1233</v>
      </c>
      <c r="BH248" t="s">
        <v>23</v>
      </c>
      <c r="BI248" t="s">
        <v>29</v>
      </c>
      <c r="BJ248" t="s">
        <v>22</v>
      </c>
      <c r="BK248">
        <v>53333</v>
      </c>
      <c r="EH248" s="9"/>
      <c r="EI248" s="9"/>
      <c r="EJ248" s="9"/>
      <c r="EK248" s="9"/>
      <c r="EL248" s="9"/>
      <c r="EM248" s="9"/>
      <c r="EN248" s="9"/>
      <c r="EO248" s="9"/>
      <c r="EP248" s="9"/>
      <c r="EQ248" s="9"/>
      <c r="ER248" s="9"/>
      <c r="ES248" s="9"/>
      <c r="ET248" s="9"/>
      <c r="EU248" s="9"/>
      <c r="EV248" s="9"/>
      <c r="EW248" s="9"/>
      <c r="EX248" s="9"/>
      <c r="EY248" s="9"/>
      <c r="EZ248" s="9"/>
      <c r="FA248" s="9"/>
      <c r="FB248" s="9"/>
      <c r="FC248" s="9"/>
      <c r="FD248" s="9"/>
      <c r="FE248" s="9"/>
      <c r="FF248" s="9"/>
      <c r="FG248" s="9"/>
      <c r="FH248" s="9"/>
      <c r="FI248" s="9"/>
      <c r="FJ248" s="9"/>
      <c r="FK248" s="9"/>
      <c r="FL248" s="9"/>
      <c r="FM248" s="9"/>
      <c r="FN248" s="9"/>
      <c r="FO248" s="9"/>
      <c r="FP248" s="9"/>
      <c r="FQ248" s="9"/>
      <c r="FR248" s="9"/>
      <c r="FS248" s="9"/>
      <c r="FT248" s="9"/>
      <c r="FU248" s="9"/>
      <c r="FV248" s="9"/>
      <c r="FW248" s="9"/>
      <c r="FX248" s="9"/>
      <c r="FY248" s="9"/>
      <c r="FZ248" s="9"/>
      <c r="GA248" s="9"/>
      <c r="GB248" s="9"/>
      <c r="GC248" s="9"/>
      <c r="GD248" s="9"/>
      <c r="GE248" s="9"/>
      <c r="GF248" s="9"/>
      <c r="GG248" s="9"/>
      <c r="GH248" s="9"/>
      <c r="GI248" s="9"/>
      <c r="GJ248" s="9"/>
      <c r="GK248" s="9"/>
      <c r="GL248" s="9"/>
      <c r="GM248" s="9"/>
      <c r="GN248" s="9"/>
      <c r="GO248" s="9"/>
      <c r="GP248" s="9"/>
      <c r="GQ248" s="9"/>
      <c r="GR248" s="9"/>
      <c r="GS248" s="9"/>
      <c r="GT248" s="9"/>
      <c r="GU248" s="9"/>
      <c r="GV248" s="9"/>
      <c r="GW248" s="9"/>
      <c r="GX248" s="9"/>
      <c r="GY248" s="9"/>
      <c r="GZ248" s="9"/>
      <c r="HA248" s="9"/>
      <c r="HB248" s="9"/>
      <c r="HC248" s="9"/>
      <c r="HD248" s="9"/>
      <c r="HE248" s="9"/>
      <c r="HF248" s="9"/>
      <c r="HG248" s="9"/>
      <c r="HH248" s="9"/>
      <c r="HI248" s="9"/>
      <c r="HJ248" s="9"/>
      <c r="HK248" s="9"/>
      <c r="HR248" t="s">
        <v>1439</v>
      </c>
      <c r="HW248" s="58"/>
      <c r="HX248" s="58"/>
      <c r="II248" t="s">
        <v>255</v>
      </c>
      <c r="IJ248" t="s">
        <v>19</v>
      </c>
      <c r="JK248" t="s">
        <v>1429</v>
      </c>
      <c r="JL248" s="84" t="s">
        <v>1427</v>
      </c>
      <c r="JM248" t="s">
        <v>14</v>
      </c>
      <c r="JN248" t="s">
        <v>1436</v>
      </c>
      <c r="JO248" s="4" t="s">
        <v>13</v>
      </c>
      <c r="JP248" t="s">
        <v>13</v>
      </c>
      <c r="KW248" t="s">
        <v>1440</v>
      </c>
      <c r="MZ248" t="s">
        <v>1405</v>
      </c>
      <c r="NA248">
        <v>70</v>
      </c>
      <c r="NJ248" t="s">
        <v>1445</v>
      </c>
      <c r="NK248" t="s">
        <v>1413</v>
      </c>
      <c r="NL248" t="s">
        <v>1407</v>
      </c>
      <c r="NM248" s="4" t="s">
        <v>1416</v>
      </c>
      <c r="NN248" s="6" t="s">
        <v>265</v>
      </c>
      <c r="NV248" t="s">
        <v>1447</v>
      </c>
      <c r="NW248" t="s">
        <v>6</v>
      </c>
      <c r="NX248">
        <v>213</v>
      </c>
      <c r="NY248" t="s">
        <v>1446</v>
      </c>
      <c r="NZ248">
        <v>4</v>
      </c>
      <c r="OC248">
        <v>3</v>
      </c>
      <c r="OT248" t="s">
        <v>1410</v>
      </c>
      <c r="OU248" t="s">
        <v>6</v>
      </c>
      <c r="OW248">
        <v>2015</v>
      </c>
      <c r="OX248">
        <v>2016</v>
      </c>
      <c r="PA248" t="s">
        <v>1169</v>
      </c>
      <c r="PB248" s="58">
        <v>46104</v>
      </c>
    </row>
    <row r="249" spans="1:418" ht="15.75" thickBot="1">
      <c r="A249" t="s">
        <v>248</v>
      </c>
      <c r="B249" t="s">
        <v>1403</v>
      </c>
      <c r="C249" t="s">
        <v>1404</v>
      </c>
      <c r="D249" s="67" t="s">
        <v>245</v>
      </c>
      <c r="E249" t="s">
        <v>1409</v>
      </c>
      <c r="F249" s="4" t="s">
        <v>1417</v>
      </c>
      <c r="G249" t="s">
        <v>2</v>
      </c>
      <c r="H249" t="s">
        <v>30</v>
      </c>
      <c r="I249">
        <v>7.306944444</v>
      </c>
      <c r="J249">
        <v>38.012222219999998</v>
      </c>
      <c r="K249" t="s">
        <v>29</v>
      </c>
      <c r="AV249" t="s">
        <v>1418</v>
      </c>
      <c r="AW249">
        <v>420</v>
      </c>
      <c r="AX249">
        <v>1.5</v>
      </c>
      <c r="AY249">
        <v>1</v>
      </c>
      <c r="AZ249" t="s">
        <v>836</v>
      </c>
      <c r="BA249">
        <v>2015</v>
      </c>
      <c r="BB249">
        <v>2016</v>
      </c>
      <c r="BD249" t="s">
        <v>238</v>
      </c>
      <c r="BE249" t="s">
        <v>1424</v>
      </c>
      <c r="BF249" t="s">
        <v>64</v>
      </c>
      <c r="BG249" s="3" t="s">
        <v>1233</v>
      </c>
      <c r="BH249" t="s">
        <v>23</v>
      </c>
      <c r="BI249" t="s">
        <v>29</v>
      </c>
      <c r="BJ249" t="s">
        <v>22</v>
      </c>
      <c r="BK249">
        <v>53333</v>
      </c>
      <c r="BL249" t="s">
        <v>56</v>
      </c>
      <c r="BM249" t="s">
        <v>1426</v>
      </c>
      <c r="BN249" t="s">
        <v>29</v>
      </c>
      <c r="BO249" t="s">
        <v>22</v>
      </c>
      <c r="BP249">
        <v>266666</v>
      </c>
      <c r="EH249" s="9"/>
      <c r="EI249" s="9"/>
      <c r="EJ249" s="9"/>
      <c r="EK249" s="9"/>
      <c r="EL249" s="9"/>
      <c r="EM249" s="9"/>
      <c r="EN249" s="9"/>
      <c r="EO249" s="9"/>
      <c r="EP249" s="9"/>
      <c r="EQ249" s="9"/>
      <c r="ER249" s="9"/>
      <c r="ES249" s="9"/>
      <c r="ET249" s="9"/>
      <c r="EU249" s="9"/>
      <c r="EV249" s="9"/>
      <c r="EW249" s="9"/>
      <c r="EX249" s="9"/>
      <c r="EY249" s="9"/>
      <c r="EZ249" s="9"/>
      <c r="FA249" s="9"/>
      <c r="FB249" s="9"/>
      <c r="FC249" s="9"/>
      <c r="FD249" s="9"/>
      <c r="FE249" s="9"/>
      <c r="FF249" s="9"/>
      <c r="FG249" s="9"/>
      <c r="FH249" s="9"/>
      <c r="FI249" s="9"/>
      <c r="FJ249" s="9"/>
      <c r="FK249" s="9"/>
      <c r="FL249" s="9"/>
      <c r="FM249" s="9"/>
      <c r="FN249" s="9"/>
      <c r="FO249" s="9"/>
      <c r="FP249" s="9"/>
      <c r="FQ249" s="9"/>
      <c r="FR249" s="9"/>
      <c r="FS249" s="9"/>
      <c r="FT249" s="9"/>
      <c r="FU249" s="9"/>
      <c r="FV249" s="9"/>
      <c r="FW249" s="9"/>
      <c r="FX249" s="9"/>
      <c r="FY249" s="9"/>
      <c r="FZ249" s="9"/>
      <c r="GA249" s="9"/>
      <c r="GB249" s="9"/>
      <c r="GC249" s="9"/>
      <c r="GD249" s="9"/>
      <c r="GE249" s="9"/>
      <c r="GF249" s="9"/>
      <c r="GG249" s="9"/>
      <c r="GH249" s="9"/>
      <c r="GI249" s="9"/>
      <c r="GJ249" s="9"/>
      <c r="GK249" s="9"/>
      <c r="GL249" s="9"/>
      <c r="GM249" s="9"/>
      <c r="GN249" s="9"/>
      <c r="GO249" s="9"/>
      <c r="GP249" s="9"/>
      <c r="GQ249" s="9"/>
      <c r="GR249" s="9"/>
      <c r="GS249" s="9"/>
      <c r="GT249" s="9"/>
      <c r="GU249" s="9"/>
      <c r="GV249" s="9"/>
      <c r="GW249" s="9"/>
      <c r="GX249" s="9"/>
      <c r="GY249" s="9"/>
      <c r="GZ249" s="9"/>
      <c r="HA249" s="9"/>
      <c r="HB249" s="9"/>
      <c r="HC249" s="9"/>
      <c r="HD249" s="9"/>
      <c r="HE249" s="9"/>
      <c r="HF249" s="9"/>
      <c r="HG249" s="9"/>
      <c r="HH249" s="9"/>
      <c r="HI249" s="9"/>
      <c r="HJ249" s="9"/>
      <c r="HK249" s="9"/>
      <c r="HW249" s="58"/>
      <c r="HX249" s="58"/>
      <c r="II249" t="s">
        <v>1432</v>
      </c>
      <c r="IJ249" s="84" t="s">
        <v>1443</v>
      </c>
      <c r="IK249" t="s">
        <v>660</v>
      </c>
      <c r="IL249" t="s">
        <v>661</v>
      </c>
      <c r="IM249" t="s">
        <v>29</v>
      </c>
      <c r="IN249" t="s">
        <v>29</v>
      </c>
      <c r="IO249" t="s">
        <v>29</v>
      </c>
      <c r="JK249" t="s">
        <v>1431</v>
      </c>
      <c r="JL249" t="s">
        <v>1430</v>
      </c>
      <c r="JM249" t="s">
        <v>14</v>
      </c>
      <c r="JN249" t="s">
        <v>1436</v>
      </c>
      <c r="JO249" s="4" t="s">
        <v>13</v>
      </c>
      <c r="JP249" t="s">
        <v>1438</v>
      </c>
      <c r="MZ249" t="s">
        <v>1405</v>
      </c>
      <c r="NA249">
        <v>70</v>
      </c>
      <c r="NJ249" t="s">
        <v>1445</v>
      </c>
      <c r="NK249" t="s">
        <v>1413</v>
      </c>
      <c r="NL249" t="s">
        <v>1407</v>
      </c>
      <c r="NM249" s="4" t="s">
        <v>1416</v>
      </c>
      <c r="NN249" s="6" t="s">
        <v>265</v>
      </c>
      <c r="NW249" t="s">
        <v>6</v>
      </c>
      <c r="NX249">
        <v>182</v>
      </c>
      <c r="NY249" t="s">
        <v>1446</v>
      </c>
      <c r="NZ249">
        <v>4</v>
      </c>
      <c r="OC249">
        <v>3</v>
      </c>
      <c r="OT249" t="s">
        <v>1410</v>
      </c>
      <c r="OU249" t="s">
        <v>6</v>
      </c>
      <c r="OW249">
        <v>2015</v>
      </c>
      <c r="OX249">
        <v>2016</v>
      </c>
      <c r="PA249" t="s">
        <v>1169</v>
      </c>
      <c r="PB249" s="58">
        <v>46104</v>
      </c>
    </row>
    <row r="250" spans="1:418" ht="15.75" thickBot="1">
      <c r="A250" t="s">
        <v>248</v>
      </c>
      <c r="B250" t="s">
        <v>1403</v>
      </c>
      <c r="C250" t="s">
        <v>1404</v>
      </c>
      <c r="D250" s="67" t="s">
        <v>245</v>
      </c>
      <c r="E250" t="s">
        <v>1409</v>
      </c>
      <c r="F250" s="4" t="s">
        <v>1417</v>
      </c>
      <c r="G250" t="s">
        <v>2</v>
      </c>
      <c r="H250" t="s">
        <v>30</v>
      </c>
      <c r="I250">
        <v>7.306944444</v>
      </c>
      <c r="J250">
        <v>38.012222219999998</v>
      </c>
      <c r="K250" t="s">
        <v>29</v>
      </c>
      <c r="AV250" t="s">
        <v>1418</v>
      </c>
      <c r="AW250">
        <v>420</v>
      </c>
      <c r="AX250">
        <v>1.5</v>
      </c>
      <c r="AY250">
        <v>1</v>
      </c>
      <c r="AZ250" t="s">
        <v>836</v>
      </c>
      <c r="BA250">
        <v>2015</v>
      </c>
      <c r="BB250">
        <v>2016</v>
      </c>
      <c r="BD250" t="s">
        <v>238</v>
      </c>
      <c r="BE250" t="s">
        <v>1425</v>
      </c>
      <c r="BF250" t="s">
        <v>57</v>
      </c>
      <c r="BG250" s="3" t="s">
        <v>1233</v>
      </c>
      <c r="BH250" t="s">
        <v>23</v>
      </c>
      <c r="BI250" t="s">
        <v>29</v>
      </c>
      <c r="BJ250" t="s">
        <v>22</v>
      </c>
      <c r="BK250">
        <v>53333</v>
      </c>
      <c r="BL250" t="s">
        <v>56</v>
      </c>
      <c r="BM250" t="s">
        <v>1414</v>
      </c>
      <c r="BN250" t="s">
        <v>29</v>
      </c>
      <c r="BO250" t="s">
        <v>22</v>
      </c>
      <c r="BP250">
        <v>66666</v>
      </c>
      <c r="EH250" s="9"/>
      <c r="EI250" s="9"/>
      <c r="EJ250" s="9"/>
      <c r="EK250" s="9"/>
      <c r="EL250" s="9"/>
      <c r="EM250" s="9"/>
      <c r="EN250" s="9"/>
      <c r="EO250" s="9"/>
      <c r="EP250" s="9"/>
      <c r="EQ250" s="9"/>
      <c r="ER250" s="9"/>
      <c r="ES250" s="9"/>
      <c r="ET250" s="9"/>
      <c r="EU250" s="9"/>
      <c r="EV250" s="9"/>
      <c r="EW250" s="9"/>
      <c r="EX250" s="9"/>
      <c r="EY250" s="9"/>
      <c r="EZ250" s="9"/>
      <c r="FA250" s="9"/>
      <c r="FB250" s="9"/>
      <c r="FC250" s="9"/>
      <c r="FD250" s="9"/>
      <c r="FE250" s="9"/>
      <c r="FF250" s="9"/>
      <c r="FG250" s="9"/>
      <c r="FH250" s="9"/>
      <c r="FI250" s="9"/>
      <c r="FJ250" s="9"/>
      <c r="FK250" s="9"/>
      <c r="FL250" s="9"/>
      <c r="FM250" s="9"/>
      <c r="FN250" s="9"/>
      <c r="FO250" s="9"/>
      <c r="FP250" s="9"/>
      <c r="FQ250" s="9"/>
      <c r="FR250" s="9"/>
      <c r="FS250" s="9"/>
      <c r="FT250" s="9"/>
      <c r="FU250" s="9"/>
      <c r="FV250" s="9"/>
      <c r="FW250" s="9"/>
      <c r="FX250" s="9"/>
      <c r="FY250" s="9"/>
      <c r="FZ250" s="9"/>
      <c r="GA250" s="9"/>
      <c r="GB250" s="9"/>
      <c r="GC250" s="9"/>
      <c r="GD250" s="9"/>
      <c r="GE250" s="9"/>
      <c r="GF250" s="9"/>
      <c r="GG250" s="9"/>
      <c r="GH250" s="9"/>
      <c r="GI250" s="9"/>
      <c r="GJ250" s="9"/>
      <c r="GK250" s="9"/>
      <c r="GL250" s="9"/>
      <c r="GM250" s="9"/>
      <c r="GN250" s="9"/>
      <c r="GO250" s="9"/>
      <c r="GP250" s="9"/>
      <c r="GQ250" s="9"/>
      <c r="GR250" s="9"/>
      <c r="GS250" s="9"/>
      <c r="GT250" s="9"/>
      <c r="GU250" s="9"/>
      <c r="GV250" s="9"/>
      <c r="GW250" s="9"/>
      <c r="GX250" s="9"/>
      <c r="GY250" s="9"/>
      <c r="GZ250" s="9"/>
      <c r="HA250" s="9"/>
      <c r="HB250" s="9"/>
      <c r="HC250" s="9"/>
      <c r="HD250" s="9"/>
      <c r="HE250" s="9"/>
      <c r="HF250" s="9"/>
      <c r="HG250" s="9"/>
      <c r="HH250" s="9"/>
      <c r="HI250" s="9"/>
      <c r="HJ250" s="9"/>
      <c r="HK250" s="9"/>
      <c r="HW250" s="58"/>
      <c r="HX250" s="58"/>
      <c r="II250" t="s">
        <v>1433</v>
      </c>
      <c r="IJ250" s="84" t="s">
        <v>1443</v>
      </c>
      <c r="IK250" t="s">
        <v>660</v>
      </c>
      <c r="IL250" t="s">
        <v>661</v>
      </c>
      <c r="IM250" t="s">
        <v>29</v>
      </c>
      <c r="IN250" t="s">
        <v>29</v>
      </c>
      <c r="IO250" t="s">
        <v>29</v>
      </c>
      <c r="JK250" t="s">
        <v>1434</v>
      </c>
      <c r="JL250" t="s">
        <v>1430</v>
      </c>
      <c r="JM250" t="s">
        <v>14</v>
      </c>
      <c r="JN250" t="s">
        <v>1436</v>
      </c>
      <c r="JO250" s="4" t="s">
        <v>13</v>
      </c>
      <c r="JP250" t="s">
        <v>1438</v>
      </c>
      <c r="MZ250" t="s">
        <v>1405</v>
      </c>
      <c r="NA250">
        <v>70</v>
      </c>
      <c r="NJ250" t="s">
        <v>1445</v>
      </c>
      <c r="NK250" t="s">
        <v>1413</v>
      </c>
      <c r="NL250" t="s">
        <v>1407</v>
      </c>
      <c r="NM250" s="4" t="s">
        <v>1416</v>
      </c>
      <c r="NN250" s="6" t="s">
        <v>265</v>
      </c>
      <c r="NW250" t="s">
        <v>6</v>
      </c>
      <c r="NX250">
        <v>218</v>
      </c>
      <c r="NY250" t="s">
        <v>1446</v>
      </c>
      <c r="NZ250">
        <v>4</v>
      </c>
      <c r="OC250">
        <v>3</v>
      </c>
      <c r="OT250" t="s">
        <v>1410</v>
      </c>
      <c r="OU250" t="s">
        <v>6</v>
      </c>
      <c r="OW250">
        <v>2015</v>
      </c>
      <c r="OX250">
        <v>2016</v>
      </c>
      <c r="PA250" t="s">
        <v>1169</v>
      </c>
      <c r="PB250" s="58">
        <v>46104</v>
      </c>
    </row>
    <row r="251" spans="1:418" ht="15.75" thickBot="1">
      <c r="A251" t="s">
        <v>248</v>
      </c>
      <c r="B251" t="s">
        <v>1403</v>
      </c>
      <c r="C251" t="s">
        <v>1404</v>
      </c>
      <c r="D251" s="67" t="s">
        <v>245</v>
      </c>
      <c r="E251" t="s">
        <v>1409</v>
      </c>
      <c r="F251" s="4" t="s">
        <v>1417</v>
      </c>
      <c r="G251" t="s">
        <v>2</v>
      </c>
      <c r="H251" t="s">
        <v>30</v>
      </c>
      <c r="I251">
        <v>7.306944444</v>
      </c>
      <c r="J251">
        <v>38.012222219999998</v>
      </c>
      <c r="K251" t="s">
        <v>29</v>
      </c>
      <c r="AV251" t="s">
        <v>1418</v>
      </c>
      <c r="AW251">
        <v>420</v>
      </c>
      <c r="AX251">
        <v>1.5</v>
      </c>
      <c r="AY251">
        <v>1</v>
      </c>
      <c r="AZ251" t="s">
        <v>836</v>
      </c>
      <c r="BA251">
        <v>2015</v>
      </c>
      <c r="BB251">
        <v>2016</v>
      </c>
      <c r="BD251" t="s">
        <v>19</v>
      </c>
      <c r="BE251" t="s">
        <v>1423</v>
      </c>
      <c r="BF251" t="s">
        <v>256</v>
      </c>
      <c r="BG251" s="3" t="s">
        <v>1233</v>
      </c>
      <c r="BH251" t="s">
        <v>23</v>
      </c>
      <c r="BI251" t="s">
        <v>29</v>
      </c>
      <c r="BJ251" t="s">
        <v>22</v>
      </c>
      <c r="BK251">
        <v>53333</v>
      </c>
      <c r="EH251" s="9"/>
      <c r="EI251" s="9"/>
      <c r="EJ251" s="9"/>
      <c r="EK251" s="9"/>
      <c r="EL251" s="9"/>
      <c r="EM251" s="9"/>
      <c r="EN251" s="9"/>
      <c r="EO251" s="9"/>
      <c r="EP251" s="9"/>
      <c r="EQ251" s="9"/>
      <c r="ER251" s="9"/>
      <c r="ES251" s="9"/>
      <c r="ET251" s="9"/>
      <c r="EU251" s="9"/>
      <c r="EV251" s="9"/>
      <c r="EW251" s="9"/>
      <c r="EX251" s="9"/>
      <c r="EY251" s="9"/>
      <c r="EZ251" s="9"/>
      <c r="FA251" s="9"/>
      <c r="FB251" s="9"/>
      <c r="FC251" s="9"/>
      <c r="FD251" s="9"/>
      <c r="FE251" s="9"/>
      <c r="FF251" s="9"/>
      <c r="FG251" s="9"/>
      <c r="FH251" s="9"/>
      <c r="FI251" s="9"/>
      <c r="FJ251" s="9"/>
      <c r="FK251" s="9"/>
      <c r="FL251" s="9"/>
      <c r="FM251" s="9"/>
      <c r="FN251" s="9"/>
      <c r="FO251" s="9"/>
      <c r="FP251" s="9"/>
      <c r="FQ251" s="9"/>
      <c r="FR251" s="9"/>
      <c r="FS251" s="9"/>
      <c r="FT251" s="9"/>
      <c r="FU251" s="9"/>
      <c r="FV251" s="9"/>
      <c r="FW251" s="9"/>
      <c r="FX251" s="9"/>
      <c r="FY251" s="9"/>
      <c r="FZ251" s="9"/>
      <c r="GA251" s="9"/>
      <c r="GB251" s="9"/>
      <c r="GC251" s="9"/>
      <c r="GD251" s="9"/>
      <c r="GE251" s="9"/>
      <c r="GF251" s="9"/>
      <c r="GG251" s="9"/>
      <c r="GH251" s="9"/>
      <c r="GI251" s="9"/>
      <c r="GJ251" s="9"/>
      <c r="GK251" s="9"/>
      <c r="GL251" s="9"/>
      <c r="GM251" s="9"/>
      <c r="GN251" s="9"/>
      <c r="GO251" s="9"/>
      <c r="GP251" s="9"/>
      <c r="GQ251" s="9"/>
      <c r="GR251" s="9"/>
      <c r="GS251" s="9"/>
      <c r="GT251" s="9"/>
      <c r="GU251" s="9"/>
      <c r="GV251" s="9"/>
      <c r="GW251" s="9"/>
      <c r="GX251" s="9"/>
      <c r="GY251" s="9"/>
      <c r="GZ251" s="9"/>
      <c r="HA251" s="9"/>
      <c r="HB251" s="9"/>
      <c r="HC251" s="9"/>
      <c r="HD251" s="9"/>
      <c r="HE251" s="9"/>
      <c r="HF251" s="9"/>
      <c r="HG251" s="9"/>
      <c r="HH251" s="9"/>
      <c r="HI251" s="9"/>
      <c r="HJ251" s="9"/>
      <c r="HK251" s="9"/>
      <c r="HR251" t="s">
        <v>1439</v>
      </c>
      <c r="HW251" s="58"/>
      <c r="HX251" s="58"/>
      <c r="II251" t="s">
        <v>255</v>
      </c>
      <c r="IJ251" t="s">
        <v>19</v>
      </c>
      <c r="JK251" t="s">
        <v>1435</v>
      </c>
      <c r="JL251" t="s">
        <v>1430</v>
      </c>
      <c r="JM251" t="s">
        <v>14</v>
      </c>
      <c r="JN251" t="s">
        <v>1436</v>
      </c>
      <c r="JO251" s="4" t="s">
        <v>13</v>
      </c>
      <c r="JP251" t="s">
        <v>1438</v>
      </c>
      <c r="MZ251" t="s">
        <v>1405</v>
      </c>
      <c r="NA251">
        <v>70</v>
      </c>
      <c r="NJ251" t="s">
        <v>1445</v>
      </c>
      <c r="NK251" t="s">
        <v>1413</v>
      </c>
      <c r="NL251" t="s">
        <v>1407</v>
      </c>
      <c r="NM251" s="4" t="s">
        <v>1416</v>
      </c>
      <c r="NN251" s="6" t="s">
        <v>265</v>
      </c>
      <c r="NV251" t="s">
        <v>745</v>
      </c>
      <c r="NW251" t="s">
        <v>6</v>
      </c>
      <c r="NX251">
        <v>129</v>
      </c>
      <c r="NY251" t="s">
        <v>1446</v>
      </c>
      <c r="NZ251">
        <v>4</v>
      </c>
      <c r="OC251">
        <v>3</v>
      </c>
      <c r="OT251" t="s">
        <v>1410</v>
      </c>
      <c r="OU251" t="s">
        <v>6</v>
      </c>
      <c r="OW251">
        <v>2015</v>
      </c>
      <c r="OX251">
        <v>2016</v>
      </c>
      <c r="PA251" t="s">
        <v>1169</v>
      </c>
      <c r="PB251" s="58">
        <v>46104</v>
      </c>
    </row>
    <row r="252" spans="1:418" ht="15.75" thickBot="1">
      <c r="A252" t="s">
        <v>248</v>
      </c>
      <c r="B252" t="s">
        <v>1403</v>
      </c>
      <c r="C252" t="s">
        <v>1404</v>
      </c>
      <c r="D252" s="67" t="s">
        <v>245</v>
      </c>
      <c r="E252" t="s">
        <v>1411</v>
      </c>
      <c r="F252" s="4" t="s">
        <v>1417</v>
      </c>
      <c r="G252" t="s">
        <v>2</v>
      </c>
      <c r="H252" t="s">
        <v>30</v>
      </c>
      <c r="I252">
        <v>6.7519444440000003</v>
      </c>
      <c r="J252">
        <v>38.33361111</v>
      </c>
      <c r="K252" t="s">
        <v>29</v>
      </c>
      <c r="AV252" t="s">
        <v>1418</v>
      </c>
      <c r="AW252">
        <v>420</v>
      </c>
      <c r="AX252">
        <v>0.18</v>
      </c>
      <c r="AY252">
        <v>1</v>
      </c>
      <c r="AZ252" t="s">
        <v>836</v>
      </c>
      <c r="BA252">
        <v>2015</v>
      </c>
      <c r="BB252">
        <v>2016</v>
      </c>
      <c r="BD252" t="s">
        <v>19</v>
      </c>
      <c r="BE252" t="s">
        <v>1420</v>
      </c>
      <c r="BF252" t="s">
        <v>39</v>
      </c>
      <c r="BG252" s="3" t="s">
        <v>1233</v>
      </c>
      <c r="BH252" t="s">
        <v>23</v>
      </c>
      <c r="BI252" t="s">
        <v>29</v>
      </c>
      <c r="BJ252" s="4" t="s">
        <v>22</v>
      </c>
      <c r="BK252">
        <v>53333</v>
      </c>
      <c r="EH252" s="9"/>
      <c r="EI252" s="9"/>
      <c r="EJ252" s="9"/>
      <c r="EK252" s="9"/>
      <c r="EL252" s="9"/>
      <c r="EM252" s="9"/>
      <c r="EN252" s="9"/>
      <c r="EO252" s="9"/>
      <c r="EP252" s="9"/>
      <c r="EQ252" s="9"/>
      <c r="ER252" s="9"/>
      <c r="ES252" s="9"/>
      <c r="ET252" s="9"/>
      <c r="EU252" s="9"/>
      <c r="EV252" s="9"/>
      <c r="EW252" s="9"/>
      <c r="EX252" s="9"/>
      <c r="EY252" s="9"/>
      <c r="EZ252" s="9"/>
      <c r="FA252" s="9"/>
      <c r="FB252" s="9"/>
      <c r="FC252" s="9"/>
      <c r="FD252" s="9"/>
      <c r="FE252" s="9"/>
      <c r="FF252" s="9"/>
      <c r="FG252" s="9"/>
      <c r="FH252" s="9"/>
      <c r="FI252" s="9"/>
      <c r="FJ252" s="9"/>
      <c r="FK252" s="9"/>
      <c r="FL252" s="9"/>
      <c r="FM252" s="9"/>
      <c r="FN252" s="9"/>
      <c r="FO252" s="9"/>
      <c r="FP252" s="9"/>
      <c r="FQ252" s="9"/>
      <c r="FR252" s="9"/>
      <c r="FS252" s="9"/>
      <c r="FT252" s="9"/>
      <c r="FU252" s="9"/>
      <c r="FV252" s="9"/>
      <c r="FW252" s="9"/>
      <c r="FX252" s="9"/>
      <c r="FY252" s="9"/>
      <c r="FZ252" s="9"/>
      <c r="GA252" s="9"/>
      <c r="GB252" s="9"/>
      <c r="GC252" s="9"/>
      <c r="GD252" s="9"/>
      <c r="GE252" s="9"/>
      <c r="GF252" s="9"/>
      <c r="GG252" s="9"/>
      <c r="GH252" s="9"/>
      <c r="GI252" s="9"/>
      <c r="GJ252" s="9"/>
      <c r="GK252" s="9"/>
      <c r="GL252" s="9"/>
      <c r="GM252" s="9"/>
      <c r="GN252" s="9"/>
      <c r="GO252" s="9"/>
      <c r="GP252" s="9"/>
      <c r="GQ252" s="9"/>
      <c r="GR252" s="9"/>
      <c r="GS252" s="9"/>
      <c r="GT252" s="9"/>
      <c r="GU252" s="9"/>
      <c r="GV252" s="9"/>
      <c r="GW252" s="9"/>
      <c r="GX252" s="9"/>
      <c r="GY252" s="9"/>
      <c r="GZ252" s="9"/>
      <c r="HA252" s="9"/>
      <c r="HB252" s="9"/>
      <c r="HC252" s="9"/>
      <c r="HD252" s="9"/>
      <c r="HE252" s="9"/>
      <c r="HF252" s="9"/>
      <c r="HG252" s="9"/>
      <c r="HH252" s="9"/>
      <c r="HI252" s="9"/>
      <c r="HJ252" s="9"/>
      <c r="HK252" s="9"/>
      <c r="HW252" s="58"/>
      <c r="HX252" s="58"/>
      <c r="II252" t="s">
        <v>255</v>
      </c>
      <c r="IJ252" t="s">
        <v>19</v>
      </c>
      <c r="JK252" t="s">
        <v>1419</v>
      </c>
      <c r="JL252" s="84" t="s">
        <v>1427</v>
      </c>
      <c r="JM252" s="8" t="s">
        <v>14</v>
      </c>
      <c r="JN252" s="8" t="s">
        <v>1436</v>
      </c>
      <c r="JO252" s="4" t="s">
        <v>13</v>
      </c>
      <c r="JP252" s="4" t="s">
        <v>13</v>
      </c>
      <c r="MZ252" t="s">
        <v>1405</v>
      </c>
      <c r="NA252">
        <v>70</v>
      </c>
      <c r="NJ252" t="s">
        <v>1445</v>
      </c>
      <c r="NK252" t="s">
        <v>1413</v>
      </c>
      <c r="NL252" t="s">
        <v>1407</v>
      </c>
      <c r="NM252" s="4" t="s">
        <v>1416</v>
      </c>
      <c r="NN252" s="6" t="s">
        <v>265</v>
      </c>
      <c r="NV252" t="s">
        <v>1447</v>
      </c>
      <c r="NW252" t="s">
        <v>6</v>
      </c>
      <c r="NX252">
        <v>213</v>
      </c>
      <c r="NY252" t="s">
        <v>1446</v>
      </c>
      <c r="NZ252">
        <v>4</v>
      </c>
      <c r="OC252">
        <v>3</v>
      </c>
      <c r="OT252" t="s">
        <v>1412</v>
      </c>
      <c r="OU252" t="s">
        <v>6</v>
      </c>
      <c r="OW252">
        <v>2015</v>
      </c>
      <c r="OX252">
        <v>2016</v>
      </c>
      <c r="PA252" t="s">
        <v>1169</v>
      </c>
      <c r="PB252" s="58">
        <v>46104</v>
      </c>
    </row>
    <row r="253" spans="1:418" ht="15.75" thickBot="1">
      <c r="A253" t="s">
        <v>248</v>
      </c>
      <c r="B253" t="s">
        <v>1403</v>
      </c>
      <c r="C253" t="s">
        <v>1404</v>
      </c>
      <c r="D253" s="67" t="s">
        <v>245</v>
      </c>
      <c r="E253" t="s">
        <v>1411</v>
      </c>
      <c r="F253" s="4" t="s">
        <v>1417</v>
      </c>
      <c r="G253" t="s">
        <v>2</v>
      </c>
      <c r="H253" t="s">
        <v>30</v>
      </c>
      <c r="I253">
        <v>6.7519444440000003</v>
      </c>
      <c r="J253">
        <v>38.33361111</v>
      </c>
      <c r="K253" t="s">
        <v>29</v>
      </c>
      <c r="AV253" t="s">
        <v>1418</v>
      </c>
      <c r="AW253">
        <v>420</v>
      </c>
      <c r="AX253">
        <v>0.18</v>
      </c>
      <c r="AY253">
        <v>1</v>
      </c>
      <c r="AZ253" t="s">
        <v>836</v>
      </c>
      <c r="BA253">
        <v>2015</v>
      </c>
      <c r="BB253">
        <v>2016</v>
      </c>
      <c r="BD253" t="s">
        <v>19</v>
      </c>
      <c r="BE253" t="s">
        <v>1421</v>
      </c>
      <c r="BF253" t="s">
        <v>24</v>
      </c>
      <c r="BG253" s="3" t="s">
        <v>1233</v>
      </c>
      <c r="BH253" t="s">
        <v>23</v>
      </c>
      <c r="BI253" t="s">
        <v>29</v>
      </c>
      <c r="BJ253" t="s">
        <v>22</v>
      </c>
      <c r="BK253">
        <v>53333</v>
      </c>
      <c r="EH253" s="9"/>
      <c r="EI253" s="9"/>
      <c r="EJ253" s="9"/>
      <c r="EK253" s="9"/>
      <c r="EL253" s="9"/>
      <c r="EM253" s="9"/>
      <c r="EN253" s="9"/>
      <c r="EO253" s="9"/>
      <c r="EP253" s="9"/>
      <c r="EQ253" s="9"/>
      <c r="ER253" s="9"/>
      <c r="ES253" s="9"/>
      <c r="ET253" s="9"/>
      <c r="EU253" s="9"/>
      <c r="EV253" s="9"/>
      <c r="EW253" s="9"/>
      <c r="EX253" s="9"/>
      <c r="EY253" s="9"/>
      <c r="EZ253" s="9"/>
      <c r="FA253" s="9"/>
      <c r="FB253" s="9"/>
      <c r="FC253" s="9"/>
      <c r="FD253" s="9"/>
      <c r="FE253" s="9"/>
      <c r="FF253" s="9"/>
      <c r="FG253" s="9"/>
      <c r="FH253" s="9"/>
      <c r="FI253" s="9"/>
      <c r="FJ253" s="9"/>
      <c r="FK253" s="9"/>
      <c r="FL253" s="9"/>
      <c r="FM253" s="9"/>
      <c r="FN253" s="9"/>
      <c r="FO253" s="9"/>
      <c r="FP253" s="9"/>
      <c r="FQ253" s="9"/>
      <c r="FR253" s="9"/>
      <c r="FS253" s="9"/>
      <c r="FT253" s="9"/>
      <c r="FU253" s="9"/>
      <c r="FV253" s="9"/>
      <c r="FW253" s="9"/>
      <c r="FX253" s="9"/>
      <c r="FY253" s="9"/>
      <c r="FZ253" s="9"/>
      <c r="GA253" s="9"/>
      <c r="GB253" s="9"/>
      <c r="GC253" s="9"/>
      <c r="GD253" s="9"/>
      <c r="GE253" s="9"/>
      <c r="GF253" s="9"/>
      <c r="GG253" s="9"/>
      <c r="GH253" s="9"/>
      <c r="GI253" s="9"/>
      <c r="GJ253" s="9"/>
      <c r="GK253" s="9"/>
      <c r="GL253" s="9"/>
      <c r="GM253" s="9"/>
      <c r="GN253" s="9"/>
      <c r="GO253" s="9"/>
      <c r="GP253" s="9"/>
      <c r="GQ253" s="9"/>
      <c r="GR253" s="9"/>
      <c r="GS253" s="9"/>
      <c r="GT253" s="9"/>
      <c r="GU253" s="9"/>
      <c r="GV253" s="9"/>
      <c r="GW253" s="9"/>
      <c r="GX253" s="9"/>
      <c r="GY253" s="9"/>
      <c r="GZ253" s="9"/>
      <c r="HA253" s="9"/>
      <c r="HB253" s="9"/>
      <c r="HC253" s="9"/>
      <c r="HD253" s="9"/>
      <c r="HE253" s="9"/>
      <c r="HF253" s="9"/>
      <c r="HG253" s="9"/>
      <c r="HH253" s="9"/>
      <c r="HI253" s="9"/>
      <c r="HJ253" s="9"/>
      <c r="HK253" s="9"/>
      <c r="HW253" s="58"/>
      <c r="HX253" s="58"/>
      <c r="II253" t="s">
        <v>255</v>
      </c>
      <c r="IJ253" t="s">
        <v>19</v>
      </c>
      <c r="JK253" t="s">
        <v>1428</v>
      </c>
      <c r="JL253" s="54" t="s">
        <v>1430</v>
      </c>
      <c r="JM253" t="s">
        <v>14</v>
      </c>
      <c r="JN253" s="8" t="s">
        <v>1436</v>
      </c>
      <c r="JO253" s="4" t="s">
        <v>13</v>
      </c>
      <c r="JP253" s="4" t="s">
        <v>13</v>
      </c>
      <c r="MZ253" t="s">
        <v>1405</v>
      </c>
      <c r="NA253">
        <v>70</v>
      </c>
      <c r="NJ253" t="s">
        <v>1445</v>
      </c>
      <c r="NK253" t="s">
        <v>1413</v>
      </c>
      <c r="NL253" t="s">
        <v>1407</v>
      </c>
      <c r="NM253" s="4" t="s">
        <v>1416</v>
      </c>
      <c r="NN253" s="6" t="s">
        <v>265</v>
      </c>
      <c r="NV253" t="s">
        <v>745</v>
      </c>
      <c r="NW253" t="s">
        <v>6</v>
      </c>
      <c r="NX253">
        <v>129</v>
      </c>
      <c r="NY253" t="s">
        <v>1446</v>
      </c>
      <c r="NZ253">
        <v>4</v>
      </c>
      <c r="OC253">
        <v>3</v>
      </c>
      <c r="OT253" t="s">
        <v>1412</v>
      </c>
      <c r="OU253" t="s">
        <v>6</v>
      </c>
      <c r="OW253">
        <v>2015</v>
      </c>
      <c r="OX253">
        <v>2016</v>
      </c>
      <c r="PA253" t="s">
        <v>1169</v>
      </c>
      <c r="PB253" s="58">
        <v>46104</v>
      </c>
    </row>
    <row r="254" spans="1:418" ht="15.75" thickBot="1">
      <c r="A254" t="s">
        <v>248</v>
      </c>
      <c r="B254" t="s">
        <v>1403</v>
      </c>
      <c r="C254" t="s">
        <v>1404</v>
      </c>
      <c r="D254" s="67" t="s">
        <v>245</v>
      </c>
      <c r="E254" t="s">
        <v>1411</v>
      </c>
      <c r="F254" s="4" t="s">
        <v>1417</v>
      </c>
      <c r="G254" t="s">
        <v>2</v>
      </c>
      <c r="H254" t="s">
        <v>30</v>
      </c>
      <c r="I254">
        <v>6.7519444440000003</v>
      </c>
      <c r="J254">
        <v>38.33361111</v>
      </c>
      <c r="K254" t="s">
        <v>29</v>
      </c>
      <c r="AV254" t="s">
        <v>1418</v>
      </c>
      <c r="AW254">
        <v>420</v>
      </c>
      <c r="AX254">
        <v>0.18</v>
      </c>
      <c r="AY254">
        <v>1</v>
      </c>
      <c r="AZ254" t="s">
        <v>836</v>
      </c>
      <c r="BA254">
        <v>2015</v>
      </c>
      <c r="BB254">
        <v>2016</v>
      </c>
      <c r="BD254" t="s">
        <v>19</v>
      </c>
      <c r="BE254" t="s">
        <v>1422</v>
      </c>
      <c r="BF254" t="s">
        <v>299</v>
      </c>
      <c r="BG254" s="3" t="s">
        <v>1233</v>
      </c>
      <c r="BH254" t="s">
        <v>23</v>
      </c>
      <c r="BI254" t="s">
        <v>29</v>
      </c>
      <c r="BJ254" t="s">
        <v>22</v>
      </c>
      <c r="BK254">
        <v>53333</v>
      </c>
      <c r="EH254" s="9"/>
      <c r="EI254" s="9"/>
      <c r="EJ254" s="9"/>
      <c r="EK254" s="9"/>
      <c r="EL254" s="9"/>
      <c r="EM254" s="9"/>
      <c r="EN254" s="9"/>
      <c r="EO254" s="9"/>
      <c r="EP254" s="9"/>
      <c r="EQ254" s="9"/>
      <c r="ER254" s="9"/>
      <c r="ES254" s="9"/>
      <c r="ET254" s="9"/>
      <c r="EU254" s="9"/>
      <c r="EV254" s="9"/>
      <c r="EW254" s="9"/>
      <c r="EX254" s="9"/>
      <c r="EY254" s="9"/>
      <c r="EZ254" s="9"/>
      <c r="FA254" s="9"/>
      <c r="FB254" s="9"/>
      <c r="FC254" s="9"/>
      <c r="FD254" s="9"/>
      <c r="FE254" s="9"/>
      <c r="FF254" s="9"/>
      <c r="FG254" s="9"/>
      <c r="FH254" s="9"/>
      <c r="FI254" s="9"/>
      <c r="FJ254" s="9"/>
      <c r="FK254" s="9"/>
      <c r="FL254" s="9"/>
      <c r="FM254" s="9"/>
      <c r="FN254" s="9"/>
      <c r="FO254" s="9"/>
      <c r="FP254" s="9"/>
      <c r="FQ254" s="9"/>
      <c r="FR254" s="9"/>
      <c r="FS254" s="9"/>
      <c r="FT254" s="9"/>
      <c r="FU254" s="9"/>
      <c r="FV254" s="9"/>
      <c r="FW254" s="9"/>
      <c r="FX254" s="9"/>
      <c r="FY254" s="9"/>
      <c r="FZ254" s="9"/>
      <c r="GA254" s="9"/>
      <c r="GB254" s="9"/>
      <c r="GC254" s="9"/>
      <c r="GD254" s="9"/>
      <c r="GE254" s="9"/>
      <c r="GF254" s="9"/>
      <c r="GG254" s="9"/>
      <c r="GH254" s="9"/>
      <c r="GI254" s="9"/>
      <c r="GJ254" s="9"/>
      <c r="GK254" s="9"/>
      <c r="GL254" s="9"/>
      <c r="GM254" s="9"/>
      <c r="GN254" s="9"/>
      <c r="GO254" s="9"/>
      <c r="GP254" s="9"/>
      <c r="GQ254" s="9"/>
      <c r="GR254" s="9"/>
      <c r="GS254" s="9"/>
      <c r="GT254" s="9"/>
      <c r="GU254" s="9"/>
      <c r="GV254" s="9"/>
      <c r="GW254" s="9"/>
      <c r="GX254" s="9"/>
      <c r="GY254" s="9"/>
      <c r="GZ254" s="9"/>
      <c r="HA254" s="9"/>
      <c r="HB254" s="9"/>
      <c r="HC254" s="9"/>
      <c r="HD254" s="9"/>
      <c r="HE254" s="9"/>
      <c r="HF254" s="9"/>
      <c r="HG254" s="9"/>
      <c r="HH254" s="9"/>
      <c r="HI254" s="9"/>
      <c r="HJ254" s="9"/>
      <c r="HK254" s="9"/>
      <c r="HR254" t="s">
        <v>1439</v>
      </c>
      <c r="HW254" s="58"/>
      <c r="HX254" s="58"/>
      <c r="II254" t="s">
        <v>255</v>
      </c>
      <c r="IJ254" t="s">
        <v>19</v>
      </c>
      <c r="JK254" t="s">
        <v>1429</v>
      </c>
      <c r="JL254" s="84" t="s">
        <v>1427</v>
      </c>
      <c r="JM254" t="s">
        <v>14</v>
      </c>
      <c r="JN254" t="s">
        <v>1436</v>
      </c>
      <c r="JO254" s="4" t="s">
        <v>13</v>
      </c>
      <c r="JP254" t="s">
        <v>13</v>
      </c>
      <c r="KW254" t="s">
        <v>1440</v>
      </c>
      <c r="MZ254" t="s">
        <v>1405</v>
      </c>
      <c r="NA254">
        <v>70</v>
      </c>
      <c r="NJ254" t="s">
        <v>1445</v>
      </c>
      <c r="NK254" t="s">
        <v>1413</v>
      </c>
      <c r="NL254" t="s">
        <v>1407</v>
      </c>
      <c r="NM254" s="4" t="s">
        <v>1416</v>
      </c>
      <c r="NN254" s="6" t="s">
        <v>265</v>
      </c>
      <c r="NV254" t="s">
        <v>1447</v>
      </c>
      <c r="NW254" t="s">
        <v>6</v>
      </c>
      <c r="NX254">
        <v>213</v>
      </c>
      <c r="NY254" t="s">
        <v>1446</v>
      </c>
      <c r="NZ254">
        <v>4</v>
      </c>
      <c r="OC254">
        <v>3</v>
      </c>
      <c r="OT254" t="s">
        <v>1412</v>
      </c>
      <c r="OU254" t="s">
        <v>6</v>
      </c>
      <c r="OW254">
        <v>2015</v>
      </c>
      <c r="OX254">
        <v>2016</v>
      </c>
      <c r="PA254" t="s">
        <v>1169</v>
      </c>
      <c r="PB254" s="58">
        <v>46104</v>
      </c>
    </row>
    <row r="255" spans="1:418" ht="15.75" thickBot="1">
      <c r="A255" t="s">
        <v>248</v>
      </c>
      <c r="B255" t="s">
        <v>1403</v>
      </c>
      <c r="C255" t="s">
        <v>1404</v>
      </c>
      <c r="D255" s="67" t="s">
        <v>245</v>
      </c>
      <c r="E255" t="s">
        <v>1411</v>
      </c>
      <c r="F255" s="4" t="s">
        <v>1417</v>
      </c>
      <c r="G255" t="s">
        <v>2</v>
      </c>
      <c r="H255" t="s">
        <v>30</v>
      </c>
      <c r="I255">
        <v>6.7519444440000003</v>
      </c>
      <c r="J255">
        <v>38.33361111</v>
      </c>
      <c r="K255" t="s">
        <v>29</v>
      </c>
      <c r="AV255" t="s">
        <v>1418</v>
      </c>
      <c r="AW255">
        <v>420</v>
      </c>
      <c r="AX255">
        <v>0.18</v>
      </c>
      <c r="AY255">
        <v>1</v>
      </c>
      <c r="AZ255" t="s">
        <v>836</v>
      </c>
      <c r="BA255">
        <v>2015</v>
      </c>
      <c r="BB255">
        <v>2016</v>
      </c>
      <c r="BD255" t="s">
        <v>238</v>
      </c>
      <c r="BE255" t="s">
        <v>1424</v>
      </c>
      <c r="BF255" t="s">
        <v>64</v>
      </c>
      <c r="BG255" s="3" t="s">
        <v>1233</v>
      </c>
      <c r="BH255" t="s">
        <v>23</v>
      </c>
      <c r="BI255" t="s">
        <v>29</v>
      </c>
      <c r="BJ255" t="s">
        <v>22</v>
      </c>
      <c r="BK255">
        <v>53333</v>
      </c>
      <c r="BL255" t="s">
        <v>56</v>
      </c>
      <c r="BM255" t="s">
        <v>1426</v>
      </c>
      <c r="BN255" t="s">
        <v>29</v>
      </c>
      <c r="BO255" t="s">
        <v>22</v>
      </c>
      <c r="BP255">
        <v>266666</v>
      </c>
      <c r="EH255" s="9"/>
      <c r="EI255" s="9"/>
      <c r="EJ255" s="9"/>
      <c r="EK255" s="9"/>
      <c r="EL255" s="9"/>
      <c r="EM255" s="9"/>
      <c r="EN255" s="9"/>
      <c r="EO255" s="9"/>
      <c r="EP255" s="9"/>
      <c r="EQ255" s="9"/>
      <c r="ER255" s="9"/>
      <c r="ES255" s="9"/>
      <c r="ET255" s="9"/>
      <c r="EU255" s="9"/>
      <c r="EV255" s="9"/>
      <c r="EW255" s="9"/>
      <c r="EX255" s="9"/>
      <c r="EY255" s="9"/>
      <c r="EZ255" s="9"/>
      <c r="FA255" s="9"/>
      <c r="FB255" s="9"/>
      <c r="FC255" s="9"/>
      <c r="FD255" s="9"/>
      <c r="FE255" s="9"/>
      <c r="FF255" s="9"/>
      <c r="FG255" s="9"/>
      <c r="FH255" s="9"/>
      <c r="FI255" s="9"/>
      <c r="FJ255" s="9"/>
      <c r="FK255" s="9"/>
      <c r="FL255" s="9"/>
      <c r="FM255" s="9"/>
      <c r="FN255" s="9"/>
      <c r="FO255" s="9"/>
      <c r="FP255" s="9"/>
      <c r="FQ255" s="9"/>
      <c r="FR255" s="9"/>
      <c r="FS255" s="9"/>
      <c r="FT255" s="9"/>
      <c r="FU255" s="9"/>
      <c r="FV255" s="9"/>
      <c r="FW255" s="9"/>
      <c r="FX255" s="9"/>
      <c r="FY255" s="9"/>
      <c r="FZ255" s="9"/>
      <c r="GA255" s="9"/>
      <c r="GB255" s="9"/>
      <c r="GC255" s="9"/>
      <c r="GD255" s="9"/>
      <c r="GE255" s="9"/>
      <c r="GF255" s="9"/>
      <c r="GG255" s="9"/>
      <c r="GH255" s="9"/>
      <c r="GI255" s="9"/>
      <c r="GJ255" s="9"/>
      <c r="GK255" s="9"/>
      <c r="GL255" s="9"/>
      <c r="GM255" s="9"/>
      <c r="GN255" s="9"/>
      <c r="GO255" s="9"/>
      <c r="GP255" s="9"/>
      <c r="GQ255" s="9"/>
      <c r="GR255" s="9"/>
      <c r="GS255" s="9"/>
      <c r="GT255" s="9"/>
      <c r="GU255" s="9"/>
      <c r="GV255" s="9"/>
      <c r="GW255" s="9"/>
      <c r="GX255" s="9"/>
      <c r="GY255" s="9"/>
      <c r="GZ255" s="9"/>
      <c r="HA255" s="9"/>
      <c r="HB255" s="9"/>
      <c r="HC255" s="9"/>
      <c r="HD255" s="9"/>
      <c r="HE255" s="9"/>
      <c r="HF255" s="9"/>
      <c r="HG255" s="9"/>
      <c r="HH255" s="9"/>
      <c r="HI255" s="9"/>
      <c r="HJ255" s="9"/>
      <c r="HK255" s="9"/>
      <c r="HW255" s="58"/>
      <c r="HX255" s="58"/>
      <c r="II255" t="s">
        <v>1432</v>
      </c>
      <c r="IJ255" s="84" t="s">
        <v>1443</v>
      </c>
      <c r="IK255" t="s">
        <v>660</v>
      </c>
      <c r="IL255" t="s">
        <v>661</v>
      </c>
      <c r="IM255" t="s">
        <v>29</v>
      </c>
      <c r="IN255" t="s">
        <v>29</v>
      </c>
      <c r="IO255" t="s">
        <v>29</v>
      </c>
      <c r="JK255" t="s">
        <v>1431</v>
      </c>
      <c r="JL255" t="s">
        <v>1430</v>
      </c>
      <c r="JM255" t="s">
        <v>14</v>
      </c>
      <c r="JN255" t="s">
        <v>1436</v>
      </c>
      <c r="JO255" s="4" t="s">
        <v>13</v>
      </c>
      <c r="JP255" t="s">
        <v>1438</v>
      </c>
      <c r="MZ255" t="s">
        <v>1405</v>
      </c>
      <c r="NA255">
        <v>70</v>
      </c>
      <c r="NJ255" t="s">
        <v>1445</v>
      </c>
      <c r="NK255" t="s">
        <v>1413</v>
      </c>
      <c r="NL255" t="s">
        <v>1407</v>
      </c>
      <c r="NM255" s="4" t="s">
        <v>1416</v>
      </c>
      <c r="NN255" s="6" t="s">
        <v>265</v>
      </c>
      <c r="NW255" t="s">
        <v>6</v>
      </c>
      <c r="NX255">
        <v>182</v>
      </c>
      <c r="NY255" t="s">
        <v>1446</v>
      </c>
      <c r="NZ255">
        <v>4</v>
      </c>
      <c r="OC255">
        <v>3</v>
      </c>
      <c r="OT255" t="s">
        <v>1412</v>
      </c>
      <c r="OU255" t="s">
        <v>6</v>
      </c>
      <c r="OW255">
        <v>2015</v>
      </c>
      <c r="OX255">
        <v>2016</v>
      </c>
      <c r="PA255" t="s">
        <v>1169</v>
      </c>
      <c r="PB255" s="58">
        <v>46104</v>
      </c>
    </row>
    <row r="256" spans="1:418" ht="15.75" thickBot="1">
      <c r="A256" t="s">
        <v>248</v>
      </c>
      <c r="B256" t="s">
        <v>1403</v>
      </c>
      <c r="C256" t="s">
        <v>1404</v>
      </c>
      <c r="D256" s="67" t="s">
        <v>245</v>
      </c>
      <c r="E256" t="s">
        <v>1411</v>
      </c>
      <c r="F256" s="4" t="s">
        <v>1417</v>
      </c>
      <c r="G256" t="s">
        <v>2</v>
      </c>
      <c r="H256" t="s">
        <v>30</v>
      </c>
      <c r="I256">
        <v>6.7519444440000003</v>
      </c>
      <c r="J256">
        <v>38.33361111</v>
      </c>
      <c r="K256" t="s">
        <v>29</v>
      </c>
      <c r="AV256" t="s">
        <v>1418</v>
      </c>
      <c r="AW256">
        <v>420</v>
      </c>
      <c r="AX256">
        <v>0.18</v>
      </c>
      <c r="AY256">
        <v>1</v>
      </c>
      <c r="AZ256" t="s">
        <v>836</v>
      </c>
      <c r="BA256">
        <v>2015</v>
      </c>
      <c r="BB256">
        <v>2016</v>
      </c>
      <c r="BD256" t="s">
        <v>238</v>
      </c>
      <c r="BE256" t="s">
        <v>1425</v>
      </c>
      <c r="BF256" t="s">
        <v>57</v>
      </c>
      <c r="BG256" s="3" t="s">
        <v>1233</v>
      </c>
      <c r="BH256" t="s">
        <v>23</v>
      </c>
      <c r="BI256" t="s">
        <v>29</v>
      </c>
      <c r="BJ256" t="s">
        <v>22</v>
      </c>
      <c r="BK256">
        <v>53333</v>
      </c>
      <c r="BL256" t="s">
        <v>56</v>
      </c>
      <c r="BM256" t="s">
        <v>1414</v>
      </c>
      <c r="BN256" t="s">
        <v>29</v>
      </c>
      <c r="BO256" t="s">
        <v>22</v>
      </c>
      <c r="BP256">
        <v>66666</v>
      </c>
      <c r="EH256" s="9"/>
      <c r="EI256" s="9"/>
      <c r="EJ256" s="9"/>
      <c r="EK256" s="9"/>
      <c r="EL256" s="9"/>
      <c r="EM256" s="9"/>
      <c r="EN256" s="9"/>
      <c r="EO256" s="9"/>
      <c r="EP256" s="9"/>
      <c r="EQ256" s="9"/>
      <c r="ER256" s="9"/>
      <c r="ES256" s="9"/>
      <c r="ET256" s="9"/>
      <c r="EU256" s="9"/>
      <c r="EV256" s="9"/>
      <c r="EW256" s="9"/>
      <c r="EX256" s="9"/>
      <c r="EY256" s="9"/>
      <c r="EZ256" s="9"/>
      <c r="FA256" s="9"/>
      <c r="FB256" s="9"/>
      <c r="FC256" s="9"/>
      <c r="FD256" s="9"/>
      <c r="FE256" s="9"/>
      <c r="FF256" s="9"/>
      <c r="FG256" s="9"/>
      <c r="FH256" s="9"/>
      <c r="FI256" s="9"/>
      <c r="FJ256" s="9"/>
      <c r="FK256" s="9"/>
      <c r="FL256" s="9"/>
      <c r="FM256" s="9"/>
      <c r="FN256" s="9"/>
      <c r="FO256" s="9"/>
      <c r="FP256" s="9"/>
      <c r="FQ256" s="9"/>
      <c r="FR256" s="9"/>
      <c r="FS256" s="9"/>
      <c r="FT256" s="9"/>
      <c r="FU256" s="9"/>
      <c r="FV256" s="9"/>
      <c r="FW256" s="9"/>
      <c r="FX256" s="9"/>
      <c r="FY256" s="9"/>
      <c r="FZ256" s="9"/>
      <c r="GA256" s="9"/>
      <c r="GB256" s="9"/>
      <c r="GC256" s="9"/>
      <c r="GD256" s="9"/>
      <c r="GE256" s="9"/>
      <c r="GF256" s="9"/>
      <c r="GG256" s="9"/>
      <c r="GH256" s="9"/>
      <c r="GI256" s="9"/>
      <c r="GJ256" s="9"/>
      <c r="GK256" s="9"/>
      <c r="GL256" s="9"/>
      <c r="GM256" s="9"/>
      <c r="GN256" s="9"/>
      <c r="GO256" s="9"/>
      <c r="GP256" s="9"/>
      <c r="GQ256" s="9"/>
      <c r="GR256" s="9"/>
      <c r="GS256" s="9"/>
      <c r="GT256" s="9"/>
      <c r="GU256" s="9"/>
      <c r="GV256" s="9"/>
      <c r="GW256" s="9"/>
      <c r="GX256" s="9"/>
      <c r="GY256" s="9"/>
      <c r="GZ256" s="9"/>
      <c r="HA256" s="9"/>
      <c r="HB256" s="9"/>
      <c r="HC256" s="9"/>
      <c r="HD256" s="9"/>
      <c r="HE256" s="9"/>
      <c r="HF256" s="9"/>
      <c r="HG256" s="9"/>
      <c r="HH256" s="9"/>
      <c r="HI256" s="9"/>
      <c r="HJ256" s="9"/>
      <c r="HK256" s="9"/>
      <c r="HW256" s="58"/>
      <c r="HX256" s="58"/>
      <c r="II256" t="s">
        <v>1433</v>
      </c>
      <c r="IJ256" s="84" t="s">
        <v>1443</v>
      </c>
      <c r="IK256" t="s">
        <v>660</v>
      </c>
      <c r="IL256" t="s">
        <v>661</v>
      </c>
      <c r="IM256" t="s">
        <v>29</v>
      </c>
      <c r="IN256" t="s">
        <v>29</v>
      </c>
      <c r="IO256" t="s">
        <v>29</v>
      </c>
      <c r="JK256" t="s">
        <v>1434</v>
      </c>
      <c r="JL256" t="s">
        <v>1430</v>
      </c>
      <c r="JM256" t="s">
        <v>14</v>
      </c>
      <c r="JN256" t="s">
        <v>1436</v>
      </c>
      <c r="JO256" s="4" t="s">
        <v>13</v>
      </c>
      <c r="JP256" t="s">
        <v>1438</v>
      </c>
      <c r="MZ256" t="s">
        <v>1405</v>
      </c>
      <c r="NA256">
        <v>70</v>
      </c>
      <c r="NJ256" t="s">
        <v>1445</v>
      </c>
      <c r="NK256" t="s">
        <v>1413</v>
      </c>
      <c r="NL256" t="s">
        <v>1407</v>
      </c>
      <c r="NM256" s="4" t="s">
        <v>1416</v>
      </c>
      <c r="NN256" s="6" t="s">
        <v>265</v>
      </c>
      <c r="NW256" t="s">
        <v>6</v>
      </c>
      <c r="NX256">
        <v>218</v>
      </c>
      <c r="NY256" t="s">
        <v>1446</v>
      </c>
      <c r="NZ256">
        <v>4</v>
      </c>
      <c r="OC256">
        <v>3</v>
      </c>
      <c r="OT256" t="s">
        <v>1412</v>
      </c>
      <c r="OU256" t="s">
        <v>6</v>
      </c>
      <c r="OW256">
        <v>2015</v>
      </c>
      <c r="OX256">
        <v>2016</v>
      </c>
      <c r="PA256" t="s">
        <v>1169</v>
      </c>
      <c r="PB256" s="58">
        <v>46104</v>
      </c>
    </row>
    <row r="257" spans="1:418" ht="15.75" thickBot="1">
      <c r="A257" t="s">
        <v>248</v>
      </c>
      <c r="B257" t="s">
        <v>1403</v>
      </c>
      <c r="C257" t="s">
        <v>1404</v>
      </c>
      <c r="D257" s="67" t="s">
        <v>245</v>
      </c>
      <c r="E257" t="s">
        <v>1411</v>
      </c>
      <c r="F257" s="4" t="s">
        <v>1417</v>
      </c>
      <c r="G257" t="s">
        <v>2</v>
      </c>
      <c r="H257" t="s">
        <v>30</v>
      </c>
      <c r="I257">
        <v>6.7519444440000003</v>
      </c>
      <c r="J257">
        <v>38.33361111</v>
      </c>
      <c r="K257" t="s">
        <v>29</v>
      </c>
      <c r="AV257" t="s">
        <v>1418</v>
      </c>
      <c r="AW257">
        <v>420</v>
      </c>
      <c r="AX257">
        <v>0.18</v>
      </c>
      <c r="AY257">
        <v>1</v>
      </c>
      <c r="AZ257" t="s">
        <v>836</v>
      </c>
      <c r="BA257">
        <v>2015</v>
      </c>
      <c r="BB257">
        <v>2016</v>
      </c>
      <c r="BD257" t="s">
        <v>19</v>
      </c>
      <c r="BE257" t="s">
        <v>1423</v>
      </c>
      <c r="BF257" t="s">
        <v>256</v>
      </c>
      <c r="BG257" s="3" t="s">
        <v>1233</v>
      </c>
      <c r="BH257" t="s">
        <v>23</v>
      </c>
      <c r="BI257" t="s">
        <v>29</v>
      </c>
      <c r="BJ257" t="s">
        <v>22</v>
      </c>
      <c r="BK257">
        <v>53333</v>
      </c>
      <c r="EH257" s="9"/>
      <c r="EI257" s="9"/>
      <c r="EJ257" s="9"/>
      <c r="EK257" s="9"/>
      <c r="EL257" s="9"/>
      <c r="EM257" s="9"/>
      <c r="EN257" s="9"/>
      <c r="EO257" s="9"/>
      <c r="EP257" s="9"/>
      <c r="EQ257" s="9"/>
      <c r="ER257" s="9"/>
      <c r="ES257" s="9"/>
      <c r="ET257" s="9"/>
      <c r="EU257" s="9"/>
      <c r="EV257" s="9"/>
      <c r="EW257" s="9"/>
      <c r="EX257" s="9"/>
      <c r="EY257" s="9"/>
      <c r="EZ257" s="9"/>
      <c r="FA257" s="9"/>
      <c r="FB257" s="9"/>
      <c r="FC257" s="9"/>
      <c r="FD257" s="9"/>
      <c r="FE257" s="9"/>
      <c r="FF257" s="9"/>
      <c r="FG257" s="9"/>
      <c r="FH257" s="9"/>
      <c r="FI257" s="9"/>
      <c r="FJ257" s="9"/>
      <c r="FK257" s="9"/>
      <c r="FL257" s="9"/>
      <c r="FM257" s="9"/>
      <c r="FN257" s="9"/>
      <c r="FO257" s="9"/>
      <c r="FP257" s="9"/>
      <c r="FQ257" s="9"/>
      <c r="FR257" s="9"/>
      <c r="FS257" s="9"/>
      <c r="FT257" s="9"/>
      <c r="FU257" s="9"/>
      <c r="FV257" s="9"/>
      <c r="FW257" s="9"/>
      <c r="FX257" s="9"/>
      <c r="FY257" s="9"/>
      <c r="FZ257" s="9"/>
      <c r="GA257" s="9"/>
      <c r="GB257" s="9"/>
      <c r="GC257" s="9"/>
      <c r="GD257" s="9"/>
      <c r="GE257" s="9"/>
      <c r="GF257" s="9"/>
      <c r="GG257" s="9"/>
      <c r="GH257" s="9"/>
      <c r="GI257" s="9"/>
      <c r="GJ257" s="9"/>
      <c r="GK257" s="9"/>
      <c r="GL257" s="9"/>
      <c r="GM257" s="9"/>
      <c r="GN257" s="9"/>
      <c r="GO257" s="9"/>
      <c r="GP257" s="9"/>
      <c r="GQ257" s="9"/>
      <c r="GR257" s="9"/>
      <c r="GS257" s="9"/>
      <c r="GT257" s="9"/>
      <c r="GU257" s="9"/>
      <c r="GV257" s="9"/>
      <c r="GW257" s="9"/>
      <c r="GX257" s="9"/>
      <c r="GY257" s="9"/>
      <c r="GZ257" s="9"/>
      <c r="HA257" s="9"/>
      <c r="HB257" s="9"/>
      <c r="HC257" s="9"/>
      <c r="HD257" s="9"/>
      <c r="HE257" s="9"/>
      <c r="HF257" s="9"/>
      <c r="HG257" s="9"/>
      <c r="HH257" s="9"/>
      <c r="HI257" s="9"/>
      <c r="HJ257" s="9"/>
      <c r="HK257" s="9"/>
      <c r="HR257" t="s">
        <v>1439</v>
      </c>
      <c r="HW257" s="58"/>
      <c r="HX257" s="58"/>
      <c r="II257" t="s">
        <v>255</v>
      </c>
      <c r="IJ257" t="s">
        <v>19</v>
      </c>
      <c r="JK257" t="s">
        <v>1435</v>
      </c>
      <c r="JL257" t="s">
        <v>1430</v>
      </c>
      <c r="JM257" t="s">
        <v>14</v>
      </c>
      <c r="JN257" t="s">
        <v>1436</v>
      </c>
      <c r="JO257" s="4" t="s">
        <v>13</v>
      </c>
      <c r="JP257" t="s">
        <v>1438</v>
      </c>
      <c r="MZ257" t="s">
        <v>1405</v>
      </c>
      <c r="NA257">
        <v>70</v>
      </c>
      <c r="NJ257" t="s">
        <v>1445</v>
      </c>
      <c r="NK257" t="s">
        <v>1413</v>
      </c>
      <c r="NL257" t="s">
        <v>1407</v>
      </c>
      <c r="NM257" s="4" t="s">
        <v>1416</v>
      </c>
      <c r="NN257" s="6" t="s">
        <v>265</v>
      </c>
      <c r="NV257" t="s">
        <v>745</v>
      </c>
      <c r="NW257" t="s">
        <v>6</v>
      </c>
      <c r="NX257">
        <v>129</v>
      </c>
      <c r="NY257" t="s">
        <v>1446</v>
      </c>
      <c r="NZ257">
        <v>4</v>
      </c>
      <c r="OC257">
        <v>3</v>
      </c>
      <c r="OT257" t="s">
        <v>1412</v>
      </c>
      <c r="OU257" t="s">
        <v>6</v>
      </c>
      <c r="OW257">
        <v>2015</v>
      </c>
      <c r="OX257">
        <v>2016</v>
      </c>
      <c r="PA257" t="s">
        <v>1169</v>
      </c>
      <c r="PB257" s="58">
        <v>46104</v>
      </c>
    </row>
    <row r="258" spans="1:418" ht="15.75" thickBot="1">
      <c r="A258" t="s">
        <v>248</v>
      </c>
      <c r="B258" t="s">
        <v>1403</v>
      </c>
      <c r="C258" t="s">
        <v>1404</v>
      </c>
      <c r="D258" s="67" t="s">
        <v>245</v>
      </c>
      <c r="E258" t="s">
        <v>1415</v>
      </c>
      <c r="F258" s="4" t="s">
        <v>1417</v>
      </c>
      <c r="G258" t="s">
        <v>2</v>
      </c>
      <c r="H258" t="s">
        <v>30</v>
      </c>
      <c r="I258">
        <v>7.971944444</v>
      </c>
      <c r="J258">
        <v>38.633055560000003</v>
      </c>
      <c r="K258" t="s">
        <v>29</v>
      </c>
      <c r="AV258" t="s">
        <v>1418</v>
      </c>
      <c r="AW258">
        <v>420</v>
      </c>
      <c r="AX258">
        <v>2.5</v>
      </c>
      <c r="AY258">
        <v>1</v>
      </c>
      <c r="AZ258" t="s">
        <v>836</v>
      </c>
      <c r="BA258">
        <v>2015</v>
      </c>
      <c r="BB258">
        <v>2016</v>
      </c>
      <c r="BD258" t="s">
        <v>19</v>
      </c>
      <c r="BE258" t="s">
        <v>1420</v>
      </c>
      <c r="BF258" t="s">
        <v>39</v>
      </c>
      <c r="BG258" s="3" t="s">
        <v>1233</v>
      </c>
      <c r="BH258" t="s">
        <v>23</v>
      </c>
      <c r="BI258" t="s">
        <v>29</v>
      </c>
      <c r="BJ258" s="4" t="s">
        <v>22</v>
      </c>
      <c r="BK258">
        <v>53333</v>
      </c>
      <c r="II258" t="s">
        <v>255</v>
      </c>
      <c r="IJ258" t="s">
        <v>19</v>
      </c>
      <c r="JK258" t="s">
        <v>1419</v>
      </c>
      <c r="JL258" s="84" t="s">
        <v>1427</v>
      </c>
      <c r="JM258" s="8" t="s">
        <v>14</v>
      </c>
      <c r="JN258" s="8" t="s">
        <v>1436</v>
      </c>
      <c r="JO258" s="4" t="s">
        <v>13</v>
      </c>
      <c r="JP258" t="s">
        <v>1437</v>
      </c>
      <c r="MZ258" t="s">
        <v>1441</v>
      </c>
      <c r="NA258">
        <v>70</v>
      </c>
      <c r="NB258" t="s">
        <v>1442</v>
      </c>
      <c r="NC258" t="s">
        <v>168</v>
      </c>
      <c r="ND258" s="4" t="s">
        <v>10</v>
      </c>
      <c r="NK258" t="s">
        <v>1519</v>
      </c>
      <c r="NL258" t="s">
        <v>1407</v>
      </c>
      <c r="NM258" s="4" t="s">
        <v>1518</v>
      </c>
      <c r="NN258" s="6" t="s">
        <v>265</v>
      </c>
      <c r="NV258" t="s">
        <v>1447</v>
      </c>
      <c r="NW258" t="s">
        <v>6</v>
      </c>
      <c r="NX258">
        <v>2347</v>
      </c>
      <c r="NY258" t="s">
        <v>29</v>
      </c>
      <c r="NZ258" t="s">
        <v>29</v>
      </c>
      <c r="OC258" s="15">
        <v>3</v>
      </c>
      <c r="OT258" t="s">
        <v>1408</v>
      </c>
      <c r="OU258" t="s">
        <v>6</v>
      </c>
      <c r="OW258">
        <v>2015</v>
      </c>
      <c r="OX258">
        <v>2016</v>
      </c>
      <c r="PA258" t="s">
        <v>1169</v>
      </c>
      <c r="PB258" s="58">
        <v>46104</v>
      </c>
    </row>
    <row r="259" spans="1:418" ht="15.75" thickBot="1">
      <c r="A259" t="s">
        <v>248</v>
      </c>
      <c r="B259" t="s">
        <v>1403</v>
      </c>
      <c r="C259" t="s">
        <v>1404</v>
      </c>
      <c r="D259" s="67" t="s">
        <v>245</v>
      </c>
      <c r="E259" t="s">
        <v>1415</v>
      </c>
      <c r="F259" s="4" t="s">
        <v>1417</v>
      </c>
      <c r="G259" t="s">
        <v>2</v>
      </c>
      <c r="H259" t="s">
        <v>30</v>
      </c>
      <c r="I259">
        <v>7.971944444</v>
      </c>
      <c r="J259">
        <v>38.633055560000003</v>
      </c>
      <c r="K259" t="s">
        <v>29</v>
      </c>
      <c r="AV259" t="s">
        <v>1418</v>
      </c>
      <c r="AW259">
        <v>420</v>
      </c>
      <c r="AX259">
        <v>2.5</v>
      </c>
      <c r="AY259">
        <v>1</v>
      </c>
      <c r="AZ259" t="s">
        <v>836</v>
      </c>
      <c r="BA259">
        <v>2015</v>
      </c>
      <c r="BB259">
        <v>2016</v>
      </c>
      <c r="BD259" t="s">
        <v>19</v>
      </c>
      <c r="BE259" t="s">
        <v>1421</v>
      </c>
      <c r="BF259" t="s">
        <v>24</v>
      </c>
      <c r="BG259" s="3" t="s">
        <v>1233</v>
      </c>
      <c r="BH259" t="s">
        <v>23</v>
      </c>
      <c r="BI259" t="s">
        <v>29</v>
      </c>
      <c r="BJ259" t="s">
        <v>22</v>
      </c>
      <c r="BK259">
        <v>53333</v>
      </c>
      <c r="II259" t="s">
        <v>255</v>
      </c>
      <c r="IJ259" t="s">
        <v>19</v>
      </c>
      <c r="JK259" t="s">
        <v>1428</v>
      </c>
      <c r="JL259" s="54" t="s">
        <v>1430</v>
      </c>
      <c r="JM259" s="8" t="s">
        <v>14</v>
      </c>
      <c r="JN259" s="8" t="s">
        <v>1436</v>
      </c>
      <c r="JO259" s="4" t="s">
        <v>13</v>
      </c>
      <c r="JP259" t="s">
        <v>1438</v>
      </c>
      <c r="MZ259" t="s">
        <v>1441</v>
      </c>
      <c r="NA259">
        <v>70</v>
      </c>
      <c r="NB259" t="s">
        <v>1442</v>
      </c>
      <c r="NC259" t="s">
        <v>168</v>
      </c>
      <c r="ND259" s="4" t="s">
        <v>10</v>
      </c>
      <c r="NK259" t="s">
        <v>1519</v>
      </c>
      <c r="NL259" t="s">
        <v>1407</v>
      </c>
      <c r="NM259" s="4" t="s">
        <v>1518</v>
      </c>
      <c r="NN259" s="6" t="s">
        <v>265</v>
      </c>
      <c r="NV259" t="s">
        <v>745</v>
      </c>
      <c r="NW259" t="s">
        <v>6</v>
      </c>
      <c r="NX259">
        <v>3252</v>
      </c>
      <c r="NY259" t="s">
        <v>29</v>
      </c>
      <c r="NZ259" t="s">
        <v>29</v>
      </c>
      <c r="OC259" s="15">
        <v>3</v>
      </c>
      <c r="OT259" t="s">
        <v>1408</v>
      </c>
      <c r="OU259" t="s">
        <v>6</v>
      </c>
      <c r="OW259">
        <v>2015</v>
      </c>
      <c r="OX259">
        <v>2016</v>
      </c>
      <c r="PA259" t="s">
        <v>1169</v>
      </c>
      <c r="PB259" s="58">
        <v>46104</v>
      </c>
    </row>
    <row r="260" spans="1:418" ht="15.75" thickBot="1">
      <c r="A260" t="s">
        <v>248</v>
      </c>
      <c r="B260" t="s">
        <v>1403</v>
      </c>
      <c r="C260" t="s">
        <v>1404</v>
      </c>
      <c r="D260" s="67" t="s">
        <v>245</v>
      </c>
      <c r="E260" t="s">
        <v>1415</v>
      </c>
      <c r="F260" s="4" t="s">
        <v>1417</v>
      </c>
      <c r="G260" t="s">
        <v>2</v>
      </c>
      <c r="H260" t="s">
        <v>30</v>
      </c>
      <c r="I260">
        <v>7.971944444</v>
      </c>
      <c r="J260">
        <v>38.633055560000003</v>
      </c>
      <c r="K260" t="s">
        <v>29</v>
      </c>
      <c r="AV260" t="s">
        <v>1418</v>
      </c>
      <c r="AW260">
        <v>420</v>
      </c>
      <c r="AX260">
        <v>2.5</v>
      </c>
      <c r="AY260">
        <v>1</v>
      </c>
      <c r="AZ260" t="s">
        <v>836</v>
      </c>
      <c r="BA260">
        <v>2015</v>
      </c>
      <c r="BB260">
        <v>2016</v>
      </c>
      <c r="BD260" t="s">
        <v>19</v>
      </c>
      <c r="BE260" t="s">
        <v>1422</v>
      </c>
      <c r="BF260" t="s">
        <v>299</v>
      </c>
      <c r="BG260" s="3" t="s">
        <v>1233</v>
      </c>
      <c r="BH260" t="s">
        <v>23</v>
      </c>
      <c r="BI260" t="s">
        <v>29</v>
      </c>
      <c r="BJ260" t="s">
        <v>22</v>
      </c>
      <c r="BK260">
        <v>53333</v>
      </c>
      <c r="HR260" t="s">
        <v>1439</v>
      </c>
      <c r="II260" t="s">
        <v>255</v>
      </c>
      <c r="IJ260" t="s">
        <v>19</v>
      </c>
      <c r="JK260" t="s">
        <v>1429</v>
      </c>
      <c r="JL260" s="84" t="s">
        <v>1427</v>
      </c>
      <c r="JM260" t="s">
        <v>14</v>
      </c>
      <c r="JN260" t="s">
        <v>1436</v>
      </c>
      <c r="JO260" s="4" t="s">
        <v>13</v>
      </c>
      <c r="JP260" t="s">
        <v>1437</v>
      </c>
      <c r="KW260" t="s">
        <v>1440</v>
      </c>
      <c r="MZ260" t="s">
        <v>1441</v>
      </c>
      <c r="NA260">
        <v>70</v>
      </c>
      <c r="NB260" t="s">
        <v>1442</v>
      </c>
      <c r="NC260" t="s">
        <v>168</v>
      </c>
      <c r="ND260" s="4" t="s">
        <v>10</v>
      </c>
      <c r="NK260" t="s">
        <v>1519</v>
      </c>
      <c r="NL260" t="s">
        <v>1407</v>
      </c>
      <c r="NM260" s="4" t="s">
        <v>1518</v>
      </c>
      <c r="NN260" s="6" t="s">
        <v>265</v>
      </c>
      <c r="NV260" t="s">
        <v>1447</v>
      </c>
      <c r="NW260" t="s">
        <v>6</v>
      </c>
      <c r="NX260">
        <v>2931</v>
      </c>
      <c r="NY260" t="s">
        <v>29</v>
      </c>
      <c r="NZ260" t="s">
        <v>29</v>
      </c>
      <c r="OC260" s="15">
        <v>3</v>
      </c>
      <c r="OT260" t="s">
        <v>1408</v>
      </c>
      <c r="OU260" t="s">
        <v>6</v>
      </c>
      <c r="OW260">
        <v>2015</v>
      </c>
      <c r="OX260">
        <v>2016</v>
      </c>
      <c r="PA260" t="s">
        <v>1169</v>
      </c>
      <c r="PB260" s="58">
        <v>46104</v>
      </c>
    </row>
    <row r="261" spans="1:418" ht="15.75" thickBot="1">
      <c r="A261" t="s">
        <v>248</v>
      </c>
      <c r="B261" t="s">
        <v>1403</v>
      </c>
      <c r="C261" t="s">
        <v>1404</v>
      </c>
      <c r="D261" s="67" t="s">
        <v>245</v>
      </c>
      <c r="E261" t="s">
        <v>1415</v>
      </c>
      <c r="F261" s="4" t="s">
        <v>1417</v>
      </c>
      <c r="G261" t="s">
        <v>2</v>
      </c>
      <c r="H261" t="s">
        <v>30</v>
      </c>
      <c r="I261">
        <v>7.971944444</v>
      </c>
      <c r="J261">
        <v>38.633055560000003</v>
      </c>
      <c r="K261" t="s">
        <v>29</v>
      </c>
      <c r="AV261" t="s">
        <v>1418</v>
      </c>
      <c r="AW261">
        <v>420</v>
      </c>
      <c r="AX261">
        <v>2.5</v>
      </c>
      <c r="AY261">
        <v>1</v>
      </c>
      <c r="AZ261" t="s">
        <v>836</v>
      </c>
      <c r="BA261">
        <v>2015</v>
      </c>
      <c r="BB261">
        <v>2016</v>
      </c>
      <c r="BD261" t="s">
        <v>238</v>
      </c>
      <c r="BE261" t="s">
        <v>1424</v>
      </c>
      <c r="BF261" t="s">
        <v>64</v>
      </c>
      <c r="BG261" s="3" t="s">
        <v>1233</v>
      </c>
      <c r="BH261" t="s">
        <v>23</v>
      </c>
      <c r="BI261" t="s">
        <v>29</v>
      </c>
      <c r="BJ261" t="s">
        <v>22</v>
      </c>
      <c r="BK261">
        <v>53333</v>
      </c>
      <c r="BL261" t="s">
        <v>56</v>
      </c>
      <c r="BM261" t="s">
        <v>1426</v>
      </c>
      <c r="BN261" t="s">
        <v>29</v>
      </c>
      <c r="BO261" t="s">
        <v>22</v>
      </c>
      <c r="BP261">
        <v>266666</v>
      </c>
      <c r="EH261" s="9"/>
      <c r="EI261" s="9"/>
      <c r="EJ261" s="9"/>
      <c r="EK261" s="9"/>
      <c r="EL261" s="9"/>
      <c r="EM261" s="9"/>
      <c r="EN261" s="9"/>
      <c r="EO261" s="9"/>
      <c r="EP261" s="9"/>
      <c r="EQ261" s="9"/>
      <c r="ER261" s="9"/>
      <c r="ES261" s="9"/>
      <c r="ET261" s="9"/>
      <c r="EU261" s="9"/>
      <c r="EV261" s="9"/>
      <c r="EW261" s="9"/>
      <c r="EX261" s="9"/>
      <c r="EY261" s="9"/>
      <c r="EZ261" s="9"/>
      <c r="FA261" s="9"/>
      <c r="FB261" s="9"/>
      <c r="FC261" s="9"/>
      <c r="FD261" s="9"/>
      <c r="FE261" s="9"/>
      <c r="FF261" s="9"/>
      <c r="FG261" s="9"/>
      <c r="FH261" s="9"/>
      <c r="FI261" s="9"/>
      <c r="FJ261" s="9"/>
      <c r="FK261" s="9"/>
      <c r="FL261" s="9"/>
      <c r="FM261" s="9"/>
      <c r="FN261" s="9"/>
      <c r="FO261" s="9"/>
      <c r="FP261" s="9"/>
      <c r="FQ261" s="9"/>
      <c r="FR261" s="9"/>
      <c r="FS261" s="9"/>
      <c r="FT261" s="9"/>
      <c r="FU261" s="9"/>
      <c r="FV261" s="9"/>
      <c r="FW261" s="9"/>
      <c r="FX261" s="9"/>
      <c r="FY261" s="9"/>
      <c r="FZ261" s="9"/>
      <c r="GA261" s="9"/>
      <c r="GB261" s="9"/>
      <c r="GC261" s="9"/>
      <c r="GD261" s="9"/>
      <c r="GE261" s="9"/>
      <c r="GF261" s="9"/>
      <c r="GG261" s="9"/>
      <c r="GH261" s="9"/>
      <c r="GI261" s="9"/>
      <c r="GJ261" s="9"/>
      <c r="GK261" s="9"/>
      <c r="GL261" s="9"/>
      <c r="GM261" s="9"/>
      <c r="GN261" s="9"/>
      <c r="GO261" s="9"/>
      <c r="GP261" s="9"/>
      <c r="GQ261" s="9"/>
      <c r="GR261" s="9"/>
      <c r="GS261" s="9"/>
      <c r="GT261" s="9"/>
      <c r="GU261" s="9"/>
      <c r="GV261" s="9"/>
      <c r="GW261" s="9"/>
      <c r="GX261" s="9"/>
      <c r="GY261" s="9"/>
      <c r="GZ261" s="9"/>
      <c r="HA261" s="9"/>
      <c r="HB261" s="9"/>
      <c r="HC261" s="9"/>
      <c r="HD261" s="9"/>
      <c r="HE261" s="9"/>
      <c r="HF261" s="9"/>
      <c r="HG261" s="9"/>
      <c r="HH261" s="9"/>
      <c r="HI261" s="9"/>
      <c r="HJ261" s="9"/>
      <c r="HK261" s="9"/>
      <c r="HW261" s="58"/>
      <c r="HX261" s="58"/>
      <c r="II261" t="s">
        <v>1432</v>
      </c>
      <c r="IJ261" s="84" t="s">
        <v>1443</v>
      </c>
      <c r="IK261" t="s">
        <v>660</v>
      </c>
      <c r="IL261" t="s">
        <v>661</v>
      </c>
      <c r="IM261" t="s">
        <v>29</v>
      </c>
      <c r="IN261" t="s">
        <v>29</v>
      </c>
      <c r="IO261" t="s">
        <v>29</v>
      </c>
      <c r="JK261" t="s">
        <v>1431</v>
      </c>
      <c r="JL261" t="s">
        <v>1430</v>
      </c>
      <c r="JM261" t="s">
        <v>14</v>
      </c>
      <c r="JN261" t="s">
        <v>1436</v>
      </c>
      <c r="JO261" s="4" t="s">
        <v>13</v>
      </c>
      <c r="JP261" t="s">
        <v>1438</v>
      </c>
      <c r="MZ261" t="s">
        <v>1441</v>
      </c>
      <c r="NA261">
        <v>70</v>
      </c>
      <c r="NB261" t="s">
        <v>1442</v>
      </c>
      <c r="NC261" t="s">
        <v>168</v>
      </c>
      <c r="ND261" s="4" t="s">
        <v>10</v>
      </c>
      <c r="NE261" t="s">
        <v>1520</v>
      </c>
      <c r="NK261" t="s">
        <v>1519</v>
      </c>
      <c r="NL261" t="s">
        <v>1407</v>
      </c>
      <c r="NM261" s="4" t="s">
        <v>1518</v>
      </c>
      <c r="NN261" s="6" t="s">
        <v>265</v>
      </c>
      <c r="NW261" t="s">
        <v>6</v>
      </c>
      <c r="NX261">
        <v>4013</v>
      </c>
      <c r="NY261" t="s">
        <v>29</v>
      </c>
      <c r="NZ261" t="s">
        <v>29</v>
      </c>
      <c r="OC261" s="15">
        <v>3</v>
      </c>
      <c r="OT261" t="s">
        <v>1408</v>
      </c>
      <c r="OU261" t="s">
        <v>6</v>
      </c>
      <c r="OW261">
        <v>2015</v>
      </c>
      <c r="OX261">
        <v>2016</v>
      </c>
      <c r="PA261" t="s">
        <v>1169</v>
      </c>
      <c r="PB261" s="58">
        <v>46104</v>
      </c>
    </row>
    <row r="262" spans="1:418" ht="15.75" thickBot="1">
      <c r="A262" t="s">
        <v>248</v>
      </c>
      <c r="B262" t="s">
        <v>1403</v>
      </c>
      <c r="C262" t="s">
        <v>1404</v>
      </c>
      <c r="D262" s="67" t="s">
        <v>245</v>
      </c>
      <c r="E262" t="s">
        <v>1415</v>
      </c>
      <c r="F262" s="4" t="s">
        <v>1417</v>
      </c>
      <c r="G262" t="s">
        <v>2</v>
      </c>
      <c r="H262" t="s">
        <v>30</v>
      </c>
      <c r="I262">
        <v>7.971944444</v>
      </c>
      <c r="J262">
        <v>38.633055560000003</v>
      </c>
      <c r="K262" t="s">
        <v>29</v>
      </c>
      <c r="AV262" t="s">
        <v>1418</v>
      </c>
      <c r="AW262">
        <v>420</v>
      </c>
      <c r="AX262">
        <v>2.5</v>
      </c>
      <c r="AY262">
        <v>1</v>
      </c>
      <c r="AZ262" t="s">
        <v>836</v>
      </c>
      <c r="BA262">
        <v>2015</v>
      </c>
      <c r="BB262">
        <v>2016</v>
      </c>
      <c r="BD262" t="s">
        <v>238</v>
      </c>
      <c r="BE262" t="s">
        <v>1425</v>
      </c>
      <c r="BF262" t="s">
        <v>57</v>
      </c>
      <c r="BG262" s="3" t="s">
        <v>1233</v>
      </c>
      <c r="BH262" t="s">
        <v>23</v>
      </c>
      <c r="BI262" t="s">
        <v>29</v>
      </c>
      <c r="BJ262" t="s">
        <v>22</v>
      </c>
      <c r="BK262">
        <v>53333</v>
      </c>
      <c r="BL262" t="s">
        <v>56</v>
      </c>
      <c r="BM262" t="s">
        <v>1414</v>
      </c>
      <c r="BN262" t="s">
        <v>29</v>
      </c>
      <c r="BO262" t="s">
        <v>22</v>
      </c>
      <c r="BP262">
        <v>66666</v>
      </c>
      <c r="EH262" s="9"/>
      <c r="EI262" s="9"/>
      <c r="EJ262" s="9"/>
      <c r="EK262" s="9"/>
      <c r="EL262" s="9"/>
      <c r="EM262" s="9"/>
      <c r="EN262" s="9"/>
      <c r="EO262" s="9"/>
      <c r="EP262" s="9"/>
      <c r="EQ262" s="9"/>
      <c r="ER262" s="9"/>
      <c r="ES262" s="9"/>
      <c r="ET262" s="9"/>
      <c r="EU262" s="9"/>
      <c r="EV262" s="9"/>
      <c r="EW262" s="9"/>
      <c r="EX262" s="9"/>
      <c r="EY262" s="9"/>
      <c r="EZ262" s="9"/>
      <c r="FA262" s="9"/>
      <c r="FB262" s="9"/>
      <c r="FC262" s="9"/>
      <c r="FD262" s="9"/>
      <c r="FE262" s="9"/>
      <c r="FF262" s="9"/>
      <c r="FG262" s="9"/>
      <c r="FH262" s="9"/>
      <c r="FI262" s="9"/>
      <c r="FJ262" s="9"/>
      <c r="FK262" s="9"/>
      <c r="FL262" s="9"/>
      <c r="FM262" s="9"/>
      <c r="FN262" s="9"/>
      <c r="FO262" s="9"/>
      <c r="FP262" s="9"/>
      <c r="FQ262" s="9"/>
      <c r="FR262" s="9"/>
      <c r="FS262" s="9"/>
      <c r="FT262" s="9"/>
      <c r="FU262" s="9"/>
      <c r="FV262" s="9"/>
      <c r="FW262" s="9"/>
      <c r="FX262" s="9"/>
      <c r="FY262" s="9"/>
      <c r="FZ262" s="9"/>
      <c r="GA262" s="9"/>
      <c r="GB262" s="9"/>
      <c r="GC262" s="9"/>
      <c r="GD262" s="9"/>
      <c r="GE262" s="9"/>
      <c r="GF262" s="9"/>
      <c r="GG262" s="9"/>
      <c r="GH262" s="9"/>
      <c r="GI262" s="9"/>
      <c r="GJ262" s="9"/>
      <c r="GK262" s="9"/>
      <c r="GL262" s="9"/>
      <c r="GM262" s="9"/>
      <c r="GN262" s="9"/>
      <c r="GO262" s="9"/>
      <c r="GP262" s="9"/>
      <c r="GQ262" s="9"/>
      <c r="GR262" s="9"/>
      <c r="GS262" s="9"/>
      <c r="GT262" s="9"/>
      <c r="GU262" s="9"/>
      <c r="GV262" s="9"/>
      <c r="GW262" s="9"/>
      <c r="GX262" s="9"/>
      <c r="GY262" s="9"/>
      <c r="GZ262" s="9"/>
      <c r="HA262" s="9"/>
      <c r="HB262" s="9"/>
      <c r="HC262" s="9"/>
      <c r="HD262" s="9"/>
      <c r="HE262" s="9"/>
      <c r="HF262" s="9"/>
      <c r="HG262" s="9"/>
      <c r="HH262" s="9"/>
      <c r="HI262" s="9"/>
      <c r="HJ262" s="9"/>
      <c r="HK262" s="9"/>
      <c r="HW262" s="58"/>
      <c r="HX262" s="58"/>
      <c r="II262" t="s">
        <v>1433</v>
      </c>
      <c r="IJ262" s="84" t="s">
        <v>1443</v>
      </c>
      <c r="IK262" t="s">
        <v>660</v>
      </c>
      <c r="IL262" t="s">
        <v>661</v>
      </c>
      <c r="IM262" t="s">
        <v>29</v>
      </c>
      <c r="IN262" t="s">
        <v>29</v>
      </c>
      <c r="IO262" t="s">
        <v>29</v>
      </c>
      <c r="JK262" t="s">
        <v>1434</v>
      </c>
      <c r="JL262" t="s">
        <v>1430</v>
      </c>
      <c r="JM262" t="s">
        <v>14</v>
      </c>
      <c r="JN262" t="s">
        <v>1436</v>
      </c>
      <c r="JO262" s="4" t="s">
        <v>13</v>
      </c>
      <c r="JP262" t="s">
        <v>1438</v>
      </c>
      <c r="MZ262" t="s">
        <v>1441</v>
      </c>
      <c r="NA262">
        <v>70</v>
      </c>
      <c r="NB262" t="s">
        <v>1442</v>
      </c>
      <c r="NC262" t="s">
        <v>168</v>
      </c>
      <c r="ND262" s="4" t="s">
        <v>10</v>
      </c>
      <c r="NE262" t="s">
        <v>1444</v>
      </c>
      <c r="NK262" t="s">
        <v>1519</v>
      </c>
      <c r="NL262" t="s">
        <v>1407</v>
      </c>
      <c r="NM262" s="4" t="s">
        <v>1518</v>
      </c>
      <c r="NN262" s="6" t="s">
        <v>265</v>
      </c>
      <c r="NW262" t="s">
        <v>6</v>
      </c>
      <c r="NX262">
        <v>3788</v>
      </c>
      <c r="NY262" t="s">
        <v>29</v>
      </c>
      <c r="NZ262" t="s">
        <v>29</v>
      </c>
      <c r="OC262" s="15">
        <v>3</v>
      </c>
      <c r="OT262" t="s">
        <v>1408</v>
      </c>
      <c r="OU262" t="s">
        <v>6</v>
      </c>
      <c r="OW262">
        <v>2015</v>
      </c>
      <c r="OX262">
        <v>2016</v>
      </c>
      <c r="PA262" t="s">
        <v>1169</v>
      </c>
      <c r="PB262" s="58">
        <v>46104</v>
      </c>
    </row>
    <row r="263" spans="1:418" ht="15.75" thickBot="1">
      <c r="A263" t="s">
        <v>248</v>
      </c>
      <c r="B263" t="s">
        <v>1403</v>
      </c>
      <c r="C263" t="s">
        <v>1404</v>
      </c>
      <c r="D263" s="67" t="s">
        <v>245</v>
      </c>
      <c r="E263" t="s">
        <v>1415</v>
      </c>
      <c r="F263" s="4" t="s">
        <v>1417</v>
      </c>
      <c r="G263" t="s">
        <v>2</v>
      </c>
      <c r="H263" t="s">
        <v>30</v>
      </c>
      <c r="I263">
        <v>7.971944444</v>
      </c>
      <c r="J263">
        <v>38.633055560000003</v>
      </c>
      <c r="K263" t="s">
        <v>29</v>
      </c>
      <c r="AV263" t="s">
        <v>1418</v>
      </c>
      <c r="AW263">
        <v>420</v>
      </c>
      <c r="AX263">
        <v>2.5</v>
      </c>
      <c r="AY263">
        <v>1</v>
      </c>
      <c r="AZ263" t="s">
        <v>836</v>
      </c>
      <c r="BA263">
        <v>2015</v>
      </c>
      <c r="BB263">
        <v>2016</v>
      </c>
      <c r="BD263" t="s">
        <v>19</v>
      </c>
      <c r="BE263" t="s">
        <v>1423</v>
      </c>
      <c r="BF263" t="s">
        <v>256</v>
      </c>
      <c r="BG263" s="3" t="s">
        <v>1233</v>
      </c>
      <c r="BH263" t="s">
        <v>23</v>
      </c>
      <c r="BI263" t="s">
        <v>29</v>
      </c>
      <c r="BJ263" t="s">
        <v>22</v>
      </c>
      <c r="BK263">
        <v>53333</v>
      </c>
      <c r="HR263" t="s">
        <v>1439</v>
      </c>
      <c r="II263" t="s">
        <v>255</v>
      </c>
      <c r="IJ263" t="s">
        <v>19</v>
      </c>
      <c r="JK263" t="s">
        <v>1435</v>
      </c>
      <c r="JL263" t="s">
        <v>1430</v>
      </c>
      <c r="JM263" t="s">
        <v>14</v>
      </c>
      <c r="JN263" t="s">
        <v>1436</v>
      </c>
      <c r="JO263" s="4" t="s">
        <v>13</v>
      </c>
      <c r="JP263" t="s">
        <v>1438</v>
      </c>
      <c r="MZ263" t="s">
        <v>1441</v>
      </c>
      <c r="NA263">
        <v>70</v>
      </c>
      <c r="NB263" t="s">
        <v>1442</v>
      </c>
      <c r="NC263" t="s">
        <v>168</v>
      </c>
      <c r="ND263" s="4" t="s">
        <v>10</v>
      </c>
      <c r="NK263" t="s">
        <v>1519</v>
      </c>
      <c r="NL263" t="s">
        <v>1407</v>
      </c>
      <c r="NM263" s="4" t="s">
        <v>1518</v>
      </c>
      <c r="NN263" s="6" t="s">
        <v>265</v>
      </c>
      <c r="NV263" t="s">
        <v>745</v>
      </c>
      <c r="NW263" t="s">
        <v>6</v>
      </c>
      <c r="NX263">
        <v>3834</v>
      </c>
      <c r="NY263" t="s">
        <v>29</v>
      </c>
      <c r="NZ263" t="s">
        <v>29</v>
      </c>
      <c r="OC263" s="15">
        <v>3</v>
      </c>
      <c r="OT263" t="s">
        <v>1408</v>
      </c>
      <c r="OU263" t="s">
        <v>6</v>
      </c>
      <c r="OW263">
        <v>2015</v>
      </c>
      <c r="OX263">
        <v>2016</v>
      </c>
      <c r="PA263" t="s">
        <v>1169</v>
      </c>
      <c r="PB263" s="58">
        <v>46104</v>
      </c>
    </row>
    <row r="264" spans="1:418" ht="15.75" thickBot="1">
      <c r="A264" t="s">
        <v>248</v>
      </c>
      <c r="B264" t="s">
        <v>1403</v>
      </c>
      <c r="C264" t="s">
        <v>1404</v>
      </c>
      <c r="D264" s="67" t="s">
        <v>245</v>
      </c>
      <c r="E264" t="s">
        <v>1409</v>
      </c>
      <c r="F264" s="4" t="s">
        <v>1417</v>
      </c>
      <c r="G264" t="s">
        <v>2</v>
      </c>
      <c r="H264" t="s">
        <v>30</v>
      </c>
      <c r="I264">
        <v>7.306944444</v>
      </c>
      <c r="J264">
        <v>38.012222219999998</v>
      </c>
      <c r="K264" t="s">
        <v>29</v>
      </c>
      <c r="AV264" t="s">
        <v>1418</v>
      </c>
      <c r="AW264">
        <v>420</v>
      </c>
      <c r="AX264">
        <v>1.5</v>
      </c>
      <c r="AY264">
        <v>1</v>
      </c>
      <c r="AZ264" t="s">
        <v>836</v>
      </c>
      <c r="BA264">
        <v>2015</v>
      </c>
      <c r="BB264">
        <v>2016</v>
      </c>
      <c r="BD264" t="s">
        <v>19</v>
      </c>
      <c r="BE264" t="s">
        <v>1420</v>
      </c>
      <c r="BF264" t="s">
        <v>39</v>
      </c>
      <c r="BG264" s="3" t="s">
        <v>1233</v>
      </c>
      <c r="BH264" t="s">
        <v>23</v>
      </c>
      <c r="BI264" t="s">
        <v>29</v>
      </c>
      <c r="BJ264" s="4" t="s">
        <v>22</v>
      </c>
      <c r="BK264">
        <v>53333</v>
      </c>
      <c r="II264" t="s">
        <v>255</v>
      </c>
      <c r="IJ264" t="s">
        <v>19</v>
      </c>
      <c r="JK264" t="s">
        <v>1419</v>
      </c>
      <c r="JL264" s="84" t="s">
        <v>1427</v>
      </c>
      <c r="JM264" s="8" t="s">
        <v>14</v>
      </c>
      <c r="JN264" s="8" t="s">
        <v>1436</v>
      </c>
      <c r="JO264" s="4" t="s">
        <v>13</v>
      </c>
      <c r="JP264" t="s">
        <v>1437</v>
      </c>
      <c r="MZ264" t="s">
        <v>1441</v>
      </c>
      <c r="NA264">
        <v>70</v>
      </c>
      <c r="NB264" t="s">
        <v>1442</v>
      </c>
      <c r="NC264" t="s">
        <v>168</v>
      </c>
      <c r="ND264" s="4" t="s">
        <v>10</v>
      </c>
      <c r="NK264" t="s">
        <v>1519</v>
      </c>
      <c r="NL264" t="s">
        <v>1407</v>
      </c>
      <c r="NM264" s="4" t="s">
        <v>1518</v>
      </c>
      <c r="NN264" s="6" t="s">
        <v>265</v>
      </c>
      <c r="NV264" t="s">
        <v>1447</v>
      </c>
      <c r="NW264" t="s">
        <v>6</v>
      </c>
      <c r="NX264">
        <v>3028</v>
      </c>
      <c r="NY264" t="s">
        <v>29</v>
      </c>
      <c r="NZ264" t="s">
        <v>29</v>
      </c>
      <c r="OC264" s="15">
        <v>3</v>
      </c>
      <c r="OT264" t="s">
        <v>1410</v>
      </c>
      <c r="OU264" t="s">
        <v>6</v>
      </c>
      <c r="OW264">
        <v>2015</v>
      </c>
      <c r="OX264">
        <v>2016</v>
      </c>
      <c r="PA264" t="s">
        <v>1169</v>
      </c>
      <c r="PB264" s="58">
        <v>46104</v>
      </c>
    </row>
    <row r="265" spans="1:418" ht="15.75" thickBot="1">
      <c r="A265" t="s">
        <v>248</v>
      </c>
      <c r="B265" t="s">
        <v>1403</v>
      </c>
      <c r="C265" t="s">
        <v>1404</v>
      </c>
      <c r="D265" s="67" t="s">
        <v>245</v>
      </c>
      <c r="E265" t="s">
        <v>1409</v>
      </c>
      <c r="F265" s="4" t="s">
        <v>1417</v>
      </c>
      <c r="G265" t="s">
        <v>2</v>
      </c>
      <c r="H265" t="s">
        <v>30</v>
      </c>
      <c r="I265">
        <v>7.306944444</v>
      </c>
      <c r="J265">
        <v>38.012222219999998</v>
      </c>
      <c r="K265" t="s">
        <v>29</v>
      </c>
      <c r="AV265" t="s">
        <v>1418</v>
      </c>
      <c r="AW265">
        <v>420</v>
      </c>
      <c r="AX265">
        <v>1.5</v>
      </c>
      <c r="AY265">
        <v>1</v>
      </c>
      <c r="AZ265" t="s">
        <v>836</v>
      </c>
      <c r="BA265">
        <v>2015</v>
      </c>
      <c r="BB265">
        <v>2016</v>
      </c>
      <c r="BD265" t="s">
        <v>19</v>
      </c>
      <c r="BE265" t="s">
        <v>1421</v>
      </c>
      <c r="BF265" t="s">
        <v>24</v>
      </c>
      <c r="BG265" s="3" t="s">
        <v>1233</v>
      </c>
      <c r="BH265" t="s">
        <v>23</v>
      </c>
      <c r="BI265" t="s">
        <v>29</v>
      </c>
      <c r="BJ265" t="s">
        <v>22</v>
      </c>
      <c r="BK265">
        <v>53333</v>
      </c>
      <c r="II265" t="s">
        <v>255</v>
      </c>
      <c r="IJ265" t="s">
        <v>19</v>
      </c>
      <c r="JK265" t="s">
        <v>1428</v>
      </c>
      <c r="JL265" s="54" t="s">
        <v>1430</v>
      </c>
      <c r="JM265" t="s">
        <v>14</v>
      </c>
      <c r="JN265" s="8" t="s">
        <v>1436</v>
      </c>
      <c r="JO265" s="4" t="s">
        <v>13</v>
      </c>
      <c r="JP265" t="s">
        <v>1438</v>
      </c>
      <c r="MZ265" t="s">
        <v>1441</v>
      </c>
      <c r="NA265">
        <v>70</v>
      </c>
      <c r="NB265" t="s">
        <v>1442</v>
      </c>
      <c r="NC265" t="s">
        <v>168</v>
      </c>
      <c r="ND265" s="4" t="s">
        <v>10</v>
      </c>
      <c r="NK265" t="s">
        <v>1519</v>
      </c>
      <c r="NL265" t="s">
        <v>1407</v>
      </c>
      <c r="NM265" s="4" t="s">
        <v>1518</v>
      </c>
      <c r="NN265" s="6" t="s">
        <v>265</v>
      </c>
      <c r="NV265" t="s">
        <v>745</v>
      </c>
      <c r="NW265" t="s">
        <v>6</v>
      </c>
      <c r="NX265">
        <v>3372</v>
      </c>
      <c r="NY265" t="s">
        <v>29</v>
      </c>
      <c r="NZ265" t="s">
        <v>29</v>
      </c>
      <c r="OC265" s="15">
        <v>3</v>
      </c>
      <c r="OT265" t="s">
        <v>1410</v>
      </c>
      <c r="OU265" t="s">
        <v>6</v>
      </c>
      <c r="OW265">
        <v>2015</v>
      </c>
      <c r="OX265">
        <v>2016</v>
      </c>
      <c r="PA265" t="s">
        <v>1169</v>
      </c>
      <c r="PB265" s="58">
        <v>46104</v>
      </c>
    </row>
    <row r="266" spans="1:418" ht="15.75" thickBot="1">
      <c r="A266" t="s">
        <v>248</v>
      </c>
      <c r="B266" t="s">
        <v>1403</v>
      </c>
      <c r="C266" t="s">
        <v>1404</v>
      </c>
      <c r="D266" s="67" t="s">
        <v>245</v>
      </c>
      <c r="E266" t="s">
        <v>1409</v>
      </c>
      <c r="F266" s="4" t="s">
        <v>1417</v>
      </c>
      <c r="G266" t="s">
        <v>2</v>
      </c>
      <c r="H266" t="s">
        <v>30</v>
      </c>
      <c r="I266">
        <v>7.306944444</v>
      </c>
      <c r="J266">
        <v>38.012222219999998</v>
      </c>
      <c r="K266" t="s">
        <v>29</v>
      </c>
      <c r="AV266" t="s">
        <v>1418</v>
      </c>
      <c r="AW266">
        <v>420</v>
      </c>
      <c r="AX266">
        <v>1.5</v>
      </c>
      <c r="AY266">
        <v>1</v>
      </c>
      <c r="AZ266" t="s">
        <v>836</v>
      </c>
      <c r="BA266">
        <v>2015</v>
      </c>
      <c r="BB266">
        <v>2016</v>
      </c>
      <c r="BD266" t="s">
        <v>19</v>
      </c>
      <c r="BE266" t="s">
        <v>1422</v>
      </c>
      <c r="BF266" t="s">
        <v>299</v>
      </c>
      <c r="BG266" s="3" t="s">
        <v>1233</v>
      </c>
      <c r="BH266" t="s">
        <v>23</v>
      </c>
      <c r="BI266" t="s">
        <v>29</v>
      </c>
      <c r="BJ266" t="s">
        <v>22</v>
      </c>
      <c r="BK266">
        <v>53333</v>
      </c>
      <c r="HR266" t="s">
        <v>1439</v>
      </c>
      <c r="II266" t="s">
        <v>255</v>
      </c>
      <c r="IJ266" t="s">
        <v>19</v>
      </c>
      <c r="JK266" t="s">
        <v>1429</v>
      </c>
      <c r="JL266" s="84" t="s">
        <v>1427</v>
      </c>
      <c r="JM266" t="s">
        <v>14</v>
      </c>
      <c r="JN266" s="8" t="s">
        <v>1436</v>
      </c>
      <c r="JO266" s="4" t="s">
        <v>13</v>
      </c>
      <c r="JP266" t="s">
        <v>1437</v>
      </c>
      <c r="KW266" t="s">
        <v>1440</v>
      </c>
      <c r="MZ266" t="s">
        <v>1441</v>
      </c>
      <c r="NA266">
        <v>70</v>
      </c>
      <c r="NB266" t="s">
        <v>1442</v>
      </c>
      <c r="NC266" t="s">
        <v>168</v>
      </c>
      <c r="ND266" s="4" t="s">
        <v>10</v>
      </c>
      <c r="NK266" t="s">
        <v>1519</v>
      </c>
      <c r="NL266" t="s">
        <v>1407</v>
      </c>
      <c r="NM266" s="4" t="s">
        <v>1518</v>
      </c>
      <c r="NN266" s="6" t="s">
        <v>265</v>
      </c>
      <c r="NV266" t="s">
        <v>1447</v>
      </c>
      <c r="NW266" t="s">
        <v>6</v>
      </c>
      <c r="NX266">
        <v>3871</v>
      </c>
      <c r="NY266" t="s">
        <v>29</v>
      </c>
      <c r="NZ266" t="s">
        <v>29</v>
      </c>
      <c r="OC266" s="15">
        <v>3</v>
      </c>
      <c r="OT266" t="s">
        <v>1410</v>
      </c>
      <c r="OU266" t="s">
        <v>6</v>
      </c>
      <c r="OW266">
        <v>2015</v>
      </c>
      <c r="OX266">
        <v>2016</v>
      </c>
      <c r="PA266" t="s">
        <v>1169</v>
      </c>
      <c r="PB266" s="58">
        <v>46104</v>
      </c>
    </row>
    <row r="267" spans="1:418" ht="15.75" thickBot="1">
      <c r="A267" t="s">
        <v>248</v>
      </c>
      <c r="B267" t="s">
        <v>1403</v>
      </c>
      <c r="C267" t="s">
        <v>1404</v>
      </c>
      <c r="D267" s="67" t="s">
        <v>245</v>
      </c>
      <c r="E267" t="s">
        <v>1409</v>
      </c>
      <c r="F267" s="4" t="s">
        <v>1417</v>
      </c>
      <c r="G267" t="s">
        <v>2</v>
      </c>
      <c r="H267" t="s">
        <v>30</v>
      </c>
      <c r="I267">
        <v>7.306944444</v>
      </c>
      <c r="J267">
        <v>38.012222219999998</v>
      </c>
      <c r="K267" t="s">
        <v>29</v>
      </c>
      <c r="AV267" t="s">
        <v>1418</v>
      </c>
      <c r="AW267">
        <v>420</v>
      </c>
      <c r="AX267">
        <v>1.5</v>
      </c>
      <c r="AY267">
        <v>1</v>
      </c>
      <c r="AZ267" t="s">
        <v>836</v>
      </c>
      <c r="BA267">
        <v>2015</v>
      </c>
      <c r="BB267">
        <v>2016</v>
      </c>
      <c r="BD267" t="s">
        <v>238</v>
      </c>
      <c r="BE267" t="s">
        <v>1424</v>
      </c>
      <c r="BF267" t="s">
        <v>64</v>
      </c>
      <c r="BG267" s="3" t="s">
        <v>1233</v>
      </c>
      <c r="BH267" t="s">
        <v>23</v>
      </c>
      <c r="BI267" t="s">
        <v>29</v>
      </c>
      <c r="BJ267" t="s">
        <v>22</v>
      </c>
      <c r="BK267">
        <v>53333</v>
      </c>
      <c r="BL267" t="s">
        <v>56</v>
      </c>
      <c r="BM267" t="s">
        <v>1426</v>
      </c>
      <c r="BN267" t="s">
        <v>29</v>
      </c>
      <c r="BO267" t="s">
        <v>22</v>
      </c>
      <c r="BP267">
        <v>266666</v>
      </c>
      <c r="EH267" s="9"/>
      <c r="EI267" s="9"/>
      <c r="EJ267" s="9"/>
      <c r="EK267" s="9"/>
      <c r="EL267" s="9"/>
      <c r="EM267" s="9"/>
      <c r="EN267" s="9"/>
      <c r="EO267" s="9"/>
      <c r="EP267" s="9"/>
      <c r="EQ267" s="9"/>
      <c r="ER267" s="9"/>
      <c r="ES267" s="9"/>
      <c r="ET267" s="9"/>
      <c r="EU267" s="9"/>
      <c r="EV267" s="9"/>
      <c r="EW267" s="9"/>
      <c r="EX267" s="9"/>
      <c r="EY267" s="9"/>
      <c r="EZ267" s="9"/>
      <c r="FA267" s="9"/>
      <c r="FB267" s="9"/>
      <c r="FC267" s="9"/>
      <c r="FD267" s="9"/>
      <c r="FE267" s="9"/>
      <c r="FF267" s="9"/>
      <c r="FG267" s="9"/>
      <c r="FH267" s="9"/>
      <c r="FI267" s="9"/>
      <c r="FJ267" s="9"/>
      <c r="FK267" s="9"/>
      <c r="FL267" s="9"/>
      <c r="FM267" s="9"/>
      <c r="FN267" s="9"/>
      <c r="FO267" s="9"/>
      <c r="FP267" s="9"/>
      <c r="FQ267" s="9"/>
      <c r="FR267" s="9"/>
      <c r="FS267" s="9"/>
      <c r="FT267" s="9"/>
      <c r="FU267" s="9"/>
      <c r="FV267" s="9"/>
      <c r="FW267" s="9"/>
      <c r="FX267" s="9"/>
      <c r="FY267" s="9"/>
      <c r="FZ267" s="9"/>
      <c r="GA267" s="9"/>
      <c r="GB267" s="9"/>
      <c r="GC267" s="9"/>
      <c r="GD267" s="9"/>
      <c r="GE267" s="9"/>
      <c r="GF267" s="9"/>
      <c r="GG267" s="9"/>
      <c r="GH267" s="9"/>
      <c r="GI267" s="9"/>
      <c r="GJ267" s="9"/>
      <c r="GK267" s="9"/>
      <c r="GL267" s="9"/>
      <c r="GM267" s="9"/>
      <c r="GN267" s="9"/>
      <c r="GO267" s="9"/>
      <c r="GP267" s="9"/>
      <c r="GQ267" s="9"/>
      <c r="GR267" s="9"/>
      <c r="GS267" s="9"/>
      <c r="GT267" s="9"/>
      <c r="GU267" s="9"/>
      <c r="GV267" s="9"/>
      <c r="GW267" s="9"/>
      <c r="GX267" s="9"/>
      <c r="GY267" s="9"/>
      <c r="GZ267" s="9"/>
      <c r="HA267" s="9"/>
      <c r="HB267" s="9"/>
      <c r="HC267" s="9"/>
      <c r="HD267" s="9"/>
      <c r="HE267" s="9"/>
      <c r="HF267" s="9"/>
      <c r="HG267" s="9"/>
      <c r="HH267" s="9"/>
      <c r="HI267" s="9"/>
      <c r="HJ267" s="9"/>
      <c r="HK267" s="9"/>
      <c r="HW267" s="58"/>
      <c r="HX267" s="58"/>
      <c r="II267" t="s">
        <v>1432</v>
      </c>
      <c r="IJ267" s="84" t="s">
        <v>1443</v>
      </c>
      <c r="IK267" t="s">
        <v>660</v>
      </c>
      <c r="IL267" t="s">
        <v>661</v>
      </c>
      <c r="IM267" t="s">
        <v>29</v>
      </c>
      <c r="IN267" t="s">
        <v>29</v>
      </c>
      <c r="IO267" t="s">
        <v>29</v>
      </c>
      <c r="JK267" t="s">
        <v>1431</v>
      </c>
      <c r="JL267" t="s">
        <v>1430</v>
      </c>
      <c r="JM267" t="s">
        <v>14</v>
      </c>
      <c r="JN267" t="s">
        <v>1436</v>
      </c>
      <c r="JO267" s="4" t="s">
        <v>13</v>
      </c>
      <c r="JP267" t="s">
        <v>1438</v>
      </c>
      <c r="MZ267" t="s">
        <v>1441</v>
      </c>
      <c r="NA267">
        <v>70</v>
      </c>
      <c r="NB267" t="s">
        <v>1442</v>
      </c>
      <c r="NC267" t="s">
        <v>168</v>
      </c>
      <c r="ND267" s="4" t="s">
        <v>10</v>
      </c>
      <c r="NE267" t="s">
        <v>1520</v>
      </c>
      <c r="NK267" t="s">
        <v>1519</v>
      </c>
      <c r="NL267" t="s">
        <v>1407</v>
      </c>
      <c r="NM267" s="4" t="s">
        <v>1518</v>
      </c>
      <c r="NN267" s="6" t="s">
        <v>265</v>
      </c>
      <c r="NW267" t="s">
        <v>6</v>
      </c>
      <c r="NX267">
        <v>5866</v>
      </c>
      <c r="NY267" t="s">
        <v>29</v>
      </c>
      <c r="NZ267" t="s">
        <v>29</v>
      </c>
      <c r="OC267" s="15">
        <v>3</v>
      </c>
      <c r="OT267" t="s">
        <v>1410</v>
      </c>
      <c r="OU267" t="s">
        <v>6</v>
      </c>
      <c r="OW267">
        <v>2015</v>
      </c>
      <c r="OX267">
        <v>2016</v>
      </c>
      <c r="PA267" t="s">
        <v>1169</v>
      </c>
      <c r="PB267" s="58">
        <v>46104</v>
      </c>
    </row>
    <row r="268" spans="1:418" ht="15.75" thickBot="1">
      <c r="A268" t="s">
        <v>248</v>
      </c>
      <c r="B268" t="s">
        <v>1403</v>
      </c>
      <c r="C268" t="s">
        <v>1404</v>
      </c>
      <c r="D268" s="67" t="s">
        <v>245</v>
      </c>
      <c r="E268" t="s">
        <v>1409</v>
      </c>
      <c r="F268" s="4" t="s">
        <v>1417</v>
      </c>
      <c r="G268" t="s">
        <v>2</v>
      </c>
      <c r="H268" t="s">
        <v>30</v>
      </c>
      <c r="I268">
        <v>7.306944444</v>
      </c>
      <c r="J268">
        <v>38.012222219999998</v>
      </c>
      <c r="K268" t="s">
        <v>29</v>
      </c>
      <c r="AV268" t="s">
        <v>1418</v>
      </c>
      <c r="AW268">
        <v>420</v>
      </c>
      <c r="AX268">
        <v>1.5</v>
      </c>
      <c r="AY268">
        <v>1</v>
      </c>
      <c r="AZ268" t="s">
        <v>836</v>
      </c>
      <c r="BA268">
        <v>2015</v>
      </c>
      <c r="BB268">
        <v>2016</v>
      </c>
      <c r="BD268" t="s">
        <v>238</v>
      </c>
      <c r="BE268" t="s">
        <v>1425</v>
      </c>
      <c r="BF268" t="s">
        <v>57</v>
      </c>
      <c r="BG268" s="3" t="s">
        <v>1233</v>
      </c>
      <c r="BH268" t="s">
        <v>23</v>
      </c>
      <c r="BI268" t="s">
        <v>29</v>
      </c>
      <c r="BJ268" t="s">
        <v>22</v>
      </c>
      <c r="BK268">
        <v>53333</v>
      </c>
      <c r="BL268" t="s">
        <v>56</v>
      </c>
      <c r="BM268" t="s">
        <v>1414</v>
      </c>
      <c r="BN268" t="s">
        <v>29</v>
      </c>
      <c r="BO268" t="s">
        <v>22</v>
      </c>
      <c r="BP268">
        <v>66666</v>
      </c>
      <c r="EH268" s="9"/>
      <c r="EI268" s="9"/>
      <c r="EJ268" s="9"/>
      <c r="EK268" s="9"/>
      <c r="EL268" s="9"/>
      <c r="EM268" s="9"/>
      <c r="EN268" s="9"/>
      <c r="EO268" s="9"/>
      <c r="EP268" s="9"/>
      <c r="EQ268" s="9"/>
      <c r="ER268" s="9"/>
      <c r="ES268" s="9"/>
      <c r="ET268" s="9"/>
      <c r="EU268" s="9"/>
      <c r="EV268" s="9"/>
      <c r="EW268" s="9"/>
      <c r="EX268" s="9"/>
      <c r="EY268" s="9"/>
      <c r="EZ268" s="9"/>
      <c r="FA268" s="9"/>
      <c r="FB268" s="9"/>
      <c r="FC268" s="9"/>
      <c r="FD268" s="9"/>
      <c r="FE268" s="9"/>
      <c r="FF268" s="9"/>
      <c r="FG268" s="9"/>
      <c r="FH268" s="9"/>
      <c r="FI268" s="9"/>
      <c r="FJ268" s="9"/>
      <c r="FK268" s="9"/>
      <c r="FL268" s="9"/>
      <c r="FM268" s="9"/>
      <c r="FN268" s="9"/>
      <c r="FO268" s="9"/>
      <c r="FP268" s="9"/>
      <c r="FQ268" s="9"/>
      <c r="FR268" s="9"/>
      <c r="FS268" s="9"/>
      <c r="FT268" s="9"/>
      <c r="FU268" s="9"/>
      <c r="FV268" s="9"/>
      <c r="FW268" s="9"/>
      <c r="FX268" s="9"/>
      <c r="FY268" s="9"/>
      <c r="FZ268" s="9"/>
      <c r="GA268" s="9"/>
      <c r="GB268" s="9"/>
      <c r="GC268" s="9"/>
      <c r="GD268" s="9"/>
      <c r="GE268" s="9"/>
      <c r="GF268" s="9"/>
      <c r="GG268" s="9"/>
      <c r="GH268" s="9"/>
      <c r="GI268" s="9"/>
      <c r="GJ268" s="9"/>
      <c r="GK268" s="9"/>
      <c r="GL268" s="9"/>
      <c r="GM268" s="9"/>
      <c r="GN268" s="9"/>
      <c r="GO268" s="9"/>
      <c r="GP268" s="9"/>
      <c r="GQ268" s="9"/>
      <c r="GR268" s="9"/>
      <c r="GS268" s="9"/>
      <c r="GT268" s="9"/>
      <c r="GU268" s="9"/>
      <c r="GV268" s="9"/>
      <c r="GW268" s="9"/>
      <c r="GX268" s="9"/>
      <c r="GY268" s="9"/>
      <c r="GZ268" s="9"/>
      <c r="HA268" s="9"/>
      <c r="HB268" s="9"/>
      <c r="HC268" s="9"/>
      <c r="HD268" s="9"/>
      <c r="HE268" s="9"/>
      <c r="HF268" s="9"/>
      <c r="HG268" s="9"/>
      <c r="HH268" s="9"/>
      <c r="HI268" s="9"/>
      <c r="HJ268" s="9"/>
      <c r="HK268" s="9"/>
      <c r="HW268" s="58"/>
      <c r="HX268" s="58"/>
      <c r="II268" t="s">
        <v>1433</v>
      </c>
      <c r="IJ268" s="84" t="s">
        <v>1443</v>
      </c>
      <c r="IK268" t="s">
        <v>660</v>
      </c>
      <c r="IL268" t="s">
        <v>661</v>
      </c>
      <c r="IM268" t="s">
        <v>29</v>
      </c>
      <c r="IN268" t="s">
        <v>29</v>
      </c>
      <c r="IO268" t="s">
        <v>29</v>
      </c>
      <c r="JK268" t="s">
        <v>1434</v>
      </c>
      <c r="JL268" t="s">
        <v>1430</v>
      </c>
      <c r="JM268" t="s">
        <v>14</v>
      </c>
      <c r="JN268" t="s">
        <v>1436</v>
      </c>
      <c r="JO268" s="4" t="s">
        <v>13</v>
      </c>
      <c r="JP268" t="s">
        <v>1438</v>
      </c>
      <c r="MZ268" t="s">
        <v>1441</v>
      </c>
      <c r="NA268">
        <v>70</v>
      </c>
      <c r="NB268" t="s">
        <v>1442</v>
      </c>
      <c r="NC268" t="s">
        <v>168</v>
      </c>
      <c r="ND268" s="4" t="s">
        <v>10</v>
      </c>
      <c r="NE268" t="s">
        <v>1444</v>
      </c>
      <c r="NK268" t="s">
        <v>1519</v>
      </c>
      <c r="NL268" t="s">
        <v>1407</v>
      </c>
      <c r="NM268" s="4" t="s">
        <v>1518</v>
      </c>
      <c r="NN268" s="6" t="s">
        <v>265</v>
      </c>
      <c r="NW268" t="s">
        <v>6</v>
      </c>
      <c r="NX268">
        <v>4761</v>
      </c>
      <c r="NY268" t="s">
        <v>29</v>
      </c>
      <c r="NZ268" t="s">
        <v>29</v>
      </c>
      <c r="OC268" s="15">
        <v>3</v>
      </c>
      <c r="OT268" t="s">
        <v>1410</v>
      </c>
      <c r="OU268" t="s">
        <v>6</v>
      </c>
      <c r="OW268">
        <v>2015</v>
      </c>
      <c r="OX268">
        <v>2016</v>
      </c>
      <c r="PA268" t="s">
        <v>1169</v>
      </c>
      <c r="PB268" s="58">
        <v>46104</v>
      </c>
    </row>
    <row r="269" spans="1:418" ht="15.75" thickBot="1">
      <c r="A269" t="s">
        <v>248</v>
      </c>
      <c r="B269" t="s">
        <v>1403</v>
      </c>
      <c r="C269" t="s">
        <v>1404</v>
      </c>
      <c r="D269" s="67" t="s">
        <v>245</v>
      </c>
      <c r="E269" t="s">
        <v>1409</v>
      </c>
      <c r="F269" s="4" t="s">
        <v>1417</v>
      </c>
      <c r="G269" t="s">
        <v>2</v>
      </c>
      <c r="H269" t="s">
        <v>30</v>
      </c>
      <c r="I269">
        <v>7.306944444</v>
      </c>
      <c r="J269">
        <v>38.012222219999998</v>
      </c>
      <c r="K269" t="s">
        <v>29</v>
      </c>
      <c r="AV269" t="s">
        <v>1418</v>
      </c>
      <c r="AW269">
        <v>420</v>
      </c>
      <c r="AX269">
        <v>1.5</v>
      </c>
      <c r="AY269">
        <v>1</v>
      </c>
      <c r="AZ269" t="s">
        <v>836</v>
      </c>
      <c r="BA269">
        <v>2015</v>
      </c>
      <c r="BB269">
        <v>2016</v>
      </c>
      <c r="BD269" t="s">
        <v>19</v>
      </c>
      <c r="BE269" t="s">
        <v>1423</v>
      </c>
      <c r="BF269" t="s">
        <v>256</v>
      </c>
      <c r="BG269" s="3" t="s">
        <v>1233</v>
      </c>
      <c r="BH269" t="s">
        <v>23</v>
      </c>
      <c r="BI269" t="s">
        <v>29</v>
      </c>
      <c r="BJ269" t="s">
        <v>22</v>
      </c>
      <c r="BK269">
        <v>53333</v>
      </c>
      <c r="HR269" t="s">
        <v>1439</v>
      </c>
      <c r="II269" t="s">
        <v>255</v>
      </c>
      <c r="IJ269" t="s">
        <v>19</v>
      </c>
      <c r="JK269" t="s">
        <v>1435</v>
      </c>
      <c r="JL269" t="s">
        <v>1430</v>
      </c>
      <c r="JM269" t="s">
        <v>14</v>
      </c>
      <c r="JN269" s="8" t="s">
        <v>1436</v>
      </c>
      <c r="JO269" s="4" t="s">
        <v>13</v>
      </c>
      <c r="JP269" t="s">
        <v>1438</v>
      </c>
      <c r="MZ269" t="s">
        <v>1441</v>
      </c>
      <c r="NA269">
        <v>70</v>
      </c>
      <c r="NB269" t="s">
        <v>1442</v>
      </c>
      <c r="NC269" t="s">
        <v>168</v>
      </c>
      <c r="ND269" s="4" t="s">
        <v>10</v>
      </c>
      <c r="NK269" t="s">
        <v>1519</v>
      </c>
      <c r="NL269" t="s">
        <v>1407</v>
      </c>
      <c r="NM269" s="4" t="s">
        <v>1518</v>
      </c>
      <c r="NN269" s="6" t="s">
        <v>265</v>
      </c>
      <c r="NV269" t="s">
        <v>745</v>
      </c>
      <c r="NW269" t="s">
        <v>6</v>
      </c>
      <c r="NX269">
        <v>4157</v>
      </c>
      <c r="NY269" t="s">
        <v>29</v>
      </c>
      <c r="NZ269" t="s">
        <v>29</v>
      </c>
      <c r="OC269" s="15">
        <v>3</v>
      </c>
      <c r="OT269" t="s">
        <v>1410</v>
      </c>
      <c r="OU269" t="s">
        <v>6</v>
      </c>
      <c r="OW269">
        <v>2015</v>
      </c>
      <c r="OX269">
        <v>2016</v>
      </c>
      <c r="PA269" t="s">
        <v>1169</v>
      </c>
      <c r="PB269" s="58">
        <v>46104</v>
      </c>
    </row>
    <row r="270" spans="1:418" ht="15.75" thickBot="1">
      <c r="A270" t="s">
        <v>248</v>
      </c>
      <c r="B270" t="s">
        <v>1403</v>
      </c>
      <c r="C270" t="s">
        <v>1404</v>
      </c>
      <c r="D270" s="67" t="s">
        <v>245</v>
      </c>
      <c r="E270" t="s">
        <v>1411</v>
      </c>
      <c r="F270" s="4" t="s">
        <v>1417</v>
      </c>
      <c r="G270" t="s">
        <v>2</v>
      </c>
      <c r="H270" t="s">
        <v>30</v>
      </c>
      <c r="I270">
        <v>6.7519444440000003</v>
      </c>
      <c r="J270">
        <v>38.33361111</v>
      </c>
      <c r="K270" t="s">
        <v>29</v>
      </c>
      <c r="AV270" t="s">
        <v>1418</v>
      </c>
      <c r="AW270">
        <v>420</v>
      </c>
      <c r="AX270">
        <v>0.18</v>
      </c>
      <c r="AY270">
        <v>1</v>
      </c>
      <c r="AZ270" t="s">
        <v>836</v>
      </c>
      <c r="BA270">
        <v>2015</v>
      </c>
      <c r="BB270">
        <v>2016</v>
      </c>
      <c r="BD270" t="s">
        <v>19</v>
      </c>
      <c r="BE270" t="s">
        <v>1420</v>
      </c>
      <c r="BF270" t="s">
        <v>39</v>
      </c>
      <c r="BG270" s="3" t="s">
        <v>1233</v>
      </c>
      <c r="BH270" t="s">
        <v>23</v>
      </c>
      <c r="BI270" t="s">
        <v>29</v>
      </c>
      <c r="BJ270" s="4" t="s">
        <v>22</v>
      </c>
      <c r="BK270">
        <v>53333</v>
      </c>
      <c r="II270" t="s">
        <v>255</v>
      </c>
      <c r="IJ270" t="s">
        <v>19</v>
      </c>
      <c r="JK270" t="s">
        <v>1419</v>
      </c>
      <c r="JL270" s="84" t="s">
        <v>1427</v>
      </c>
      <c r="JM270" s="8" t="s">
        <v>14</v>
      </c>
      <c r="JN270" s="8" t="s">
        <v>1436</v>
      </c>
      <c r="JO270" s="4" t="s">
        <v>13</v>
      </c>
      <c r="JP270" t="s">
        <v>1437</v>
      </c>
      <c r="MZ270" t="s">
        <v>1441</v>
      </c>
      <c r="NA270">
        <v>70</v>
      </c>
      <c r="NB270" t="s">
        <v>1442</v>
      </c>
      <c r="NC270" t="s">
        <v>168</v>
      </c>
      <c r="ND270" s="4" t="s">
        <v>10</v>
      </c>
      <c r="NK270" t="s">
        <v>1519</v>
      </c>
      <c r="NL270" t="s">
        <v>1407</v>
      </c>
      <c r="NM270" s="4" t="s">
        <v>1518</v>
      </c>
      <c r="NN270" s="6" t="s">
        <v>265</v>
      </c>
      <c r="NV270" t="s">
        <v>1447</v>
      </c>
      <c r="NW270" t="s">
        <v>6</v>
      </c>
      <c r="NX270">
        <v>3466</v>
      </c>
      <c r="NY270" t="s">
        <v>29</v>
      </c>
      <c r="NZ270" t="s">
        <v>29</v>
      </c>
      <c r="OC270" s="15">
        <v>3</v>
      </c>
      <c r="OT270" t="s">
        <v>1412</v>
      </c>
      <c r="OU270" t="s">
        <v>6</v>
      </c>
      <c r="OW270">
        <v>2015</v>
      </c>
      <c r="OX270">
        <v>2016</v>
      </c>
      <c r="PA270" t="s">
        <v>1169</v>
      </c>
      <c r="PB270" s="58">
        <v>46104</v>
      </c>
    </row>
    <row r="271" spans="1:418" ht="15.75" thickBot="1">
      <c r="A271" t="s">
        <v>248</v>
      </c>
      <c r="B271" t="s">
        <v>1403</v>
      </c>
      <c r="C271" t="s">
        <v>1404</v>
      </c>
      <c r="D271" s="67" t="s">
        <v>245</v>
      </c>
      <c r="E271" t="s">
        <v>1411</v>
      </c>
      <c r="F271" s="4" t="s">
        <v>1417</v>
      </c>
      <c r="G271" t="s">
        <v>2</v>
      </c>
      <c r="H271" t="s">
        <v>30</v>
      </c>
      <c r="I271">
        <v>6.7519444440000003</v>
      </c>
      <c r="J271">
        <v>38.33361111</v>
      </c>
      <c r="K271" t="s">
        <v>29</v>
      </c>
      <c r="AV271" t="s">
        <v>1418</v>
      </c>
      <c r="AW271">
        <v>420</v>
      </c>
      <c r="AX271">
        <v>0.18</v>
      </c>
      <c r="AY271">
        <v>1</v>
      </c>
      <c r="AZ271" t="s">
        <v>836</v>
      </c>
      <c r="BA271">
        <v>2015</v>
      </c>
      <c r="BB271">
        <v>2016</v>
      </c>
      <c r="BD271" t="s">
        <v>19</v>
      </c>
      <c r="BE271" t="s">
        <v>1421</v>
      </c>
      <c r="BF271" t="s">
        <v>24</v>
      </c>
      <c r="BG271" s="3" t="s">
        <v>1233</v>
      </c>
      <c r="BH271" t="s">
        <v>23</v>
      </c>
      <c r="BI271" t="s">
        <v>29</v>
      </c>
      <c r="BJ271" t="s">
        <v>22</v>
      </c>
      <c r="BK271">
        <v>53333</v>
      </c>
      <c r="II271" t="s">
        <v>255</v>
      </c>
      <c r="IJ271" t="s">
        <v>19</v>
      </c>
      <c r="JK271" t="s">
        <v>1428</v>
      </c>
      <c r="JL271" s="54" t="s">
        <v>1430</v>
      </c>
      <c r="JM271" t="s">
        <v>14</v>
      </c>
      <c r="JN271" s="8" t="s">
        <v>1436</v>
      </c>
      <c r="JO271" s="4" t="s">
        <v>13</v>
      </c>
      <c r="JP271" t="s">
        <v>1438</v>
      </c>
      <c r="MZ271" t="s">
        <v>1441</v>
      </c>
      <c r="NA271">
        <v>70</v>
      </c>
      <c r="NB271" t="s">
        <v>1442</v>
      </c>
      <c r="NC271" t="s">
        <v>168</v>
      </c>
      <c r="ND271" s="4" t="s">
        <v>10</v>
      </c>
      <c r="NK271" t="s">
        <v>1519</v>
      </c>
      <c r="NL271" t="s">
        <v>1407</v>
      </c>
      <c r="NM271" s="4" t="s">
        <v>1518</v>
      </c>
      <c r="NN271" s="6" t="s">
        <v>265</v>
      </c>
      <c r="NV271" t="s">
        <v>745</v>
      </c>
      <c r="NW271" t="s">
        <v>6</v>
      </c>
      <c r="NX271">
        <v>3728</v>
      </c>
      <c r="NY271" t="s">
        <v>29</v>
      </c>
      <c r="NZ271" t="s">
        <v>29</v>
      </c>
      <c r="OC271" s="15">
        <v>3</v>
      </c>
      <c r="OT271" t="s">
        <v>1412</v>
      </c>
      <c r="OU271" t="s">
        <v>6</v>
      </c>
      <c r="OW271">
        <v>2015</v>
      </c>
      <c r="OX271">
        <v>2016</v>
      </c>
      <c r="PA271" t="s">
        <v>1169</v>
      </c>
      <c r="PB271" s="58">
        <v>46104</v>
      </c>
    </row>
    <row r="272" spans="1:418" ht="15.75" thickBot="1">
      <c r="A272" t="s">
        <v>248</v>
      </c>
      <c r="B272" t="s">
        <v>1403</v>
      </c>
      <c r="C272" t="s">
        <v>1404</v>
      </c>
      <c r="D272" s="67" t="s">
        <v>245</v>
      </c>
      <c r="E272" t="s">
        <v>1411</v>
      </c>
      <c r="F272" s="4" t="s">
        <v>1417</v>
      </c>
      <c r="G272" t="s">
        <v>2</v>
      </c>
      <c r="H272" t="s">
        <v>30</v>
      </c>
      <c r="I272">
        <v>6.7519444440000003</v>
      </c>
      <c r="J272">
        <v>38.33361111</v>
      </c>
      <c r="K272" t="s">
        <v>29</v>
      </c>
      <c r="AV272" t="s">
        <v>1418</v>
      </c>
      <c r="AW272">
        <v>420</v>
      </c>
      <c r="AX272">
        <v>0.18</v>
      </c>
      <c r="AY272">
        <v>1</v>
      </c>
      <c r="AZ272" t="s">
        <v>836</v>
      </c>
      <c r="BA272">
        <v>2015</v>
      </c>
      <c r="BB272">
        <v>2016</v>
      </c>
      <c r="BD272" t="s">
        <v>19</v>
      </c>
      <c r="BE272" t="s">
        <v>1422</v>
      </c>
      <c r="BF272" t="s">
        <v>299</v>
      </c>
      <c r="BG272" s="3" t="s">
        <v>1233</v>
      </c>
      <c r="BH272" t="s">
        <v>23</v>
      </c>
      <c r="BI272" t="s">
        <v>29</v>
      </c>
      <c r="BJ272" t="s">
        <v>22</v>
      </c>
      <c r="BK272">
        <v>53333</v>
      </c>
      <c r="HR272" t="s">
        <v>1439</v>
      </c>
      <c r="II272" t="s">
        <v>255</v>
      </c>
      <c r="IJ272" t="s">
        <v>19</v>
      </c>
      <c r="JK272" t="s">
        <v>1429</v>
      </c>
      <c r="JL272" s="84" t="s">
        <v>1427</v>
      </c>
      <c r="JM272" t="s">
        <v>14</v>
      </c>
      <c r="JN272" t="s">
        <v>1436</v>
      </c>
      <c r="JO272" s="4" t="s">
        <v>13</v>
      </c>
      <c r="JP272" t="s">
        <v>1437</v>
      </c>
      <c r="KW272" t="s">
        <v>1440</v>
      </c>
      <c r="MZ272" t="s">
        <v>1441</v>
      </c>
      <c r="NA272">
        <v>70</v>
      </c>
      <c r="NB272" t="s">
        <v>1442</v>
      </c>
      <c r="NC272" t="s">
        <v>168</v>
      </c>
      <c r="ND272" s="4" t="s">
        <v>10</v>
      </c>
      <c r="NK272" t="s">
        <v>1519</v>
      </c>
      <c r="NL272" t="s">
        <v>1407</v>
      </c>
      <c r="NM272" s="4" t="s">
        <v>1518</v>
      </c>
      <c r="NN272" s="6" t="s">
        <v>265</v>
      </c>
      <c r="NV272" t="s">
        <v>1447</v>
      </c>
      <c r="NW272" t="s">
        <v>6</v>
      </c>
      <c r="NX272">
        <v>4248</v>
      </c>
      <c r="NY272" t="s">
        <v>29</v>
      </c>
      <c r="NZ272" t="s">
        <v>29</v>
      </c>
      <c r="OC272" s="15">
        <v>3</v>
      </c>
      <c r="OT272" t="s">
        <v>1412</v>
      </c>
      <c r="OU272" t="s">
        <v>6</v>
      </c>
      <c r="OW272">
        <v>2015</v>
      </c>
      <c r="OX272">
        <v>2016</v>
      </c>
      <c r="PA272" t="s">
        <v>1169</v>
      </c>
      <c r="PB272" s="58">
        <v>46104</v>
      </c>
    </row>
    <row r="273" spans="1:418" ht="15.75" thickBot="1">
      <c r="A273" t="s">
        <v>248</v>
      </c>
      <c r="B273" t="s">
        <v>1403</v>
      </c>
      <c r="C273" t="s">
        <v>1404</v>
      </c>
      <c r="D273" s="67" t="s">
        <v>245</v>
      </c>
      <c r="E273" t="s">
        <v>1411</v>
      </c>
      <c r="F273" s="4" t="s">
        <v>1417</v>
      </c>
      <c r="G273" t="s">
        <v>2</v>
      </c>
      <c r="H273" t="s">
        <v>30</v>
      </c>
      <c r="I273">
        <v>6.7519444440000003</v>
      </c>
      <c r="J273">
        <v>38.33361111</v>
      </c>
      <c r="K273" t="s">
        <v>29</v>
      </c>
      <c r="AV273" t="s">
        <v>1418</v>
      </c>
      <c r="AW273">
        <v>420</v>
      </c>
      <c r="AX273">
        <v>0.18</v>
      </c>
      <c r="AY273">
        <v>1</v>
      </c>
      <c r="AZ273" t="s">
        <v>836</v>
      </c>
      <c r="BA273">
        <v>2015</v>
      </c>
      <c r="BB273">
        <v>2016</v>
      </c>
      <c r="BD273" t="s">
        <v>238</v>
      </c>
      <c r="BE273" t="s">
        <v>1424</v>
      </c>
      <c r="BF273" t="s">
        <v>64</v>
      </c>
      <c r="BG273" s="3" t="s">
        <v>1233</v>
      </c>
      <c r="BH273" t="s">
        <v>23</v>
      </c>
      <c r="BI273" t="s">
        <v>29</v>
      </c>
      <c r="BJ273" t="s">
        <v>22</v>
      </c>
      <c r="BK273">
        <v>53333</v>
      </c>
      <c r="BL273" t="s">
        <v>56</v>
      </c>
      <c r="BM273" t="s">
        <v>1426</v>
      </c>
      <c r="BN273" t="s">
        <v>29</v>
      </c>
      <c r="BO273" t="s">
        <v>22</v>
      </c>
      <c r="BP273">
        <v>266666</v>
      </c>
      <c r="EH273" s="9"/>
      <c r="EI273" s="9"/>
      <c r="EJ273" s="9"/>
      <c r="EK273" s="9"/>
      <c r="EL273" s="9"/>
      <c r="EM273" s="9"/>
      <c r="EN273" s="9"/>
      <c r="EO273" s="9"/>
      <c r="EP273" s="9"/>
      <c r="EQ273" s="9"/>
      <c r="ER273" s="9"/>
      <c r="ES273" s="9"/>
      <c r="ET273" s="9"/>
      <c r="EU273" s="9"/>
      <c r="EV273" s="9"/>
      <c r="EW273" s="9"/>
      <c r="EX273" s="9"/>
      <c r="EY273" s="9"/>
      <c r="EZ273" s="9"/>
      <c r="FA273" s="9"/>
      <c r="FB273" s="9"/>
      <c r="FC273" s="9"/>
      <c r="FD273" s="9"/>
      <c r="FE273" s="9"/>
      <c r="FF273" s="9"/>
      <c r="FG273" s="9"/>
      <c r="FH273" s="9"/>
      <c r="FI273" s="9"/>
      <c r="FJ273" s="9"/>
      <c r="FK273" s="9"/>
      <c r="FL273" s="9"/>
      <c r="FM273" s="9"/>
      <c r="FN273" s="9"/>
      <c r="FO273" s="9"/>
      <c r="FP273" s="9"/>
      <c r="FQ273" s="9"/>
      <c r="FR273" s="9"/>
      <c r="FS273" s="9"/>
      <c r="FT273" s="9"/>
      <c r="FU273" s="9"/>
      <c r="FV273" s="9"/>
      <c r="FW273" s="9"/>
      <c r="FX273" s="9"/>
      <c r="FY273" s="9"/>
      <c r="FZ273" s="9"/>
      <c r="GA273" s="9"/>
      <c r="GB273" s="9"/>
      <c r="GC273" s="9"/>
      <c r="GD273" s="9"/>
      <c r="GE273" s="9"/>
      <c r="GF273" s="9"/>
      <c r="GG273" s="9"/>
      <c r="GH273" s="9"/>
      <c r="GI273" s="9"/>
      <c r="GJ273" s="9"/>
      <c r="GK273" s="9"/>
      <c r="GL273" s="9"/>
      <c r="GM273" s="9"/>
      <c r="GN273" s="9"/>
      <c r="GO273" s="9"/>
      <c r="GP273" s="9"/>
      <c r="GQ273" s="9"/>
      <c r="GR273" s="9"/>
      <c r="GS273" s="9"/>
      <c r="GT273" s="9"/>
      <c r="GU273" s="9"/>
      <c r="GV273" s="9"/>
      <c r="GW273" s="9"/>
      <c r="GX273" s="9"/>
      <c r="GY273" s="9"/>
      <c r="GZ273" s="9"/>
      <c r="HA273" s="9"/>
      <c r="HB273" s="9"/>
      <c r="HC273" s="9"/>
      <c r="HD273" s="9"/>
      <c r="HE273" s="9"/>
      <c r="HF273" s="9"/>
      <c r="HG273" s="9"/>
      <c r="HH273" s="9"/>
      <c r="HI273" s="9"/>
      <c r="HJ273" s="9"/>
      <c r="HK273" s="9"/>
      <c r="HW273" s="58"/>
      <c r="HX273" s="58"/>
      <c r="II273" t="s">
        <v>1432</v>
      </c>
      <c r="IJ273" s="84" t="s">
        <v>1443</v>
      </c>
      <c r="IK273" t="s">
        <v>660</v>
      </c>
      <c r="IL273" t="s">
        <v>661</v>
      </c>
      <c r="IM273" t="s">
        <v>29</v>
      </c>
      <c r="IN273" t="s">
        <v>29</v>
      </c>
      <c r="IO273" t="s">
        <v>29</v>
      </c>
      <c r="JK273" t="s">
        <v>1431</v>
      </c>
      <c r="JL273" t="s">
        <v>1430</v>
      </c>
      <c r="JM273" t="s">
        <v>14</v>
      </c>
      <c r="JN273" t="s">
        <v>1436</v>
      </c>
      <c r="JO273" s="4" t="s">
        <v>13</v>
      </c>
      <c r="JP273" t="s">
        <v>1438</v>
      </c>
      <c r="MZ273" t="s">
        <v>1441</v>
      </c>
      <c r="NA273">
        <v>70</v>
      </c>
      <c r="NB273" t="s">
        <v>1442</v>
      </c>
      <c r="NC273" t="s">
        <v>168</v>
      </c>
      <c r="ND273" s="4" t="s">
        <v>10</v>
      </c>
      <c r="NE273" t="s">
        <v>1520</v>
      </c>
      <c r="NK273" t="s">
        <v>1519</v>
      </c>
      <c r="NL273" t="s">
        <v>1407</v>
      </c>
      <c r="NM273" s="4" t="s">
        <v>1518</v>
      </c>
      <c r="NN273" s="6" t="s">
        <v>265</v>
      </c>
      <c r="NW273" t="s">
        <v>6</v>
      </c>
      <c r="NX273">
        <v>4519</v>
      </c>
      <c r="NY273" t="s">
        <v>29</v>
      </c>
      <c r="NZ273" t="s">
        <v>29</v>
      </c>
      <c r="OC273" s="15">
        <v>3</v>
      </c>
      <c r="OT273" t="s">
        <v>1412</v>
      </c>
      <c r="OU273" t="s">
        <v>6</v>
      </c>
      <c r="OW273">
        <v>2015</v>
      </c>
      <c r="OX273">
        <v>2016</v>
      </c>
      <c r="PA273" t="s">
        <v>1169</v>
      </c>
      <c r="PB273" s="58">
        <v>46104</v>
      </c>
    </row>
    <row r="274" spans="1:418" ht="15.75" thickBot="1">
      <c r="A274" t="s">
        <v>248</v>
      </c>
      <c r="B274" t="s">
        <v>1403</v>
      </c>
      <c r="C274" t="s">
        <v>1404</v>
      </c>
      <c r="D274" s="67" t="s">
        <v>245</v>
      </c>
      <c r="E274" t="s">
        <v>1411</v>
      </c>
      <c r="F274" s="4" t="s">
        <v>1417</v>
      </c>
      <c r="G274" t="s">
        <v>2</v>
      </c>
      <c r="H274" t="s">
        <v>30</v>
      </c>
      <c r="I274">
        <v>6.7519444440000003</v>
      </c>
      <c r="J274">
        <v>38.33361111</v>
      </c>
      <c r="K274" t="s">
        <v>29</v>
      </c>
      <c r="AV274" t="s">
        <v>1418</v>
      </c>
      <c r="AW274">
        <v>420</v>
      </c>
      <c r="AX274">
        <v>0.18</v>
      </c>
      <c r="AY274">
        <v>1</v>
      </c>
      <c r="AZ274" t="s">
        <v>836</v>
      </c>
      <c r="BA274">
        <v>2015</v>
      </c>
      <c r="BB274">
        <v>2016</v>
      </c>
      <c r="BD274" t="s">
        <v>238</v>
      </c>
      <c r="BE274" t="s">
        <v>1425</v>
      </c>
      <c r="BF274" t="s">
        <v>57</v>
      </c>
      <c r="BG274" s="3" t="s">
        <v>1233</v>
      </c>
      <c r="BH274" t="s">
        <v>23</v>
      </c>
      <c r="BI274" t="s">
        <v>29</v>
      </c>
      <c r="BJ274" t="s">
        <v>22</v>
      </c>
      <c r="BK274">
        <v>53333</v>
      </c>
      <c r="BL274" t="s">
        <v>56</v>
      </c>
      <c r="BM274" t="s">
        <v>1414</v>
      </c>
      <c r="BN274" t="s">
        <v>29</v>
      </c>
      <c r="BO274" t="s">
        <v>22</v>
      </c>
      <c r="BP274">
        <v>66666</v>
      </c>
      <c r="EH274" s="9"/>
      <c r="EI274" s="9"/>
      <c r="EJ274" s="9"/>
      <c r="EK274" s="9"/>
      <c r="EL274" s="9"/>
      <c r="EM274" s="9"/>
      <c r="EN274" s="9"/>
      <c r="EO274" s="9"/>
      <c r="EP274" s="9"/>
      <c r="EQ274" s="9"/>
      <c r="ER274" s="9"/>
      <c r="ES274" s="9"/>
      <c r="ET274" s="9"/>
      <c r="EU274" s="9"/>
      <c r="EV274" s="9"/>
      <c r="EW274" s="9"/>
      <c r="EX274" s="9"/>
      <c r="EY274" s="9"/>
      <c r="EZ274" s="9"/>
      <c r="FA274" s="9"/>
      <c r="FB274" s="9"/>
      <c r="FC274" s="9"/>
      <c r="FD274" s="9"/>
      <c r="FE274" s="9"/>
      <c r="FF274" s="9"/>
      <c r="FG274" s="9"/>
      <c r="FH274" s="9"/>
      <c r="FI274" s="9"/>
      <c r="FJ274" s="9"/>
      <c r="FK274" s="9"/>
      <c r="FL274" s="9"/>
      <c r="FM274" s="9"/>
      <c r="FN274" s="9"/>
      <c r="FO274" s="9"/>
      <c r="FP274" s="9"/>
      <c r="FQ274" s="9"/>
      <c r="FR274" s="9"/>
      <c r="FS274" s="9"/>
      <c r="FT274" s="9"/>
      <c r="FU274" s="9"/>
      <c r="FV274" s="9"/>
      <c r="FW274" s="9"/>
      <c r="FX274" s="9"/>
      <c r="FY274" s="9"/>
      <c r="FZ274" s="9"/>
      <c r="GA274" s="9"/>
      <c r="GB274" s="9"/>
      <c r="GC274" s="9"/>
      <c r="GD274" s="9"/>
      <c r="GE274" s="9"/>
      <c r="GF274" s="9"/>
      <c r="GG274" s="9"/>
      <c r="GH274" s="9"/>
      <c r="GI274" s="9"/>
      <c r="GJ274" s="9"/>
      <c r="GK274" s="9"/>
      <c r="GL274" s="9"/>
      <c r="GM274" s="9"/>
      <c r="GN274" s="9"/>
      <c r="GO274" s="9"/>
      <c r="GP274" s="9"/>
      <c r="GQ274" s="9"/>
      <c r="GR274" s="9"/>
      <c r="GS274" s="9"/>
      <c r="GT274" s="9"/>
      <c r="GU274" s="9"/>
      <c r="GV274" s="9"/>
      <c r="GW274" s="9"/>
      <c r="GX274" s="9"/>
      <c r="GY274" s="9"/>
      <c r="GZ274" s="9"/>
      <c r="HA274" s="9"/>
      <c r="HB274" s="9"/>
      <c r="HC274" s="9"/>
      <c r="HD274" s="9"/>
      <c r="HE274" s="9"/>
      <c r="HF274" s="9"/>
      <c r="HG274" s="9"/>
      <c r="HH274" s="9"/>
      <c r="HI274" s="9"/>
      <c r="HJ274" s="9"/>
      <c r="HK274" s="9"/>
      <c r="HW274" s="58"/>
      <c r="HX274" s="58"/>
      <c r="II274" t="s">
        <v>1433</v>
      </c>
      <c r="IJ274" s="84" t="s">
        <v>1443</v>
      </c>
      <c r="IK274" t="s">
        <v>660</v>
      </c>
      <c r="IL274" t="s">
        <v>661</v>
      </c>
      <c r="IM274" t="s">
        <v>29</v>
      </c>
      <c r="IN274" t="s">
        <v>29</v>
      </c>
      <c r="IO274" t="s">
        <v>29</v>
      </c>
      <c r="JK274" t="s">
        <v>1434</v>
      </c>
      <c r="JL274" t="s">
        <v>1430</v>
      </c>
      <c r="JM274" t="s">
        <v>14</v>
      </c>
      <c r="JN274" t="s">
        <v>1436</v>
      </c>
      <c r="JO274" s="4" t="s">
        <v>13</v>
      </c>
      <c r="JP274" t="s">
        <v>1438</v>
      </c>
      <c r="MZ274" t="s">
        <v>1441</v>
      </c>
      <c r="NA274">
        <v>70</v>
      </c>
      <c r="NB274" t="s">
        <v>1442</v>
      </c>
      <c r="NC274" t="s">
        <v>168</v>
      </c>
      <c r="ND274" s="4" t="s">
        <v>10</v>
      </c>
      <c r="NE274" t="s">
        <v>1444</v>
      </c>
      <c r="NK274" t="s">
        <v>1519</v>
      </c>
      <c r="NL274" t="s">
        <v>1407</v>
      </c>
      <c r="NM274" s="4" t="s">
        <v>1518</v>
      </c>
      <c r="NN274" s="6" t="s">
        <v>265</v>
      </c>
      <c r="NW274" t="s">
        <v>6</v>
      </c>
      <c r="NX274">
        <v>3707</v>
      </c>
      <c r="NY274" t="s">
        <v>29</v>
      </c>
      <c r="NZ274" t="s">
        <v>29</v>
      </c>
      <c r="OC274" s="15">
        <v>3</v>
      </c>
      <c r="OT274" t="s">
        <v>1412</v>
      </c>
      <c r="OU274" t="s">
        <v>6</v>
      </c>
      <c r="OW274">
        <v>2015</v>
      </c>
      <c r="OX274">
        <v>2016</v>
      </c>
      <c r="PA274" t="s">
        <v>1169</v>
      </c>
      <c r="PB274" s="58">
        <v>46104</v>
      </c>
    </row>
    <row r="275" spans="1:418" ht="15.75" thickBot="1">
      <c r="A275" t="s">
        <v>248</v>
      </c>
      <c r="B275" t="s">
        <v>1403</v>
      </c>
      <c r="C275" t="s">
        <v>1404</v>
      </c>
      <c r="D275" s="67" t="s">
        <v>245</v>
      </c>
      <c r="E275" t="s">
        <v>1411</v>
      </c>
      <c r="F275" s="4" t="s">
        <v>1417</v>
      </c>
      <c r="G275" t="s">
        <v>2</v>
      </c>
      <c r="H275" t="s">
        <v>30</v>
      </c>
      <c r="I275">
        <v>6.7519444440000003</v>
      </c>
      <c r="J275">
        <v>38.33361111</v>
      </c>
      <c r="K275" t="s">
        <v>29</v>
      </c>
      <c r="AV275" t="s">
        <v>1418</v>
      </c>
      <c r="AW275">
        <v>420</v>
      </c>
      <c r="AX275">
        <v>0.18</v>
      </c>
      <c r="AY275">
        <v>1</v>
      </c>
      <c r="AZ275" t="s">
        <v>836</v>
      </c>
      <c r="BA275">
        <v>2015</v>
      </c>
      <c r="BB275">
        <v>2016</v>
      </c>
      <c r="BD275" t="s">
        <v>19</v>
      </c>
      <c r="BE275" t="s">
        <v>1423</v>
      </c>
      <c r="BF275" t="s">
        <v>256</v>
      </c>
      <c r="BG275" s="3" t="s">
        <v>1233</v>
      </c>
      <c r="BH275" t="s">
        <v>23</v>
      </c>
      <c r="BI275" t="s">
        <v>29</v>
      </c>
      <c r="BJ275" t="s">
        <v>22</v>
      </c>
      <c r="BK275">
        <v>53333</v>
      </c>
      <c r="HR275" t="s">
        <v>1439</v>
      </c>
      <c r="II275" t="s">
        <v>255</v>
      </c>
      <c r="IJ275" t="s">
        <v>19</v>
      </c>
      <c r="JK275" t="s">
        <v>1435</v>
      </c>
      <c r="JL275" t="s">
        <v>1430</v>
      </c>
      <c r="JM275" t="s">
        <v>14</v>
      </c>
      <c r="JN275" t="s">
        <v>1436</v>
      </c>
      <c r="JO275" s="4" t="s">
        <v>13</v>
      </c>
      <c r="JP275" t="s">
        <v>1438</v>
      </c>
      <c r="MZ275" t="s">
        <v>1441</v>
      </c>
      <c r="NA275">
        <v>70</v>
      </c>
      <c r="NB275" t="s">
        <v>1442</v>
      </c>
      <c r="NC275" t="s">
        <v>168</v>
      </c>
      <c r="ND275" s="4" t="s">
        <v>10</v>
      </c>
      <c r="NK275" t="s">
        <v>1519</v>
      </c>
      <c r="NL275" t="s">
        <v>1407</v>
      </c>
      <c r="NM275" s="4" t="s">
        <v>1518</v>
      </c>
      <c r="NN275" s="6" t="s">
        <v>265</v>
      </c>
      <c r="NV275" t="s">
        <v>745</v>
      </c>
      <c r="NW275" t="s">
        <v>6</v>
      </c>
      <c r="NX275">
        <v>4783</v>
      </c>
      <c r="NY275" t="s">
        <v>29</v>
      </c>
      <c r="NZ275" t="s">
        <v>29</v>
      </c>
      <c r="OC275" s="15">
        <v>3</v>
      </c>
      <c r="OT275" t="s">
        <v>1412</v>
      </c>
      <c r="OU275" t="s">
        <v>6</v>
      </c>
      <c r="OW275">
        <v>2015</v>
      </c>
      <c r="OX275">
        <v>2016</v>
      </c>
      <c r="PA275" t="s">
        <v>1169</v>
      </c>
      <c r="PB275" s="58">
        <v>46104</v>
      </c>
    </row>
    <row r="276" spans="1:418" ht="15.75" thickBot="1">
      <c r="A276" t="s">
        <v>248</v>
      </c>
      <c r="B276" t="s">
        <v>1403</v>
      </c>
      <c r="C276" t="s">
        <v>1404</v>
      </c>
      <c r="D276" s="67" t="s">
        <v>245</v>
      </c>
      <c r="E276" t="s">
        <v>1415</v>
      </c>
      <c r="F276" s="4" t="s">
        <v>1417</v>
      </c>
      <c r="G276" t="s">
        <v>2</v>
      </c>
      <c r="H276" t="s">
        <v>30</v>
      </c>
      <c r="I276">
        <v>7.971944444</v>
      </c>
      <c r="J276">
        <v>38.633055560000003</v>
      </c>
      <c r="K276" t="s">
        <v>29</v>
      </c>
      <c r="AV276" t="s">
        <v>1418</v>
      </c>
      <c r="AW276">
        <v>420</v>
      </c>
      <c r="AX276">
        <v>2.5</v>
      </c>
      <c r="AY276">
        <v>1</v>
      </c>
      <c r="AZ276" t="s">
        <v>836</v>
      </c>
      <c r="BA276">
        <v>2015</v>
      </c>
      <c r="BB276">
        <v>2016</v>
      </c>
      <c r="BD276" t="s">
        <v>19</v>
      </c>
      <c r="BE276" t="s">
        <v>1420</v>
      </c>
      <c r="BF276" t="s">
        <v>39</v>
      </c>
      <c r="BG276" s="3" t="s">
        <v>1233</v>
      </c>
      <c r="BH276" t="s">
        <v>23</v>
      </c>
      <c r="BI276" t="s">
        <v>29</v>
      </c>
      <c r="BJ276" s="4" t="s">
        <v>22</v>
      </c>
      <c r="BK276">
        <v>53333</v>
      </c>
      <c r="EH276" s="9"/>
      <c r="EI276" s="9"/>
      <c r="EJ276" s="9"/>
      <c r="EK276" s="9"/>
      <c r="EL276" s="9"/>
      <c r="EM276" s="9"/>
      <c r="EN276" s="9"/>
      <c r="EO276" s="9"/>
      <c r="EP276" s="9"/>
      <c r="EQ276" s="9"/>
      <c r="ER276" s="9"/>
      <c r="ES276" s="9"/>
      <c r="ET276" s="9"/>
      <c r="EU276" s="9"/>
      <c r="EV276" s="9"/>
      <c r="EW276" s="9"/>
      <c r="EX276" s="9"/>
      <c r="EY276" s="9"/>
      <c r="EZ276" s="9"/>
      <c r="FA276" s="9"/>
      <c r="FB276" s="9"/>
      <c r="FC276" s="9"/>
      <c r="FD276" s="9"/>
      <c r="FE276" s="9"/>
      <c r="FF276" s="9"/>
      <c r="FG276" s="9"/>
      <c r="FH276" s="9"/>
      <c r="FI276" s="9"/>
      <c r="FJ276" s="9"/>
      <c r="FK276" s="9"/>
      <c r="FL276" s="9"/>
      <c r="FM276" s="9"/>
      <c r="FN276" s="9"/>
      <c r="FO276" s="9"/>
      <c r="FP276" s="9"/>
      <c r="FQ276" s="9"/>
      <c r="FR276" s="9"/>
      <c r="FS276" s="9"/>
      <c r="FT276" s="9"/>
      <c r="FU276" s="9"/>
      <c r="FV276" s="9"/>
      <c r="FW276" s="9"/>
      <c r="FX276" s="9"/>
      <c r="FY276" s="9"/>
      <c r="FZ276" s="9"/>
      <c r="GA276" s="9"/>
      <c r="GB276" s="9"/>
      <c r="GC276" s="9"/>
      <c r="GD276" s="9"/>
      <c r="GE276" s="9"/>
      <c r="GF276" s="9"/>
      <c r="GG276" s="9"/>
      <c r="GH276" s="9"/>
      <c r="GI276" s="9"/>
      <c r="GJ276" s="9"/>
      <c r="GK276" s="9"/>
      <c r="GL276" s="9"/>
      <c r="GM276" s="9"/>
      <c r="GN276" s="9"/>
      <c r="GO276" s="9"/>
      <c r="GP276" s="9"/>
      <c r="GQ276" s="9"/>
      <c r="GR276" s="9"/>
      <c r="GS276" s="9"/>
      <c r="GT276" s="9"/>
      <c r="GU276" s="9"/>
      <c r="GV276" s="9"/>
      <c r="GW276" s="9"/>
      <c r="GX276" s="9"/>
      <c r="GY276" s="9"/>
      <c r="GZ276" s="9"/>
      <c r="HA276" s="9"/>
      <c r="HB276" s="9"/>
      <c r="HC276" s="9"/>
      <c r="HD276" s="9"/>
      <c r="HE276" s="9"/>
      <c r="HF276" s="9"/>
      <c r="HG276" s="9"/>
      <c r="HH276" s="9"/>
      <c r="HI276" s="9"/>
      <c r="HJ276" s="9"/>
      <c r="HK276" s="9"/>
      <c r="HW276" s="58"/>
      <c r="HX276" s="58"/>
      <c r="II276" t="s">
        <v>255</v>
      </c>
      <c r="IJ276" t="s">
        <v>19</v>
      </c>
      <c r="JK276" t="s">
        <v>1419</v>
      </c>
      <c r="JL276" s="84" t="s">
        <v>1427</v>
      </c>
      <c r="JM276" s="8" t="s">
        <v>14</v>
      </c>
      <c r="JN276" s="8" t="s">
        <v>1436</v>
      </c>
      <c r="JO276" s="4" t="s">
        <v>13</v>
      </c>
      <c r="JP276" t="s">
        <v>1437</v>
      </c>
      <c r="MZ276" t="s">
        <v>1441</v>
      </c>
      <c r="NA276">
        <v>70</v>
      </c>
      <c r="NB276" t="s">
        <v>1442</v>
      </c>
      <c r="NC276" t="s">
        <v>168</v>
      </c>
      <c r="ND276" s="4"/>
      <c r="NK276" t="s">
        <v>1521</v>
      </c>
      <c r="NL276" t="s">
        <v>1407</v>
      </c>
      <c r="NM276" s="87" t="s">
        <v>8</v>
      </c>
      <c r="NN276" s="6" t="s">
        <v>13</v>
      </c>
      <c r="NV276" t="s">
        <v>1447</v>
      </c>
      <c r="NW276" t="s">
        <v>6</v>
      </c>
      <c r="NX276">
        <v>3564</v>
      </c>
      <c r="NY276" t="s">
        <v>29</v>
      </c>
      <c r="NZ276" t="s">
        <v>29</v>
      </c>
      <c r="OC276" s="15">
        <v>3</v>
      </c>
      <c r="OT276" t="s">
        <v>1408</v>
      </c>
      <c r="OU276" t="s">
        <v>6</v>
      </c>
      <c r="OW276">
        <v>2015</v>
      </c>
      <c r="OX276">
        <v>2016</v>
      </c>
      <c r="PA276" t="s">
        <v>1169</v>
      </c>
      <c r="PB276" s="58">
        <v>46105</v>
      </c>
    </row>
    <row r="277" spans="1:418" ht="15.75" thickBot="1">
      <c r="A277" t="s">
        <v>248</v>
      </c>
      <c r="B277" t="s">
        <v>1403</v>
      </c>
      <c r="C277" t="s">
        <v>1404</v>
      </c>
      <c r="D277" s="67" t="s">
        <v>245</v>
      </c>
      <c r="E277" t="s">
        <v>1415</v>
      </c>
      <c r="F277" s="4" t="s">
        <v>1417</v>
      </c>
      <c r="G277" t="s">
        <v>2</v>
      </c>
      <c r="H277" t="s">
        <v>30</v>
      </c>
      <c r="I277">
        <v>7.971944444</v>
      </c>
      <c r="J277">
        <v>38.633055560000003</v>
      </c>
      <c r="K277" t="s">
        <v>29</v>
      </c>
      <c r="AV277" t="s">
        <v>1418</v>
      </c>
      <c r="AW277">
        <v>420</v>
      </c>
      <c r="AX277">
        <v>2.5</v>
      </c>
      <c r="AY277">
        <v>1</v>
      </c>
      <c r="AZ277" t="s">
        <v>836</v>
      </c>
      <c r="BA277">
        <v>2015</v>
      </c>
      <c r="BB277">
        <v>2016</v>
      </c>
      <c r="BD277" t="s">
        <v>19</v>
      </c>
      <c r="BE277" t="s">
        <v>1421</v>
      </c>
      <c r="BF277" t="s">
        <v>24</v>
      </c>
      <c r="BG277" s="3" t="s">
        <v>1233</v>
      </c>
      <c r="BH277" t="s">
        <v>23</v>
      </c>
      <c r="BI277" t="s">
        <v>29</v>
      </c>
      <c r="BJ277" t="s">
        <v>22</v>
      </c>
      <c r="BK277">
        <v>53333</v>
      </c>
      <c r="EH277" s="9"/>
      <c r="EI277" s="9"/>
      <c r="EJ277" s="9"/>
      <c r="EK277" s="9"/>
      <c r="EL277" s="9"/>
      <c r="EM277" s="9"/>
      <c r="EN277" s="9"/>
      <c r="EO277" s="9"/>
      <c r="EP277" s="9"/>
      <c r="EQ277" s="9"/>
      <c r="ER277" s="9"/>
      <c r="ES277" s="9"/>
      <c r="ET277" s="9"/>
      <c r="EU277" s="9"/>
      <c r="EV277" s="9"/>
      <c r="EW277" s="9"/>
      <c r="EX277" s="9"/>
      <c r="EY277" s="9"/>
      <c r="EZ277" s="9"/>
      <c r="FA277" s="9"/>
      <c r="FB277" s="9"/>
      <c r="FC277" s="9"/>
      <c r="FD277" s="9"/>
      <c r="FE277" s="9"/>
      <c r="FF277" s="9"/>
      <c r="FG277" s="9"/>
      <c r="FH277" s="9"/>
      <c r="FI277" s="9"/>
      <c r="FJ277" s="9"/>
      <c r="FK277" s="9"/>
      <c r="FL277" s="9"/>
      <c r="FM277" s="9"/>
      <c r="FN277" s="9"/>
      <c r="FO277" s="9"/>
      <c r="FP277" s="9"/>
      <c r="FQ277" s="9"/>
      <c r="FR277" s="9"/>
      <c r="FS277" s="9"/>
      <c r="FT277" s="9"/>
      <c r="FU277" s="9"/>
      <c r="FV277" s="9"/>
      <c r="FW277" s="9"/>
      <c r="FX277" s="9"/>
      <c r="FY277" s="9"/>
      <c r="FZ277" s="9"/>
      <c r="GA277" s="9"/>
      <c r="GB277" s="9"/>
      <c r="GC277" s="9"/>
      <c r="GD277" s="9"/>
      <c r="GE277" s="9"/>
      <c r="GF277" s="9"/>
      <c r="GG277" s="9"/>
      <c r="GH277" s="9"/>
      <c r="GI277" s="9"/>
      <c r="GJ277" s="9"/>
      <c r="GK277" s="9"/>
      <c r="GL277" s="9"/>
      <c r="GM277" s="9"/>
      <c r="GN277" s="9"/>
      <c r="GO277" s="9"/>
      <c r="GP277" s="9"/>
      <c r="GQ277" s="9"/>
      <c r="GR277" s="9"/>
      <c r="GS277" s="9"/>
      <c r="GT277" s="9"/>
      <c r="GU277" s="9"/>
      <c r="GV277" s="9"/>
      <c r="GW277" s="9"/>
      <c r="GX277" s="9"/>
      <c r="GY277" s="9"/>
      <c r="GZ277" s="9"/>
      <c r="HA277" s="9"/>
      <c r="HB277" s="9"/>
      <c r="HC277" s="9"/>
      <c r="HD277" s="9"/>
      <c r="HE277" s="9"/>
      <c r="HF277" s="9"/>
      <c r="HG277" s="9"/>
      <c r="HH277" s="9"/>
      <c r="HI277" s="9"/>
      <c r="HJ277" s="9"/>
      <c r="HK277" s="9"/>
      <c r="HW277" s="58"/>
      <c r="HX277" s="58"/>
      <c r="II277" t="s">
        <v>255</v>
      </c>
      <c r="IJ277" t="s">
        <v>19</v>
      </c>
      <c r="JK277" t="s">
        <v>1428</v>
      </c>
      <c r="JL277" s="54" t="s">
        <v>1430</v>
      </c>
      <c r="JM277" s="8" t="s">
        <v>14</v>
      </c>
      <c r="JN277" s="8" t="s">
        <v>1436</v>
      </c>
      <c r="JO277" s="4" t="s">
        <v>13</v>
      </c>
      <c r="JP277" t="s">
        <v>1438</v>
      </c>
      <c r="MZ277" t="s">
        <v>1441</v>
      </c>
      <c r="NA277">
        <v>70</v>
      </c>
      <c r="NB277" t="s">
        <v>1442</v>
      </c>
      <c r="NC277" t="s">
        <v>168</v>
      </c>
      <c r="ND277" s="4"/>
      <c r="NK277" t="s">
        <v>1521</v>
      </c>
      <c r="NL277" t="s">
        <v>1407</v>
      </c>
      <c r="NM277" s="87" t="s">
        <v>8</v>
      </c>
      <c r="NN277" s="6" t="s">
        <v>13</v>
      </c>
      <c r="NV277" t="s">
        <v>745</v>
      </c>
      <c r="NW277" t="s">
        <v>6</v>
      </c>
      <c r="NX277">
        <v>4211</v>
      </c>
      <c r="NY277" t="s">
        <v>29</v>
      </c>
      <c r="NZ277" t="s">
        <v>29</v>
      </c>
      <c r="OC277" s="15">
        <v>3</v>
      </c>
      <c r="OT277" t="s">
        <v>1408</v>
      </c>
      <c r="OU277" t="s">
        <v>6</v>
      </c>
      <c r="OW277">
        <v>2015</v>
      </c>
      <c r="OX277">
        <v>2016</v>
      </c>
      <c r="PA277" t="s">
        <v>1169</v>
      </c>
      <c r="PB277" s="58">
        <v>46105</v>
      </c>
    </row>
    <row r="278" spans="1:418" ht="15.75" thickBot="1">
      <c r="A278" t="s">
        <v>248</v>
      </c>
      <c r="B278" t="s">
        <v>1403</v>
      </c>
      <c r="C278" t="s">
        <v>1404</v>
      </c>
      <c r="D278" s="67" t="s">
        <v>245</v>
      </c>
      <c r="E278" t="s">
        <v>1415</v>
      </c>
      <c r="F278" s="4" t="s">
        <v>1417</v>
      </c>
      <c r="G278" t="s">
        <v>2</v>
      </c>
      <c r="H278" t="s">
        <v>30</v>
      </c>
      <c r="I278">
        <v>7.971944444</v>
      </c>
      <c r="J278">
        <v>38.633055560000003</v>
      </c>
      <c r="K278" t="s">
        <v>29</v>
      </c>
      <c r="AV278" t="s">
        <v>1418</v>
      </c>
      <c r="AW278">
        <v>420</v>
      </c>
      <c r="AX278">
        <v>2.5</v>
      </c>
      <c r="AY278">
        <v>1</v>
      </c>
      <c r="AZ278" t="s">
        <v>836</v>
      </c>
      <c r="BA278">
        <v>2015</v>
      </c>
      <c r="BB278">
        <v>2016</v>
      </c>
      <c r="BD278" t="s">
        <v>19</v>
      </c>
      <c r="BE278" t="s">
        <v>1422</v>
      </c>
      <c r="BF278" t="s">
        <v>299</v>
      </c>
      <c r="BG278" s="3" t="s">
        <v>1233</v>
      </c>
      <c r="BH278" t="s">
        <v>23</v>
      </c>
      <c r="BI278" t="s">
        <v>29</v>
      </c>
      <c r="BJ278" t="s">
        <v>22</v>
      </c>
      <c r="BK278">
        <v>53333</v>
      </c>
      <c r="EH278" s="9"/>
      <c r="EI278" s="9"/>
      <c r="EJ278" s="9"/>
      <c r="EK278" s="9"/>
      <c r="EL278" s="9"/>
      <c r="EM278" s="9"/>
      <c r="EN278" s="9"/>
      <c r="EO278" s="9"/>
      <c r="EP278" s="9"/>
      <c r="EQ278" s="9"/>
      <c r="ER278" s="9"/>
      <c r="ES278" s="9"/>
      <c r="ET278" s="9"/>
      <c r="EU278" s="9"/>
      <c r="EV278" s="9"/>
      <c r="EW278" s="9"/>
      <c r="EX278" s="9"/>
      <c r="EY278" s="9"/>
      <c r="EZ278" s="9"/>
      <c r="FA278" s="9"/>
      <c r="FB278" s="9"/>
      <c r="FC278" s="9"/>
      <c r="FD278" s="9"/>
      <c r="FE278" s="9"/>
      <c r="FF278" s="9"/>
      <c r="FG278" s="9"/>
      <c r="FH278" s="9"/>
      <c r="FI278" s="9"/>
      <c r="FJ278" s="9"/>
      <c r="FK278" s="9"/>
      <c r="FL278" s="9"/>
      <c r="FM278" s="9"/>
      <c r="FN278" s="9"/>
      <c r="FO278" s="9"/>
      <c r="FP278" s="9"/>
      <c r="FQ278" s="9"/>
      <c r="FR278" s="9"/>
      <c r="FS278" s="9"/>
      <c r="FT278" s="9"/>
      <c r="FU278" s="9"/>
      <c r="FV278" s="9"/>
      <c r="FW278" s="9"/>
      <c r="FX278" s="9"/>
      <c r="FY278" s="9"/>
      <c r="FZ278" s="9"/>
      <c r="GA278" s="9"/>
      <c r="GB278" s="9"/>
      <c r="GC278" s="9"/>
      <c r="GD278" s="9"/>
      <c r="GE278" s="9"/>
      <c r="GF278" s="9"/>
      <c r="GG278" s="9"/>
      <c r="GH278" s="9"/>
      <c r="GI278" s="9"/>
      <c r="GJ278" s="9"/>
      <c r="GK278" s="9"/>
      <c r="GL278" s="9"/>
      <c r="GM278" s="9"/>
      <c r="GN278" s="9"/>
      <c r="GO278" s="9"/>
      <c r="GP278" s="9"/>
      <c r="GQ278" s="9"/>
      <c r="GR278" s="9"/>
      <c r="GS278" s="9"/>
      <c r="GT278" s="9"/>
      <c r="GU278" s="9"/>
      <c r="GV278" s="9"/>
      <c r="GW278" s="9"/>
      <c r="GX278" s="9"/>
      <c r="GY278" s="9"/>
      <c r="GZ278" s="9"/>
      <c r="HA278" s="9"/>
      <c r="HB278" s="9"/>
      <c r="HC278" s="9"/>
      <c r="HD278" s="9"/>
      <c r="HE278" s="9"/>
      <c r="HF278" s="9"/>
      <c r="HG278" s="9"/>
      <c r="HH278" s="9"/>
      <c r="HI278" s="9"/>
      <c r="HJ278" s="9"/>
      <c r="HK278" s="9"/>
      <c r="HR278" t="s">
        <v>1439</v>
      </c>
      <c r="HW278" s="58"/>
      <c r="HX278" s="58"/>
      <c r="II278" t="s">
        <v>255</v>
      </c>
      <c r="IJ278" t="s">
        <v>19</v>
      </c>
      <c r="JK278" t="s">
        <v>1429</v>
      </c>
      <c r="JL278" s="84" t="s">
        <v>1427</v>
      </c>
      <c r="JM278" t="s">
        <v>14</v>
      </c>
      <c r="JN278" t="s">
        <v>1436</v>
      </c>
      <c r="JO278" s="4" t="s">
        <v>13</v>
      </c>
      <c r="JP278" t="s">
        <v>1437</v>
      </c>
      <c r="KW278" t="s">
        <v>1440</v>
      </c>
      <c r="MZ278" t="s">
        <v>1441</v>
      </c>
      <c r="NA278">
        <v>70</v>
      </c>
      <c r="NB278" t="s">
        <v>1442</v>
      </c>
      <c r="NC278" t="s">
        <v>168</v>
      </c>
      <c r="ND278" s="4"/>
      <c r="NK278" t="s">
        <v>1521</v>
      </c>
      <c r="NL278" t="s">
        <v>1407</v>
      </c>
      <c r="NM278" s="87" t="s">
        <v>8</v>
      </c>
      <c r="NN278" s="6" t="s">
        <v>13</v>
      </c>
      <c r="NV278" t="s">
        <v>1447</v>
      </c>
      <c r="NW278" t="s">
        <v>6</v>
      </c>
      <c r="NX278">
        <v>4663</v>
      </c>
      <c r="NY278" t="s">
        <v>29</v>
      </c>
      <c r="NZ278" t="s">
        <v>29</v>
      </c>
      <c r="OC278" s="15">
        <v>3</v>
      </c>
      <c r="OT278" t="s">
        <v>1408</v>
      </c>
      <c r="OU278" t="s">
        <v>6</v>
      </c>
      <c r="OW278">
        <v>2015</v>
      </c>
      <c r="OX278">
        <v>2016</v>
      </c>
      <c r="PA278" t="s">
        <v>1169</v>
      </c>
      <c r="PB278" s="58">
        <v>46105</v>
      </c>
    </row>
    <row r="279" spans="1:418" ht="15.75" thickBot="1">
      <c r="A279" t="s">
        <v>248</v>
      </c>
      <c r="B279" t="s">
        <v>1403</v>
      </c>
      <c r="C279" t="s">
        <v>1404</v>
      </c>
      <c r="D279" s="67" t="s">
        <v>245</v>
      </c>
      <c r="E279" t="s">
        <v>1415</v>
      </c>
      <c r="F279" s="4" t="s">
        <v>1417</v>
      </c>
      <c r="G279" t="s">
        <v>2</v>
      </c>
      <c r="H279" t="s">
        <v>30</v>
      </c>
      <c r="I279">
        <v>7.971944444</v>
      </c>
      <c r="J279">
        <v>38.633055560000003</v>
      </c>
      <c r="K279" t="s">
        <v>29</v>
      </c>
      <c r="AV279" t="s">
        <v>1418</v>
      </c>
      <c r="AW279">
        <v>420</v>
      </c>
      <c r="AX279">
        <v>2.5</v>
      </c>
      <c r="AY279">
        <v>1</v>
      </c>
      <c r="AZ279" t="s">
        <v>836</v>
      </c>
      <c r="BA279">
        <v>2015</v>
      </c>
      <c r="BB279">
        <v>2016</v>
      </c>
      <c r="BD279" t="s">
        <v>238</v>
      </c>
      <c r="BE279" t="s">
        <v>1424</v>
      </c>
      <c r="BF279" t="s">
        <v>64</v>
      </c>
      <c r="BG279" s="3" t="s">
        <v>1233</v>
      </c>
      <c r="BH279" t="s">
        <v>23</v>
      </c>
      <c r="BI279" t="s">
        <v>29</v>
      </c>
      <c r="BJ279" t="s">
        <v>22</v>
      </c>
      <c r="BK279">
        <v>53333</v>
      </c>
      <c r="BL279" t="s">
        <v>56</v>
      </c>
      <c r="BM279" t="s">
        <v>1426</v>
      </c>
      <c r="BN279" t="s">
        <v>29</v>
      </c>
      <c r="BO279" t="s">
        <v>22</v>
      </c>
      <c r="BP279">
        <v>266666</v>
      </c>
      <c r="EH279" s="9"/>
      <c r="EI279" s="9"/>
      <c r="EJ279" s="9"/>
      <c r="EK279" s="9"/>
      <c r="EL279" s="9"/>
      <c r="EM279" s="9"/>
      <c r="EN279" s="9"/>
      <c r="EO279" s="9"/>
      <c r="EP279" s="9"/>
      <c r="EQ279" s="9"/>
      <c r="ER279" s="9"/>
      <c r="ES279" s="9"/>
      <c r="ET279" s="9"/>
      <c r="EU279" s="9"/>
      <c r="EV279" s="9"/>
      <c r="EW279" s="9"/>
      <c r="EX279" s="9"/>
      <c r="EY279" s="9"/>
      <c r="EZ279" s="9"/>
      <c r="FA279" s="9"/>
      <c r="FB279" s="9"/>
      <c r="FC279" s="9"/>
      <c r="FD279" s="9"/>
      <c r="FE279" s="9"/>
      <c r="FF279" s="9"/>
      <c r="FG279" s="9"/>
      <c r="FH279" s="9"/>
      <c r="FI279" s="9"/>
      <c r="FJ279" s="9"/>
      <c r="FK279" s="9"/>
      <c r="FL279" s="9"/>
      <c r="FM279" s="9"/>
      <c r="FN279" s="9"/>
      <c r="FO279" s="9"/>
      <c r="FP279" s="9"/>
      <c r="FQ279" s="9"/>
      <c r="FR279" s="9"/>
      <c r="FS279" s="9"/>
      <c r="FT279" s="9"/>
      <c r="FU279" s="9"/>
      <c r="FV279" s="9"/>
      <c r="FW279" s="9"/>
      <c r="FX279" s="9"/>
      <c r="FY279" s="9"/>
      <c r="FZ279" s="9"/>
      <c r="GA279" s="9"/>
      <c r="GB279" s="9"/>
      <c r="GC279" s="9"/>
      <c r="GD279" s="9"/>
      <c r="GE279" s="9"/>
      <c r="GF279" s="9"/>
      <c r="GG279" s="9"/>
      <c r="GH279" s="9"/>
      <c r="GI279" s="9"/>
      <c r="GJ279" s="9"/>
      <c r="GK279" s="9"/>
      <c r="GL279" s="9"/>
      <c r="GM279" s="9"/>
      <c r="GN279" s="9"/>
      <c r="GO279" s="9"/>
      <c r="GP279" s="9"/>
      <c r="GQ279" s="9"/>
      <c r="GR279" s="9"/>
      <c r="GS279" s="9"/>
      <c r="GT279" s="9"/>
      <c r="GU279" s="9"/>
      <c r="GV279" s="9"/>
      <c r="GW279" s="9"/>
      <c r="GX279" s="9"/>
      <c r="GY279" s="9"/>
      <c r="GZ279" s="9"/>
      <c r="HA279" s="9"/>
      <c r="HB279" s="9"/>
      <c r="HC279" s="9"/>
      <c r="HD279" s="9"/>
      <c r="HE279" s="9"/>
      <c r="HF279" s="9"/>
      <c r="HG279" s="9"/>
      <c r="HH279" s="9"/>
      <c r="HI279" s="9"/>
      <c r="HJ279" s="9"/>
      <c r="HK279" s="9"/>
      <c r="HW279" s="58"/>
      <c r="HX279" s="58"/>
      <c r="II279" t="s">
        <v>1432</v>
      </c>
      <c r="IJ279" s="84" t="s">
        <v>1443</v>
      </c>
      <c r="IK279" t="s">
        <v>660</v>
      </c>
      <c r="IL279" t="s">
        <v>661</v>
      </c>
      <c r="IM279" t="s">
        <v>29</v>
      </c>
      <c r="IN279" t="s">
        <v>29</v>
      </c>
      <c r="IO279" t="s">
        <v>29</v>
      </c>
      <c r="JK279" t="s">
        <v>1431</v>
      </c>
      <c r="JL279" t="s">
        <v>1430</v>
      </c>
      <c r="JM279" t="s">
        <v>14</v>
      </c>
      <c r="JN279" t="s">
        <v>1436</v>
      </c>
      <c r="JO279" s="4" t="s">
        <v>13</v>
      </c>
      <c r="JP279" t="s">
        <v>1438</v>
      </c>
      <c r="MZ279" t="s">
        <v>1441</v>
      </c>
      <c r="NA279">
        <v>70</v>
      </c>
      <c r="NB279" t="s">
        <v>1442</v>
      </c>
      <c r="NC279" t="s">
        <v>168</v>
      </c>
      <c r="ND279" s="4"/>
      <c r="NK279" t="s">
        <v>1521</v>
      </c>
      <c r="NL279" t="s">
        <v>1407</v>
      </c>
      <c r="NM279" s="87" t="s">
        <v>8</v>
      </c>
      <c r="NN279" s="6" t="s">
        <v>13</v>
      </c>
      <c r="NW279" t="s">
        <v>6</v>
      </c>
      <c r="NX279">
        <v>3891</v>
      </c>
      <c r="NY279" t="s">
        <v>29</v>
      </c>
      <c r="NZ279" t="s">
        <v>29</v>
      </c>
      <c r="OC279" s="15">
        <v>3</v>
      </c>
      <c r="OT279" t="s">
        <v>1408</v>
      </c>
      <c r="OU279" t="s">
        <v>6</v>
      </c>
      <c r="OW279">
        <v>2015</v>
      </c>
      <c r="OX279">
        <v>2016</v>
      </c>
      <c r="PA279" t="s">
        <v>1169</v>
      </c>
      <c r="PB279" s="58">
        <v>46105</v>
      </c>
    </row>
    <row r="280" spans="1:418" ht="15.75" thickBot="1">
      <c r="A280" t="s">
        <v>248</v>
      </c>
      <c r="B280" t="s">
        <v>1403</v>
      </c>
      <c r="C280" t="s">
        <v>1404</v>
      </c>
      <c r="D280" s="67" t="s">
        <v>245</v>
      </c>
      <c r="E280" t="s">
        <v>1415</v>
      </c>
      <c r="F280" s="4" t="s">
        <v>1417</v>
      </c>
      <c r="G280" t="s">
        <v>2</v>
      </c>
      <c r="H280" t="s">
        <v>30</v>
      </c>
      <c r="I280">
        <v>7.971944444</v>
      </c>
      <c r="J280">
        <v>38.633055560000003</v>
      </c>
      <c r="K280" t="s">
        <v>29</v>
      </c>
      <c r="AV280" t="s">
        <v>1418</v>
      </c>
      <c r="AW280">
        <v>420</v>
      </c>
      <c r="AX280">
        <v>2.5</v>
      </c>
      <c r="AY280">
        <v>1</v>
      </c>
      <c r="AZ280" t="s">
        <v>836</v>
      </c>
      <c r="BA280">
        <v>2015</v>
      </c>
      <c r="BB280">
        <v>2016</v>
      </c>
      <c r="BD280" t="s">
        <v>238</v>
      </c>
      <c r="BE280" t="s">
        <v>1425</v>
      </c>
      <c r="BF280" t="s">
        <v>57</v>
      </c>
      <c r="BG280" s="3" t="s">
        <v>1233</v>
      </c>
      <c r="BH280" t="s">
        <v>23</v>
      </c>
      <c r="BI280" t="s">
        <v>29</v>
      </c>
      <c r="BJ280" t="s">
        <v>22</v>
      </c>
      <c r="BK280">
        <v>53333</v>
      </c>
      <c r="BL280" t="s">
        <v>56</v>
      </c>
      <c r="BM280" t="s">
        <v>1414</v>
      </c>
      <c r="BN280" t="s">
        <v>29</v>
      </c>
      <c r="BO280" t="s">
        <v>22</v>
      </c>
      <c r="BP280">
        <v>66666</v>
      </c>
      <c r="EH280" s="9"/>
      <c r="EI280" s="9"/>
      <c r="EJ280" s="9"/>
      <c r="EK280" s="9"/>
      <c r="EL280" s="9"/>
      <c r="EM280" s="9"/>
      <c r="EN280" s="9"/>
      <c r="EO280" s="9"/>
      <c r="EP280" s="9"/>
      <c r="EQ280" s="9"/>
      <c r="ER280" s="9"/>
      <c r="ES280" s="9"/>
      <c r="ET280" s="9"/>
      <c r="EU280" s="9"/>
      <c r="EV280" s="9"/>
      <c r="EW280" s="9"/>
      <c r="EX280" s="9"/>
      <c r="EY280" s="9"/>
      <c r="EZ280" s="9"/>
      <c r="FA280" s="9"/>
      <c r="FB280" s="9"/>
      <c r="FC280" s="9"/>
      <c r="FD280" s="9"/>
      <c r="FE280" s="9"/>
      <c r="FF280" s="9"/>
      <c r="FG280" s="9"/>
      <c r="FH280" s="9"/>
      <c r="FI280" s="9"/>
      <c r="FJ280" s="9"/>
      <c r="FK280" s="9"/>
      <c r="FL280" s="9"/>
      <c r="FM280" s="9"/>
      <c r="FN280" s="9"/>
      <c r="FO280" s="9"/>
      <c r="FP280" s="9"/>
      <c r="FQ280" s="9"/>
      <c r="FR280" s="9"/>
      <c r="FS280" s="9"/>
      <c r="FT280" s="9"/>
      <c r="FU280" s="9"/>
      <c r="FV280" s="9"/>
      <c r="FW280" s="9"/>
      <c r="FX280" s="9"/>
      <c r="FY280" s="9"/>
      <c r="FZ280" s="9"/>
      <c r="GA280" s="9"/>
      <c r="GB280" s="9"/>
      <c r="GC280" s="9"/>
      <c r="GD280" s="9"/>
      <c r="GE280" s="9"/>
      <c r="GF280" s="9"/>
      <c r="GG280" s="9"/>
      <c r="GH280" s="9"/>
      <c r="GI280" s="9"/>
      <c r="GJ280" s="9"/>
      <c r="GK280" s="9"/>
      <c r="GL280" s="9"/>
      <c r="GM280" s="9"/>
      <c r="GN280" s="9"/>
      <c r="GO280" s="9"/>
      <c r="GP280" s="9"/>
      <c r="GQ280" s="9"/>
      <c r="GR280" s="9"/>
      <c r="GS280" s="9"/>
      <c r="GT280" s="9"/>
      <c r="GU280" s="9"/>
      <c r="GV280" s="9"/>
      <c r="GW280" s="9"/>
      <c r="GX280" s="9"/>
      <c r="GY280" s="9"/>
      <c r="GZ280" s="9"/>
      <c r="HA280" s="9"/>
      <c r="HB280" s="9"/>
      <c r="HC280" s="9"/>
      <c r="HD280" s="9"/>
      <c r="HE280" s="9"/>
      <c r="HF280" s="9"/>
      <c r="HG280" s="9"/>
      <c r="HH280" s="9"/>
      <c r="HI280" s="9"/>
      <c r="HJ280" s="9"/>
      <c r="HK280" s="9"/>
      <c r="HW280" s="58"/>
      <c r="HX280" s="58"/>
      <c r="II280" t="s">
        <v>1433</v>
      </c>
      <c r="IJ280" s="84" t="s">
        <v>1443</v>
      </c>
      <c r="IK280" t="s">
        <v>660</v>
      </c>
      <c r="IL280" t="s">
        <v>661</v>
      </c>
      <c r="IM280" t="s">
        <v>29</v>
      </c>
      <c r="IN280" t="s">
        <v>29</v>
      </c>
      <c r="IO280" t="s">
        <v>29</v>
      </c>
      <c r="JK280" t="s">
        <v>1434</v>
      </c>
      <c r="JL280" t="s">
        <v>1430</v>
      </c>
      <c r="JM280" t="s">
        <v>14</v>
      </c>
      <c r="JN280" t="s">
        <v>1436</v>
      </c>
      <c r="JO280" s="4" t="s">
        <v>13</v>
      </c>
      <c r="JP280" t="s">
        <v>1438</v>
      </c>
      <c r="MZ280" t="s">
        <v>1441</v>
      </c>
      <c r="NA280">
        <v>70</v>
      </c>
      <c r="NB280" t="s">
        <v>1442</v>
      </c>
      <c r="NC280" t="s">
        <v>168</v>
      </c>
      <c r="ND280" s="4"/>
      <c r="NK280" t="s">
        <v>1521</v>
      </c>
      <c r="NL280" t="s">
        <v>1407</v>
      </c>
      <c r="NM280" s="87" t="s">
        <v>8</v>
      </c>
      <c r="NN280" s="6" t="s">
        <v>13</v>
      </c>
      <c r="NW280" t="s">
        <v>6</v>
      </c>
      <c r="NX280">
        <v>4255</v>
      </c>
      <c r="NY280" t="s">
        <v>29</v>
      </c>
      <c r="NZ280" t="s">
        <v>29</v>
      </c>
      <c r="OC280" s="15">
        <v>3</v>
      </c>
      <c r="OT280" t="s">
        <v>1408</v>
      </c>
      <c r="OU280" t="s">
        <v>6</v>
      </c>
      <c r="OW280">
        <v>2015</v>
      </c>
      <c r="OX280">
        <v>2016</v>
      </c>
      <c r="PA280" t="s">
        <v>1169</v>
      </c>
      <c r="PB280" s="58">
        <v>46105</v>
      </c>
    </row>
    <row r="281" spans="1:418" ht="15.75" thickBot="1">
      <c r="A281" t="s">
        <v>248</v>
      </c>
      <c r="B281" t="s">
        <v>1403</v>
      </c>
      <c r="C281" t="s">
        <v>1404</v>
      </c>
      <c r="D281" s="67" t="s">
        <v>245</v>
      </c>
      <c r="E281" t="s">
        <v>1415</v>
      </c>
      <c r="F281" s="4" t="s">
        <v>1417</v>
      </c>
      <c r="G281" t="s">
        <v>2</v>
      </c>
      <c r="H281" t="s">
        <v>30</v>
      </c>
      <c r="I281">
        <v>7.971944444</v>
      </c>
      <c r="J281">
        <v>38.633055560000003</v>
      </c>
      <c r="K281" t="s">
        <v>29</v>
      </c>
      <c r="AV281" t="s">
        <v>1418</v>
      </c>
      <c r="AW281">
        <v>420</v>
      </c>
      <c r="AX281">
        <v>2.5</v>
      </c>
      <c r="AY281">
        <v>1</v>
      </c>
      <c r="AZ281" t="s">
        <v>836</v>
      </c>
      <c r="BA281">
        <v>2015</v>
      </c>
      <c r="BB281">
        <v>2016</v>
      </c>
      <c r="BD281" t="s">
        <v>19</v>
      </c>
      <c r="BE281" t="s">
        <v>1423</v>
      </c>
      <c r="BF281" t="s">
        <v>256</v>
      </c>
      <c r="BG281" s="3" t="s">
        <v>1233</v>
      </c>
      <c r="BH281" t="s">
        <v>23</v>
      </c>
      <c r="BI281" t="s">
        <v>29</v>
      </c>
      <c r="BJ281" t="s">
        <v>22</v>
      </c>
      <c r="BK281">
        <v>53333</v>
      </c>
      <c r="EH281" s="9"/>
      <c r="EI281" s="9"/>
      <c r="EJ281" s="9"/>
      <c r="EK281" s="9"/>
      <c r="EL281" s="9"/>
      <c r="EM281" s="9"/>
      <c r="EN281" s="9"/>
      <c r="EO281" s="9"/>
      <c r="EP281" s="9"/>
      <c r="EQ281" s="9"/>
      <c r="ER281" s="9"/>
      <c r="ES281" s="9"/>
      <c r="ET281" s="9"/>
      <c r="EU281" s="9"/>
      <c r="EV281" s="9"/>
      <c r="EW281" s="9"/>
      <c r="EX281" s="9"/>
      <c r="EY281" s="9"/>
      <c r="EZ281" s="9"/>
      <c r="FA281" s="9"/>
      <c r="FB281" s="9"/>
      <c r="FC281" s="9"/>
      <c r="FD281" s="9"/>
      <c r="FE281" s="9"/>
      <c r="FF281" s="9"/>
      <c r="FG281" s="9"/>
      <c r="FH281" s="9"/>
      <c r="FI281" s="9"/>
      <c r="FJ281" s="9"/>
      <c r="FK281" s="9"/>
      <c r="FL281" s="9"/>
      <c r="FM281" s="9"/>
      <c r="FN281" s="9"/>
      <c r="FO281" s="9"/>
      <c r="FP281" s="9"/>
      <c r="FQ281" s="9"/>
      <c r="FR281" s="9"/>
      <c r="FS281" s="9"/>
      <c r="FT281" s="9"/>
      <c r="FU281" s="9"/>
      <c r="FV281" s="9"/>
      <c r="FW281" s="9"/>
      <c r="FX281" s="9"/>
      <c r="FY281" s="9"/>
      <c r="FZ281" s="9"/>
      <c r="GA281" s="9"/>
      <c r="GB281" s="9"/>
      <c r="GC281" s="9"/>
      <c r="GD281" s="9"/>
      <c r="GE281" s="9"/>
      <c r="GF281" s="9"/>
      <c r="GG281" s="9"/>
      <c r="GH281" s="9"/>
      <c r="GI281" s="9"/>
      <c r="GJ281" s="9"/>
      <c r="GK281" s="9"/>
      <c r="GL281" s="9"/>
      <c r="GM281" s="9"/>
      <c r="GN281" s="9"/>
      <c r="GO281" s="9"/>
      <c r="GP281" s="9"/>
      <c r="GQ281" s="9"/>
      <c r="GR281" s="9"/>
      <c r="GS281" s="9"/>
      <c r="GT281" s="9"/>
      <c r="GU281" s="9"/>
      <c r="GV281" s="9"/>
      <c r="GW281" s="9"/>
      <c r="GX281" s="9"/>
      <c r="GY281" s="9"/>
      <c r="GZ281" s="9"/>
      <c r="HA281" s="9"/>
      <c r="HB281" s="9"/>
      <c r="HC281" s="9"/>
      <c r="HD281" s="9"/>
      <c r="HE281" s="9"/>
      <c r="HF281" s="9"/>
      <c r="HG281" s="9"/>
      <c r="HH281" s="9"/>
      <c r="HI281" s="9"/>
      <c r="HJ281" s="9"/>
      <c r="HK281" s="9"/>
      <c r="HR281" t="s">
        <v>1439</v>
      </c>
      <c r="HW281" s="58"/>
      <c r="HX281" s="58"/>
      <c r="II281" t="s">
        <v>255</v>
      </c>
      <c r="IJ281" t="s">
        <v>19</v>
      </c>
      <c r="JK281" t="s">
        <v>1435</v>
      </c>
      <c r="JL281" t="s">
        <v>1430</v>
      </c>
      <c r="JM281" t="s">
        <v>14</v>
      </c>
      <c r="JN281" t="s">
        <v>1436</v>
      </c>
      <c r="JO281" s="4" t="s">
        <v>13</v>
      </c>
      <c r="JP281" t="s">
        <v>1438</v>
      </c>
      <c r="MZ281" t="s">
        <v>1441</v>
      </c>
      <c r="NA281">
        <v>70</v>
      </c>
      <c r="NB281" t="s">
        <v>1442</v>
      </c>
      <c r="NC281" t="s">
        <v>168</v>
      </c>
      <c r="ND281" s="4"/>
      <c r="NK281" t="s">
        <v>1521</v>
      </c>
      <c r="NL281" t="s">
        <v>1407</v>
      </c>
      <c r="NM281" s="87" t="s">
        <v>8</v>
      </c>
      <c r="NN281" s="6" t="s">
        <v>13</v>
      </c>
      <c r="NV281" t="s">
        <v>745</v>
      </c>
      <c r="NW281" t="s">
        <v>6</v>
      </c>
      <c r="NX281">
        <v>5259</v>
      </c>
      <c r="NY281" t="s">
        <v>29</v>
      </c>
      <c r="NZ281" t="s">
        <v>29</v>
      </c>
      <c r="OC281" s="15">
        <v>3</v>
      </c>
      <c r="OT281" t="s">
        <v>1408</v>
      </c>
      <c r="OU281" t="s">
        <v>6</v>
      </c>
      <c r="OW281">
        <v>2015</v>
      </c>
      <c r="OX281">
        <v>2016</v>
      </c>
      <c r="PA281" t="s">
        <v>1169</v>
      </c>
      <c r="PB281" s="58">
        <v>46105</v>
      </c>
    </row>
    <row r="282" spans="1:418" ht="15.75" thickBot="1">
      <c r="A282" t="s">
        <v>248</v>
      </c>
      <c r="B282" t="s">
        <v>1403</v>
      </c>
      <c r="C282" t="s">
        <v>1404</v>
      </c>
      <c r="D282" s="67" t="s">
        <v>245</v>
      </c>
      <c r="E282" t="s">
        <v>1415</v>
      </c>
      <c r="F282" s="4" t="s">
        <v>1417</v>
      </c>
      <c r="G282" t="s">
        <v>2</v>
      </c>
      <c r="H282" t="s">
        <v>30</v>
      </c>
      <c r="I282">
        <v>7.971944444</v>
      </c>
      <c r="J282">
        <v>38.633055560000003</v>
      </c>
      <c r="K282" t="s">
        <v>29</v>
      </c>
      <c r="AV282" t="s">
        <v>1418</v>
      </c>
      <c r="AW282">
        <v>420</v>
      </c>
      <c r="AX282">
        <v>2.5</v>
      </c>
      <c r="AY282">
        <v>1</v>
      </c>
      <c r="AZ282" t="s">
        <v>836</v>
      </c>
      <c r="BA282">
        <v>2015</v>
      </c>
      <c r="BB282">
        <v>2016</v>
      </c>
      <c r="BD282" t="s">
        <v>19</v>
      </c>
      <c r="BE282" t="s">
        <v>1420</v>
      </c>
      <c r="BF282" t="s">
        <v>39</v>
      </c>
      <c r="BG282" s="3" t="s">
        <v>1233</v>
      </c>
      <c r="BH282" t="s">
        <v>23</v>
      </c>
      <c r="BI282" t="s">
        <v>29</v>
      </c>
      <c r="BJ282" s="4" t="s">
        <v>22</v>
      </c>
      <c r="BK282">
        <v>53333</v>
      </c>
      <c r="EH282" s="9"/>
      <c r="EI282" s="9"/>
      <c r="EJ282" s="9"/>
      <c r="EK282" s="9"/>
      <c r="EL282" s="9"/>
      <c r="EM282" s="9"/>
      <c r="EN282" s="9"/>
      <c r="EO282" s="9"/>
      <c r="EP282" s="9"/>
      <c r="EQ282" s="9"/>
      <c r="ER282" s="9"/>
      <c r="ES282" s="9"/>
      <c r="ET282" s="9"/>
      <c r="EU282" s="9"/>
      <c r="EV282" s="9"/>
      <c r="EW282" s="9"/>
      <c r="EX282" s="9"/>
      <c r="EY282" s="9"/>
      <c r="EZ282" s="9"/>
      <c r="FA282" s="9"/>
      <c r="FB282" s="9"/>
      <c r="FC282" s="9"/>
      <c r="FD282" s="9"/>
      <c r="FE282" s="9"/>
      <c r="FF282" s="9"/>
      <c r="FG282" s="9"/>
      <c r="FH282" s="9"/>
      <c r="FI282" s="9"/>
      <c r="FJ282" s="9"/>
      <c r="FK282" s="9"/>
      <c r="FL282" s="9"/>
      <c r="FM282" s="9"/>
      <c r="FN282" s="9"/>
      <c r="FO282" s="9"/>
      <c r="FP282" s="9"/>
      <c r="FQ282" s="9"/>
      <c r="FR282" s="9"/>
      <c r="FS282" s="9"/>
      <c r="FT282" s="9"/>
      <c r="FU282" s="9"/>
      <c r="FV282" s="9"/>
      <c r="FW282" s="9"/>
      <c r="FX282" s="9"/>
      <c r="FY282" s="9"/>
      <c r="FZ282" s="9"/>
      <c r="GA282" s="9"/>
      <c r="GB282" s="9"/>
      <c r="GC282" s="9"/>
      <c r="GD282" s="9"/>
      <c r="GE282" s="9"/>
      <c r="GF282" s="9"/>
      <c r="GG282" s="9"/>
      <c r="GH282" s="9"/>
      <c r="GI282" s="9"/>
      <c r="GJ282" s="9"/>
      <c r="GK282" s="9"/>
      <c r="GL282" s="9"/>
      <c r="GM282" s="9"/>
      <c r="GN282" s="9"/>
      <c r="GO282" s="9"/>
      <c r="GP282" s="9"/>
      <c r="GQ282" s="9"/>
      <c r="GR282" s="9"/>
      <c r="GS282" s="9"/>
      <c r="GT282" s="9"/>
      <c r="GU282" s="9"/>
      <c r="GV282" s="9"/>
      <c r="GW282" s="9"/>
      <c r="GX282" s="9"/>
      <c r="GY282" s="9"/>
      <c r="GZ282" s="9"/>
      <c r="HA282" s="9"/>
      <c r="HB282" s="9"/>
      <c r="HC282" s="9"/>
      <c r="HD282" s="9"/>
      <c r="HE282" s="9"/>
      <c r="HF282" s="9"/>
      <c r="HG282" s="9"/>
      <c r="HH282" s="9"/>
      <c r="HI282" s="9"/>
      <c r="HJ282" s="9"/>
      <c r="HK282" s="9"/>
      <c r="HW282" s="58"/>
      <c r="HX282" s="58"/>
      <c r="II282" t="s">
        <v>255</v>
      </c>
      <c r="IJ282" t="s">
        <v>19</v>
      </c>
      <c r="JK282" t="s">
        <v>1419</v>
      </c>
      <c r="JL282" s="84" t="s">
        <v>1427</v>
      </c>
      <c r="JM282" s="8" t="s">
        <v>14</v>
      </c>
      <c r="JN282" s="8" t="s">
        <v>1436</v>
      </c>
      <c r="JO282" s="4" t="s">
        <v>13</v>
      </c>
      <c r="JP282" t="s">
        <v>1437</v>
      </c>
      <c r="MZ282" t="s">
        <v>1441</v>
      </c>
      <c r="NA282">
        <v>70</v>
      </c>
      <c r="NB282" t="s">
        <v>1442</v>
      </c>
      <c r="NC282" s="4" t="s">
        <v>10</v>
      </c>
      <c r="NK282" t="s">
        <v>1521</v>
      </c>
      <c r="NL282" t="s">
        <v>1407</v>
      </c>
      <c r="NM282" s="4" t="s">
        <v>1156</v>
      </c>
      <c r="NN282" s="6" t="s">
        <v>13</v>
      </c>
      <c r="NV282" t="s">
        <v>1447</v>
      </c>
      <c r="NW282" t="s">
        <v>6</v>
      </c>
      <c r="NX282">
        <v>4812</v>
      </c>
      <c r="NY282" t="s">
        <v>29</v>
      </c>
      <c r="NZ282" t="s">
        <v>29</v>
      </c>
      <c r="OC282" s="15">
        <v>3</v>
      </c>
      <c r="OT282" t="s">
        <v>1408</v>
      </c>
      <c r="OU282" t="s">
        <v>6</v>
      </c>
      <c r="OW282">
        <v>2015</v>
      </c>
      <c r="OX282">
        <v>2016</v>
      </c>
      <c r="PA282" t="s">
        <v>1169</v>
      </c>
      <c r="PB282" s="58">
        <v>46105</v>
      </c>
    </row>
    <row r="283" spans="1:418" ht="15.75" thickBot="1">
      <c r="A283" t="s">
        <v>248</v>
      </c>
      <c r="B283" t="s">
        <v>1403</v>
      </c>
      <c r="C283" t="s">
        <v>1404</v>
      </c>
      <c r="D283" s="67" t="s">
        <v>245</v>
      </c>
      <c r="E283" t="s">
        <v>1415</v>
      </c>
      <c r="F283" s="4" t="s">
        <v>1417</v>
      </c>
      <c r="G283" t="s">
        <v>2</v>
      </c>
      <c r="H283" t="s">
        <v>30</v>
      </c>
      <c r="I283">
        <v>7.971944444</v>
      </c>
      <c r="J283">
        <v>38.633055560000003</v>
      </c>
      <c r="K283" t="s">
        <v>29</v>
      </c>
      <c r="AV283" t="s">
        <v>1418</v>
      </c>
      <c r="AW283">
        <v>420</v>
      </c>
      <c r="AX283">
        <v>2.5</v>
      </c>
      <c r="AY283">
        <v>1</v>
      </c>
      <c r="AZ283" t="s">
        <v>836</v>
      </c>
      <c r="BA283">
        <v>2015</v>
      </c>
      <c r="BB283">
        <v>2016</v>
      </c>
      <c r="BD283" t="s">
        <v>19</v>
      </c>
      <c r="BE283" t="s">
        <v>1421</v>
      </c>
      <c r="BF283" t="s">
        <v>24</v>
      </c>
      <c r="BG283" s="3" t="s">
        <v>1233</v>
      </c>
      <c r="BH283" t="s">
        <v>23</v>
      </c>
      <c r="BI283" t="s">
        <v>29</v>
      </c>
      <c r="BJ283" t="s">
        <v>22</v>
      </c>
      <c r="BK283">
        <v>53333</v>
      </c>
      <c r="EH283" s="9"/>
      <c r="EI283" s="9"/>
      <c r="EJ283" s="9"/>
      <c r="EK283" s="9"/>
      <c r="EL283" s="9"/>
      <c r="EM283" s="9"/>
      <c r="EN283" s="9"/>
      <c r="EO283" s="9"/>
      <c r="EP283" s="9"/>
      <c r="EQ283" s="9"/>
      <c r="ER283" s="9"/>
      <c r="ES283" s="9"/>
      <c r="ET283" s="9"/>
      <c r="EU283" s="9"/>
      <c r="EV283" s="9"/>
      <c r="EW283" s="9"/>
      <c r="EX283" s="9"/>
      <c r="EY283" s="9"/>
      <c r="EZ283" s="9"/>
      <c r="FA283" s="9"/>
      <c r="FB283" s="9"/>
      <c r="FC283" s="9"/>
      <c r="FD283" s="9"/>
      <c r="FE283" s="9"/>
      <c r="FF283" s="9"/>
      <c r="FG283" s="9"/>
      <c r="FH283" s="9"/>
      <c r="FI283" s="9"/>
      <c r="FJ283" s="9"/>
      <c r="FK283" s="9"/>
      <c r="FL283" s="9"/>
      <c r="FM283" s="9"/>
      <c r="FN283" s="9"/>
      <c r="FO283" s="9"/>
      <c r="FP283" s="9"/>
      <c r="FQ283" s="9"/>
      <c r="FR283" s="9"/>
      <c r="FS283" s="9"/>
      <c r="FT283" s="9"/>
      <c r="FU283" s="9"/>
      <c r="FV283" s="9"/>
      <c r="FW283" s="9"/>
      <c r="FX283" s="9"/>
      <c r="FY283" s="9"/>
      <c r="FZ283" s="9"/>
      <c r="GA283" s="9"/>
      <c r="GB283" s="9"/>
      <c r="GC283" s="9"/>
      <c r="GD283" s="9"/>
      <c r="GE283" s="9"/>
      <c r="GF283" s="9"/>
      <c r="GG283" s="9"/>
      <c r="GH283" s="9"/>
      <c r="GI283" s="9"/>
      <c r="GJ283" s="9"/>
      <c r="GK283" s="9"/>
      <c r="GL283" s="9"/>
      <c r="GM283" s="9"/>
      <c r="GN283" s="9"/>
      <c r="GO283" s="9"/>
      <c r="GP283" s="9"/>
      <c r="GQ283" s="9"/>
      <c r="GR283" s="9"/>
      <c r="GS283" s="9"/>
      <c r="GT283" s="9"/>
      <c r="GU283" s="9"/>
      <c r="GV283" s="9"/>
      <c r="GW283" s="9"/>
      <c r="GX283" s="9"/>
      <c r="GY283" s="9"/>
      <c r="GZ283" s="9"/>
      <c r="HA283" s="9"/>
      <c r="HB283" s="9"/>
      <c r="HC283" s="9"/>
      <c r="HD283" s="9"/>
      <c r="HE283" s="9"/>
      <c r="HF283" s="9"/>
      <c r="HG283" s="9"/>
      <c r="HH283" s="9"/>
      <c r="HI283" s="9"/>
      <c r="HJ283" s="9"/>
      <c r="HK283" s="9"/>
      <c r="HW283" s="58"/>
      <c r="HX283" s="58"/>
      <c r="II283" t="s">
        <v>255</v>
      </c>
      <c r="IJ283" t="s">
        <v>19</v>
      </c>
      <c r="JK283" t="s">
        <v>1428</v>
      </c>
      <c r="JL283" s="54" t="s">
        <v>1430</v>
      </c>
      <c r="JM283" s="8" t="s">
        <v>14</v>
      </c>
      <c r="JN283" s="8" t="s">
        <v>1436</v>
      </c>
      <c r="JO283" s="4" t="s">
        <v>13</v>
      </c>
      <c r="JP283" t="s">
        <v>1438</v>
      </c>
      <c r="MZ283" t="s">
        <v>1441</v>
      </c>
      <c r="NA283">
        <v>70</v>
      </c>
      <c r="NB283" t="s">
        <v>1442</v>
      </c>
      <c r="NC283" s="4" t="s">
        <v>10</v>
      </c>
      <c r="NK283" t="s">
        <v>1521</v>
      </c>
      <c r="NL283" t="s">
        <v>1407</v>
      </c>
      <c r="NM283" s="4" t="s">
        <v>1156</v>
      </c>
      <c r="NN283" s="6" t="s">
        <v>13</v>
      </c>
      <c r="NV283" t="s">
        <v>745</v>
      </c>
      <c r="NW283" t="s">
        <v>6</v>
      </c>
      <c r="NX283">
        <v>7230</v>
      </c>
      <c r="NY283" t="s">
        <v>29</v>
      </c>
      <c r="NZ283" t="s">
        <v>29</v>
      </c>
      <c r="OC283" s="15">
        <v>3</v>
      </c>
      <c r="OT283" t="s">
        <v>1408</v>
      </c>
      <c r="OU283" t="s">
        <v>6</v>
      </c>
      <c r="OW283">
        <v>2015</v>
      </c>
      <c r="OX283">
        <v>2016</v>
      </c>
      <c r="PA283" t="s">
        <v>1169</v>
      </c>
      <c r="PB283" s="58">
        <v>46105</v>
      </c>
    </row>
    <row r="284" spans="1:418" ht="15.75" thickBot="1">
      <c r="A284" t="s">
        <v>248</v>
      </c>
      <c r="B284" t="s">
        <v>1403</v>
      </c>
      <c r="C284" t="s">
        <v>1404</v>
      </c>
      <c r="D284" s="67" t="s">
        <v>245</v>
      </c>
      <c r="E284" t="s">
        <v>1415</v>
      </c>
      <c r="F284" s="4" t="s">
        <v>1417</v>
      </c>
      <c r="G284" t="s">
        <v>2</v>
      </c>
      <c r="H284" t="s">
        <v>30</v>
      </c>
      <c r="I284">
        <v>7.971944444</v>
      </c>
      <c r="J284">
        <v>38.633055560000003</v>
      </c>
      <c r="K284" t="s">
        <v>29</v>
      </c>
      <c r="AV284" t="s">
        <v>1418</v>
      </c>
      <c r="AW284">
        <v>420</v>
      </c>
      <c r="AX284">
        <v>2.5</v>
      </c>
      <c r="AY284">
        <v>1</v>
      </c>
      <c r="AZ284" t="s">
        <v>836</v>
      </c>
      <c r="BA284">
        <v>2015</v>
      </c>
      <c r="BB284">
        <v>2016</v>
      </c>
      <c r="BD284" t="s">
        <v>19</v>
      </c>
      <c r="BE284" t="s">
        <v>1422</v>
      </c>
      <c r="BF284" t="s">
        <v>299</v>
      </c>
      <c r="BG284" s="3" t="s">
        <v>1233</v>
      </c>
      <c r="BH284" t="s">
        <v>23</v>
      </c>
      <c r="BI284" t="s">
        <v>29</v>
      </c>
      <c r="BJ284" t="s">
        <v>22</v>
      </c>
      <c r="BK284">
        <v>53333</v>
      </c>
      <c r="EH284" s="9"/>
      <c r="EI284" s="9"/>
      <c r="EJ284" s="9"/>
      <c r="EK284" s="9"/>
      <c r="EL284" s="9"/>
      <c r="EM284" s="9"/>
      <c r="EN284" s="9"/>
      <c r="EO284" s="9"/>
      <c r="EP284" s="9"/>
      <c r="EQ284" s="9"/>
      <c r="ER284" s="9"/>
      <c r="ES284" s="9"/>
      <c r="ET284" s="9"/>
      <c r="EU284" s="9"/>
      <c r="EV284" s="9"/>
      <c r="EW284" s="9"/>
      <c r="EX284" s="9"/>
      <c r="EY284" s="9"/>
      <c r="EZ284" s="9"/>
      <c r="FA284" s="9"/>
      <c r="FB284" s="9"/>
      <c r="FC284" s="9"/>
      <c r="FD284" s="9"/>
      <c r="FE284" s="9"/>
      <c r="FF284" s="9"/>
      <c r="FG284" s="9"/>
      <c r="FH284" s="9"/>
      <c r="FI284" s="9"/>
      <c r="FJ284" s="9"/>
      <c r="FK284" s="9"/>
      <c r="FL284" s="9"/>
      <c r="FM284" s="9"/>
      <c r="FN284" s="9"/>
      <c r="FO284" s="9"/>
      <c r="FP284" s="9"/>
      <c r="FQ284" s="9"/>
      <c r="FR284" s="9"/>
      <c r="FS284" s="9"/>
      <c r="FT284" s="9"/>
      <c r="FU284" s="9"/>
      <c r="FV284" s="9"/>
      <c r="FW284" s="9"/>
      <c r="FX284" s="9"/>
      <c r="FY284" s="9"/>
      <c r="FZ284" s="9"/>
      <c r="GA284" s="9"/>
      <c r="GB284" s="9"/>
      <c r="GC284" s="9"/>
      <c r="GD284" s="9"/>
      <c r="GE284" s="9"/>
      <c r="GF284" s="9"/>
      <c r="GG284" s="9"/>
      <c r="GH284" s="9"/>
      <c r="GI284" s="9"/>
      <c r="GJ284" s="9"/>
      <c r="GK284" s="9"/>
      <c r="GL284" s="9"/>
      <c r="GM284" s="9"/>
      <c r="GN284" s="9"/>
      <c r="GO284" s="9"/>
      <c r="GP284" s="9"/>
      <c r="GQ284" s="9"/>
      <c r="GR284" s="9"/>
      <c r="GS284" s="9"/>
      <c r="GT284" s="9"/>
      <c r="GU284" s="9"/>
      <c r="GV284" s="9"/>
      <c r="GW284" s="9"/>
      <c r="GX284" s="9"/>
      <c r="GY284" s="9"/>
      <c r="GZ284" s="9"/>
      <c r="HA284" s="9"/>
      <c r="HB284" s="9"/>
      <c r="HC284" s="9"/>
      <c r="HD284" s="9"/>
      <c r="HE284" s="9"/>
      <c r="HF284" s="9"/>
      <c r="HG284" s="9"/>
      <c r="HH284" s="9"/>
      <c r="HI284" s="9"/>
      <c r="HJ284" s="9"/>
      <c r="HK284" s="9"/>
      <c r="HR284" t="s">
        <v>1439</v>
      </c>
      <c r="HW284" s="58"/>
      <c r="HX284" s="58"/>
      <c r="II284" t="s">
        <v>255</v>
      </c>
      <c r="IJ284" t="s">
        <v>19</v>
      </c>
      <c r="JK284" t="s">
        <v>1429</v>
      </c>
      <c r="JL284" s="84" t="s">
        <v>1427</v>
      </c>
      <c r="JM284" t="s">
        <v>14</v>
      </c>
      <c r="JN284" t="s">
        <v>1436</v>
      </c>
      <c r="JO284" s="4" t="s">
        <v>13</v>
      </c>
      <c r="JP284" t="s">
        <v>1437</v>
      </c>
      <c r="KW284" t="s">
        <v>1440</v>
      </c>
      <c r="MZ284" t="s">
        <v>1441</v>
      </c>
      <c r="NA284">
        <v>70</v>
      </c>
      <c r="NB284" t="s">
        <v>1442</v>
      </c>
      <c r="NC284" s="4" t="s">
        <v>10</v>
      </c>
      <c r="NK284" t="s">
        <v>1521</v>
      </c>
      <c r="NL284" t="s">
        <v>1407</v>
      </c>
      <c r="NM284" s="4" t="s">
        <v>1156</v>
      </c>
      <c r="NN284" s="6" t="s">
        <v>13</v>
      </c>
      <c r="NV284" t="s">
        <v>1447</v>
      </c>
      <c r="NW284" t="s">
        <v>6</v>
      </c>
      <c r="NX284">
        <v>5846</v>
      </c>
      <c r="NY284" t="s">
        <v>29</v>
      </c>
      <c r="NZ284" t="s">
        <v>29</v>
      </c>
      <c r="OC284" s="15">
        <v>3</v>
      </c>
      <c r="OT284" t="s">
        <v>1408</v>
      </c>
      <c r="OU284" t="s">
        <v>6</v>
      </c>
      <c r="OW284">
        <v>2015</v>
      </c>
      <c r="OX284">
        <v>2016</v>
      </c>
      <c r="PA284" t="s">
        <v>1169</v>
      </c>
      <c r="PB284" s="58">
        <v>46105</v>
      </c>
    </row>
    <row r="285" spans="1:418" ht="15.75" thickBot="1">
      <c r="A285" t="s">
        <v>248</v>
      </c>
      <c r="B285" t="s">
        <v>1403</v>
      </c>
      <c r="C285" t="s">
        <v>1404</v>
      </c>
      <c r="D285" s="67" t="s">
        <v>245</v>
      </c>
      <c r="E285" t="s">
        <v>1415</v>
      </c>
      <c r="F285" s="4" t="s">
        <v>1417</v>
      </c>
      <c r="G285" t="s">
        <v>2</v>
      </c>
      <c r="H285" t="s">
        <v>30</v>
      </c>
      <c r="I285">
        <v>7.971944444</v>
      </c>
      <c r="J285">
        <v>38.633055560000003</v>
      </c>
      <c r="K285" t="s">
        <v>29</v>
      </c>
      <c r="AV285" t="s">
        <v>1418</v>
      </c>
      <c r="AW285">
        <v>420</v>
      </c>
      <c r="AX285">
        <v>2.5</v>
      </c>
      <c r="AY285">
        <v>1</v>
      </c>
      <c r="AZ285" t="s">
        <v>836</v>
      </c>
      <c r="BA285">
        <v>2015</v>
      </c>
      <c r="BB285">
        <v>2016</v>
      </c>
      <c r="BD285" t="s">
        <v>238</v>
      </c>
      <c r="BE285" t="s">
        <v>1424</v>
      </c>
      <c r="BF285" t="s">
        <v>64</v>
      </c>
      <c r="BG285" s="3" t="s">
        <v>1233</v>
      </c>
      <c r="BH285" t="s">
        <v>23</v>
      </c>
      <c r="BI285" t="s">
        <v>29</v>
      </c>
      <c r="BJ285" t="s">
        <v>22</v>
      </c>
      <c r="BK285">
        <v>53333</v>
      </c>
      <c r="BL285" t="s">
        <v>56</v>
      </c>
      <c r="BM285" t="s">
        <v>1426</v>
      </c>
      <c r="BN285" t="s">
        <v>29</v>
      </c>
      <c r="BO285" t="s">
        <v>22</v>
      </c>
      <c r="BP285">
        <v>266666</v>
      </c>
      <c r="EH285" s="9"/>
      <c r="EI285" s="9"/>
      <c r="EJ285" s="9"/>
      <c r="EK285" s="9"/>
      <c r="EL285" s="9"/>
      <c r="EM285" s="9"/>
      <c r="EN285" s="9"/>
      <c r="EO285" s="9"/>
      <c r="EP285" s="9"/>
      <c r="EQ285" s="9"/>
      <c r="ER285" s="9"/>
      <c r="ES285" s="9"/>
      <c r="ET285" s="9"/>
      <c r="EU285" s="9"/>
      <c r="EV285" s="9"/>
      <c r="EW285" s="9"/>
      <c r="EX285" s="9"/>
      <c r="EY285" s="9"/>
      <c r="EZ285" s="9"/>
      <c r="FA285" s="9"/>
      <c r="FB285" s="9"/>
      <c r="FC285" s="9"/>
      <c r="FD285" s="9"/>
      <c r="FE285" s="9"/>
      <c r="FF285" s="9"/>
      <c r="FG285" s="9"/>
      <c r="FH285" s="9"/>
      <c r="FI285" s="9"/>
      <c r="FJ285" s="9"/>
      <c r="FK285" s="9"/>
      <c r="FL285" s="9"/>
      <c r="FM285" s="9"/>
      <c r="FN285" s="9"/>
      <c r="FO285" s="9"/>
      <c r="FP285" s="9"/>
      <c r="FQ285" s="9"/>
      <c r="FR285" s="9"/>
      <c r="FS285" s="9"/>
      <c r="FT285" s="9"/>
      <c r="FU285" s="9"/>
      <c r="FV285" s="9"/>
      <c r="FW285" s="9"/>
      <c r="FX285" s="9"/>
      <c r="FY285" s="9"/>
      <c r="FZ285" s="9"/>
      <c r="GA285" s="9"/>
      <c r="GB285" s="9"/>
      <c r="GC285" s="9"/>
      <c r="GD285" s="9"/>
      <c r="GE285" s="9"/>
      <c r="GF285" s="9"/>
      <c r="GG285" s="9"/>
      <c r="GH285" s="9"/>
      <c r="GI285" s="9"/>
      <c r="GJ285" s="9"/>
      <c r="GK285" s="9"/>
      <c r="GL285" s="9"/>
      <c r="GM285" s="9"/>
      <c r="GN285" s="9"/>
      <c r="GO285" s="9"/>
      <c r="GP285" s="9"/>
      <c r="GQ285" s="9"/>
      <c r="GR285" s="9"/>
      <c r="GS285" s="9"/>
      <c r="GT285" s="9"/>
      <c r="GU285" s="9"/>
      <c r="GV285" s="9"/>
      <c r="GW285" s="9"/>
      <c r="GX285" s="9"/>
      <c r="GY285" s="9"/>
      <c r="GZ285" s="9"/>
      <c r="HA285" s="9"/>
      <c r="HB285" s="9"/>
      <c r="HC285" s="9"/>
      <c r="HD285" s="9"/>
      <c r="HE285" s="9"/>
      <c r="HF285" s="9"/>
      <c r="HG285" s="9"/>
      <c r="HH285" s="9"/>
      <c r="HI285" s="9"/>
      <c r="HJ285" s="9"/>
      <c r="HK285" s="9"/>
      <c r="HW285" s="58"/>
      <c r="HX285" s="58"/>
      <c r="II285" t="s">
        <v>1432</v>
      </c>
      <c r="IJ285" s="84" t="s">
        <v>1443</v>
      </c>
      <c r="IK285" t="s">
        <v>660</v>
      </c>
      <c r="IL285" t="s">
        <v>661</v>
      </c>
      <c r="IM285" t="s">
        <v>29</v>
      </c>
      <c r="IN285" t="s">
        <v>29</v>
      </c>
      <c r="IO285" t="s">
        <v>29</v>
      </c>
      <c r="JK285" t="s">
        <v>1431</v>
      </c>
      <c r="JL285" t="s">
        <v>1430</v>
      </c>
      <c r="JM285" t="s">
        <v>14</v>
      </c>
      <c r="JN285" t="s">
        <v>1436</v>
      </c>
      <c r="JO285" s="4" t="s">
        <v>13</v>
      </c>
      <c r="JP285" t="s">
        <v>1438</v>
      </c>
      <c r="MZ285" t="s">
        <v>1441</v>
      </c>
      <c r="NA285">
        <v>70</v>
      </c>
      <c r="NB285" t="s">
        <v>1442</v>
      </c>
      <c r="NC285" s="4" t="s">
        <v>10</v>
      </c>
      <c r="NK285" t="s">
        <v>1521</v>
      </c>
      <c r="NL285" t="s">
        <v>1407</v>
      </c>
      <c r="NM285" s="4" t="s">
        <v>1156</v>
      </c>
      <c r="NN285" s="6" t="s">
        <v>13</v>
      </c>
      <c r="NW285" t="s">
        <v>6</v>
      </c>
      <c r="NX285">
        <v>6439</v>
      </c>
      <c r="NY285" t="s">
        <v>29</v>
      </c>
      <c r="NZ285" t="s">
        <v>29</v>
      </c>
      <c r="OC285" s="15">
        <v>3</v>
      </c>
      <c r="OT285" t="s">
        <v>1408</v>
      </c>
      <c r="OU285" t="s">
        <v>6</v>
      </c>
      <c r="OW285">
        <v>2015</v>
      </c>
      <c r="OX285">
        <v>2016</v>
      </c>
      <c r="PA285" t="s">
        <v>1169</v>
      </c>
      <c r="PB285" s="58">
        <v>46105</v>
      </c>
    </row>
    <row r="286" spans="1:418" ht="15.75" thickBot="1">
      <c r="A286" t="s">
        <v>248</v>
      </c>
      <c r="B286" t="s">
        <v>1403</v>
      </c>
      <c r="C286" t="s">
        <v>1404</v>
      </c>
      <c r="D286" s="67" t="s">
        <v>245</v>
      </c>
      <c r="E286" t="s">
        <v>1415</v>
      </c>
      <c r="F286" s="4" t="s">
        <v>1417</v>
      </c>
      <c r="G286" t="s">
        <v>2</v>
      </c>
      <c r="H286" t="s">
        <v>30</v>
      </c>
      <c r="I286">
        <v>7.971944444</v>
      </c>
      <c r="J286">
        <v>38.633055560000003</v>
      </c>
      <c r="K286" t="s">
        <v>29</v>
      </c>
      <c r="AV286" t="s">
        <v>1418</v>
      </c>
      <c r="AW286">
        <v>420</v>
      </c>
      <c r="AX286">
        <v>2.5</v>
      </c>
      <c r="AY286">
        <v>1</v>
      </c>
      <c r="AZ286" t="s">
        <v>836</v>
      </c>
      <c r="BA286">
        <v>2015</v>
      </c>
      <c r="BB286">
        <v>2016</v>
      </c>
      <c r="BD286" t="s">
        <v>238</v>
      </c>
      <c r="BE286" t="s">
        <v>1425</v>
      </c>
      <c r="BF286" t="s">
        <v>57</v>
      </c>
      <c r="BG286" s="3" t="s">
        <v>1233</v>
      </c>
      <c r="BH286" t="s">
        <v>23</v>
      </c>
      <c r="BI286" t="s">
        <v>29</v>
      </c>
      <c r="BJ286" t="s">
        <v>22</v>
      </c>
      <c r="BK286">
        <v>53333</v>
      </c>
      <c r="BL286" t="s">
        <v>56</v>
      </c>
      <c r="BM286" t="s">
        <v>1414</v>
      </c>
      <c r="BN286" t="s">
        <v>29</v>
      </c>
      <c r="BO286" t="s">
        <v>22</v>
      </c>
      <c r="BP286">
        <v>66666</v>
      </c>
      <c r="EH286" s="9"/>
      <c r="EI286" s="9"/>
      <c r="EJ286" s="9"/>
      <c r="EK286" s="9"/>
      <c r="EL286" s="9"/>
      <c r="EM286" s="9"/>
      <c r="EN286" s="9"/>
      <c r="EO286" s="9"/>
      <c r="EP286" s="9"/>
      <c r="EQ286" s="9"/>
      <c r="ER286" s="9"/>
      <c r="ES286" s="9"/>
      <c r="ET286" s="9"/>
      <c r="EU286" s="9"/>
      <c r="EV286" s="9"/>
      <c r="EW286" s="9"/>
      <c r="EX286" s="9"/>
      <c r="EY286" s="9"/>
      <c r="EZ286" s="9"/>
      <c r="FA286" s="9"/>
      <c r="FB286" s="9"/>
      <c r="FC286" s="9"/>
      <c r="FD286" s="9"/>
      <c r="FE286" s="9"/>
      <c r="FF286" s="9"/>
      <c r="FG286" s="9"/>
      <c r="FH286" s="9"/>
      <c r="FI286" s="9"/>
      <c r="FJ286" s="9"/>
      <c r="FK286" s="9"/>
      <c r="FL286" s="9"/>
      <c r="FM286" s="9"/>
      <c r="FN286" s="9"/>
      <c r="FO286" s="9"/>
      <c r="FP286" s="9"/>
      <c r="FQ286" s="9"/>
      <c r="FR286" s="9"/>
      <c r="FS286" s="9"/>
      <c r="FT286" s="9"/>
      <c r="FU286" s="9"/>
      <c r="FV286" s="9"/>
      <c r="FW286" s="9"/>
      <c r="FX286" s="9"/>
      <c r="FY286" s="9"/>
      <c r="FZ286" s="9"/>
      <c r="GA286" s="9"/>
      <c r="GB286" s="9"/>
      <c r="GC286" s="9"/>
      <c r="GD286" s="9"/>
      <c r="GE286" s="9"/>
      <c r="GF286" s="9"/>
      <c r="GG286" s="9"/>
      <c r="GH286" s="9"/>
      <c r="GI286" s="9"/>
      <c r="GJ286" s="9"/>
      <c r="GK286" s="9"/>
      <c r="GL286" s="9"/>
      <c r="GM286" s="9"/>
      <c r="GN286" s="9"/>
      <c r="GO286" s="9"/>
      <c r="GP286" s="9"/>
      <c r="GQ286" s="9"/>
      <c r="GR286" s="9"/>
      <c r="GS286" s="9"/>
      <c r="GT286" s="9"/>
      <c r="GU286" s="9"/>
      <c r="GV286" s="9"/>
      <c r="GW286" s="9"/>
      <c r="GX286" s="9"/>
      <c r="GY286" s="9"/>
      <c r="GZ286" s="9"/>
      <c r="HA286" s="9"/>
      <c r="HB286" s="9"/>
      <c r="HC286" s="9"/>
      <c r="HD286" s="9"/>
      <c r="HE286" s="9"/>
      <c r="HF286" s="9"/>
      <c r="HG286" s="9"/>
      <c r="HH286" s="9"/>
      <c r="HI286" s="9"/>
      <c r="HJ286" s="9"/>
      <c r="HK286" s="9"/>
      <c r="HW286" s="58"/>
      <c r="HX286" s="58"/>
      <c r="II286" t="s">
        <v>1433</v>
      </c>
      <c r="IJ286" s="84" t="s">
        <v>1443</v>
      </c>
      <c r="IK286" t="s">
        <v>660</v>
      </c>
      <c r="IL286" t="s">
        <v>661</v>
      </c>
      <c r="IM286" t="s">
        <v>29</v>
      </c>
      <c r="IN286" t="s">
        <v>29</v>
      </c>
      <c r="IO286" t="s">
        <v>29</v>
      </c>
      <c r="JK286" t="s">
        <v>1434</v>
      </c>
      <c r="JL286" t="s">
        <v>1430</v>
      </c>
      <c r="JM286" t="s">
        <v>14</v>
      </c>
      <c r="JN286" t="s">
        <v>1436</v>
      </c>
      <c r="JO286" s="4" t="s">
        <v>13</v>
      </c>
      <c r="JP286" t="s">
        <v>1438</v>
      </c>
      <c r="MZ286" t="s">
        <v>1441</v>
      </c>
      <c r="NA286">
        <v>70</v>
      </c>
      <c r="NB286" t="s">
        <v>1442</v>
      </c>
      <c r="NC286" s="4" t="s">
        <v>10</v>
      </c>
      <c r="NK286" t="s">
        <v>1521</v>
      </c>
      <c r="NL286" t="s">
        <v>1407</v>
      </c>
      <c r="NM286" s="4" t="s">
        <v>1156</v>
      </c>
      <c r="NN286" s="6" t="s">
        <v>13</v>
      </c>
      <c r="NW286" t="s">
        <v>6</v>
      </c>
      <c r="NX286">
        <v>5914</v>
      </c>
      <c r="NY286" t="s">
        <v>29</v>
      </c>
      <c r="NZ286" t="s">
        <v>29</v>
      </c>
      <c r="OC286" s="15">
        <v>3</v>
      </c>
      <c r="OT286" t="s">
        <v>1408</v>
      </c>
      <c r="OU286" t="s">
        <v>6</v>
      </c>
      <c r="OW286">
        <v>2015</v>
      </c>
      <c r="OX286">
        <v>2016</v>
      </c>
      <c r="PA286" t="s">
        <v>1169</v>
      </c>
      <c r="PB286" s="58">
        <v>46105</v>
      </c>
    </row>
    <row r="287" spans="1:418" ht="15.75" thickBot="1">
      <c r="A287" t="s">
        <v>248</v>
      </c>
      <c r="B287" t="s">
        <v>1403</v>
      </c>
      <c r="C287" t="s">
        <v>1404</v>
      </c>
      <c r="D287" s="67" t="s">
        <v>245</v>
      </c>
      <c r="E287" t="s">
        <v>1415</v>
      </c>
      <c r="F287" s="4" t="s">
        <v>1417</v>
      </c>
      <c r="G287" t="s">
        <v>2</v>
      </c>
      <c r="H287" t="s">
        <v>30</v>
      </c>
      <c r="I287">
        <v>7.971944444</v>
      </c>
      <c r="J287">
        <v>38.633055560000003</v>
      </c>
      <c r="K287" t="s">
        <v>29</v>
      </c>
      <c r="AV287" t="s">
        <v>1418</v>
      </c>
      <c r="AW287">
        <v>420</v>
      </c>
      <c r="AX287">
        <v>2.5</v>
      </c>
      <c r="AY287">
        <v>1</v>
      </c>
      <c r="AZ287" t="s">
        <v>836</v>
      </c>
      <c r="BA287">
        <v>2015</v>
      </c>
      <c r="BB287">
        <v>2016</v>
      </c>
      <c r="BD287" t="s">
        <v>19</v>
      </c>
      <c r="BE287" t="s">
        <v>1423</v>
      </c>
      <c r="BF287" t="s">
        <v>256</v>
      </c>
      <c r="BG287" s="3" t="s">
        <v>1233</v>
      </c>
      <c r="BH287" t="s">
        <v>23</v>
      </c>
      <c r="BI287" t="s">
        <v>29</v>
      </c>
      <c r="BJ287" t="s">
        <v>22</v>
      </c>
      <c r="BK287">
        <v>53333</v>
      </c>
      <c r="EH287" s="9"/>
      <c r="EI287" s="9"/>
      <c r="EJ287" s="9"/>
      <c r="EK287" s="9"/>
      <c r="EL287" s="9"/>
      <c r="EM287" s="9"/>
      <c r="EN287" s="9"/>
      <c r="EO287" s="9"/>
      <c r="EP287" s="9"/>
      <c r="EQ287" s="9"/>
      <c r="ER287" s="9"/>
      <c r="ES287" s="9"/>
      <c r="ET287" s="9"/>
      <c r="EU287" s="9"/>
      <c r="EV287" s="9"/>
      <c r="EW287" s="9"/>
      <c r="EX287" s="9"/>
      <c r="EY287" s="9"/>
      <c r="EZ287" s="9"/>
      <c r="FA287" s="9"/>
      <c r="FB287" s="9"/>
      <c r="FC287" s="9"/>
      <c r="FD287" s="9"/>
      <c r="FE287" s="9"/>
      <c r="FF287" s="9"/>
      <c r="FG287" s="9"/>
      <c r="FH287" s="9"/>
      <c r="FI287" s="9"/>
      <c r="FJ287" s="9"/>
      <c r="FK287" s="9"/>
      <c r="FL287" s="9"/>
      <c r="FM287" s="9"/>
      <c r="FN287" s="9"/>
      <c r="FO287" s="9"/>
      <c r="FP287" s="9"/>
      <c r="FQ287" s="9"/>
      <c r="FR287" s="9"/>
      <c r="FS287" s="9"/>
      <c r="FT287" s="9"/>
      <c r="FU287" s="9"/>
      <c r="FV287" s="9"/>
      <c r="FW287" s="9"/>
      <c r="FX287" s="9"/>
      <c r="FY287" s="9"/>
      <c r="FZ287" s="9"/>
      <c r="GA287" s="9"/>
      <c r="GB287" s="9"/>
      <c r="GC287" s="9"/>
      <c r="GD287" s="9"/>
      <c r="GE287" s="9"/>
      <c r="GF287" s="9"/>
      <c r="GG287" s="9"/>
      <c r="GH287" s="9"/>
      <c r="GI287" s="9"/>
      <c r="GJ287" s="9"/>
      <c r="GK287" s="9"/>
      <c r="GL287" s="9"/>
      <c r="GM287" s="9"/>
      <c r="GN287" s="9"/>
      <c r="GO287" s="9"/>
      <c r="GP287" s="9"/>
      <c r="GQ287" s="9"/>
      <c r="GR287" s="9"/>
      <c r="GS287" s="9"/>
      <c r="GT287" s="9"/>
      <c r="GU287" s="9"/>
      <c r="GV287" s="9"/>
      <c r="GW287" s="9"/>
      <c r="GX287" s="9"/>
      <c r="GY287" s="9"/>
      <c r="GZ287" s="9"/>
      <c r="HA287" s="9"/>
      <c r="HB287" s="9"/>
      <c r="HC287" s="9"/>
      <c r="HD287" s="9"/>
      <c r="HE287" s="9"/>
      <c r="HF287" s="9"/>
      <c r="HG287" s="9"/>
      <c r="HH287" s="9"/>
      <c r="HI287" s="9"/>
      <c r="HJ287" s="9"/>
      <c r="HK287" s="9"/>
      <c r="HR287" t="s">
        <v>1439</v>
      </c>
      <c r="HW287" s="58"/>
      <c r="HX287" s="58"/>
      <c r="II287" t="s">
        <v>255</v>
      </c>
      <c r="IJ287" t="s">
        <v>19</v>
      </c>
      <c r="JK287" t="s">
        <v>1435</v>
      </c>
      <c r="JL287" t="s">
        <v>1430</v>
      </c>
      <c r="JM287" t="s">
        <v>14</v>
      </c>
      <c r="JN287" t="s">
        <v>1436</v>
      </c>
      <c r="JO287" s="4" t="s">
        <v>13</v>
      </c>
      <c r="JP287" t="s">
        <v>1438</v>
      </c>
      <c r="MZ287" t="s">
        <v>1441</v>
      </c>
      <c r="NA287">
        <v>70</v>
      </c>
      <c r="NB287" t="s">
        <v>1442</v>
      </c>
      <c r="NC287" s="4" t="s">
        <v>10</v>
      </c>
      <c r="NK287" t="s">
        <v>1521</v>
      </c>
      <c r="NL287" t="s">
        <v>1407</v>
      </c>
      <c r="NM287" s="4" t="s">
        <v>1156</v>
      </c>
      <c r="NN287" s="6" t="s">
        <v>13</v>
      </c>
      <c r="NV287" t="s">
        <v>745</v>
      </c>
      <c r="NW287" t="s">
        <v>6</v>
      </c>
      <c r="NX287">
        <v>8296</v>
      </c>
      <c r="NY287" t="s">
        <v>29</v>
      </c>
      <c r="NZ287" t="s">
        <v>29</v>
      </c>
      <c r="OC287" s="15">
        <v>3</v>
      </c>
      <c r="OT287" t="s">
        <v>1408</v>
      </c>
      <c r="OU287" t="s">
        <v>6</v>
      </c>
      <c r="OW287">
        <v>2015</v>
      </c>
      <c r="OX287">
        <v>2016</v>
      </c>
      <c r="PA287" t="s">
        <v>1169</v>
      </c>
      <c r="PB287" s="58">
        <v>46105</v>
      </c>
    </row>
    <row r="288" spans="1:418" ht="15.75" thickBot="1">
      <c r="A288" t="s">
        <v>248</v>
      </c>
      <c r="B288" t="s">
        <v>1403</v>
      </c>
      <c r="C288" t="s">
        <v>1404</v>
      </c>
      <c r="D288" s="67" t="s">
        <v>245</v>
      </c>
      <c r="E288" t="s">
        <v>1409</v>
      </c>
      <c r="F288" s="4" t="s">
        <v>1417</v>
      </c>
      <c r="G288" t="s">
        <v>2</v>
      </c>
      <c r="H288" t="s">
        <v>30</v>
      </c>
      <c r="I288">
        <v>7.306944444</v>
      </c>
      <c r="J288">
        <v>38.012222219999998</v>
      </c>
      <c r="K288" t="s">
        <v>29</v>
      </c>
      <c r="AV288" t="s">
        <v>1418</v>
      </c>
      <c r="AW288">
        <v>420</v>
      </c>
      <c r="AX288">
        <v>1.5</v>
      </c>
      <c r="AY288">
        <v>1</v>
      </c>
      <c r="AZ288" t="s">
        <v>836</v>
      </c>
      <c r="BA288">
        <v>2015</v>
      </c>
      <c r="BB288">
        <v>2016</v>
      </c>
      <c r="BD288" t="s">
        <v>19</v>
      </c>
      <c r="BE288" t="s">
        <v>1420</v>
      </c>
      <c r="BF288" t="s">
        <v>39</v>
      </c>
      <c r="BG288" s="3" t="s">
        <v>1233</v>
      </c>
      <c r="BH288" t="s">
        <v>23</v>
      </c>
      <c r="BI288" t="s">
        <v>29</v>
      </c>
      <c r="BJ288" s="4" t="s">
        <v>22</v>
      </c>
      <c r="BK288">
        <v>53333</v>
      </c>
      <c r="EH288" s="9"/>
      <c r="EI288" s="9"/>
      <c r="EJ288" s="9"/>
      <c r="EK288" s="9"/>
      <c r="EL288" s="9"/>
      <c r="EM288" s="9"/>
      <c r="EN288" s="9"/>
      <c r="EO288" s="9"/>
      <c r="EP288" s="9"/>
      <c r="EQ288" s="9"/>
      <c r="ER288" s="9"/>
      <c r="ES288" s="9"/>
      <c r="ET288" s="9"/>
      <c r="EU288" s="9"/>
      <c r="EV288" s="9"/>
      <c r="EW288" s="9"/>
      <c r="EX288" s="9"/>
      <c r="EY288" s="9"/>
      <c r="EZ288" s="9"/>
      <c r="FA288" s="9"/>
      <c r="FB288" s="9"/>
      <c r="FC288" s="9"/>
      <c r="FD288" s="9"/>
      <c r="FE288" s="9"/>
      <c r="FF288" s="9"/>
      <c r="FG288" s="9"/>
      <c r="FH288" s="9"/>
      <c r="FI288" s="9"/>
      <c r="FJ288" s="9"/>
      <c r="FK288" s="9"/>
      <c r="FL288" s="9"/>
      <c r="FM288" s="9"/>
      <c r="FN288" s="9"/>
      <c r="FO288" s="9"/>
      <c r="FP288" s="9"/>
      <c r="FQ288" s="9"/>
      <c r="FR288" s="9"/>
      <c r="FS288" s="9"/>
      <c r="FT288" s="9"/>
      <c r="FU288" s="9"/>
      <c r="FV288" s="9"/>
      <c r="FW288" s="9"/>
      <c r="FX288" s="9"/>
      <c r="FY288" s="9"/>
      <c r="FZ288" s="9"/>
      <c r="GA288" s="9"/>
      <c r="GB288" s="9"/>
      <c r="GC288" s="9"/>
      <c r="GD288" s="9"/>
      <c r="GE288" s="9"/>
      <c r="GF288" s="9"/>
      <c r="GG288" s="9"/>
      <c r="GH288" s="9"/>
      <c r="GI288" s="9"/>
      <c r="GJ288" s="9"/>
      <c r="GK288" s="9"/>
      <c r="GL288" s="9"/>
      <c r="GM288" s="9"/>
      <c r="GN288" s="9"/>
      <c r="GO288" s="9"/>
      <c r="GP288" s="9"/>
      <c r="GQ288" s="9"/>
      <c r="GR288" s="9"/>
      <c r="GS288" s="9"/>
      <c r="GT288" s="9"/>
      <c r="GU288" s="9"/>
      <c r="GV288" s="9"/>
      <c r="GW288" s="9"/>
      <c r="GX288" s="9"/>
      <c r="GY288" s="9"/>
      <c r="GZ288" s="9"/>
      <c r="HA288" s="9"/>
      <c r="HB288" s="9"/>
      <c r="HC288" s="9"/>
      <c r="HD288" s="9"/>
      <c r="HE288" s="9"/>
      <c r="HF288" s="9"/>
      <c r="HG288" s="9"/>
      <c r="HH288" s="9"/>
      <c r="HI288" s="9"/>
      <c r="HJ288" s="9"/>
      <c r="HK288" s="9"/>
      <c r="HW288" s="58"/>
      <c r="HX288" s="58"/>
      <c r="II288" t="s">
        <v>255</v>
      </c>
      <c r="IJ288" t="s">
        <v>19</v>
      </c>
      <c r="JK288" t="s">
        <v>1419</v>
      </c>
      <c r="JL288" s="84" t="s">
        <v>1427</v>
      </c>
      <c r="JM288" s="8" t="s">
        <v>14</v>
      </c>
      <c r="JN288" s="8" t="s">
        <v>1436</v>
      </c>
      <c r="JO288" s="4" t="s">
        <v>13</v>
      </c>
      <c r="JP288" t="s">
        <v>1437</v>
      </c>
      <c r="MZ288" t="s">
        <v>1441</v>
      </c>
      <c r="NA288">
        <v>70</v>
      </c>
      <c r="NB288" t="s">
        <v>1442</v>
      </c>
      <c r="NC288" t="s">
        <v>168</v>
      </c>
      <c r="ND288" s="4"/>
      <c r="NK288" t="s">
        <v>1521</v>
      </c>
      <c r="NL288" t="s">
        <v>1407</v>
      </c>
      <c r="NM288" s="87" t="s">
        <v>8</v>
      </c>
      <c r="NN288" s="6" t="s">
        <v>13</v>
      </c>
      <c r="NV288" t="s">
        <v>1447</v>
      </c>
      <c r="NW288" t="s">
        <v>6</v>
      </c>
      <c r="NX288">
        <v>4034</v>
      </c>
      <c r="NY288" t="s">
        <v>29</v>
      </c>
      <c r="NZ288" t="s">
        <v>29</v>
      </c>
      <c r="OC288" s="15">
        <v>3</v>
      </c>
      <c r="OT288" t="s">
        <v>1410</v>
      </c>
      <c r="OU288" t="s">
        <v>6</v>
      </c>
      <c r="OW288">
        <v>2015</v>
      </c>
      <c r="OX288">
        <v>2016</v>
      </c>
      <c r="PA288" t="s">
        <v>1169</v>
      </c>
      <c r="PB288" s="58">
        <v>46105</v>
      </c>
    </row>
    <row r="289" spans="1:418" ht="15.75" thickBot="1">
      <c r="A289" t="s">
        <v>248</v>
      </c>
      <c r="B289" t="s">
        <v>1403</v>
      </c>
      <c r="C289" t="s">
        <v>1404</v>
      </c>
      <c r="D289" s="67" t="s">
        <v>245</v>
      </c>
      <c r="E289" t="s">
        <v>1409</v>
      </c>
      <c r="F289" s="4" t="s">
        <v>1417</v>
      </c>
      <c r="G289" t="s">
        <v>2</v>
      </c>
      <c r="H289" t="s">
        <v>30</v>
      </c>
      <c r="I289">
        <v>7.306944444</v>
      </c>
      <c r="J289">
        <v>38.012222219999998</v>
      </c>
      <c r="K289" t="s">
        <v>29</v>
      </c>
      <c r="AV289" t="s">
        <v>1418</v>
      </c>
      <c r="AW289">
        <v>420</v>
      </c>
      <c r="AX289">
        <v>1.5</v>
      </c>
      <c r="AY289">
        <v>1</v>
      </c>
      <c r="AZ289" t="s">
        <v>836</v>
      </c>
      <c r="BA289">
        <v>2015</v>
      </c>
      <c r="BB289">
        <v>2016</v>
      </c>
      <c r="BD289" t="s">
        <v>19</v>
      </c>
      <c r="BE289" t="s">
        <v>1421</v>
      </c>
      <c r="BF289" t="s">
        <v>24</v>
      </c>
      <c r="BG289" s="3" t="s">
        <v>1233</v>
      </c>
      <c r="BH289" t="s">
        <v>23</v>
      </c>
      <c r="BI289" t="s">
        <v>29</v>
      </c>
      <c r="BJ289" t="s">
        <v>22</v>
      </c>
      <c r="BK289">
        <v>53333</v>
      </c>
      <c r="EH289" s="9"/>
      <c r="EI289" s="9"/>
      <c r="EJ289" s="9"/>
      <c r="EK289" s="9"/>
      <c r="EL289" s="9"/>
      <c r="EM289" s="9"/>
      <c r="EN289" s="9"/>
      <c r="EO289" s="9"/>
      <c r="EP289" s="9"/>
      <c r="EQ289" s="9"/>
      <c r="ER289" s="9"/>
      <c r="ES289" s="9"/>
      <c r="ET289" s="9"/>
      <c r="EU289" s="9"/>
      <c r="EV289" s="9"/>
      <c r="EW289" s="9"/>
      <c r="EX289" s="9"/>
      <c r="EY289" s="9"/>
      <c r="EZ289" s="9"/>
      <c r="FA289" s="9"/>
      <c r="FB289" s="9"/>
      <c r="FC289" s="9"/>
      <c r="FD289" s="9"/>
      <c r="FE289" s="9"/>
      <c r="FF289" s="9"/>
      <c r="FG289" s="9"/>
      <c r="FH289" s="9"/>
      <c r="FI289" s="9"/>
      <c r="FJ289" s="9"/>
      <c r="FK289" s="9"/>
      <c r="FL289" s="9"/>
      <c r="FM289" s="9"/>
      <c r="FN289" s="9"/>
      <c r="FO289" s="9"/>
      <c r="FP289" s="9"/>
      <c r="FQ289" s="9"/>
      <c r="FR289" s="9"/>
      <c r="FS289" s="9"/>
      <c r="FT289" s="9"/>
      <c r="FU289" s="9"/>
      <c r="FV289" s="9"/>
      <c r="FW289" s="9"/>
      <c r="FX289" s="9"/>
      <c r="FY289" s="9"/>
      <c r="FZ289" s="9"/>
      <c r="GA289" s="9"/>
      <c r="GB289" s="9"/>
      <c r="GC289" s="9"/>
      <c r="GD289" s="9"/>
      <c r="GE289" s="9"/>
      <c r="GF289" s="9"/>
      <c r="GG289" s="9"/>
      <c r="GH289" s="9"/>
      <c r="GI289" s="9"/>
      <c r="GJ289" s="9"/>
      <c r="GK289" s="9"/>
      <c r="GL289" s="9"/>
      <c r="GM289" s="9"/>
      <c r="GN289" s="9"/>
      <c r="GO289" s="9"/>
      <c r="GP289" s="9"/>
      <c r="GQ289" s="9"/>
      <c r="GR289" s="9"/>
      <c r="GS289" s="9"/>
      <c r="GT289" s="9"/>
      <c r="GU289" s="9"/>
      <c r="GV289" s="9"/>
      <c r="GW289" s="9"/>
      <c r="GX289" s="9"/>
      <c r="GY289" s="9"/>
      <c r="GZ289" s="9"/>
      <c r="HA289" s="9"/>
      <c r="HB289" s="9"/>
      <c r="HC289" s="9"/>
      <c r="HD289" s="9"/>
      <c r="HE289" s="9"/>
      <c r="HF289" s="9"/>
      <c r="HG289" s="9"/>
      <c r="HH289" s="9"/>
      <c r="HI289" s="9"/>
      <c r="HJ289" s="9"/>
      <c r="HK289" s="9"/>
      <c r="HW289" s="58"/>
      <c r="HX289" s="58"/>
      <c r="II289" t="s">
        <v>255</v>
      </c>
      <c r="IJ289" t="s">
        <v>19</v>
      </c>
      <c r="JK289" t="s">
        <v>1428</v>
      </c>
      <c r="JL289" s="54" t="s">
        <v>1430</v>
      </c>
      <c r="JM289" t="s">
        <v>14</v>
      </c>
      <c r="JN289" s="8" t="s">
        <v>1436</v>
      </c>
      <c r="JO289" s="4" t="s">
        <v>13</v>
      </c>
      <c r="JP289" t="s">
        <v>1438</v>
      </c>
      <c r="MZ289" t="s">
        <v>1441</v>
      </c>
      <c r="NA289">
        <v>70</v>
      </c>
      <c r="NB289" t="s">
        <v>1442</v>
      </c>
      <c r="NC289" t="s">
        <v>168</v>
      </c>
      <c r="ND289" s="4"/>
      <c r="NK289" t="s">
        <v>1521</v>
      </c>
      <c r="NL289" t="s">
        <v>1407</v>
      </c>
      <c r="NM289" s="87" t="s">
        <v>8</v>
      </c>
      <c r="NN289" s="6" t="s">
        <v>13</v>
      </c>
      <c r="NV289" t="s">
        <v>745</v>
      </c>
      <c r="NW289" t="s">
        <v>6</v>
      </c>
      <c r="NX289">
        <v>3957</v>
      </c>
      <c r="NY289" t="s">
        <v>29</v>
      </c>
      <c r="NZ289" t="s">
        <v>29</v>
      </c>
      <c r="OC289" s="15">
        <v>3</v>
      </c>
      <c r="OT289" t="s">
        <v>1410</v>
      </c>
      <c r="OU289" t="s">
        <v>6</v>
      </c>
      <c r="OW289">
        <v>2015</v>
      </c>
      <c r="OX289">
        <v>2016</v>
      </c>
      <c r="PA289" t="s">
        <v>1169</v>
      </c>
      <c r="PB289" s="58">
        <v>46105</v>
      </c>
    </row>
    <row r="290" spans="1:418" ht="15.75" thickBot="1">
      <c r="A290" t="s">
        <v>248</v>
      </c>
      <c r="B290" t="s">
        <v>1403</v>
      </c>
      <c r="C290" t="s">
        <v>1404</v>
      </c>
      <c r="D290" s="67" t="s">
        <v>245</v>
      </c>
      <c r="E290" t="s">
        <v>1409</v>
      </c>
      <c r="F290" s="4" t="s">
        <v>1417</v>
      </c>
      <c r="G290" t="s">
        <v>2</v>
      </c>
      <c r="H290" t="s">
        <v>30</v>
      </c>
      <c r="I290">
        <v>7.306944444</v>
      </c>
      <c r="J290">
        <v>38.012222219999998</v>
      </c>
      <c r="K290" t="s">
        <v>29</v>
      </c>
      <c r="AV290" t="s">
        <v>1418</v>
      </c>
      <c r="AW290">
        <v>420</v>
      </c>
      <c r="AX290">
        <v>1.5</v>
      </c>
      <c r="AY290">
        <v>1</v>
      </c>
      <c r="AZ290" t="s">
        <v>836</v>
      </c>
      <c r="BA290">
        <v>2015</v>
      </c>
      <c r="BB290">
        <v>2016</v>
      </c>
      <c r="BD290" t="s">
        <v>19</v>
      </c>
      <c r="BE290" t="s">
        <v>1422</v>
      </c>
      <c r="BF290" t="s">
        <v>299</v>
      </c>
      <c r="BG290" s="3" t="s">
        <v>1233</v>
      </c>
      <c r="BH290" t="s">
        <v>23</v>
      </c>
      <c r="BI290" t="s">
        <v>29</v>
      </c>
      <c r="BJ290" t="s">
        <v>22</v>
      </c>
      <c r="BK290">
        <v>53333</v>
      </c>
      <c r="EH290" s="9"/>
      <c r="EI290" s="9"/>
      <c r="EJ290" s="9"/>
      <c r="EK290" s="9"/>
      <c r="EL290" s="9"/>
      <c r="EM290" s="9"/>
      <c r="EN290" s="9"/>
      <c r="EO290" s="9"/>
      <c r="EP290" s="9"/>
      <c r="EQ290" s="9"/>
      <c r="ER290" s="9"/>
      <c r="ES290" s="9"/>
      <c r="ET290" s="9"/>
      <c r="EU290" s="9"/>
      <c r="EV290" s="9"/>
      <c r="EW290" s="9"/>
      <c r="EX290" s="9"/>
      <c r="EY290" s="9"/>
      <c r="EZ290" s="9"/>
      <c r="FA290" s="9"/>
      <c r="FB290" s="9"/>
      <c r="FC290" s="9"/>
      <c r="FD290" s="9"/>
      <c r="FE290" s="9"/>
      <c r="FF290" s="9"/>
      <c r="FG290" s="9"/>
      <c r="FH290" s="9"/>
      <c r="FI290" s="9"/>
      <c r="FJ290" s="9"/>
      <c r="FK290" s="9"/>
      <c r="FL290" s="9"/>
      <c r="FM290" s="9"/>
      <c r="FN290" s="9"/>
      <c r="FO290" s="9"/>
      <c r="FP290" s="9"/>
      <c r="FQ290" s="9"/>
      <c r="FR290" s="9"/>
      <c r="FS290" s="9"/>
      <c r="FT290" s="9"/>
      <c r="FU290" s="9"/>
      <c r="FV290" s="9"/>
      <c r="FW290" s="9"/>
      <c r="FX290" s="9"/>
      <c r="FY290" s="9"/>
      <c r="FZ290" s="9"/>
      <c r="GA290" s="9"/>
      <c r="GB290" s="9"/>
      <c r="GC290" s="9"/>
      <c r="GD290" s="9"/>
      <c r="GE290" s="9"/>
      <c r="GF290" s="9"/>
      <c r="GG290" s="9"/>
      <c r="GH290" s="9"/>
      <c r="GI290" s="9"/>
      <c r="GJ290" s="9"/>
      <c r="GK290" s="9"/>
      <c r="GL290" s="9"/>
      <c r="GM290" s="9"/>
      <c r="GN290" s="9"/>
      <c r="GO290" s="9"/>
      <c r="GP290" s="9"/>
      <c r="GQ290" s="9"/>
      <c r="GR290" s="9"/>
      <c r="GS290" s="9"/>
      <c r="GT290" s="9"/>
      <c r="GU290" s="9"/>
      <c r="GV290" s="9"/>
      <c r="GW290" s="9"/>
      <c r="GX290" s="9"/>
      <c r="GY290" s="9"/>
      <c r="GZ290" s="9"/>
      <c r="HA290" s="9"/>
      <c r="HB290" s="9"/>
      <c r="HC290" s="9"/>
      <c r="HD290" s="9"/>
      <c r="HE290" s="9"/>
      <c r="HF290" s="9"/>
      <c r="HG290" s="9"/>
      <c r="HH290" s="9"/>
      <c r="HI290" s="9"/>
      <c r="HJ290" s="9"/>
      <c r="HK290" s="9"/>
      <c r="HR290" t="s">
        <v>1439</v>
      </c>
      <c r="HW290" s="58"/>
      <c r="HX290" s="58"/>
      <c r="II290" t="s">
        <v>255</v>
      </c>
      <c r="IJ290" t="s">
        <v>19</v>
      </c>
      <c r="JK290" t="s">
        <v>1429</v>
      </c>
      <c r="JL290" s="84" t="s">
        <v>1427</v>
      </c>
      <c r="JM290" t="s">
        <v>14</v>
      </c>
      <c r="JN290" s="8" t="s">
        <v>1436</v>
      </c>
      <c r="JO290" s="4" t="s">
        <v>13</v>
      </c>
      <c r="JP290" t="s">
        <v>1437</v>
      </c>
      <c r="KW290" t="s">
        <v>1440</v>
      </c>
      <c r="MZ290" t="s">
        <v>1441</v>
      </c>
      <c r="NA290">
        <v>70</v>
      </c>
      <c r="NB290" t="s">
        <v>1442</v>
      </c>
      <c r="NC290" t="s">
        <v>168</v>
      </c>
      <c r="ND290" s="4"/>
      <c r="NK290" t="s">
        <v>1521</v>
      </c>
      <c r="NL290" t="s">
        <v>1407</v>
      </c>
      <c r="NM290" s="87" t="s">
        <v>8</v>
      </c>
      <c r="NN290" s="6" t="s">
        <v>13</v>
      </c>
      <c r="NV290" t="s">
        <v>1447</v>
      </c>
      <c r="NW290" t="s">
        <v>6</v>
      </c>
      <c r="NX290">
        <v>5154</v>
      </c>
      <c r="NY290" t="s">
        <v>29</v>
      </c>
      <c r="NZ290" t="s">
        <v>29</v>
      </c>
      <c r="OC290" s="15">
        <v>3</v>
      </c>
      <c r="OT290" t="s">
        <v>1410</v>
      </c>
      <c r="OU290" t="s">
        <v>6</v>
      </c>
      <c r="OW290">
        <v>2015</v>
      </c>
      <c r="OX290">
        <v>2016</v>
      </c>
      <c r="PA290" t="s">
        <v>1169</v>
      </c>
      <c r="PB290" s="58">
        <v>46105</v>
      </c>
    </row>
    <row r="291" spans="1:418" ht="15.75" thickBot="1">
      <c r="A291" t="s">
        <v>248</v>
      </c>
      <c r="B291" t="s">
        <v>1403</v>
      </c>
      <c r="C291" t="s">
        <v>1404</v>
      </c>
      <c r="D291" s="67" t="s">
        <v>245</v>
      </c>
      <c r="E291" t="s">
        <v>1409</v>
      </c>
      <c r="F291" s="4" t="s">
        <v>1417</v>
      </c>
      <c r="G291" t="s">
        <v>2</v>
      </c>
      <c r="H291" t="s">
        <v>30</v>
      </c>
      <c r="I291">
        <v>7.306944444</v>
      </c>
      <c r="J291">
        <v>38.012222219999998</v>
      </c>
      <c r="K291" t="s">
        <v>29</v>
      </c>
      <c r="AV291" t="s">
        <v>1418</v>
      </c>
      <c r="AW291">
        <v>420</v>
      </c>
      <c r="AX291">
        <v>1.5</v>
      </c>
      <c r="AY291">
        <v>1</v>
      </c>
      <c r="AZ291" t="s">
        <v>836</v>
      </c>
      <c r="BA291">
        <v>2015</v>
      </c>
      <c r="BB291">
        <v>2016</v>
      </c>
      <c r="BD291" t="s">
        <v>238</v>
      </c>
      <c r="BE291" t="s">
        <v>1424</v>
      </c>
      <c r="BF291" t="s">
        <v>64</v>
      </c>
      <c r="BG291" s="3" t="s">
        <v>1233</v>
      </c>
      <c r="BH291" t="s">
        <v>23</v>
      </c>
      <c r="BI291" t="s">
        <v>29</v>
      </c>
      <c r="BJ291" t="s">
        <v>22</v>
      </c>
      <c r="BK291">
        <v>53333</v>
      </c>
      <c r="BL291" t="s">
        <v>56</v>
      </c>
      <c r="BM291" t="s">
        <v>1426</v>
      </c>
      <c r="BN291" t="s">
        <v>29</v>
      </c>
      <c r="BO291" t="s">
        <v>22</v>
      </c>
      <c r="BP291">
        <v>266666</v>
      </c>
      <c r="EH291" s="9"/>
      <c r="EI291" s="9"/>
      <c r="EJ291" s="9"/>
      <c r="EK291" s="9"/>
      <c r="EL291" s="9"/>
      <c r="EM291" s="9"/>
      <c r="EN291" s="9"/>
      <c r="EO291" s="9"/>
      <c r="EP291" s="9"/>
      <c r="EQ291" s="9"/>
      <c r="ER291" s="9"/>
      <c r="ES291" s="9"/>
      <c r="ET291" s="9"/>
      <c r="EU291" s="9"/>
      <c r="EV291" s="9"/>
      <c r="EW291" s="9"/>
      <c r="EX291" s="9"/>
      <c r="EY291" s="9"/>
      <c r="EZ291" s="9"/>
      <c r="FA291" s="9"/>
      <c r="FB291" s="9"/>
      <c r="FC291" s="9"/>
      <c r="FD291" s="9"/>
      <c r="FE291" s="9"/>
      <c r="FF291" s="9"/>
      <c r="FG291" s="9"/>
      <c r="FH291" s="9"/>
      <c r="FI291" s="9"/>
      <c r="FJ291" s="9"/>
      <c r="FK291" s="9"/>
      <c r="FL291" s="9"/>
      <c r="FM291" s="9"/>
      <c r="FN291" s="9"/>
      <c r="FO291" s="9"/>
      <c r="FP291" s="9"/>
      <c r="FQ291" s="9"/>
      <c r="FR291" s="9"/>
      <c r="FS291" s="9"/>
      <c r="FT291" s="9"/>
      <c r="FU291" s="9"/>
      <c r="FV291" s="9"/>
      <c r="FW291" s="9"/>
      <c r="FX291" s="9"/>
      <c r="FY291" s="9"/>
      <c r="FZ291" s="9"/>
      <c r="GA291" s="9"/>
      <c r="GB291" s="9"/>
      <c r="GC291" s="9"/>
      <c r="GD291" s="9"/>
      <c r="GE291" s="9"/>
      <c r="GF291" s="9"/>
      <c r="GG291" s="9"/>
      <c r="GH291" s="9"/>
      <c r="GI291" s="9"/>
      <c r="GJ291" s="9"/>
      <c r="GK291" s="9"/>
      <c r="GL291" s="9"/>
      <c r="GM291" s="9"/>
      <c r="GN291" s="9"/>
      <c r="GO291" s="9"/>
      <c r="GP291" s="9"/>
      <c r="GQ291" s="9"/>
      <c r="GR291" s="9"/>
      <c r="GS291" s="9"/>
      <c r="GT291" s="9"/>
      <c r="GU291" s="9"/>
      <c r="GV291" s="9"/>
      <c r="GW291" s="9"/>
      <c r="GX291" s="9"/>
      <c r="GY291" s="9"/>
      <c r="GZ291" s="9"/>
      <c r="HA291" s="9"/>
      <c r="HB291" s="9"/>
      <c r="HC291" s="9"/>
      <c r="HD291" s="9"/>
      <c r="HE291" s="9"/>
      <c r="HF291" s="9"/>
      <c r="HG291" s="9"/>
      <c r="HH291" s="9"/>
      <c r="HI291" s="9"/>
      <c r="HJ291" s="9"/>
      <c r="HK291" s="9"/>
      <c r="HW291" s="58"/>
      <c r="HX291" s="58"/>
      <c r="II291" t="s">
        <v>1432</v>
      </c>
      <c r="IJ291" s="84" t="s">
        <v>1443</v>
      </c>
      <c r="IK291" t="s">
        <v>660</v>
      </c>
      <c r="IL291" t="s">
        <v>661</v>
      </c>
      <c r="IM291" t="s">
        <v>29</v>
      </c>
      <c r="IN291" t="s">
        <v>29</v>
      </c>
      <c r="IO291" t="s">
        <v>29</v>
      </c>
      <c r="JK291" t="s">
        <v>1431</v>
      </c>
      <c r="JL291" t="s">
        <v>1430</v>
      </c>
      <c r="JM291" t="s">
        <v>14</v>
      </c>
      <c r="JN291" t="s">
        <v>1436</v>
      </c>
      <c r="JO291" s="4" t="s">
        <v>13</v>
      </c>
      <c r="JP291" t="s">
        <v>1438</v>
      </c>
      <c r="MZ291" t="s">
        <v>1441</v>
      </c>
      <c r="NA291">
        <v>70</v>
      </c>
      <c r="NB291" t="s">
        <v>1442</v>
      </c>
      <c r="NC291" t="s">
        <v>168</v>
      </c>
      <c r="ND291" s="4"/>
      <c r="NK291" t="s">
        <v>1521</v>
      </c>
      <c r="NL291" t="s">
        <v>1407</v>
      </c>
      <c r="NM291" s="87" t="s">
        <v>8</v>
      </c>
      <c r="NN291" s="6" t="s">
        <v>13</v>
      </c>
      <c r="NW291" t="s">
        <v>6</v>
      </c>
      <c r="NX291">
        <v>4302</v>
      </c>
      <c r="NY291" t="s">
        <v>29</v>
      </c>
      <c r="NZ291" t="s">
        <v>29</v>
      </c>
      <c r="OC291" s="15">
        <v>3</v>
      </c>
      <c r="OT291" t="s">
        <v>1410</v>
      </c>
      <c r="OU291" t="s">
        <v>6</v>
      </c>
      <c r="OW291">
        <v>2015</v>
      </c>
      <c r="OX291">
        <v>2016</v>
      </c>
      <c r="PA291" t="s">
        <v>1169</v>
      </c>
      <c r="PB291" s="58">
        <v>46105</v>
      </c>
    </row>
    <row r="292" spans="1:418" ht="15.75" thickBot="1">
      <c r="A292" t="s">
        <v>248</v>
      </c>
      <c r="B292" t="s">
        <v>1403</v>
      </c>
      <c r="C292" t="s">
        <v>1404</v>
      </c>
      <c r="D292" s="67" t="s">
        <v>245</v>
      </c>
      <c r="E292" t="s">
        <v>1409</v>
      </c>
      <c r="F292" s="4" t="s">
        <v>1417</v>
      </c>
      <c r="G292" t="s">
        <v>2</v>
      </c>
      <c r="H292" t="s">
        <v>30</v>
      </c>
      <c r="I292">
        <v>7.306944444</v>
      </c>
      <c r="J292">
        <v>38.012222219999998</v>
      </c>
      <c r="K292" t="s">
        <v>29</v>
      </c>
      <c r="AV292" t="s">
        <v>1418</v>
      </c>
      <c r="AW292">
        <v>420</v>
      </c>
      <c r="AX292">
        <v>1.5</v>
      </c>
      <c r="AY292">
        <v>1</v>
      </c>
      <c r="AZ292" t="s">
        <v>836</v>
      </c>
      <c r="BA292">
        <v>2015</v>
      </c>
      <c r="BB292">
        <v>2016</v>
      </c>
      <c r="BD292" t="s">
        <v>238</v>
      </c>
      <c r="BE292" t="s">
        <v>1425</v>
      </c>
      <c r="BF292" t="s">
        <v>57</v>
      </c>
      <c r="BG292" s="3" t="s">
        <v>1233</v>
      </c>
      <c r="BH292" t="s">
        <v>23</v>
      </c>
      <c r="BI292" t="s">
        <v>29</v>
      </c>
      <c r="BJ292" t="s">
        <v>22</v>
      </c>
      <c r="BK292">
        <v>53333</v>
      </c>
      <c r="BL292" t="s">
        <v>56</v>
      </c>
      <c r="BM292" t="s">
        <v>1414</v>
      </c>
      <c r="BN292" t="s">
        <v>29</v>
      </c>
      <c r="BO292" t="s">
        <v>22</v>
      </c>
      <c r="BP292">
        <v>66666</v>
      </c>
      <c r="EH292" s="9"/>
      <c r="EI292" s="9"/>
      <c r="EJ292" s="9"/>
      <c r="EK292" s="9"/>
      <c r="EL292" s="9"/>
      <c r="EM292" s="9"/>
      <c r="EN292" s="9"/>
      <c r="EO292" s="9"/>
      <c r="EP292" s="9"/>
      <c r="EQ292" s="9"/>
      <c r="ER292" s="9"/>
      <c r="ES292" s="9"/>
      <c r="ET292" s="9"/>
      <c r="EU292" s="9"/>
      <c r="EV292" s="9"/>
      <c r="EW292" s="9"/>
      <c r="EX292" s="9"/>
      <c r="EY292" s="9"/>
      <c r="EZ292" s="9"/>
      <c r="FA292" s="9"/>
      <c r="FB292" s="9"/>
      <c r="FC292" s="9"/>
      <c r="FD292" s="9"/>
      <c r="FE292" s="9"/>
      <c r="FF292" s="9"/>
      <c r="FG292" s="9"/>
      <c r="FH292" s="9"/>
      <c r="FI292" s="9"/>
      <c r="FJ292" s="9"/>
      <c r="FK292" s="9"/>
      <c r="FL292" s="9"/>
      <c r="FM292" s="9"/>
      <c r="FN292" s="9"/>
      <c r="FO292" s="9"/>
      <c r="FP292" s="9"/>
      <c r="FQ292" s="9"/>
      <c r="FR292" s="9"/>
      <c r="FS292" s="9"/>
      <c r="FT292" s="9"/>
      <c r="FU292" s="9"/>
      <c r="FV292" s="9"/>
      <c r="FW292" s="9"/>
      <c r="FX292" s="9"/>
      <c r="FY292" s="9"/>
      <c r="FZ292" s="9"/>
      <c r="GA292" s="9"/>
      <c r="GB292" s="9"/>
      <c r="GC292" s="9"/>
      <c r="GD292" s="9"/>
      <c r="GE292" s="9"/>
      <c r="GF292" s="9"/>
      <c r="GG292" s="9"/>
      <c r="GH292" s="9"/>
      <c r="GI292" s="9"/>
      <c r="GJ292" s="9"/>
      <c r="GK292" s="9"/>
      <c r="GL292" s="9"/>
      <c r="GM292" s="9"/>
      <c r="GN292" s="9"/>
      <c r="GO292" s="9"/>
      <c r="GP292" s="9"/>
      <c r="GQ292" s="9"/>
      <c r="GR292" s="9"/>
      <c r="GS292" s="9"/>
      <c r="GT292" s="9"/>
      <c r="GU292" s="9"/>
      <c r="GV292" s="9"/>
      <c r="GW292" s="9"/>
      <c r="GX292" s="9"/>
      <c r="GY292" s="9"/>
      <c r="GZ292" s="9"/>
      <c r="HA292" s="9"/>
      <c r="HB292" s="9"/>
      <c r="HC292" s="9"/>
      <c r="HD292" s="9"/>
      <c r="HE292" s="9"/>
      <c r="HF292" s="9"/>
      <c r="HG292" s="9"/>
      <c r="HH292" s="9"/>
      <c r="HI292" s="9"/>
      <c r="HJ292" s="9"/>
      <c r="HK292" s="9"/>
      <c r="HW292" s="58"/>
      <c r="HX292" s="58"/>
      <c r="II292" t="s">
        <v>1433</v>
      </c>
      <c r="IJ292" s="84" t="s">
        <v>1443</v>
      </c>
      <c r="IK292" t="s">
        <v>660</v>
      </c>
      <c r="IL292" t="s">
        <v>661</v>
      </c>
      <c r="IM292" t="s">
        <v>29</v>
      </c>
      <c r="IN292" t="s">
        <v>29</v>
      </c>
      <c r="IO292" t="s">
        <v>29</v>
      </c>
      <c r="JK292" t="s">
        <v>1434</v>
      </c>
      <c r="JL292" t="s">
        <v>1430</v>
      </c>
      <c r="JM292" t="s">
        <v>14</v>
      </c>
      <c r="JN292" t="s">
        <v>1436</v>
      </c>
      <c r="JO292" s="4" t="s">
        <v>13</v>
      </c>
      <c r="JP292" t="s">
        <v>1438</v>
      </c>
      <c r="MZ292" t="s">
        <v>1441</v>
      </c>
      <c r="NA292">
        <v>70</v>
      </c>
      <c r="NB292" t="s">
        <v>1442</v>
      </c>
      <c r="NC292" t="s">
        <v>168</v>
      </c>
      <c r="ND292" s="4"/>
      <c r="NK292" t="s">
        <v>1521</v>
      </c>
      <c r="NL292" t="s">
        <v>1407</v>
      </c>
      <c r="NM292" s="87" t="s">
        <v>8</v>
      </c>
      <c r="NN292" s="6" t="s">
        <v>13</v>
      </c>
      <c r="NW292" t="s">
        <v>6</v>
      </c>
      <c r="NX292">
        <v>4630</v>
      </c>
      <c r="NY292" t="s">
        <v>29</v>
      </c>
      <c r="NZ292" t="s">
        <v>29</v>
      </c>
      <c r="OC292" s="15">
        <v>3</v>
      </c>
      <c r="OT292" t="s">
        <v>1410</v>
      </c>
      <c r="OU292" t="s">
        <v>6</v>
      </c>
      <c r="OW292">
        <v>2015</v>
      </c>
      <c r="OX292">
        <v>2016</v>
      </c>
      <c r="PA292" t="s">
        <v>1169</v>
      </c>
      <c r="PB292" s="58">
        <v>46105</v>
      </c>
    </row>
    <row r="293" spans="1:418" ht="15.75" thickBot="1">
      <c r="A293" t="s">
        <v>248</v>
      </c>
      <c r="B293" t="s">
        <v>1403</v>
      </c>
      <c r="C293" t="s">
        <v>1404</v>
      </c>
      <c r="D293" s="67" t="s">
        <v>245</v>
      </c>
      <c r="E293" t="s">
        <v>1409</v>
      </c>
      <c r="F293" s="4" t="s">
        <v>1417</v>
      </c>
      <c r="G293" t="s">
        <v>2</v>
      </c>
      <c r="H293" t="s">
        <v>30</v>
      </c>
      <c r="I293">
        <v>7.306944444</v>
      </c>
      <c r="J293">
        <v>38.012222219999998</v>
      </c>
      <c r="K293" t="s">
        <v>29</v>
      </c>
      <c r="AV293" t="s">
        <v>1418</v>
      </c>
      <c r="AW293">
        <v>420</v>
      </c>
      <c r="AX293">
        <v>1.5</v>
      </c>
      <c r="AY293">
        <v>1</v>
      </c>
      <c r="AZ293" t="s">
        <v>836</v>
      </c>
      <c r="BA293">
        <v>2015</v>
      </c>
      <c r="BB293">
        <v>2016</v>
      </c>
      <c r="BD293" t="s">
        <v>19</v>
      </c>
      <c r="BE293" t="s">
        <v>1423</v>
      </c>
      <c r="BF293" t="s">
        <v>256</v>
      </c>
      <c r="BG293" s="3" t="s">
        <v>1233</v>
      </c>
      <c r="BH293" t="s">
        <v>23</v>
      </c>
      <c r="BI293" t="s">
        <v>29</v>
      </c>
      <c r="BJ293" t="s">
        <v>22</v>
      </c>
      <c r="BK293">
        <v>53333</v>
      </c>
      <c r="EH293" s="9"/>
      <c r="EI293" s="9"/>
      <c r="EJ293" s="9"/>
      <c r="EK293" s="9"/>
      <c r="EL293" s="9"/>
      <c r="EM293" s="9"/>
      <c r="EN293" s="9"/>
      <c r="EO293" s="9"/>
      <c r="EP293" s="9"/>
      <c r="EQ293" s="9"/>
      <c r="ER293" s="9"/>
      <c r="ES293" s="9"/>
      <c r="ET293" s="9"/>
      <c r="EU293" s="9"/>
      <c r="EV293" s="9"/>
      <c r="EW293" s="9"/>
      <c r="EX293" s="9"/>
      <c r="EY293" s="9"/>
      <c r="EZ293" s="9"/>
      <c r="FA293" s="9"/>
      <c r="FB293" s="9"/>
      <c r="FC293" s="9"/>
      <c r="FD293" s="9"/>
      <c r="FE293" s="9"/>
      <c r="FF293" s="9"/>
      <c r="FG293" s="9"/>
      <c r="FH293" s="9"/>
      <c r="FI293" s="9"/>
      <c r="FJ293" s="9"/>
      <c r="FK293" s="9"/>
      <c r="FL293" s="9"/>
      <c r="FM293" s="9"/>
      <c r="FN293" s="9"/>
      <c r="FO293" s="9"/>
      <c r="FP293" s="9"/>
      <c r="FQ293" s="9"/>
      <c r="FR293" s="9"/>
      <c r="FS293" s="9"/>
      <c r="FT293" s="9"/>
      <c r="FU293" s="9"/>
      <c r="FV293" s="9"/>
      <c r="FW293" s="9"/>
      <c r="FX293" s="9"/>
      <c r="FY293" s="9"/>
      <c r="FZ293" s="9"/>
      <c r="GA293" s="9"/>
      <c r="GB293" s="9"/>
      <c r="GC293" s="9"/>
      <c r="GD293" s="9"/>
      <c r="GE293" s="9"/>
      <c r="GF293" s="9"/>
      <c r="GG293" s="9"/>
      <c r="GH293" s="9"/>
      <c r="GI293" s="9"/>
      <c r="GJ293" s="9"/>
      <c r="GK293" s="9"/>
      <c r="GL293" s="9"/>
      <c r="GM293" s="9"/>
      <c r="GN293" s="9"/>
      <c r="GO293" s="9"/>
      <c r="GP293" s="9"/>
      <c r="GQ293" s="9"/>
      <c r="GR293" s="9"/>
      <c r="GS293" s="9"/>
      <c r="GT293" s="9"/>
      <c r="GU293" s="9"/>
      <c r="GV293" s="9"/>
      <c r="GW293" s="9"/>
      <c r="GX293" s="9"/>
      <c r="GY293" s="9"/>
      <c r="GZ293" s="9"/>
      <c r="HA293" s="9"/>
      <c r="HB293" s="9"/>
      <c r="HC293" s="9"/>
      <c r="HD293" s="9"/>
      <c r="HE293" s="9"/>
      <c r="HF293" s="9"/>
      <c r="HG293" s="9"/>
      <c r="HH293" s="9"/>
      <c r="HI293" s="9"/>
      <c r="HJ293" s="9"/>
      <c r="HK293" s="9"/>
      <c r="HR293" t="s">
        <v>1439</v>
      </c>
      <c r="HW293" s="58"/>
      <c r="HX293" s="58"/>
      <c r="II293" t="s">
        <v>255</v>
      </c>
      <c r="IJ293" t="s">
        <v>19</v>
      </c>
      <c r="JK293" t="s">
        <v>1435</v>
      </c>
      <c r="JL293" t="s">
        <v>1430</v>
      </c>
      <c r="JM293" t="s">
        <v>14</v>
      </c>
      <c r="JN293" s="8" t="s">
        <v>1436</v>
      </c>
      <c r="JO293" s="4" t="s">
        <v>13</v>
      </c>
      <c r="JP293" t="s">
        <v>1438</v>
      </c>
      <c r="MZ293" t="s">
        <v>1441</v>
      </c>
      <c r="NA293">
        <v>70</v>
      </c>
      <c r="NB293" t="s">
        <v>1442</v>
      </c>
      <c r="NC293" t="s">
        <v>168</v>
      </c>
      <c r="ND293" s="4"/>
      <c r="NK293" t="s">
        <v>1521</v>
      </c>
      <c r="NL293" t="s">
        <v>1407</v>
      </c>
      <c r="NM293" s="87" t="s">
        <v>8</v>
      </c>
      <c r="NN293" s="6" t="s">
        <v>13</v>
      </c>
      <c r="NV293" t="s">
        <v>745</v>
      </c>
      <c r="NW293" t="s">
        <v>6</v>
      </c>
      <c r="NX293">
        <v>5955</v>
      </c>
      <c r="NY293" t="s">
        <v>29</v>
      </c>
      <c r="NZ293" t="s">
        <v>29</v>
      </c>
      <c r="OC293" s="15">
        <v>3</v>
      </c>
      <c r="OT293" t="s">
        <v>1410</v>
      </c>
      <c r="OU293" t="s">
        <v>6</v>
      </c>
      <c r="OW293">
        <v>2015</v>
      </c>
      <c r="OX293">
        <v>2016</v>
      </c>
      <c r="PA293" t="s">
        <v>1169</v>
      </c>
      <c r="PB293" s="58">
        <v>46105</v>
      </c>
    </row>
    <row r="294" spans="1:418" ht="15.75" thickBot="1">
      <c r="A294" t="s">
        <v>248</v>
      </c>
      <c r="B294" t="s">
        <v>1403</v>
      </c>
      <c r="C294" t="s">
        <v>1404</v>
      </c>
      <c r="D294" s="67" t="s">
        <v>245</v>
      </c>
      <c r="E294" t="s">
        <v>1409</v>
      </c>
      <c r="F294" s="4" t="s">
        <v>1417</v>
      </c>
      <c r="G294" t="s">
        <v>2</v>
      </c>
      <c r="H294" t="s">
        <v>30</v>
      </c>
      <c r="I294">
        <v>7.306944444</v>
      </c>
      <c r="J294">
        <v>38.012222219999998</v>
      </c>
      <c r="K294" t="s">
        <v>29</v>
      </c>
      <c r="AV294" t="s">
        <v>1418</v>
      </c>
      <c r="AW294">
        <v>420</v>
      </c>
      <c r="AX294">
        <v>1.5</v>
      </c>
      <c r="AY294">
        <v>1</v>
      </c>
      <c r="AZ294" t="s">
        <v>836</v>
      </c>
      <c r="BA294">
        <v>2015</v>
      </c>
      <c r="BB294">
        <v>2016</v>
      </c>
      <c r="BD294" t="s">
        <v>19</v>
      </c>
      <c r="BE294" t="s">
        <v>1420</v>
      </c>
      <c r="BF294" t="s">
        <v>39</v>
      </c>
      <c r="BG294" s="3" t="s">
        <v>1233</v>
      </c>
      <c r="BH294" t="s">
        <v>23</v>
      </c>
      <c r="BI294" t="s">
        <v>29</v>
      </c>
      <c r="BJ294" s="4" t="s">
        <v>22</v>
      </c>
      <c r="BK294">
        <v>53333</v>
      </c>
      <c r="EH294" s="9"/>
      <c r="EI294" s="9"/>
      <c r="EJ294" s="9"/>
      <c r="EK294" s="9"/>
      <c r="EL294" s="9"/>
      <c r="EM294" s="9"/>
      <c r="EN294" s="9"/>
      <c r="EO294" s="9"/>
      <c r="EP294" s="9"/>
      <c r="EQ294" s="9"/>
      <c r="ER294" s="9"/>
      <c r="ES294" s="9"/>
      <c r="ET294" s="9"/>
      <c r="EU294" s="9"/>
      <c r="EV294" s="9"/>
      <c r="EW294" s="9"/>
      <c r="EX294" s="9"/>
      <c r="EY294" s="9"/>
      <c r="EZ294" s="9"/>
      <c r="FA294" s="9"/>
      <c r="FB294" s="9"/>
      <c r="FC294" s="9"/>
      <c r="FD294" s="9"/>
      <c r="FE294" s="9"/>
      <c r="FF294" s="9"/>
      <c r="FG294" s="9"/>
      <c r="FH294" s="9"/>
      <c r="FI294" s="9"/>
      <c r="FJ294" s="9"/>
      <c r="FK294" s="9"/>
      <c r="FL294" s="9"/>
      <c r="FM294" s="9"/>
      <c r="FN294" s="9"/>
      <c r="FO294" s="9"/>
      <c r="FP294" s="9"/>
      <c r="FQ294" s="9"/>
      <c r="FR294" s="9"/>
      <c r="FS294" s="9"/>
      <c r="FT294" s="9"/>
      <c r="FU294" s="9"/>
      <c r="FV294" s="9"/>
      <c r="FW294" s="9"/>
      <c r="FX294" s="9"/>
      <c r="FY294" s="9"/>
      <c r="FZ294" s="9"/>
      <c r="GA294" s="9"/>
      <c r="GB294" s="9"/>
      <c r="GC294" s="9"/>
      <c r="GD294" s="9"/>
      <c r="GE294" s="9"/>
      <c r="GF294" s="9"/>
      <c r="GG294" s="9"/>
      <c r="GH294" s="9"/>
      <c r="GI294" s="9"/>
      <c r="GJ294" s="9"/>
      <c r="GK294" s="9"/>
      <c r="GL294" s="9"/>
      <c r="GM294" s="9"/>
      <c r="GN294" s="9"/>
      <c r="GO294" s="9"/>
      <c r="GP294" s="9"/>
      <c r="GQ294" s="9"/>
      <c r="GR294" s="9"/>
      <c r="GS294" s="9"/>
      <c r="GT294" s="9"/>
      <c r="GU294" s="9"/>
      <c r="GV294" s="9"/>
      <c r="GW294" s="9"/>
      <c r="GX294" s="9"/>
      <c r="GY294" s="9"/>
      <c r="GZ294" s="9"/>
      <c r="HA294" s="9"/>
      <c r="HB294" s="9"/>
      <c r="HC294" s="9"/>
      <c r="HD294" s="9"/>
      <c r="HE294" s="9"/>
      <c r="HF294" s="9"/>
      <c r="HG294" s="9"/>
      <c r="HH294" s="9"/>
      <c r="HI294" s="9"/>
      <c r="HJ294" s="9"/>
      <c r="HK294" s="9"/>
      <c r="HW294" s="58"/>
      <c r="HX294" s="58"/>
      <c r="II294" t="s">
        <v>255</v>
      </c>
      <c r="IJ294" t="s">
        <v>19</v>
      </c>
      <c r="JK294" t="s">
        <v>1419</v>
      </c>
      <c r="JL294" s="84" t="s">
        <v>1427</v>
      </c>
      <c r="JM294" s="8" t="s">
        <v>14</v>
      </c>
      <c r="JN294" s="8" t="s">
        <v>1436</v>
      </c>
      <c r="JO294" s="4" t="s">
        <v>13</v>
      </c>
      <c r="JP294" t="s">
        <v>1437</v>
      </c>
      <c r="MZ294" t="s">
        <v>1441</v>
      </c>
      <c r="NA294">
        <v>70</v>
      </c>
      <c r="NB294" t="s">
        <v>1442</v>
      </c>
      <c r="NC294" s="4" t="s">
        <v>10</v>
      </c>
      <c r="NK294" t="s">
        <v>1521</v>
      </c>
      <c r="NL294" t="s">
        <v>1407</v>
      </c>
      <c r="NM294" s="4" t="s">
        <v>1156</v>
      </c>
      <c r="NN294" s="6" t="s">
        <v>13</v>
      </c>
      <c r="NV294" t="s">
        <v>1447</v>
      </c>
      <c r="NW294" t="s">
        <v>6</v>
      </c>
      <c r="NX294">
        <v>7034</v>
      </c>
      <c r="NY294" t="s">
        <v>29</v>
      </c>
      <c r="NZ294" t="s">
        <v>29</v>
      </c>
      <c r="OC294" s="15">
        <v>3</v>
      </c>
      <c r="OT294" t="s">
        <v>1410</v>
      </c>
      <c r="OU294" t="s">
        <v>6</v>
      </c>
      <c r="OW294">
        <v>2015</v>
      </c>
      <c r="OX294">
        <v>2016</v>
      </c>
      <c r="PA294" t="s">
        <v>1169</v>
      </c>
      <c r="PB294" s="58">
        <v>46105</v>
      </c>
    </row>
    <row r="295" spans="1:418" ht="15.75" thickBot="1">
      <c r="A295" t="s">
        <v>248</v>
      </c>
      <c r="B295" t="s">
        <v>1403</v>
      </c>
      <c r="C295" t="s">
        <v>1404</v>
      </c>
      <c r="D295" s="67" t="s">
        <v>245</v>
      </c>
      <c r="E295" t="s">
        <v>1409</v>
      </c>
      <c r="F295" s="4" t="s">
        <v>1417</v>
      </c>
      <c r="G295" t="s">
        <v>2</v>
      </c>
      <c r="H295" t="s">
        <v>30</v>
      </c>
      <c r="I295">
        <v>7.306944444</v>
      </c>
      <c r="J295">
        <v>38.012222219999998</v>
      </c>
      <c r="K295" t="s">
        <v>29</v>
      </c>
      <c r="AV295" t="s">
        <v>1418</v>
      </c>
      <c r="AW295">
        <v>420</v>
      </c>
      <c r="AX295">
        <v>1.5</v>
      </c>
      <c r="AY295">
        <v>1</v>
      </c>
      <c r="AZ295" t="s">
        <v>836</v>
      </c>
      <c r="BA295">
        <v>2015</v>
      </c>
      <c r="BB295">
        <v>2016</v>
      </c>
      <c r="BD295" t="s">
        <v>19</v>
      </c>
      <c r="BE295" t="s">
        <v>1421</v>
      </c>
      <c r="BF295" t="s">
        <v>24</v>
      </c>
      <c r="BG295" s="3" t="s">
        <v>1233</v>
      </c>
      <c r="BH295" t="s">
        <v>23</v>
      </c>
      <c r="BI295" t="s">
        <v>29</v>
      </c>
      <c r="BJ295" t="s">
        <v>22</v>
      </c>
      <c r="BK295">
        <v>53333</v>
      </c>
      <c r="EH295" s="9"/>
      <c r="EI295" s="9"/>
      <c r="EJ295" s="9"/>
      <c r="EK295" s="9"/>
      <c r="EL295" s="9"/>
      <c r="EM295" s="9"/>
      <c r="EN295" s="9"/>
      <c r="EO295" s="9"/>
      <c r="EP295" s="9"/>
      <c r="EQ295" s="9"/>
      <c r="ER295" s="9"/>
      <c r="ES295" s="9"/>
      <c r="ET295" s="9"/>
      <c r="EU295" s="9"/>
      <c r="EV295" s="9"/>
      <c r="EW295" s="9"/>
      <c r="EX295" s="9"/>
      <c r="EY295" s="9"/>
      <c r="EZ295" s="9"/>
      <c r="FA295" s="9"/>
      <c r="FB295" s="9"/>
      <c r="FC295" s="9"/>
      <c r="FD295" s="9"/>
      <c r="FE295" s="9"/>
      <c r="FF295" s="9"/>
      <c r="FG295" s="9"/>
      <c r="FH295" s="9"/>
      <c r="FI295" s="9"/>
      <c r="FJ295" s="9"/>
      <c r="FK295" s="9"/>
      <c r="FL295" s="9"/>
      <c r="FM295" s="9"/>
      <c r="FN295" s="9"/>
      <c r="FO295" s="9"/>
      <c r="FP295" s="9"/>
      <c r="FQ295" s="9"/>
      <c r="FR295" s="9"/>
      <c r="FS295" s="9"/>
      <c r="FT295" s="9"/>
      <c r="FU295" s="9"/>
      <c r="FV295" s="9"/>
      <c r="FW295" s="9"/>
      <c r="FX295" s="9"/>
      <c r="FY295" s="9"/>
      <c r="FZ295" s="9"/>
      <c r="GA295" s="9"/>
      <c r="GB295" s="9"/>
      <c r="GC295" s="9"/>
      <c r="GD295" s="9"/>
      <c r="GE295" s="9"/>
      <c r="GF295" s="9"/>
      <c r="GG295" s="9"/>
      <c r="GH295" s="9"/>
      <c r="GI295" s="9"/>
      <c r="GJ295" s="9"/>
      <c r="GK295" s="9"/>
      <c r="GL295" s="9"/>
      <c r="GM295" s="9"/>
      <c r="GN295" s="9"/>
      <c r="GO295" s="9"/>
      <c r="GP295" s="9"/>
      <c r="GQ295" s="9"/>
      <c r="GR295" s="9"/>
      <c r="GS295" s="9"/>
      <c r="GT295" s="9"/>
      <c r="GU295" s="9"/>
      <c r="GV295" s="9"/>
      <c r="GW295" s="9"/>
      <c r="GX295" s="9"/>
      <c r="GY295" s="9"/>
      <c r="GZ295" s="9"/>
      <c r="HA295" s="9"/>
      <c r="HB295" s="9"/>
      <c r="HC295" s="9"/>
      <c r="HD295" s="9"/>
      <c r="HE295" s="9"/>
      <c r="HF295" s="9"/>
      <c r="HG295" s="9"/>
      <c r="HH295" s="9"/>
      <c r="HI295" s="9"/>
      <c r="HJ295" s="9"/>
      <c r="HK295" s="9"/>
      <c r="HW295" s="58"/>
      <c r="HX295" s="58"/>
      <c r="II295" t="s">
        <v>255</v>
      </c>
      <c r="IJ295" t="s">
        <v>19</v>
      </c>
      <c r="JK295" t="s">
        <v>1428</v>
      </c>
      <c r="JL295" s="54" t="s">
        <v>1430</v>
      </c>
      <c r="JM295" t="s">
        <v>14</v>
      </c>
      <c r="JN295" s="8" t="s">
        <v>1436</v>
      </c>
      <c r="JO295" s="4" t="s">
        <v>13</v>
      </c>
      <c r="JP295" t="s">
        <v>1438</v>
      </c>
      <c r="MZ295" t="s">
        <v>1441</v>
      </c>
      <c r="NA295">
        <v>70</v>
      </c>
      <c r="NB295" t="s">
        <v>1442</v>
      </c>
      <c r="NC295" s="4" t="s">
        <v>10</v>
      </c>
      <c r="NK295" t="s">
        <v>1521</v>
      </c>
      <c r="NL295" t="s">
        <v>1407</v>
      </c>
      <c r="NM295" s="4" t="s">
        <v>1156</v>
      </c>
      <c r="NN295" s="6" t="s">
        <v>13</v>
      </c>
      <c r="NV295" t="s">
        <v>745</v>
      </c>
      <c r="NW295" t="s">
        <v>6</v>
      </c>
      <c r="NX295">
        <v>8196</v>
      </c>
      <c r="NY295" t="s">
        <v>29</v>
      </c>
      <c r="NZ295" t="s">
        <v>29</v>
      </c>
      <c r="OC295" s="15">
        <v>3</v>
      </c>
      <c r="OT295" t="s">
        <v>1410</v>
      </c>
      <c r="OU295" t="s">
        <v>6</v>
      </c>
      <c r="OW295">
        <v>2015</v>
      </c>
      <c r="OX295">
        <v>2016</v>
      </c>
      <c r="PA295" t="s">
        <v>1169</v>
      </c>
      <c r="PB295" s="58">
        <v>46105</v>
      </c>
    </row>
    <row r="296" spans="1:418" ht="15.75" thickBot="1">
      <c r="A296" t="s">
        <v>248</v>
      </c>
      <c r="B296" t="s">
        <v>1403</v>
      </c>
      <c r="C296" t="s">
        <v>1404</v>
      </c>
      <c r="D296" s="67" t="s">
        <v>245</v>
      </c>
      <c r="E296" t="s">
        <v>1409</v>
      </c>
      <c r="F296" s="4" t="s">
        <v>1417</v>
      </c>
      <c r="G296" t="s">
        <v>2</v>
      </c>
      <c r="H296" t="s">
        <v>30</v>
      </c>
      <c r="I296">
        <v>7.306944444</v>
      </c>
      <c r="J296">
        <v>38.012222219999998</v>
      </c>
      <c r="K296" t="s">
        <v>29</v>
      </c>
      <c r="AV296" t="s">
        <v>1418</v>
      </c>
      <c r="AW296">
        <v>420</v>
      </c>
      <c r="AX296">
        <v>1.5</v>
      </c>
      <c r="AY296">
        <v>1</v>
      </c>
      <c r="AZ296" t="s">
        <v>836</v>
      </c>
      <c r="BA296">
        <v>2015</v>
      </c>
      <c r="BB296">
        <v>2016</v>
      </c>
      <c r="BD296" t="s">
        <v>19</v>
      </c>
      <c r="BE296" t="s">
        <v>1422</v>
      </c>
      <c r="BF296" t="s">
        <v>299</v>
      </c>
      <c r="BG296" s="3" t="s">
        <v>1233</v>
      </c>
      <c r="BH296" t="s">
        <v>23</v>
      </c>
      <c r="BI296" t="s">
        <v>29</v>
      </c>
      <c r="BJ296" t="s">
        <v>22</v>
      </c>
      <c r="BK296">
        <v>53333</v>
      </c>
      <c r="EH296" s="9"/>
      <c r="EI296" s="9"/>
      <c r="EJ296" s="9"/>
      <c r="EK296" s="9"/>
      <c r="EL296" s="9"/>
      <c r="EM296" s="9"/>
      <c r="EN296" s="9"/>
      <c r="EO296" s="9"/>
      <c r="EP296" s="9"/>
      <c r="EQ296" s="9"/>
      <c r="ER296" s="9"/>
      <c r="ES296" s="9"/>
      <c r="ET296" s="9"/>
      <c r="EU296" s="9"/>
      <c r="EV296" s="9"/>
      <c r="EW296" s="9"/>
      <c r="EX296" s="9"/>
      <c r="EY296" s="9"/>
      <c r="EZ296" s="9"/>
      <c r="FA296" s="9"/>
      <c r="FB296" s="9"/>
      <c r="FC296" s="9"/>
      <c r="FD296" s="9"/>
      <c r="FE296" s="9"/>
      <c r="FF296" s="9"/>
      <c r="FG296" s="9"/>
      <c r="FH296" s="9"/>
      <c r="FI296" s="9"/>
      <c r="FJ296" s="9"/>
      <c r="FK296" s="9"/>
      <c r="FL296" s="9"/>
      <c r="FM296" s="9"/>
      <c r="FN296" s="9"/>
      <c r="FO296" s="9"/>
      <c r="FP296" s="9"/>
      <c r="FQ296" s="9"/>
      <c r="FR296" s="9"/>
      <c r="FS296" s="9"/>
      <c r="FT296" s="9"/>
      <c r="FU296" s="9"/>
      <c r="FV296" s="9"/>
      <c r="FW296" s="9"/>
      <c r="FX296" s="9"/>
      <c r="FY296" s="9"/>
      <c r="FZ296" s="9"/>
      <c r="GA296" s="9"/>
      <c r="GB296" s="9"/>
      <c r="GC296" s="9"/>
      <c r="GD296" s="9"/>
      <c r="GE296" s="9"/>
      <c r="GF296" s="9"/>
      <c r="GG296" s="9"/>
      <c r="GH296" s="9"/>
      <c r="GI296" s="9"/>
      <c r="GJ296" s="9"/>
      <c r="GK296" s="9"/>
      <c r="GL296" s="9"/>
      <c r="GM296" s="9"/>
      <c r="GN296" s="9"/>
      <c r="GO296" s="9"/>
      <c r="GP296" s="9"/>
      <c r="GQ296" s="9"/>
      <c r="GR296" s="9"/>
      <c r="GS296" s="9"/>
      <c r="GT296" s="9"/>
      <c r="GU296" s="9"/>
      <c r="GV296" s="9"/>
      <c r="GW296" s="9"/>
      <c r="GX296" s="9"/>
      <c r="GY296" s="9"/>
      <c r="GZ296" s="9"/>
      <c r="HA296" s="9"/>
      <c r="HB296" s="9"/>
      <c r="HC296" s="9"/>
      <c r="HD296" s="9"/>
      <c r="HE296" s="9"/>
      <c r="HF296" s="9"/>
      <c r="HG296" s="9"/>
      <c r="HH296" s="9"/>
      <c r="HI296" s="9"/>
      <c r="HJ296" s="9"/>
      <c r="HK296" s="9"/>
      <c r="HR296" t="s">
        <v>1439</v>
      </c>
      <c r="HW296" s="58"/>
      <c r="HX296" s="58"/>
      <c r="II296" t="s">
        <v>255</v>
      </c>
      <c r="IJ296" t="s">
        <v>19</v>
      </c>
      <c r="JK296" t="s">
        <v>1429</v>
      </c>
      <c r="JL296" s="84" t="s">
        <v>1427</v>
      </c>
      <c r="JM296" t="s">
        <v>14</v>
      </c>
      <c r="JN296" s="8" t="s">
        <v>1436</v>
      </c>
      <c r="JO296" s="4" t="s">
        <v>13</v>
      </c>
      <c r="JP296" t="s">
        <v>1437</v>
      </c>
      <c r="KW296" t="s">
        <v>1440</v>
      </c>
      <c r="MZ296" t="s">
        <v>1441</v>
      </c>
      <c r="NA296">
        <v>70</v>
      </c>
      <c r="NB296" t="s">
        <v>1442</v>
      </c>
      <c r="NC296" s="4" t="s">
        <v>10</v>
      </c>
      <c r="NK296" t="s">
        <v>1521</v>
      </c>
      <c r="NL296" t="s">
        <v>1407</v>
      </c>
      <c r="NM296" s="4" t="s">
        <v>1156</v>
      </c>
      <c r="NN296" s="6" t="s">
        <v>13</v>
      </c>
      <c r="NV296" t="s">
        <v>1447</v>
      </c>
      <c r="NW296" t="s">
        <v>6</v>
      </c>
      <c r="NX296">
        <v>8996</v>
      </c>
      <c r="NY296" t="s">
        <v>29</v>
      </c>
      <c r="NZ296" t="s">
        <v>29</v>
      </c>
      <c r="OC296" s="15">
        <v>3</v>
      </c>
      <c r="OT296" t="s">
        <v>1410</v>
      </c>
      <c r="OU296" t="s">
        <v>6</v>
      </c>
      <c r="OW296">
        <v>2015</v>
      </c>
      <c r="OX296">
        <v>2016</v>
      </c>
      <c r="PA296" t="s">
        <v>1169</v>
      </c>
      <c r="PB296" s="58">
        <v>46105</v>
      </c>
    </row>
    <row r="297" spans="1:418" ht="15.75" thickBot="1">
      <c r="A297" t="s">
        <v>248</v>
      </c>
      <c r="B297" t="s">
        <v>1403</v>
      </c>
      <c r="C297" t="s">
        <v>1404</v>
      </c>
      <c r="D297" s="67" t="s">
        <v>245</v>
      </c>
      <c r="E297" t="s">
        <v>1409</v>
      </c>
      <c r="F297" s="4" t="s">
        <v>1417</v>
      </c>
      <c r="G297" t="s">
        <v>2</v>
      </c>
      <c r="H297" t="s">
        <v>30</v>
      </c>
      <c r="I297">
        <v>7.306944444</v>
      </c>
      <c r="J297">
        <v>38.012222219999998</v>
      </c>
      <c r="K297" t="s">
        <v>29</v>
      </c>
      <c r="AV297" t="s">
        <v>1418</v>
      </c>
      <c r="AW297">
        <v>420</v>
      </c>
      <c r="AX297">
        <v>1.5</v>
      </c>
      <c r="AY297">
        <v>1</v>
      </c>
      <c r="AZ297" t="s">
        <v>836</v>
      </c>
      <c r="BA297">
        <v>2015</v>
      </c>
      <c r="BB297">
        <v>2016</v>
      </c>
      <c r="BD297" t="s">
        <v>238</v>
      </c>
      <c r="BE297" t="s">
        <v>1424</v>
      </c>
      <c r="BF297" t="s">
        <v>64</v>
      </c>
      <c r="BG297" s="3" t="s">
        <v>1233</v>
      </c>
      <c r="BH297" t="s">
        <v>23</v>
      </c>
      <c r="BI297" t="s">
        <v>29</v>
      </c>
      <c r="BJ297" t="s">
        <v>22</v>
      </c>
      <c r="BK297">
        <v>53333</v>
      </c>
      <c r="BL297" t="s">
        <v>56</v>
      </c>
      <c r="BM297" t="s">
        <v>1426</v>
      </c>
      <c r="BN297" t="s">
        <v>29</v>
      </c>
      <c r="BO297" t="s">
        <v>22</v>
      </c>
      <c r="BP297">
        <v>266666</v>
      </c>
      <c r="EH297" s="9"/>
      <c r="EI297" s="9"/>
      <c r="EJ297" s="9"/>
      <c r="EK297" s="9"/>
      <c r="EL297" s="9"/>
      <c r="EM297" s="9"/>
      <c r="EN297" s="9"/>
      <c r="EO297" s="9"/>
      <c r="EP297" s="9"/>
      <c r="EQ297" s="9"/>
      <c r="ER297" s="9"/>
      <c r="ES297" s="9"/>
      <c r="ET297" s="9"/>
      <c r="EU297" s="9"/>
      <c r="EV297" s="9"/>
      <c r="EW297" s="9"/>
      <c r="EX297" s="9"/>
      <c r="EY297" s="9"/>
      <c r="EZ297" s="9"/>
      <c r="FA297" s="9"/>
      <c r="FB297" s="9"/>
      <c r="FC297" s="9"/>
      <c r="FD297" s="9"/>
      <c r="FE297" s="9"/>
      <c r="FF297" s="9"/>
      <c r="FG297" s="9"/>
      <c r="FH297" s="9"/>
      <c r="FI297" s="9"/>
      <c r="FJ297" s="9"/>
      <c r="FK297" s="9"/>
      <c r="FL297" s="9"/>
      <c r="FM297" s="9"/>
      <c r="FN297" s="9"/>
      <c r="FO297" s="9"/>
      <c r="FP297" s="9"/>
      <c r="FQ297" s="9"/>
      <c r="FR297" s="9"/>
      <c r="FS297" s="9"/>
      <c r="FT297" s="9"/>
      <c r="FU297" s="9"/>
      <c r="FV297" s="9"/>
      <c r="FW297" s="9"/>
      <c r="FX297" s="9"/>
      <c r="FY297" s="9"/>
      <c r="FZ297" s="9"/>
      <c r="GA297" s="9"/>
      <c r="GB297" s="9"/>
      <c r="GC297" s="9"/>
      <c r="GD297" s="9"/>
      <c r="GE297" s="9"/>
      <c r="GF297" s="9"/>
      <c r="GG297" s="9"/>
      <c r="GH297" s="9"/>
      <c r="GI297" s="9"/>
      <c r="GJ297" s="9"/>
      <c r="GK297" s="9"/>
      <c r="GL297" s="9"/>
      <c r="GM297" s="9"/>
      <c r="GN297" s="9"/>
      <c r="GO297" s="9"/>
      <c r="GP297" s="9"/>
      <c r="GQ297" s="9"/>
      <c r="GR297" s="9"/>
      <c r="GS297" s="9"/>
      <c r="GT297" s="9"/>
      <c r="GU297" s="9"/>
      <c r="GV297" s="9"/>
      <c r="GW297" s="9"/>
      <c r="GX297" s="9"/>
      <c r="GY297" s="9"/>
      <c r="GZ297" s="9"/>
      <c r="HA297" s="9"/>
      <c r="HB297" s="9"/>
      <c r="HC297" s="9"/>
      <c r="HD297" s="9"/>
      <c r="HE297" s="9"/>
      <c r="HF297" s="9"/>
      <c r="HG297" s="9"/>
      <c r="HH297" s="9"/>
      <c r="HI297" s="9"/>
      <c r="HJ297" s="9"/>
      <c r="HK297" s="9"/>
      <c r="HW297" s="58"/>
      <c r="HX297" s="58"/>
      <c r="II297" t="s">
        <v>1432</v>
      </c>
      <c r="IJ297" s="84" t="s">
        <v>1443</v>
      </c>
      <c r="IK297" t="s">
        <v>660</v>
      </c>
      <c r="IL297" t="s">
        <v>661</v>
      </c>
      <c r="IM297" t="s">
        <v>29</v>
      </c>
      <c r="IN297" t="s">
        <v>29</v>
      </c>
      <c r="IO297" t="s">
        <v>29</v>
      </c>
      <c r="JK297" t="s">
        <v>1431</v>
      </c>
      <c r="JL297" t="s">
        <v>1430</v>
      </c>
      <c r="JM297" t="s">
        <v>14</v>
      </c>
      <c r="JN297" t="s">
        <v>1436</v>
      </c>
      <c r="JO297" s="4" t="s">
        <v>13</v>
      </c>
      <c r="JP297" t="s">
        <v>1438</v>
      </c>
      <c r="MZ297" t="s">
        <v>1441</v>
      </c>
      <c r="NA297">
        <v>70</v>
      </c>
      <c r="NB297" t="s">
        <v>1442</v>
      </c>
      <c r="NC297" s="4" t="s">
        <v>10</v>
      </c>
      <c r="NK297" t="s">
        <v>1521</v>
      </c>
      <c r="NL297" t="s">
        <v>1407</v>
      </c>
      <c r="NM297" s="4" t="s">
        <v>1156</v>
      </c>
      <c r="NN297" s="6" t="s">
        <v>13</v>
      </c>
      <c r="NW297" t="s">
        <v>6</v>
      </c>
      <c r="NX297">
        <v>7896</v>
      </c>
      <c r="NY297" t="s">
        <v>29</v>
      </c>
      <c r="NZ297" t="s">
        <v>29</v>
      </c>
      <c r="OC297" s="15">
        <v>3</v>
      </c>
      <c r="OT297" t="s">
        <v>1410</v>
      </c>
      <c r="OU297" t="s">
        <v>6</v>
      </c>
      <c r="OW297">
        <v>2015</v>
      </c>
      <c r="OX297">
        <v>2016</v>
      </c>
      <c r="PA297" t="s">
        <v>1169</v>
      </c>
      <c r="PB297" s="58">
        <v>46105</v>
      </c>
    </row>
    <row r="298" spans="1:418" ht="15.75" thickBot="1">
      <c r="A298" t="s">
        <v>248</v>
      </c>
      <c r="B298" t="s">
        <v>1403</v>
      </c>
      <c r="C298" t="s">
        <v>1404</v>
      </c>
      <c r="D298" s="67" t="s">
        <v>245</v>
      </c>
      <c r="E298" t="s">
        <v>1409</v>
      </c>
      <c r="F298" s="4" t="s">
        <v>1417</v>
      </c>
      <c r="G298" t="s">
        <v>2</v>
      </c>
      <c r="H298" t="s">
        <v>30</v>
      </c>
      <c r="I298">
        <v>7.306944444</v>
      </c>
      <c r="J298">
        <v>38.012222219999998</v>
      </c>
      <c r="K298" t="s">
        <v>29</v>
      </c>
      <c r="AV298" t="s">
        <v>1418</v>
      </c>
      <c r="AW298">
        <v>420</v>
      </c>
      <c r="AX298">
        <v>1.5</v>
      </c>
      <c r="AY298">
        <v>1</v>
      </c>
      <c r="AZ298" t="s">
        <v>836</v>
      </c>
      <c r="BA298">
        <v>2015</v>
      </c>
      <c r="BB298">
        <v>2016</v>
      </c>
      <c r="BD298" t="s">
        <v>238</v>
      </c>
      <c r="BE298" t="s">
        <v>1425</v>
      </c>
      <c r="BF298" t="s">
        <v>57</v>
      </c>
      <c r="BG298" s="3" t="s">
        <v>1233</v>
      </c>
      <c r="BH298" t="s">
        <v>23</v>
      </c>
      <c r="BI298" t="s">
        <v>29</v>
      </c>
      <c r="BJ298" t="s">
        <v>22</v>
      </c>
      <c r="BK298">
        <v>53333</v>
      </c>
      <c r="BL298" t="s">
        <v>56</v>
      </c>
      <c r="BM298" t="s">
        <v>1414</v>
      </c>
      <c r="BN298" t="s">
        <v>29</v>
      </c>
      <c r="BO298" t="s">
        <v>22</v>
      </c>
      <c r="BP298">
        <v>66666</v>
      </c>
      <c r="EH298" s="9"/>
      <c r="EI298" s="9"/>
      <c r="EJ298" s="9"/>
      <c r="EK298" s="9"/>
      <c r="EL298" s="9"/>
      <c r="EM298" s="9"/>
      <c r="EN298" s="9"/>
      <c r="EO298" s="9"/>
      <c r="EP298" s="9"/>
      <c r="EQ298" s="9"/>
      <c r="ER298" s="9"/>
      <c r="ES298" s="9"/>
      <c r="ET298" s="9"/>
      <c r="EU298" s="9"/>
      <c r="EV298" s="9"/>
      <c r="EW298" s="9"/>
      <c r="EX298" s="9"/>
      <c r="EY298" s="9"/>
      <c r="EZ298" s="9"/>
      <c r="FA298" s="9"/>
      <c r="FB298" s="9"/>
      <c r="FC298" s="9"/>
      <c r="FD298" s="9"/>
      <c r="FE298" s="9"/>
      <c r="FF298" s="9"/>
      <c r="FG298" s="9"/>
      <c r="FH298" s="9"/>
      <c r="FI298" s="9"/>
      <c r="FJ298" s="9"/>
      <c r="FK298" s="9"/>
      <c r="FL298" s="9"/>
      <c r="FM298" s="9"/>
      <c r="FN298" s="9"/>
      <c r="FO298" s="9"/>
      <c r="FP298" s="9"/>
      <c r="FQ298" s="9"/>
      <c r="FR298" s="9"/>
      <c r="FS298" s="9"/>
      <c r="FT298" s="9"/>
      <c r="FU298" s="9"/>
      <c r="FV298" s="9"/>
      <c r="FW298" s="9"/>
      <c r="FX298" s="9"/>
      <c r="FY298" s="9"/>
      <c r="FZ298" s="9"/>
      <c r="GA298" s="9"/>
      <c r="GB298" s="9"/>
      <c r="GC298" s="9"/>
      <c r="GD298" s="9"/>
      <c r="GE298" s="9"/>
      <c r="GF298" s="9"/>
      <c r="GG298" s="9"/>
      <c r="GH298" s="9"/>
      <c r="GI298" s="9"/>
      <c r="GJ298" s="9"/>
      <c r="GK298" s="9"/>
      <c r="GL298" s="9"/>
      <c r="GM298" s="9"/>
      <c r="GN298" s="9"/>
      <c r="GO298" s="9"/>
      <c r="GP298" s="9"/>
      <c r="GQ298" s="9"/>
      <c r="GR298" s="9"/>
      <c r="GS298" s="9"/>
      <c r="GT298" s="9"/>
      <c r="GU298" s="9"/>
      <c r="GV298" s="9"/>
      <c r="GW298" s="9"/>
      <c r="GX298" s="9"/>
      <c r="GY298" s="9"/>
      <c r="GZ298" s="9"/>
      <c r="HA298" s="9"/>
      <c r="HB298" s="9"/>
      <c r="HC298" s="9"/>
      <c r="HD298" s="9"/>
      <c r="HE298" s="9"/>
      <c r="HF298" s="9"/>
      <c r="HG298" s="9"/>
      <c r="HH298" s="9"/>
      <c r="HI298" s="9"/>
      <c r="HJ298" s="9"/>
      <c r="HK298" s="9"/>
      <c r="HW298" s="58"/>
      <c r="HX298" s="58"/>
      <c r="II298" t="s">
        <v>1433</v>
      </c>
      <c r="IJ298" s="84" t="s">
        <v>1443</v>
      </c>
      <c r="IK298" t="s">
        <v>660</v>
      </c>
      <c r="IL298" t="s">
        <v>661</v>
      </c>
      <c r="IM298" t="s">
        <v>29</v>
      </c>
      <c r="IN298" t="s">
        <v>29</v>
      </c>
      <c r="IO298" t="s">
        <v>29</v>
      </c>
      <c r="JK298" t="s">
        <v>1434</v>
      </c>
      <c r="JL298" t="s">
        <v>1430</v>
      </c>
      <c r="JM298" t="s">
        <v>14</v>
      </c>
      <c r="JN298" t="s">
        <v>1436</v>
      </c>
      <c r="JO298" s="4" t="s">
        <v>13</v>
      </c>
      <c r="JP298" t="s">
        <v>1438</v>
      </c>
      <c r="MZ298" t="s">
        <v>1441</v>
      </c>
      <c r="NA298">
        <v>70</v>
      </c>
      <c r="NB298" t="s">
        <v>1442</v>
      </c>
      <c r="NC298" s="4" t="s">
        <v>10</v>
      </c>
      <c r="NK298" t="s">
        <v>1521</v>
      </c>
      <c r="NL298" t="s">
        <v>1407</v>
      </c>
      <c r="NM298" s="4" t="s">
        <v>1156</v>
      </c>
      <c r="NN298" s="6" t="s">
        <v>13</v>
      </c>
      <c r="NW298" t="s">
        <v>6</v>
      </c>
      <c r="NX298">
        <v>8578</v>
      </c>
      <c r="NY298" t="s">
        <v>29</v>
      </c>
      <c r="NZ298" t="s">
        <v>29</v>
      </c>
      <c r="OC298" s="15">
        <v>3</v>
      </c>
      <c r="OT298" t="s">
        <v>1410</v>
      </c>
      <c r="OU298" t="s">
        <v>6</v>
      </c>
      <c r="OW298">
        <v>2015</v>
      </c>
      <c r="OX298">
        <v>2016</v>
      </c>
      <c r="PA298" t="s">
        <v>1169</v>
      </c>
      <c r="PB298" s="58">
        <v>46105</v>
      </c>
    </row>
    <row r="299" spans="1:418" ht="15.75" thickBot="1">
      <c r="A299" t="s">
        <v>248</v>
      </c>
      <c r="B299" t="s">
        <v>1403</v>
      </c>
      <c r="C299" t="s">
        <v>1404</v>
      </c>
      <c r="D299" s="67" t="s">
        <v>245</v>
      </c>
      <c r="E299" t="s">
        <v>1409</v>
      </c>
      <c r="F299" s="4" t="s">
        <v>1417</v>
      </c>
      <c r="G299" t="s">
        <v>2</v>
      </c>
      <c r="H299" t="s">
        <v>30</v>
      </c>
      <c r="I299">
        <v>7.306944444</v>
      </c>
      <c r="J299">
        <v>38.012222219999998</v>
      </c>
      <c r="K299" t="s">
        <v>29</v>
      </c>
      <c r="AV299" t="s">
        <v>1418</v>
      </c>
      <c r="AW299">
        <v>420</v>
      </c>
      <c r="AX299">
        <v>1.5</v>
      </c>
      <c r="AY299">
        <v>1</v>
      </c>
      <c r="AZ299" t="s">
        <v>836</v>
      </c>
      <c r="BA299">
        <v>2015</v>
      </c>
      <c r="BB299">
        <v>2016</v>
      </c>
      <c r="BD299" t="s">
        <v>19</v>
      </c>
      <c r="BE299" t="s">
        <v>1423</v>
      </c>
      <c r="BF299" t="s">
        <v>256</v>
      </c>
      <c r="BG299" s="3" t="s">
        <v>1233</v>
      </c>
      <c r="BH299" t="s">
        <v>23</v>
      </c>
      <c r="BI299" t="s">
        <v>29</v>
      </c>
      <c r="BJ299" t="s">
        <v>22</v>
      </c>
      <c r="BK299">
        <v>53333</v>
      </c>
      <c r="EH299" s="9"/>
      <c r="EI299" s="9"/>
      <c r="EJ299" s="9"/>
      <c r="EK299" s="9"/>
      <c r="EL299" s="9"/>
      <c r="EM299" s="9"/>
      <c r="EN299" s="9"/>
      <c r="EO299" s="9"/>
      <c r="EP299" s="9"/>
      <c r="EQ299" s="9"/>
      <c r="ER299" s="9"/>
      <c r="ES299" s="9"/>
      <c r="ET299" s="9"/>
      <c r="EU299" s="9"/>
      <c r="EV299" s="9"/>
      <c r="EW299" s="9"/>
      <c r="EX299" s="9"/>
      <c r="EY299" s="9"/>
      <c r="EZ299" s="9"/>
      <c r="FA299" s="9"/>
      <c r="FB299" s="9"/>
      <c r="FC299" s="9"/>
      <c r="FD299" s="9"/>
      <c r="FE299" s="9"/>
      <c r="FF299" s="9"/>
      <c r="FG299" s="9"/>
      <c r="FH299" s="9"/>
      <c r="FI299" s="9"/>
      <c r="FJ299" s="9"/>
      <c r="FK299" s="9"/>
      <c r="FL299" s="9"/>
      <c r="FM299" s="9"/>
      <c r="FN299" s="9"/>
      <c r="FO299" s="9"/>
      <c r="FP299" s="9"/>
      <c r="FQ299" s="9"/>
      <c r="FR299" s="9"/>
      <c r="FS299" s="9"/>
      <c r="FT299" s="9"/>
      <c r="FU299" s="9"/>
      <c r="FV299" s="9"/>
      <c r="FW299" s="9"/>
      <c r="FX299" s="9"/>
      <c r="FY299" s="9"/>
      <c r="FZ299" s="9"/>
      <c r="GA299" s="9"/>
      <c r="GB299" s="9"/>
      <c r="GC299" s="9"/>
      <c r="GD299" s="9"/>
      <c r="GE299" s="9"/>
      <c r="GF299" s="9"/>
      <c r="GG299" s="9"/>
      <c r="GH299" s="9"/>
      <c r="GI299" s="9"/>
      <c r="GJ299" s="9"/>
      <c r="GK299" s="9"/>
      <c r="GL299" s="9"/>
      <c r="GM299" s="9"/>
      <c r="GN299" s="9"/>
      <c r="GO299" s="9"/>
      <c r="GP299" s="9"/>
      <c r="GQ299" s="9"/>
      <c r="GR299" s="9"/>
      <c r="GS299" s="9"/>
      <c r="GT299" s="9"/>
      <c r="GU299" s="9"/>
      <c r="GV299" s="9"/>
      <c r="GW299" s="9"/>
      <c r="GX299" s="9"/>
      <c r="GY299" s="9"/>
      <c r="GZ299" s="9"/>
      <c r="HA299" s="9"/>
      <c r="HB299" s="9"/>
      <c r="HC299" s="9"/>
      <c r="HD299" s="9"/>
      <c r="HE299" s="9"/>
      <c r="HF299" s="9"/>
      <c r="HG299" s="9"/>
      <c r="HH299" s="9"/>
      <c r="HI299" s="9"/>
      <c r="HJ299" s="9"/>
      <c r="HK299" s="9"/>
      <c r="HR299" t="s">
        <v>1439</v>
      </c>
      <c r="HW299" s="58"/>
      <c r="HX299" s="58"/>
      <c r="II299" t="s">
        <v>255</v>
      </c>
      <c r="IJ299" t="s">
        <v>19</v>
      </c>
      <c r="JK299" t="s">
        <v>1435</v>
      </c>
      <c r="JL299" t="s">
        <v>1430</v>
      </c>
      <c r="JM299" t="s">
        <v>14</v>
      </c>
      <c r="JN299" s="8" t="s">
        <v>1436</v>
      </c>
      <c r="JO299" s="4" t="s">
        <v>13</v>
      </c>
      <c r="JP299" t="s">
        <v>1438</v>
      </c>
      <c r="MZ299" t="s">
        <v>1441</v>
      </c>
      <c r="NA299">
        <v>70</v>
      </c>
      <c r="NB299" t="s">
        <v>1442</v>
      </c>
      <c r="NC299" s="4" t="s">
        <v>10</v>
      </c>
      <c r="NK299" t="s">
        <v>1521</v>
      </c>
      <c r="NL299" t="s">
        <v>1407</v>
      </c>
      <c r="NM299" s="4" t="s">
        <v>1156</v>
      </c>
      <c r="NN299" s="6" t="s">
        <v>13</v>
      </c>
      <c r="NV299" t="s">
        <v>745</v>
      </c>
      <c r="NW299" t="s">
        <v>6</v>
      </c>
      <c r="NX299">
        <v>9375</v>
      </c>
      <c r="NY299" t="s">
        <v>29</v>
      </c>
      <c r="NZ299" t="s">
        <v>29</v>
      </c>
      <c r="OC299" s="15">
        <v>3</v>
      </c>
      <c r="OT299" t="s">
        <v>1410</v>
      </c>
      <c r="OU299" t="s">
        <v>6</v>
      </c>
      <c r="OW299">
        <v>2015</v>
      </c>
      <c r="OX299">
        <v>2016</v>
      </c>
      <c r="PA299" t="s">
        <v>1169</v>
      </c>
      <c r="PB299" s="58">
        <v>46105</v>
      </c>
    </row>
    <row r="300" spans="1:418" ht="15.75" thickBot="1">
      <c r="A300" t="s">
        <v>248</v>
      </c>
      <c r="B300" t="s">
        <v>1403</v>
      </c>
      <c r="C300" t="s">
        <v>1404</v>
      </c>
      <c r="D300" s="67" t="s">
        <v>245</v>
      </c>
      <c r="E300" t="s">
        <v>1411</v>
      </c>
      <c r="F300" s="4" t="s">
        <v>1417</v>
      </c>
      <c r="G300" t="s">
        <v>2</v>
      </c>
      <c r="H300" t="s">
        <v>30</v>
      </c>
      <c r="I300">
        <v>6.7519444440000003</v>
      </c>
      <c r="J300">
        <v>38.33361111</v>
      </c>
      <c r="K300" t="s">
        <v>29</v>
      </c>
      <c r="AV300" t="s">
        <v>1418</v>
      </c>
      <c r="AW300">
        <v>420</v>
      </c>
      <c r="AX300">
        <v>0.18</v>
      </c>
      <c r="AY300">
        <v>1</v>
      </c>
      <c r="AZ300" t="s">
        <v>836</v>
      </c>
      <c r="BA300">
        <v>2015</v>
      </c>
      <c r="BB300">
        <v>2016</v>
      </c>
      <c r="BD300" t="s">
        <v>19</v>
      </c>
      <c r="BE300" t="s">
        <v>1420</v>
      </c>
      <c r="BF300" t="s">
        <v>39</v>
      </c>
      <c r="BG300" s="3" t="s">
        <v>1233</v>
      </c>
      <c r="BH300" t="s">
        <v>23</v>
      </c>
      <c r="BI300" t="s">
        <v>29</v>
      </c>
      <c r="BJ300" s="4" t="s">
        <v>22</v>
      </c>
      <c r="BK300">
        <v>53333</v>
      </c>
      <c r="EH300" s="9"/>
      <c r="EI300" s="9"/>
      <c r="EJ300" s="9"/>
      <c r="EK300" s="9"/>
      <c r="EL300" s="9"/>
      <c r="EM300" s="9"/>
      <c r="EN300" s="9"/>
      <c r="EO300" s="9"/>
      <c r="EP300" s="9"/>
      <c r="EQ300" s="9"/>
      <c r="ER300" s="9"/>
      <c r="ES300" s="9"/>
      <c r="ET300" s="9"/>
      <c r="EU300" s="9"/>
      <c r="EV300" s="9"/>
      <c r="EW300" s="9"/>
      <c r="EX300" s="9"/>
      <c r="EY300" s="9"/>
      <c r="EZ300" s="9"/>
      <c r="FA300" s="9"/>
      <c r="FB300" s="9"/>
      <c r="FC300" s="9"/>
      <c r="FD300" s="9"/>
      <c r="FE300" s="9"/>
      <c r="FF300" s="9"/>
      <c r="FG300" s="9"/>
      <c r="FH300" s="9"/>
      <c r="FI300" s="9"/>
      <c r="FJ300" s="9"/>
      <c r="FK300" s="9"/>
      <c r="FL300" s="9"/>
      <c r="FM300" s="9"/>
      <c r="FN300" s="9"/>
      <c r="FO300" s="9"/>
      <c r="FP300" s="9"/>
      <c r="FQ300" s="9"/>
      <c r="FR300" s="9"/>
      <c r="FS300" s="9"/>
      <c r="FT300" s="9"/>
      <c r="FU300" s="9"/>
      <c r="FV300" s="9"/>
      <c r="FW300" s="9"/>
      <c r="FX300" s="9"/>
      <c r="FY300" s="9"/>
      <c r="FZ300" s="9"/>
      <c r="GA300" s="9"/>
      <c r="GB300" s="9"/>
      <c r="GC300" s="9"/>
      <c r="GD300" s="9"/>
      <c r="GE300" s="9"/>
      <c r="GF300" s="9"/>
      <c r="GG300" s="9"/>
      <c r="GH300" s="9"/>
      <c r="GI300" s="9"/>
      <c r="GJ300" s="9"/>
      <c r="GK300" s="9"/>
      <c r="GL300" s="9"/>
      <c r="GM300" s="9"/>
      <c r="GN300" s="9"/>
      <c r="GO300" s="9"/>
      <c r="GP300" s="9"/>
      <c r="GQ300" s="9"/>
      <c r="GR300" s="9"/>
      <c r="GS300" s="9"/>
      <c r="GT300" s="9"/>
      <c r="GU300" s="9"/>
      <c r="GV300" s="9"/>
      <c r="GW300" s="9"/>
      <c r="GX300" s="9"/>
      <c r="GY300" s="9"/>
      <c r="GZ300" s="9"/>
      <c r="HA300" s="9"/>
      <c r="HB300" s="9"/>
      <c r="HC300" s="9"/>
      <c r="HD300" s="9"/>
      <c r="HE300" s="9"/>
      <c r="HF300" s="9"/>
      <c r="HG300" s="9"/>
      <c r="HH300" s="9"/>
      <c r="HI300" s="9"/>
      <c r="HJ300" s="9"/>
      <c r="HK300" s="9"/>
      <c r="HW300" s="58"/>
      <c r="HX300" s="58"/>
      <c r="II300" t="s">
        <v>255</v>
      </c>
      <c r="IJ300" t="s">
        <v>19</v>
      </c>
      <c r="JK300" t="s">
        <v>1419</v>
      </c>
      <c r="JL300" s="84" t="s">
        <v>1427</v>
      </c>
      <c r="JM300" s="8" t="s">
        <v>14</v>
      </c>
      <c r="JN300" s="8" t="s">
        <v>1436</v>
      </c>
      <c r="JO300" s="4" t="s">
        <v>13</v>
      </c>
      <c r="JP300" t="s">
        <v>1437</v>
      </c>
      <c r="MZ300" t="s">
        <v>1441</v>
      </c>
      <c r="NA300">
        <v>70</v>
      </c>
      <c r="NB300" t="s">
        <v>1442</v>
      </c>
      <c r="NC300" t="s">
        <v>168</v>
      </c>
      <c r="ND300" s="4"/>
      <c r="NK300" t="s">
        <v>1521</v>
      </c>
      <c r="NL300" t="s">
        <v>1407</v>
      </c>
      <c r="NM300" s="87" t="s">
        <v>8</v>
      </c>
      <c r="NN300" s="6" t="s">
        <v>13</v>
      </c>
      <c r="NV300" t="s">
        <v>1447</v>
      </c>
      <c r="NW300" t="s">
        <v>6</v>
      </c>
      <c r="NX300">
        <v>5293</v>
      </c>
      <c r="NY300" t="s">
        <v>29</v>
      </c>
      <c r="NZ300" t="s">
        <v>29</v>
      </c>
      <c r="OC300" s="15">
        <v>3</v>
      </c>
      <c r="OT300" t="s">
        <v>1412</v>
      </c>
      <c r="OU300" t="s">
        <v>6</v>
      </c>
      <c r="OW300">
        <v>2015</v>
      </c>
      <c r="OX300">
        <v>2016</v>
      </c>
      <c r="PA300" t="s">
        <v>1169</v>
      </c>
      <c r="PB300" s="58">
        <v>46105</v>
      </c>
    </row>
    <row r="301" spans="1:418" ht="15.75" thickBot="1">
      <c r="A301" t="s">
        <v>248</v>
      </c>
      <c r="B301" t="s">
        <v>1403</v>
      </c>
      <c r="C301" t="s">
        <v>1404</v>
      </c>
      <c r="D301" s="67" t="s">
        <v>245</v>
      </c>
      <c r="E301" t="s">
        <v>1411</v>
      </c>
      <c r="F301" s="4" t="s">
        <v>1417</v>
      </c>
      <c r="G301" t="s">
        <v>2</v>
      </c>
      <c r="H301" t="s">
        <v>30</v>
      </c>
      <c r="I301">
        <v>6.7519444440000003</v>
      </c>
      <c r="J301">
        <v>38.33361111</v>
      </c>
      <c r="K301" t="s">
        <v>29</v>
      </c>
      <c r="AV301" t="s">
        <v>1418</v>
      </c>
      <c r="AW301">
        <v>420</v>
      </c>
      <c r="AX301">
        <v>0.18</v>
      </c>
      <c r="AY301">
        <v>1</v>
      </c>
      <c r="AZ301" t="s">
        <v>836</v>
      </c>
      <c r="BA301">
        <v>2015</v>
      </c>
      <c r="BB301">
        <v>2016</v>
      </c>
      <c r="BD301" t="s">
        <v>19</v>
      </c>
      <c r="BE301" t="s">
        <v>1421</v>
      </c>
      <c r="BF301" t="s">
        <v>24</v>
      </c>
      <c r="BG301" s="3" t="s">
        <v>1233</v>
      </c>
      <c r="BH301" t="s">
        <v>23</v>
      </c>
      <c r="BI301" t="s">
        <v>29</v>
      </c>
      <c r="BJ301" t="s">
        <v>22</v>
      </c>
      <c r="BK301">
        <v>53333</v>
      </c>
      <c r="EH301" s="9"/>
      <c r="EI301" s="9"/>
      <c r="EJ301" s="9"/>
      <c r="EK301" s="9"/>
      <c r="EL301" s="9"/>
      <c r="EM301" s="9"/>
      <c r="EN301" s="9"/>
      <c r="EO301" s="9"/>
      <c r="EP301" s="9"/>
      <c r="EQ301" s="9"/>
      <c r="ER301" s="9"/>
      <c r="ES301" s="9"/>
      <c r="ET301" s="9"/>
      <c r="EU301" s="9"/>
      <c r="EV301" s="9"/>
      <c r="EW301" s="9"/>
      <c r="EX301" s="9"/>
      <c r="EY301" s="9"/>
      <c r="EZ301" s="9"/>
      <c r="FA301" s="9"/>
      <c r="FB301" s="9"/>
      <c r="FC301" s="9"/>
      <c r="FD301" s="9"/>
      <c r="FE301" s="9"/>
      <c r="FF301" s="9"/>
      <c r="FG301" s="9"/>
      <c r="FH301" s="9"/>
      <c r="FI301" s="9"/>
      <c r="FJ301" s="9"/>
      <c r="FK301" s="9"/>
      <c r="FL301" s="9"/>
      <c r="FM301" s="9"/>
      <c r="FN301" s="9"/>
      <c r="FO301" s="9"/>
      <c r="FP301" s="9"/>
      <c r="FQ301" s="9"/>
      <c r="FR301" s="9"/>
      <c r="FS301" s="9"/>
      <c r="FT301" s="9"/>
      <c r="FU301" s="9"/>
      <c r="FV301" s="9"/>
      <c r="FW301" s="9"/>
      <c r="FX301" s="9"/>
      <c r="FY301" s="9"/>
      <c r="FZ301" s="9"/>
      <c r="GA301" s="9"/>
      <c r="GB301" s="9"/>
      <c r="GC301" s="9"/>
      <c r="GD301" s="9"/>
      <c r="GE301" s="9"/>
      <c r="GF301" s="9"/>
      <c r="GG301" s="9"/>
      <c r="GH301" s="9"/>
      <c r="GI301" s="9"/>
      <c r="GJ301" s="9"/>
      <c r="GK301" s="9"/>
      <c r="GL301" s="9"/>
      <c r="GM301" s="9"/>
      <c r="GN301" s="9"/>
      <c r="GO301" s="9"/>
      <c r="GP301" s="9"/>
      <c r="GQ301" s="9"/>
      <c r="GR301" s="9"/>
      <c r="GS301" s="9"/>
      <c r="GT301" s="9"/>
      <c r="GU301" s="9"/>
      <c r="GV301" s="9"/>
      <c r="GW301" s="9"/>
      <c r="GX301" s="9"/>
      <c r="GY301" s="9"/>
      <c r="GZ301" s="9"/>
      <c r="HA301" s="9"/>
      <c r="HB301" s="9"/>
      <c r="HC301" s="9"/>
      <c r="HD301" s="9"/>
      <c r="HE301" s="9"/>
      <c r="HF301" s="9"/>
      <c r="HG301" s="9"/>
      <c r="HH301" s="9"/>
      <c r="HI301" s="9"/>
      <c r="HJ301" s="9"/>
      <c r="HK301" s="9"/>
      <c r="HW301" s="58"/>
      <c r="HX301" s="58"/>
      <c r="II301" t="s">
        <v>255</v>
      </c>
      <c r="IJ301" t="s">
        <v>19</v>
      </c>
      <c r="JK301" t="s">
        <v>1428</v>
      </c>
      <c r="JL301" s="54" t="s">
        <v>1430</v>
      </c>
      <c r="JM301" t="s">
        <v>14</v>
      </c>
      <c r="JN301" s="8" t="s">
        <v>1436</v>
      </c>
      <c r="JO301" s="4" t="s">
        <v>13</v>
      </c>
      <c r="JP301" t="s">
        <v>1438</v>
      </c>
      <c r="MZ301" t="s">
        <v>1441</v>
      </c>
      <c r="NA301">
        <v>70</v>
      </c>
      <c r="NB301" t="s">
        <v>1442</v>
      </c>
      <c r="NC301" t="s">
        <v>168</v>
      </c>
      <c r="ND301" s="4"/>
      <c r="NK301" t="s">
        <v>1521</v>
      </c>
      <c r="NL301" t="s">
        <v>1407</v>
      </c>
      <c r="NM301" s="87" t="s">
        <v>8</v>
      </c>
      <c r="NN301" s="6" t="s">
        <v>13</v>
      </c>
      <c r="NV301" t="s">
        <v>745</v>
      </c>
      <c r="NW301" t="s">
        <v>6</v>
      </c>
      <c r="NX301">
        <v>5312</v>
      </c>
      <c r="NY301" t="s">
        <v>29</v>
      </c>
      <c r="NZ301" t="s">
        <v>29</v>
      </c>
      <c r="OC301" s="15">
        <v>3</v>
      </c>
      <c r="OT301" t="s">
        <v>1412</v>
      </c>
      <c r="OU301" t="s">
        <v>6</v>
      </c>
      <c r="OW301">
        <v>2015</v>
      </c>
      <c r="OX301">
        <v>2016</v>
      </c>
      <c r="PA301" t="s">
        <v>1169</v>
      </c>
      <c r="PB301" s="58">
        <v>46105</v>
      </c>
    </row>
    <row r="302" spans="1:418" ht="15.75" thickBot="1">
      <c r="A302" t="s">
        <v>248</v>
      </c>
      <c r="B302" t="s">
        <v>1403</v>
      </c>
      <c r="C302" t="s">
        <v>1404</v>
      </c>
      <c r="D302" s="67" t="s">
        <v>245</v>
      </c>
      <c r="E302" t="s">
        <v>1411</v>
      </c>
      <c r="F302" s="4" t="s">
        <v>1417</v>
      </c>
      <c r="G302" t="s">
        <v>2</v>
      </c>
      <c r="H302" t="s">
        <v>30</v>
      </c>
      <c r="I302">
        <v>6.7519444440000003</v>
      </c>
      <c r="J302">
        <v>38.33361111</v>
      </c>
      <c r="K302" t="s">
        <v>29</v>
      </c>
      <c r="AV302" t="s">
        <v>1418</v>
      </c>
      <c r="AW302">
        <v>420</v>
      </c>
      <c r="AX302">
        <v>0.18</v>
      </c>
      <c r="AY302">
        <v>1</v>
      </c>
      <c r="AZ302" t="s">
        <v>836</v>
      </c>
      <c r="BA302">
        <v>2015</v>
      </c>
      <c r="BB302">
        <v>2016</v>
      </c>
      <c r="BD302" t="s">
        <v>19</v>
      </c>
      <c r="BE302" t="s">
        <v>1422</v>
      </c>
      <c r="BF302" t="s">
        <v>299</v>
      </c>
      <c r="BG302" s="3" t="s">
        <v>1233</v>
      </c>
      <c r="BH302" t="s">
        <v>23</v>
      </c>
      <c r="BI302" t="s">
        <v>29</v>
      </c>
      <c r="BJ302" t="s">
        <v>22</v>
      </c>
      <c r="BK302">
        <v>53333</v>
      </c>
      <c r="EH302" s="9"/>
      <c r="EI302" s="9"/>
      <c r="EJ302" s="9"/>
      <c r="EK302" s="9"/>
      <c r="EL302" s="9"/>
      <c r="EM302" s="9"/>
      <c r="EN302" s="9"/>
      <c r="EO302" s="9"/>
      <c r="EP302" s="9"/>
      <c r="EQ302" s="9"/>
      <c r="ER302" s="9"/>
      <c r="ES302" s="9"/>
      <c r="ET302" s="9"/>
      <c r="EU302" s="9"/>
      <c r="EV302" s="9"/>
      <c r="EW302" s="9"/>
      <c r="EX302" s="9"/>
      <c r="EY302" s="9"/>
      <c r="EZ302" s="9"/>
      <c r="FA302" s="9"/>
      <c r="FB302" s="9"/>
      <c r="FC302" s="9"/>
      <c r="FD302" s="9"/>
      <c r="FE302" s="9"/>
      <c r="FF302" s="9"/>
      <c r="FG302" s="9"/>
      <c r="FH302" s="9"/>
      <c r="FI302" s="9"/>
      <c r="FJ302" s="9"/>
      <c r="FK302" s="9"/>
      <c r="FL302" s="9"/>
      <c r="FM302" s="9"/>
      <c r="FN302" s="9"/>
      <c r="FO302" s="9"/>
      <c r="FP302" s="9"/>
      <c r="FQ302" s="9"/>
      <c r="FR302" s="9"/>
      <c r="FS302" s="9"/>
      <c r="FT302" s="9"/>
      <c r="FU302" s="9"/>
      <c r="FV302" s="9"/>
      <c r="FW302" s="9"/>
      <c r="FX302" s="9"/>
      <c r="FY302" s="9"/>
      <c r="FZ302" s="9"/>
      <c r="GA302" s="9"/>
      <c r="GB302" s="9"/>
      <c r="GC302" s="9"/>
      <c r="GD302" s="9"/>
      <c r="GE302" s="9"/>
      <c r="GF302" s="9"/>
      <c r="GG302" s="9"/>
      <c r="GH302" s="9"/>
      <c r="GI302" s="9"/>
      <c r="GJ302" s="9"/>
      <c r="GK302" s="9"/>
      <c r="GL302" s="9"/>
      <c r="GM302" s="9"/>
      <c r="GN302" s="9"/>
      <c r="GO302" s="9"/>
      <c r="GP302" s="9"/>
      <c r="GQ302" s="9"/>
      <c r="GR302" s="9"/>
      <c r="GS302" s="9"/>
      <c r="GT302" s="9"/>
      <c r="GU302" s="9"/>
      <c r="GV302" s="9"/>
      <c r="GW302" s="9"/>
      <c r="GX302" s="9"/>
      <c r="GY302" s="9"/>
      <c r="GZ302" s="9"/>
      <c r="HA302" s="9"/>
      <c r="HB302" s="9"/>
      <c r="HC302" s="9"/>
      <c r="HD302" s="9"/>
      <c r="HE302" s="9"/>
      <c r="HF302" s="9"/>
      <c r="HG302" s="9"/>
      <c r="HH302" s="9"/>
      <c r="HI302" s="9"/>
      <c r="HJ302" s="9"/>
      <c r="HK302" s="9"/>
      <c r="HR302" t="s">
        <v>1439</v>
      </c>
      <c r="HW302" s="58"/>
      <c r="HX302" s="58"/>
      <c r="II302" t="s">
        <v>255</v>
      </c>
      <c r="IJ302" t="s">
        <v>19</v>
      </c>
      <c r="JK302" t="s">
        <v>1429</v>
      </c>
      <c r="JL302" s="84" t="s">
        <v>1427</v>
      </c>
      <c r="JM302" t="s">
        <v>14</v>
      </c>
      <c r="JN302" t="s">
        <v>1436</v>
      </c>
      <c r="JO302" s="4" t="s">
        <v>13</v>
      </c>
      <c r="JP302" t="s">
        <v>1437</v>
      </c>
      <c r="KW302" t="s">
        <v>1440</v>
      </c>
      <c r="MZ302" t="s">
        <v>1441</v>
      </c>
      <c r="NA302">
        <v>70</v>
      </c>
      <c r="NB302" t="s">
        <v>1442</v>
      </c>
      <c r="NC302" t="s">
        <v>168</v>
      </c>
      <c r="ND302" s="4"/>
      <c r="NK302" t="s">
        <v>1521</v>
      </c>
      <c r="NL302" t="s">
        <v>1407</v>
      </c>
      <c r="NM302" s="87" t="s">
        <v>8</v>
      </c>
      <c r="NN302" s="6" t="s">
        <v>13</v>
      </c>
      <c r="NV302" t="s">
        <v>1447</v>
      </c>
      <c r="NW302" t="s">
        <v>6</v>
      </c>
      <c r="NX302">
        <v>6827</v>
      </c>
      <c r="NY302" t="s">
        <v>29</v>
      </c>
      <c r="NZ302" t="s">
        <v>29</v>
      </c>
      <c r="OC302" s="15">
        <v>3</v>
      </c>
      <c r="OT302" t="s">
        <v>1412</v>
      </c>
      <c r="OU302" t="s">
        <v>6</v>
      </c>
      <c r="OW302">
        <v>2015</v>
      </c>
      <c r="OX302">
        <v>2016</v>
      </c>
      <c r="PA302" t="s">
        <v>1169</v>
      </c>
      <c r="PB302" s="58">
        <v>46105</v>
      </c>
    </row>
    <row r="303" spans="1:418" ht="15.75" thickBot="1">
      <c r="A303" t="s">
        <v>248</v>
      </c>
      <c r="B303" t="s">
        <v>1403</v>
      </c>
      <c r="C303" t="s">
        <v>1404</v>
      </c>
      <c r="D303" s="67" t="s">
        <v>245</v>
      </c>
      <c r="E303" t="s">
        <v>1411</v>
      </c>
      <c r="F303" s="4" t="s">
        <v>1417</v>
      </c>
      <c r="G303" t="s">
        <v>2</v>
      </c>
      <c r="H303" t="s">
        <v>30</v>
      </c>
      <c r="I303">
        <v>6.7519444440000003</v>
      </c>
      <c r="J303">
        <v>38.33361111</v>
      </c>
      <c r="K303" t="s">
        <v>29</v>
      </c>
      <c r="AV303" t="s">
        <v>1418</v>
      </c>
      <c r="AW303">
        <v>420</v>
      </c>
      <c r="AX303">
        <v>0.18</v>
      </c>
      <c r="AY303">
        <v>1</v>
      </c>
      <c r="AZ303" t="s">
        <v>836</v>
      </c>
      <c r="BA303">
        <v>2015</v>
      </c>
      <c r="BB303">
        <v>2016</v>
      </c>
      <c r="BD303" t="s">
        <v>238</v>
      </c>
      <c r="BE303" t="s">
        <v>1424</v>
      </c>
      <c r="BF303" t="s">
        <v>64</v>
      </c>
      <c r="BG303" s="3" t="s">
        <v>1233</v>
      </c>
      <c r="BH303" t="s">
        <v>23</v>
      </c>
      <c r="BI303" t="s">
        <v>29</v>
      </c>
      <c r="BJ303" t="s">
        <v>22</v>
      </c>
      <c r="BK303">
        <v>53333</v>
      </c>
      <c r="BL303" t="s">
        <v>56</v>
      </c>
      <c r="BM303" t="s">
        <v>1426</v>
      </c>
      <c r="BN303" t="s">
        <v>29</v>
      </c>
      <c r="BO303" t="s">
        <v>22</v>
      </c>
      <c r="BP303">
        <v>266666</v>
      </c>
      <c r="EH303" s="9"/>
      <c r="EI303" s="9"/>
      <c r="EJ303" s="9"/>
      <c r="EK303" s="9"/>
      <c r="EL303" s="9"/>
      <c r="EM303" s="9"/>
      <c r="EN303" s="9"/>
      <c r="EO303" s="9"/>
      <c r="EP303" s="9"/>
      <c r="EQ303" s="9"/>
      <c r="ER303" s="9"/>
      <c r="ES303" s="9"/>
      <c r="ET303" s="9"/>
      <c r="EU303" s="9"/>
      <c r="EV303" s="9"/>
      <c r="EW303" s="9"/>
      <c r="EX303" s="9"/>
      <c r="EY303" s="9"/>
      <c r="EZ303" s="9"/>
      <c r="FA303" s="9"/>
      <c r="FB303" s="9"/>
      <c r="FC303" s="9"/>
      <c r="FD303" s="9"/>
      <c r="FE303" s="9"/>
      <c r="FF303" s="9"/>
      <c r="FG303" s="9"/>
      <c r="FH303" s="9"/>
      <c r="FI303" s="9"/>
      <c r="FJ303" s="9"/>
      <c r="FK303" s="9"/>
      <c r="FL303" s="9"/>
      <c r="FM303" s="9"/>
      <c r="FN303" s="9"/>
      <c r="FO303" s="9"/>
      <c r="FP303" s="9"/>
      <c r="FQ303" s="9"/>
      <c r="FR303" s="9"/>
      <c r="FS303" s="9"/>
      <c r="FT303" s="9"/>
      <c r="FU303" s="9"/>
      <c r="FV303" s="9"/>
      <c r="FW303" s="9"/>
      <c r="FX303" s="9"/>
      <c r="FY303" s="9"/>
      <c r="FZ303" s="9"/>
      <c r="GA303" s="9"/>
      <c r="GB303" s="9"/>
      <c r="GC303" s="9"/>
      <c r="GD303" s="9"/>
      <c r="GE303" s="9"/>
      <c r="GF303" s="9"/>
      <c r="GG303" s="9"/>
      <c r="GH303" s="9"/>
      <c r="GI303" s="9"/>
      <c r="GJ303" s="9"/>
      <c r="GK303" s="9"/>
      <c r="GL303" s="9"/>
      <c r="GM303" s="9"/>
      <c r="GN303" s="9"/>
      <c r="GO303" s="9"/>
      <c r="GP303" s="9"/>
      <c r="GQ303" s="9"/>
      <c r="GR303" s="9"/>
      <c r="GS303" s="9"/>
      <c r="GT303" s="9"/>
      <c r="GU303" s="9"/>
      <c r="GV303" s="9"/>
      <c r="GW303" s="9"/>
      <c r="GX303" s="9"/>
      <c r="GY303" s="9"/>
      <c r="GZ303" s="9"/>
      <c r="HA303" s="9"/>
      <c r="HB303" s="9"/>
      <c r="HC303" s="9"/>
      <c r="HD303" s="9"/>
      <c r="HE303" s="9"/>
      <c r="HF303" s="9"/>
      <c r="HG303" s="9"/>
      <c r="HH303" s="9"/>
      <c r="HI303" s="9"/>
      <c r="HJ303" s="9"/>
      <c r="HK303" s="9"/>
      <c r="HW303" s="58"/>
      <c r="HX303" s="58"/>
      <c r="II303" t="s">
        <v>1432</v>
      </c>
      <c r="IJ303" s="84" t="s">
        <v>1443</v>
      </c>
      <c r="IK303" t="s">
        <v>660</v>
      </c>
      <c r="IL303" t="s">
        <v>661</v>
      </c>
      <c r="IM303" t="s">
        <v>29</v>
      </c>
      <c r="IN303" t="s">
        <v>29</v>
      </c>
      <c r="IO303" t="s">
        <v>29</v>
      </c>
      <c r="JK303" t="s">
        <v>1431</v>
      </c>
      <c r="JL303" s="84" t="s">
        <v>15</v>
      </c>
      <c r="JM303" t="s">
        <v>14</v>
      </c>
      <c r="JN303" t="s">
        <v>1436</v>
      </c>
      <c r="JO303" s="4" t="s">
        <v>13</v>
      </c>
      <c r="JP303" t="s">
        <v>1438</v>
      </c>
      <c r="MZ303" t="s">
        <v>1441</v>
      </c>
      <c r="NA303">
        <v>70</v>
      </c>
      <c r="NB303" t="s">
        <v>1442</v>
      </c>
      <c r="NC303" t="s">
        <v>168</v>
      </c>
      <c r="ND303" s="4"/>
      <c r="NK303" t="s">
        <v>1521</v>
      </c>
      <c r="NL303" t="s">
        <v>1407</v>
      </c>
      <c r="NM303" s="87" t="s">
        <v>8</v>
      </c>
      <c r="NN303" s="6" t="s">
        <v>13</v>
      </c>
      <c r="NW303" t="s">
        <v>6</v>
      </c>
      <c r="NX303">
        <v>5282</v>
      </c>
      <c r="NY303" t="s">
        <v>29</v>
      </c>
      <c r="NZ303" t="s">
        <v>29</v>
      </c>
      <c r="OC303" s="15">
        <v>3</v>
      </c>
      <c r="OT303" t="s">
        <v>1412</v>
      </c>
      <c r="OU303" t="s">
        <v>6</v>
      </c>
      <c r="OW303">
        <v>2015</v>
      </c>
      <c r="OX303">
        <v>2016</v>
      </c>
      <c r="PA303" t="s">
        <v>1169</v>
      </c>
      <c r="PB303" s="58">
        <v>46105</v>
      </c>
    </row>
    <row r="304" spans="1:418" ht="15.75" thickBot="1">
      <c r="A304" t="s">
        <v>248</v>
      </c>
      <c r="B304" t="s">
        <v>1403</v>
      </c>
      <c r="C304" t="s">
        <v>1404</v>
      </c>
      <c r="D304" s="67" t="s">
        <v>245</v>
      </c>
      <c r="E304" t="s">
        <v>1411</v>
      </c>
      <c r="F304" s="4" t="s">
        <v>1417</v>
      </c>
      <c r="G304" t="s">
        <v>2</v>
      </c>
      <c r="H304" t="s">
        <v>30</v>
      </c>
      <c r="I304">
        <v>6.7519444440000003</v>
      </c>
      <c r="J304">
        <v>38.33361111</v>
      </c>
      <c r="K304" t="s">
        <v>29</v>
      </c>
      <c r="AV304" t="s">
        <v>1418</v>
      </c>
      <c r="AW304">
        <v>420</v>
      </c>
      <c r="AX304">
        <v>0.18</v>
      </c>
      <c r="AY304">
        <v>1</v>
      </c>
      <c r="AZ304" t="s">
        <v>836</v>
      </c>
      <c r="BA304">
        <v>2015</v>
      </c>
      <c r="BB304">
        <v>2016</v>
      </c>
      <c r="BD304" t="s">
        <v>238</v>
      </c>
      <c r="BE304" t="s">
        <v>1425</v>
      </c>
      <c r="BF304" t="s">
        <v>57</v>
      </c>
      <c r="BG304" s="3" t="s">
        <v>1233</v>
      </c>
      <c r="BH304" t="s">
        <v>23</v>
      </c>
      <c r="BI304" t="s">
        <v>29</v>
      </c>
      <c r="BJ304" t="s">
        <v>22</v>
      </c>
      <c r="BK304">
        <v>53333</v>
      </c>
      <c r="BL304" t="s">
        <v>56</v>
      </c>
      <c r="BM304" t="s">
        <v>1414</v>
      </c>
      <c r="BN304" t="s">
        <v>29</v>
      </c>
      <c r="BO304" t="s">
        <v>22</v>
      </c>
      <c r="BP304">
        <v>66666</v>
      </c>
      <c r="EH304" s="9"/>
      <c r="EI304" s="9"/>
      <c r="EJ304" s="9"/>
      <c r="EK304" s="9"/>
      <c r="EL304" s="9"/>
      <c r="EM304" s="9"/>
      <c r="EN304" s="9"/>
      <c r="EO304" s="9"/>
      <c r="EP304" s="9"/>
      <c r="EQ304" s="9"/>
      <c r="ER304" s="9"/>
      <c r="ES304" s="9"/>
      <c r="ET304" s="9"/>
      <c r="EU304" s="9"/>
      <c r="EV304" s="9"/>
      <c r="EW304" s="9"/>
      <c r="EX304" s="9"/>
      <c r="EY304" s="9"/>
      <c r="EZ304" s="9"/>
      <c r="FA304" s="9"/>
      <c r="FB304" s="9"/>
      <c r="FC304" s="9"/>
      <c r="FD304" s="9"/>
      <c r="FE304" s="9"/>
      <c r="FF304" s="9"/>
      <c r="FG304" s="9"/>
      <c r="FH304" s="9"/>
      <c r="FI304" s="9"/>
      <c r="FJ304" s="9"/>
      <c r="FK304" s="9"/>
      <c r="FL304" s="9"/>
      <c r="FM304" s="9"/>
      <c r="FN304" s="9"/>
      <c r="FO304" s="9"/>
      <c r="FP304" s="9"/>
      <c r="FQ304" s="9"/>
      <c r="FR304" s="9"/>
      <c r="FS304" s="9"/>
      <c r="FT304" s="9"/>
      <c r="FU304" s="9"/>
      <c r="FV304" s="9"/>
      <c r="FW304" s="9"/>
      <c r="FX304" s="9"/>
      <c r="FY304" s="9"/>
      <c r="FZ304" s="9"/>
      <c r="GA304" s="9"/>
      <c r="GB304" s="9"/>
      <c r="GC304" s="9"/>
      <c r="GD304" s="9"/>
      <c r="GE304" s="9"/>
      <c r="GF304" s="9"/>
      <c r="GG304" s="9"/>
      <c r="GH304" s="9"/>
      <c r="GI304" s="9"/>
      <c r="GJ304" s="9"/>
      <c r="GK304" s="9"/>
      <c r="GL304" s="9"/>
      <c r="GM304" s="9"/>
      <c r="GN304" s="9"/>
      <c r="GO304" s="9"/>
      <c r="GP304" s="9"/>
      <c r="GQ304" s="9"/>
      <c r="GR304" s="9"/>
      <c r="GS304" s="9"/>
      <c r="GT304" s="9"/>
      <c r="GU304" s="9"/>
      <c r="GV304" s="9"/>
      <c r="GW304" s="9"/>
      <c r="GX304" s="9"/>
      <c r="GY304" s="9"/>
      <c r="GZ304" s="9"/>
      <c r="HA304" s="9"/>
      <c r="HB304" s="9"/>
      <c r="HC304" s="9"/>
      <c r="HD304" s="9"/>
      <c r="HE304" s="9"/>
      <c r="HF304" s="9"/>
      <c r="HG304" s="9"/>
      <c r="HH304" s="9"/>
      <c r="HI304" s="9"/>
      <c r="HJ304" s="9"/>
      <c r="HK304" s="9"/>
      <c r="HW304" s="58"/>
      <c r="HX304" s="58"/>
      <c r="II304" t="s">
        <v>1433</v>
      </c>
      <c r="IJ304" s="84" t="s">
        <v>1443</v>
      </c>
      <c r="IK304" t="s">
        <v>660</v>
      </c>
      <c r="IL304" t="s">
        <v>661</v>
      </c>
      <c r="IM304" t="s">
        <v>29</v>
      </c>
      <c r="IN304" t="s">
        <v>29</v>
      </c>
      <c r="IO304" t="s">
        <v>29</v>
      </c>
      <c r="JK304" t="s">
        <v>1434</v>
      </c>
      <c r="JL304" s="84" t="s">
        <v>15</v>
      </c>
      <c r="JM304" t="s">
        <v>14</v>
      </c>
      <c r="JN304" t="s">
        <v>1436</v>
      </c>
      <c r="JO304" s="4" t="s">
        <v>13</v>
      </c>
      <c r="JP304" t="s">
        <v>1438</v>
      </c>
      <c r="MZ304" t="s">
        <v>1441</v>
      </c>
      <c r="NA304">
        <v>70</v>
      </c>
      <c r="NB304" t="s">
        <v>1442</v>
      </c>
      <c r="NC304" t="s">
        <v>168</v>
      </c>
      <c r="ND304" s="4"/>
      <c r="NK304" t="s">
        <v>1521</v>
      </c>
      <c r="NL304" t="s">
        <v>1407</v>
      </c>
      <c r="NM304" s="87" t="s">
        <v>8</v>
      </c>
      <c r="NN304" s="6" t="s">
        <v>13</v>
      </c>
      <c r="NW304" t="s">
        <v>6</v>
      </c>
      <c r="NX304">
        <v>5683</v>
      </c>
      <c r="NY304" t="s">
        <v>29</v>
      </c>
      <c r="NZ304" t="s">
        <v>29</v>
      </c>
      <c r="OC304" s="15">
        <v>3</v>
      </c>
      <c r="OT304" t="s">
        <v>1412</v>
      </c>
      <c r="OU304" t="s">
        <v>6</v>
      </c>
      <c r="OW304">
        <v>2015</v>
      </c>
      <c r="OX304">
        <v>2016</v>
      </c>
      <c r="PA304" t="s">
        <v>1169</v>
      </c>
      <c r="PB304" s="58">
        <v>46105</v>
      </c>
    </row>
    <row r="305" spans="1:418" ht="15.75" thickBot="1">
      <c r="A305" t="s">
        <v>248</v>
      </c>
      <c r="B305" t="s">
        <v>1403</v>
      </c>
      <c r="C305" t="s">
        <v>1404</v>
      </c>
      <c r="D305" s="67" t="s">
        <v>245</v>
      </c>
      <c r="E305" t="s">
        <v>1411</v>
      </c>
      <c r="F305" s="4" t="s">
        <v>1417</v>
      </c>
      <c r="G305" t="s">
        <v>2</v>
      </c>
      <c r="H305" t="s">
        <v>30</v>
      </c>
      <c r="I305">
        <v>6.7519444440000003</v>
      </c>
      <c r="J305">
        <v>38.33361111</v>
      </c>
      <c r="K305" t="s">
        <v>29</v>
      </c>
      <c r="AV305" t="s">
        <v>1418</v>
      </c>
      <c r="AW305">
        <v>420</v>
      </c>
      <c r="AX305">
        <v>0.18</v>
      </c>
      <c r="AY305">
        <v>1</v>
      </c>
      <c r="AZ305" t="s">
        <v>836</v>
      </c>
      <c r="BA305">
        <v>2015</v>
      </c>
      <c r="BB305">
        <v>2016</v>
      </c>
      <c r="BD305" t="s">
        <v>19</v>
      </c>
      <c r="BE305" t="s">
        <v>1423</v>
      </c>
      <c r="BF305" t="s">
        <v>256</v>
      </c>
      <c r="BG305" s="3" t="s">
        <v>1233</v>
      </c>
      <c r="BH305" t="s">
        <v>23</v>
      </c>
      <c r="BI305" t="s">
        <v>29</v>
      </c>
      <c r="BJ305" t="s">
        <v>22</v>
      </c>
      <c r="BK305">
        <v>53333</v>
      </c>
      <c r="EH305" s="9"/>
      <c r="EI305" s="9"/>
      <c r="EJ305" s="9"/>
      <c r="EK305" s="9"/>
      <c r="EL305" s="9"/>
      <c r="EM305" s="9"/>
      <c r="EN305" s="9"/>
      <c r="EO305" s="9"/>
      <c r="EP305" s="9"/>
      <c r="EQ305" s="9"/>
      <c r="ER305" s="9"/>
      <c r="ES305" s="9"/>
      <c r="ET305" s="9"/>
      <c r="EU305" s="9"/>
      <c r="EV305" s="9"/>
      <c r="EW305" s="9"/>
      <c r="EX305" s="9"/>
      <c r="EY305" s="9"/>
      <c r="EZ305" s="9"/>
      <c r="FA305" s="9"/>
      <c r="FB305" s="9"/>
      <c r="FC305" s="9"/>
      <c r="FD305" s="9"/>
      <c r="FE305" s="9"/>
      <c r="FF305" s="9"/>
      <c r="FG305" s="9"/>
      <c r="FH305" s="9"/>
      <c r="FI305" s="9"/>
      <c r="FJ305" s="9"/>
      <c r="FK305" s="9"/>
      <c r="FL305" s="9"/>
      <c r="FM305" s="9"/>
      <c r="FN305" s="9"/>
      <c r="FO305" s="9"/>
      <c r="FP305" s="9"/>
      <c r="FQ305" s="9"/>
      <c r="FR305" s="9"/>
      <c r="FS305" s="9"/>
      <c r="FT305" s="9"/>
      <c r="FU305" s="9"/>
      <c r="FV305" s="9"/>
      <c r="FW305" s="9"/>
      <c r="FX305" s="9"/>
      <c r="FY305" s="9"/>
      <c r="FZ305" s="9"/>
      <c r="GA305" s="9"/>
      <c r="GB305" s="9"/>
      <c r="GC305" s="9"/>
      <c r="GD305" s="9"/>
      <c r="GE305" s="9"/>
      <c r="GF305" s="9"/>
      <c r="GG305" s="9"/>
      <c r="GH305" s="9"/>
      <c r="GI305" s="9"/>
      <c r="GJ305" s="9"/>
      <c r="GK305" s="9"/>
      <c r="GL305" s="9"/>
      <c r="GM305" s="9"/>
      <c r="GN305" s="9"/>
      <c r="GO305" s="9"/>
      <c r="GP305" s="9"/>
      <c r="GQ305" s="9"/>
      <c r="GR305" s="9"/>
      <c r="GS305" s="9"/>
      <c r="GT305" s="9"/>
      <c r="GU305" s="9"/>
      <c r="GV305" s="9"/>
      <c r="GW305" s="9"/>
      <c r="GX305" s="9"/>
      <c r="GY305" s="9"/>
      <c r="GZ305" s="9"/>
      <c r="HA305" s="9"/>
      <c r="HB305" s="9"/>
      <c r="HC305" s="9"/>
      <c r="HD305" s="9"/>
      <c r="HE305" s="9"/>
      <c r="HF305" s="9"/>
      <c r="HG305" s="9"/>
      <c r="HH305" s="9"/>
      <c r="HI305" s="9"/>
      <c r="HJ305" s="9"/>
      <c r="HK305" s="9"/>
      <c r="HR305" t="s">
        <v>1439</v>
      </c>
      <c r="HW305" s="58"/>
      <c r="HX305" s="58"/>
      <c r="II305" t="s">
        <v>255</v>
      </c>
      <c r="IJ305" t="s">
        <v>19</v>
      </c>
      <c r="JK305" t="s">
        <v>1435</v>
      </c>
      <c r="JL305" s="84" t="s">
        <v>15</v>
      </c>
      <c r="JM305" t="s">
        <v>14</v>
      </c>
      <c r="JN305" t="s">
        <v>1436</v>
      </c>
      <c r="JO305" s="4" t="s">
        <v>13</v>
      </c>
      <c r="JP305" t="s">
        <v>1438</v>
      </c>
      <c r="MZ305" t="s">
        <v>1441</v>
      </c>
      <c r="NA305">
        <v>70</v>
      </c>
      <c r="NB305" t="s">
        <v>1442</v>
      </c>
      <c r="NC305" t="s">
        <v>168</v>
      </c>
      <c r="ND305" s="4"/>
      <c r="NK305" t="s">
        <v>1521</v>
      </c>
      <c r="NL305" t="s">
        <v>1407</v>
      </c>
      <c r="NM305" s="89" t="s">
        <v>8</v>
      </c>
      <c r="NN305" s="6" t="s">
        <v>13</v>
      </c>
      <c r="NV305" t="s">
        <v>745</v>
      </c>
      <c r="NW305" t="s">
        <v>6</v>
      </c>
      <c r="NX305">
        <v>7440</v>
      </c>
      <c r="NY305" t="s">
        <v>29</v>
      </c>
      <c r="NZ305" t="s">
        <v>29</v>
      </c>
      <c r="OC305" s="15">
        <v>3</v>
      </c>
      <c r="OT305" t="s">
        <v>1412</v>
      </c>
      <c r="OU305" t="s">
        <v>6</v>
      </c>
      <c r="OW305">
        <v>2015</v>
      </c>
      <c r="OX305">
        <v>2016</v>
      </c>
      <c r="PA305" t="s">
        <v>1169</v>
      </c>
      <c r="PB305" s="58">
        <v>46105</v>
      </c>
    </row>
    <row r="306" spans="1:418" ht="15.75" thickBot="1">
      <c r="A306" t="s">
        <v>248</v>
      </c>
      <c r="B306" t="s">
        <v>1403</v>
      </c>
      <c r="C306" t="s">
        <v>1404</v>
      </c>
      <c r="D306" s="67" t="s">
        <v>245</v>
      </c>
      <c r="E306" t="s">
        <v>1411</v>
      </c>
      <c r="F306" s="4" t="s">
        <v>1417</v>
      </c>
      <c r="G306" t="s">
        <v>2</v>
      </c>
      <c r="H306" t="s">
        <v>30</v>
      </c>
      <c r="I306">
        <v>6.7519444440000003</v>
      </c>
      <c r="J306">
        <v>38.33361111</v>
      </c>
      <c r="K306" t="s">
        <v>29</v>
      </c>
      <c r="AV306" t="s">
        <v>1418</v>
      </c>
      <c r="AW306">
        <v>420</v>
      </c>
      <c r="AX306">
        <v>0.18</v>
      </c>
      <c r="AY306">
        <v>1</v>
      </c>
      <c r="AZ306" t="s">
        <v>836</v>
      </c>
      <c r="BA306">
        <v>2015</v>
      </c>
      <c r="BB306">
        <v>2016</v>
      </c>
      <c r="BD306" t="s">
        <v>19</v>
      </c>
      <c r="BE306" t="s">
        <v>1420</v>
      </c>
      <c r="BF306" t="s">
        <v>39</v>
      </c>
      <c r="BG306" s="3" t="s">
        <v>1233</v>
      </c>
      <c r="BH306" t="s">
        <v>23</v>
      </c>
      <c r="BI306" t="s">
        <v>29</v>
      </c>
      <c r="BJ306" s="4" t="s">
        <v>22</v>
      </c>
      <c r="BK306">
        <v>53333</v>
      </c>
      <c r="EH306" s="9"/>
      <c r="EI306" s="9"/>
      <c r="EJ306" s="9"/>
      <c r="EK306" s="9"/>
      <c r="EL306" s="9"/>
      <c r="EM306" s="9"/>
      <c r="EN306" s="9"/>
      <c r="EO306" s="9"/>
      <c r="EP306" s="9"/>
      <c r="EQ306" s="9"/>
      <c r="ER306" s="9"/>
      <c r="ES306" s="9"/>
      <c r="ET306" s="9"/>
      <c r="EU306" s="9"/>
      <c r="EV306" s="9"/>
      <c r="EW306" s="9"/>
      <c r="EX306" s="9"/>
      <c r="EY306" s="9"/>
      <c r="EZ306" s="9"/>
      <c r="FA306" s="9"/>
      <c r="FB306" s="9"/>
      <c r="FC306" s="9"/>
      <c r="FD306" s="9"/>
      <c r="FE306" s="9"/>
      <c r="FF306" s="9"/>
      <c r="FG306" s="9"/>
      <c r="FH306" s="9"/>
      <c r="FI306" s="9"/>
      <c r="FJ306" s="9"/>
      <c r="FK306" s="9"/>
      <c r="FL306" s="9"/>
      <c r="FM306" s="9"/>
      <c r="FN306" s="9"/>
      <c r="FO306" s="9"/>
      <c r="FP306" s="9"/>
      <c r="FQ306" s="9"/>
      <c r="FR306" s="9"/>
      <c r="FS306" s="9"/>
      <c r="FT306" s="9"/>
      <c r="FU306" s="9"/>
      <c r="FV306" s="9"/>
      <c r="FW306" s="9"/>
      <c r="FX306" s="9"/>
      <c r="FY306" s="9"/>
      <c r="FZ306" s="9"/>
      <c r="GA306" s="9"/>
      <c r="GB306" s="9"/>
      <c r="GC306" s="9"/>
      <c r="GD306" s="9"/>
      <c r="GE306" s="9"/>
      <c r="GF306" s="9"/>
      <c r="GG306" s="9"/>
      <c r="GH306" s="9"/>
      <c r="GI306" s="9"/>
      <c r="GJ306" s="9"/>
      <c r="GK306" s="9"/>
      <c r="GL306" s="9"/>
      <c r="GM306" s="9"/>
      <c r="GN306" s="9"/>
      <c r="GO306" s="9"/>
      <c r="GP306" s="9"/>
      <c r="GQ306" s="9"/>
      <c r="GR306" s="9"/>
      <c r="GS306" s="9"/>
      <c r="GT306" s="9"/>
      <c r="GU306" s="9"/>
      <c r="GV306" s="9"/>
      <c r="GW306" s="9"/>
      <c r="GX306" s="9"/>
      <c r="GY306" s="9"/>
      <c r="GZ306" s="9"/>
      <c r="HA306" s="9"/>
      <c r="HB306" s="9"/>
      <c r="HC306" s="9"/>
      <c r="HD306" s="9"/>
      <c r="HE306" s="9"/>
      <c r="HF306" s="9"/>
      <c r="HG306" s="9"/>
      <c r="HH306" s="9"/>
      <c r="HI306" s="9"/>
      <c r="HJ306" s="9"/>
      <c r="HK306" s="9"/>
      <c r="HW306" s="58"/>
      <c r="HX306" s="58"/>
      <c r="II306" t="s">
        <v>255</v>
      </c>
      <c r="IJ306" t="s">
        <v>19</v>
      </c>
      <c r="JK306" t="s">
        <v>1419</v>
      </c>
      <c r="JL306" s="84" t="s">
        <v>1427</v>
      </c>
      <c r="JM306" s="8" t="s">
        <v>14</v>
      </c>
      <c r="JN306" s="8" t="s">
        <v>1436</v>
      </c>
      <c r="JO306" s="4" t="s">
        <v>13</v>
      </c>
      <c r="JP306" t="s">
        <v>1437</v>
      </c>
      <c r="MZ306" t="s">
        <v>1441</v>
      </c>
      <c r="NA306">
        <v>70</v>
      </c>
      <c r="NB306" t="s">
        <v>1442</v>
      </c>
      <c r="NC306" s="4" t="s">
        <v>10</v>
      </c>
      <c r="NK306" t="s">
        <v>1521</v>
      </c>
      <c r="NL306" t="s">
        <v>1407</v>
      </c>
      <c r="NM306" s="4" t="s">
        <v>1156</v>
      </c>
      <c r="NN306" s="6" t="s">
        <v>13</v>
      </c>
      <c r="NV306" t="s">
        <v>1447</v>
      </c>
      <c r="NW306" t="s">
        <v>6</v>
      </c>
      <c r="NX306">
        <v>7081</v>
      </c>
      <c r="NY306" t="s">
        <v>29</v>
      </c>
      <c r="NZ306" t="s">
        <v>29</v>
      </c>
      <c r="OC306" s="15">
        <v>3</v>
      </c>
      <c r="OT306" t="s">
        <v>1412</v>
      </c>
      <c r="OU306" t="s">
        <v>6</v>
      </c>
      <c r="OW306">
        <v>2015</v>
      </c>
      <c r="OX306">
        <v>2016</v>
      </c>
      <c r="PA306" t="s">
        <v>1169</v>
      </c>
      <c r="PB306" s="58">
        <v>46105</v>
      </c>
    </row>
    <row r="307" spans="1:418" ht="15.75" thickBot="1">
      <c r="A307" t="s">
        <v>248</v>
      </c>
      <c r="B307" t="s">
        <v>1403</v>
      </c>
      <c r="C307" t="s">
        <v>1404</v>
      </c>
      <c r="D307" s="67" t="s">
        <v>245</v>
      </c>
      <c r="E307" t="s">
        <v>1411</v>
      </c>
      <c r="F307" s="4" t="s">
        <v>1417</v>
      </c>
      <c r="G307" t="s">
        <v>2</v>
      </c>
      <c r="H307" t="s">
        <v>30</v>
      </c>
      <c r="I307">
        <v>6.7519444440000003</v>
      </c>
      <c r="J307">
        <v>38.33361111</v>
      </c>
      <c r="K307" t="s">
        <v>29</v>
      </c>
      <c r="AV307" t="s">
        <v>1418</v>
      </c>
      <c r="AW307">
        <v>420</v>
      </c>
      <c r="AX307">
        <v>0.18</v>
      </c>
      <c r="AY307">
        <v>1</v>
      </c>
      <c r="AZ307" t="s">
        <v>836</v>
      </c>
      <c r="BA307">
        <v>2015</v>
      </c>
      <c r="BB307">
        <v>2016</v>
      </c>
      <c r="BD307" t="s">
        <v>19</v>
      </c>
      <c r="BE307" t="s">
        <v>1421</v>
      </c>
      <c r="BF307" t="s">
        <v>24</v>
      </c>
      <c r="BG307" s="3" t="s">
        <v>1233</v>
      </c>
      <c r="BH307" t="s">
        <v>23</v>
      </c>
      <c r="BI307" t="s">
        <v>29</v>
      </c>
      <c r="BJ307" t="s">
        <v>22</v>
      </c>
      <c r="BK307">
        <v>53333</v>
      </c>
      <c r="EH307" s="9"/>
      <c r="EI307" s="9"/>
      <c r="EJ307" s="9"/>
      <c r="EK307" s="9"/>
      <c r="EL307" s="9"/>
      <c r="EM307" s="9"/>
      <c r="EN307" s="9"/>
      <c r="EO307" s="9"/>
      <c r="EP307" s="9"/>
      <c r="EQ307" s="9"/>
      <c r="ER307" s="9"/>
      <c r="ES307" s="9"/>
      <c r="ET307" s="9"/>
      <c r="EU307" s="9"/>
      <c r="EV307" s="9"/>
      <c r="EW307" s="9"/>
      <c r="EX307" s="9"/>
      <c r="EY307" s="9"/>
      <c r="EZ307" s="9"/>
      <c r="FA307" s="9"/>
      <c r="FB307" s="9"/>
      <c r="FC307" s="9"/>
      <c r="FD307" s="9"/>
      <c r="FE307" s="9"/>
      <c r="FF307" s="9"/>
      <c r="FG307" s="9"/>
      <c r="FH307" s="9"/>
      <c r="FI307" s="9"/>
      <c r="FJ307" s="9"/>
      <c r="FK307" s="9"/>
      <c r="FL307" s="9"/>
      <c r="FM307" s="9"/>
      <c r="FN307" s="9"/>
      <c r="FO307" s="9"/>
      <c r="FP307" s="9"/>
      <c r="FQ307" s="9"/>
      <c r="FR307" s="9"/>
      <c r="FS307" s="9"/>
      <c r="FT307" s="9"/>
      <c r="FU307" s="9"/>
      <c r="FV307" s="9"/>
      <c r="FW307" s="9"/>
      <c r="FX307" s="9"/>
      <c r="FY307" s="9"/>
      <c r="FZ307" s="9"/>
      <c r="GA307" s="9"/>
      <c r="GB307" s="9"/>
      <c r="GC307" s="9"/>
      <c r="GD307" s="9"/>
      <c r="GE307" s="9"/>
      <c r="GF307" s="9"/>
      <c r="GG307" s="9"/>
      <c r="GH307" s="9"/>
      <c r="GI307" s="9"/>
      <c r="GJ307" s="9"/>
      <c r="GK307" s="9"/>
      <c r="GL307" s="9"/>
      <c r="GM307" s="9"/>
      <c r="GN307" s="9"/>
      <c r="GO307" s="9"/>
      <c r="GP307" s="9"/>
      <c r="GQ307" s="9"/>
      <c r="GR307" s="9"/>
      <c r="GS307" s="9"/>
      <c r="GT307" s="9"/>
      <c r="GU307" s="9"/>
      <c r="GV307" s="9"/>
      <c r="GW307" s="9"/>
      <c r="GX307" s="9"/>
      <c r="GY307" s="9"/>
      <c r="GZ307" s="9"/>
      <c r="HA307" s="9"/>
      <c r="HB307" s="9"/>
      <c r="HC307" s="9"/>
      <c r="HD307" s="9"/>
      <c r="HE307" s="9"/>
      <c r="HF307" s="9"/>
      <c r="HG307" s="9"/>
      <c r="HH307" s="9"/>
      <c r="HI307" s="9"/>
      <c r="HJ307" s="9"/>
      <c r="HK307" s="9"/>
      <c r="HW307" s="58"/>
      <c r="HX307" s="58"/>
      <c r="II307" t="s">
        <v>255</v>
      </c>
      <c r="IJ307" t="s">
        <v>19</v>
      </c>
      <c r="JK307" t="s">
        <v>1428</v>
      </c>
      <c r="JL307" s="54" t="s">
        <v>1430</v>
      </c>
      <c r="JM307" t="s">
        <v>14</v>
      </c>
      <c r="JN307" s="8" t="s">
        <v>1436</v>
      </c>
      <c r="JO307" s="4" t="s">
        <v>13</v>
      </c>
      <c r="JP307" t="s">
        <v>1438</v>
      </c>
      <c r="MZ307" t="s">
        <v>1441</v>
      </c>
      <c r="NA307">
        <v>70</v>
      </c>
      <c r="NB307" t="s">
        <v>1442</v>
      </c>
      <c r="NC307" s="4" t="s">
        <v>10</v>
      </c>
      <c r="NK307" t="s">
        <v>1521</v>
      </c>
      <c r="NL307" t="s">
        <v>1407</v>
      </c>
      <c r="NM307" s="4" t="s">
        <v>1156</v>
      </c>
      <c r="NN307" s="6" t="s">
        <v>13</v>
      </c>
      <c r="NV307" t="s">
        <v>745</v>
      </c>
      <c r="NW307" t="s">
        <v>6</v>
      </c>
      <c r="NX307">
        <v>7914</v>
      </c>
      <c r="NY307" t="s">
        <v>29</v>
      </c>
      <c r="NZ307" t="s">
        <v>29</v>
      </c>
      <c r="OC307" s="15">
        <v>3</v>
      </c>
      <c r="OT307" t="s">
        <v>1412</v>
      </c>
      <c r="OU307" t="s">
        <v>6</v>
      </c>
      <c r="OW307">
        <v>2015</v>
      </c>
      <c r="OX307">
        <v>2016</v>
      </c>
      <c r="PA307" t="s">
        <v>1169</v>
      </c>
      <c r="PB307" s="58">
        <v>46105</v>
      </c>
    </row>
    <row r="308" spans="1:418" ht="15.75" thickBot="1">
      <c r="A308" t="s">
        <v>248</v>
      </c>
      <c r="B308" t="s">
        <v>1403</v>
      </c>
      <c r="C308" t="s">
        <v>1404</v>
      </c>
      <c r="D308" s="67" t="s">
        <v>245</v>
      </c>
      <c r="E308" t="s">
        <v>1411</v>
      </c>
      <c r="F308" s="4" t="s">
        <v>1417</v>
      </c>
      <c r="G308" t="s">
        <v>2</v>
      </c>
      <c r="H308" t="s">
        <v>30</v>
      </c>
      <c r="I308">
        <v>6.7519444440000003</v>
      </c>
      <c r="J308">
        <v>38.33361111</v>
      </c>
      <c r="K308" t="s">
        <v>29</v>
      </c>
      <c r="AV308" t="s">
        <v>1418</v>
      </c>
      <c r="AW308">
        <v>420</v>
      </c>
      <c r="AX308">
        <v>0.18</v>
      </c>
      <c r="AY308">
        <v>1</v>
      </c>
      <c r="AZ308" t="s">
        <v>836</v>
      </c>
      <c r="BA308">
        <v>2015</v>
      </c>
      <c r="BB308">
        <v>2016</v>
      </c>
      <c r="BD308" t="s">
        <v>19</v>
      </c>
      <c r="BE308" t="s">
        <v>1422</v>
      </c>
      <c r="BF308" t="s">
        <v>299</v>
      </c>
      <c r="BG308" s="3" t="s">
        <v>1233</v>
      </c>
      <c r="BH308" t="s">
        <v>23</v>
      </c>
      <c r="BI308" t="s">
        <v>29</v>
      </c>
      <c r="BJ308" t="s">
        <v>22</v>
      </c>
      <c r="BK308">
        <v>53333</v>
      </c>
      <c r="EH308" s="9"/>
      <c r="EI308" s="9"/>
      <c r="EJ308" s="9"/>
      <c r="EK308" s="9"/>
      <c r="EL308" s="9"/>
      <c r="EM308" s="9"/>
      <c r="EN308" s="9"/>
      <c r="EO308" s="9"/>
      <c r="EP308" s="9"/>
      <c r="EQ308" s="9"/>
      <c r="ER308" s="9"/>
      <c r="ES308" s="9"/>
      <c r="ET308" s="9"/>
      <c r="EU308" s="9"/>
      <c r="EV308" s="9"/>
      <c r="EW308" s="9"/>
      <c r="EX308" s="9"/>
      <c r="EY308" s="9"/>
      <c r="EZ308" s="9"/>
      <c r="FA308" s="9"/>
      <c r="FB308" s="9"/>
      <c r="FC308" s="9"/>
      <c r="FD308" s="9"/>
      <c r="FE308" s="9"/>
      <c r="FF308" s="9"/>
      <c r="FG308" s="9"/>
      <c r="FH308" s="9"/>
      <c r="FI308" s="9"/>
      <c r="FJ308" s="9"/>
      <c r="FK308" s="9"/>
      <c r="FL308" s="9"/>
      <c r="FM308" s="9"/>
      <c r="FN308" s="9"/>
      <c r="FO308" s="9"/>
      <c r="FP308" s="9"/>
      <c r="FQ308" s="9"/>
      <c r="FR308" s="9"/>
      <c r="FS308" s="9"/>
      <c r="FT308" s="9"/>
      <c r="FU308" s="9"/>
      <c r="FV308" s="9"/>
      <c r="FW308" s="9"/>
      <c r="FX308" s="9"/>
      <c r="FY308" s="9"/>
      <c r="FZ308" s="9"/>
      <c r="GA308" s="9"/>
      <c r="GB308" s="9"/>
      <c r="GC308" s="9"/>
      <c r="GD308" s="9"/>
      <c r="GE308" s="9"/>
      <c r="GF308" s="9"/>
      <c r="GG308" s="9"/>
      <c r="GH308" s="9"/>
      <c r="GI308" s="9"/>
      <c r="GJ308" s="9"/>
      <c r="GK308" s="9"/>
      <c r="GL308" s="9"/>
      <c r="GM308" s="9"/>
      <c r="GN308" s="9"/>
      <c r="GO308" s="9"/>
      <c r="GP308" s="9"/>
      <c r="GQ308" s="9"/>
      <c r="GR308" s="9"/>
      <c r="GS308" s="9"/>
      <c r="GT308" s="9"/>
      <c r="GU308" s="9"/>
      <c r="GV308" s="9"/>
      <c r="GW308" s="9"/>
      <c r="GX308" s="9"/>
      <c r="GY308" s="9"/>
      <c r="GZ308" s="9"/>
      <c r="HA308" s="9"/>
      <c r="HB308" s="9"/>
      <c r="HC308" s="9"/>
      <c r="HD308" s="9"/>
      <c r="HE308" s="9"/>
      <c r="HF308" s="9"/>
      <c r="HG308" s="9"/>
      <c r="HH308" s="9"/>
      <c r="HI308" s="9"/>
      <c r="HJ308" s="9"/>
      <c r="HK308" s="9"/>
      <c r="HR308" t="s">
        <v>1439</v>
      </c>
      <c r="HW308" s="58"/>
      <c r="HX308" s="58"/>
      <c r="II308" t="s">
        <v>255</v>
      </c>
      <c r="IJ308" t="s">
        <v>19</v>
      </c>
      <c r="JK308" t="s">
        <v>1429</v>
      </c>
      <c r="JL308" s="84" t="s">
        <v>1427</v>
      </c>
      <c r="JM308" t="s">
        <v>14</v>
      </c>
      <c r="JN308" t="s">
        <v>1436</v>
      </c>
      <c r="JO308" s="4" t="s">
        <v>13</v>
      </c>
      <c r="JP308" t="s">
        <v>1437</v>
      </c>
      <c r="KW308" t="s">
        <v>1440</v>
      </c>
      <c r="MZ308" t="s">
        <v>1441</v>
      </c>
      <c r="NA308">
        <v>70</v>
      </c>
      <c r="NB308" t="s">
        <v>1442</v>
      </c>
      <c r="NC308" s="4" t="s">
        <v>10</v>
      </c>
      <c r="NK308" t="s">
        <v>1521</v>
      </c>
      <c r="NL308" t="s">
        <v>1407</v>
      </c>
      <c r="NM308" s="4" t="s">
        <v>1156</v>
      </c>
      <c r="NN308" s="6" t="s">
        <v>13</v>
      </c>
      <c r="NV308" t="s">
        <v>1447</v>
      </c>
      <c r="NW308" t="s">
        <v>6</v>
      </c>
      <c r="NX308">
        <v>8418</v>
      </c>
      <c r="NY308" t="s">
        <v>29</v>
      </c>
      <c r="NZ308" t="s">
        <v>29</v>
      </c>
      <c r="OC308" s="15">
        <v>3</v>
      </c>
      <c r="OT308" t="s">
        <v>1412</v>
      </c>
      <c r="OU308" t="s">
        <v>6</v>
      </c>
      <c r="OW308">
        <v>2015</v>
      </c>
      <c r="OX308">
        <v>2016</v>
      </c>
      <c r="PA308" t="s">
        <v>1169</v>
      </c>
      <c r="PB308" s="58">
        <v>46105</v>
      </c>
    </row>
    <row r="309" spans="1:418" ht="15.75" thickBot="1">
      <c r="A309" t="s">
        <v>248</v>
      </c>
      <c r="B309" t="s">
        <v>1403</v>
      </c>
      <c r="C309" t="s">
        <v>1404</v>
      </c>
      <c r="D309" s="67" t="s">
        <v>245</v>
      </c>
      <c r="E309" t="s">
        <v>1411</v>
      </c>
      <c r="F309" s="4" t="s">
        <v>1417</v>
      </c>
      <c r="G309" t="s">
        <v>2</v>
      </c>
      <c r="H309" t="s">
        <v>30</v>
      </c>
      <c r="I309">
        <v>6.7519444440000003</v>
      </c>
      <c r="J309">
        <v>38.33361111</v>
      </c>
      <c r="K309" t="s">
        <v>29</v>
      </c>
      <c r="AV309" t="s">
        <v>1418</v>
      </c>
      <c r="AW309">
        <v>420</v>
      </c>
      <c r="AX309">
        <v>0.18</v>
      </c>
      <c r="AY309">
        <v>1</v>
      </c>
      <c r="AZ309" t="s">
        <v>836</v>
      </c>
      <c r="BA309">
        <v>2015</v>
      </c>
      <c r="BB309">
        <v>2016</v>
      </c>
      <c r="BD309" t="s">
        <v>238</v>
      </c>
      <c r="BE309" t="s">
        <v>1424</v>
      </c>
      <c r="BF309" t="s">
        <v>64</v>
      </c>
      <c r="BG309" s="3" t="s">
        <v>1233</v>
      </c>
      <c r="BH309" t="s">
        <v>23</v>
      </c>
      <c r="BI309" t="s">
        <v>29</v>
      </c>
      <c r="BJ309" t="s">
        <v>22</v>
      </c>
      <c r="BK309">
        <v>53333</v>
      </c>
      <c r="BL309" t="s">
        <v>56</v>
      </c>
      <c r="BM309" t="s">
        <v>1426</v>
      </c>
      <c r="BN309" t="s">
        <v>29</v>
      </c>
      <c r="BO309" t="s">
        <v>22</v>
      </c>
      <c r="BP309">
        <v>266666</v>
      </c>
      <c r="EH309" s="9"/>
      <c r="EI309" s="9"/>
      <c r="EJ309" s="9"/>
      <c r="EK309" s="9"/>
      <c r="EL309" s="9"/>
      <c r="EM309" s="9"/>
      <c r="EN309" s="9"/>
      <c r="EO309" s="9"/>
      <c r="EP309" s="9"/>
      <c r="EQ309" s="9"/>
      <c r="ER309" s="9"/>
      <c r="ES309" s="9"/>
      <c r="ET309" s="9"/>
      <c r="EU309" s="9"/>
      <c r="EV309" s="9"/>
      <c r="EW309" s="9"/>
      <c r="EX309" s="9"/>
      <c r="EY309" s="9"/>
      <c r="EZ309" s="9"/>
      <c r="FA309" s="9"/>
      <c r="FB309" s="9"/>
      <c r="FC309" s="9"/>
      <c r="FD309" s="9"/>
      <c r="FE309" s="9"/>
      <c r="FF309" s="9"/>
      <c r="FG309" s="9"/>
      <c r="FH309" s="9"/>
      <c r="FI309" s="9"/>
      <c r="FJ309" s="9"/>
      <c r="FK309" s="9"/>
      <c r="FL309" s="9"/>
      <c r="FM309" s="9"/>
      <c r="FN309" s="9"/>
      <c r="FO309" s="9"/>
      <c r="FP309" s="9"/>
      <c r="FQ309" s="9"/>
      <c r="FR309" s="9"/>
      <c r="FS309" s="9"/>
      <c r="FT309" s="9"/>
      <c r="FU309" s="9"/>
      <c r="FV309" s="9"/>
      <c r="FW309" s="9"/>
      <c r="FX309" s="9"/>
      <c r="FY309" s="9"/>
      <c r="FZ309" s="9"/>
      <c r="GA309" s="9"/>
      <c r="GB309" s="9"/>
      <c r="GC309" s="9"/>
      <c r="GD309" s="9"/>
      <c r="GE309" s="9"/>
      <c r="GF309" s="9"/>
      <c r="GG309" s="9"/>
      <c r="GH309" s="9"/>
      <c r="GI309" s="9"/>
      <c r="GJ309" s="9"/>
      <c r="GK309" s="9"/>
      <c r="GL309" s="9"/>
      <c r="GM309" s="9"/>
      <c r="GN309" s="9"/>
      <c r="GO309" s="9"/>
      <c r="GP309" s="9"/>
      <c r="GQ309" s="9"/>
      <c r="GR309" s="9"/>
      <c r="GS309" s="9"/>
      <c r="GT309" s="9"/>
      <c r="GU309" s="9"/>
      <c r="GV309" s="9"/>
      <c r="GW309" s="9"/>
      <c r="GX309" s="9"/>
      <c r="GY309" s="9"/>
      <c r="GZ309" s="9"/>
      <c r="HA309" s="9"/>
      <c r="HB309" s="9"/>
      <c r="HC309" s="9"/>
      <c r="HD309" s="9"/>
      <c r="HE309" s="9"/>
      <c r="HF309" s="9"/>
      <c r="HG309" s="9"/>
      <c r="HH309" s="9"/>
      <c r="HI309" s="9"/>
      <c r="HJ309" s="9"/>
      <c r="HK309" s="9"/>
      <c r="HW309" s="58"/>
      <c r="HX309" s="58"/>
      <c r="II309" t="s">
        <v>1432</v>
      </c>
      <c r="IJ309" s="84" t="s">
        <v>1443</v>
      </c>
      <c r="IK309" t="s">
        <v>660</v>
      </c>
      <c r="IL309" t="s">
        <v>661</v>
      </c>
      <c r="IM309" t="s">
        <v>29</v>
      </c>
      <c r="IN309" t="s">
        <v>29</v>
      </c>
      <c r="IO309" t="s">
        <v>29</v>
      </c>
      <c r="JK309" t="s">
        <v>1431</v>
      </c>
      <c r="JL309" s="84" t="s">
        <v>15</v>
      </c>
      <c r="JM309" t="s">
        <v>14</v>
      </c>
      <c r="JN309" t="s">
        <v>1436</v>
      </c>
      <c r="JO309" s="4" t="s">
        <v>13</v>
      </c>
      <c r="JP309" t="s">
        <v>1438</v>
      </c>
      <c r="MZ309" t="s">
        <v>1441</v>
      </c>
      <c r="NA309">
        <v>70</v>
      </c>
      <c r="NB309" t="s">
        <v>1442</v>
      </c>
      <c r="NC309" s="4" t="s">
        <v>10</v>
      </c>
      <c r="NK309" t="s">
        <v>1521</v>
      </c>
      <c r="NL309" t="s">
        <v>1407</v>
      </c>
      <c r="NM309" s="4" t="s">
        <v>1156</v>
      </c>
      <c r="NN309" s="6" t="s">
        <v>13</v>
      </c>
      <c r="NW309" t="s">
        <v>6</v>
      </c>
      <c r="NX309">
        <v>6990</v>
      </c>
      <c r="NY309" t="s">
        <v>29</v>
      </c>
      <c r="NZ309" t="s">
        <v>29</v>
      </c>
      <c r="OC309" s="15">
        <v>3</v>
      </c>
      <c r="OT309" t="s">
        <v>1412</v>
      </c>
      <c r="OU309" t="s">
        <v>6</v>
      </c>
      <c r="OW309">
        <v>2015</v>
      </c>
      <c r="OX309">
        <v>2016</v>
      </c>
      <c r="PA309" t="s">
        <v>1169</v>
      </c>
      <c r="PB309" s="58">
        <v>46105</v>
      </c>
    </row>
    <row r="310" spans="1:418" ht="15.75" thickBot="1">
      <c r="A310" t="s">
        <v>248</v>
      </c>
      <c r="B310" t="s">
        <v>1403</v>
      </c>
      <c r="C310" t="s">
        <v>1404</v>
      </c>
      <c r="D310" s="67" t="s">
        <v>245</v>
      </c>
      <c r="E310" t="s">
        <v>1411</v>
      </c>
      <c r="F310" s="4" t="s">
        <v>1417</v>
      </c>
      <c r="G310" t="s">
        <v>2</v>
      </c>
      <c r="H310" t="s">
        <v>30</v>
      </c>
      <c r="I310">
        <v>6.7519444440000003</v>
      </c>
      <c r="J310">
        <v>38.33361111</v>
      </c>
      <c r="K310" t="s">
        <v>29</v>
      </c>
      <c r="AV310" t="s">
        <v>1418</v>
      </c>
      <c r="AW310">
        <v>420</v>
      </c>
      <c r="AX310">
        <v>0.18</v>
      </c>
      <c r="AY310">
        <v>1</v>
      </c>
      <c r="AZ310" t="s">
        <v>836</v>
      </c>
      <c r="BA310">
        <v>2015</v>
      </c>
      <c r="BB310">
        <v>2016</v>
      </c>
      <c r="BD310" t="s">
        <v>238</v>
      </c>
      <c r="BE310" t="s">
        <v>1425</v>
      </c>
      <c r="BF310" t="s">
        <v>57</v>
      </c>
      <c r="BG310" s="3" t="s">
        <v>1233</v>
      </c>
      <c r="BH310" t="s">
        <v>23</v>
      </c>
      <c r="BI310" t="s">
        <v>29</v>
      </c>
      <c r="BJ310" t="s">
        <v>22</v>
      </c>
      <c r="BK310">
        <v>53333</v>
      </c>
      <c r="BL310" t="s">
        <v>56</v>
      </c>
      <c r="BM310" t="s">
        <v>1414</v>
      </c>
      <c r="BN310" t="s">
        <v>29</v>
      </c>
      <c r="BO310" t="s">
        <v>22</v>
      </c>
      <c r="BP310">
        <v>66666</v>
      </c>
      <c r="EH310" s="9"/>
      <c r="EI310" s="9"/>
      <c r="EJ310" s="9"/>
      <c r="EK310" s="9"/>
      <c r="EL310" s="9"/>
      <c r="EM310" s="9"/>
      <c r="EN310" s="9"/>
      <c r="EO310" s="9"/>
      <c r="EP310" s="9"/>
      <c r="EQ310" s="9"/>
      <c r="ER310" s="9"/>
      <c r="ES310" s="9"/>
      <c r="ET310" s="9"/>
      <c r="EU310" s="9"/>
      <c r="EV310" s="9"/>
      <c r="EW310" s="9"/>
      <c r="EX310" s="9"/>
      <c r="EY310" s="9"/>
      <c r="EZ310" s="9"/>
      <c r="FA310" s="9"/>
      <c r="FB310" s="9"/>
      <c r="FC310" s="9"/>
      <c r="FD310" s="9"/>
      <c r="FE310" s="9"/>
      <c r="FF310" s="9"/>
      <c r="FG310" s="9"/>
      <c r="FH310" s="9"/>
      <c r="FI310" s="9"/>
      <c r="FJ310" s="9"/>
      <c r="FK310" s="9"/>
      <c r="FL310" s="9"/>
      <c r="FM310" s="9"/>
      <c r="FN310" s="9"/>
      <c r="FO310" s="9"/>
      <c r="FP310" s="9"/>
      <c r="FQ310" s="9"/>
      <c r="FR310" s="9"/>
      <c r="FS310" s="9"/>
      <c r="FT310" s="9"/>
      <c r="FU310" s="9"/>
      <c r="FV310" s="9"/>
      <c r="FW310" s="9"/>
      <c r="FX310" s="9"/>
      <c r="FY310" s="9"/>
      <c r="FZ310" s="9"/>
      <c r="GA310" s="9"/>
      <c r="GB310" s="9"/>
      <c r="GC310" s="9"/>
      <c r="GD310" s="9"/>
      <c r="GE310" s="9"/>
      <c r="GF310" s="9"/>
      <c r="GG310" s="9"/>
      <c r="GH310" s="9"/>
      <c r="GI310" s="9"/>
      <c r="GJ310" s="9"/>
      <c r="GK310" s="9"/>
      <c r="GL310" s="9"/>
      <c r="GM310" s="9"/>
      <c r="GN310" s="9"/>
      <c r="GO310" s="9"/>
      <c r="GP310" s="9"/>
      <c r="GQ310" s="9"/>
      <c r="GR310" s="9"/>
      <c r="GS310" s="9"/>
      <c r="GT310" s="9"/>
      <c r="GU310" s="9"/>
      <c r="GV310" s="9"/>
      <c r="GW310" s="9"/>
      <c r="GX310" s="9"/>
      <c r="GY310" s="9"/>
      <c r="GZ310" s="9"/>
      <c r="HA310" s="9"/>
      <c r="HB310" s="9"/>
      <c r="HC310" s="9"/>
      <c r="HD310" s="9"/>
      <c r="HE310" s="9"/>
      <c r="HF310" s="9"/>
      <c r="HG310" s="9"/>
      <c r="HH310" s="9"/>
      <c r="HI310" s="9"/>
      <c r="HJ310" s="9"/>
      <c r="HK310" s="9"/>
      <c r="HW310" s="58"/>
      <c r="HX310" s="58"/>
      <c r="II310" t="s">
        <v>1433</v>
      </c>
      <c r="IJ310" s="84" t="s">
        <v>1443</v>
      </c>
      <c r="IK310" t="s">
        <v>660</v>
      </c>
      <c r="IL310" t="s">
        <v>661</v>
      </c>
      <c r="IM310" t="s">
        <v>29</v>
      </c>
      <c r="IN310" t="s">
        <v>29</v>
      </c>
      <c r="IO310" t="s">
        <v>29</v>
      </c>
      <c r="JK310" t="s">
        <v>1434</v>
      </c>
      <c r="JL310" s="84" t="s">
        <v>15</v>
      </c>
      <c r="JM310" t="s">
        <v>14</v>
      </c>
      <c r="JN310" t="s">
        <v>1436</v>
      </c>
      <c r="JO310" s="4" t="s">
        <v>13</v>
      </c>
      <c r="JP310" t="s">
        <v>1438</v>
      </c>
      <c r="MZ310" t="s">
        <v>1441</v>
      </c>
      <c r="NA310">
        <v>70</v>
      </c>
      <c r="NB310" t="s">
        <v>1442</v>
      </c>
      <c r="NC310" s="4" t="s">
        <v>10</v>
      </c>
      <c r="NK310" t="s">
        <v>1521</v>
      </c>
      <c r="NL310" t="s">
        <v>1407</v>
      </c>
      <c r="NM310" s="4" t="s">
        <v>1156</v>
      </c>
      <c r="NN310" s="6" t="s">
        <v>13</v>
      </c>
      <c r="NW310" t="s">
        <v>6</v>
      </c>
      <c r="NX310">
        <v>6788</v>
      </c>
      <c r="NY310" t="s">
        <v>29</v>
      </c>
      <c r="NZ310" t="s">
        <v>29</v>
      </c>
      <c r="OC310" s="15">
        <v>3</v>
      </c>
      <c r="OT310" t="s">
        <v>1412</v>
      </c>
      <c r="OU310" t="s">
        <v>6</v>
      </c>
      <c r="OW310">
        <v>2015</v>
      </c>
      <c r="OX310">
        <v>2016</v>
      </c>
      <c r="PA310" t="s">
        <v>1169</v>
      </c>
      <c r="PB310" s="58">
        <v>46105</v>
      </c>
    </row>
    <row r="311" spans="1:418" ht="15.75" thickBot="1">
      <c r="A311" t="s">
        <v>248</v>
      </c>
      <c r="B311" t="s">
        <v>1403</v>
      </c>
      <c r="C311" t="s">
        <v>1404</v>
      </c>
      <c r="D311" s="67" t="s">
        <v>245</v>
      </c>
      <c r="E311" t="s">
        <v>1411</v>
      </c>
      <c r="F311" s="4" t="s">
        <v>1417</v>
      </c>
      <c r="G311" t="s">
        <v>2</v>
      </c>
      <c r="H311" t="s">
        <v>30</v>
      </c>
      <c r="I311">
        <v>6.7519444440000003</v>
      </c>
      <c r="J311">
        <v>38.33361111</v>
      </c>
      <c r="K311" t="s">
        <v>29</v>
      </c>
      <c r="AV311" t="s">
        <v>1418</v>
      </c>
      <c r="AW311">
        <v>420</v>
      </c>
      <c r="AX311">
        <v>0.18</v>
      </c>
      <c r="AY311">
        <v>1</v>
      </c>
      <c r="AZ311" t="s">
        <v>836</v>
      </c>
      <c r="BA311">
        <v>2015</v>
      </c>
      <c r="BB311">
        <v>2016</v>
      </c>
      <c r="BD311" t="s">
        <v>19</v>
      </c>
      <c r="BE311" t="s">
        <v>1423</v>
      </c>
      <c r="BF311" t="s">
        <v>256</v>
      </c>
      <c r="BG311" s="3" t="s">
        <v>1233</v>
      </c>
      <c r="BH311" t="s">
        <v>23</v>
      </c>
      <c r="BI311" t="s">
        <v>29</v>
      </c>
      <c r="BJ311" t="s">
        <v>22</v>
      </c>
      <c r="BK311">
        <v>53333</v>
      </c>
      <c r="EH311" s="9"/>
      <c r="EI311" s="9"/>
      <c r="EJ311" s="9"/>
      <c r="EK311" s="9"/>
      <c r="EL311" s="9"/>
      <c r="EM311" s="9"/>
      <c r="EN311" s="9"/>
      <c r="EO311" s="9"/>
      <c r="EP311" s="9"/>
      <c r="EQ311" s="9"/>
      <c r="ER311" s="9"/>
      <c r="ES311" s="9"/>
      <c r="ET311" s="9"/>
      <c r="EU311" s="9"/>
      <c r="EV311" s="9"/>
      <c r="EW311" s="9"/>
      <c r="EX311" s="9"/>
      <c r="EY311" s="9"/>
      <c r="EZ311" s="9"/>
      <c r="FA311" s="9"/>
      <c r="FB311" s="9"/>
      <c r="FC311" s="9"/>
      <c r="FD311" s="9"/>
      <c r="FE311" s="9"/>
      <c r="FF311" s="9"/>
      <c r="FG311" s="9"/>
      <c r="FH311" s="9"/>
      <c r="FI311" s="9"/>
      <c r="FJ311" s="9"/>
      <c r="FK311" s="9"/>
      <c r="FL311" s="9"/>
      <c r="FM311" s="9"/>
      <c r="FN311" s="9"/>
      <c r="FO311" s="9"/>
      <c r="FP311" s="9"/>
      <c r="FQ311" s="9"/>
      <c r="FR311" s="9"/>
      <c r="FS311" s="9"/>
      <c r="FT311" s="9"/>
      <c r="FU311" s="9"/>
      <c r="FV311" s="9"/>
      <c r="FW311" s="9"/>
      <c r="FX311" s="9"/>
      <c r="FY311" s="9"/>
      <c r="FZ311" s="9"/>
      <c r="GA311" s="9"/>
      <c r="GB311" s="9"/>
      <c r="GC311" s="9"/>
      <c r="GD311" s="9"/>
      <c r="GE311" s="9"/>
      <c r="GF311" s="9"/>
      <c r="GG311" s="9"/>
      <c r="GH311" s="9"/>
      <c r="GI311" s="9"/>
      <c r="GJ311" s="9"/>
      <c r="GK311" s="9"/>
      <c r="GL311" s="9"/>
      <c r="GM311" s="9"/>
      <c r="GN311" s="9"/>
      <c r="GO311" s="9"/>
      <c r="GP311" s="9"/>
      <c r="GQ311" s="9"/>
      <c r="GR311" s="9"/>
      <c r="GS311" s="9"/>
      <c r="GT311" s="9"/>
      <c r="GU311" s="9"/>
      <c r="GV311" s="9"/>
      <c r="GW311" s="9"/>
      <c r="GX311" s="9"/>
      <c r="GY311" s="9"/>
      <c r="GZ311" s="9"/>
      <c r="HA311" s="9"/>
      <c r="HB311" s="9"/>
      <c r="HC311" s="9"/>
      <c r="HD311" s="9"/>
      <c r="HE311" s="9"/>
      <c r="HF311" s="9"/>
      <c r="HG311" s="9"/>
      <c r="HH311" s="9"/>
      <c r="HI311" s="9"/>
      <c r="HJ311" s="9"/>
      <c r="HK311" s="9"/>
      <c r="HR311" t="s">
        <v>1439</v>
      </c>
      <c r="HW311" s="58"/>
      <c r="HX311" s="58"/>
      <c r="II311" t="s">
        <v>255</v>
      </c>
      <c r="IJ311" t="s">
        <v>19</v>
      </c>
      <c r="JK311" t="s">
        <v>1435</v>
      </c>
      <c r="JL311" s="84" t="s">
        <v>15</v>
      </c>
      <c r="JM311" t="s">
        <v>14</v>
      </c>
      <c r="JN311" t="s">
        <v>1436</v>
      </c>
      <c r="JO311" s="4" t="s">
        <v>13</v>
      </c>
      <c r="JP311" t="s">
        <v>1438</v>
      </c>
      <c r="MZ311" t="s">
        <v>1441</v>
      </c>
      <c r="NA311">
        <v>70</v>
      </c>
      <c r="NB311" t="s">
        <v>1442</v>
      </c>
      <c r="NC311" s="4" t="s">
        <v>10</v>
      </c>
      <c r="NK311" t="s">
        <v>1521</v>
      </c>
      <c r="NL311" t="s">
        <v>1407</v>
      </c>
      <c r="NM311" s="4" t="s">
        <v>1156</v>
      </c>
      <c r="NN311" s="6" t="s">
        <v>13</v>
      </c>
      <c r="NV311" t="s">
        <v>745</v>
      </c>
      <c r="NW311" t="s">
        <v>6</v>
      </c>
      <c r="NX311">
        <v>9668</v>
      </c>
      <c r="NY311" t="s">
        <v>29</v>
      </c>
      <c r="NZ311" t="s">
        <v>29</v>
      </c>
      <c r="OC311" s="15">
        <v>3</v>
      </c>
      <c r="OT311" t="s">
        <v>1412</v>
      </c>
      <c r="OU311" t="s">
        <v>6</v>
      </c>
      <c r="OW311">
        <v>2015</v>
      </c>
      <c r="OX311">
        <v>2016</v>
      </c>
      <c r="PA311" t="s">
        <v>1169</v>
      </c>
      <c r="PB311" s="58">
        <v>46105</v>
      </c>
    </row>
    <row r="312" spans="1:418" ht="15.75" thickBot="1">
      <c r="A312" t="s">
        <v>248</v>
      </c>
      <c r="B312" t="s">
        <v>1448</v>
      </c>
      <c r="C312" t="s">
        <v>1173</v>
      </c>
      <c r="D312" s="4" t="s">
        <v>1936</v>
      </c>
      <c r="E312" s="90" t="s">
        <v>1485</v>
      </c>
      <c r="F312" s="90" t="s">
        <v>31</v>
      </c>
      <c r="G312" t="s">
        <v>2</v>
      </c>
      <c r="H312" t="s">
        <v>30</v>
      </c>
      <c r="I312">
        <v>12.133333329999999</v>
      </c>
      <c r="J312">
        <v>8.5333333329999999</v>
      </c>
      <c r="K312" t="s">
        <v>29</v>
      </c>
      <c r="AV312" t="s">
        <v>1487</v>
      </c>
      <c r="AW312">
        <v>27</v>
      </c>
      <c r="AX312" t="s">
        <v>29</v>
      </c>
      <c r="AY312">
        <v>1</v>
      </c>
      <c r="AZ312" t="s">
        <v>1486</v>
      </c>
      <c r="BA312">
        <v>1999</v>
      </c>
      <c r="BB312">
        <v>2000</v>
      </c>
      <c r="BD312" t="s">
        <v>19</v>
      </c>
      <c r="BE312" t="s">
        <v>1449</v>
      </c>
      <c r="BF312" t="s">
        <v>39</v>
      </c>
      <c r="BG312" s="3" t="s">
        <v>1233</v>
      </c>
      <c r="BH312" t="s">
        <v>250</v>
      </c>
      <c r="BI312" t="s">
        <v>1465</v>
      </c>
      <c r="BJ312" t="s">
        <v>29</v>
      </c>
      <c r="BK312" t="s">
        <v>29</v>
      </c>
      <c r="EH312" s="9"/>
      <c r="EI312" s="9"/>
      <c r="EJ312" s="9"/>
      <c r="EK312" s="9"/>
      <c r="EL312" s="9"/>
      <c r="EM312" s="9"/>
      <c r="EN312" s="9"/>
      <c r="EO312" s="9"/>
      <c r="EP312" s="9"/>
      <c r="EQ312" s="9"/>
      <c r="ER312" s="9"/>
      <c r="ES312" s="9"/>
      <c r="ET312" s="9"/>
      <c r="EU312" s="9"/>
      <c r="EV312" s="9"/>
      <c r="EW312" s="9"/>
      <c r="EX312" s="9"/>
      <c r="EY312" s="9"/>
      <c r="EZ312" s="9"/>
      <c r="FA312" s="9"/>
      <c r="FB312" s="9"/>
      <c r="FC312" s="9"/>
      <c r="FD312" s="9"/>
      <c r="FE312" s="9"/>
      <c r="FF312" s="9"/>
      <c r="FG312" s="9"/>
      <c r="FH312" s="9"/>
      <c r="FI312" s="9"/>
      <c r="FJ312" s="9"/>
      <c r="FK312" s="9"/>
      <c r="FL312" s="9"/>
      <c r="FM312" s="9"/>
      <c r="FN312" s="9"/>
      <c r="FO312" s="9"/>
      <c r="FP312" s="9"/>
      <c r="FQ312" s="9"/>
      <c r="FR312" s="9"/>
      <c r="FS312" s="9"/>
      <c r="FT312" s="9"/>
      <c r="FU312" s="9"/>
      <c r="FV312" s="9"/>
      <c r="FW312" s="9"/>
      <c r="FX312" s="9"/>
      <c r="FY312" s="9"/>
      <c r="FZ312" s="9"/>
      <c r="GA312" s="9"/>
      <c r="GB312" s="9"/>
      <c r="GC312" s="9"/>
      <c r="GD312" s="9"/>
      <c r="GE312" s="9"/>
      <c r="GF312" s="9"/>
      <c r="GG312" s="9"/>
      <c r="GH312" s="9"/>
      <c r="GI312" s="9"/>
      <c r="GJ312" s="9"/>
      <c r="GK312" s="9"/>
      <c r="GL312" s="9"/>
      <c r="GM312" s="9"/>
      <c r="GN312" s="9"/>
      <c r="GO312" s="9"/>
      <c r="GP312" s="9"/>
      <c r="GQ312" s="9"/>
      <c r="GR312" s="9"/>
      <c r="GS312" s="9"/>
      <c r="GT312" s="9"/>
      <c r="GU312" s="9"/>
      <c r="GV312" s="9"/>
      <c r="GW312" s="9"/>
      <c r="GX312" s="9"/>
      <c r="GY312" s="9"/>
      <c r="GZ312" s="9"/>
      <c r="HA312" s="9"/>
      <c r="HB312" s="9"/>
      <c r="HC312" s="9"/>
      <c r="HD312" s="9"/>
      <c r="HE312" s="9"/>
      <c r="HF312" s="9"/>
      <c r="HG312" s="9"/>
      <c r="HH312" s="9"/>
      <c r="HI312" s="9"/>
      <c r="HJ312" s="9"/>
      <c r="HK312" s="9"/>
      <c r="HW312" s="58" t="s">
        <v>1449</v>
      </c>
      <c r="HX312" s="58"/>
      <c r="HY312" t="s">
        <v>1465</v>
      </c>
      <c r="HZ312" s="12"/>
      <c r="IA312" s="4" t="s">
        <v>1469</v>
      </c>
      <c r="IB312" t="s">
        <v>1470</v>
      </c>
      <c r="II312" t="s">
        <v>1449</v>
      </c>
      <c r="IJ312" t="s">
        <v>19</v>
      </c>
      <c r="JK312" t="s">
        <v>1482</v>
      </c>
      <c r="JL312" s="84" t="s">
        <v>15</v>
      </c>
      <c r="JM312" t="s">
        <v>14</v>
      </c>
      <c r="JN312" t="s">
        <v>1483</v>
      </c>
      <c r="JO312" s="4" t="s">
        <v>13</v>
      </c>
      <c r="JP312" t="s">
        <v>1484</v>
      </c>
      <c r="JQ312" s="4"/>
      <c r="KJ312" t="s">
        <v>1450</v>
      </c>
      <c r="KK312" t="s">
        <v>222</v>
      </c>
      <c r="KL312" s="8" t="s">
        <v>1481</v>
      </c>
      <c r="KM312" s="4" t="s">
        <v>220</v>
      </c>
      <c r="KN312">
        <v>1</v>
      </c>
      <c r="MZ312" t="s">
        <v>1522</v>
      </c>
      <c r="NA312">
        <v>27</v>
      </c>
      <c r="NB312" t="s">
        <v>1468</v>
      </c>
      <c r="NC312" t="s">
        <v>250</v>
      </c>
      <c r="NK312" t="s">
        <v>1467</v>
      </c>
      <c r="NM312" s="4" t="s">
        <v>2456</v>
      </c>
      <c r="NN312" t="s">
        <v>13</v>
      </c>
      <c r="NV312" t="s">
        <v>64</v>
      </c>
      <c r="NW312" t="s">
        <v>6</v>
      </c>
      <c r="NY312" s="2" t="s">
        <v>29</v>
      </c>
      <c r="OC312">
        <v>3</v>
      </c>
      <c r="OD312">
        <v>1142</v>
      </c>
      <c r="OE312" s="88" t="s">
        <v>29</v>
      </c>
      <c r="OT312" t="s">
        <v>1479</v>
      </c>
      <c r="OV312">
        <v>1999</v>
      </c>
      <c r="PA312" t="s">
        <v>1169</v>
      </c>
      <c r="PB312" s="58">
        <v>46104</v>
      </c>
    </row>
    <row r="313" spans="1:418" ht="15.75" thickBot="1">
      <c r="A313" t="s">
        <v>248</v>
      </c>
      <c r="B313" t="s">
        <v>1448</v>
      </c>
      <c r="C313" t="s">
        <v>1173</v>
      </c>
      <c r="D313" s="4" t="s">
        <v>1936</v>
      </c>
      <c r="E313" s="90" t="s">
        <v>1485</v>
      </c>
      <c r="F313" s="90" t="s">
        <v>31</v>
      </c>
      <c r="G313" t="s">
        <v>2</v>
      </c>
      <c r="H313" t="s">
        <v>30</v>
      </c>
      <c r="I313">
        <v>12.133333329999999</v>
      </c>
      <c r="J313">
        <v>8.5333333329999999</v>
      </c>
      <c r="K313" t="s">
        <v>29</v>
      </c>
      <c r="AV313" t="s">
        <v>1487</v>
      </c>
      <c r="AW313">
        <v>27</v>
      </c>
      <c r="AX313" t="s">
        <v>29</v>
      </c>
      <c r="AY313">
        <v>1</v>
      </c>
      <c r="AZ313" t="s">
        <v>1486</v>
      </c>
      <c r="BA313">
        <v>1999</v>
      </c>
      <c r="BB313">
        <v>2000</v>
      </c>
      <c r="BD313" t="s">
        <v>19</v>
      </c>
      <c r="BE313" t="s">
        <v>1452</v>
      </c>
      <c r="BF313" t="s">
        <v>24</v>
      </c>
      <c r="BG313" s="3" t="s">
        <v>1233</v>
      </c>
      <c r="BH313" t="s">
        <v>250</v>
      </c>
      <c r="BI313" t="s">
        <v>1460</v>
      </c>
      <c r="BJ313" t="s">
        <v>29</v>
      </c>
      <c r="BK313" t="s">
        <v>29</v>
      </c>
      <c r="EH313" s="9"/>
      <c r="EI313" s="9"/>
      <c r="EJ313" s="9"/>
      <c r="EK313" s="9"/>
      <c r="EL313" s="9"/>
      <c r="EM313" s="9"/>
      <c r="EN313" s="9"/>
      <c r="EO313" s="9"/>
      <c r="EP313" s="9"/>
      <c r="EQ313" s="9"/>
      <c r="ER313" s="9"/>
      <c r="ES313" s="9"/>
      <c r="ET313" s="9"/>
      <c r="EU313" s="9"/>
      <c r="EV313" s="9"/>
      <c r="EW313" s="9"/>
      <c r="EX313" s="9"/>
      <c r="EY313" s="9"/>
      <c r="EZ313" s="9"/>
      <c r="FA313" s="9"/>
      <c r="FB313" s="9"/>
      <c r="FC313" s="9"/>
      <c r="FD313" s="9"/>
      <c r="FE313" s="9"/>
      <c r="FF313" s="9"/>
      <c r="FG313" s="9"/>
      <c r="FH313" s="9"/>
      <c r="FI313" s="9"/>
      <c r="FJ313" s="9"/>
      <c r="FK313" s="9"/>
      <c r="FL313" s="9"/>
      <c r="FM313" s="9"/>
      <c r="FN313" s="9"/>
      <c r="FO313" s="9"/>
      <c r="FP313" s="9"/>
      <c r="FQ313" s="9"/>
      <c r="FR313" s="9"/>
      <c r="FS313" s="9"/>
      <c r="FT313" s="9"/>
      <c r="FU313" s="9"/>
      <c r="FV313" s="9"/>
      <c r="FW313" s="9"/>
      <c r="FX313" s="9"/>
      <c r="FY313" s="9"/>
      <c r="FZ313" s="9"/>
      <c r="GA313" s="9"/>
      <c r="GB313" s="9"/>
      <c r="GC313" s="9"/>
      <c r="GD313" s="9"/>
      <c r="GE313" s="9"/>
      <c r="GF313" s="9"/>
      <c r="GG313" s="9"/>
      <c r="GH313" s="9"/>
      <c r="GI313" s="9"/>
      <c r="GJ313" s="9"/>
      <c r="GK313" s="9"/>
      <c r="GL313" s="9"/>
      <c r="GM313" s="9"/>
      <c r="GN313" s="9"/>
      <c r="GO313" s="9"/>
      <c r="GP313" s="9"/>
      <c r="GQ313" s="9"/>
      <c r="GR313" s="9"/>
      <c r="GS313" s="9"/>
      <c r="GT313" s="9"/>
      <c r="GU313" s="9"/>
      <c r="GV313" s="9"/>
      <c r="GW313" s="9"/>
      <c r="GX313" s="9"/>
      <c r="GY313" s="9"/>
      <c r="GZ313" s="9"/>
      <c r="HA313" s="9"/>
      <c r="HB313" s="9"/>
      <c r="HC313" s="9"/>
      <c r="HD313" s="9"/>
      <c r="HE313" s="9"/>
      <c r="HF313" s="9"/>
      <c r="HG313" s="9"/>
      <c r="HH313" s="9"/>
      <c r="HI313" s="9"/>
      <c r="HJ313" s="9"/>
      <c r="HK313" s="9"/>
      <c r="HW313" s="58" t="s">
        <v>1452</v>
      </c>
      <c r="HX313" s="58"/>
      <c r="HY313" t="s">
        <v>1460</v>
      </c>
      <c r="HZ313" s="12"/>
      <c r="IA313" t="s">
        <v>1472</v>
      </c>
      <c r="IB313" t="s">
        <v>1471</v>
      </c>
      <c r="II313" t="s">
        <v>1452</v>
      </c>
      <c r="IJ313" t="s">
        <v>19</v>
      </c>
      <c r="JK313" t="s">
        <v>1482</v>
      </c>
      <c r="JL313" s="84" t="s">
        <v>15</v>
      </c>
      <c r="JM313" t="s">
        <v>14</v>
      </c>
      <c r="JN313" t="s">
        <v>1483</v>
      </c>
      <c r="JO313" s="4" t="s">
        <v>13</v>
      </c>
      <c r="JP313" t="s">
        <v>1484</v>
      </c>
      <c r="JQ313" s="4"/>
      <c r="KJ313" t="s">
        <v>1450</v>
      </c>
      <c r="KK313" t="s">
        <v>222</v>
      </c>
      <c r="KL313" s="8" t="s">
        <v>1481</v>
      </c>
      <c r="KM313" s="4" t="s">
        <v>220</v>
      </c>
      <c r="KN313">
        <v>1</v>
      </c>
      <c r="MZ313" t="s">
        <v>1522</v>
      </c>
      <c r="NA313">
        <v>27</v>
      </c>
      <c r="NB313" t="s">
        <v>1468</v>
      </c>
      <c r="NC313" t="s">
        <v>250</v>
      </c>
      <c r="NK313" t="s">
        <v>1467</v>
      </c>
      <c r="NM313" s="4" t="s">
        <v>2456</v>
      </c>
      <c r="NN313" t="s">
        <v>13</v>
      </c>
      <c r="NV313" t="s">
        <v>57</v>
      </c>
      <c r="NW313" t="s">
        <v>6</v>
      </c>
      <c r="NY313" s="2" t="s">
        <v>29</v>
      </c>
      <c r="OC313">
        <v>3</v>
      </c>
      <c r="OD313">
        <v>1876</v>
      </c>
      <c r="OE313" s="88" t="s">
        <v>29</v>
      </c>
      <c r="OT313" t="s">
        <v>1479</v>
      </c>
      <c r="OV313">
        <v>1999</v>
      </c>
      <c r="PA313" t="s">
        <v>1169</v>
      </c>
      <c r="PB313" s="58">
        <v>46104</v>
      </c>
    </row>
    <row r="314" spans="1:418" ht="15.75" thickBot="1">
      <c r="A314" t="s">
        <v>248</v>
      </c>
      <c r="B314" t="s">
        <v>1448</v>
      </c>
      <c r="C314" t="s">
        <v>1173</v>
      </c>
      <c r="D314" s="4" t="s">
        <v>1936</v>
      </c>
      <c r="E314" s="90" t="s">
        <v>1485</v>
      </c>
      <c r="F314" s="90" t="s">
        <v>31</v>
      </c>
      <c r="G314" t="s">
        <v>2</v>
      </c>
      <c r="H314" t="s">
        <v>30</v>
      </c>
      <c r="I314">
        <v>12.133333329999999</v>
      </c>
      <c r="J314">
        <v>8.5333333329999999</v>
      </c>
      <c r="K314" t="s">
        <v>29</v>
      </c>
      <c r="AV314" t="s">
        <v>1487</v>
      </c>
      <c r="AW314">
        <v>27</v>
      </c>
      <c r="AX314" t="s">
        <v>29</v>
      </c>
      <c r="AY314">
        <v>1</v>
      </c>
      <c r="AZ314" t="s">
        <v>1486</v>
      </c>
      <c r="BA314">
        <v>1999</v>
      </c>
      <c r="BB314">
        <v>2000</v>
      </c>
      <c r="BD314" t="s">
        <v>19</v>
      </c>
      <c r="BE314" t="s">
        <v>1453</v>
      </c>
      <c r="BF314" t="s">
        <v>299</v>
      </c>
      <c r="BG314" s="3" t="s">
        <v>1233</v>
      </c>
      <c r="BH314" t="s">
        <v>250</v>
      </c>
      <c r="BI314" t="s">
        <v>1461</v>
      </c>
      <c r="BJ314" t="s">
        <v>29</v>
      </c>
      <c r="BK314" t="s">
        <v>29</v>
      </c>
      <c r="EH314" s="9"/>
      <c r="EI314" s="9"/>
      <c r="EJ314" s="9"/>
      <c r="EK314" s="9"/>
      <c r="EL314" s="9"/>
      <c r="EM314" s="9"/>
      <c r="EN314" s="9"/>
      <c r="EO314" s="9"/>
      <c r="EP314" s="9"/>
      <c r="EQ314" s="9"/>
      <c r="ER314" s="9"/>
      <c r="ES314" s="9"/>
      <c r="ET314" s="9"/>
      <c r="EU314" s="9"/>
      <c r="EV314" s="9"/>
      <c r="EW314" s="9"/>
      <c r="EX314" s="9"/>
      <c r="EY314" s="9"/>
      <c r="EZ314" s="9"/>
      <c r="FA314" s="9"/>
      <c r="FB314" s="9"/>
      <c r="FC314" s="9"/>
      <c r="FD314" s="9"/>
      <c r="FE314" s="9"/>
      <c r="FF314" s="9"/>
      <c r="FG314" s="9"/>
      <c r="FH314" s="9"/>
      <c r="FI314" s="9"/>
      <c r="FJ314" s="9"/>
      <c r="FK314" s="9"/>
      <c r="FL314" s="9"/>
      <c r="FM314" s="9"/>
      <c r="FN314" s="9"/>
      <c r="FO314" s="9"/>
      <c r="FP314" s="9"/>
      <c r="FQ314" s="9"/>
      <c r="FR314" s="9"/>
      <c r="FS314" s="9"/>
      <c r="FT314" s="9"/>
      <c r="FU314" s="9"/>
      <c r="FV314" s="9"/>
      <c r="FW314" s="9"/>
      <c r="FX314" s="9"/>
      <c r="FY314" s="9"/>
      <c r="FZ314" s="9"/>
      <c r="GA314" s="9"/>
      <c r="GB314" s="9"/>
      <c r="GC314" s="9"/>
      <c r="GD314" s="9"/>
      <c r="GE314" s="9"/>
      <c r="GF314" s="9"/>
      <c r="GG314" s="9"/>
      <c r="GH314" s="9"/>
      <c r="GI314" s="9"/>
      <c r="GJ314" s="9"/>
      <c r="GK314" s="9"/>
      <c r="GL314" s="9"/>
      <c r="GM314" s="9"/>
      <c r="GN314" s="9"/>
      <c r="GO314" s="9"/>
      <c r="GP314" s="9"/>
      <c r="GQ314" s="9"/>
      <c r="GR314" s="9"/>
      <c r="GS314" s="9"/>
      <c r="GT314" s="9"/>
      <c r="GU314" s="9"/>
      <c r="GV314" s="9"/>
      <c r="GW314" s="9"/>
      <c r="GX314" s="9"/>
      <c r="GY314" s="9"/>
      <c r="GZ314" s="9"/>
      <c r="HA314" s="9"/>
      <c r="HB314" s="9"/>
      <c r="HC314" s="9"/>
      <c r="HD314" s="9"/>
      <c r="HE314" s="9"/>
      <c r="HF314" s="9"/>
      <c r="HG314" s="9"/>
      <c r="HH314" s="9"/>
      <c r="HI314" s="9"/>
      <c r="HJ314" s="9"/>
      <c r="HK314" s="9"/>
      <c r="HW314" s="58" t="s">
        <v>1453</v>
      </c>
      <c r="HX314" s="58"/>
      <c r="HY314" t="s">
        <v>1461</v>
      </c>
      <c r="HZ314" s="12"/>
      <c r="IA314" t="s">
        <v>1472</v>
      </c>
      <c r="IB314" t="s">
        <v>1471</v>
      </c>
      <c r="II314" t="s">
        <v>1453</v>
      </c>
      <c r="IJ314" t="s">
        <v>19</v>
      </c>
      <c r="JK314" t="s">
        <v>1482</v>
      </c>
      <c r="JL314" s="84" t="s">
        <v>15</v>
      </c>
      <c r="JM314" t="s">
        <v>14</v>
      </c>
      <c r="JN314" t="s">
        <v>1483</v>
      </c>
      <c r="JO314" s="4" t="s">
        <v>13</v>
      </c>
      <c r="JP314" t="s">
        <v>1484</v>
      </c>
      <c r="JQ314" s="4"/>
      <c r="KJ314" t="s">
        <v>1450</v>
      </c>
      <c r="KK314" t="s">
        <v>222</v>
      </c>
      <c r="KL314" s="8" t="s">
        <v>1481</v>
      </c>
      <c r="KM314" s="4" t="s">
        <v>220</v>
      </c>
      <c r="KN314">
        <v>1</v>
      </c>
      <c r="MZ314" t="s">
        <v>1522</v>
      </c>
      <c r="NA314">
        <v>27</v>
      </c>
      <c r="NB314" t="s">
        <v>1468</v>
      </c>
      <c r="NC314" t="s">
        <v>250</v>
      </c>
      <c r="NK314" t="s">
        <v>1467</v>
      </c>
      <c r="NM314" s="4" t="s">
        <v>2456</v>
      </c>
      <c r="NN314" t="s">
        <v>13</v>
      </c>
      <c r="NV314" t="s">
        <v>48</v>
      </c>
      <c r="NW314" t="s">
        <v>6</v>
      </c>
      <c r="NY314" s="2" t="s">
        <v>29</v>
      </c>
      <c r="OC314">
        <v>3</v>
      </c>
      <c r="OD314">
        <v>1454</v>
      </c>
      <c r="OE314" s="88" t="s">
        <v>29</v>
      </c>
      <c r="OT314" t="s">
        <v>1479</v>
      </c>
      <c r="OV314">
        <v>1999</v>
      </c>
      <c r="PA314" t="s">
        <v>1169</v>
      </c>
      <c r="PB314" s="58">
        <v>46104</v>
      </c>
    </row>
    <row r="315" spans="1:418" ht="15.75" thickBot="1">
      <c r="A315" t="s">
        <v>248</v>
      </c>
      <c r="B315" t="s">
        <v>1448</v>
      </c>
      <c r="C315" t="s">
        <v>1173</v>
      </c>
      <c r="D315" s="4" t="s">
        <v>1936</v>
      </c>
      <c r="E315" s="90" t="s">
        <v>1485</v>
      </c>
      <c r="F315" s="90" t="s">
        <v>31</v>
      </c>
      <c r="G315" t="s">
        <v>2</v>
      </c>
      <c r="H315" t="s">
        <v>30</v>
      </c>
      <c r="I315">
        <v>12.133333329999999</v>
      </c>
      <c r="J315">
        <v>8.5333333329999999</v>
      </c>
      <c r="K315" t="s">
        <v>29</v>
      </c>
      <c r="AV315" t="s">
        <v>1487</v>
      </c>
      <c r="AW315">
        <v>27</v>
      </c>
      <c r="AX315" t="s">
        <v>29</v>
      </c>
      <c r="AY315">
        <v>1</v>
      </c>
      <c r="AZ315" t="s">
        <v>1486</v>
      </c>
      <c r="BA315">
        <v>1999</v>
      </c>
      <c r="BB315">
        <v>2000</v>
      </c>
      <c r="BD315" t="s">
        <v>19</v>
      </c>
      <c r="BE315" t="s">
        <v>1454</v>
      </c>
      <c r="BF315" t="s">
        <v>256</v>
      </c>
      <c r="BG315" s="3" t="s">
        <v>1233</v>
      </c>
      <c r="BH315" t="s">
        <v>250</v>
      </c>
      <c r="BI315" t="s">
        <v>1462</v>
      </c>
      <c r="BJ315" t="s">
        <v>29</v>
      </c>
      <c r="BK315" t="s">
        <v>29</v>
      </c>
      <c r="EH315" s="9"/>
      <c r="EI315" s="9"/>
      <c r="EJ315" s="9"/>
      <c r="EK315" s="9"/>
      <c r="EL315" s="9"/>
      <c r="EM315" s="9"/>
      <c r="EN315" s="9"/>
      <c r="EO315" s="9"/>
      <c r="EP315" s="9"/>
      <c r="EQ315" s="9"/>
      <c r="ER315" s="9"/>
      <c r="ES315" s="9"/>
      <c r="ET315" s="9"/>
      <c r="EU315" s="9"/>
      <c r="EV315" s="9"/>
      <c r="EW315" s="9"/>
      <c r="EX315" s="9"/>
      <c r="EY315" s="9"/>
      <c r="EZ315" s="9"/>
      <c r="FA315" s="9"/>
      <c r="FB315" s="9"/>
      <c r="FC315" s="9"/>
      <c r="FD315" s="9"/>
      <c r="FE315" s="9"/>
      <c r="FF315" s="9"/>
      <c r="FG315" s="9"/>
      <c r="FH315" s="9"/>
      <c r="FI315" s="9"/>
      <c r="FJ315" s="9"/>
      <c r="FK315" s="9"/>
      <c r="FL315" s="9"/>
      <c r="FM315" s="9"/>
      <c r="FN315" s="9"/>
      <c r="FO315" s="9"/>
      <c r="FP315" s="9"/>
      <c r="FQ315" s="9"/>
      <c r="FR315" s="9"/>
      <c r="FS315" s="9"/>
      <c r="FT315" s="9"/>
      <c r="FU315" s="9"/>
      <c r="FV315" s="9"/>
      <c r="FW315" s="9"/>
      <c r="FX315" s="9"/>
      <c r="FY315" s="9"/>
      <c r="FZ315" s="9"/>
      <c r="GA315" s="9"/>
      <c r="GB315" s="9"/>
      <c r="GC315" s="9"/>
      <c r="GD315" s="9"/>
      <c r="GE315" s="9"/>
      <c r="GF315" s="9"/>
      <c r="GG315" s="9"/>
      <c r="GH315" s="9"/>
      <c r="GI315" s="9"/>
      <c r="GJ315" s="9"/>
      <c r="GK315" s="9"/>
      <c r="GL315" s="9"/>
      <c r="GM315" s="9"/>
      <c r="GN315" s="9"/>
      <c r="GO315" s="9"/>
      <c r="GP315" s="9"/>
      <c r="GQ315" s="9"/>
      <c r="GR315" s="9"/>
      <c r="GS315" s="9"/>
      <c r="GT315" s="9"/>
      <c r="GU315" s="9"/>
      <c r="GV315" s="9"/>
      <c r="GW315" s="9"/>
      <c r="GX315" s="9"/>
      <c r="GY315" s="9"/>
      <c r="GZ315" s="9"/>
      <c r="HA315" s="9"/>
      <c r="HB315" s="9"/>
      <c r="HC315" s="9"/>
      <c r="HD315" s="9"/>
      <c r="HE315" s="9"/>
      <c r="HF315" s="9"/>
      <c r="HG315" s="9"/>
      <c r="HH315" s="9"/>
      <c r="HI315" s="9"/>
      <c r="HJ315" s="9"/>
      <c r="HK315" s="9"/>
      <c r="HW315" s="58" t="s">
        <v>1454</v>
      </c>
      <c r="HX315" s="58"/>
      <c r="HY315" t="s">
        <v>1462</v>
      </c>
      <c r="HZ315" s="12"/>
      <c r="IA315" t="s">
        <v>1472</v>
      </c>
      <c r="IB315" t="s">
        <v>1471</v>
      </c>
      <c r="II315" t="s">
        <v>1454</v>
      </c>
      <c r="IJ315" t="s">
        <v>19</v>
      </c>
      <c r="JK315" t="s">
        <v>1482</v>
      </c>
      <c r="JL315" s="84" t="s">
        <v>15</v>
      </c>
      <c r="JM315" t="s">
        <v>14</v>
      </c>
      <c r="JN315" t="s">
        <v>1483</v>
      </c>
      <c r="JO315" s="4" t="s">
        <v>13</v>
      </c>
      <c r="JP315" t="s">
        <v>1484</v>
      </c>
      <c r="JQ315" s="4"/>
      <c r="KJ315" t="s">
        <v>1450</v>
      </c>
      <c r="KK315" t="s">
        <v>222</v>
      </c>
      <c r="KL315" s="8" t="s">
        <v>1481</v>
      </c>
      <c r="KM315" s="4" t="s">
        <v>220</v>
      </c>
      <c r="KN315">
        <v>1</v>
      </c>
      <c r="MZ315" t="s">
        <v>1522</v>
      </c>
      <c r="NA315">
        <v>27</v>
      </c>
      <c r="NB315" t="s">
        <v>1468</v>
      </c>
      <c r="NC315" t="s">
        <v>250</v>
      </c>
      <c r="NK315" t="s">
        <v>1467</v>
      </c>
      <c r="NM315" s="4" t="s">
        <v>2456</v>
      </c>
      <c r="NN315" t="s">
        <v>13</v>
      </c>
      <c r="NV315" t="s">
        <v>43</v>
      </c>
      <c r="NW315" t="s">
        <v>6</v>
      </c>
      <c r="NY315" s="2" t="s">
        <v>29</v>
      </c>
      <c r="OC315">
        <v>3</v>
      </c>
      <c r="OD315">
        <v>1087</v>
      </c>
      <c r="OE315" s="88" t="s">
        <v>29</v>
      </c>
      <c r="OT315" t="s">
        <v>1479</v>
      </c>
      <c r="OV315">
        <v>1999</v>
      </c>
      <c r="PA315" t="s">
        <v>1169</v>
      </c>
      <c r="PB315" s="58">
        <v>46104</v>
      </c>
    </row>
    <row r="316" spans="1:418" ht="15.75" thickBot="1">
      <c r="A316" t="s">
        <v>248</v>
      </c>
      <c r="B316" t="s">
        <v>1448</v>
      </c>
      <c r="C316" t="s">
        <v>1173</v>
      </c>
      <c r="D316" s="4" t="s">
        <v>1936</v>
      </c>
      <c r="E316" s="90" t="s">
        <v>1485</v>
      </c>
      <c r="F316" s="90" t="s">
        <v>31</v>
      </c>
      <c r="G316" t="s">
        <v>2</v>
      </c>
      <c r="H316" t="s">
        <v>30</v>
      </c>
      <c r="I316">
        <v>12.133333329999999</v>
      </c>
      <c r="J316">
        <v>8.5333333329999999</v>
      </c>
      <c r="K316" t="s">
        <v>29</v>
      </c>
      <c r="AV316" t="s">
        <v>1487</v>
      </c>
      <c r="AW316">
        <v>27</v>
      </c>
      <c r="AX316" t="s">
        <v>29</v>
      </c>
      <c r="AY316">
        <v>1</v>
      </c>
      <c r="AZ316" t="s">
        <v>1486</v>
      </c>
      <c r="BA316">
        <v>1999</v>
      </c>
      <c r="BB316">
        <v>2000</v>
      </c>
      <c r="BD316" t="s">
        <v>19</v>
      </c>
      <c r="BE316" t="s">
        <v>1455</v>
      </c>
      <c r="BF316" t="s">
        <v>1456</v>
      </c>
      <c r="BG316" s="3" t="s">
        <v>1233</v>
      </c>
      <c r="BH316" t="s">
        <v>250</v>
      </c>
      <c r="BI316" t="s">
        <v>1463</v>
      </c>
      <c r="BJ316" t="s">
        <v>29</v>
      </c>
      <c r="BK316" t="s">
        <v>29</v>
      </c>
      <c r="EH316" s="9"/>
      <c r="EI316" s="9"/>
      <c r="EJ316" s="9"/>
      <c r="EK316" s="9"/>
      <c r="EL316" s="9"/>
      <c r="EM316" s="9"/>
      <c r="EN316" s="9"/>
      <c r="EO316" s="9"/>
      <c r="EP316" s="9"/>
      <c r="EQ316" s="9"/>
      <c r="ER316" s="9"/>
      <c r="ES316" s="9"/>
      <c r="ET316" s="9"/>
      <c r="EU316" s="9"/>
      <c r="EV316" s="9"/>
      <c r="EW316" s="9"/>
      <c r="EX316" s="9"/>
      <c r="EY316" s="9"/>
      <c r="EZ316" s="9"/>
      <c r="FA316" s="9"/>
      <c r="FB316" s="9"/>
      <c r="FC316" s="9"/>
      <c r="FD316" s="9"/>
      <c r="FE316" s="9"/>
      <c r="FF316" s="9"/>
      <c r="FG316" s="9"/>
      <c r="FH316" s="9"/>
      <c r="FI316" s="9"/>
      <c r="FJ316" s="9"/>
      <c r="FK316" s="9"/>
      <c r="FL316" s="9"/>
      <c r="FM316" s="9"/>
      <c r="FN316" s="9"/>
      <c r="FO316" s="9"/>
      <c r="FP316" s="9"/>
      <c r="FQ316" s="9"/>
      <c r="FR316" s="9"/>
      <c r="FS316" s="9"/>
      <c r="FT316" s="9"/>
      <c r="FU316" s="9"/>
      <c r="FV316" s="9"/>
      <c r="FW316" s="9"/>
      <c r="FX316" s="9"/>
      <c r="FY316" s="9"/>
      <c r="FZ316" s="9"/>
      <c r="GA316" s="9"/>
      <c r="GB316" s="9"/>
      <c r="GC316" s="9"/>
      <c r="GD316" s="9"/>
      <c r="GE316" s="9"/>
      <c r="GF316" s="9"/>
      <c r="GG316" s="9"/>
      <c r="GH316" s="9"/>
      <c r="GI316" s="9"/>
      <c r="GJ316" s="9"/>
      <c r="GK316" s="9"/>
      <c r="GL316" s="9"/>
      <c r="GM316" s="9"/>
      <c r="GN316" s="9"/>
      <c r="GO316" s="9"/>
      <c r="GP316" s="9"/>
      <c r="GQ316" s="9"/>
      <c r="GR316" s="9"/>
      <c r="GS316" s="9"/>
      <c r="GT316" s="9"/>
      <c r="GU316" s="9"/>
      <c r="GV316" s="9"/>
      <c r="GW316" s="9"/>
      <c r="GX316" s="9"/>
      <c r="GY316" s="9"/>
      <c r="GZ316" s="9"/>
      <c r="HA316" s="9"/>
      <c r="HB316" s="9"/>
      <c r="HC316" s="9"/>
      <c r="HD316" s="9"/>
      <c r="HE316" s="9"/>
      <c r="HF316" s="9"/>
      <c r="HG316" s="9"/>
      <c r="HH316" s="9"/>
      <c r="HI316" s="9"/>
      <c r="HJ316" s="9"/>
      <c r="HK316" s="9"/>
      <c r="HW316" s="58" t="s">
        <v>1455</v>
      </c>
      <c r="HX316" s="58"/>
      <c r="HY316" t="s">
        <v>1463</v>
      </c>
      <c r="HZ316" s="12"/>
      <c r="IA316" t="s">
        <v>1472</v>
      </c>
      <c r="IB316" t="s">
        <v>1471</v>
      </c>
      <c r="II316" t="s">
        <v>1455</v>
      </c>
      <c r="IJ316" t="s">
        <v>19</v>
      </c>
      <c r="JK316" t="s">
        <v>1482</v>
      </c>
      <c r="JL316" s="84" t="s">
        <v>15</v>
      </c>
      <c r="JM316" t="s">
        <v>14</v>
      </c>
      <c r="JN316" t="s">
        <v>1483</v>
      </c>
      <c r="JO316" s="4" t="s">
        <v>13</v>
      </c>
      <c r="JP316" t="s">
        <v>1484</v>
      </c>
      <c r="JQ316" s="4"/>
      <c r="KJ316" t="s">
        <v>1450</v>
      </c>
      <c r="KK316" t="s">
        <v>222</v>
      </c>
      <c r="KL316" s="8" t="s">
        <v>1481</v>
      </c>
      <c r="KM316" s="4" t="s">
        <v>220</v>
      </c>
      <c r="KN316">
        <v>1</v>
      </c>
      <c r="MZ316" t="s">
        <v>1522</v>
      </c>
      <c r="NA316">
        <v>27</v>
      </c>
      <c r="NB316" t="s">
        <v>1468</v>
      </c>
      <c r="NC316" t="s">
        <v>250</v>
      </c>
      <c r="NK316" t="s">
        <v>1467</v>
      </c>
      <c r="NM316" s="4" t="s">
        <v>2456</v>
      </c>
      <c r="NN316" t="s">
        <v>13</v>
      </c>
      <c r="NV316" t="s">
        <v>252</v>
      </c>
      <c r="NW316" t="s">
        <v>6</v>
      </c>
      <c r="NY316" s="2" t="s">
        <v>29</v>
      </c>
      <c r="OC316">
        <v>3</v>
      </c>
      <c r="OD316">
        <v>1069</v>
      </c>
      <c r="OE316" s="88" t="s">
        <v>29</v>
      </c>
      <c r="OT316" t="s">
        <v>1479</v>
      </c>
      <c r="OV316">
        <v>1999</v>
      </c>
      <c r="PA316" t="s">
        <v>1169</v>
      </c>
      <c r="PB316" s="58">
        <v>46104</v>
      </c>
    </row>
    <row r="317" spans="1:418" ht="15.75" thickBot="1">
      <c r="A317" t="s">
        <v>248</v>
      </c>
      <c r="B317" t="s">
        <v>1448</v>
      </c>
      <c r="C317" t="s">
        <v>1173</v>
      </c>
      <c r="D317" s="4" t="s">
        <v>1936</v>
      </c>
      <c r="E317" s="90" t="s">
        <v>1485</v>
      </c>
      <c r="F317" s="90" t="s">
        <v>31</v>
      </c>
      <c r="G317" t="s">
        <v>2</v>
      </c>
      <c r="H317" t="s">
        <v>30</v>
      </c>
      <c r="I317">
        <v>12.133333329999999</v>
      </c>
      <c r="J317">
        <v>8.5333333329999999</v>
      </c>
      <c r="K317" t="s">
        <v>29</v>
      </c>
      <c r="AV317" t="s">
        <v>1487</v>
      </c>
      <c r="AW317">
        <v>27</v>
      </c>
      <c r="AX317" t="s">
        <v>29</v>
      </c>
      <c r="AY317">
        <v>1</v>
      </c>
      <c r="AZ317" t="s">
        <v>1486</v>
      </c>
      <c r="BA317">
        <v>1999</v>
      </c>
      <c r="BB317">
        <v>2000</v>
      </c>
      <c r="BD317" t="s">
        <v>19</v>
      </c>
      <c r="BE317" t="s">
        <v>1457</v>
      </c>
      <c r="BF317" t="s">
        <v>1458</v>
      </c>
      <c r="BG317" s="3" t="s">
        <v>1233</v>
      </c>
      <c r="BH317" t="s">
        <v>250</v>
      </c>
      <c r="BI317" t="s">
        <v>1464</v>
      </c>
      <c r="BJ317" t="s">
        <v>29</v>
      </c>
      <c r="BK317" t="s">
        <v>29</v>
      </c>
      <c r="EH317" s="9"/>
      <c r="EI317" s="9"/>
      <c r="EJ317" s="9"/>
      <c r="EK317" s="9"/>
      <c r="EL317" s="9"/>
      <c r="EM317" s="9"/>
      <c r="EN317" s="9"/>
      <c r="EO317" s="9"/>
      <c r="EP317" s="9"/>
      <c r="EQ317" s="9"/>
      <c r="ER317" s="9"/>
      <c r="ES317" s="9"/>
      <c r="ET317" s="9"/>
      <c r="EU317" s="9"/>
      <c r="EV317" s="9"/>
      <c r="EW317" s="9"/>
      <c r="EX317" s="9"/>
      <c r="EY317" s="9"/>
      <c r="EZ317" s="9"/>
      <c r="FA317" s="9"/>
      <c r="FB317" s="9"/>
      <c r="FC317" s="9"/>
      <c r="FD317" s="9"/>
      <c r="FE317" s="9"/>
      <c r="FF317" s="9"/>
      <c r="FG317" s="9"/>
      <c r="FH317" s="9"/>
      <c r="FI317" s="9"/>
      <c r="FJ317" s="9"/>
      <c r="FK317" s="9"/>
      <c r="FL317" s="9"/>
      <c r="FM317" s="9"/>
      <c r="FN317" s="9"/>
      <c r="FO317" s="9"/>
      <c r="FP317" s="9"/>
      <c r="FQ317" s="9"/>
      <c r="FR317" s="9"/>
      <c r="FS317" s="9"/>
      <c r="FT317" s="9"/>
      <c r="FU317" s="9"/>
      <c r="FV317" s="9"/>
      <c r="FW317" s="9"/>
      <c r="FX317" s="9"/>
      <c r="FY317" s="9"/>
      <c r="FZ317" s="9"/>
      <c r="GA317" s="9"/>
      <c r="GB317" s="9"/>
      <c r="GC317" s="9"/>
      <c r="GD317" s="9"/>
      <c r="GE317" s="9"/>
      <c r="GF317" s="9"/>
      <c r="GG317" s="9"/>
      <c r="GH317" s="9"/>
      <c r="GI317" s="9"/>
      <c r="GJ317" s="9"/>
      <c r="GK317" s="9"/>
      <c r="GL317" s="9"/>
      <c r="GM317" s="9"/>
      <c r="GN317" s="9"/>
      <c r="GO317" s="9"/>
      <c r="GP317" s="9"/>
      <c r="GQ317" s="9"/>
      <c r="GR317" s="9"/>
      <c r="GS317" s="9"/>
      <c r="GT317" s="9"/>
      <c r="GU317" s="9"/>
      <c r="GV317" s="9"/>
      <c r="GW317" s="9"/>
      <c r="GX317" s="9"/>
      <c r="GY317" s="9"/>
      <c r="GZ317" s="9"/>
      <c r="HA317" s="9"/>
      <c r="HB317" s="9"/>
      <c r="HC317" s="9"/>
      <c r="HD317" s="9"/>
      <c r="HE317" s="9"/>
      <c r="HF317" s="9"/>
      <c r="HG317" s="9"/>
      <c r="HH317" s="9"/>
      <c r="HI317" s="9"/>
      <c r="HJ317" s="9"/>
      <c r="HK317" s="9"/>
      <c r="HW317" s="58" t="s">
        <v>1457</v>
      </c>
      <c r="HX317" s="58"/>
      <c r="HY317" t="s">
        <v>1464</v>
      </c>
      <c r="HZ317" s="12"/>
      <c r="IA317" t="s">
        <v>1472</v>
      </c>
      <c r="IB317" t="s">
        <v>1471</v>
      </c>
      <c r="II317" t="s">
        <v>1457</v>
      </c>
      <c r="IJ317" t="s">
        <v>19</v>
      </c>
      <c r="JK317" t="s">
        <v>1482</v>
      </c>
      <c r="JL317" s="84" t="s">
        <v>15</v>
      </c>
      <c r="JM317" t="s">
        <v>14</v>
      </c>
      <c r="JN317" t="s">
        <v>1483</v>
      </c>
      <c r="JO317" s="4" t="s">
        <v>13</v>
      </c>
      <c r="JP317" t="s">
        <v>1484</v>
      </c>
      <c r="JQ317" s="4"/>
      <c r="KJ317" t="s">
        <v>1450</v>
      </c>
      <c r="KK317" t="s">
        <v>222</v>
      </c>
      <c r="KL317" s="8" t="s">
        <v>1481</v>
      </c>
      <c r="KM317" s="4" t="s">
        <v>220</v>
      </c>
      <c r="KN317">
        <v>1</v>
      </c>
      <c r="MZ317" t="s">
        <v>1522</v>
      </c>
      <c r="NA317">
        <v>27</v>
      </c>
      <c r="NB317" t="s">
        <v>1468</v>
      </c>
      <c r="NC317" t="s">
        <v>250</v>
      </c>
      <c r="NK317" t="s">
        <v>1467</v>
      </c>
      <c r="NM317" s="4" t="s">
        <v>2456</v>
      </c>
      <c r="NN317" t="s">
        <v>13</v>
      </c>
      <c r="NV317" t="s">
        <v>236</v>
      </c>
      <c r="NW317" t="s">
        <v>6</v>
      </c>
      <c r="NY317" s="2" t="s">
        <v>29</v>
      </c>
      <c r="OC317">
        <v>3</v>
      </c>
      <c r="OD317">
        <v>920</v>
      </c>
      <c r="OE317" s="88" t="s">
        <v>29</v>
      </c>
      <c r="OT317" t="s">
        <v>1479</v>
      </c>
      <c r="OV317">
        <v>1999</v>
      </c>
      <c r="PA317" t="s">
        <v>1169</v>
      </c>
      <c r="PB317" s="58">
        <v>46104</v>
      </c>
    </row>
    <row r="318" spans="1:418" ht="15.75" thickBot="1">
      <c r="A318" t="s">
        <v>248</v>
      </c>
      <c r="B318" t="s">
        <v>1448</v>
      </c>
      <c r="C318" t="s">
        <v>1173</v>
      </c>
      <c r="D318" s="4" t="s">
        <v>1936</v>
      </c>
      <c r="E318" s="90" t="s">
        <v>1485</v>
      </c>
      <c r="F318" s="90" t="s">
        <v>31</v>
      </c>
      <c r="G318" t="s">
        <v>2</v>
      </c>
      <c r="H318" t="s">
        <v>30</v>
      </c>
      <c r="I318">
        <v>12.133333329999999</v>
      </c>
      <c r="J318">
        <v>8.5333333329999999</v>
      </c>
      <c r="K318" t="s">
        <v>29</v>
      </c>
      <c r="AV318" t="s">
        <v>1487</v>
      </c>
      <c r="AW318">
        <v>46.5</v>
      </c>
      <c r="AX318" t="s">
        <v>29</v>
      </c>
      <c r="AY318">
        <v>1</v>
      </c>
      <c r="AZ318" t="s">
        <v>1486</v>
      </c>
      <c r="BA318">
        <v>1999</v>
      </c>
      <c r="BB318">
        <v>2000</v>
      </c>
      <c r="BD318" t="s">
        <v>238</v>
      </c>
      <c r="BE318" t="s">
        <v>1473</v>
      </c>
      <c r="BF318" t="s">
        <v>64</v>
      </c>
      <c r="BG318" s="3" t="s">
        <v>1233</v>
      </c>
      <c r="BH318" t="s">
        <v>250</v>
      </c>
      <c r="BI318" t="s">
        <v>1465</v>
      </c>
      <c r="BJ318" t="s">
        <v>29</v>
      </c>
      <c r="BK318" t="s">
        <v>29</v>
      </c>
      <c r="BL318" t="s">
        <v>56</v>
      </c>
      <c r="BM318" t="s">
        <v>1459</v>
      </c>
      <c r="BN318" t="s">
        <v>29</v>
      </c>
      <c r="BO318" t="s">
        <v>29</v>
      </c>
      <c r="BP318" t="s">
        <v>29</v>
      </c>
      <c r="EH318" s="9"/>
      <c r="EI318" s="9"/>
      <c r="EJ318" s="9"/>
      <c r="EK318" s="9"/>
      <c r="EL318" s="9"/>
      <c r="EM318" s="9"/>
      <c r="EN318" s="9"/>
      <c r="EO318" s="9"/>
      <c r="EP318" s="9"/>
      <c r="EQ318" s="9"/>
      <c r="ER318" s="9"/>
      <c r="ES318" s="9"/>
      <c r="ET318" s="9"/>
      <c r="EU318" s="9"/>
      <c r="EV318" s="9"/>
      <c r="EW318" s="9"/>
      <c r="EX318" s="9"/>
      <c r="EY318" s="9"/>
      <c r="EZ318" s="9"/>
      <c r="FA318" s="9"/>
      <c r="FB318" s="9"/>
      <c r="FC318" s="9"/>
      <c r="FD318" s="9"/>
      <c r="FE318" s="9"/>
      <c r="FF318" s="9"/>
      <c r="FG318" s="9"/>
      <c r="FH318" s="9"/>
      <c r="FI318" s="9"/>
      <c r="FJ318" s="9"/>
      <c r="FK318" s="9"/>
      <c r="FL318" s="9"/>
      <c r="FM318" s="9"/>
      <c r="FN318" s="9"/>
      <c r="FO318" s="9"/>
      <c r="FP318" s="9"/>
      <c r="FQ318" s="9"/>
      <c r="FR318" s="9"/>
      <c r="FS318" s="9"/>
      <c r="FT318" s="9"/>
      <c r="FU318" s="9"/>
      <c r="FV318" s="9"/>
      <c r="FW318" s="9"/>
      <c r="FX318" s="9"/>
      <c r="FY318" s="9"/>
      <c r="FZ318" s="9"/>
      <c r="GA318" s="9"/>
      <c r="GB318" s="9"/>
      <c r="GC318" s="9"/>
      <c r="GD318" s="9"/>
      <c r="GE318" s="9"/>
      <c r="GF318" s="9"/>
      <c r="GG318" s="9"/>
      <c r="GH318" s="9"/>
      <c r="GI318" s="9"/>
      <c r="GJ318" s="9"/>
      <c r="GK318" s="9"/>
      <c r="GL318" s="9"/>
      <c r="GM318" s="9"/>
      <c r="GN318" s="9"/>
      <c r="GO318" s="9"/>
      <c r="GP318" s="9"/>
      <c r="GQ318" s="9"/>
      <c r="GR318" s="9"/>
      <c r="GS318" s="9"/>
      <c r="GT318" s="9"/>
      <c r="GU318" s="9"/>
      <c r="GV318" s="9"/>
      <c r="GW318" s="9"/>
      <c r="GX318" s="9"/>
      <c r="GY318" s="9"/>
      <c r="GZ318" s="9"/>
      <c r="HA318" s="9"/>
      <c r="HB318" s="9"/>
      <c r="HC318" s="9"/>
      <c r="HD318" s="9"/>
      <c r="HE318" s="9"/>
      <c r="HF318" s="9"/>
      <c r="HG318" s="9"/>
      <c r="HH318" s="9"/>
      <c r="HI318" s="9"/>
      <c r="HJ318" s="9"/>
      <c r="HK318" s="9"/>
      <c r="HW318" s="58" t="s">
        <v>1449</v>
      </c>
      <c r="HX318" s="58"/>
      <c r="HY318" t="s">
        <v>1465</v>
      </c>
      <c r="HZ318" s="12"/>
      <c r="IA318" s="4" t="s">
        <v>1469</v>
      </c>
      <c r="IB318" t="s">
        <v>1470</v>
      </c>
      <c r="II318" t="s">
        <v>1473</v>
      </c>
      <c r="IJ318" t="s">
        <v>1190</v>
      </c>
      <c r="IK318" t="s">
        <v>1466</v>
      </c>
      <c r="IL318" t="s">
        <v>661</v>
      </c>
      <c r="IM318" s="88">
        <v>1999</v>
      </c>
      <c r="IN318" s="88" t="s">
        <v>29</v>
      </c>
      <c r="IO318" s="87" t="s">
        <v>29</v>
      </c>
      <c r="JK318" t="s">
        <v>1482</v>
      </c>
      <c r="JL318" s="84" t="s">
        <v>15</v>
      </c>
      <c r="JM318" t="s">
        <v>14</v>
      </c>
      <c r="JN318" t="s">
        <v>1483</v>
      </c>
      <c r="JO318" s="4" t="s">
        <v>13</v>
      </c>
      <c r="JP318" t="s">
        <v>1484</v>
      </c>
      <c r="JQ318" s="4"/>
      <c r="KJ318" t="s">
        <v>1450</v>
      </c>
      <c r="KK318" t="s">
        <v>222</v>
      </c>
      <c r="KL318" s="8" t="s">
        <v>1481</v>
      </c>
      <c r="KM318" s="4" t="s">
        <v>220</v>
      </c>
      <c r="KN318">
        <v>1</v>
      </c>
      <c r="MZ318" t="s">
        <v>1522</v>
      </c>
      <c r="NA318">
        <v>46.5</v>
      </c>
      <c r="NB318" t="s">
        <v>1468</v>
      </c>
      <c r="NC318" t="s">
        <v>250</v>
      </c>
      <c r="ND318" t="s">
        <v>1459</v>
      </c>
      <c r="NK318" t="s">
        <v>1488</v>
      </c>
      <c r="NM318" s="4" t="s">
        <v>2456</v>
      </c>
      <c r="NN318" t="s">
        <v>13</v>
      </c>
      <c r="NW318" t="s">
        <v>6</v>
      </c>
      <c r="NY318" s="2" t="s">
        <v>29</v>
      </c>
      <c r="OC318">
        <v>3</v>
      </c>
      <c r="OD318">
        <v>367</v>
      </c>
      <c r="OE318" s="88" t="s">
        <v>29</v>
      </c>
      <c r="OF318" s="88" t="s">
        <v>29</v>
      </c>
      <c r="OG318" s="88" t="s">
        <v>29</v>
      </c>
      <c r="ON318">
        <v>0.18</v>
      </c>
      <c r="OO318" s="2" t="s">
        <v>29</v>
      </c>
      <c r="OP318">
        <v>0.84</v>
      </c>
      <c r="OQ318" s="2" t="s">
        <v>29</v>
      </c>
      <c r="OR318">
        <v>1.03</v>
      </c>
      <c r="OS318" s="2" t="s">
        <v>29</v>
      </c>
      <c r="OT318" t="s">
        <v>1480</v>
      </c>
      <c r="OV318">
        <v>1999</v>
      </c>
      <c r="PA318" t="s">
        <v>1169</v>
      </c>
      <c r="PB318" s="58">
        <v>46104</v>
      </c>
    </row>
    <row r="319" spans="1:418" ht="15.75" thickBot="1">
      <c r="A319" t="s">
        <v>248</v>
      </c>
      <c r="B319" t="s">
        <v>1448</v>
      </c>
      <c r="C319" t="s">
        <v>1173</v>
      </c>
      <c r="D319" s="4" t="s">
        <v>1936</v>
      </c>
      <c r="E319" s="90" t="s">
        <v>1485</v>
      </c>
      <c r="F319" s="90" t="s">
        <v>31</v>
      </c>
      <c r="G319" t="s">
        <v>2</v>
      </c>
      <c r="H319" t="s">
        <v>30</v>
      </c>
      <c r="I319">
        <v>12.133333329999999</v>
      </c>
      <c r="J319">
        <v>8.5333333329999999</v>
      </c>
      <c r="K319" t="s">
        <v>29</v>
      </c>
      <c r="AV319" t="s">
        <v>1487</v>
      </c>
      <c r="AW319">
        <v>46.5</v>
      </c>
      <c r="AX319" t="s">
        <v>29</v>
      </c>
      <c r="AY319">
        <v>1</v>
      </c>
      <c r="AZ319" t="s">
        <v>1486</v>
      </c>
      <c r="BA319">
        <v>1999</v>
      </c>
      <c r="BB319">
        <v>2000</v>
      </c>
      <c r="BD319" t="s">
        <v>238</v>
      </c>
      <c r="BE319" t="s">
        <v>1474</v>
      </c>
      <c r="BF319" t="s">
        <v>57</v>
      </c>
      <c r="BG319" s="3" t="s">
        <v>1233</v>
      </c>
      <c r="BH319" t="s">
        <v>250</v>
      </c>
      <c r="BI319" t="s">
        <v>1460</v>
      </c>
      <c r="BJ319" t="s">
        <v>29</v>
      </c>
      <c r="BK319" t="s">
        <v>29</v>
      </c>
      <c r="BL319" t="s">
        <v>56</v>
      </c>
      <c r="BM319" t="s">
        <v>1459</v>
      </c>
      <c r="BN319" t="s">
        <v>29</v>
      </c>
      <c r="BO319" t="s">
        <v>29</v>
      </c>
      <c r="BP319" t="s">
        <v>29</v>
      </c>
      <c r="EH319" s="9"/>
      <c r="EI319" s="9"/>
      <c r="EJ319" s="9"/>
      <c r="EK319" s="9"/>
      <c r="EL319" s="9"/>
      <c r="EM319" s="9"/>
      <c r="EN319" s="9"/>
      <c r="EO319" s="9"/>
      <c r="EP319" s="9"/>
      <c r="EQ319" s="9"/>
      <c r="ER319" s="9"/>
      <c r="ES319" s="9"/>
      <c r="ET319" s="9"/>
      <c r="EU319" s="9"/>
      <c r="EV319" s="9"/>
      <c r="EW319" s="9"/>
      <c r="EX319" s="9"/>
      <c r="EY319" s="9"/>
      <c r="EZ319" s="9"/>
      <c r="FA319" s="9"/>
      <c r="FB319" s="9"/>
      <c r="FC319" s="9"/>
      <c r="FD319" s="9"/>
      <c r="FE319" s="9"/>
      <c r="FF319" s="9"/>
      <c r="FG319" s="9"/>
      <c r="FH319" s="9"/>
      <c r="FI319" s="9"/>
      <c r="FJ319" s="9"/>
      <c r="FK319" s="9"/>
      <c r="FL319" s="9"/>
      <c r="FM319" s="9"/>
      <c r="FN319" s="9"/>
      <c r="FO319" s="9"/>
      <c r="FP319" s="9"/>
      <c r="FQ319" s="9"/>
      <c r="FR319" s="9"/>
      <c r="FS319" s="9"/>
      <c r="FT319" s="9"/>
      <c r="FU319" s="9"/>
      <c r="FV319" s="9"/>
      <c r="FW319" s="9"/>
      <c r="FX319" s="9"/>
      <c r="FY319" s="9"/>
      <c r="FZ319" s="9"/>
      <c r="GA319" s="9"/>
      <c r="GB319" s="9"/>
      <c r="GC319" s="9"/>
      <c r="GD319" s="9"/>
      <c r="GE319" s="9"/>
      <c r="GF319" s="9"/>
      <c r="GG319" s="9"/>
      <c r="GH319" s="9"/>
      <c r="GI319" s="9"/>
      <c r="GJ319" s="9"/>
      <c r="GK319" s="9"/>
      <c r="GL319" s="9"/>
      <c r="GM319" s="9"/>
      <c r="GN319" s="9"/>
      <c r="GO319" s="9"/>
      <c r="GP319" s="9"/>
      <c r="GQ319" s="9"/>
      <c r="GR319" s="9"/>
      <c r="GS319" s="9"/>
      <c r="GT319" s="9"/>
      <c r="GU319" s="9"/>
      <c r="GV319" s="9"/>
      <c r="GW319" s="9"/>
      <c r="GX319" s="9"/>
      <c r="GY319" s="9"/>
      <c r="GZ319" s="9"/>
      <c r="HA319" s="9"/>
      <c r="HB319" s="9"/>
      <c r="HC319" s="9"/>
      <c r="HD319" s="9"/>
      <c r="HE319" s="9"/>
      <c r="HF319" s="9"/>
      <c r="HG319" s="9"/>
      <c r="HH319" s="9"/>
      <c r="HI319" s="9"/>
      <c r="HJ319" s="9"/>
      <c r="HK319" s="9"/>
      <c r="HW319" s="58" t="s">
        <v>1452</v>
      </c>
      <c r="HX319" s="58"/>
      <c r="HY319" t="s">
        <v>1460</v>
      </c>
      <c r="HZ319" s="12"/>
      <c r="IA319" t="s">
        <v>1472</v>
      </c>
      <c r="IB319" t="s">
        <v>1471</v>
      </c>
      <c r="II319" t="s">
        <v>1474</v>
      </c>
      <c r="IJ319" t="s">
        <v>1190</v>
      </c>
      <c r="IK319" t="s">
        <v>1466</v>
      </c>
      <c r="IL319" t="s">
        <v>661</v>
      </c>
      <c r="IM319" s="88">
        <v>1999</v>
      </c>
      <c r="IN319" s="87" t="s">
        <v>29</v>
      </c>
      <c r="IO319" s="87" t="s">
        <v>29</v>
      </c>
      <c r="JK319" t="s">
        <v>1482</v>
      </c>
      <c r="JL319" s="84" t="s">
        <v>15</v>
      </c>
      <c r="JM319" t="s">
        <v>14</v>
      </c>
      <c r="JN319" t="s">
        <v>1483</v>
      </c>
      <c r="JO319" s="4" t="s">
        <v>13</v>
      </c>
      <c r="JP319" t="s">
        <v>1484</v>
      </c>
      <c r="JQ319" s="4"/>
      <c r="KJ319" t="s">
        <v>1450</v>
      </c>
      <c r="KK319" t="s">
        <v>222</v>
      </c>
      <c r="KL319" s="8" t="s">
        <v>1481</v>
      </c>
      <c r="KM319" s="4" t="s">
        <v>220</v>
      </c>
      <c r="KN319">
        <v>1</v>
      </c>
      <c r="MZ319" t="s">
        <v>1522</v>
      </c>
      <c r="NA319">
        <v>46.5</v>
      </c>
      <c r="NB319" t="s">
        <v>1468</v>
      </c>
      <c r="NC319" t="s">
        <v>250</v>
      </c>
      <c r="ND319" t="s">
        <v>1459</v>
      </c>
      <c r="NK319" t="s">
        <v>1488</v>
      </c>
      <c r="NM319" s="4" t="s">
        <v>2456</v>
      </c>
      <c r="NN319" t="s">
        <v>13</v>
      </c>
      <c r="NW319" t="s">
        <v>6</v>
      </c>
      <c r="NY319" s="2" t="s">
        <v>29</v>
      </c>
      <c r="OC319">
        <v>3</v>
      </c>
      <c r="OD319">
        <v>702</v>
      </c>
      <c r="OE319" s="88" t="s">
        <v>29</v>
      </c>
      <c r="OF319" s="88" t="s">
        <v>29</v>
      </c>
      <c r="OG319" s="88" t="s">
        <v>29</v>
      </c>
      <c r="ON319">
        <v>0.35</v>
      </c>
      <c r="OO319" s="2" t="s">
        <v>29</v>
      </c>
      <c r="OP319">
        <v>0.81</v>
      </c>
      <c r="OQ319" s="2" t="s">
        <v>29</v>
      </c>
      <c r="OR319">
        <v>1.1599999999999999</v>
      </c>
      <c r="OS319" s="2" t="s">
        <v>29</v>
      </c>
      <c r="OT319" t="s">
        <v>1480</v>
      </c>
      <c r="OV319">
        <v>1999</v>
      </c>
      <c r="PA319" t="s">
        <v>1169</v>
      </c>
      <c r="PB319" s="58">
        <v>46104</v>
      </c>
    </row>
    <row r="320" spans="1:418" ht="15.75" thickBot="1">
      <c r="A320" t="s">
        <v>248</v>
      </c>
      <c r="B320" t="s">
        <v>1448</v>
      </c>
      <c r="C320" t="s">
        <v>1173</v>
      </c>
      <c r="D320" s="4" t="s">
        <v>1936</v>
      </c>
      <c r="E320" s="90" t="s">
        <v>1485</v>
      </c>
      <c r="F320" s="90" t="s">
        <v>31</v>
      </c>
      <c r="G320" t="s">
        <v>2</v>
      </c>
      <c r="H320" t="s">
        <v>30</v>
      </c>
      <c r="I320">
        <v>12.133333329999999</v>
      </c>
      <c r="J320">
        <v>8.5333333329999999</v>
      </c>
      <c r="K320" t="s">
        <v>29</v>
      </c>
      <c r="AV320" t="s">
        <v>1487</v>
      </c>
      <c r="AW320">
        <v>46.5</v>
      </c>
      <c r="AX320" t="s">
        <v>29</v>
      </c>
      <c r="AY320">
        <v>1</v>
      </c>
      <c r="AZ320" t="s">
        <v>1486</v>
      </c>
      <c r="BA320">
        <v>1999</v>
      </c>
      <c r="BB320">
        <v>2000</v>
      </c>
      <c r="BD320" t="s">
        <v>238</v>
      </c>
      <c r="BE320" t="s">
        <v>1475</v>
      </c>
      <c r="BF320" t="s">
        <v>48</v>
      </c>
      <c r="BG320" s="3" t="s">
        <v>1233</v>
      </c>
      <c r="BH320" t="s">
        <v>250</v>
      </c>
      <c r="BI320" t="s">
        <v>1461</v>
      </c>
      <c r="BJ320" t="s">
        <v>29</v>
      </c>
      <c r="BK320" t="s">
        <v>29</v>
      </c>
      <c r="BL320" t="s">
        <v>56</v>
      </c>
      <c r="BM320" t="s">
        <v>1459</v>
      </c>
      <c r="BN320" t="s">
        <v>29</v>
      </c>
      <c r="BO320" t="s">
        <v>29</v>
      </c>
      <c r="BP320" t="s">
        <v>29</v>
      </c>
      <c r="EH320" s="9"/>
      <c r="EI320" s="9"/>
      <c r="EJ320" s="9"/>
      <c r="EK320" s="9"/>
      <c r="EL320" s="9"/>
      <c r="EM320" s="9"/>
      <c r="EN320" s="9"/>
      <c r="EO320" s="9"/>
      <c r="EP320" s="9"/>
      <c r="EQ320" s="9"/>
      <c r="ER320" s="9"/>
      <c r="ES320" s="9"/>
      <c r="ET320" s="9"/>
      <c r="EU320" s="9"/>
      <c r="EV320" s="9"/>
      <c r="EW320" s="9"/>
      <c r="EX320" s="9"/>
      <c r="EY320" s="9"/>
      <c r="EZ320" s="9"/>
      <c r="FA320" s="9"/>
      <c r="FB320" s="9"/>
      <c r="FC320" s="9"/>
      <c r="FD320" s="9"/>
      <c r="FE320" s="9"/>
      <c r="FF320" s="9"/>
      <c r="FG320" s="9"/>
      <c r="FH320" s="9"/>
      <c r="FI320" s="9"/>
      <c r="FJ320" s="9"/>
      <c r="FK320" s="9"/>
      <c r="FL320" s="9"/>
      <c r="FM320" s="9"/>
      <c r="FN320" s="9"/>
      <c r="FO320" s="9"/>
      <c r="FP320" s="9"/>
      <c r="FQ320" s="9"/>
      <c r="FR320" s="9"/>
      <c r="FS320" s="9"/>
      <c r="FT320" s="9"/>
      <c r="FU320" s="9"/>
      <c r="FV320" s="9"/>
      <c r="FW320" s="9"/>
      <c r="FX320" s="9"/>
      <c r="FY320" s="9"/>
      <c r="FZ320" s="9"/>
      <c r="GA320" s="9"/>
      <c r="GB320" s="9"/>
      <c r="GC320" s="9"/>
      <c r="GD320" s="9"/>
      <c r="GE320" s="9"/>
      <c r="GF320" s="9"/>
      <c r="GG320" s="9"/>
      <c r="GH320" s="9"/>
      <c r="GI320" s="9"/>
      <c r="GJ320" s="9"/>
      <c r="GK320" s="9"/>
      <c r="GL320" s="9"/>
      <c r="GM320" s="9"/>
      <c r="GN320" s="9"/>
      <c r="GO320" s="9"/>
      <c r="GP320" s="9"/>
      <c r="GQ320" s="9"/>
      <c r="GR320" s="9"/>
      <c r="GS320" s="9"/>
      <c r="GT320" s="9"/>
      <c r="GU320" s="9"/>
      <c r="GV320" s="9"/>
      <c r="GW320" s="9"/>
      <c r="GX320" s="9"/>
      <c r="GY320" s="9"/>
      <c r="GZ320" s="9"/>
      <c r="HA320" s="9"/>
      <c r="HB320" s="9"/>
      <c r="HC320" s="9"/>
      <c r="HD320" s="9"/>
      <c r="HE320" s="9"/>
      <c r="HF320" s="9"/>
      <c r="HG320" s="9"/>
      <c r="HH320" s="9"/>
      <c r="HI320" s="9"/>
      <c r="HJ320" s="9"/>
      <c r="HK320" s="9"/>
      <c r="HW320" s="58" t="s">
        <v>1453</v>
      </c>
      <c r="HX320" s="58"/>
      <c r="HY320" t="s">
        <v>1461</v>
      </c>
      <c r="HZ320" s="12"/>
      <c r="IA320" t="s">
        <v>1472</v>
      </c>
      <c r="IB320" t="s">
        <v>1471</v>
      </c>
      <c r="II320" t="s">
        <v>1475</v>
      </c>
      <c r="IJ320" t="s">
        <v>1190</v>
      </c>
      <c r="IK320" t="s">
        <v>1466</v>
      </c>
      <c r="IL320" t="s">
        <v>661</v>
      </c>
      <c r="IM320" s="88">
        <v>1999</v>
      </c>
      <c r="IN320" s="88" t="s">
        <v>29</v>
      </c>
      <c r="IO320" s="87" t="s">
        <v>29</v>
      </c>
      <c r="JK320" t="s">
        <v>1482</v>
      </c>
      <c r="JL320" s="84" t="s">
        <v>15</v>
      </c>
      <c r="JM320" t="s">
        <v>14</v>
      </c>
      <c r="JN320" t="s">
        <v>1483</v>
      </c>
      <c r="JO320" s="4" t="s">
        <v>13</v>
      </c>
      <c r="JP320" t="s">
        <v>1484</v>
      </c>
      <c r="JQ320" s="4"/>
      <c r="KJ320" t="s">
        <v>1450</v>
      </c>
      <c r="KK320" t="s">
        <v>222</v>
      </c>
      <c r="KL320" s="8" t="s">
        <v>1481</v>
      </c>
      <c r="KM320" s="4" t="s">
        <v>220</v>
      </c>
      <c r="KN320">
        <v>1</v>
      </c>
      <c r="MZ320" t="s">
        <v>1522</v>
      </c>
      <c r="NA320">
        <v>46.5</v>
      </c>
      <c r="NB320" t="s">
        <v>1468</v>
      </c>
      <c r="NC320" t="s">
        <v>250</v>
      </c>
      <c r="ND320" t="s">
        <v>1459</v>
      </c>
      <c r="NK320" t="s">
        <v>1488</v>
      </c>
      <c r="NM320" s="4" t="s">
        <v>2456</v>
      </c>
      <c r="NN320" t="s">
        <v>13</v>
      </c>
      <c r="NW320" t="s">
        <v>6</v>
      </c>
      <c r="NY320" s="2" t="s">
        <v>29</v>
      </c>
      <c r="OC320">
        <v>3</v>
      </c>
      <c r="OD320">
        <v>616</v>
      </c>
      <c r="OE320" s="88" t="s">
        <v>29</v>
      </c>
      <c r="OF320" s="88" t="s">
        <v>29</v>
      </c>
      <c r="OG320" s="88" t="s">
        <v>29</v>
      </c>
      <c r="ON320">
        <v>0.31</v>
      </c>
      <c r="OO320" s="2" t="s">
        <v>29</v>
      </c>
      <c r="OP320">
        <v>0.82</v>
      </c>
      <c r="OQ320" s="2" t="s">
        <v>29</v>
      </c>
      <c r="OR320">
        <v>1.1200000000000001</v>
      </c>
      <c r="OS320" s="2" t="s">
        <v>29</v>
      </c>
      <c r="OT320" t="s">
        <v>1480</v>
      </c>
      <c r="OV320">
        <v>1999</v>
      </c>
      <c r="PA320" t="s">
        <v>1169</v>
      </c>
      <c r="PB320" s="58">
        <v>46104</v>
      </c>
    </row>
    <row r="321" spans="1:418" ht="15.75" thickBot="1">
      <c r="A321" t="s">
        <v>248</v>
      </c>
      <c r="B321" t="s">
        <v>1448</v>
      </c>
      <c r="C321" t="s">
        <v>1173</v>
      </c>
      <c r="D321" s="4" t="s">
        <v>1936</v>
      </c>
      <c r="E321" s="90" t="s">
        <v>1485</v>
      </c>
      <c r="F321" s="90" t="s">
        <v>31</v>
      </c>
      <c r="G321" t="s">
        <v>2</v>
      </c>
      <c r="H321" t="s">
        <v>30</v>
      </c>
      <c r="I321">
        <v>12.133333329999999</v>
      </c>
      <c r="J321">
        <v>8.5333333329999999</v>
      </c>
      <c r="K321" t="s">
        <v>29</v>
      </c>
      <c r="AV321" t="s">
        <v>1487</v>
      </c>
      <c r="AW321">
        <v>46.5</v>
      </c>
      <c r="AX321" t="s">
        <v>29</v>
      </c>
      <c r="AY321">
        <v>1</v>
      </c>
      <c r="AZ321" t="s">
        <v>1486</v>
      </c>
      <c r="BA321">
        <v>1999</v>
      </c>
      <c r="BB321">
        <v>2000</v>
      </c>
      <c r="BD321" t="s">
        <v>238</v>
      </c>
      <c r="BE321" t="s">
        <v>1476</v>
      </c>
      <c r="BF321" t="s">
        <v>43</v>
      </c>
      <c r="BG321" s="3" t="s">
        <v>1233</v>
      </c>
      <c r="BH321" t="s">
        <v>250</v>
      </c>
      <c r="BI321" t="s">
        <v>1462</v>
      </c>
      <c r="BJ321" t="s">
        <v>29</v>
      </c>
      <c r="BK321" t="s">
        <v>29</v>
      </c>
      <c r="BL321" t="s">
        <v>56</v>
      </c>
      <c r="BM321" t="s">
        <v>1459</v>
      </c>
      <c r="BN321" t="s">
        <v>29</v>
      </c>
      <c r="BO321" t="s">
        <v>29</v>
      </c>
      <c r="BP321" t="s">
        <v>29</v>
      </c>
      <c r="EH321" s="9"/>
      <c r="EI321" s="9"/>
      <c r="EJ321" s="9"/>
      <c r="EK321" s="9"/>
      <c r="EL321" s="9"/>
      <c r="EM321" s="9"/>
      <c r="EN321" s="9"/>
      <c r="EO321" s="9"/>
      <c r="EP321" s="9"/>
      <c r="EQ321" s="9"/>
      <c r="ER321" s="9"/>
      <c r="ES321" s="9"/>
      <c r="ET321" s="9"/>
      <c r="EU321" s="9"/>
      <c r="EV321" s="9"/>
      <c r="EW321" s="9"/>
      <c r="EX321" s="9"/>
      <c r="EY321" s="9"/>
      <c r="EZ321" s="9"/>
      <c r="FA321" s="9"/>
      <c r="FB321" s="9"/>
      <c r="FC321" s="9"/>
      <c r="FD321" s="9"/>
      <c r="FE321" s="9"/>
      <c r="FF321" s="9"/>
      <c r="FG321" s="9"/>
      <c r="FH321" s="9"/>
      <c r="FI321" s="9"/>
      <c r="FJ321" s="9"/>
      <c r="FK321" s="9"/>
      <c r="FL321" s="9"/>
      <c r="FM321" s="9"/>
      <c r="FN321" s="9"/>
      <c r="FO321" s="9"/>
      <c r="FP321" s="9"/>
      <c r="FQ321" s="9"/>
      <c r="FR321" s="9"/>
      <c r="FS321" s="9"/>
      <c r="FT321" s="9"/>
      <c r="FU321" s="9"/>
      <c r="FV321" s="9"/>
      <c r="FW321" s="9"/>
      <c r="FX321" s="9"/>
      <c r="FY321" s="9"/>
      <c r="FZ321" s="9"/>
      <c r="GA321" s="9"/>
      <c r="GB321" s="9"/>
      <c r="GC321" s="9"/>
      <c r="GD321" s="9"/>
      <c r="GE321" s="9"/>
      <c r="GF321" s="9"/>
      <c r="GG321" s="9"/>
      <c r="GH321" s="9"/>
      <c r="GI321" s="9"/>
      <c r="GJ321" s="9"/>
      <c r="GK321" s="9"/>
      <c r="GL321" s="9"/>
      <c r="GM321" s="9"/>
      <c r="GN321" s="9"/>
      <c r="GO321" s="9"/>
      <c r="GP321" s="9"/>
      <c r="GQ321" s="9"/>
      <c r="GR321" s="9"/>
      <c r="GS321" s="9"/>
      <c r="GT321" s="9"/>
      <c r="GU321" s="9"/>
      <c r="GV321" s="9"/>
      <c r="GW321" s="9"/>
      <c r="GX321" s="9"/>
      <c r="GY321" s="9"/>
      <c r="GZ321" s="9"/>
      <c r="HA321" s="9"/>
      <c r="HB321" s="9"/>
      <c r="HC321" s="9"/>
      <c r="HD321" s="9"/>
      <c r="HE321" s="9"/>
      <c r="HF321" s="9"/>
      <c r="HG321" s="9"/>
      <c r="HH321" s="9"/>
      <c r="HI321" s="9"/>
      <c r="HJ321" s="9"/>
      <c r="HK321" s="9"/>
      <c r="HW321" s="58" t="s">
        <v>1454</v>
      </c>
      <c r="HX321" s="58"/>
      <c r="HY321" t="s">
        <v>1462</v>
      </c>
      <c r="HZ321" s="12"/>
      <c r="IA321" t="s">
        <v>1472</v>
      </c>
      <c r="IB321" t="s">
        <v>1471</v>
      </c>
      <c r="II321" t="s">
        <v>1476</v>
      </c>
      <c r="IJ321" t="s">
        <v>1190</v>
      </c>
      <c r="IK321" t="s">
        <v>1466</v>
      </c>
      <c r="IL321" t="s">
        <v>661</v>
      </c>
      <c r="IM321" s="88">
        <v>1999</v>
      </c>
      <c r="IN321" s="87" t="s">
        <v>29</v>
      </c>
      <c r="IO321" s="87" t="s">
        <v>29</v>
      </c>
      <c r="JK321" t="s">
        <v>1482</v>
      </c>
      <c r="JL321" s="84" t="s">
        <v>15</v>
      </c>
      <c r="JM321" t="s">
        <v>14</v>
      </c>
      <c r="JN321" t="s">
        <v>1483</v>
      </c>
      <c r="JO321" s="4" t="s">
        <v>13</v>
      </c>
      <c r="JP321" t="s">
        <v>1484</v>
      </c>
      <c r="JQ321" s="4"/>
      <c r="KJ321" t="s">
        <v>1450</v>
      </c>
      <c r="KK321" t="s">
        <v>222</v>
      </c>
      <c r="KL321" s="8" t="s">
        <v>1481</v>
      </c>
      <c r="KM321" s="4" t="s">
        <v>220</v>
      </c>
      <c r="KN321">
        <v>1</v>
      </c>
      <c r="MZ321" t="s">
        <v>1522</v>
      </c>
      <c r="NA321">
        <v>46.5</v>
      </c>
      <c r="NB321" t="s">
        <v>1468</v>
      </c>
      <c r="NC321" t="s">
        <v>250</v>
      </c>
      <c r="ND321" t="s">
        <v>1459</v>
      </c>
      <c r="NK321" t="s">
        <v>1488</v>
      </c>
      <c r="NM321" s="4" t="s">
        <v>2456</v>
      </c>
      <c r="NN321" t="s">
        <v>13</v>
      </c>
      <c r="NW321" t="s">
        <v>6</v>
      </c>
      <c r="NY321" s="2" t="s">
        <v>29</v>
      </c>
      <c r="OC321">
        <v>3</v>
      </c>
      <c r="OD321">
        <v>487</v>
      </c>
      <c r="OE321" s="88" t="s">
        <v>29</v>
      </c>
      <c r="OF321" s="88" t="s">
        <v>29</v>
      </c>
      <c r="OG321" s="88" t="s">
        <v>29</v>
      </c>
      <c r="ON321">
        <v>0.24</v>
      </c>
      <c r="OO321" s="2" t="s">
        <v>29</v>
      </c>
      <c r="OP321">
        <v>0.81</v>
      </c>
      <c r="OQ321" s="2" t="s">
        <v>29</v>
      </c>
      <c r="OR321">
        <v>1.06</v>
      </c>
      <c r="OS321" s="2" t="s">
        <v>29</v>
      </c>
      <c r="OT321" t="s">
        <v>1480</v>
      </c>
      <c r="OV321">
        <v>1999</v>
      </c>
      <c r="PA321" t="s">
        <v>1169</v>
      </c>
      <c r="PB321" s="58">
        <v>46104</v>
      </c>
    </row>
    <row r="322" spans="1:418" ht="15.75" thickBot="1">
      <c r="A322" t="s">
        <v>248</v>
      </c>
      <c r="B322" t="s">
        <v>1448</v>
      </c>
      <c r="C322" t="s">
        <v>1173</v>
      </c>
      <c r="D322" s="4" t="s">
        <v>1936</v>
      </c>
      <c r="E322" s="90" t="s">
        <v>1485</v>
      </c>
      <c r="F322" s="90" t="s">
        <v>31</v>
      </c>
      <c r="G322" t="s">
        <v>2</v>
      </c>
      <c r="H322" t="s">
        <v>30</v>
      </c>
      <c r="I322">
        <v>12.133333329999999</v>
      </c>
      <c r="J322">
        <v>8.5333333329999999</v>
      </c>
      <c r="K322" t="s">
        <v>29</v>
      </c>
      <c r="AV322" t="s">
        <v>1487</v>
      </c>
      <c r="AW322">
        <v>46.5</v>
      </c>
      <c r="AX322" t="s">
        <v>29</v>
      </c>
      <c r="AY322">
        <v>1</v>
      </c>
      <c r="AZ322" t="s">
        <v>1486</v>
      </c>
      <c r="BA322">
        <v>1999</v>
      </c>
      <c r="BB322">
        <v>2000</v>
      </c>
      <c r="BD322" t="s">
        <v>238</v>
      </c>
      <c r="BE322" t="s">
        <v>1477</v>
      </c>
      <c r="BF322" t="s">
        <v>252</v>
      </c>
      <c r="BG322" s="3" t="s">
        <v>1233</v>
      </c>
      <c r="BH322" t="s">
        <v>250</v>
      </c>
      <c r="BI322" t="s">
        <v>1463</v>
      </c>
      <c r="BJ322" t="s">
        <v>29</v>
      </c>
      <c r="BK322" t="s">
        <v>29</v>
      </c>
      <c r="BL322" t="s">
        <v>56</v>
      </c>
      <c r="BM322" t="s">
        <v>1459</v>
      </c>
      <c r="BN322" t="s">
        <v>29</v>
      </c>
      <c r="BO322" t="s">
        <v>29</v>
      </c>
      <c r="BP322" t="s">
        <v>29</v>
      </c>
      <c r="EH322" s="9"/>
      <c r="EI322" s="9"/>
      <c r="EJ322" s="9"/>
      <c r="EK322" s="9"/>
      <c r="EL322" s="9"/>
      <c r="EM322" s="9"/>
      <c r="EN322" s="9"/>
      <c r="EO322" s="9"/>
      <c r="EP322" s="9"/>
      <c r="EQ322" s="9"/>
      <c r="ER322" s="9"/>
      <c r="ES322" s="9"/>
      <c r="ET322" s="9"/>
      <c r="EU322" s="9"/>
      <c r="EV322" s="9"/>
      <c r="EW322" s="9"/>
      <c r="EX322" s="9"/>
      <c r="EY322" s="9"/>
      <c r="EZ322" s="9"/>
      <c r="FA322" s="9"/>
      <c r="FB322" s="9"/>
      <c r="FC322" s="9"/>
      <c r="FD322" s="9"/>
      <c r="FE322" s="9"/>
      <c r="FF322" s="9"/>
      <c r="FG322" s="9"/>
      <c r="FH322" s="9"/>
      <c r="FI322" s="9"/>
      <c r="FJ322" s="9"/>
      <c r="FK322" s="9"/>
      <c r="FL322" s="9"/>
      <c r="FM322" s="9"/>
      <c r="FN322" s="9"/>
      <c r="FO322" s="9"/>
      <c r="FP322" s="9"/>
      <c r="FQ322" s="9"/>
      <c r="FR322" s="9"/>
      <c r="FS322" s="9"/>
      <c r="FT322" s="9"/>
      <c r="FU322" s="9"/>
      <c r="FV322" s="9"/>
      <c r="FW322" s="9"/>
      <c r="FX322" s="9"/>
      <c r="FY322" s="9"/>
      <c r="FZ322" s="9"/>
      <c r="GA322" s="9"/>
      <c r="GB322" s="9"/>
      <c r="GC322" s="9"/>
      <c r="GD322" s="9"/>
      <c r="GE322" s="9"/>
      <c r="GF322" s="9"/>
      <c r="GG322" s="9"/>
      <c r="GH322" s="9"/>
      <c r="GI322" s="9"/>
      <c r="GJ322" s="9"/>
      <c r="GK322" s="9"/>
      <c r="GL322" s="9"/>
      <c r="GM322" s="9"/>
      <c r="GN322" s="9"/>
      <c r="GO322" s="9"/>
      <c r="GP322" s="9"/>
      <c r="GQ322" s="9"/>
      <c r="GR322" s="9"/>
      <c r="GS322" s="9"/>
      <c r="GT322" s="9"/>
      <c r="GU322" s="9"/>
      <c r="GV322" s="9"/>
      <c r="GW322" s="9"/>
      <c r="GX322" s="9"/>
      <c r="GY322" s="9"/>
      <c r="GZ322" s="9"/>
      <c r="HA322" s="9"/>
      <c r="HB322" s="9"/>
      <c r="HC322" s="9"/>
      <c r="HD322" s="9"/>
      <c r="HE322" s="9"/>
      <c r="HF322" s="9"/>
      <c r="HG322" s="9"/>
      <c r="HH322" s="9"/>
      <c r="HI322" s="9"/>
      <c r="HJ322" s="9"/>
      <c r="HK322" s="9"/>
      <c r="HW322" s="58" t="s">
        <v>1455</v>
      </c>
      <c r="HX322" s="58"/>
      <c r="HY322" t="s">
        <v>1463</v>
      </c>
      <c r="HZ322" s="12"/>
      <c r="IA322" t="s">
        <v>1472</v>
      </c>
      <c r="IB322" t="s">
        <v>1471</v>
      </c>
      <c r="II322" t="s">
        <v>1477</v>
      </c>
      <c r="IJ322" t="s">
        <v>1190</v>
      </c>
      <c r="IK322" t="s">
        <v>1466</v>
      </c>
      <c r="IL322" t="s">
        <v>661</v>
      </c>
      <c r="IM322" s="88">
        <v>1999</v>
      </c>
      <c r="IN322" s="88" t="s">
        <v>29</v>
      </c>
      <c r="IO322" s="87" t="s">
        <v>29</v>
      </c>
      <c r="JK322" t="s">
        <v>1482</v>
      </c>
      <c r="JL322" s="84" t="s">
        <v>15</v>
      </c>
      <c r="JM322" t="s">
        <v>14</v>
      </c>
      <c r="JN322" t="s">
        <v>1483</v>
      </c>
      <c r="JO322" s="4" t="s">
        <v>13</v>
      </c>
      <c r="JP322" t="s">
        <v>1484</v>
      </c>
      <c r="JQ322" s="4"/>
      <c r="KJ322" t="s">
        <v>1450</v>
      </c>
      <c r="KK322" t="s">
        <v>222</v>
      </c>
      <c r="KL322" s="8" t="s">
        <v>1481</v>
      </c>
      <c r="KM322" s="4" t="s">
        <v>220</v>
      </c>
      <c r="KN322">
        <v>1</v>
      </c>
      <c r="MZ322" t="s">
        <v>1522</v>
      </c>
      <c r="NA322">
        <v>46.5</v>
      </c>
      <c r="NB322" t="s">
        <v>1468</v>
      </c>
      <c r="NC322" t="s">
        <v>250</v>
      </c>
      <c r="ND322" t="s">
        <v>1459</v>
      </c>
      <c r="NK322" t="s">
        <v>1488</v>
      </c>
      <c r="NM322" s="4" t="s">
        <v>2456</v>
      </c>
      <c r="NN322" t="s">
        <v>13</v>
      </c>
      <c r="NW322" t="s">
        <v>6</v>
      </c>
      <c r="NY322" s="2" t="s">
        <v>29</v>
      </c>
      <c r="OC322">
        <v>3</v>
      </c>
      <c r="OD322">
        <v>434</v>
      </c>
      <c r="OE322" s="88" t="s">
        <v>29</v>
      </c>
      <c r="OF322" s="88" t="s">
        <v>29</v>
      </c>
      <c r="OG322" s="88" t="s">
        <v>29</v>
      </c>
      <c r="ON322">
        <v>0.22</v>
      </c>
      <c r="OO322" s="2" t="s">
        <v>29</v>
      </c>
      <c r="OP322">
        <v>0.8</v>
      </c>
      <c r="OQ322" s="2" t="s">
        <v>29</v>
      </c>
      <c r="OR322">
        <v>1.02</v>
      </c>
      <c r="OS322" s="2" t="s">
        <v>29</v>
      </c>
      <c r="OT322" t="s">
        <v>1480</v>
      </c>
      <c r="OV322">
        <v>1999</v>
      </c>
      <c r="PA322" t="s">
        <v>1169</v>
      </c>
      <c r="PB322" s="58">
        <v>46104</v>
      </c>
    </row>
    <row r="323" spans="1:418" ht="15.75" thickBot="1">
      <c r="A323" t="s">
        <v>248</v>
      </c>
      <c r="B323" t="s">
        <v>1448</v>
      </c>
      <c r="C323" t="s">
        <v>1173</v>
      </c>
      <c r="D323" s="4" t="s">
        <v>1936</v>
      </c>
      <c r="E323" s="90" t="s">
        <v>1485</v>
      </c>
      <c r="F323" s="90" t="s">
        <v>31</v>
      </c>
      <c r="G323" t="s">
        <v>2</v>
      </c>
      <c r="H323" t="s">
        <v>30</v>
      </c>
      <c r="I323">
        <v>12.133333329999999</v>
      </c>
      <c r="J323">
        <v>8.5333333329999999</v>
      </c>
      <c r="K323" t="s">
        <v>29</v>
      </c>
      <c r="AV323" t="s">
        <v>1487</v>
      </c>
      <c r="AW323">
        <v>46.5</v>
      </c>
      <c r="AX323" t="s">
        <v>29</v>
      </c>
      <c r="AY323">
        <v>1</v>
      </c>
      <c r="AZ323" t="s">
        <v>1486</v>
      </c>
      <c r="BA323">
        <v>1999</v>
      </c>
      <c r="BB323">
        <v>2000</v>
      </c>
      <c r="BD323" t="s">
        <v>238</v>
      </c>
      <c r="BE323" t="s">
        <v>1478</v>
      </c>
      <c r="BF323" t="s">
        <v>236</v>
      </c>
      <c r="BG323" s="3" t="s">
        <v>1233</v>
      </c>
      <c r="BH323" t="s">
        <v>250</v>
      </c>
      <c r="BI323" t="s">
        <v>1464</v>
      </c>
      <c r="BJ323" t="s">
        <v>29</v>
      </c>
      <c r="BK323" t="s">
        <v>29</v>
      </c>
      <c r="BL323" t="s">
        <v>56</v>
      </c>
      <c r="BM323" t="s">
        <v>1459</v>
      </c>
      <c r="BN323" t="s">
        <v>29</v>
      </c>
      <c r="BO323" t="s">
        <v>29</v>
      </c>
      <c r="BP323" t="s">
        <v>29</v>
      </c>
      <c r="EH323" s="9"/>
      <c r="EI323" s="9"/>
      <c r="EJ323" s="9"/>
      <c r="EK323" s="9"/>
      <c r="EL323" s="9"/>
      <c r="EM323" s="9"/>
      <c r="EN323" s="9"/>
      <c r="EO323" s="9"/>
      <c r="EP323" s="9"/>
      <c r="EQ323" s="9"/>
      <c r="ER323" s="9"/>
      <c r="ES323" s="9"/>
      <c r="ET323" s="9"/>
      <c r="EU323" s="9"/>
      <c r="EV323" s="9"/>
      <c r="EW323" s="9"/>
      <c r="EX323" s="9"/>
      <c r="EY323" s="9"/>
      <c r="EZ323" s="9"/>
      <c r="FA323" s="9"/>
      <c r="FB323" s="9"/>
      <c r="FC323" s="9"/>
      <c r="FD323" s="9"/>
      <c r="FE323" s="9"/>
      <c r="FF323" s="9"/>
      <c r="FG323" s="9"/>
      <c r="FH323" s="9"/>
      <c r="FI323" s="9"/>
      <c r="FJ323" s="9"/>
      <c r="FK323" s="9"/>
      <c r="FL323" s="9"/>
      <c r="FM323" s="9"/>
      <c r="FN323" s="9"/>
      <c r="FO323" s="9"/>
      <c r="FP323" s="9"/>
      <c r="FQ323" s="9"/>
      <c r="FR323" s="9"/>
      <c r="FS323" s="9"/>
      <c r="FT323" s="9"/>
      <c r="FU323" s="9"/>
      <c r="FV323" s="9"/>
      <c r="FW323" s="9"/>
      <c r="FX323" s="9"/>
      <c r="FY323" s="9"/>
      <c r="FZ323" s="9"/>
      <c r="GA323" s="9"/>
      <c r="GB323" s="9"/>
      <c r="GC323" s="9"/>
      <c r="GD323" s="9"/>
      <c r="GE323" s="9"/>
      <c r="GF323" s="9"/>
      <c r="GG323" s="9"/>
      <c r="GH323" s="9"/>
      <c r="GI323" s="9"/>
      <c r="GJ323" s="9"/>
      <c r="GK323" s="9"/>
      <c r="GL323" s="9"/>
      <c r="GM323" s="9"/>
      <c r="GN323" s="9"/>
      <c r="GO323" s="9"/>
      <c r="GP323" s="9"/>
      <c r="GQ323" s="9"/>
      <c r="GR323" s="9"/>
      <c r="GS323" s="9"/>
      <c r="GT323" s="9"/>
      <c r="GU323" s="9"/>
      <c r="GV323" s="9"/>
      <c r="GW323" s="9"/>
      <c r="GX323" s="9"/>
      <c r="GY323" s="9"/>
      <c r="GZ323" s="9"/>
      <c r="HA323" s="9"/>
      <c r="HB323" s="9"/>
      <c r="HC323" s="9"/>
      <c r="HD323" s="9"/>
      <c r="HE323" s="9"/>
      <c r="HF323" s="9"/>
      <c r="HG323" s="9"/>
      <c r="HH323" s="9"/>
      <c r="HI323" s="9"/>
      <c r="HJ323" s="9"/>
      <c r="HK323" s="9"/>
      <c r="HW323" s="58" t="s">
        <v>1457</v>
      </c>
      <c r="HX323" s="58"/>
      <c r="HY323" t="s">
        <v>1464</v>
      </c>
      <c r="HZ323" s="14"/>
      <c r="IA323" t="s">
        <v>1472</v>
      </c>
      <c r="IB323" t="s">
        <v>1471</v>
      </c>
      <c r="II323" t="s">
        <v>1478</v>
      </c>
      <c r="IJ323" t="s">
        <v>1190</v>
      </c>
      <c r="IK323" t="s">
        <v>1466</v>
      </c>
      <c r="IL323" t="s">
        <v>661</v>
      </c>
      <c r="IM323" s="88">
        <v>1999</v>
      </c>
      <c r="IN323" s="89" t="s">
        <v>29</v>
      </c>
      <c r="IO323" s="89" t="s">
        <v>29</v>
      </c>
      <c r="JK323" t="s">
        <v>1482</v>
      </c>
      <c r="JL323" s="84" t="s">
        <v>15</v>
      </c>
      <c r="JM323" t="s">
        <v>14</v>
      </c>
      <c r="JN323" t="s">
        <v>1483</v>
      </c>
      <c r="JO323" s="4" t="s">
        <v>13</v>
      </c>
      <c r="JP323" t="s">
        <v>1484</v>
      </c>
      <c r="JQ323" s="4"/>
      <c r="KJ323" t="s">
        <v>1450</v>
      </c>
      <c r="KK323" t="s">
        <v>222</v>
      </c>
      <c r="KL323" s="8" t="s">
        <v>1481</v>
      </c>
      <c r="KM323" s="4" t="s">
        <v>220</v>
      </c>
      <c r="KN323">
        <v>1</v>
      </c>
      <c r="MZ323" t="s">
        <v>1522</v>
      </c>
      <c r="NA323">
        <v>46.5</v>
      </c>
      <c r="NB323" t="s">
        <v>1468</v>
      </c>
      <c r="NC323" t="s">
        <v>250</v>
      </c>
      <c r="ND323" t="s">
        <v>1459</v>
      </c>
      <c r="NK323" t="s">
        <v>1488</v>
      </c>
      <c r="NM323" s="4" t="s">
        <v>2456</v>
      </c>
      <c r="NN323" t="s">
        <v>13</v>
      </c>
      <c r="NW323" t="s">
        <v>6</v>
      </c>
      <c r="NY323" s="2" t="s">
        <v>29</v>
      </c>
      <c r="OC323">
        <v>3</v>
      </c>
      <c r="OD323">
        <v>606</v>
      </c>
      <c r="OE323" s="88" t="s">
        <v>29</v>
      </c>
      <c r="OF323" s="88" t="s">
        <v>29</v>
      </c>
      <c r="OG323" s="88" t="s">
        <v>29</v>
      </c>
      <c r="ON323">
        <v>0.3</v>
      </c>
      <c r="OO323" s="2" t="s">
        <v>29</v>
      </c>
      <c r="OP323">
        <v>0.74</v>
      </c>
      <c r="OQ323" s="2" t="s">
        <v>29</v>
      </c>
      <c r="OR323">
        <v>1.04</v>
      </c>
      <c r="OS323" s="2" t="s">
        <v>29</v>
      </c>
      <c r="OT323" t="s">
        <v>1480</v>
      </c>
      <c r="OV323">
        <v>1999</v>
      </c>
      <c r="PA323" t="s">
        <v>1169</v>
      </c>
      <c r="PB323" s="58">
        <v>46104</v>
      </c>
    </row>
    <row r="324" spans="1:418" ht="15.75" thickBot="1">
      <c r="A324" t="s">
        <v>248</v>
      </c>
      <c r="B324" t="s">
        <v>1448</v>
      </c>
      <c r="C324" t="s">
        <v>1173</v>
      </c>
      <c r="D324" s="4" t="s">
        <v>1936</v>
      </c>
      <c r="E324" s="90" t="s">
        <v>1485</v>
      </c>
      <c r="F324" s="90" t="s">
        <v>31</v>
      </c>
      <c r="G324" t="s">
        <v>2</v>
      </c>
      <c r="H324" t="s">
        <v>30</v>
      </c>
      <c r="I324">
        <v>12.133333329999999</v>
      </c>
      <c r="J324">
        <v>8.5333333329999999</v>
      </c>
      <c r="K324" t="s">
        <v>29</v>
      </c>
      <c r="AV324" t="s">
        <v>1487</v>
      </c>
      <c r="AW324">
        <v>27</v>
      </c>
      <c r="AX324" t="s">
        <v>29</v>
      </c>
      <c r="AY324">
        <v>1</v>
      </c>
      <c r="AZ324" t="s">
        <v>1486</v>
      </c>
      <c r="BA324">
        <v>1999</v>
      </c>
      <c r="BB324">
        <v>2000</v>
      </c>
      <c r="BD324" t="s">
        <v>19</v>
      </c>
      <c r="BE324" t="s">
        <v>1449</v>
      </c>
      <c r="BF324" t="s">
        <v>39</v>
      </c>
      <c r="BG324" s="3" t="s">
        <v>1233</v>
      </c>
      <c r="BH324" t="s">
        <v>250</v>
      </c>
      <c r="BI324" t="s">
        <v>1465</v>
      </c>
      <c r="BJ324" t="s">
        <v>29</v>
      </c>
      <c r="BK324" t="s">
        <v>29</v>
      </c>
      <c r="EH324" s="9"/>
      <c r="EI324" s="9"/>
      <c r="EJ324" s="9"/>
      <c r="EK324" s="9"/>
      <c r="EL324" s="9"/>
      <c r="EM324" s="9"/>
      <c r="EN324" s="9"/>
      <c r="EO324" s="9"/>
      <c r="EP324" s="9"/>
      <c r="EQ324" s="9"/>
      <c r="ER324" s="9"/>
      <c r="ES324" s="9"/>
      <c r="ET324" s="9"/>
      <c r="EU324" s="9"/>
      <c r="EV324" s="9"/>
      <c r="EW324" s="9"/>
      <c r="EX324" s="9"/>
      <c r="EY324" s="9"/>
      <c r="EZ324" s="9"/>
      <c r="FA324" s="9"/>
      <c r="FB324" s="9"/>
      <c r="FC324" s="9"/>
      <c r="FD324" s="9"/>
      <c r="FE324" s="9"/>
      <c r="FF324" s="9"/>
      <c r="FG324" s="9"/>
      <c r="FH324" s="9"/>
      <c r="FI324" s="9"/>
      <c r="FJ324" s="9"/>
      <c r="FK324" s="9"/>
      <c r="FL324" s="9"/>
      <c r="FM324" s="9"/>
      <c r="FN324" s="9"/>
      <c r="FO324" s="9"/>
      <c r="FP324" s="9"/>
      <c r="FQ324" s="9"/>
      <c r="FR324" s="9"/>
      <c r="FS324" s="9"/>
      <c r="FT324" s="9"/>
      <c r="FU324" s="9"/>
      <c r="FV324" s="9"/>
      <c r="FW324" s="9"/>
      <c r="FX324" s="9"/>
      <c r="FY324" s="9"/>
      <c r="FZ324" s="9"/>
      <c r="GA324" s="9"/>
      <c r="GB324" s="9"/>
      <c r="GC324" s="9"/>
      <c r="GD324" s="9"/>
      <c r="GE324" s="9"/>
      <c r="GF324" s="9"/>
      <c r="GG324" s="9"/>
      <c r="GH324" s="9"/>
      <c r="GI324" s="9"/>
      <c r="GJ324" s="9"/>
      <c r="GK324" s="9"/>
      <c r="GL324" s="9"/>
      <c r="GM324" s="9"/>
      <c r="GN324" s="9"/>
      <c r="GO324" s="9"/>
      <c r="GP324" s="9"/>
      <c r="GQ324" s="9"/>
      <c r="GR324" s="9"/>
      <c r="GS324" s="9"/>
      <c r="GT324" s="9"/>
      <c r="GU324" s="9"/>
      <c r="GV324" s="9"/>
      <c r="GW324" s="9"/>
      <c r="GX324" s="9"/>
      <c r="GY324" s="9"/>
      <c r="GZ324" s="9"/>
      <c r="HA324" s="9"/>
      <c r="HB324" s="9"/>
      <c r="HC324" s="9"/>
      <c r="HD324" s="9"/>
      <c r="HE324" s="9"/>
      <c r="HF324" s="9"/>
      <c r="HG324" s="9"/>
      <c r="HH324" s="9"/>
      <c r="HI324" s="9"/>
      <c r="HJ324" s="9"/>
      <c r="HK324" s="9"/>
      <c r="HW324" s="58" t="s">
        <v>1449</v>
      </c>
      <c r="HX324" s="58"/>
      <c r="HY324" t="s">
        <v>1465</v>
      </c>
      <c r="HZ324" s="12"/>
      <c r="IA324" s="4" t="s">
        <v>1469</v>
      </c>
      <c r="IB324" t="s">
        <v>1470</v>
      </c>
      <c r="II324" t="s">
        <v>1449</v>
      </c>
      <c r="IJ324" t="s">
        <v>19</v>
      </c>
      <c r="JK324" t="s">
        <v>1482</v>
      </c>
      <c r="JL324" s="84" t="s">
        <v>15</v>
      </c>
      <c r="JM324" t="s">
        <v>14</v>
      </c>
      <c r="JN324" t="s">
        <v>1483</v>
      </c>
      <c r="JO324" s="4" t="s">
        <v>13</v>
      </c>
      <c r="JP324" t="s">
        <v>1484</v>
      </c>
      <c r="JQ324" s="4"/>
      <c r="KJ324" t="s">
        <v>1450</v>
      </c>
      <c r="KK324" t="s">
        <v>222</v>
      </c>
      <c r="KL324" s="8" t="s">
        <v>1481</v>
      </c>
      <c r="KM324" s="4" t="s">
        <v>220</v>
      </c>
      <c r="KN324">
        <v>1</v>
      </c>
      <c r="MZ324" t="s">
        <v>1522</v>
      </c>
      <c r="NA324">
        <v>27</v>
      </c>
      <c r="NB324" t="s">
        <v>1468</v>
      </c>
      <c r="NC324" t="s">
        <v>250</v>
      </c>
      <c r="NK324" t="s">
        <v>1467</v>
      </c>
      <c r="NM324" s="4" t="s">
        <v>2456</v>
      </c>
      <c r="NN324" t="s">
        <v>13</v>
      </c>
      <c r="NV324" t="s">
        <v>64</v>
      </c>
      <c r="NW324" t="s">
        <v>6</v>
      </c>
      <c r="NY324" s="2" t="s">
        <v>29</v>
      </c>
      <c r="OC324">
        <v>3</v>
      </c>
      <c r="OD324">
        <v>1217</v>
      </c>
      <c r="OE324" s="88" t="s">
        <v>29</v>
      </c>
      <c r="OT324" t="s">
        <v>1479</v>
      </c>
      <c r="OV324">
        <v>2000</v>
      </c>
      <c r="PA324" t="s">
        <v>1169</v>
      </c>
      <c r="PB324" s="58">
        <v>46104</v>
      </c>
    </row>
    <row r="325" spans="1:418" ht="15.75" thickBot="1">
      <c r="A325" t="s">
        <v>248</v>
      </c>
      <c r="B325" t="s">
        <v>1448</v>
      </c>
      <c r="C325" t="s">
        <v>1173</v>
      </c>
      <c r="D325" s="4" t="s">
        <v>1936</v>
      </c>
      <c r="E325" s="90" t="s">
        <v>1485</v>
      </c>
      <c r="F325" s="90" t="s">
        <v>31</v>
      </c>
      <c r="G325" t="s">
        <v>2</v>
      </c>
      <c r="H325" t="s">
        <v>30</v>
      </c>
      <c r="I325">
        <v>12.133333329999999</v>
      </c>
      <c r="J325">
        <v>8.5333333329999999</v>
      </c>
      <c r="K325" t="s">
        <v>29</v>
      </c>
      <c r="AV325" t="s">
        <v>1487</v>
      </c>
      <c r="AW325">
        <v>27</v>
      </c>
      <c r="AX325" t="s">
        <v>29</v>
      </c>
      <c r="AY325">
        <v>1</v>
      </c>
      <c r="AZ325" t="s">
        <v>1486</v>
      </c>
      <c r="BA325">
        <v>1999</v>
      </c>
      <c r="BB325">
        <v>2000</v>
      </c>
      <c r="BD325" t="s">
        <v>19</v>
      </c>
      <c r="BE325" t="s">
        <v>1452</v>
      </c>
      <c r="BF325" t="s">
        <v>24</v>
      </c>
      <c r="BG325" s="3" t="s">
        <v>1233</v>
      </c>
      <c r="BH325" t="s">
        <v>250</v>
      </c>
      <c r="BI325" t="s">
        <v>1460</v>
      </c>
      <c r="BJ325" t="s">
        <v>29</v>
      </c>
      <c r="BK325" t="s">
        <v>29</v>
      </c>
      <c r="EH325" s="9"/>
      <c r="EI325" s="9"/>
      <c r="EJ325" s="9"/>
      <c r="EK325" s="9"/>
      <c r="EL325" s="9"/>
      <c r="EM325" s="9"/>
      <c r="EN325" s="9"/>
      <c r="EO325" s="9"/>
      <c r="EP325" s="9"/>
      <c r="EQ325" s="9"/>
      <c r="ER325" s="9"/>
      <c r="ES325" s="9"/>
      <c r="ET325" s="9"/>
      <c r="EU325" s="9"/>
      <c r="EV325" s="9"/>
      <c r="EW325" s="9"/>
      <c r="EX325" s="9"/>
      <c r="EY325" s="9"/>
      <c r="EZ325" s="9"/>
      <c r="FA325" s="9"/>
      <c r="FB325" s="9"/>
      <c r="FC325" s="9"/>
      <c r="FD325" s="9"/>
      <c r="FE325" s="9"/>
      <c r="FF325" s="9"/>
      <c r="FG325" s="9"/>
      <c r="FH325" s="9"/>
      <c r="FI325" s="9"/>
      <c r="FJ325" s="9"/>
      <c r="FK325" s="9"/>
      <c r="FL325" s="9"/>
      <c r="FM325" s="9"/>
      <c r="FN325" s="9"/>
      <c r="FO325" s="9"/>
      <c r="FP325" s="9"/>
      <c r="FQ325" s="9"/>
      <c r="FR325" s="9"/>
      <c r="FS325" s="9"/>
      <c r="FT325" s="9"/>
      <c r="FU325" s="9"/>
      <c r="FV325" s="9"/>
      <c r="FW325" s="9"/>
      <c r="FX325" s="9"/>
      <c r="FY325" s="9"/>
      <c r="FZ325" s="9"/>
      <c r="GA325" s="9"/>
      <c r="GB325" s="9"/>
      <c r="GC325" s="9"/>
      <c r="GD325" s="9"/>
      <c r="GE325" s="9"/>
      <c r="GF325" s="9"/>
      <c r="GG325" s="9"/>
      <c r="GH325" s="9"/>
      <c r="GI325" s="9"/>
      <c r="GJ325" s="9"/>
      <c r="GK325" s="9"/>
      <c r="GL325" s="9"/>
      <c r="GM325" s="9"/>
      <c r="GN325" s="9"/>
      <c r="GO325" s="9"/>
      <c r="GP325" s="9"/>
      <c r="GQ325" s="9"/>
      <c r="GR325" s="9"/>
      <c r="GS325" s="9"/>
      <c r="GT325" s="9"/>
      <c r="GU325" s="9"/>
      <c r="GV325" s="9"/>
      <c r="GW325" s="9"/>
      <c r="GX325" s="9"/>
      <c r="GY325" s="9"/>
      <c r="GZ325" s="9"/>
      <c r="HA325" s="9"/>
      <c r="HB325" s="9"/>
      <c r="HC325" s="9"/>
      <c r="HD325" s="9"/>
      <c r="HE325" s="9"/>
      <c r="HF325" s="9"/>
      <c r="HG325" s="9"/>
      <c r="HH325" s="9"/>
      <c r="HI325" s="9"/>
      <c r="HJ325" s="9"/>
      <c r="HK325" s="9"/>
      <c r="HW325" s="58" t="s">
        <v>1452</v>
      </c>
      <c r="HX325" s="58"/>
      <c r="HY325" t="s">
        <v>1460</v>
      </c>
      <c r="HZ325" s="12"/>
      <c r="IA325" t="s">
        <v>1472</v>
      </c>
      <c r="IB325" t="s">
        <v>1471</v>
      </c>
      <c r="II325" t="s">
        <v>1452</v>
      </c>
      <c r="IJ325" t="s">
        <v>19</v>
      </c>
      <c r="JK325" t="s">
        <v>1482</v>
      </c>
      <c r="JL325" s="84" t="s">
        <v>15</v>
      </c>
      <c r="JM325" t="s">
        <v>14</v>
      </c>
      <c r="JN325" t="s">
        <v>1483</v>
      </c>
      <c r="JO325" s="4" t="s">
        <v>13</v>
      </c>
      <c r="JP325" t="s">
        <v>1484</v>
      </c>
      <c r="JQ325" s="4"/>
      <c r="KJ325" t="s">
        <v>1450</v>
      </c>
      <c r="KK325" t="s">
        <v>222</v>
      </c>
      <c r="KL325" s="8" t="s">
        <v>1481</v>
      </c>
      <c r="KM325" s="4" t="s">
        <v>220</v>
      </c>
      <c r="KN325">
        <v>1</v>
      </c>
      <c r="MZ325" t="s">
        <v>1522</v>
      </c>
      <c r="NA325">
        <v>27</v>
      </c>
      <c r="NB325" t="s">
        <v>1468</v>
      </c>
      <c r="NC325" t="s">
        <v>250</v>
      </c>
      <c r="NK325" t="s">
        <v>1467</v>
      </c>
      <c r="NM325" s="4" t="s">
        <v>2456</v>
      </c>
      <c r="NN325" t="s">
        <v>13</v>
      </c>
      <c r="NV325" t="s">
        <v>57</v>
      </c>
      <c r="NW325" t="s">
        <v>6</v>
      </c>
      <c r="NY325" s="2" t="s">
        <v>29</v>
      </c>
      <c r="OC325">
        <v>3</v>
      </c>
      <c r="OD325">
        <v>1576</v>
      </c>
      <c r="OE325" s="88" t="s">
        <v>29</v>
      </c>
      <c r="OT325" t="s">
        <v>1479</v>
      </c>
      <c r="OV325">
        <v>2000</v>
      </c>
      <c r="PA325" t="s">
        <v>1169</v>
      </c>
      <c r="PB325" s="58">
        <v>46104</v>
      </c>
    </row>
    <row r="326" spans="1:418" ht="15.75" thickBot="1">
      <c r="A326" t="s">
        <v>248</v>
      </c>
      <c r="B326" t="s">
        <v>1448</v>
      </c>
      <c r="C326" t="s">
        <v>1173</v>
      </c>
      <c r="D326" s="4" t="s">
        <v>1936</v>
      </c>
      <c r="E326" s="90" t="s">
        <v>1485</v>
      </c>
      <c r="F326" s="90" t="s">
        <v>31</v>
      </c>
      <c r="G326" t="s">
        <v>2</v>
      </c>
      <c r="H326" t="s">
        <v>30</v>
      </c>
      <c r="I326">
        <v>12.133333329999999</v>
      </c>
      <c r="J326">
        <v>8.5333333329999999</v>
      </c>
      <c r="K326" t="s">
        <v>29</v>
      </c>
      <c r="AV326" t="s">
        <v>1487</v>
      </c>
      <c r="AW326">
        <v>27</v>
      </c>
      <c r="AX326" t="s">
        <v>29</v>
      </c>
      <c r="AY326">
        <v>1</v>
      </c>
      <c r="AZ326" t="s">
        <v>1486</v>
      </c>
      <c r="BA326">
        <v>1999</v>
      </c>
      <c r="BB326">
        <v>2000</v>
      </c>
      <c r="BD326" t="s">
        <v>19</v>
      </c>
      <c r="BE326" t="s">
        <v>1453</v>
      </c>
      <c r="BF326" t="s">
        <v>299</v>
      </c>
      <c r="BG326" s="3" t="s">
        <v>1233</v>
      </c>
      <c r="BH326" t="s">
        <v>250</v>
      </c>
      <c r="BI326" t="s">
        <v>1461</v>
      </c>
      <c r="BJ326" t="s">
        <v>29</v>
      </c>
      <c r="BK326" t="s">
        <v>29</v>
      </c>
      <c r="EH326" s="9"/>
      <c r="EI326" s="9"/>
      <c r="EJ326" s="9"/>
      <c r="EK326" s="9"/>
      <c r="EL326" s="9"/>
      <c r="EM326" s="9"/>
      <c r="EN326" s="9"/>
      <c r="EO326" s="9"/>
      <c r="EP326" s="9"/>
      <c r="EQ326" s="9"/>
      <c r="ER326" s="9"/>
      <c r="ES326" s="9"/>
      <c r="ET326" s="9"/>
      <c r="EU326" s="9"/>
      <c r="EV326" s="9"/>
      <c r="EW326" s="9"/>
      <c r="EX326" s="9"/>
      <c r="EY326" s="9"/>
      <c r="EZ326" s="9"/>
      <c r="FA326" s="9"/>
      <c r="FB326" s="9"/>
      <c r="FC326" s="9"/>
      <c r="FD326" s="9"/>
      <c r="FE326" s="9"/>
      <c r="FF326" s="9"/>
      <c r="FG326" s="9"/>
      <c r="FH326" s="9"/>
      <c r="FI326" s="9"/>
      <c r="FJ326" s="9"/>
      <c r="FK326" s="9"/>
      <c r="FL326" s="9"/>
      <c r="FM326" s="9"/>
      <c r="FN326" s="9"/>
      <c r="FO326" s="9"/>
      <c r="FP326" s="9"/>
      <c r="FQ326" s="9"/>
      <c r="FR326" s="9"/>
      <c r="FS326" s="9"/>
      <c r="FT326" s="9"/>
      <c r="FU326" s="9"/>
      <c r="FV326" s="9"/>
      <c r="FW326" s="9"/>
      <c r="FX326" s="9"/>
      <c r="FY326" s="9"/>
      <c r="FZ326" s="9"/>
      <c r="GA326" s="9"/>
      <c r="GB326" s="9"/>
      <c r="GC326" s="9"/>
      <c r="GD326" s="9"/>
      <c r="GE326" s="9"/>
      <c r="GF326" s="9"/>
      <c r="GG326" s="9"/>
      <c r="GH326" s="9"/>
      <c r="GI326" s="9"/>
      <c r="GJ326" s="9"/>
      <c r="GK326" s="9"/>
      <c r="GL326" s="9"/>
      <c r="GM326" s="9"/>
      <c r="GN326" s="9"/>
      <c r="GO326" s="9"/>
      <c r="GP326" s="9"/>
      <c r="GQ326" s="9"/>
      <c r="GR326" s="9"/>
      <c r="GS326" s="9"/>
      <c r="GT326" s="9"/>
      <c r="GU326" s="9"/>
      <c r="GV326" s="9"/>
      <c r="GW326" s="9"/>
      <c r="GX326" s="9"/>
      <c r="GY326" s="9"/>
      <c r="GZ326" s="9"/>
      <c r="HA326" s="9"/>
      <c r="HB326" s="9"/>
      <c r="HC326" s="9"/>
      <c r="HD326" s="9"/>
      <c r="HE326" s="9"/>
      <c r="HF326" s="9"/>
      <c r="HG326" s="9"/>
      <c r="HH326" s="9"/>
      <c r="HI326" s="9"/>
      <c r="HJ326" s="9"/>
      <c r="HK326" s="9"/>
      <c r="HW326" s="58" t="s">
        <v>1453</v>
      </c>
      <c r="HX326" s="58"/>
      <c r="HY326" t="s">
        <v>1461</v>
      </c>
      <c r="HZ326" s="12"/>
      <c r="IA326" t="s">
        <v>1472</v>
      </c>
      <c r="IB326" t="s">
        <v>1471</v>
      </c>
      <c r="II326" t="s">
        <v>1453</v>
      </c>
      <c r="IJ326" t="s">
        <v>19</v>
      </c>
      <c r="JK326" t="s">
        <v>1482</v>
      </c>
      <c r="JL326" s="84" t="s">
        <v>15</v>
      </c>
      <c r="JM326" t="s">
        <v>14</v>
      </c>
      <c r="JN326" t="s">
        <v>1483</v>
      </c>
      <c r="JO326" s="4" t="s">
        <v>13</v>
      </c>
      <c r="JP326" t="s">
        <v>1484</v>
      </c>
      <c r="JQ326" s="4"/>
      <c r="KJ326" t="s">
        <v>1450</v>
      </c>
      <c r="KK326" t="s">
        <v>222</v>
      </c>
      <c r="KL326" s="8" t="s">
        <v>1481</v>
      </c>
      <c r="KM326" s="4" t="s">
        <v>220</v>
      </c>
      <c r="KN326">
        <v>1</v>
      </c>
      <c r="MZ326" t="s">
        <v>1522</v>
      </c>
      <c r="NA326">
        <v>27</v>
      </c>
      <c r="NB326" t="s">
        <v>1468</v>
      </c>
      <c r="NC326" t="s">
        <v>250</v>
      </c>
      <c r="NK326" t="s">
        <v>1467</v>
      </c>
      <c r="NM326" s="4" t="s">
        <v>2456</v>
      </c>
      <c r="NN326" t="s">
        <v>13</v>
      </c>
      <c r="NV326" t="s">
        <v>48</v>
      </c>
      <c r="NW326" t="s">
        <v>6</v>
      </c>
      <c r="NY326" s="2" t="s">
        <v>29</v>
      </c>
      <c r="OC326">
        <v>3</v>
      </c>
      <c r="OD326">
        <v>1267</v>
      </c>
      <c r="OE326" s="88" t="s">
        <v>29</v>
      </c>
      <c r="OT326" t="s">
        <v>1479</v>
      </c>
      <c r="OV326">
        <v>2000</v>
      </c>
      <c r="PA326" t="s">
        <v>1169</v>
      </c>
      <c r="PB326" s="58">
        <v>46104</v>
      </c>
    </row>
    <row r="327" spans="1:418" ht="15.75" thickBot="1">
      <c r="A327" t="s">
        <v>248</v>
      </c>
      <c r="B327" t="s">
        <v>1448</v>
      </c>
      <c r="C327" t="s">
        <v>1173</v>
      </c>
      <c r="D327" s="4" t="s">
        <v>1936</v>
      </c>
      <c r="E327" s="90" t="s">
        <v>1485</v>
      </c>
      <c r="F327" s="90" t="s">
        <v>31</v>
      </c>
      <c r="G327" t="s">
        <v>2</v>
      </c>
      <c r="H327" t="s">
        <v>30</v>
      </c>
      <c r="I327">
        <v>12.133333329999999</v>
      </c>
      <c r="J327">
        <v>8.5333333329999999</v>
      </c>
      <c r="K327" t="s">
        <v>29</v>
      </c>
      <c r="AV327" t="s">
        <v>1487</v>
      </c>
      <c r="AW327">
        <v>27</v>
      </c>
      <c r="AX327" t="s">
        <v>29</v>
      </c>
      <c r="AY327">
        <v>1</v>
      </c>
      <c r="AZ327" t="s">
        <v>1486</v>
      </c>
      <c r="BA327">
        <v>1999</v>
      </c>
      <c r="BB327">
        <v>2000</v>
      </c>
      <c r="BD327" t="s">
        <v>19</v>
      </c>
      <c r="BE327" t="s">
        <v>1454</v>
      </c>
      <c r="BF327" t="s">
        <v>256</v>
      </c>
      <c r="BG327" s="3" t="s">
        <v>1233</v>
      </c>
      <c r="BH327" t="s">
        <v>250</v>
      </c>
      <c r="BI327" t="s">
        <v>1462</v>
      </c>
      <c r="BJ327" t="s">
        <v>29</v>
      </c>
      <c r="BK327" t="s">
        <v>29</v>
      </c>
      <c r="EH327" s="9"/>
      <c r="EI327" s="9"/>
      <c r="EJ327" s="9"/>
      <c r="EK327" s="9"/>
      <c r="EL327" s="9"/>
      <c r="EM327" s="9"/>
      <c r="EN327" s="9"/>
      <c r="EO327" s="9"/>
      <c r="EP327" s="9"/>
      <c r="EQ327" s="9"/>
      <c r="ER327" s="9"/>
      <c r="ES327" s="9"/>
      <c r="ET327" s="9"/>
      <c r="EU327" s="9"/>
      <c r="EV327" s="9"/>
      <c r="EW327" s="9"/>
      <c r="EX327" s="9"/>
      <c r="EY327" s="9"/>
      <c r="EZ327" s="9"/>
      <c r="FA327" s="9"/>
      <c r="FB327" s="9"/>
      <c r="FC327" s="9"/>
      <c r="FD327" s="9"/>
      <c r="FE327" s="9"/>
      <c r="FF327" s="9"/>
      <c r="FG327" s="9"/>
      <c r="FH327" s="9"/>
      <c r="FI327" s="9"/>
      <c r="FJ327" s="9"/>
      <c r="FK327" s="9"/>
      <c r="FL327" s="9"/>
      <c r="FM327" s="9"/>
      <c r="FN327" s="9"/>
      <c r="FO327" s="9"/>
      <c r="FP327" s="9"/>
      <c r="FQ327" s="9"/>
      <c r="FR327" s="9"/>
      <c r="FS327" s="9"/>
      <c r="FT327" s="9"/>
      <c r="FU327" s="9"/>
      <c r="FV327" s="9"/>
      <c r="FW327" s="9"/>
      <c r="FX327" s="9"/>
      <c r="FY327" s="9"/>
      <c r="FZ327" s="9"/>
      <c r="GA327" s="9"/>
      <c r="GB327" s="9"/>
      <c r="GC327" s="9"/>
      <c r="GD327" s="9"/>
      <c r="GE327" s="9"/>
      <c r="GF327" s="9"/>
      <c r="GG327" s="9"/>
      <c r="GH327" s="9"/>
      <c r="GI327" s="9"/>
      <c r="GJ327" s="9"/>
      <c r="GK327" s="9"/>
      <c r="GL327" s="9"/>
      <c r="GM327" s="9"/>
      <c r="GN327" s="9"/>
      <c r="GO327" s="9"/>
      <c r="GP327" s="9"/>
      <c r="GQ327" s="9"/>
      <c r="GR327" s="9"/>
      <c r="GS327" s="9"/>
      <c r="GT327" s="9"/>
      <c r="GU327" s="9"/>
      <c r="GV327" s="9"/>
      <c r="GW327" s="9"/>
      <c r="GX327" s="9"/>
      <c r="GY327" s="9"/>
      <c r="GZ327" s="9"/>
      <c r="HA327" s="9"/>
      <c r="HB327" s="9"/>
      <c r="HC327" s="9"/>
      <c r="HD327" s="9"/>
      <c r="HE327" s="9"/>
      <c r="HF327" s="9"/>
      <c r="HG327" s="9"/>
      <c r="HH327" s="9"/>
      <c r="HI327" s="9"/>
      <c r="HJ327" s="9"/>
      <c r="HK327" s="9"/>
      <c r="HW327" s="58" t="s">
        <v>1454</v>
      </c>
      <c r="HX327" s="58"/>
      <c r="HY327" t="s">
        <v>1462</v>
      </c>
      <c r="HZ327" s="12"/>
      <c r="IA327" t="s">
        <v>1472</v>
      </c>
      <c r="IB327" t="s">
        <v>1471</v>
      </c>
      <c r="II327" t="s">
        <v>1454</v>
      </c>
      <c r="IJ327" t="s">
        <v>19</v>
      </c>
      <c r="JK327" t="s">
        <v>1482</v>
      </c>
      <c r="JL327" s="84" t="s">
        <v>15</v>
      </c>
      <c r="JM327" t="s">
        <v>14</v>
      </c>
      <c r="JN327" t="s">
        <v>1483</v>
      </c>
      <c r="JO327" s="4" t="s">
        <v>13</v>
      </c>
      <c r="JP327" t="s">
        <v>1484</v>
      </c>
      <c r="JQ327" s="4"/>
      <c r="KJ327" t="s">
        <v>1450</v>
      </c>
      <c r="KK327" t="s">
        <v>222</v>
      </c>
      <c r="KL327" s="8" t="s">
        <v>1481</v>
      </c>
      <c r="KM327" s="4" t="s">
        <v>220</v>
      </c>
      <c r="KN327">
        <v>1</v>
      </c>
      <c r="MZ327" t="s">
        <v>1522</v>
      </c>
      <c r="NA327">
        <v>27</v>
      </c>
      <c r="NB327" t="s">
        <v>1468</v>
      </c>
      <c r="NC327" t="s">
        <v>250</v>
      </c>
      <c r="NK327" t="s">
        <v>1467</v>
      </c>
      <c r="NM327" s="4" t="s">
        <v>2456</v>
      </c>
      <c r="NN327" t="s">
        <v>13</v>
      </c>
      <c r="NV327" t="s">
        <v>43</v>
      </c>
      <c r="NW327" t="s">
        <v>6</v>
      </c>
      <c r="NY327" s="2" t="s">
        <v>29</v>
      </c>
      <c r="OC327">
        <v>3</v>
      </c>
      <c r="OD327">
        <v>1370</v>
      </c>
      <c r="OE327" s="88" t="s">
        <v>29</v>
      </c>
      <c r="OT327" t="s">
        <v>1479</v>
      </c>
      <c r="OV327">
        <v>2000</v>
      </c>
      <c r="PA327" t="s">
        <v>1169</v>
      </c>
      <c r="PB327" s="58">
        <v>46104</v>
      </c>
    </row>
    <row r="328" spans="1:418" ht="15.75" thickBot="1">
      <c r="A328" t="s">
        <v>248</v>
      </c>
      <c r="B328" t="s">
        <v>1448</v>
      </c>
      <c r="C328" t="s">
        <v>1173</v>
      </c>
      <c r="D328" s="4" t="s">
        <v>1936</v>
      </c>
      <c r="E328" s="90" t="s">
        <v>1485</v>
      </c>
      <c r="F328" s="90" t="s">
        <v>31</v>
      </c>
      <c r="G328" t="s">
        <v>2</v>
      </c>
      <c r="H328" t="s">
        <v>30</v>
      </c>
      <c r="I328">
        <v>12.133333329999999</v>
      </c>
      <c r="J328">
        <v>8.5333333329999999</v>
      </c>
      <c r="K328" t="s">
        <v>29</v>
      </c>
      <c r="AV328" t="s">
        <v>1487</v>
      </c>
      <c r="AW328">
        <v>27</v>
      </c>
      <c r="AX328" t="s">
        <v>29</v>
      </c>
      <c r="AY328">
        <v>1</v>
      </c>
      <c r="AZ328" t="s">
        <v>1486</v>
      </c>
      <c r="BA328">
        <v>1999</v>
      </c>
      <c r="BB328">
        <v>2000</v>
      </c>
      <c r="BD328" t="s">
        <v>19</v>
      </c>
      <c r="BE328" t="s">
        <v>1455</v>
      </c>
      <c r="BF328" t="s">
        <v>1456</v>
      </c>
      <c r="BG328" s="3" t="s">
        <v>1233</v>
      </c>
      <c r="BH328" t="s">
        <v>250</v>
      </c>
      <c r="BI328" t="s">
        <v>1463</v>
      </c>
      <c r="BJ328" t="s">
        <v>29</v>
      </c>
      <c r="BK328" t="s">
        <v>29</v>
      </c>
      <c r="EH328" s="9"/>
      <c r="EI328" s="9"/>
      <c r="EJ328" s="9"/>
      <c r="EK328" s="9"/>
      <c r="EL328" s="9"/>
      <c r="EM328" s="9"/>
      <c r="EN328" s="9"/>
      <c r="EO328" s="9"/>
      <c r="EP328" s="9"/>
      <c r="EQ328" s="9"/>
      <c r="ER328" s="9"/>
      <c r="ES328" s="9"/>
      <c r="ET328" s="9"/>
      <c r="EU328" s="9"/>
      <c r="EV328" s="9"/>
      <c r="EW328" s="9"/>
      <c r="EX328" s="9"/>
      <c r="EY328" s="9"/>
      <c r="EZ328" s="9"/>
      <c r="FA328" s="9"/>
      <c r="FB328" s="9"/>
      <c r="FC328" s="9"/>
      <c r="FD328" s="9"/>
      <c r="FE328" s="9"/>
      <c r="FF328" s="9"/>
      <c r="FG328" s="9"/>
      <c r="FH328" s="9"/>
      <c r="FI328" s="9"/>
      <c r="FJ328" s="9"/>
      <c r="FK328" s="9"/>
      <c r="FL328" s="9"/>
      <c r="FM328" s="9"/>
      <c r="FN328" s="9"/>
      <c r="FO328" s="9"/>
      <c r="FP328" s="9"/>
      <c r="FQ328" s="9"/>
      <c r="FR328" s="9"/>
      <c r="FS328" s="9"/>
      <c r="FT328" s="9"/>
      <c r="FU328" s="9"/>
      <c r="FV328" s="9"/>
      <c r="FW328" s="9"/>
      <c r="FX328" s="9"/>
      <c r="FY328" s="9"/>
      <c r="FZ328" s="9"/>
      <c r="GA328" s="9"/>
      <c r="GB328" s="9"/>
      <c r="GC328" s="9"/>
      <c r="GD328" s="9"/>
      <c r="GE328" s="9"/>
      <c r="GF328" s="9"/>
      <c r="GG328" s="9"/>
      <c r="GH328" s="9"/>
      <c r="GI328" s="9"/>
      <c r="GJ328" s="9"/>
      <c r="GK328" s="9"/>
      <c r="GL328" s="9"/>
      <c r="GM328" s="9"/>
      <c r="GN328" s="9"/>
      <c r="GO328" s="9"/>
      <c r="GP328" s="9"/>
      <c r="GQ328" s="9"/>
      <c r="GR328" s="9"/>
      <c r="GS328" s="9"/>
      <c r="GT328" s="9"/>
      <c r="GU328" s="9"/>
      <c r="GV328" s="9"/>
      <c r="GW328" s="9"/>
      <c r="GX328" s="9"/>
      <c r="GY328" s="9"/>
      <c r="GZ328" s="9"/>
      <c r="HA328" s="9"/>
      <c r="HB328" s="9"/>
      <c r="HC328" s="9"/>
      <c r="HD328" s="9"/>
      <c r="HE328" s="9"/>
      <c r="HF328" s="9"/>
      <c r="HG328" s="9"/>
      <c r="HH328" s="9"/>
      <c r="HI328" s="9"/>
      <c r="HJ328" s="9"/>
      <c r="HK328" s="9"/>
      <c r="HW328" s="58" t="s">
        <v>1455</v>
      </c>
      <c r="HX328" s="58"/>
      <c r="HY328" t="s">
        <v>1463</v>
      </c>
      <c r="HZ328" s="12"/>
      <c r="IA328" t="s">
        <v>1472</v>
      </c>
      <c r="IB328" t="s">
        <v>1471</v>
      </c>
      <c r="II328" t="s">
        <v>1455</v>
      </c>
      <c r="IJ328" t="s">
        <v>19</v>
      </c>
      <c r="JK328" t="s">
        <v>1482</v>
      </c>
      <c r="JL328" s="84" t="s">
        <v>15</v>
      </c>
      <c r="JM328" t="s">
        <v>14</v>
      </c>
      <c r="JN328" t="s">
        <v>1483</v>
      </c>
      <c r="JO328" s="4" t="s">
        <v>13</v>
      </c>
      <c r="JP328" t="s">
        <v>1484</v>
      </c>
      <c r="JQ328" s="4"/>
      <c r="KJ328" t="s">
        <v>1450</v>
      </c>
      <c r="KK328" t="s">
        <v>222</v>
      </c>
      <c r="KL328" s="8" t="s">
        <v>1481</v>
      </c>
      <c r="KM328" s="4" t="s">
        <v>220</v>
      </c>
      <c r="KN328">
        <v>1</v>
      </c>
      <c r="MZ328" t="s">
        <v>1522</v>
      </c>
      <c r="NA328">
        <v>27</v>
      </c>
      <c r="NB328" t="s">
        <v>1468</v>
      </c>
      <c r="NC328" t="s">
        <v>250</v>
      </c>
      <c r="NK328" t="s">
        <v>1467</v>
      </c>
      <c r="NM328" s="4" t="s">
        <v>2456</v>
      </c>
      <c r="NN328" t="s">
        <v>13</v>
      </c>
      <c r="NV328" t="s">
        <v>252</v>
      </c>
      <c r="NW328" t="s">
        <v>6</v>
      </c>
      <c r="NY328" s="2" t="s">
        <v>29</v>
      </c>
      <c r="OC328">
        <v>3</v>
      </c>
      <c r="OD328">
        <v>554</v>
      </c>
      <c r="OE328" s="88" t="s">
        <v>29</v>
      </c>
      <c r="OT328" t="s">
        <v>1479</v>
      </c>
      <c r="OV328">
        <v>2000</v>
      </c>
      <c r="PA328" t="s">
        <v>1169</v>
      </c>
      <c r="PB328" s="58">
        <v>46104</v>
      </c>
    </row>
    <row r="329" spans="1:418" ht="15.75" thickBot="1">
      <c r="A329" t="s">
        <v>248</v>
      </c>
      <c r="B329" t="s">
        <v>1448</v>
      </c>
      <c r="C329" t="s">
        <v>1173</v>
      </c>
      <c r="D329" s="4" t="s">
        <v>1936</v>
      </c>
      <c r="E329" s="90" t="s">
        <v>1485</v>
      </c>
      <c r="F329" s="90" t="s">
        <v>31</v>
      </c>
      <c r="G329" t="s">
        <v>2</v>
      </c>
      <c r="H329" t="s">
        <v>30</v>
      </c>
      <c r="I329">
        <v>12.133333329999999</v>
      </c>
      <c r="J329">
        <v>8.5333333329999999</v>
      </c>
      <c r="K329" t="s">
        <v>29</v>
      </c>
      <c r="AV329" t="s">
        <v>1487</v>
      </c>
      <c r="AW329">
        <v>27</v>
      </c>
      <c r="AX329" t="s">
        <v>29</v>
      </c>
      <c r="AY329">
        <v>1</v>
      </c>
      <c r="AZ329" t="s">
        <v>1486</v>
      </c>
      <c r="BA329">
        <v>1999</v>
      </c>
      <c r="BB329">
        <v>2000</v>
      </c>
      <c r="BD329" t="s">
        <v>19</v>
      </c>
      <c r="BE329" t="s">
        <v>1457</v>
      </c>
      <c r="BF329" t="s">
        <v>1458</v>
      </c>
      <c r="BG329" s="3" t="s">
        <v>1233</v>
      </c>
      <c r="BH329" t="s">
        <v>250</v>
      </c>
      <c r="BI329" t="s">
        <v>1464</v>
      </c>
      <c r="BJ329" t="s">
        <v>29</v>
      </c>
      <c r="BK329" t="s">
        <v>29</v>
      </c>
      <c r="EH329" s="9"/>
      <c r="EI329" s="9"/>
      <c r="EJ329" s="9"/>
      <c r="EK329" s="9"/>
      <c r="EL329" s="9"/>
      <c r="EM329" s="9"/>
      <c r="EN329" s="9"/>
      <c r="EO329" s="9"/>
      <c r="EP329" s="9"/>
      <c r="EQ329" s="9"/>
      <c r="ER329" s="9"/>
      <c r="ES329" s="9"/>
      <c r="ET329" s="9"/>
      <c r="EU329" s="9"/>
      <c r="EV329" s="9"/>
      <c r="EW329" s="9"/>
      <c r="EX329" s="9"/>
      <c r="EY329" s="9"/>
      <c r="EZ329" s="9"/>
      <c r="FA329" s="9"/>
      <c r="FB329" s="9"/>
      <c r="FC329" s="9"/>
      <c r="FD329" s="9"/>
      <c r="FE329" s="9"/>
      <c r="FF329" s="9"/>
      <c r="FG329" s="9"/>
      <c r="FH329" s="9"/>
      <c r="FI329" s="9"/>
      <c r="FJ329" s="9"/>
      <c r="FK329" s="9"/>
      <c r="FL329" s="9"/>
      <c r="FM329" s="9"/>
      <c r="FN329" s="9"/>
      <c r="FO329" s="9"/>
      <c r="FP329" s="9"/>
      <c r="FQ329" s="9"/>
      <c r="FR329" s="9"/>
      <c r="FS329" s="9"/>
      <c r="FT329" s="9"/>
      <c r="FU329" s="9"/>
      <c r="FV329" s="9"/>
      <c r="FW329" s="9"/>
      <c r="FX329" s="9"/>
      <c r="FY329" s="9"/>
      <c r="FZ329" s="9"/>
      <c r="GA329" s="9"/>
      <c r="GB329" s="9"/>
      <c r="GC329" s="9"/>
      <c r="GD329" s="9"/>
      <c r="GE329" s="9"/>
      <c r="GF329" s="9"/>
      <c r="GG329" s="9"/>
      <c r="GH329" s="9"/>
      <c r="GI329" s="9"/>
      <c r="GJ329" s="9"/>
      <c r="GK329" s="9"/>
      <c r="GL329" s="9"/>
      <c r="GM329" s="9"/>
      <c r="GN329" s="9"/>
      <c r="GO329" s="9"/>
      <c r="GP329" s="9"/>
      <c r="GQ329" s="9"/>
      <c r="GR329" s="9"/>
      <c r="GS329" s="9"/>
      <c r="GT329" s="9"/>
      <c r="GU329" s="9"/>
      <c r="GV329" s="9"/>
      <c r="GW329" s="9"/>
      <c r="GX329" s="9"/>
      <c r="GY329" s="9"/>
      <c r="GZ329" s="9"/>
      <c r="HA329" s="9"/>
      <c r="HB329" s="9"/>
      <c r="HC329" s="9"/>
      <c r="HD329" s="9"/>
      <c r="HE329" s="9"/>
      <c r="HF329" s="9"/>
      <c r="HG329" s="9"/>
      <c r="HH329" s="9"/>
      <c r="HI329" s="9"/>
      <c r="HJ329" s="9"/>
      <c r="HK329" s="9"/>
      <c r="HW329" s="58" t="s">
        <v>1457</v>
      </c>
      <c r="HX329" s="58"/>
      <c r="HY329" t="s">
        <v>1464</v>
      </c>
      <c r="HZ329" s="12"/>
      <c r="IA329" t="s">
        <v>1472</v>
      </c>
      <c r="IB329" t="s">
        <v>1471</v>
      </c>
      <c r="II329" t="s">
        <v>1457</v>
      </c>
      <c r="IJ329" t="s">
        <v>19</v>
      </c>
      <c r="JK329" t="s">
        <v>1482</v>
      </c>
      <c r="JL329" s="84" t="s">
        <v>15</v>
      </c>
      <c r="JM329" t="s">
        <v>14</v>
      </c>
      <c r="JN329" t="s">
        <v>1483</v>
      </c>
      <c r="JO329" s="4" t="s">
        <v>13</v>
      </c>
      <c r="JP329" t="s">
        <v>1484</v>
      </c>
      <c r="JQ329" s="4"/>
      <c r="KJ329" t="s">
        <v>1450</v>
      </c>
      <c r="KK329" t="s">
        <v>222</v>
      </c>
      <c r="KL329" s="8" t="s">
        <v>1481</v>
      </c>
      <c r="KM329" s="4" t="s">
        <v>220</v>
      </c>
      <c r="KN329">
        <v>1</v>
      </c>
      <c r="MZ329" t="s">
        <v>1522</v>
      </c>
      <c r="NA329">
        <v>27</v>
      </c>
      <c r="NB329" t="s">
        <v>1468</v>
      </c>
      <c r="NC329" t="s">
        <v>250</v>
      </c>
      <c r="NK329" t="s">
        <v>1467</v>
      </c>
      <c r="NM329" s="4" t="s">
        <v>2456</v>
      </c>
      <c r="NN329" t="s">
        <v>13</v>
      </c>
      <c r="NV329" t="s">
        <v>236</v>
      </c>
      <c r="NW329" t="s">
        <v>6</v>
      </c>
      <c r="NY329" s="2" t="s">
        <v>29</v>
      </c>
      <c r="OC329">
        <v>3</v>
      </c>
      <c r="OD329">
        <v>1161</v>
      </c>
      <c r="OE329" s="88" t="s">
        <v>29</v>
      </c>
      <c r="OT329" t="s">
        <v>1479</v>
      </c>
      <c r="OV329">
        <v>2000</v>
      </c>
      <c r="PA329" t="s">
        <v>1169</v>
      </c>
      <c r="PB329" s="58">
        <v>46104</v>
      </c>
    </row>
    <row r="330" spans="1:418" ht="15.75" thickBot="1">
      <c r="A330" t="s">
        <v>248</v>
      </c>
      <c r="B330" t="s">
        <v>1448</v>
      </c>
      <c r="C330" t="s">
        <v>1173</v>
      </c>
      <c r="D330" s="4" t="s">
        <v>1936</v>
      </c>
      <c r="E330" s="90" t="s">
        <v>1485</v>
      </c>
      <c r="F330" s="90" t="s">
        <v>31</v>
      </c>
      <c r="G330" t="s">
        <v>2</v>
      </c>
      <c r="H330" t="s">
        <v>30</v>
      </c>
      <c r="I330">
        <v>12.133333329999999</v>
      </c>
      <c r="J330">
        <v>8.5333333329999999</v>
      </c>
      <c r="K330" t="s">
        <v>29</v>
      </c>
      <c r="AV330" t="s">
        <v>1487</v>
      </c>
      <c r="AW330">
        <v>46.5</v>
      </c>
      <c r="AX330" t="s">
        <v>29</v>
      </c>
      <c r="AY330">
        <v>1</v>
      </c>
      <c r="AZ330" t="s">
        <v>1486</v>
      </c>
      <c r="BA330">
        <v>1999</v>
      </c>
      <c r="BB330">
        <v>2000</v>
      </c>
      <c r="BD330" t="s">
        <v>238</v>
      </c>
      <c r="BE330" t="s">
        <v>1473</v>
      </c>
      <c r="BF330" t="s">
        <v>64</v>
      </c>
      <c r="BG330" s="3" t="s">
        <v>1233</v>
      </c>
      <c r="BH330" t="s">
        <v>250</v>
      </c>
      <c r="BI330" t="s">
        <v>1465</v>
      </c>
      <c r="BJ330" t="s">
        <v>29</v>
      </c>
      <c r="BK330" t="s">
        <v>29</v>
      </c>
      <c r="BL330" t="s">
        <v>56</v>
      </c>
      <c r="BM330" t="s">
        <v>1459</v>
      </c>
      <c r="BN330" t="s">
        <v>29</v>
      </c>
      <c r="BO330" t="s">
        <v>29</v>
      </c>
      <c r="BP330" t="s">
        <v>29</v>
      </c>
      <c r="EH330" s="9"/>
      <c r="EI330" s="9"/>
      <c r="EJ330" s="9"/>
      <c r="EK330" s="9"/>
      <c r="EL330" s="9"/>
      <c r="EM330" s="9"/>
      <c r="EN330" s="9"/>
      <c r="EO330" s="9"/>
      <c r="EP330" s="9"/>
      <c r="EQ330" s="9"/>
      <c r="ER330" s="9"/>
      <c r="ES330" s="9"/>
      <c r="ET330" s="9"/>
      <c r="EU330" s="9"/>
      <c r="EV330" s="9"/>
      <c r="EW330" s="9"/>
      <c r="EX330" s="9"/>
      <c r="EY330" s="9"/>
      <c r="EZ330" s="9"/>
      <c r="FA330" s="9"/>
      <c r="FB330" s="9"/>
      <c r="FC330" s="9"/>
      <c r="FD330" s="9"/>
      <c r="FE330" s="9"/>
      <c r="FF330" s="9"/>
      <c r="FG330" s="9"/>
      <c r="FH330" s="9"/>
      <c r="FI330" s="9"/>
      <c r="FJ330" s="9"/>
      <c r="FK330" s="9"/>
      <c r="FL330" s="9"/>
      <c r="FM330" s="9"/>
      <c r="FN330" s="9"/>
      <c r="FO330" s="9"/>
      <c r="FP330" s="9"/>
      <c r="FQ330" s="9"/>
      <c r="FR330" s="9"/>
      <c r="FS330" s="9"/>
      <c r="FT330" s="9"/>
      <c r="FU330" s="9"/>
      <c r="FV330" s="9"/>
      <c r="FW330" s="9"/>
      <c r="FX330" s="9"/>
      <c r="FY330" s="9"/>
      <c r="FZ330" s="9"/>
      <c r="GA330" s="9"/>
      <c r="GB330" s="9"/>
      <c r="GC330" s="9"/>
      <c r="GD330" s="9"/>
      <c r="GE330" s="9"/>
      <c r="GF330" s="9"/>
      <c r="GG330" s="9"/>
      <c r="GH330" s="9"/>
      <c r="GI330" s="9"/>
      <c r="GJ330" s="9"/>
      <c r="GK330" s="9"/>
      <c r="GL330" s="9"/>
      <c r="GM330" s="9"/>
      <c r="GN330" s="9"/>
      <c r="GO330" s="9"/>
      <c r="GP330" s="9"/>
      <c r="GQ330" s="9"/>
      <c r="GR330" s="9"/>
      <c r="GS330" s="9"/>
      <c r="GT330" s="9"/>
      <c r="GU330" s="9"/>
      <c r="GV330" s="9"/>
      <c r="GW330" s="9"/>
      <c r="GX330" s="9"/>
      <c r="GY330" s="9"/>
      <c r="GZ330" s="9"/>
      <c r="HA330" s="9"/>
      <c r="HB330" s="9"/>
      <c r="HC330" s="9"/>
      <c r="HD330" s="9"/>
      <c r="HE330" s="9"/>
      <c r="HF330" s="9"/>
      <c r="HG330" s="9"/>
      <c r="HH330" s="9"/>
      <c r="HI330" s="9"/>
      <c r="HJ330" s="9"/>
      <c r="HK330" s="9"/>
      <c r="HW330" s="58" t="s">
        <v>1449</v>
      </c>
      <c r="HX330" s="58"/>
      <c r="HY330" t="s">
        <v>1465</v>
      </c>
      <c r="HZ330" s="12"/>
      <c r="IA330" s="4" t="s">
        <v>1469</v>
      </c>
      <c r="IB330" t="s">
        <v>1470</v>
      </c>
      <c r="II330" t="s">
        <v>1473</v>
      </c>
      <c r="IJ330" t="s">
        <v>1190</v>
      </c>
      <c r="IK330" t="s">
        <v>1466</v>
      </c>
      <c r="IL330" t="s">
        <v>661</v>
      </c>
      <c r="IM330" s="88">
        <v>1999</v>
      </c>
      <c r="IN330" s="88" t="s">
        <v>29</v>
      </c>
      <c r="IO330" s="87" t="s">
        <v>29</v>
      </c>
      <c r="JK330" t="s">
        <v>1482</v>
      </c>
      <c r="JL330" s="84" t="s">
        <v>15</v>
      </c>
      <c r="JM330" t="s">
        <v>14</v>
      </c>
      <c r="JN330" t="s">
        <v>1483</v>
      </c>
      <c r="JO330" s="4" t="s">
        <v>13</v>
      </c>
      <c r="JP330" t="s">
        <v>1484</v>
      </c>
      <c r="JQ330" s="4"/>
      <c r="KJ330" t="s">
        <v>1450</v>
      </c>
      <c r="KK330" t="s">
        <v>222</v>
      </c>
      <c r="KL330" s="8" t="s">
        <v>1481</v>
      </c>
      <c r="KM330" s="4" t="s">
        <v>220</v>
      </c>
      <c r="KN330">
        <v>1</v>
      </c>
      <c r="MZ330" t="s">
        <v>1522</v>
      </c>
      <c r="NA330">
        <v>46.5</v>
      </c>
      <c r="NB330" t="s">
        <v>1468</v>
      </c>
      <c r="NC330" t="s">
        <v>250</v>
      </c>
      <c r="ND330" t="s">
        <v>1459</v>
      </c>
      <c r="NK330" t="s">
        <v>1488</v>
      </c>
      <c r="NM330" s="4" t="s">
        <v>2456</v>
      </c>
      <c r="NN330" t="s">
        <v>13</v>
      </c>
      <c r="NW330" t="s">
        <v>6</v>
      </c>
      <c r="NY330" s="2" t="s">
        <v>29</v>
      </c>
      <c r="OC330">
        <v>3</v>
      </c>
      <c r="OD330">
        <v>691</v>
      </c>
      <c r="OE330" s="88" t="s">
        <v>29</v>
      </c>
      <c r="OF330" s="88" t="s">
        <v>29</v>
      </c>
      <c r="OG330" s="88" t="s">
        <v>29</v>
      </c>
      <c r="ON330">
        <v>0.35</v>
      </c>
      <c r="OO330" s="2" t="s">
        <v>29</v>
      </c>
      <c r="OP330">
        <v>0.78</v>
      </c>
      <c r="OQ330" s="2" t="s">
        <v>29</v>
      </c>
      <c r="OR330">
        <v>1.1299999999999999</v>
      </c>
      <c r="OS330" s="2" t="s">
        <v>29</v>
      </c>
      <c r="OT330" t="s">
        <v>1480</v>
      </c>
      <c r="OV330">
        <v>2000</v>
      </c>
      <c r="PA330" t="s">
        <v>1169</v>
      </c>
      <c r="PB330" s="58">
        <v>46104</v>
      </c>
    </row>
    <row r="331" spans="1:418" ht="15.75" thickBot="1">
      <c r="A331" t="s">
        <v>248</v>
      </c>
      <c r="B331" t="s">
        <v>1448</v>
      </c>
      <c r="C331" t="s">
        <v>1173</v>
      </c>
      <c r="D331" s="4" t="s">
        <v>1936</v>
      </c>
      <c r="E331" s="90" t="s">
        <v>1485</v>
      </c>
      <c r="F331" s="90" t="s">
        <v>31</v>
      </c>
      <c r="G331" t="s">
        <v>2</v>
      </c>
      <c r="H331" t="s">
        <v>30</v>
      </c>
      <c r="I331">
        <v>12.133333329999999</v>
      </c>
      <c r="J331">
        <v>8.5333333329999999</v>
      </c>
      <c r="K331" t="s">
        <v>29</v>
      </c>
      <c r="AV331" t="s">
        <v>1487</v>
      </c>
      <c r="AW331">
        <v>46.5</v>
      </c>
      <c r="AX331" t="s">
        <v>29</v>
      </c>
      <c r="AY331">
        <v>1</v>
      </c>
      <c r="AZ331" t="s">
        <v>1486</v>
      </c>
      <c r="BA331">
        <v>1999</v>
      </c>
      <c r="BB331">
        <v>2000</v>
      </c>
      <c r="BD331" t="s">
        <v>238</v>
      </c>
      <c r="BE331" t="s">
        <v>1474</v>
      </c>
      <c r="BF331" t="s">
        <v>57</v>
      </c>
      <c r="BG331" s="3" t="s">
        <v>1233</v>
      </c>
      <c r="BH331" t="s">
        <v>250</v>
      </c>
      <c r="BI331" t="s">
        <v>1460</v>
      </c>
      <c r="BJ331" t="s">
        <v>29</v>
      </c>
      <c r="BK331" t="s">
        <v>29</v>
      </c>
      <c r="BL331" t="s">
        <v>56</v>
      </c>
      <c r="BM331" t="s">
        <v>1459</v>
      </c>
      <c r="BN331" t="s">
        <v>29</v>
      </c>
      <c r="BO331" t="s">
        <v>29</v>
      </c>
      <c r="BP331" t="s">
        <v>29</v>
      </c>
      <c r="EH331" s="9"/>
      <c r="EI331" s="9"/>
      <c r="EJ331" s="9"/>
      <c r="EK331" s="9"/>
      <c r="EL331" s="9"/>
      <c r="EM331" s="9"/>
      <c r="EN331" s="9"/>
      <c r="EO331" s="9"/>
      <c r="EP331" s="9"/>
      <c r="EQ331" s="9"/>
      <c r="ER331" s="9"/>
      <c r="ES331" s="9"/>
      <c r="ET331" s="9"/>
      <c r="EU331" s="9"/>
      <c r="EV331" s="9"/>
      <c r="EW331" s="9"/>
      <c r="EX331" s="9"/>
      <c r="EY331" s="9"/>
      <c r="EZ331" s="9"/>
      <c r="FA331" s="9"/>
      <c r="FB331" s="9"/>
      <c r="FC331" s="9"/>
      <c r="FD331" s="9"/>
      <c r="FE331" s="9"/>
      <c r="FF331" s="9"/>
      <c r="FG331" s="9"/>
      <c r="FH331" s="9"/>
      <c r="FI331" s="9"/>
      <c r="FJ331" s="9"/>
      <c r="FK331" s="9"/>
      <c r="FL331" s="9"/>
      <c r="FM331" s="9"/>
      <c r="FN331" s="9"/>
      <c r="FO331" s="9"/>
      <c r="FP331" s="9"/>
      <c r="FQ331" s="9"/>
      <c r="FR331" s="9"/>
      <c r="FS331" s="9"/>
      <c r="FT331" s="9"/>
      <c r="FU331" s="9"/>
      <c r="FV331" s="9"/>
      <c r="FW331" s="9"/>
      <c r="FX331" s="9"/>
      <c r="FY331" s="9"/>
      <c r="FZ331" s="9"/>
      <c r="GA331" s="9"/>
      <c r="GB331" s="9"/>
      <c r="GC331" s="9"/>
      <c r="GD331" s="9"/>
      <c r="GE331" s="9"/>
      <c r="GF331" s="9"/>
      <c r="GG331" s="9"/>
      <c r="GH331" s="9"/>
      <c r="GI331" s="9"/>
      <c r="GJ331" s="9"/>
      <c r="GK331" s="9"/>
      <c r="GL331" s="9"/>
      <c r="GM331" s="9"/>
      <c r="GN331" s="9"/>
      <c r="GO331" s="9"/>
      <c r="GP331" s="9"/>
      <c r="GQ331" s="9"/>
      <c r="GR331" s="9"/>
      <c r="GS331" s="9"/>
      <c r="GT331" s="9"/>
      <c r="GU331" s="9"/>
      <c r="GV331" s="9"/>
      <c r="GW331" s="9"/>
      <c r="GX331" s="9"/>
      <c r="GY331" s="9"/>
      <c r="GZ331" s="9"/>
      <c r="HA331" s="9"/>
      <c r="HB331" s="9"/>
      <c r="HC331" s="9"/>
      <c r="HD331" s="9"/>
      <c r="HE331" s="9"/>
      <c r="HF331" s="9"/>
      <c r="HG331" s="9"/>
      <c r="HH331" s="9"/>
      <c r="HI331" s="9"/>
      <c r="HJ331" s="9"/>
      <c r="HK331" s="9"/>
      <c r="HW331" s="58" t="s">
        <v>1452</v>
      </c>
      <c r="HX331" s="58"/>
      <c r="HY331" t="s">
        <v>1460</v>
      </c>
      <c r="HZ331" s="12"/>
      <c r="IA331" t="s">
        <v>1472</v>
      </c>
      <c r="IB331" t="s">
        <v>1471</v>
      </c>
      <c r="II331" t="s">
        <v>1474</v>
      </c>
      <c r="IJ331" t="s">
        <v>1190</v>
      </c>
      <c r="IK331" t="s">
        <v>1466</v>
      </c>
      <c r="IL331" t="s">
        <v>661</v>
      </c>
      <c r="IM331" s="88">
        <v>1999</v>
      </c>
      <c r="IN331" s="87" t="s">
        <v>29</v>
      </c>
      <c r="IO331" s="87" t="s">
        <v>29</v>
      </c>
      <c r="JK331" t="s">
        <v>1482</v>
      </c>
      <c r="JL331" s="84" t="s">
        <v>15</v>
      </c>
      <c r="JM331" t="s">
        <v>14</v>
      </c>
      <c r="JN331" t="s">
        <v>1483</v>
      </c>
      <c r="JO331" s="4" t="s">
        <v>13</v>
      </c>
      <c r="JP331" t="s">
        <v>1484</v>
      </c>
      <c r="JQ331" s="4"/>
      <c r="KJ331" t="s">
        <v>1450</v>
      </c>
      <c r="KK331" t="s">
        <v>222</v>
      </c>
      <c r="KL331" s="8" t="s">
        <v>1481</v>
      </c>
      <c r="KM331" s="4" t="s">
        <v>220</v>
      </c>
      <c r="KN331">
        <v>1</v>
      </c>
      <c r="MZ331" t="s">
        <v>1522</v>
      </c>
      <c r="NA331">
        <v>46.5</v>
      </c>
      <c r="NB331" t="s">
        <v>1468</v>
      </c>
      <c r="NC331" t="s">
        <v>250</v>
      </c>
      <c r="ND331" t="s">
        <v>1459</v>
      </c>
      <c r="NK331" t="s">
        <v>1488</v>
      </c>
      <c r="NM331" s="4" t="s">
        <v>2456</v>
      </c>
      <c r="NN331" t="s">
        <v>13</v>
      </c>
      <c r="NW331" t="s">
        <v>6</v>
      </c>
      <c r="NY331" s="2" t="s">
        <v>29</v>
      </c>
      <c r="OC331">
        <v>3</v>
      </c>
      <c r="OD331">
        <v>1019</v>
      </c>
      <c r="OE331" s="88" t="s">
        <v>29</v>
      </c>
      <c r="OF331" s="88" t="s">
        <v>29</v>
      </c>
      <c r="OG331" s="88" t="s">
        <v>29</v>
      </c>
      <c r="ON331">
        <v>0.51</v>
      </c>
      <c r="OO331" s="2" t="s">
        <v>29</v>
      </c>
      <c r="OP331">
        <v>0.85</v>
      </c>
      <c r="OQ331" s="2" t="s">
        <v>29</v>
      </c>
      <c r="OR331">
        <v>1.37</v>
      </c>
      <c r="OS331" s="2" t="s">
        <v>29</v>
      </c>
      <c r="OT331" t="s">
        <v>1480</v>
      </c>
      <c r="OV331">
        <v>2000</v>
      </c>
      <c r="PA331" t="s">
        <v>1169</v>
      </c>
      <c r="PB331" s="58">
        <v>46104</v>
      </c>
    </row>
    <row r="332" spans="1:418" ht="15.75" thickBot="1">
      <c r="A332" t="s">
        <v>248</v>
      </c>
      <c r="B332" t="s">
        <v>1448</v>
      </c>
      <c r="C332" t="s">
        <v>1173</v>
      </c>
      <c r="D332" s="4" t="s">
        <v>1936</v>
      </c>
      <c r="E332" s="90" t="s">
        <v>1485</v>
      </c>
      <c r="F332" s="90" t="s">
        <v>31</v>
      </c>
      <c r="G332" t="s">
        <v>2</v>
      </c>
      <c r="H332" t="s">
        <v>30</v>
      </c>
      <c r="I332">
        <v>12.133333329999999</v>
      </c>
      <c r="J332">
        <v>8.5333333329999999</v>
      </c>
      <c r="K332" t="s">
        <v>29</v>
      </c>
      <c r="AV332" t="s">
        <v>1487</v>
      </c>
      <c r="AW332">
        <v>46.5</v>
      </c>
      <c r="AX332" t="s">
        <v>29</v>
      </c>
      <c r="AY332">
        <v>1</v>
      </c>
      <c r="AZ332" t="s">
        <v>1486</v>
      </c>
      <c r="BA332">
        <v>1999</v>
      </c>
      <c r="BB332">
        <v>2000</v>
      </c>
      <c r="BD332" t="s">
        <v>238</v>
      </c>
      <c r="BE332" t="s">
        <v>1475</v>
      </c>
      <c r="BF332" t="s">
        <v>48</v>
      </c>
      <c r="BG332" s="3" t="s">
        <v>1233</v>
      </c>
      <c r="BH332" t="s">
        <v>250</v>
      </c>
      <c r="BI332" t="s">
        <v>1461</v>
      </c>
      <c r="BJ332" t="s">
        <v>29</v>
      </c>
      <c r="BK332" t="s">
        <v>29</v>
      </c>
      <c r="BL332" t="s">
        <v>56</v>
      </c>
      <c r="BM332" t="s">
        <v>1459</v>
      </c>
      <c r="BN332" t="s">
        <v>29</v>
      </c>
      <c r="BO332" t="s">
        <v>29</v>
      </c>
      <c r="BP332" t="s">
        <v>29</v>
      </c>
      <c r="EH332" s="9"/>
      <c r="EI332" s="9"/>
      <c r="EJ332" s="9"/>
      <c r="EK332" s="9"/>
      <c r="EL332" s="9"/>
      <c r="EM332" s="9"/>
      <c r="EN332" s="9"/>
      <c r="EO332" s="9"/>
      <c r="EP332" s="9"/>
      <c r="EQ332" s="9"/>
      <c r="ER332" s="9"/>
      <c r="ES332" s="9"/>
      <c r="ET332" s="9"/>
      <c r="EU332" s="9"/>
      <c r="EV332" s="9"/>
      <c r="EW332" s="9"/>
      <c r="EX332" s="9"/>
      <c r="EY332" s="9"/>
      <c r="EZ332" s="9"/>
      <c r="FA332" s="9"/>
      <c r="FB332" s="9"/>
      <c r="FC332" s="9"/>
      <c r="FD332" s="9"/>
      <c r="FE332" s="9"/>
      <c r="FF332" s="9"/>
      <c r="FG332" s="9"/>
      <c r="FH332" s="9"/>
      <c r="FI332" s="9"/>
      <c r="FJ332" s="9"/>
      <c r="FK332" s="9"/>
      <c r="FL332" s="9"/>
      <c r="FM332" s="9"/>
      <c r="FN332" s="9"/>
      <c r="FO332" s="9"/>
      <c r="FP332" s="9"/>
      <c r="FQ332" s="9"/>
      <c r="FR332" s="9"/>
      <c r="FS332" s="9"/>
      <c r="FT332" s="9"/>
      <c r="FU332" s="9"/>
      <c r="FV332" s="9"/>
      <c r="FW332" s="9"/>
      <c r="FX332" s="9"/>
      <c r="FY332" s="9"/>
      <c r="FZ332" s="9"/>
      <c r="GA332" s="9"/>
      <c r="GB332" s="9"/>
      <c r="GC332" s="9"/>
      <c r="GD332" s="9"/>
      <c r="GE332" s="9"/>
      <c r="GF332" s="9"/>
      <c r="GG332" s="9"/>
      <c r="GH332" s="9"/>
      <c r="GI332" s="9"/>
      <c r="GJ332" s="9"/>
      <c r="GK332" s="9"/>
      <c r="GL332" s="9"/>
      <c r="GM332" s="9"/>
      <c r="GN332" s="9"/>
      <c r="GO332" s="9"/>
      <c r="GP332" s="9"/>
      <c r="GQ332" s="9"/>
      <c r="GR332" s="9"/>
      <c r="GS332" s="9"/>
      <c r="GT332" s="9"/>
      <c r="GU332" s="9"/>
      <c r="GV332" s="9"/>
      <c r="GW332" s="9"/>
      <c r="GX332" s="9"/>
      <c r="GY332" s="9"/>
      <c r="GZ332" s="9"/>
      <c r="HA332" s="9"/>
      <c r="HB332" s="9"/>
      <c r="HC332" s="9"/>
      <c r="HD332" s="9"/>
      <c r="HE332" s="9"/>
      <c r="HF332" s="9"/>
      <c r="HG332" s="9"/>
      <c r="HH332" s="9"/>
      <c r="HI332" s="9"/>
      <c r="HJ332" s="9"/>
      <c r="HK332" s="9"/>
      <c r="HW332" s="58" t="s">
        <v>1453</v>
      </c>
      <c r="HX332" s="58"/>
      <c r="HY332" t="s">
        <v>1461</v>
      </c>
      <c r="HZ332" s="12"/>
      <c r="IA332" t="s">
        <v>1472</v>
      </c>
      <c r="IB332" t="s">
        <v>1471</v>
      </c>
      <c r="II332" t="s">
        <v>1475</v>
      </c>
      <c r="IJ332" t="s">
        <v>1190</v>
      </c>
      <c r="IK332" t="s">
        <v>1466</v>
      </c>
      <c r="IL332" t="s">
        <v>661</v>
      </c>
      <c r="IM332" s="88">
        <v>1999</v>
      </c>
      <c r="IN332" s="88" t="s">
        <v>29</v>
      </c>
      <c r="IO332" s="87" t="s">
        <v>29</v>
      </c>
      <c r="JK332" t="s">
        <v>1482</v>
      </c>
      <c r="JL332" s="84" t="s">
        <v>15</v>
      </c>
      <c r="JM332" t="s">
        <v>14</v>
      </c>
      <c r="JN332" t="s">
        <v>1483</v>
      </c>
      <c r="JO332" s="4" t="s">
        <v>13</v>
      </c>
      <c r="JP332" t="s">
        <v>1484</v>
      </c>
      <c r="JQ332" s="4"/>
      <c r="KJ332" t="s">
        <v>1450</v>
      </c>
      <c r="KK332" t="s">
        <v>222</v>
      </c>
      <c r="KL332" s="8" t="s">
        <v>1481</v>
      </c>
      <c r="KM332" s="4" t="s">
        <v>220</v>
      </c>
      <c r="KN332">
        <v>1</v>
      </c>
      <c r="MZ332" t="s">
        <v>1522</v>
      </c>
      <c r="NA332">
        <v>46.5</v>
      </c>
      <c r="NB332" t="s">
        <v>1468</v>
      </c>
      <c r="NC332" t="s">
        <v>250</v>
      </c>
      <c r="ND332" t="s">
        <v>1459</v>
      </c>
      <c r="NK332" t="s">
        <v>1488</v>
      </c>
      <c r="NM332" s="4" t="s">
        <v>2456</v>
      </c>
      <c r="NN332" t="s">
        <v>13</v>
      </c>
      <c r="NW332" t="s">
        <v>6</v>
      </c>
      <c r="NY332" s="2" t="s">
        <v>29</v>
      </c>
      <c r="OC332">
        <v>3</v>
      </c>
      <c r="OD332">
        <v>795</v>
      </c>
      <c r="OE332" s="88" t="s">
        <v>29</v>
      </c>
      <c r="OF332" s="88" t="s">
        <v>29</v>
      </c>
      <c r="OG332" s="88" t="s">
        <v>29</v>
      </c>
      <c r="ON332">
        <v>0.4</v>
      </c>
      <c r="OO332" s="2" t="s">
        <v>29</v>
      </c>
      <c r="OP332">
        <v>0.86</v>
      </c>
      <c r="OQ332" s="2" t="s">
        <v>29</v>
      </c>
      <c r="OR332">
        <v>1.26</v>
      </c>
      <c r="OS332" s="2" t="s">
        <v>29</v>
      </c>
      <c r="OT332" t="s">
        <v>1480</v>
      </c>
      <c r="OV332">
        <v>2000</v>
      </c>
      <c r="PA332" t="s">
        <v>1169</v>
      </c>
      <c r="PB332" s="58">
        <v>46104</v>
      </c>
    </row>
    <row r="333" spans="1:418" ht="15.75" thickBot="1">
      <c r="A333" t="s">
        <v>248</v>
      </c>
      <c r="B333" t="s">
        <v>1448</v>
      </c>
      <c r="C333" t="s">
        <v>1173</v>
      </c>
      <c r="D333" s="4" t="s">
        <v>1936</v>
      </c>
      <c r="E333" s="90" t="s">
        <v>1485</v>
      </c>
      <c r="F333" s="90" t="s">
        <v>31</v>
      </c>
      <c r="G333" t="s">
        <v>2</v>
      </c>
      <c r="H333" t="s">
        <v>30</v>
      </c>
      <c r="I333">
        <v>12.133333329999999</v>
      </c>
      <c r="J333">
        <v>8.5333333329999999</v>
      </c>
      <c r="K333" t="s">
        <v>29</v>
      </c>
      <c r="AV333" t="s">
        <v>1487</v>
      </c>
      <c r="AW333">
        <v>46.5</v>
      </c>
      <c r="AX333" t="s">
        <v>29</v>
      </c>
      <c r="AY333">
        <v>1</v>
      </c>
      <c r="AZ333" t="s">
        <v>1486</v>
      </c>
      <c r="BA333">
        <v>1999</v>
      </c>
      <c r="BB333">
        <v>2000</v>
      </c>
      <c r="BD333" t="s">
        <v>238</v>
      </c>
      <c r="BE333" t="s">
        <v>1476</v>
      </c>
      <c r="BF333" t="s">
        <v>43</v>
      </c>
      <c r="BG333" s="3" t="s">
        <v>1233</v>
      </c>
      <c r="BH333" t="s">
        <v>250</v>
      </c>
      <c r="BI333" t="s">
        <v>1462</v>
      </c>
      <c r="BJ333" t="s">
        <v>29</v>
      </c>
      <c r="BK333" t="s">
        <v>29</v>
      </c>
      <c r="BL333" t="s">
        <v>56</v>
      </c>
      <c r="BM333" t="s">
        <v>1459</v>
      </c>
      <c r="BN333" t="s">
        <v>29</v>
      </c>
      <c r="BO333" t="s">
        <v>29</v>
      </c>
      <c r="BP333" t="s">
        <v>29</v>
      </c>
      <c r="EH333" s="9"/>
      <c r="EI333" s="9"/>
      <c r="EJ333" s="9"/>
      <c r="EK333" s="9"/>
      <c r="EL333" s="9"/>
      <c r="EM333" s="9"/>
      <c r="EN333" s="9"/>
      <c r="EO333" s="9"/>
      <c r="EP333" s="9"/>
      <c r="EQ333" s="9"/>
      <c r="ER333" s="9"/>
      <c r="ES333" s="9"/>
      <c r="ET333" s="9"/>
      <c r="EU333" s="9"/>
      <c r="EV333" s="9"/>
      <c r="EW333" s="9"/>
      <c r="EX333" s="9"/>
      <c r="EY333" s="9"/>
      <c r="EZ333" s="9"/>
      <c r="FA333" s="9"/>
      <c r="FB333" s="9"/>
      <c r="FC333" s="9"/>
      <c r="FD333" s="9"/>
      <c r="FE333" s="9"/>
      <c r="FF333" s="9"/>
      <c r="FG333" s="9"/>
      <c r="FH333" s="9"/>
      <c r="FI333" s="9"/>
      <c r="FJ333" s="9"/>
      <c r="FK333" s="9"/>
      <c r="FL333" s="9"/>
      <c r="FM333" s="9"/>
      <c r="FN333" s="9"/>
      <c r="FO333" s="9"/>
      <c r="FP333" s="9"/>
      <c r="FQ333" s="9"/>
      <c r="FR333" s="9"/>
      <c r="FS333" s="9"/>
      <c r="FT333" s="9"/>
      <c r="FU333" s="9"/>
      <c r="FV333" s="9"/>
      <c r="FW333" s="9"/>
      <c r="FX333" s="9"/>
      <c r="FY333" s="9"/>
      <c r="FZ333" s="9"/>
      <c r="GA333" s="9"/>
      <c r="GB333" s="9"/>
      <c r="GC333" s="9"/>
      <c r="GD333" s="9"/>
      <c r="GE333" s="9"/>
      <c r="GF333" s="9"/>
      <c r="GG333" s="9"/>
      <c r="GH333" s="9"/>
      <c r="GI333" s="9"/>
      <c r="GJ333" s="9"/>
      <c r="GK333" s="9"/>
      <c r="GL333" s="9"/>
      <c r="GM333" s="9"/>
      <c r="GN333" s="9"/>
      <c r="GO333" s="9"/>
      <c r="GP333" s="9"/>
      <c r="GQ333" s="9"/>
      <c r="GR333" s="9"/>
      <c r="GS333" s="9"/>
      <c r="GT333" s="9"/>
      <c r="GU333" s="9"/>
      <c r="GV333" s="9"/>
      <c r="GW333" s="9"/>
      <c r="GX333" s="9"/>
      <c r="GY333" s="9"/>
      <c r="GZ333" s="9"/>
      <c r="HA333" s="9"/>
      <c r="HB333" s="9"/>
      <c r="HC333" s="9"/>
      <c r="HD333" s="9"/>
      <c r="HE333" s="9"/>
      <c r="HF333" s="9"/>
      <c r="HG333" s="9"/>
      <c r="HH333" s="9"/>
      <c r="HI333" s="9"/>
      <c r="HJ333" s="9"/>
      <c r="HK333" s="9"/>
      <c r="HW333" s="58" t="s">
        <v>1454</v>
      </c>
      <c r="HX333" s="58"/>
      <c r="HY333" t="s">
        <v>1462</v>
      </c>
      <c r="HZ333" s="12"/>
      <c r="IA333" t="s">
        <v>1472</v>
      </c>
      <c r="IB333" t="s">
        <v>1471</v>
      </c>
      <c r="II333" t="s">
        <v>1476</v>
      </c>
      <c r="IJ333" t="s">
        <v>1190</v>
      </c>
      <c r="IK333" t="s">
        <v>1466</v>
      </c>
      <c r="IL333" t="s">
        <v>661</v>
      </c>
      <c r="IM333" s="88">
        <v>1999</v>
      </c>
      <c r="IN333" s="87" t="s">
        <v>29</v>
      </c>
      <c r="IO333" s="87" t="s">
        <v>29</v>
      </c>
      <c r="JK333" t="s">
        <v>1482</v>
      </c>
      <c r="JL333" s="84" t="s">
        <v>15</v>
      </c>
      <c r="JM333" t="s">
        <v>14</v>
      </c>
      <c r="JN333" t="s">
        <v>1483</v>
      </c>
      <c r="JO333" s="4" t="s">
        <v>13</v>
      </c>
      <c r="JP333" t="s">
        <v>1484</v>
      </c>
      <c r="JQ333" s="4"/>
      <c r="KJ333" t="s">
        <v>1450</v>
      </c>
      <c r="KK333" t="s">
        <v>222</v>
      </c>
      <c r="KL333" s="8" t="s">
        <v>1481</v>
      </c>
      <c r="KM333" s="4" t="s">
        <v>220</v>
      </c>
      <c r="KN333">
        <v>1</v>
      </c>
      <c r="MZ333" t="s">
        <v>1522</v>
      </c>
      <c r="NA333">
        <v>46.5</v>
      </c>
      <c r="NB333" t="s">
        <v>1468</v>
      </c>
      <c r="NC333" t="s">
        <v>250</v>
      </c>
      <c r="ND333" t="s">
        <v>1459</v>
      </c>
      <c r="NK333" t="s">
        <v>1488</v>
      </c>
      <c r="NM333" s="4" t="s">
        <v>2456</v>
      </c>
      <c r="NN333" t="s">
        <v>13</v>
      </c>
      <c r="NW333" t="s">
        <v>6</v>
      </c>
      <c r="NY333" s="2" t="s">
        <v>29</v>
      </c>
      <c r="OC333">
        <v>3</v>
      </c>
      <c r="OD333">
        <v>765</v>
      </c>
      <c r="OE333" s="88" t="s">
        <v>29</v>
      </c>
      <c r="OF333" s="88" t="s">
        <v>29</v>
      </c>
      <c r="OG333" s="88" t="s">
        <v>29</v>
      </c>
      <c r="ON333">
        <v>0.39</v>
      </c>
      <c r="OO333" s="2" t="s">
        <v>29</v>
      </c>
      <c r="OP333">
        <v>0.82</v>
      </c>
      <c r="OQ333" s="2" t="s">
        <v>29</v>
      </c>
      <c r="OR333">
        <v>1.21</v>
      </c>
      <c r="OS333" s="2" t="s">
        <v>29</v>
      </c>
      <c r="OT333" t="s">
        <v>1480</v>
      </c>
      <c r="OV333">
        <v>2000</v>
      </c>
      <c r="PA333" t="s">
        <v>1169</v>
      </c>
      <c r="PB333" s="58">
        <v>46104</v>
      </c>
    </row>
    <row r="334" spans="1:418" ht="15.75" thickBot="1">
      <c r="A334" t="s">
        <v>248</v>
      </c>
      <c r="B334" t="s">
        <v>1448</v>
      </c>
      <c r="C334" t="s">
        <v>1173</v>
      </c>
      <c r="D334" s="4" t="s">
        <v>1936</v>
      </c>
      <c r="E334" s="90" t="s">
        <v>1485</v>
      </c>
      <c r="F334" s="90" t="s">
        <v>31</v>
      </c>
      <c r="G334" t="s">
        <v>2</v>
      </c>
      <c r="H334" t="s">
        <v>30</v>
      </c>
      <c r="I334">
        <v>12.133333329999999</v>
      </c>
      <c r="J334">
        <v>8.5333333329999999</v>
      </c>
      <c r="K334" t="s">
        <v>29</v>
      </c>
      <c r="AV334" t="s">
        <v>1487</v>
      </c>
      <c r="AW334">
        <v>46.5</v>
      </c>
      <c r="AX334" t="s">
        <v>29</v>
      </c>
      <c r="AY334">
        <v>1</v>
      </c>
      <c r="AZ334" t="s">
        <v>1486</v>
      </c>
      <c r="BA334">
        <v>1999</v>
      </c>
      <c r="BB334">
        <v>2000</v>
      </c>
      <c r="BD334" t="s">
        <v>238</v>
      </c>
      <c r="BE334" t="s">
        <v>1477</v>
      </c>
      <c r="BF334" t="s">
        <v>252</v>
      </c>
      <c r="BG334" s="3" t="s">
        <v>1233</v>
      </c>
      <c r="BH334" t="s">
        <v>250</v>
      </c>
      <c r="BI334" t="s">
        <v>1463</v>
      </c>
      <c r="BJ334" t="s">
        <v>29</v>
      </c>
      <c r="BK334" t="s">
        <v>29</v>
      </c>
      <c r="BL334" t="s">
        <v>56</v>
      </c>
      <c r="BM334" t="s">
        <v>1459</v>
      </c>
      <c r="BN334" t="s">
        <v>29</v>
      </c>
      <c r="BO334" t="s">
        <v>29</v>
      </c>
      <c r="BP334" t="s">
        <v>29</v>
      </c>
      <c r="EH334" s="9"/>
      <c r="EI334" s="9"/>
      <c r="EJ334" s="9"/>
      <c r="EK334" s="9"/>
      <c r="EL334" s="9"/>
      <c r="EM334" s="9"/>
      <c r="EN334" s="9"/>
      <c r="EO334" s="9"/>
      <c r="EP334" s="9"/>
      <c r="EQ334" s="9"/>
      <c r="ER334" s="9"/>
      <c r="ES334" s="9"/>
      <c r="ET334" s="9"/>
      <c r="EU334" s="9"/>
      <c r="EV334" s="9"/>
      <c r="EW334" s="9"/>
      <c r="EX334" s="9"/>
      <c r="EY334" s="9"/>
      <c r="EZ334" s="9"/>
      <c r="FA334" s="9"/>
      <c r="FB334" s="9"/>
      <c r="FC334" s="9"/>
      <c r="FD334" s="9"/>
      <c r="FE334" s="9"/>
      <c r="FF334" s="9"/>
      <c r="FG334" s="9"/>
      <c r="FH334" s="9"/>
      <c r="FI334" s="9"/>
      <c r="FJ334" s="9"/>
      <c r="FK334" s="9"/>
      <c r="FL334" s="9"/>
      <c r="FM334" s="9"/>
      <c r="FN334" s="9"/>
      <c r="FO334" s="9"/>
      <c r="FP334" s="9"/>
      <c r="FQ334" s="9"/>
      <c r="FR334" s="9"/>
      <c r="FS334" s="9"/>
      <c r="FT334" s="9"/>
      <c r="FU334" s="9"/>
      <c r="FV334" s="9"/>
      <c r="FW334" s="9"/>
      <c r="FX334" s="9"/>
      <c r="FY334" s="9"/>
      <c r="FZ334" s="9"/>
      <c r="GA334" s="9"/>
      <c r="GB334" s="9"/>
      <c r="GC334" s="9"/>
      <c r="GD334" s="9"/>
      <c r="GE334" s="9"/>
      <c r="GF334" s="9"/>
      <c r="GG334" s="9"/>
      <c r="GH334" s="9"/>
      <c r="GI334" s="9"/>
      <c r="GJ334" s="9"/>
      <c r="GK334" s="9"/>
      <c r="GL334" s="9"/>
      <c r="GM334" s="9"/>
      <c r="GN334" s="9"/>
      <c r="GO334" s="9"/>
      <c r="GP334" s="9"/>
      <c r="GQ334" s="9"/>
      <c r="GR334" s="9"/>
      <c r="GS334" s="9"/>
      <c r="GT334" s="9"/>
      <c r="GU334" s="9"/>
      <c r="GV334" s="9"/>
      <c r="GW334" s="9"/>
      <c r="GX334" s="9"/>
      <c r="GY334" s="9"/>
      <c r="GZ334" s="9"/>
      <c r="HA334" s="9"/>
      <c r="HB334" s="9"/>
      <c r="HC334" s="9"/>
      <c r="HD334" s="9"/>
      <c r="HE334" s="9"/>
      <c r="HF334" s="9"/>
      <c r="HG334" s="9"/>
      <c r="HH334" s="9"/>
      <c r="HI334" s="9"/>
      <c r="HJ334" s="9"/>
      <c r="HK334" s="9"/>
      <c r="HW334" s="58" t="s">
        <v>1455</v>
      </c>
      <c r="HX334" s="58"/>
      <c r="HY334" t="s">
        <v>1463</v>
      </c>
      <c r="HZ334" s="12"/>
      <c r="IA334" t="s">
        <v>1472</v>
      </c>
      <c r="IB334" t="s">
        <v>1471</v>
      </c>
      <c r="II334" t="s">
        <v>1477</v>
      </c>
      <c r="IJ334" t="s">
        <v>1190</v>
      </c>
      <c r="IK334" t="s">
        <v>1466</v>
      </c>
      <c r="IL334" t="s">
        <v>661</v>
      </c>
      <c r="IM334" s="88">
        <v>1999</v>
      </c>
      <c r="IN334" s="88" t="s">
        <v>29</v>
      </c>
      <c r="IO334" s="87" t="s">
        <v>29</v>
      </c>
      <c r="JK334" t="s">
        <v>1482</v>
      </c>
      <c r="JL334" s="84" t="s">
        <v>15</v>
      </c>
      <c r="JM334" t="s">
        <v>14</v>
      </c>
      <c r="JN334" t="s">
        <v>1483</v>
      </c>
      <c r="JO334" s="4" t="s">
        <v>13</v>
      </c>
      <c r="JP334" t="s">
        <v>1484</v>
      </c>
      <c r="JQ334" s="4"/>
      <c r="KJ334" t="s">
        <v>1450</v>
      </c>
      <c r="KK334" t="s">
        <v>222</v>
      </c>
      <c r="KL334" s="8" t="s">
        <v>1481</v>
      </c>
      <c r="KM334" s="4" t="s">
        <v>220</v>
      </c>
      <c r="KN334">
        <v>1</v>
      </c>
      <c r="MZ334" t="s">
        <v>1522</v>
      </c>
      <c r="NA334">
        <v>46.5</v>
      </c>
      <c r="NB334" t="s">
        <v>1468</v>
      </c>
      <c r="NC334" t="s">
        <v>250</v>
      </c>
      <c r="ND334" t="s">
        <v>1459</v>
      </c>
      <c r="NK334" t="s">
        <v>1488</v>
      </c>
      <c r="NM334" s="4" t="s">
        <v>2456</v>
      </c>
      <c r="NN334" t="s">
        <v>13</v>
      </c>
      <c r="NW334" t="s">
        <v>6</v>
      </c>
      <c r="NY334" s="2" t="s">
        <v>29</v>
      </c>
      <c r="OC334">
        <v>3</v>
      </c>
      <c r="OD334">
        <v>511</v>
      </c>
      <c r="OE334" s="88" t="s">
        <v>29</v>
      </c>
      <c r="OF334" s="88" t="s">
        <v>29</v>
      </c>
      <c r="OG334" s="88" t="s">
        <v>29</v>
      </c>
      <c r="ON334">
        <v>0.26</v>
      </c>
      <c r="OO334" s="2" t="s">
        <v>29</v>
      </c>
      <c r="OP334">
        <v>0.82</v>
      </c>
      <c r="OQ334" s="2" t="s">
        <v>29</v>
      </c>
      <c r="OR334">
        <v>1.08</v>
      </c>
      <c r="OS334" s="2" t="s">
        <v>29</v>
      </c>
      <c r="OT334" t="s">
        <v>1480</v>
      </c>
      <c r="OV334">
        <v>2000</v>
      </c>
      <c r="PA334" t="s">
        <v>1169</v>
      </c>
      <c r="PB334" s="58">
        <v>46104</v>
      </c>
    </row>
    <row r="335" spans="1:418" ht="15.75" thickBot="1">
      <c r="A335" t="s">
        <v>248</v>
      </c>
      <c r="B335" t="s">
        <v>1448</v>
      </c>
      <c r="C335" t="s">
        <v>1173</v>
      </c>
      <c r="D335" s="4" t="s">
        <v>1936</v>
      </c>
      <c r="E335" s="90" t="s">
        <v>1485</v>
      </c>
      <c r="F335" s="90" t="s">
        <v>31</v>
      </c>
      <c r="G335" t="s">
        <v>2</v>
      </c>
      <c r="H335" t="s">
        <v>30</v>
      </c>
      <c r="I335">
        <v>12.133333329999999</v>
      </c>
      <c r="J335">
        <v>8.5333333329999999</v>
      </c>
      <c r="K335" t="s">
        <v>29</v>
      </c>
      <c r="AV335" t="s">
        <v>1487</v>
      </c>
      <c r="AW335">
        <v>46.5</v>
      </c>
      <c r="AX335" t="s">
        <v>29</v>
      </c>
      <c r="AY335">
        <v>1</v>
      </c>
      <c r="AZ335" t="s">
        <v>1486</v>
      </c>
      <c r="BA335">
        <v>1999</v>
      </c>
      <c r="BB335">
        <v>2000</v>
      </c>
      <c r="BD335" t="s">
        <v>238</v>
      </c>
      <c r="BE335" t="s">
        <v>1478</v>
      </c>
      <c r="BF335" t="s">
        <v>236</v>
      </c>
      <c r="BG335" s="3" t="s">
        <v>1233</v>
      </c>
      <c r="BH335" t="s">
        <v>250</v>
      </c>
      <c r="BI335" t="s">
        <v>1464</v>
      </c>
      <c r="BJ335" t="s">
        <v>29</v>
      </c>
      <c r="BK335" t="s">
        <v>29</v>
      </c>
      <c r="BL335" t="s">
        <v>56</v>
      </c>
      <c r="BM335" t="s">
        <v>1459</v>
      </c>
      <c r="BN335" t="s">
        <v>29</v>
      </c>
      <c r="BO335" t="s">
        <v>29</v>
      </c>
      <c r="BP335" t="s">
        <v>29</v>
      </c>
      <c r="EH335" s="9"/>
      <c r="EI335" s="9"/>
      <c r="EJ335" s="9"/>
      <c r="EK335" s="9"/>
      <c r="EL335" s="9"/>
      <c r="EM335" s="9"/>
      <c r="EN335" s="9"/>
      <c r="EO335" s="9"/>
      <c r="EP335" s="9"/>
      <c r="EQ335" s="9"/>
      <c r="ER335" s="9"/>
      <c r="ES335" s="9"/>
      <c r="ET335" s="9"/>
      <c r="EU335" s="9"/>
      <c r="EV335" s="9"/>
      <c r="EW335" s="9"/>
      <c r="EX335" s="9"/>
      <c r="EY335" s="9"/>
      <c r="EZ335" s="9"/>
      <c r="FA335" s="9"/>
      <c r="FB335" s="9"/>
      <c r="FC335" s="9"/>
      <c r="FD335" s="9"/>
      <c r="FE335" s="9"/>
      <c r="FF335" s="9"/>
      <c r="FG335" s="9"/>
      <c r="FH335" s="9"/>
      <c r="FI335" s="9"/>
      <c r="FJ335" s="9"/>
      <c r="FK335" s="9"/>
      <c r="FL335" s="9"/>
      <c r="FM335" s="9"/>
      <c r="FN335" s="9"/>
      <c r="FO335" s="9"/>
      <c r="FP335" s="9"/>
      <c r="FQ335" s="9"/>
      <c r="FR335" s="9"/>
      <c r="FS335" s="9"/>
      <c r="FT335" s="9"/>
      <c r="FU335" s="9"/>
      <c r="FV335" s="9"/>
      <c r="FW335" s="9"/>
      <c r="FX335" s="9"/>
      <c r="FY335" s="9"/>
      <c r="FZ335" s="9"/>
      <c r="GA335" s="9"/>
      <c r="GB335" s="9"/>
      <c r="GC335" s="9"/>
      <c r="GD335" s="9"/>
      <c r="GE335" s="9"/>
      <c r="GF335" s="9"/>
      <c r="GG335" s="9"/>
      <c r="GH335" s="9"/>
      <c r="GI335" s="9"/>
      <c r="GJ335" s="9"/>
      <c r="GK335" s="9"/>
      <c r="GL335" s="9"/>
      <c r="GM335" s="9"/>
      <c r="GN335" s="9"/>
      <c r="GO335" s="9"/>
      <c r="GP335" s="9"/>
      <c r="GQ335" s="9"/>
      <c r="GR335" s="9"/>
      <c r="GS335" s="9"/>
      <c r="GT335" s="9"/>
      <c r="GU335" s="9"/>
      <c r="GV335" s="9"/>
      <c r="GW335" s="9"/>
      <c r="GX335" s="9"/>
      <c r="GY335" s="9"/>
      <c r="GZ335" s="9"/>
      <c r="HA335" s="9"/>
      <c r="HB335" s="9"/>
      <c r="HC335" s="9"/>
      <c r="HD335" s="9"/>
      <c r="HE335" s="9"/>
      <c r="HF335" s="9"/>
      <c r="HG335" s="9"/>
      <c r="HH335" s="9"/>
      <c r="HI335" s="9"/>
      <c r="HJ335" s="9"/>
      <c r="HK335" s="9"/>
      <c r="HW335" s="58" t="s">
        <v>1457</v>
      </c>
      <c r="HX335" s="58"/>
      <c r="HY335" t="s">
        <v>1464</v>
      </c>
      <c r="HZ335" s="14"/>
      <c r="IA335" t="s">
        <v>1472</v>
      </c>
      <c r="IB335" t="s">
        <v>1471</v>
      </c>
      <c r="II335" t="s">
        <v>1478</v>
      </c>
      <c r="IJ335" t="s">
        <v>1190</v>
      </c>
      <c r="IK335" t="s">
        <v>1466</v>
      </c>
      <c r="IL335" t="s">
        <v>661</v>
      </c>
      <c r="IM335" s="2">
        <v>1999</v>
      </c>
      <c r="IN335" s="89" t="s">
        <v>29</v>
      </c>
      <c r="IO335" s="89" t="s">
        <v>29</v>
      </c>
      <c r="JK335" t="s">
        <v>1482</v>
      </c>
      <c r="JL335" s="84" t="s">
        <v>15</v>
      </c>
      <c r="JM335" t="s">
        <v>14</v>
      </c>
      <c r="JN335" t="s">
        <v>1483</v>
      </c>
      <c r="JO335" s="4" t="s">
        <v>13</v>
      </c>
      <c r="JP335" t="s">
        <v>1484</v>
      </c>
      <c r="JQ335" s="4"/>
      <c r="KJ335" t="s">
        <v>1450</v>
      </c>
      <c r="KK335" t="s">
        <v>222</v>
      </c>
      <c r="KL335" s="8" t="s">
        <v>1481</v>
      </c>
      <c r="KM335" s="4" t="s">
        <v>220</v>
      </c>
      <c r="KN335">
        <v>1</v>
      </c>
      <c r="MZ335" t="s">
        <v>1522</v>
      </c>
      <c r="NA335">
        <v>46.5</v>
      </c>
      <c r="NB335" t="s">
        <v>1468</v>
      </c>
      <c r="NC335" t="s">
        <v>250</v>
      </c>
      <c r="ND335" t="s">
        <v>1459</v>
      </c>
      <c r="NK335" t="s">
        <v>1488</v>
      </c>
      <c r="NM335" s="4" t="s">
        <v>2456</v>
      </c>
      <c r="NN335" t="s">
        <v>13</v>
      </c>
      <c r="NW335" t="s">
        <v>6</v>
      </c>
      <c r="NY335" s="2" t="s">
        <v>29</v>
      </c>
      <c r="OC335">
        <v>3</v>
      </c>
      <c r="OD335">
        <v>779</v>
      </c>
      <c r="OE335" s="2" t="s">
        <v>29</v>
      </c>
      <c r="OF335" s="88" t="s">
        <v>29</v>
      </c>
      <c r="OG335" s="88" t="s">
        <v>29</v>
      </c>
      <c r="ON335">
        <v>0.39</v>
      </c>
      <c r="OO335" s="2" t="s">
        <v>29</v>
      </c>
      <c r="OP335">
        <v>0.83</v>
      </c>
      <c r="OQ335" s="2" t="s">
        <v>29</v>
      </c>
      <c r="OR335">
        <v>1.22</v>
      </c>
      <c r="OS335" s="2" t="s">
        <v>29</v>
      </c>
      <c r="OT335" t="s">
        <v>1480</v>
      </c>
      <c r="OV335">
        <v>2000</v>
      </c>
      <c r="PA335" t="s">
        <v>1169</v>
      </c>
      <c r="PB335" s="58">
        <v>46104</v>
      </c>
    </row>
    <row r="336" spans="1:418" ht="15.75" thickBot="1">
      <c r="A336" t="s">
        <v>248</v>
      </c>
      <c r="B336" t="s">
        <v>1523</v>
      </c>
      <c r="C336" t="s">
        <v>1173</v>
      </c>
      <c r="D336" s="4" t="s">
        <v>1936</v>
      </c>
      <c r="E336" s="94" t="s">
        <v>1540</v>
      </c>
      <c r="F336" s="94" t="s">
        <v>31</v>
      </c>
      <c r="G336" s="88" t="s">
        <v>2</v>
      </c>
      <c r="H336" s="88" t="s">
        <v>30</v>
      </c>
      <c r="I336">
        <v>7.7338301139999999</v>
      </c>
      <c r="J336">
        <v>8.5391521210000008</v>
      </c>
      <c r="K336" s="87" t="s">
        <v>29</v>
      </c>
      <c r="AV336" t="s">
        <v>1541</v>
      </c>
      <c r="AW336">
        <v>5.7000000000000002E-2</v>
      </c>
      <c r="AX336" s="88" t="s">
        <v>29</v>
      </c>
      <c r="AY336">
        <v>1</v>
      </c>
      <c r="AZ336" t="s">
        <v>1554</v>
      </c>
      <c r="BA336">
        <v>2004</v>
      </c>
      <c r="BC336">
        <v>2004.1</v>
      </c>
      <c r="BD336" t="s">
        <v>238</v>
      </c>
      <c r="BE336" t="s">
        <v>1542</v>
      </c>
      <c r="BF336" t="s">
        <v>64</v>
      </c>
      <c r="BG336" s="78" t="s">
        <v>1233</v>
      </c>
      <c r="BH336" t="s">
        <v>23</v>
      </c>
      <c r="BI336" t="s">
        <v>1545</v>
      </c>
      <c r="BJ336" s="88" t="s">
        <v>22</v>
      </c>
      <c r="BK336">
        <v>38000</v>
      </c>
      <c r="BL336" t="s">
        <v>56</v>
      </c>
      <c r="BM336" t="s">
        <v>271</v>
      </c>
      <c r="BN336" t="s">
        <v>1543</v>
      </c>
      <c r="BO336" s="88" t="s">
        <v>22</v>
      </c>
      <c r="BP336">
        <v>266660</v>
      </c>
      <c r="EH336" s="9"/>
      <c r="EI336" s="9"/>
      <c r="EJ336" s="9"/>
      <c r="EK336" s="9"/>
      <c r="EL336" s="9"/>
      <c r="EM336" s="9"/>
      <c r="EN336" s="9"/>
      <c r="EO336" s="9"/>
      <c r="EP336" s="9"/>
      <c r="EQ336" s="9"/>
      <c r="ER336" s="9"/>
      <c r="ES336" s="9"/>
      <c r="ET336" s="9"/>
      <c r="EU336" s="9"/>
      <c r="EV336" s="9"/>
      <c r="EW336" s="9"/>
      <c r="EX336" s="9"/>
      <c r="EY336" s="9"/>
      <c r="EZ336" s="9"/>
      <c r="FA336" s="9"/>
      <c r="FB336" s="9"/>
      <c r="FC336" s="9"/>
      <c r="FD336" s="9"/>
      <c r="FE336" s="9"/>
      <c r="FF336" s="9"/>
      <c r="FG336" s="9"/>
      <c r="FH336" s="9"/>
      <c r="FI336" s="9"/>
      <c r="FJ336" s="9"/>
      <c r="FK336" s="9"/>
      <c r="FL336" s="9"/>
      <c r="FM336" s="9"/>
      <c r="FN336" s="9"/>
      <c r="FO336" s="9"/>
      <c r="FP336" s="9"/>
      <c r="FQ336" s="9"/>
      <c r="FR336" s="9"/>
      <c r="FS336" s="9"/>
      <c r="FT336" s="9"/>
      <c r="FU336" s="9"/>
      <c r="FV336" s="9"/>
      <c r="FW336" s="9"/>
      <c r="FX336" s="9"/>
      <c r="FY336" s="9"/>
      <c r="FZ336" s="9"/>
      <c r="GA336" s="9"/>
      <c r="GB336" s="9"/>
      <c r="GC336" s="9"/>
      <c r="GD336" s="9"/>
      <c r="GE336" s="9"/>
      <c r="GF336" s="9"/>
      <c r="GG336" s="9"/>
      <c r="GH336" s="9"/>
      <c r="GI336" s="9"/>
      <c r="GJ336" s="9"/>
      <c r="GK336" s="9"/>
      <c r="GL336" s="9"/>
      <c r="GM336" s="9"/>
      <c r="GN336" s="9"/>
      <c r="GO336" s="9"/>
      <c r="GP336" s="9"/>
      <c r="GQ336" s="9"/>
      <c r="GR336" s="9"/>
      <c r="GS336" s="9"/>
      <c r="GT336" s="9"/>
      <c r="GU336" s="9"/>
      <c r="GV336" s="9"/>
      <c r="GW336" s="9"/>
      <c r="GX336" s="9"/>
      <c r="GY336" s="9"/>
      <c r="GZ336" s="9"/>
      <c r="HA336" s="9"/>
      <c r="HB336" s="9"/>
      <c r="HC336" s="9"/>
      <c r="HD336" s="9"/>
      <c r="HE336" s="9"/>
      <c r="HF336" s="9"/>
      <c r="HG336" s="9"/>
      <c r="HH336" s="9"/>
      <c r="HI336" s="9"/>
      <c r="HJ336" s="9"/>
      <c r="HK336" s="9"/>
      <c r="HU336" s="58">
        <v>38127</v>
      </c>
      <c r="HW336" s="58"/>
      <c r="HX336" s="58"/>
      <c r="II336" t="s">
        <v>238</v>
      </c>
      <c r="IJ336" s="88" t="s">
        <v>1190</v>
      </c>
      <c r="IK336" t="s">
        <v>660</v>
      </c>
      <c r="IL336" s="88" t="s">
        <v>661</v>
      </c>
      <c r="IO336" s="87" t="s">
        <v>29</v>
      </c>
      <c r="JK336" t="s">
        <v>1547</v>
      </c>
      <c r="JL336" s="84" t="s">
        <v>15</v>
      </c>
      <c r="JM336" s="88" t="s">
        <v>14</v>
      </c>
      <c r="JQ336" s="95" t="s">
        <v>13</v>
      </c>
      <c r="JR336">
        <v>100</v>
      </c>
      <c r="JU336">
        <v>81</v>
      </c>
      <c r="JV336">
        <v>65</v>
      </c>
      <c r="KF336" t="s">
        <v>1549</v>
      </c>
      <c r="KG336" s="12" t="s">
        <v>1548</v>
      </c>
      <c r="KJ336" t="s">
        <v>1550</v>
      </c>
      <c r="KK336" t="s">
        <v>222</v>
      </c>
      <c r="KL336" s="8" t="s">
        <v>1551</v>
      </c>
      <c r="KM336" s="95" t="s">
        <v>220</v>
      </c>
      <c r="KN336">
        <v>18</v>
      </c>
      <c r="MZ336" t="s">
        <v>1525</v>
      </c>
      <c r="NA336">
        <v>6.3</v>
      </c>
      <c r="NB336" t="s">
        <v>1531</v>
      </c>
      <c r="NC336" t="s">
        <v>23</v>
      </c>
      <c r="ND336" t="s">
        <v>271</v>
      </c>
      <c r="NK336" t="s">
        <v>1451</v>
      </c>
      <c r="NL336" t="s">
        <v>1527</v>
      </c>
      <c r="NM336" s="4" t="s">
        <v>1518</v>
      </c>
      <c r="NN336" s="6" t="s">
        <v>1537</v>
      </c>
      <c r="NW336" t="s">
        <v>6</v>
      </c>
      <c r="NX336">
        <v>180529.9</v>
      </c>
      <c r="NY336" s="88" t="s">
        <v>29</v>
      </c>
      <c r="NZ336" s="88" t="s">
        <v>29</v>
      </c>
      <c r="OC336">
        <v>3</v>
      </c>
      <c r="OT336" t="s">
        <v>1538</v>
      </c>
      <c r="OU336" s="88"/>
      <c r="OV336">
        <v>2004</v>
      </c>
      <c r="OY336" t="s">
        <v>1539</v>
      </c>
      <c r="PA336" s="88" t="s">
        <v>1169</v>
      </c>
      <c r="PB336" s="58">
        <v>46105</v>
      </c>
    </row>
    <row r="337" spans="1:418" ht="15.75" thickBot="1">
      <c r="A337" t="s">
        <v>248</v>
      </c>
      <c r="B337" t="s">
        <v>1523</v>
      </c>
      <c r="C337" t="s">
        <v>1173</v>
      </c>
      <c r="D337" s="4" t="s">
        <v>1936</v>
      </c>
      <c r="E337" s="94" t="s">
        <v>1540</v>
      </c>
      <c r="F337" s="94" t="s">
        <v>31</v>
      </c>
      <c r="G337" s="88" t="s">
        <v>2</v>
      </c>
      <c r="H337" s="88" t="s">
        <v>30</v>
      </c>
      <c r="I337">
        <v>7.7338301139999999</v>
      </c>
      <c r="J337">
        <v>8.5391521210000008</v>
      </c>
      <c r="K337" s="87" t="s">
        <v>29</v>
      </c>
      <c r="AV337" t="s">
        <v>1541</v>
      </c>
      <c r="AW337">
        <v>5.7000000000000002E-2</v>
      </c>
      <c r="AX337" s="88" t="s">
        <v>29</v>
      </c>
      <c r="AY337">
        <v>1</v>
      </c>
      <c r="AZ337" t="s">
        <v>1554</v>
      </c>
      <c r="BA337">
        <v>2004</v>
      </c>
      <c r="BC337">
        <v>2004.1</v>
      </c>
      <c r="BD337" t="s">
        <v>238</v>
      </c>
      <c r="BE337" t="s">
        <v>1532</v>
      </c>
      <c r="BF337" t="s">
        <v>57</v>
      </c>
      <c r="BG337" s="78" t="s">
        <v>1233</v>
      </c>
      <c r="BH337" t="s">
        <v>23</v>
      </c>
      <c r="BI337" t="s">
        <v>1545</v>
      </c>
      <c r="BJ337" s="88" t="s">
        <v>22</v>
      </c>
      <c r="BK337">
        <v>38000</v>
      </c>
      <c r="BL337" t="s">
        <v>56</v>
      </c>
      <c r="BM337" t="s">
        <v>271</v>
      </c>
      <c r="BN337" t="s">
        <v>1544</v>
      </c>
      <c r="BO337" s="88" t="s">
        <v>22</v>
      </c>
      <c r="BP337">
        <v>266660</v>
      </c>
      <c r="EH337" s="9"/>
      <c r="EI337" s="9"/>
      <c r="EJ337" s="9"/>
      <c r="EK337" s="9"/>
      <c r="EL337" s="9"/>
      <c r="EM337" s="9"/>
      <c r="EN337" s="9"/>
      <c r="EO337" s="9"/>
      <c r="EP337" s="9"/>
      <c r="EQ337" s="9"/>
      <c r="ER337" s="9"/>
      <c r="ES337" s="9"/>
      <c r="ET337" s="9"/>
      <c r="EU337" s="9"/>
      <c r="EV337" s="9"/>
      <c r="EW337" s="9"/>
      <c r="EX337" s="9"/>
      <c r="EY337" s="9"/>
      <c r="EZ337" s="9"/>
      <c r="FA337" s="9"/>
      <c r="FB337" s="9"/>
      <c r="FC337" s="9"/>
      <c r="FD337" s="9"/>
      <c r="FE337" s="9"/>
      <c r="FF337" s="9"/>
      <c r="FG337" s="9"/>
      <c r="FH337" s="9"/>
      <c r="FI337" s="9"/>
      <c r="FJ337" s="9"/>
      <c r="FK337" s="9"/>
      <c r="FL337" s="9"/>
      <c r="FM337" s="9"/>
      <c r="FN337" s="9"/>
      <c r="FO337" s="9"/>
      <c r="FP337" s="9"/>
      <c r="FQ337" s="9"/>
      <c r="FR337" s="9"/>
      <c r="FS337" s="9"/>
      <c r="FT337" s="9"/>
      <c r="FU337" s="9"/>
      <c r="FV337" s="9"/>
      <c r="FW337" s="9"/>
      <c r="FX337" s="9"/>
      <c r="FY337" s="9"/>
      <c r="FZ337" s="9"/>
      <c r="GA337" s="9"/>
      <c r="GB337" s="9"/>
      <c r="GC337" s="9"/>
      <c r="GD337" s="9"/>
      <c r="GE337" s="9"/>
      <c r="GF337" s="9"/>
      <c r="GG337" s="9"/>
      <c r="GH337" s="9"/>
      <c r="GI337" s="9"/>
      <c r="GJ337" s="9"/>
      <c r="GK337" s="9"/>
      <c r="GL337" s="9"/>
      <c r="GM337" s="9"/>
      <c r="GN337" s="9"/>
      <c r="GO337" s="9"/>
      <c r="GP337" s="9"/>
      <c r="GQ337" s="9"/>
      <c r="GR337" s="9"/>
      <c r="GS337" s="9"/>
      <c r="GT337" s="9"/>
      <c r="GU337" s="9"/>
      <c r="GV337" s="9"/>
      <c r="GW337" s="9"/>
      <c r="GX337" s="9"/>
      <c r="GY337" s="9"/>
      <c r="GZ337" s="9"/>
      <c r="HA337" s="9"/>
      <c r="HB337" s="9"/>
      <c r="HC337" s="9"/>
      <c r="HD337" s="9"/>
      <c r="HE337" s="9"/>
      <c r="HF337" s="9"/>
      <c r="HG337" s="9"/>
      <c r="HH337" s="9"/>
      <c r="HI337" s="9"/>
      <c r="HJ337" s="9"/>
      <c r="HK337" s="9"/>
      <c r="HU337" s="58">
        <v>38127</v>
      </c>
      <c r="HW337" s="58"/>
      <c r="HX337" s="58"/>
      <c r="II337" t="s">
        <v>238</v>
      </c>
      <c r="IJ337" s="88" t="s">
        <v>1190</v>
      </c>
      <c r="IK337" t="s">
        <v>660</v>
      </c>
      <c r="IL337" s="88" t="s">
        <v>661</v>
      </c>
      <c r="IO337" s="87" t="s">
        <v>29</v>
      </c>
      <c r="JK337" t="s">
        <v>1547</v>
      </c>
      <c r="JL337" s="84" t="s">
        <v>15</v>
      </c>
      <c r="JM337" s="88" t="s">
        <v>14</v>
      </c>
      <c r="JQ337" s="95" t="s">
        <v>13</v>
      </c>
      <c r="JR337">
        <v>100</v>
      </c>
      <c r="JU337">
        <v>81</v>
      </c>
      <c r="JV337">
        <v>65</v>
      </c>
      <c r="KF337" t="s">
        <v>1549</v>
      </c>
      <c r="KG337" s="12" t="s">
        <v>1548</v>
      </c>
      <c r="KJ337" t="s">
        <v>1550</v>
      </c>
      <c r="KK337" t="s">
        <v>222</v>
      </c>
      <c r="KL337" s="8" t="s">
        <v>1551</v>
      </c>
      <c r="KM337" s="95" t="s">
        <v>220</v>
      </c>
      <c r="KN337">
        <v>18</v>
      </c>
      <c r="MZ337" t="s">
        <v>1525</v>
      </c>
      <c r="NA337">
        <v>6.3</v>
      </c>
      <c r="NB337" t="s">
        <v>1531</v>
      </c>
      <c r="NC337" t="s">
        <v>23</v>
      </c>
      <c r="ND337" t="s">
        <v>271</v>
      </c>
      <c r="NK337" t="s">
        <v>1451</v>
      </c>
      <c r="NL337" t="s">
        <v>1527</v>
      </c>
      <c r="NM337" s="4" t="s">
        <v>1518</v>
      </c>
      <c r="NN337" s="6" t="s">
        <v>1537</v>
      </c>
      <c r="NW337" t="s">
        <v>6</v>
      </c>
      <c r="NX337">
        <v>273279.7</v>
      </c>
      <c r="NY337" s="88" t="s">
        <v>29</v>
      </c>
      <c r="NZ337" s="88" t="s">
        <v>29</v>
      </c>
      <c r="OC337">
        <v>3</v>
      </c>
      <c r="OT337" t="s">
        <v>1538</v>
      </c>
      <c r="OU337" s="88"/>
      <c r="OV337">
        <v>2004</v>
      </c>
      <c r="OY337" t="s">
        <v>1539</v>
      </c>
      <c r="PA337" s="88" t="s">
        <v>1169</v>
      </c>
      <c r="PB337" s="58">
        <v>46105</v>
      </c>
    </row>
    <row r="338" spans="1:418" ht="15.75" thickBot="1">
      <c r="A338" t="s">
        <v>248</v>
      </c>
      <c r="B338" t="s">
        <v>1523</v>
      </c>
      <c r="C338" t="s">
        <v>1173</v>
      </c>
      <c r="D338" s="4" t="s">
        <v>1936</v>
      </c>
      <c r="E338" s="94" t="s">
        <v>1540</v>
      </c>
      <c r="F338" s="94" t="s">
        <v>31</v>
      </c>
      <c r="G338" s="88" t="s">
        <v>2</v>
      </c>
      <c r="H338" s="88" t="s">
        <v>30</v>
      </c>
      <c r="I338">
        <v>7.7338301139999999</v>
      </c>
      <c r="J338">
        <v>8.5391521210000008</v>
      </c>
      <c r="K338" s="87" t="s">
        <v>29</v>
      </c>
      <c r="AV338" t="s">
        <v>1541</v>
      </c>
      <c r="AW338">
        <v>5.7000000000000002E-2</v>
      </c>
      <c r="AX338" s="88" t="s">
        <v>29</v>
      </c>
      <c r="AY338">
        <v>1</v>
      </c>
      <c r="AZ338" t="s">
        <v>1554</v>
      </c>
      <c r="BA338">
        <v>2004</v>
      </c>
      <c r="BC338">
        <v>2004.1</v>
      </c>
      <c r="BD338" t="s">
        <v>238</v>
      </c>
      <c r="BE338" t="s">
        <v>1533</v>
      </c>
      <c r="BF338" t="s">
        <v>48</v>
      </c>
      <c r="BG338" s="78" t="s">
        <v>1233</v>
      </c>
      <c r="BH338" t="s">
        <v>23</v>
      </c>
      <c r="BI338" t="s">
        <v>1545</v>
      </c>
      <c r="BJ338" s="88" t="s">
        <v>22</v>
      </c>
      <c r="BK338">
        <v>44440</v>
      </c>
      <c r="BL338" t="s">
        <v>56</v>
      </c>
      <c r="BM338" t="s">
        <v>271</v>
      </c>
      <c r="BN338" t="s">
        <v>1543</v>
      </c>
      <c r="BO338" s="88" t="s">
        <v>22</v>
      </c>
      <c r="BP338">
        <v>266660</v>
      </c>
      <c r="EH338" s="9"/>
      <c r="EI338" s="9"/>
      <c r="EJ338" s="9"/>
      <c r="EK338" s="9"/>
      <c r="EL338" s="9"/>
      <c r="EM338" s="9"/>
      <c r="EN338" s="9"/>
      <c r="EO338" s="9"/>
      <c r="EP338" s="9"/>
      <c r="EQ338" s="9"/>
      <c r="ER338" s="9"/>
      <c r="ES338" s="9"/>
      <c r="ET338" s="9"/>
      <c r="EU338" s="9"/>
      <c r="EV338" s="9"/>
      <c r="EW338" s="9"/>
      <c r="EX338" s="9"/>
      <c r="EY338" s="9"/>
      <c r="EZ338" s="9"/>
      <c r="FA338" s="9"/>
      <c r="FB338" s="9"/>
      <c r="FC338" s="9"/>
      <c r="FD338" s="9"/>
      <c r="FE338" s="9"/>
      <c r="FF338" s="9"/>
      <c r="FG338" s="9"/>
      <c r="FH338" s="9"/>
      <c r="FI338" s="9"/>
      <c r="FJ338" s="9"/>
      <c r="FK338" s="9"/>
      <c r="FL338" s="9"/>
      <c r="FM338" s="9"/>
      <c r="FN338" s="9"/>
      <c r="FO338" s="9"/>
      <c r="FP338" s="9"/>
      <c r="FQ338" s="9"/>
      <c r="FR338" s="9"/>
      <c r="FS338" s="9"/>
      <c r="FT338" s="9"/>
      <c r="FU338" s="9"/>
      <c r="FV338" s="9"/>
      <c r="FW338" s="9"/>
      <c r="FX338" s="9"/>
      <c r="FY338" s="9"/>
      <c r="FZ338" s="9"/>
      <c r="GA338" s="9"/>
      <c r="GB338" s="9"/>
      <c r="GC338" s="9"/>
      <c r="GD338" s="9"/>
      <c r="GE338" s="9"/>
      <c r="GF338" s="9"/>
      <c r="GG338" s="9"/>
      <c r="GH338" s="9"/>
      <c r="GI338" s="9"/>
      <c r="GJ338" s="9"/>
      <c r="GK338" s="9"/>
      <c r="GL338" s="9"/>
      <c r="GM338" s="9"/>
      <c r="GN338" s="9"/>
      <c r="GO338" s="9"/>
      <c r="GP338" s="9"/>
      <c r="GQ338" s="9"/>
      <c r="GR338" s="9"/>
      <c r="GS338" s="9"/>
      <c r="GT338" s="9"/>
      <c r="GU338" s="9"/>
      <c r="GV338" s="9"/>
      <c r="GW338" s="9"/>
      <c r="GX338" s="9"/>
      <c r="GY338" s="9"/>
      <c r="GZ338" s="9"/>
      <c r="HA338" s="9"/>
      <c r="HB338" s="9"/>
      <c r="HC338" s="9"/>
      <c r="HD338" s="9"/>
      <c r="HE338" s="9"/>
      <c r="HF338" s="9"/>
      <c r="HG338" s="9"/>
      <c r="HH338" s="9"/>
      <c r="HI338" s="9"/>
      <c r="HJ338" s="9"/>
      <c r="HK338" s="9"/>
      <c r="HU338" s="58">
        <v>38127</v>
      </c>
      <c r="HW338" s="58"/>
      <c r="HX338" s="58"/>
      <c r="II338" t="s">
        <v>238</v>
      </c>
      <c r="IJ338" s="88" t="s">
        <v>1190</v>
      </c>
      <c r="IK338" t="s">
        <v>660</v>
      </c>
      <c r="IL338" s="88" t="s">
        <v>661</v>
      </c>
      <c r="IO338" s="87" t="s">
        <v>29</v>
      </c>
      <c r="JK338" t="s">
        <v>1547</v>
      </c>
      <c r="JL338" s="84" t="s">
        <v>15</v>
      </c>
      <c r="JM338" s="88" t="s">
        <v>14</v>
      </c>
      <c r="JQ338" s="95" t="s">
        <v>13</v>
      </c>
      <c r="JR338">
        <v>100</v>
      </c>
      <c r="JU338">
        <v>81</v>
      </c>
      <c r="JV338">
        <v>65</v>
      </c>
      <c r="KF338" t="s">
        <v>1549</v>
      </c>
      <c r="KG338" s="12" t="s">
        <v>1548</v>
      </c>
      <c r="KJ338" t="s">
        <v>1550</v>
      </c>
      <c r="KK338" t="s">
        <v>222</v>
      </c>
      <c r="KL338" s="8" t="s">
        <v>1551</v>
      </c>
      <c r="KM338" s="95" t="s">
        <v>220</v>
      </c>
      <c r="KN338">
        <v>18</v>
      </c>
      <c r="MZ338" t="s">
        <v>1525</v>
      </c>
      <c r="NA338">
        <v>6.3</v>
      </c>
      <c r="NB338" t="s">
        <v>1531</v>
      </c>
      <c r="NC338" t="s">
        <v>23</v>
      </c>
      <c r="ND338" t="s">
        <v>271</v>
      </c>
      <c r="NK338" t="s">
        <v>1451</v>
      </c>
      <c r="NL338" t="s">
        <v>1527</v>
      </c>
      <c r="NM338" s="4" t="s">
        <v>1518</v>
      </c>
      <c r="NN338" s="6" t="s">
        <v>1537</v>
      </c>
      <c r="NW338" t="s">
        <v>6</v>
      </c>
      <c r="NX338">
        <v>241269.8</v>
      </c>
      <c r="NY338" s="88" t="s">
        <v>29</v>
      </c>
      <c r="NZ338" s="88" t="s">
        <v>29</v>
      </c>
      <c r="OC338">
        <v>3</v>
      </c>
      <c r="OT338" t="s">
        <v>1538</v>
      </c>
      <c r="OU338" s="88"/>
      <c r="OV338">
        <v>2004</v>
      </c>
      <c r="OY338" t="s">
        <v>1539</v>
      </c>
      <c r="PA338" s="88" t="s">
        <v>1169</v>
      </c>
      <c r="PB338" s="58">
        <v>46105</v>
      </c>
    </row>
    <row r="339" spans="1:418" ht="15.75" thickBot="1">
      <c r="A339" t="s">
        <v>248</v>
      </c>
      <c r="B339" t="s">
        <v>1523</v>
      </c>
      <c r="C339" t="s">
        <v>1173</v>
      </c>
      <c r="D339" s="4" t="s">
        <v>1936</v>
      </c>
      <c r="E339" s="94" t="s">
        <v>1540</v>
      </c>
      <c r="F339" s="94" t="s">
        <v>31</v>
      </c>
      <c r="G339" s="88" t="s">
        <v>2</v>
      </c>
      <c r="H339" s="88" t="s">
        <v>30</v>
      </c>
      <c r="I339">
        <v>7.7338301139999999</v>
      </c>
      <c r="J339">
        <v>8.5391521210000008</v>
      </c>
      <c r="K339" s="87" t="s">
        <v>29</v>
      </c>
      <c r="AV339" t="s">
        <v>1541</v>
      </c>
      <c r="AW339">
        <v>5.7000000000000002E-2</v>
      </c>
      <c r="AX339" s="88" t="s">
        <v>29</v>
      </c>
      <c r="AY339">
        <v>1</v>
      </c>
      <c r="AZ339" t="s">
        <v>1554</v>
      </c>
      <c r="BA339">
        <v>2004</v>
      </c>
      <c r="BC339">
        <v>2004.1</v>
      </c>
      <c r="BD339" t="s">
        <v>238</v>
      </c>
      <c r="BE339" t="s">
        <v>1534</v>
      </c>
      <c r="BF339" t="s">
        <v>43</v>
      </c>
      <c r="BG339" s="78" t="s">
        <v>1233</v>
      </c>
      <c r="BH339" t="s">
        <v>23</v>
      </c>
      <c r="BI339" t="s">
        <v>1545</v>
      </c>
      <c r="BJ339" s="88" t="s">
        <v>22</v>
      </c>
      <c r="BK339">
        <v>44440</v>
      </c>
      <c r="BL339" t="s">
        <v>56</v>
      </c>
      <c r="BM339" t="s">
        <v>271</v>
      </c>
      <c r="BN339" t="s">
        <v>1544</v>
      </c>
      <c r="BO339" s="88" t="s">
        <v>22</v>
      </c>
      <c r="BP339">
        <v>266660</v>
      </c>
      <c r="EH339" s="9"/>
      <c r="EI339" s="9"/>
      <c r="EJ339" s="9"/>
      <c r="EK339" s="9"/>
      <c r="EL339" s="9"/>
      <c r="EM339" s="9"/>
      <c r="EN339" s="9"/>
      <c r="EO339" s="9"/>
      <c r="EP339" s="9"/>
      <c r="EQ339" s="9"/>
      <c r="ER339" s="9"/>
      <c r="ES339" s="9"/>
      <c r="ET339" s="9"/>
      <c r="EU339" s="9"/>
      <c r="EV339" s="9"/>
      <c r="EW339" s="9"/>
      <c r="EX339" s="9"/>
      <c r="EY339" s="9"/>
      <c r="EZ339" s="9"/>
      <c r="FA339" s="9"/>
      <c r="FB339" s="9"/>
      <c r="FC339" s="9"/>
      <c r="FD339" s="9"/>
      <c r="FE339" s="9"/>
      <c r="FF339" s="9"/>
      <c r="FG339" s="9"/>
      <c r="FH339" s="9"/>
      <c r="FI339" s="9"/>
      <c r="FJ339" s="9"/>
      <c r="FK339" s="9"/>
      <c r="FL339" s="9"/>
      <c r="FM339" s="9"/>
      <c r="FN339" s="9"/>
      <c r="FO339" s="9"/>
      <c r="FP339" s="9"/>
      <c r="FQ339" s="9"/>
      <c r="FR339" s="9"/>
      <c r="FS339" s="9"/>
      <c r="FT339" s="9"/>
      <c r="FU339" s="9"/>
      <c r="FV339" s="9"/>
      <c r="FW339" s="9"/>
      <c r="FX339" s="9"/>
      <c r="FY339" s="9"/>
      <c r="FZ339" s="9"/>
      <c r="GA339" s="9"/>
      <c r="GB339" s="9"/>
      <c r="GC339" s="9"/>
      <c r="GD339" s="9"/>
      <c r="GE339" s="9"/>
      <c r="GF339" s="9"/>
      <c r="GG339" s="9"/>
      <c r="GH339" s="9"/>
      <c r="GI339" s="9"/>
      <c r="GJ339" s="9"/>
      <c r="GK339" s="9"/>
      <c r="GL339" s="9"/>
      <c r="GM339" s="9"/>
      <c r="GN339" s="9"/>
      <c r="GO339" s="9"/>
      <c r="GP339" s="9"/>
      <c r="GQ339" s="9"/>
      <c r="GR339" s="9"/>
      <c r="GS339" s="9"/>
      <c r="GT339" s="9"/>
      <c r="GU339" s="9"/>
      <c r="GV339" s="9"/>
      <c r="GW339" s="9"/>
      <c r="GX339" s="9"/>
      <c r="GY339" s="9"/>
      <c r="GZ339" s="9"/>
      <c r="HA339" s="9"/>
      <c r="HB339" s="9"/>
      <c r="HC339" s="9"/>
      <c r="HD339" s="9"/>
      <c r="HE339" s="9"/>
      <c r="HF339" s="9"/>
      <c r="HG339" s="9"/>
      <c r="HH339" s="9"/>
      <c r="HI339" s="9"/>
      <c r="HJ339" s="9"/>
      <c r="HK339" s="9"/>
      <c r="HU339" s="58">
        <v>38127</v>
      </c>
      <c r="HW339" s="58"/>
      <c r="HX339" s="58"/>
      <c r="II339" t="s">
        <v>238</v>
      </c>
      <c r="IJ339" s="88" t="s">
        <v>1190</v>
      </c>
      <c r="IK339" t="s">
        <v>660</v>
      </c>
      <c r="IL339" s="88" t="s">
        <v>661</v>
      </c>
      <c r="IO339" s="87" t="s">
        <v>29</v>
      </c>
      <c r="JK339" t="s">
        <v>1547</v>
      </c>
      <c r="JL339" s="84" t="s">
        <v>15</v>
      </c>
      <c r="JM339" s="88" t="s">
        <v>14</v>
      </c>
      <c r="JQ339" s="95" t="s">
        <v>13</v>
      </c>
      <c r="JR339">
        <v>100</v>
      </c>
      <c r="JU339">
        <v>81</v>
      </c>
      <c r="JV339">
        <v>65</v>
      </c>
      <c r="KF339" t="s">
        <v>1549</v>
      </c>
      <c r="KG339" s="12" t="s">
        <v>1548</v>
      </c>
      <c r="KJ339" t="s">
        <v>1550</v>
      </c>
      <c r="KK339" t="s">
        <v>222</v>
      </c>
      <c r="KL339" s="8" t="s">
        <v>1551</v>
      </c>
      <c r="KM339" s="95" t="s">
        <v>220</v>
      </c>
      <c r="KN339">
        <v>18</v>
      </c>
      <c r="MZ339" t="s">
        <v>1525</v>
      </c>
      <c r="NA339">
        <v>6.3</v>
      </c>
      <c r="NB339" t="s">
        <v>1531</v>
      </c>
      <c r="NC339" t="s">
        <v>23</v>
      </c>
      <c r="ND339" t="s">
        <v>271</v>
      </c>
      <c r="NK339" t="s">
        <v>1451</v>
      </c>
      <c r="NL339" t="s">
        <v>1527</v>
      </c>
      <c r="NM339" s="4" t="s">
        <v>1518</v>
      </c>
      <c r="NN339" s="6" t="s">
        <v>1537</v>
      </c>
      <c r="NW339" t="s">
        <v>6</v>
      </c>
      <c r="NX339">
        <v>231216.9</v>
      </c>
      <c r="NY339" s="88" t="s">
        <v>29</v>
      </c>
      <c r="NZ339" s="88" t="s">
        <v>29</v>
      </c>
      <c r="OC339">
        <v>3</v>
      </c>
      <c r="OT339" t="s">
        <v>1538</v>
      </c>
      <c r="OU339" s="88"/>
      <c r="OV339">
        <v>2004</v>
      </c>
      <c r="OY339" t="s">
        <v>1539</v>
      </c>
      <c r="PA339" s="88" t="s">
        <v>1169</v>
      </c>
      <c r="PB339" s="58">
        <v>46105</v>
      </c>
    </row>
    <row r="340" spans="1:418" ht="15.75" thickBot="1">
      <c r="A340" t="s">
        <v>248</v>
      </c>
      <c r="B340" t="s">
        <v>1523</v>
      </c>
      <c r="C340" t="s">
        <v>1173</v>
      </c>
      <c r="D340" s="4" t="s">
        <v>1936</v>
      </c>
      <c r="E340" s="94" t="s">
        <v>1540</v>
      </c>
      <c r="F340" s="94" t="s">
        <v>31</v>
      </c>
      <c r="G340" s="88" t="s">
        <v>2</v>
      </c>
      <c r="H340" s="88" t="s">
        <v>30</v>
      </c>
      <c r="I340">
        <v>7.7338301139999999</v>
      </c>
      <c r="J340">
        <v>8.5391521210000008</v>
      </c>
      <c r="K340" s="87" t="s">
        <v>29</v>
      </c>
      <c r="AV340" t="s">
        <v>1541</v>
      </c>
      <c r="AW340">
        <v>5.7000000000000002E-2</v>
      </c>
      <c r="AX340" s="88" t="s">
        <v>29</v>
      </c>
      <c r="AY340">
        <v>1</v>
      </c>
      <c r="AZ340" t="s">
        <v>1554</v>
      </c>
      <c r="BA340">
        <v>2004</v>
      </c>
      <c r="BC340">
        <v>2004.1</v>
      </c>
      <c r="BD340" t="s">
        <v>238</v>
      </c>
      <c r="BE340" t="s">
        <v>1535</v>
      </c>
      <c r="BF340" t="s">
        <v>252</v>
      </c>
      <c r="BG340" s="78" t="s">
        <v>1233</v>
      </c>
      <c r="BH340" t="s">
        <v>23</v>
      </c>
      <c r="BI340" t="s">
        <v>1545</v>
      </c>
      <c r="BJ340" s="88" t="s">
        <v>22</v>
      </c>
      <c r="BK340">
        <v>53330</v>
      </c>
      <c r="BL340" t="s">
        <v>56</v>
      </c>
      <c r="BM340" t="s">
        <v>271</v>
      </c>
      <c r="BN340" t="s">
        <v>1543</v>
      </c>
      <c r="BO340" s="88" t="s">
        <v>22</v>
      </c>
      <c r="BP340">
        <v>266660</v>
      </c>
      <c r="EH340" s="9"/>
      <c r="EI340" s="9"/>
      <c r="EJ340" s="9"/>
      <c r="EK340" s="9"/>
      <c r="EL340" s="9"/>
      <c r="EM340" s="9"/>
      <c r="EN340" s="9"/>
      <c r="EO340" s="9"/>
      <c r="EP340" s="9"/>
      <c r="EQ340" s="9"/>
      <c r="ER340" s="9"/>
      <c r="ES340" s="9"/>
      <c r="ET340" s="9"/>
      <c r="EU340" s="9"/>
      <c r="EV340" s="9"/>
      <c r="EW340" s="9"/>
      <c r="EX340" s="9"/>
      <c r="EY340" s="9"/>
      <c r="EZ340" s="9"/>
      <c r="FA340" s="9"/>
      <c r="FB340" s="9"/>
      <c r="FC340" s="9"/>
      <c r="FD340" s="9"/>
      <c r="FE340" s="9"/>
      <c r="FF340" s="9"/>
      <c r="FG340" s="9"/>
      <c r="FH340" s="9"/>
      <c r="FI340" s="9"/>
      <c r="FJ340" s="9"/>
      <c r="FK340" s="9"/>
      <c r="FL340" s="9"/>
      <c r="FM340" s="9"/>
      <c r="FN340" s="9"/>
      <c r="FO340" s="9"/>
      <c r="FP340" s="9"/>
      <c r="FQ340" s="9"/>
      <c r="FR340" s="9"/>
      <c r="FS340" s="9"/>
      <c r="FT340" s="9"/>
      <c r="FU340" s="9"/>
      <c r="FV340" s="9"/>
      <c r="FW340" s="9"/>
      <c r="FX340" s="9"/>
      <c r="FY340" s="9"/>
      <c r="FZ340" s="9"/>
      <c r="GA340" s="9"/>
      <c r="GB340" s="9"/>
      <c r="GC340" s="9"/>
      <c r="GD340" s="9"/>
      <c r="GE340" s="9"/>
      <c r="GF340" s="9"/>
      <c r="GG340" s="9"/>
      <c r="GH340" s="9"/>
      <c r="GI340" s="9"/>
      <c r="GJ340" s="9"/>
      <c r="GK340" s="9"/>
      <c r="GL340" s="9"/>
      <c r="GM340" s="9"/>
      <c r="GN340" s="9"/>
      <c r="GO340" s="9"/>
      <c r="GP340" s="9"/>
      <c r="GQ340" s="9"/>
      <c r="GR340" s="9"/>
      <c r="GS340" s="9"/>
      <c r="GT340" s="9"/>
      <c r="GU340" s="9"/>
      <c r="GV340" s="9"/>
      <c r="GW340" s="9"/>
      <c r="GX340" s="9"/>
      <c r="GY340" s="9"/>
      <c r="GZ340" s="9"/>
      <c r="HA340" s="9"/>
      <c r="HB340" s="9"/>
      <c r="HC340" s="9"/>
      <c r="HD340" s="9"/>
      <c r="HE340" s="9"/>
      <c r="HF340" s="9"/>
      <c r="HG340" s="9"/>
      <c r="HH340" s="9"/>
      <c r="HI340" s="9"/>
      <c r="HJ340" s="9"/>
      <c r="HK340" s="9"/>
      <c r="HU340" s="58">
        <v>38127</v>
      </c>
      <c r="HW340" s="58"/>
      <c r="HX340" s="58"/>
      <c r="II340" t="s">
        <v>238</v>
      </c>
      <c r="IJ340" s="88" t="s">
        <v>1190</v>
      </c>
      <c r="IK340" t="s">
        <v>660</v>
      </c>
      <c r="IL340" s="88" t="s">
        <v>661</v>
      </c>
      <c r="IO340" s="87" t="s">
        <v>29</v>
      </c>
      <c r="JK340" t="s">
        <v>1547</v>
      </c>
      <c r="JL340" s="84" t="s">
        <v>15</v>
      </c>
      <c r="JM340" s="88" t="s">
        <v>14</v>
      </c>
      <c r="JQ340" s="95" t="s">
        <v>13</v>
      </c>
      <c r="JR340">
        <v>100</v>
      </c>
      <c r="JU340">
        <v>81</v>
      </c>
      <c r="JV340">
        <v>65</v>
      </c>
      <c r="KF340" t="s">
        <v>1549</v>
      </c>
      <c r="KG340" s="12" t="s">
        <v>1548</v>
      </c>
      <c r="KJ340" t="s">
        <v>1550</v>
      </c>
      <c r="KK340" t="s">
        <v>222</v>
      </c>
      <c r="KL340" s="8" t="s">
        <v>1551</v>
      </c>
      <c r="KM340" s="95" t="s">
        <v>220</v>
      </c>
      <c r="KN340">
        <v>18</v>
      </c>
      <c r="MZ340" t="s">
        <v>1525</v>
      </c>
      <c r="NA340">
        <v>6.3</v>
      </c>
      <c r="NB340" t="s">
        <v>1531</v>
      </c>
      <c r="NC340" t="s">
        <v>23</v>
      </c>
      <c r="ND340" t="s">
        <v>271</v>
      </c>
      <c r="NK340" t="s">
        <v>1451</v>
      </c>
      <c r="NL340" t="s">
        <v>1527</v>
      </c>
      <c r="NM340" s="4" t="s">
        <v>1518</v>
      </c>
      <c r="NN340" s="6" t="s">
        <v>1537</v>
      </c>
      <c r="NW340" t="s">
        <v>6</v>
      </c>
      <c r="NX340">
        <v>293121.8</v>
      </c>
      <c r="NY340" s="88" t="s">
        <v>29</v>
      </c>
      <c r="NZ340" s="88" t="s">
        <v>29</v>
      </c>
      <c r="OC340">
        <v>3</v>
      </c>
      <c r="OT340" t="s">
        <v>1538</v>
      </c>
      <c r="OU340" s="88"/>
      <c r="OV340">
        <v>2004</v>
      </c>
      <c r="OY340" t="s">
        <v>1539</v>
      </c>
      <c r="PA340" s="88" t="s">
        <v>1169</v>
      </c>
      <c r="PB340" s="58">
        <v>46105</v>
      </c>
    </row>
    <row r="341" spans="1:418" ht="15.75" thickBot="1">
      <c r="A341" t="s">
        <v>248</v>
      </c>
      <c r="B341" t="s">
        <v>1523</v>
      </c>
      <c r="C341" t="s">
        <v>1173</v>
      </c>
      <c r="D341" s="4" t="s">
        <v>1936</v>
      </c>
      <c r="E341" s="94" t="s">
        <v>1540</v>
      </c>
      <c r="F341" s="94" t="s">
        <v>31</v>
      </c>
      <c r="G341" s="88" t="s">
        <v>2</v>
      </c>
      <c r="H341" s="88" t="s">
        <v>30</v>
      </c>
      <c r="I341">
        <v>7.7338301139999999</v>
      </c>
      <c r="J341">
        <v>8.5391521210000008</v>
      </c>
      <c r="K341" s="87" t="s">
        <v>29</v>
      </c>
      <c r="AV341" t="s">
        <v>1541</v>
      </c>
      <c r="AW341">
        <v>5.7000000000000002E-2</v>
      </c>
      <c r="AX341" s="88" t="s">
        <v>29</v>
      </c>
      <c r="AY341">
        <v>1</v>
      </c>
      <c r="AZ341" t="s">
        <v>1554</v>
      </c>
      <c r="BA341">
        <v>2004</v>
      </c>
      <c r="BC341">
        <v>2004.1</v>
      </c>
      <c r="BD341" t="s">
        <v>238</v>
      </c>
      <c r="BE341" t="s">
        <v>1536</v>
      </c>
      <c r="BF341" t="s">
        <v>236</v>
      </c>
      <c r="BG341" s="78" t="s">
        <v>1233</v>
      </c>
      <c r="BH341" t="s">
        <v>23</v>
      </c>
      <c r="BI341" t="s">
        <v>1545</v>
      </c>
      <c r="BJ341" s="88" t="s">
        <v>22</v>
      </c>
      <c r="BK341">
        <v>53330</v>
      </c>
      <c r="BL341" t="s">
        <v>56</v>
      </c>
      <c r="BM341" t="s">
        <v>271</v>
      </c>
      <c r="BN341" t="s">
        <v>1544</v>
      </c>
      <c r="BO341" s="88" t="s">
        <v>22</v>
      </c>
      <c r="BP341">
        <v>266660</v>
      </c>
      <c r="EH341" s="9"/>
      <c r="EI341" s="9"/>
      <c r="EJ341" s="9"/>
      <c r="EK341" s="9"/>
      <c r="EL341" s="9"/>
      <c r="EM341" s="9"/>
      <c r="EN341" s="9"/>
      <c r="EO341" s="9"/>
      <c r="EP341" s="9"/>
      <c r="EQ341" s="9"/>
      <c r="ER341" s="9"/>
      <c r="ES341" s="9"/>
      <c r="ET341" s="9"/>
      <c r="EU341" s="9"/>
      <c r="EV341" s="9"/>
      <c r="EW341" s="9"/>
      <c r="EX341" s="9"/>
      <c r="EY341" s="9"/>
      <c r="EZ341" s="9"/>
      <c r="FA341" s="9"/>
      <c r="FB341" s="9"/>
      <c r="FC341" s="9"/>
      <c r="FD341" s="9"/>
      <c r="FE341" s="9"/>
      <c r="FF341" s="9"/>
      <c r="FG341" s="9"/>
      <c r="FH341" s="9"/>
      <c r="FI341" s="9"/>
      <c r="FJ341" s="9"/>
      <c r="FK341" s="9"/>
      <c r="FL341" s="9"/>
      <c r="FM341" s="9"/>
      <c r="FN341" s="9"/>
      <c r="FO341" s="9"/>
      <c r="FP341" s="9"/>
      <c r="FQ341" s="9"/>
      <c r="FR341" s="9"/>
      <c r="FS341" s="9"/>
      <c r="FT341" s="9"/>
      <c r="FU341" s="9"/>
      <c r="FV341" s="9"/>
      <c r="FW341" s="9"/>
      <c r="FX341" s="9"/>
      <c r="FY341" s="9"/>
      <c r="FZ341" s="9"/>
      <c r="GA341" s="9"/>
      <c r="GB341" s="9"/>
      <c r="GC341" s="9"/>
      <c r="GD341" s="9"/>
      <c r="GE341" s="9"/>
      <c r="GF341" s="9"/>
      <c r="GG341" s="9"/>
      <c r="GH341" s="9"/>
      <c r="GI341" s="9"/>
      <c r="GJ341" s="9"/>
      <c r="GK341" s="9"/>
      <c r="GL341" s="9"/>
      <c r="GM341" s="9"/>
      <c r="GN341" s="9"/>
      <c r="GO341" s="9"/>
      <c r="GP341" s="9"/>
      <c r="GQ341" s="9"/>
      <c r="GR341" s="9"/>
      <c r="GS341" s="9"/>
      <c r="GT341" s="9"/>
      <c r="GU341" s="9"/>
      <c r="GV341" s="9"/>
      <c r="GW341" s="9"/>
      <c r="GX341" s="9"/>
      <c r="GY341" s="9"/>
      <c r="GZ341" s="9"/>
      <c r="HA341" s="9"/>
      <c r="HB341" s="9"/>
      <c r="HC341" s="9"/>
      <c r="HD341" s="9"/>
      <c r="HE341" s="9"/>
      <c r="HF341" s="9"/>
      <c r="HG341" s="9"/>
      <c r="HH341" s="9"/>
      <c r="HI341" s="9"/>
      <c r="HJ341" s="9"/>
      <c r="HK341" s="9"/>
      <c r="HU341" s="58">
        <v>38127</v>
      </c>
      <c r="HW341" s="58"/>
      <c r="HX341" s="58"/>
      <c r="II341" t="s">
        <v>238</v>
      </c>
      <c r="IJ341" s="88" t="s">
        <v>1190</v>
      </c>
      <c r="IK341" t="s">
        <v>660</v>
      </c>
      <c r="IL341" s="88" t="s">
        <v>661</v>
      </c>
      <c r="IO341" s="87" t="s">
        <v>29</v>
      </c>
      <c r="JK341" t="s">
        <v>1547</v>
      </c>
      <c r="JL341" s="84" t="s">
        <v>15</v>
      </c>
      <c r="JM341" s="88" t="s">
        <v>14</v>
      </c>
      <c r="JQ341" s="95" t="s">
        <v>13</v>
      </c>
      <c r="JR341">
        <v>100</v>
      </c>
      <c r="JU341">
        <v>81</v>
      </c>
      <c r="JV341">
        <v>65</v>
      </c>
      <c r="KF341" t="s">
        <v>1549</v>
      </c>
      <c r="KG341" s="12" t="s">
        <v>1548</v>
      </c>
      <c r="KJ341" t="s">
        <v>1550</v>
      </c>
      <c r="KK341" t="s">
        <v>222</v>
      </c>
      <c r="KL341" s="8" t="s">
        <v>1551</v>
      </c>
      <c r="KM341" s="95" t="s">
        <v>220</v>
      </c>
      <c r="KN341">
        <v>18</v>
      </c>
      <c r="MZ341" t="s">
        <v>1525</v>
      </c>
      <c r="NA341">
        <v>6.3</v>
      </c>
      <c r="NB341" t="s">
        <v>1531</v>
      </c>
      <c r="NC341" t="s">
        <v>23</v>
      </c>
      <c r="ND341" t="s">
        <v>271</v>
      </c>
      <c r="NK341" t="s">
        <v>1451</v>
      </c>
      <c r="NL341" t="s">
        <v>1527</v>
      </c>
      <c r="NM341" s="4" t="s">
        <v>1518</v>
      </c>
      <c r="NN341" s="6" t="s">
        <v>1537</v>
      </c>
      <c r="NW341" t="s">
        <v>6</v>
      </c>
      <c r="NX341">
        <v>267995</v>
      </c>
      <c r="NY341" s="88" t="s">
        <v>29</v>
      </c>
      <c r="NZ341" s="88" t="s">
        <v>29</v>
      </c>
      <c r="OC341">
        <v>3</v>
      </c>
      <c r="OT341" t="s">
        <v>1538</v>
      </c>
      <c r="OU341" s="88"/>
      <c r="OV341">
        <v>2004</v>
      </c>
      <c r="OY341" t="s">
        <v>1539</v>
      </c>
      <c r="PA341" s="88" t="s">
        <v>1169</v>
      </c>
      <c r="PB341" s="58">
        <v>46105</v>
      </c>
    </row>
    <row r="342" spans="1:418" ht="15.75" thickBot="1">
      <c r="A342" t="s">
        <v>248</v>
      </c>
      <c r="B342" t="s">
        <v>1523</v>
      </c>
      <c r="C342" t="s">
        <v>1173</v>
      </c>
      <c r="D342" s="4" t="s">
        <v>1936</v>
      </c>
      <c r="E342" s="94" t="s">
        <v>1540</v>
      </c>
      <c r="F342" s="94" t="s">
        <v>31</v>
      </c>
      <c r="G342" s="88" t="s">
        <v>2</v>
      </c>
      <c r="H342" s="88" t="s">
        <v>30</v>
      </c>
      <c r="I342">
        <v>7.7338301139999999</v>
      </c>
      <c r="J342">
        <v>8.5391521210000008</v>
      </c>
      <c r="K342" s="87" t="s">
        <v>29</v>
      </c>
      <c r="AV342" t="s">
        <v>1541</v>
      </c>
      <c r="AW342">
        <v>5.7000000000000002E-2</v>
      </c>
      <c r="AX342" s="88" t="s">
        <v>29</v>
      </c>
      <c r="AY342">
        <v>1</v>
      </c>
      <c r="AZ342" t="s">
        <v>1554</v>
      </c>
      <c r="BA342">
        <v>2004</v>
      </c>
      <c r="BC342">
        <v>2004.1</v>
      </c>
      <c r="BD342" t="s">
        <v>19</v>
      </c>
      <c r="BE342" t="s">
        <v>1524</v>
      </c>
      <c r="BF342" t="s">
        <v>39</v>
      </c>
      <c r="BG342" s="78" t="s">
        <v>1233</v>
      </c>
      <c r="BH342" t="s">
        <v>271</v>
      </c>
      <c r="BI342" t="s">
        <v>1543</v>
      </c>
      <c r="BJ342" s="88" t="s">
        <v>22</v>
      </c>
      <c r="BK342">
        <v>266660</v>
      </c>
      <c r="EH342" s="9"/>
      <c r="EI342" s="9"/>
      <c r="EJ342" s="9"/>
      <c r="EK342" s="9"/>
      <c r="EL342" s="9"/>
      <c r="EM342" s="9"/>
      <c r="EN342" s="9"/>
      <c r="EO342" s="9"/>
      <c r="EP342" s="9"/>
      <c r="EQ342" s="9"/>
      <c r="ER342" s="9"/>
      <c r="ES342" s="9"/>
      <c r="ET342" s="9"/>
      <c r="EU342" s="9"/>
      <c r="EV342" s="9"/>
      <c r="EW342" s="9"/>
      <c r="EX342" s="9"/>
      <c r="EY342" s="9"/>
      <c r="EZ342" s="9"/>
      <c r="FA342" s="9"/>
      <c r="FB342" s="9"/>
      <c r="FC342" s="9"/>
      <c r="FD342" s="9"/>
      <c r="FE342" s="9"/>
      <c r="FF342" s="9"/>
      <c r="FG342" s="9"/>
      <c r="FH342" s="9"/>
      <c r="FI342" s="9"/>
      <c r="FJ342" s="9"/>
      <c r="FK342" s="9"/>
      <c r="FL342" s="9"/>
      <c r="FM342" s="9"/>
      <c r="FN342" s="9"/>
      <c r="FO342" s="9"/>
      <c r="FP342" s="9"/>
      <c r="FQ342" s="9"/>
      <c r="FR342" s="9"/>
      <c r="FS342" s="9"/>
      <c r="FT342" s="9"/>
      <c r="FU342" s="9"/>
      <c r="FV342" s="9"/>
      <c r="FW342" s="9"/>
      <c r="FX342" s="9"/>
      <c r="FY342" s="9"/>
      <c r="FZ342" s="9"/>
      <c r="GA342" s="9"/>
      <c r="GB342" s="9"/>
      <c r="GC342" s="9"/>
      <c r="GD342" s="9"/>
      <c r="GE342" s="9"/>
      <c r="GF342" s="9"/>
      <c r="GG342" s="9"/>
      <c r="GH342" s="9"/>
      <c r="GI342" s="9"/>
      <c r="GJ342" s="9"/>
      <c r="GK342" s="9"/>
      <c r="GL342" s="9"/>
      <c r="GM342" s="9"/>
      <c r="GN342" s="9"/>
      <c r="GO342" s="9"/>
      <c r="GP342" s="9"/>
      <c r="GQ342" s="9"/>
      <c r="GR342" s="9"/>
      <c r="GS342" s="9"/>
      <c r="GT342" s="9"/>
      <c r="GU342" s="9"/>
      <c r="GV342" s="9"/>
      <c r="GW342" s="9"/>
      <c r="GX342" s="9"/>
      <c r="GY342" s="9"/>
      <c r="GZ342" s="9"/>
      <c r="HA342" s="9"/>
      <c r="HB342" s="9"/>
      <c r="HC342" s="9"/>
      <c r="HD342" s="9"/>
      <c r="HE342" s="9"/>
      <c r="HF342" s="9"/>
      <c r="HG342" s="9"/>
      <c r="HH342" s="9"/>
      <c r="HI342" s="9"/>
      <c r="HJ342" s="9"/>
      <c r="HK342" s="9"/>
      <c r="HU342" s="58">
        <v>38127</v>
      </c>
      <c r="HW342" s="58"/>
      <c r="HX342" s="58"/>
      <c r="II342" t="s">
        <v>1546</v>
      </c>
      <c r="IJ342" s="88" t="s">
        <v>19</v>
      </c>
      <c r="IK342" t="s">
        <v>660</v>
      </c>
      <c r="IL342" s="88" t="s">
        <v>661</v>
      </c>
      <c r="IO342" s="87" t="s">
        <v>29</v>
      </c>
      <c r="JK342" t="s">
        <v>1547</v>
      </c>
      <c r="JL342" s="84" t="s">
        <v>15</v>
      </c>
      <c r="JM342" s="88" t="s">
        <v>14</v>
      </c>
      <c r="JQ342" s="95" t="s">
        <v>13</v>
      </c>
      <c r="JR342">
        <v>10</v>
      </c>
      <c r="JU342">
        <v>36</v>
      </c>
      <c r="JV342">
        <v>20</v>
      </c>
      <c r="KF342" t="s">
        <v>1549</v>
      </c>
      <c r="KG342" s="12" t="s">
        <v>1548</v>
      </c>
      <c r="KJ342" t="s">
        <v>1550</v>
      </c>
      <c r="KK342" t="s">
        <v>222</v>
      </c>
      <c r="KL342" s="8" t="s">
        <v>1551</v>
      </c>
      <c r="KM342" s="95" t="s">
        <v>220</v>
      </c>
      <c r="KN342">
        <v>18</v>
      </c>
      <c r="MZ342" t="s">
        <v>1525</v>
      </c>
      <c r="NA342">
        <v>6.3</v>
      </c>
      <c r="NB342" t="s">
        <v>1526</v>
      </c>
      <c r="NC342" t="s">
        <v>271</v>
      </c>
      <c r="NK342" t="s">
        <v>1451</v>
      </c>
      <c r="NL342" t="s">
        <v>1527</v>
      </c>
      <c r="NM342" s="4" t="s">
        <v>1518</v>
      </c>
      <c r="NN342" s="6" t="s">
        <v>1537</v>
      </c>
      <c r="NV342" t="s">
        <v>1559</v>
      </c>
      <c r="NW342" t="s">
        <v>6</v>
      </c>
      <c r="NX342">
        <v>15924.1</v>
      </c>
      <c r="NY342" s="88" t="s">
        <v>29</v>
      </c>
      <c r="NZ342" s="88" t="s">
        <v>29</v>
      </c>
      <c r="OC342">
        <v>3</v>
      </c>
      <c r="OT342" t="s">
        <v>1538</v>
      </c>
      <c r="OU342" s="88"/>
      <c r="OV342">
        <v>2004</v>
      </c>
      <c r="OY342" t="s">
        <v>1539</v>
      </c>
      <c r="PA342" s="88" t="s">
        <v>1169</v>
      </c>
      <c r="PB342" s="58">
        <v>46105</v>
      </c>
    </row>
    <row r="343" spans="1:418" ht="15.75" thickBot="1">
      <c r="A343" t="s">
        <v>248</v>
      </c>
      <c r="B343" t="s">
        <v>1523</v>
      </c>
      <c r="C343" t="s">
        <v>1173</v>
      </c>
      <c r="D343" s="4" t="s">
        <v>1936</v>
      </c>
      <c r="E343" s="94" t="s">
        <v>1540</v>
      </c>
      <c r="F343" s="94" t="s">
        <v>31</v>
      </c>
      <c r="G343" s="88" t="s">
        <v>2</v>
      </c>
      <c r="H343" s="88" t="s">
        <v>30</v>
      </c>
      <c r="I343">
        <v>7.7338301139999999</v>
      </c>
      <c r="J343">
        <v>8.5391521210000008</v>
      </c>
      <c r="K343" s="87" t="s">
        <v>29</v>
      </c>
      <c r="AV343" t="s">
        <v>1541</v>
      </c>
      <c r="AW343">
        <v>5.7000000000000002E-2</v>
      </c>
      <c r="AX343" s="88" t="s">
        <v>29</v>
      </c>
      <c r="AY343">
        <v>1</v>
      </c>
      <c r="AZ343" t="s">
        <v>1554</v>
      </c>
      <c r="BA343">
        <v>2004</v>
      </c>
      <c r="BC343">
        <v>2004.1</v>
      </c>
      <c r="BD343" t="s">
        <v>19</v>
      </c>
      <c r="BE343" t="s">
        <v>1528</v>
      </c>
      <c r="BF343" t="s">
        <v>24</v>
      </c>
      <c r="BG343" s="78" t="s">
        <v>1233</v>
      </c>
      <c r="BH343" t="s">
        <v>271</v>
      </c>
      <c r="BI343" t="s">
        <v>1544</v>
      </c>
      <c r="BJ343" s="88" t="s">
        <v>22</v>
      </c>
      <c r="BK343">
        <v>266660</v>
      </c>
      <c r="EH343" s="9"/>
      <c r="EI343" s="9"/>
      <c r="EJ343" s="9"/>
      <c r="EK343" s="9"/>
      <c r="EL343" s="9"/>
      <c r="EM343" s="9"/>
      <c r="EN343" s="9"/>
      <c r="EO343" s="9"/>
      <c r="EP343" s="9"/>
      <c r="EQ343" s="9"/>
      <c r="ER343" s="9"/>
      <c r="ES343" s="9"/>
      <c r="ET343" s="9"/>
      <c r="EU343" s="9"/>
      <c r="EV343" s="9"/>
      <c r="EW343" s="9"/>
      <c r="EX343" s="9"/>
      <c r="EY343" s="9"/>
      <c r="EZ343" s="9"/>
      <c r="FA343" s="9"/>
      <c r="FB343" s="9"/>
      <c r="FC343" s="9"/>
      <c r="FD343" s="9"/>
      <c r="FE343" s="9"/>
      <c r="FF343" s="9"/>
      <c r="FG343" s="9"/>
      <c r="FH343" s="9"/>
      <c r="FI343" s="9"/>
      <c r="FJ343" s="9"/>
      <c r="FK343" s="9"/>
      <c r="FL343" s="9"/>
      <c r="FM343" s="9"/>
      <c r="FN343" s="9"/>
      <c r="FO343" s="9"/>
      <c r="FP343" s="9"/>
      <c r="FQ343" s="9"/>
      <c r="FR343" s="9"/>
      <c r="FS343" s="9"/>
      <c r="FT343" s="9"/>
      <c r="FU343" s="9"/>
      <c r="FV343" s="9"/>
      <c r="FW343" s="9"/>
      <c r="FX343" s="9"/>
      <c r="FY343" s="9"/>
      <c r="FZ343" s="9"/>
      <c r="GA343" s="9"/>
      <c r="GB343" s="9"/>
      <c r="GC343" s="9"/>
      <c r="GD343" s="9"/>
      <c r="GE343" s="9"/>
      <c r="GF343" s="9"/>
      <c r="GG343" s="9"/>
      <c r="GH343" s="9"/>
      <c r="GI343" s="9"/>
      <c r="GJ343" s="9"/>
      <c r="GK343" s="9"/>
      <c r="GL343" s="9"/>
      <c r="GM343" s="9"/>
      <c r="GN343" s="9"/>
      <c r="GO343" s="9"/>
      <c r="GP343" s="9"/>
      <c r="GQ343" s="9"/>
      <c r="GR343" s="9"/>
      <c r="GS343" s="9"/>
      <c r="GT343" s="9"/>
      <c r="GU343" s="9"/>
      <c r="GV343" s="9"/>
      <c r="GW343" s="9"/>
      <c r="GX343" s="9"/>
      <c r="GY343" s="9"/>
      <c r="GZ343" s="9"/>
      <c r="HA343" s="9"/>
      <c r="HB343" s="9"/>
      <c r="HC343" s="9"/>
      <c r="HD343" s="9"/>
      <c r="HE343" s="9"/>
      <c r="HF343" s="9"/>
      <c r="HG343" s="9"/>
      <c r="HH343" s="9"/>
      <c r="HI343" s="9"/>
      <c r="HJ343" s="9"/>
      <c r="HK343" s="9"/>
      <c r="HU343" s="58">
        <v>38127</v>
      </c>
      <c r="HW343" s="58"/>
      <c r="HX343" s="58"/>
      <c r="II343" t="s">
        <v>1546</v>
      </c>
      <c r="IJ343" s="88" t="s">
        <v>19</v>
      </c>
      <c r="IK343" t="s">
        <v>660</v>
      </c>
      <c r="IL343" s="88" t="s">
        <v>661</v>
      </c>
      <c r="IO343" s="87" t="s">
        <v>29</v>
      </c>
      <c r="JK343" t="s">
        <v>1547</v>
      </c>
      <c r="JL343" s="84" t="s">
        <v>15</v>
      </c>
      <c r="JM343" s="88" t="s">
        <v>14</v>
      </c>
      <c r="JQ343" s="95" t="s">
        <v>13</v>
      </c>
      <c r="JR343">
        <v>10</v>
      </c>
      <c r="JU343">
        <v>36</v>
      </c>
      <c r="JV343">
        <v>20</v>
      </c>
      <c r="KF343" t="s">
        <v>1549</v>
      </c>
      <c r="KG343" s="12" t="s">
        <v>1548</v>
      </c>
      <c r="KJ343" t="s">
        <v>1550</v>
      </c>
      <c r="KK343" t="s">
        <v>222</v>
      </c>
      <c r="KL343" s="8" t="s">
        <v>1551</v>
      </c>
      <c r="KM343" s="95" t="s">
        <v>220</v>
      </c>
      <c r="KN343">
        <v>18</v>
      </c>
      <c r="MZ343" t="s">
        <v>1525</v>
      </c>
      <c r="NA343">
        <v>6.3</v>
      </c>
      <c r="NB343" t="s">
        <v>1526</v>
      </c>
      <c r="NC343" t="s">
        <v>271</v>
      </c>
      <c r="NK343" t="s">
        <v>1451</v>
      </c>
      <c r="NL343" t="s">
        <v>1527</v>
      </c>
      <c r="NM343" s="4" t="s">
        <v>1518</v>
      </c>
      <c r="NN343" s="6" t="s">
        <v>1537</v>
      </c>
      <c r="NV343" t="s">
        <v>1557</v>
      </c>
      <c r="NW343" t="s">
        <v>6</v>
      </c>
      <c r="NX343">
        <v>133333.20000000001</v>
      </c>
      <c r="NY343" s="88" t="s">
        <v>29</v>
      </c>
      <c r="NZ343" s="88" t="s">
        <v>29</v>
      </c>
      <c r="OC343">
        <v>3</v>
      </c>
      <c r="OT343" t="s">
        <v>1538</v>
      </c>
      <c r="OU343" s="88"/>
      <c r="OV343">
        <v>2004</v>
      </c>
      <c r="OY343" t="s">
        <v>1539</v>
      </c>
      <c r="PA343" s="88" t="s">
        <v>1169</v>
      </c>
      <c r="PB343" s="58">
        <v>46105</v>
      </c>
    </row>
    <row r="344" spans="1:418" ht="15.75" thickBot="1">
      <c r="A344" t="s">
        <v>248</v>
      </c>
      <c r="B344" t="s">
        <v>1523</v>
      </c>
      <c r="C344" t="s">
        <v>1173</v>
      </c>
      <c r="D344" s="4" t="s">
        <v>1936</v>
      </c>
      <c r="E344" s="94" t="s">
        <v>1540</v>
      </c>
      <c r="F344" s="94" t="s">
        <v>31</v>
      </c>
      <c r="G344" s="88" t="s">
        <v>2</v>
      </c>
      <c r="H344" s="88" t="s">
        <v>30</v>
      </c>
      <c r="I344">
        <v>7.7338301139999999</v>
      </c>
      <c r="J344">
        <v>8.5391521210000008</v>
      </c>
      <c r="K344" s="87" t="s">
        <v>29</v>
      </c>
      <c r="AV344" t="s">
        <v>1541</v>
      </c>
      <c r="AW344">
        <v>5.7000000000000002E-2</v>
      </c>
      <c r="AX344" s="88" t="s">
        <v>29</v>
      </c>
      <c r="AY344">
        <v>1</v>
      </c>
      <c r="AZ344" t="s">
        <v>1554</v>
      </c>
      <c r="BA344">
        <v>2004</v>
      </c>
      <c r="BC344">
        <v>2004.1</v>
      </c>
      <c r="BD344" t="s">
        <v>19</v>
      </c>
      <c r="BE344" t="s">
        <v>1529</v>
      </c>
      <c r="BF344" t="s">
        <v>299</v>
      </c>
      <c r="BG344" s="78" t="s">
        <v>1233</v>
      </c>
      <c r="BH344" t="s">
        <v>23</v>
      </c>
      <c r="BI344" t="s">
        <v>1545</v>
      </c>
      <c r="BJ344" s="88" t="s">
        <v>22</v>
      </c>
      <c r="BK344">
        <v>53330</v>
      </c>
      <c r="EH344" s="9"/>
      <c r="EI344" s="9"/>
      <c r="EJ344" s="9"/>
      <c r="EK344" s="9"/>
      <c r="EL344" s="9"/>
      <c r="EM344" s="9"/>
      <c r="EN344" s="9"/>
      <c r="EO344" s="9"/>
      <c r="EP344" s="9"/>
      <c r="EQ344" s="9"/>
      <c r="ER344" s="9"/>
      <c r="ES344" s="9"/>
      <c r="ET344" s="9"/>
      <c r="EU344" s="9"/>
      <c r="EV344" s="9"/>
      <c r="EW344" s="9"/>
      <c r="EX344" s="9"/>
      <c r="EY344" s="9"/>
      <c r="EZ344" s="9"/>
      <c r="FA344" s="9"/>
      <c r="FB344" s="9"/>
      <c r="FC344" s="9"/>
      <c r="FD344" s="9"/>
      <c r="FE344" s="9"/>
      <c r="FF344" s="9"/>
      <c r="FG344" s="9"/>
      <c r="FH344" s="9"/>
      <c r="FI344" s="9"/>
      <c r="FJ344" s="9"/>
      <c r="FK344" s="9"/>
      <c r="FL344" s="9"/>
      <c r="FM344" s="9"/>
      <c r="FN344" s="9"/>
      <c r="FO344" s="9"/>
      <c r="FP344" s="9"/>
      <c r="FQ344" s="9"/>
      <c r="FR344" s="9"/>
      <c r="FS344" s="9"/>
      <c r="FT344" s="9"/>
      <c r="FU344" s="9"/>
      <c r="FV344" s="9"/>
      <c r="FW344" s="9"/>
      <c r="FX344" s="9"/>
      <c r="FY344" s="9"/>
      <c r="FZ344" s="9"/>
      <c r="GA344" s="9"/>
      <c r="GB344" s="9"/>
      <c r="GC344" s="9"/>
      <c r="GD344" s="9"/>
      <c r="GE344" s="9"/>
      <c r="GF344" s="9"/>
      <c r="GG344" s="9"/>
      <c r="GH344" s="9"/>
      <c r="GI344" s="9"/>
      <c r="GJ344" s="9"/>
      <c r="GK344" s="9"/>
      <c r="GL344" s="9"/>
      <c r="GM344" s="9"/>
      <c r="GN344" s="9"/>
      <c r="GO344" s="9"/>
      <c r="GP344" s="9"/>
      <c r="GQ344" s="9"/>
      <c r="GR344" s="9"/>
      <c r="GS344" s="9"/>
      <c r="GT344" s="9"/>
      <c r="GU344" s="9"/>
      <c r="GV344" s="9"/>
      <c r="GW344" s="9"/>
      <c r="GX344" s="9"/>
      <c r="GY344" s="9"/>
      <c r="GZ344" s="9"/>
      <c r="HA344" s="9"/>
      <c r="HB344" s="9"/>
      <c r="HC344" s="9"/>
      <c r="HD344" s="9"/>
      <c r="HE344" s="9"/>
      <c r="HF344" s="9"/>
      <c r="HG344" s="9"/>
      <c r="HH344" s="9"/>
      <c r="HI344" s="9"/>
      <c r="HJ344" s="9"/>
      <c r="HK344" s="9"/>
      <c r="HU344" s="58">
        <v>38127</v>
      </c>
      <c r="HW344" s="58"/>
      <c r="HX344" s="58"/>
      <c r="II344" t="s">
        <v>1546</v>
      </c>
      <c r="IJ344" s="88" t="s">
        <v>19</v>
      </c>
      <c r="IK344" t="s">
        <v>660</v>
      </c>
      <c r="IL344" s="88" t="s">
        <v>661</v>
      </c>
      <c r="IO344" s="87" t="s">
        <v>29</v>
      </c>
      <c r="JK344" t="s">
        <v>1547</v>
      </c>
      <c r="JL344" s="84" t="s">
        <v>15</v>
      </c>
      <c r="JM344" s="88" t="s">
        <v>14</v>
      </c>
      <c r="JQ344" s="95" t="s">
        <v>13</v>
      </c>
      <c r="JR344">
        <v>90</v>
      </c>
      <c r="JU344">
        <v>45</v>
      </c>
      <c r="JV344">
        <v>45</v>
      </c>
      <c r="KF344" t="s">
        <v>1549</v>
      </c>
      <c r="KG344" s="12" t="s">
        <v>1548</v>
      </c>
      <c r="KJ344" t="s">
        <v>1550</v>
      </c>
      <c r="KK344" t="s">
        <v>222</v>
      </c>
      <c r="KL344" s="8" t="s">
        <v>1551</v>
      </c>
      <c r="KM344" s="95" t="s">
        <v>220</v>
      </c>
      <c r="KN344">
        <v>18</v>
      </c>
      <c r="MZ344" t="s">
        <v>1525</v>
      </c>
      <c r="NA344">
        <v>6.3</v>
      </c>
      <c r="NB344" t="s">
        <v>1530</v>
      </c>
      <c r="NC344" t="s">
        <v>23</v>
      </c>
      <c r="NK344" t="s">
        <v>1451</v>
      </c>
      <c r="NL344" t="s">
        <v>1527</v>
      </c>
      <c r="NM344" s="4" t="s">
        <v>1518</v>
      </c>
      <c r="NN344" s="6" t="s">
        <v>1537</v>
      </c>
      <c r="NV344" t="s">
        <v>1558</v>
      </c>
      <c r="NW344" t="s">
        <v>6</v>
      </c>
      <c r="NX344">
        <v>204232.8</v>
      </c>
      <c r="NY344" s="88" t="s">
        <v>29</v>
      </c>
      <c r="NZ344" s="88" t="s">
        <v>29</v>
      </c>
      <c r="OC344">
        <v>3</v>
      </c>
      <c r="OT344" t="s">
        <v>1538</v>
      </c>
      <c r="OU344" s="88"/>
      <c r="OV344">
        <v>2004</v>
      </c>
      <c r="OY344" t="s">
        <v>1539</v>
      </c>
      <c r="PA344" s="88" t="s">
        <v>1169</v>
      </c>
      <c r="PB344" s="58">
        <v>46105</v>
      </c>
    </row>
    <row r="345" spans="1:418" ht="15.75" thickBot="1">
      <c r="A345" t="s">
        <v>248</v>
      </c>
      <c r="B345" t="s">
        <v>1523</v>
      </c>
      <c r="C345" t="s">
        <v>1173</v>
      </c>
      <c r="D345" s="4" t="s">
        <v>1936</v>
      </c>
      <c r="E345" s="94" t="s">
        <v>1540</v>
      </c>
      <c r="F345" s="94" t="s">
        <v>31</v>
      </c>
      <c r="G345" s="88" t="s">
        <v>2</v>
      </c>
      <c r="H345" s="88" t="s">
        <v>30</v>
      </c>
      <c r="I345">
        <v>7.7338301139999999</v>
      </c>
      <c r="J345">
        <v>8.5391521210000008</v>
      </c>
      <c r="K345" s="87" t="s">
        <v>29</v>
      </c>
      <c r="AV345" t="s">
        <v>1541</v>
      </c>
      <c r="AW345">
        <v>5.7000000000000002E-2</v>
      </c>
      <c r="AX345" s="88" t="s">
        <v>29</v>
      </c>
      <c r="AY345">
        <v>1</v>
      </c>
      <c r="AZ345" t="s">
        <v>1555</v>
      </c>
      <c r="BA345">
        <v>2004</v>
      </c>
      <c r="BC345">
        <v>2004.2</v>
      </c>
      <c r="BD345" t="s">
        <v>238</v>
      </c>
      <c r="BE345" t="s">
        <v>1542</v>
      </c>
      <c r="BF345" t="s">
        <v>64</v>
      </c>
      <c r="BG345" s="78" t="s">
        <v>1233</v>
      </c>
      <c r="BH345" t="s">
        <v>23</v>
      </c>
      <c r="BI345" t="s">
        <v>1545</v>
      </c>
      <c r="BJ345" s="88" t="s">
        <v>22</v>
      </c>
      <c r="BK345">
        <v>38000</v>
      </c>
      <c r="BL345" t="s">
        <v>56</v>
      </c>
      <c r="BM345" t="s">
        <v>271</v>
      </c>
      <c r="BN345" t="s">
        <v>1543</v>
      </c>
      <c r="BO345" s="88" t="s">
        <v>22</v>
      </c>
      <c r="BP345">
        <v>266660</v>
      </c>
      <c r="EH345" s="9"/>
      <c r="EI345" s="9"/>
      <c r="EJ345" s="9"/>
      <c r="EK345" s="9"/>
      <c r="EL345" s="9"/>
      <c r="EM345" s="9"/>
      <c r="EN345" s="9"/>
      <c r="EO345" s="9"/>
      <c r="EP345" s="9"/>
      <c r="EQ345" s="9"/>
      <c r="ER345" s="9"/>
      <c r="ES345" s="9"/>
      <c r="ET345" s="9"/>
      <c r="EU345" s="9"/>
      <c r="EV345" s="9"/>
      <c r="EW345" s="9"/>
      <c r="EX345" s="9"/>
      <c r="EY345" s="9"/>
      <c r="EZ345" s="9"/>
      <c r="FA345" s="9"/>
      <c r="FB345" s="9"/>
      <c r="FC345" s="9"/>
      <c r="FD345" s="9"/>
      <c r="FE345" s="9"/>
      <c r="FF345" s="9"/>
      <c r="FG345" s="9"/>
      <c r="FH345" s="9"/>
      <c r="FI345" s="9"/>
      <c r="FJ345" s="9"/>
      <c r="FK345" s="9"/>
      <c r="FL345" s="9"/>
      <c r="FM345" s="9"/>
      <c r="FN345" s="9"/>
      <c r="FO345" s="9"/>
      <c r="FP345" s="9"/>
      <c r="FQ345" s="9"/>
      <c r="FR345" s="9"/>
      <c r="FS345" s="9"/>
      <c r="FT345" s="9"/>
      <c r="FU345" s="9"/>
      <c r="FV345" s="9"/>
      <c r="FW345" s="9"/>
      <c r="FX345" s="9"/>
      <c r="FY345" s="9"/>
      <c r="FZ345" s="9"/>
      <c r="GA345" s="9"/>
      <c r="GB345" s="9"/>
      <c r="GC345" s="9"/>
      <c r="GD345" s="9"/>
      <c r="GE345" s="9"/>
      <c r="GF345" s="9"/>
      <c r="GG345" s="9"/>
      <c r="GH345" s="9"/>
      <c r="GI345" s="9"/>
      <c r="GJ345" s="9"/>
      <c r="GK345" s="9"/>
      <c r="GL345" s="9"/>
      <c r="GM345" s="9"/>
      <c r="GN345" s="9"/>
      <c r="GO345" s="9"/>
      <c r="GP345" s="9"/>
      <c r="GQ345" s="9"/>
      <c r="GR345" s="9"/>
      <c r="GS345" s="9"/>
      <c r="GT345" s="9"/>
      <c r="GU345" s="9"/>
      <c r="GV345" s="9"/>
      <c r="GW345" s="9"/>
      <c r="GX345" s="9"/>
      <c r="GY345" s="9"/>
      <c r="GZ345" s="9"/>
      <c r="HA345" s="9"/>
      <c r="HB345" s="9"/>
      <c r="HC345" s="9"/>
      <c r="HD345" s="9"/>
      <c r="HE345" s="9"/>
      <c r="HF345" s="9"/>
      <c r="HG345" s="9"/>
      <c r="HH345" s="9"/>
      <c r="HI345" s="9"/>
      <c r="HJ345" s="9"/>
      <c r="HK345" s="9"/>
      <c r="HU345" s="58">
        <v>45494</v>
      </c>
      <c r="HW345" s="58"/>
      <c r="HX345" s="58"/>
      <c r="II345" t="s">
        <v>238</v>
      </c>
      <c r="IJ345" s="88" t="s">
        <v>1190</v>
      </c>
      <c r="IK345" t="s">
        <v>660</v>
      </c>
      <c r="IL345" s="88" t="s">
        <v>661</v>
      </c>
      <c r="IO345" s="87" t="s">
        <v>29</v>
      </c>
      <c r="JK345" t="s">
        <v>1547</v>
      </c>
      <c r="JL345" s="84" t="s">
        <v>15</v>
      </c>
      <c r="JM345" s="88" t="s">
        <v>14</v>
      </c>
      <c r="JQ345" s="95" t="s">
        <v>13</v>
      </c>
      <c r="JR345">
        <v>100</v>
      </c>
      <c r="JU345">
        <v>81</v>
      </c>
      <c r="JV345">
        <v>65</v>
      </c>
      <c r="KF345" t="s">
        <v>1549</v>
      </c>
      <c r="KG345" s="12" t="s">
        <v>1548</v>
      </c>
      <c r="KJ345" t="s">
        <v>1550</v>
      </c>
      <c r="KK345" t="s">
        <v>222</v>
      </c>
      <c r="KL345" s="8" t="s">
        <v>1551</v>
      </c>
      <c r="KM345" s="95" t="s">
        <v>220</v>
      </c>
      <c r="KN345">
        <v>18</v>
      </c>
      <c r="MZ345" t="s">
        <v>1525</v>
      </c>
      <c r="NA345">
        <v>6.3</v>
      </c>
      <c r="NB345" t="s">
        <v>1531</v>
      </c>
      <c r="NC345" t="s">
        <v>23</v>
      </c>
      <c r="ND345" t="s">
        <v>271</v>
      </c>
      <c r="NK345" t="s">
        <v>1451</v>
      </c>
      <c r="NL345" t="s">
        <v>1527</v>
      </c>
      <c r="NM345" s="4" t="s">
        <v>1518</v>
      </c>
      <c r="NN345" s="6" t="s">
        <v>1537</v>
      </c>
      <c r="NW345" t="s">
        <v>6</v>
      </c>
      <c r="NX345">
        <v>234391.1</v>
      </c>
      <c r="NY345" s="88" t="s">
        <v>29</v>
      </c>
      <c r="NZ345" s="88" t="s">
        <v>29</v>
      </c>
      <c r="OC345">
        <v>3</v>
      </c>
      <c r="OT345" t="s">
        <v>1553</v>
      </c>
      <c r="OU345" s="88"/>
      <c r="OV345">
        <v>2004</v>
      </c>
      <c r="OY345" t="s">
        <v>1556</v>
      </c>
      <c r="PA345" s="88" t="s">
        <v>1169</v>
      </c>
      <c r="PB345" s="58">
        <v>46105</v>
      </c>
    </row>
    <row r="346" spans="1:418" ht="15.75" thickBot="1">
      <c r="A346" t="s">
        <v>248</v>
      </c>
      <c r="B346" t="s">
        <v>1523</v>
      </c>
      <c r="C346" t="s">
        <v>1173</v>
      </c>
      <c r="D346" s="4" t="s">
        <v>1936</v>
      </c>
      <c r="E346" s="94" t="s">
        <v>1540</v>
      </c>
      <c r="F346" s="94" t="s">
        <v>31</v>
      </c>
      <c r="G346" s="88" t="s">
        <v>2</v>
      </c>
      <c r="H346" s="88" t="s">
        <v>30</v>
      </c>
      <c r="I346">
        <v>7.7338301139999999</v>
      </c>
      <c r="J346">
        <v>8.5391521210000008</v>
      </c>
      <c r="K346" s="87" t="s">
        <v>29</v>
      </c>
      <c r="AV346" t="s">
        <v>1541</v>
      </c>
      <c r="AW346">
        <v>5.7000000000000002E-2</v>
      </c>
      <c r="AX346" s="88" t="s">
        <v>29</v>
      </c>
      <c r="AY346">
        <v>1</v>
      </c>
      <c r="AZ346" t="s">
        <v>1555</v>
      </c>
      <c r="BA346">
        <v>2004</v>
      </c>
      <c r="BC346">
        <v>2004.2</v>
      </c>
      <c r="BD346" t="s">
        <v>238</v>
      </c>
      <c r="BE346" t="s">
        <v>1532</v>
      </c>
      <c r="BF346" t="s">
        <v>57</v>
      </c>
      <c r="BG346" s="78" t="s">
        <v>1233</v>
      </c>
      <c r="BH346" t="s">
        <v>23</v>
      </c>
      <c r="BI346" t="s">
        <v>1545</v>
      </c>
      <c r="BJ346" s="88" t="s">
        <v>22</v>
      </c>
      <c r="BK346">
        <v>38000</v>
      </c>
      <c r="BL346" t="s">
        <v>56</v>
      </c>
      <c r="BM346" t="s">
        <v>271</v>
      </c>
      <c r="BN346" t="s">
        <v>1544</v>
      </c>
      <c r="BO346" s="88" t="s">
        <v>22</v>
      </c>
      <c r="BP346">
        <v>266660</v>
      </c>
      <c r="EH346" s="9"/>
      <c r="EI346" s="9"/>
      <c r="EJ346" s="9"/>
      <c r="EK346" s="9"/>
      <c r="EL346" s="9"/>
      <c r="EM346" s="9"/>
      <c r="EN346" s="9"/>
      <c r="EO346" s="9"/>
      <c r="EP346" s="9"/>
      <c r="EQ346" s="9"/>
      <c r="ER346" s="9"/>
      <c r="ES346" s="9"/>
      <c r="ET346" s="9"/>
      <c r="EU346" s="9"/>
      <c r="EV346" s="9"/>
      <c r="EW346" s="9"/>
      <c r="EX346" s="9"/>
      <c r="EY346" s="9"/>
      <c r="EZ346" s="9"/>
      <c r="FA346" s="9"/>
      <c r="FB346" s="9"/>
      <c r="FC346" s="9"/>
      <c r="FD346" s="9"/>
      <c r="FE346" s="9"/>
      <c r="FF346" s="9"/>
      <c r="FG346" s="9"/>
      <c r="FH346" s="9"/>
      <c r="FI346" s="9"/>
      <c r="FJ346" s="9"/>
      <c r="FK346" s="9"/>
      <c r="FL346" s="9"/>
      <c r="FM346" s="9"/>
      <c r="FN346" s="9"/>
      <c r="FO346" s="9"/>
      <c r="FP346" s="9"/>
      <c r="FQ346" s="9"/>
      <c r="FR346" s="9"/>
      <c r="FS346" s="9"/>
      <c r="FT346" s="9"/>
      <c r="FU346" s="9"/>
      <c r="FV346" s="9"/>
      <c r="FW346" s="9"/>
      <c r="FX346" s="9"/>
      <c r="FY346" s="9"/>
      <c r="FZ346" s="9"/>
      <c r="GA346" s="9"/>
      <c r="GB346" s="9"/>
      <c r="GC346" s="9"/>
      <c r="GD346" s="9"/>
      <c r="GE346" s="9"/>
      <c r="GF346" s="9"/>
      <c r="GG346" s="9"/>
      <c r="GH346" s="9"/>
      <c r="GI346" s="9"/>
      <c r="GJ346" s="9"/>
      <c r="GK346" s="9"/>
      <c r="GL346" s="9"/>
      <c r="GM346" s="9"/>
      <c r="GN346" s="9"/>
      <c r="GO346" s="9"/>
      <c r="GP346" s="9"/>
      <c r="GQ346" s="9"/>
      <c r="GR346" s="9"/>
      <c r="GS346" s="9"/>
      <c r="GT346" s="9"/>
      <c r="GU346" s="9"/>
      <c r="GV346" s="9"/>
      <c r="GW346" s="9"/>
      <c r="GX346" s="9"/>
      <c r="GY346" s="9"/>
      <c r="GZ346" s="9"/>
      <c r="HA346" s="9"/>
      <c r="HB346" s="9"/>
      <c r="HC346" s="9"/>
      <c r="HD346" s="9"/>
      <c r="HE346" s="9"/>
      <c r="HF346" s="9"/>
      <c r="HG346" s="9"/>
      <c r="HH346" s="9"/>
      <c r="HI346" s="9"/>
      <c r="HJ346" s="9"/>
      <c r="HK346" s="9"/>
      <c r="HU346" s="58">
        <v>45494</v>
      </c>
      <c r="HW346" s="58"/>
      <c r="HX346" s="58"/>
      <c r="II346" t="s">
        <v>238</v>
      </c>
      <c r="IJ346" s="88" t="s">
        <v>1190</v>
      </c>
      <c r="IK346" t="s">
        <v>660</v>
      </c>
      <c r="IL346" s="88" t="s">
        <v>661</v>
      </c>
      <c r="IO346" s="87" t="s">
        <v>29</v>
      </c>
      <c r="JK346" t="s">
        <v>1547</v>
      </c>
      <c r="JL346" s="84" t="s">
        <v>15</v>
      </c>
      <c r="JM346" s="88" t="s">
        <v>14</v>
      </c>
      <c r="JQ346" s="95" t="s">
        <v>13</v>
      </c>
      <c r="JR346">
        <v>100</v>
      </c>
      <c r="JU346">
        <v>81</v>
      </c>
      <c r="JV346">
        <v>65</v>
      </c>
      <c r="KF346" t="s">
        <v>1549</v>
      </c>
      <c r="KG346" s="12" t="s">
        <v>1548</v>
      </c>
      <c r="KJ346" t="s">
        <v>1550</v>
      </c>
      <c r="KK346" t="s">
        <v>222</v>
      </c>
      <c r="KL346" s="8" t="s">
        <v>1551</v>
      </c>
      <c r="KM346" s="95" t="s">
        <v>220</v>
      </c>
      <c r="KN346">
        <v>18</v>
      </c>
      <c r="MZ346" t="s">
        <v>1525</v>
      </c>
      <c r="NA346">
        <v>6.3</v>
      </c>
      <c r="NB346" t="s">
        <v>1531</v>
      </c>
      <c r="NC346" t="s">
        <v>23</v>
      </c>
      <c r="ND346" t="s">
        <v>271</v>
      </c>
      <c r="NK346" t="s">
        <v>1451</v>
      </c>
      <c r="NL346" t="s">
        <v>1527</v>
      </c>
      <c r="NM346" s="4" t="s">
        <v>1518</v>
      </c>
      <c r="NN346" s="6" t="s">
        <v>1537</v>
      </c>
      <c r="NW346" t="s">
        <v>6</v>
      </c>
      <c r="NX346">
        <v>179762</v>
      </c>
      <c r="NY346" s="88" t="s">
        <v>29</v>
      </c>
      <c r="NZ346" s="88" t="s">
        <v>29</v>
      </c>
      <c r="OC346">
        <v>3</v>
      </c>
      <c r="OT346" t="s">
        <v>1553</v>
      </c>
      <c r="OU346" s="88"/>
      <c r="OV346">
        <v>2004</v>
      </c>
      <c r="OY346" t="s">
        <v>1556</v>
      </c>
      <c r="PA346" s="88" t="s">
        <v>1169</v>
      </c>
      <c r="PB346" s="58">
        <v>46105</v>
      </c>
    </row>
    <row r="347" spans="1:418" ht="15.75" thickBot="1">
      <c r="A347" t="s">
        <v>248</v>
      </c>
      <c r="B347" t="s">
        <v>1523</v>
      </c>
      <c r="C347" t="s">
        <v>1173</v>
      </c>
      <c r="D347" s="4" t="s">
        <v>1936</v>
      </c>
      <c r="E347" s="94" t="s">
        <v>1540</v>
      </c>
      <c r="F347" s="94" t="s">
        <v>31</v>
      </c>
      <c r="G347" s="88" t="s">
        <v>2</v>
      </c>
      <c r="H347" s="88" t="s">
        <v>30</v>
      </c>
      <c r="I347">
        <v>7.7338301139999999</v>
      </c>
      <c r="J347">
        <v>8.5391521210000008</v>
      </c>
      <c r="K347" s="87" t="s">
        <v>29</v>
      </c>
      <c r="AV347" t="s">
        <v>1541</v>
      </c>
      <c r="AW347">
        <v>5.7000000000000002E-2</v>
      </c>
      <c r="AX347" s="88" t="s">
        <v>29</v>
      </c>
      <c r="AY347">
        <v>1</v>
      </c>
      <c r="AZ347" t="s">
        <v>1555</v>
      </c>
      <c r="BA347">
        <v>2004</v>
      </c>
      <c r="BC347">
        <v>2004.2</v>
      </c>
      <c r="BD347" t="s">
        <v>238</v>
      </c>
      <c r="BE347" t="s">
        <v>1533</v>
      </c>
      <c r="BF347" t="s">
        <v>48</v>
      </c>
      <c r="BG347" s="78" t="s">
        <v>1233</v>
      </c>
      <c r="BH347" t="s">
        <v>23</v>
      </c>
      <c r="BI347" t="s">
        <v>1545</v>
      </c>
      <c r="BJ347" s="88" t="s">
        <v>22</v>
      </c>
      <c r="BK347">
        <v>44440</v>
      </c>
      <c r="BL347" t="s">
        <v>56</v>
      </c>
      <c r="BM347" t="s">
        <v>271</v>
      </c>
      <c r="BN347" t="s">
        <v>1543</v>
      </c>
      <c r="BO347" s="88" t="s">
        <v>22</v>
      </c>
      <c r="BP347">
        <v>266660</v>
      </c>
      <c r="EH347" s="9"/>
      <c r="EI347" s="9"/>
      <c r="EJ347" s="9"/>
      <c r="EK347" s="9"/>
      <c r="EL347" s="9"/>
      <c r="EM347" s="9"/>
      <c r="EN347" s="9"/>
      <c r="EO347" s="9"/>
      <c r="EP347" s="9"/>
      <c r="EQ347" s="9"/>
      <c r="ER347" s="9"/>
      <c r="ES347" s="9"/>
      <c r="ET347" s="9"/>
      <c r="EU347" s="9"/>
      <c r="EV347" s="9"/>
      <c r="EW347" s="9"/>
      <c r="EX347" s="9"/>
      <c r="EY347" s="9"/>
      <c r="EZ347" s="9"/>
      <c r="FA347" s="9"/>
      <c r="FB347" s="9"/>
      <c r="FC347" s="9"/>
      <c r="FD347" s="9"/>
      <c r="FE347" s="9"/>
      <c r="FF347" s="9"/>
      <c r="FG347" s="9"/>
      <c r="FH347" s="9"/>
      <c r="FI347" s="9"/>
      <c r="FJ347" s="9"/>
      <c r="FK347" s="9"/>
      <c r="FL347" s="9"/>
      <c r="FM347" s="9"/>
      <c r="FN347" s="9"/>
      <c r="FO347" s="9"/>
      <c r="FP347" s="9"/>
      <c r="FQ347" s="9"/>
      <c r="FR347" s="9"/>
      <c r="FS347" s="9"/>
      <c r="FT347" s="9"/>
      <c r="FU347" s="9"/>
      <c r="FV347" s="9"/>
      <c r="FW347" s="9"/>
      <c r="FX347" s="9"/>
      <c r="FY347" s="9"/>
      <c r="FZ347" s="9"/>
      <c r="GA347" s="9"/>
      <c r="GB347" s="9"/>
      <c r="GC347" s="9"/>
      <c r="GD347" s="9"/>
      <c r="GE347" s="9"/>
      <c r="GF347" s="9"/>
      <c r="GG347" s="9"/>
      <c r="GH347" s="9"/>
      <c r="GI347" s="9"/>
      <c r="GJ347" s="9"/>
      <c r="GK347" s="9"/>
      <c r="GL347" s="9"/>
      <c r="GM347" s="9"/>
      <c r="GN347" s="9"/>
      <c r="GO347" s="9"/>
      <c r="GP347" s="9"/>
      <c r="GQ347" s="9"/>
      <c r="GR347" s="9"/>
      <c r="GS347" s="9"/>
      <c r="GT347" s="9"/>
      <c r="GU347" s="9"/>
      <c r="GV347" s="9"/>
      <c r="GW347" s="9"/>
      <c r="GX347" s="9"/>
      <c r="GY347" s="9"/>
      <c r="GZ347" s="9"/>
      <c r="HA347" s="9"/>
      <c r="HB347" s="9"/>
      <c r="HC347" s="9"/>
      <c r="HD347" s="9"/>
      <c r="HE347" s="9"/>
      <c r="HF347" s="9"/>
      <c r="HG347" s="9"/>
      <c r="HH347" s="9"/>
      <c r="HI347" s="9"/>
      <c r="HJ347" s="9"/>
      <c r="HK347" s="9"/>
      <c r="HU347" s="58">
        <v>45494</v>
      </c>
      <c r="HW347" s="58"/>
      <c r="HX347" s="58"/>
      <c r="II347" t="s">
        <v>238</v>
      </c>
      <c r="IJ347" s="88" t="s">
        <v>1190</v>
      </c>
      <c r="IK347" t="s">
        <v>660</v>
      </c>
      <c r="IL347" s="88" t="s">
        <v>661</v>
      </c>
      <c r="IO347" s="87" t="s">
        <v>29</v>
      </c>
      <c r="JK347" t="s">
        <v>1547</v>
      </c>
      <c r="JL347" s="84" t="s">
        <v>15</v>
      </c>
      <c r="JM347" s="88" t="s">
        <v>14</v>
      </c>
      <c r="JQ347" s="95" t="s">
        <v>13</v>
      </c>
      <c r="JR347">
        <v>100</v>
      </c>
      <c r="JU347">
        <v>81</v>
      </c>
      <c r="JV347">
        <v>65</v>
      </c>
      <c r="KF347" t="s">
        <v>1549</v>
      </c>
      <c r="KG347" s="12" t="s">
        <v>1548</v>
      </c>
      <c r="KJ347" t="s">
        <v>1550</v>
      </c>
      <c r="KK347" t="s">
        <v>222</v>
      </c>
      <c r="KL347" s="8" t="s">
        <v>1551</v>
      </c>
      <c r="KM347" s="95" t="s">
        <v>220</v>
      </c>
      <c r="KN347">
        <v>18</v>
      </c>
      <c r="MZ347" t="s">
        <v>1525</v>
      </c>
      <c r="NA347">
        <v>6.3</v>
      </c>
      <c r="NB347" t="s">
        <v>1531</v>
      </c>
      <c r="NC347" t="s">
        <v>23</v>
      </c>
      <c r="ND347" t="s">
        <v>271</v>
      </c>
      <c r="NK347" t="s">
        <v>1451</v>
      </c>
      <c r="NL347" t="s">
        <v>1527</v>
      </c>
      <c r="NM347" s="4" t="s">
        <v>1518</v>
      </c>
      <c r="NN347" s="6" t="s">
        <v>1537</v>
      </c>
      <c r="NW347" t="s">
        <v>6</v>
      </c>
      <c r="NX347">
        <v>253040.7</v>
      </c>
      <c r="NY347" s="88" t="s">
        <v>29</v>
      </c>
      <c r="NZ347" s="88" t="s">
        <v>29</v>
      </c>
      <c r="OC347">
        <v>3</v>
      </c>
      <c r="OT347" t="s">
        <v>1553</v>
      </c>
      <c r="OU347" s="88"/>
      <c r="OV347">
        <v>2004</v>
      </c>
      <c r="OY347" t="s">
        <v>1556</v>
      </c>
      <c r="PA347" s="88" t="s">
        <v>1169</v>
      </c>
      <c r="PB347" s="58">
        <v>46105</v>
      </c>
    </row>
    <row r="348" spans="1:418" ht="15.75" thickBot="1">
      <c r="A348" t="s">
        <v>248</v>
      </c>
      <c r="B348" t="s">
        <v>1523</v>
      </c>
      <c r="C348" t="s">
        <v>1173</v>
      </c>
      <c r="D348" s="4" t="s">
        <v>1936</v>
      </c>
      <c r="E348" s="94" t="s">
        <v>1540</v>
      </c>
      <c r="F348" s="94" t="s">
        <v>31</v>
      </c>
      <c r="G348" s="88" t="s">
        <v>2</v>
      </c>
      <c r="H348" s="88" t="s">
        <v>30</v>
      </c>
      <c r="I348">
        <v>7.7338301139999999</v>
      </c>
      <c r="J348">
        <v>8.5391521210000008</v>
      </c>
      <c r="K348" s="87" t="s">
        <v>29</v>
      </c>
      <c r="AV348" t="s">
        <v>1541</v>
      </c>
      <c r="AW348">
        <v>5.7000000000000002E-2</v>
      </c>
      <c r="AX348" s="88" t="s">
        <v>29</v>
      </c>
      <c r="AY348">
        <v>1</v>
      </c>
      <c r="AZ348" t="s">
        <v>1555</v>
      </c>
      <c r="BA348">
        <v>2004</v>
      </c>
      <c r="BC348">
        <v>2004.2</v>
      </c>
      <c r="BD348" t="s">
        <v>238</v>
      </c>
      <c r="BE348" t="s">
        <v>1534</v>
      </c>
      <c r="BF348" t="s">
        <v>43</v>
      </c>
      <c r="BG348" s="78" t="s">
        <v>1233</v>
      </c>
      <c r="BH348" t="s">
        <v>23</v>
      </c>
      <c r="BI348" t="s">
        <v>1545</v>
      </c>
      <c r="BJ348" s="88" t="s">
        <v>22</v>
      </c>
      <c r="BK348">
        <v>44440</v>
      </c>
      <c r="BL348" t="s">
        <v>56</v>
      </c>
      <c r="BM348" t="s">
        <v>271</v>
      </c>
      <c r="BN348" t="s">
        <v>1544</v>
      </c>
      <c r="BO348" s="88" t="s">
        <v>22</v>
      </c>
      <c r="BP348">
        <v>266660</v>
      </c>
      <c r="EH348" s="9"/>
      <c r="EI348" s="9"/>
      <c r="EJ348" s="9"/>
      <c r="EK348" s="9"/>
      <c r="EL348" s="9"/>
      <c r="EM348" s="9"/>
      <c r="EN348" s="9"/>
      <c r="EO348" s="9"/>
      <c r="EP348" s="9"/>
      <c r="EQ348" s="9"/>
      <c r="ER348" s="9"/>
      <c r="ES348" s="9"/>
      <c r="ET348" s="9"/>
      <c r="EU348" s="9"/>
      <c r="EV348" s="9"/>
      <c r="EW348" s="9"/>
      <c r="EX348" s="9"/>
      <c r="EY348" s="9"/>
      <c r="EZ348" s="9"/>
      <c r="FA348" s="9"/>
      <c r="FB348" s="9"/>
      <c r="FC348" s="9"/>
      <c r="FD348" s="9"/>
      <c r="FE348" s="9"/>
      <c r="FF348" s="9"/>
      <c r="FG348" s="9"/>
      <c r="FH348" s="9"/>
      <c r="FI348" s="9"/>
      <c r="FJ348" s="9"/>
      <c r="FK348" s="9"/>
      <c r="FL348" s="9"/>
      <c r="FM348" s="9"/>
      <c r="FN348" s="9"/>
      <c r="FO348" s="9"/>
      <c r="FP348" s="9"/>
      <c r="FQ348" s="9"/>
      <c r="FR348" s="9"/>
      <c r="FS348" s="9"/>
      <c r="FT348" s="9"/>
      <c r="FU348" s="9"/>
      <c r="FV348" s="9"/>
      <c r="FW348" s="9"/>
      <c r="FX348" s="9"/>
      <c r="FY348" s="9"/>
      <c r="FZ348" s="9"/>
      <c r="GA348" s="9"/>
      <c r="GB348" s="9"/>
      <c r="GC348" s="9"/>
      <c r="GD348" s="9"/>
      <c r="GE348" s="9"/>
      <c r="GF348" s="9"/>
      <c r="GG348" s="9"/>
      <c r="GH348" s="9"/>
      <c r="GI348" s="9"/>
      <c r="GJ348" s="9"/>
      <c r="GK348" s="9"/>
      <c r="GL348" s="9"/>
      <c r="GM348" s="9"/>
      <c r="GN348" s="9"/>
      <c r="GO348" s="9"/>
      <c r="GP348" s="9"/>
      <c r="GQ348" s="9"/>
      <c r="GR348" s="9"/>
      <c r="GS348" s="9"/>
      <c r="GT348" s="9"/>
      <c r="GU348" s="9"/>
      <c r="GV348" s="9"/>
      <c r="GW348" s="9"/>
      <c r="GX348" s="9"/>
      <c r="GY348" s="9"/>
      <c r="GZ348" s="9"/>
      <c r="HA348" s="9"/>
      <c r="HB348" s="9"/>
      <c r="HC348" s="9"/>
      <c r="HD348" s="9"/>
      <c r="HE348" s="9"/>
      <c r="HF348" s="9"/>
      <c r="HG348" s="9"/>
      <c r="HH348" s="9"/>
      <c r="HI348" s="9"/>
      <c r="HJ348" s="9"/>
      <c r="HK348" s="9"/>
      <c r="HU348" s="58">
        <v>45494</v>
      </c>
      <c r="HW348" s="58"/>
      <c r="HX348" s="58"/>
      <c r="II348" t="s">
        <v>238</v>
      </c>
      <c r="IJ348" s="88" t="s">
        <v>1190</v>
      </c>
      <c r="IK348" t="s">
        <v>660</v>
      </c>
      <c r="IL348" s="88" t="s">
        <v>661</v>
      </c>
      <c r="IO348" s="87" t="s">
        <v>29</v>
      </c>
      <c r="JK348" t="s">
        <v>1547</v>
      </c>
      <c r="JL348" s="84" t="s">
        <v>15</v>
      </c>
      <c r="JM348" s="88" t="s">
        <v>14</v>
      </c>
      <c r="JQ348" s="95" t="s">
        <v>13</v>
      </c>
      <c r="JR348">
        <v>100</v>
      </c>
      <c r="JU348">
        <v>81</v>
      </c>
      <c r="JV348">
        <v>65</v>
      </c>
      <c r="KF348" t="s">
        <v>1549</v>
      </c>
      <c r="KG348" s="12" t="s">
        <v>1548</v>
      </c>
      <c r="KJ348" t="s">
        <v>1550</v>
      </c>
      <c r="KK348" t="s">
        <v>222</v>
      </c>
      <c r="KL348" s="8" t="s">
        <v>1551</v>
      </c>
      <c r="KM348" s="95" t="s">
        <v>220</v>
      </c>
      <c r="KN348">
        <v>18</v>
      </c>
      <c r="MZ348" t="s">
        <v>1525</v>
      </c>
      <c r="NA348">
        <v>6.3</v>
      </c>
      <c r="NB348" t="s">
        <v>1531</v>
      </c>
      <c r="NC348" t="s">
        <v>23</v>
      </c>
      <c r="ND348" t="s">
        <v>271</v>
      </c>
      <c r="NK348" t="s">
        <v>1451</v>
      </c>
      <c r="NL348" t="s">
        <v>1527</v>
      </c>
      <c r="NM348" s="4" t="s">
        <v>1518</v>
      </c>
      <c r="NN348" s="6" t="s">
        <v>1537</v>
      </c>
      <c r="NW348" t="s">
        <v>6</v>
      </c>
      <c r="NX348">
        <v>213844.7</v>
      </c>
      <c r="NY348" s="88" t="s">
        <v>29</v>
      </c>
      <c r="NZ348" s="88" t="s">
        <v>29</v>
      </c>
      <c r="OC348">
        <v>3</v>
      </c>
      <c r="OT348" t="s">
        <v>1553</v>
      </c>
      <c r="OU348" s="88"/>
      <c r="OV348">
        <v>2004</v>
      </c>
      <c r="OY348" t="s">
        <v>1556</v>
      </c>
      <c r="PA348" s="88" t="s">
        <v>1169</v>
      </c>
      <c r="PB348" s="58">
        <v>46105</v>
      </c>
    </row>
    <row r="349" spans="1:418" ht="15.75" thickBot="1">
      <c r="A349" t="s">
        <v>248</v>
      </c>
      <c r="B349" t="s">
        <v>1523</v>
      </c>
      <c r="C349" t="s">
        <v>1173</v>
      </c>
      <c r="D349" s="4" t="s">
        <v>1936</v>
      </c>
      <c r="E349" s="94" t="s">
        <v>1540</v>
      </c>
      <c r="F349" s="94" t="s">
        <v>31</v>
      </c>
      <c r="G349" s="88" t="s">
        <v>2</v>
      </c>
      <c r="H349" s="88" t="s">
        <v>30</v>
      </c>
      <c r="I349">
        <v>7.7338301139999999</v>
      </c>
      <c r="J349">
        <v>8.5391521210000008</v>
      </c>
      <c r="K349" s="87" t="s">
        <v>29</v>
      </c>
      <c r="AV349" t="s">
        <v>1541</v>
      </c>
      <c r="AW349">
        <v>5.7000000000000002E-2</v>
      </c>
      <c r="AX349" s="88" t="s">
        <v>29</v>
      </c>
      <c r="AY349">
        <v>1</v>
      </c>
      <c r="AZ349" t="s">
        <v>1555</v>
      </c>
      <c r="BA349">
        <v>2004</v>
      </c>
      <c r="BC349">
        <v>2004.2</v>
      </c>
      <c r="BD349" t="s">
        <v>238</v>
      </c>
      <c r="BE349" t="s">
        <v>1535</v>
      </c>
      <c r="BF349" t="s">
        <v>252</v>
      </c>
      <c r="BG349" s="78" t="s">
        <v>1233</v>
      </c>
      <c r="BH349" t="s">
        <v>23</v>
      </c>
      <c r="BI349" t="s">
        <v>1545</v>
      </c>
      <c r="BJ349" s="88" t="s">
        <v>22</v>
      </c>
      <c r="BK349">
        <v>53330</v>
      </c>
      <c r="BL349" t="s">
        <v>56</v>
      </c>
      <c r="BM349" t="s">
        <v>271</v>
      </c>
      <c r="BN349" t="s">
        <v>1543</v>
      </c>
      <c r="BO349" s="88" t="s">
        <v>22</v>
      </c>
      <c r="BP349">
        <v>266660</v>
      </c>
      <c r="EH349" s="9"/>
      <c r="EI349" s="9"/>
      <c r="EJ349" s="9"/>
      <c r="EK349" s="9"/>
      <c r="EL349" s="9"/>
      <c r="EM349" s="9"/>
      <c r="EN349" s="9"/>
      <c r="EO349" s="9"/>
      <c r="EP349" s="9"/>
      <c r="EQ349" s="9"/>
      <c r="ER349" s="9"/>
      <c r="ES349" s="9"/>
      <c r="ET349" s="9"/>
      <c r="EU349" s="9"/>
      <c r="EV349" s="9"/>
      <c r="EW349" s="9"/>
      <c r="EX349" s="9"/>
      <c r="EY349" s="9"/>
      <c r="EZ349" s="9"/>
      <c r="FA349" s="9"/>
      <c r="FB349" s="9"/>
      <c r="FC349" s="9"/>
      <c r="FD349" s="9"/>
      <c r="FE349" s="9"/>
      <c r="FF349" s="9"/>
      <c r="FG349" s="9"/>
      <c r="FH349" s="9"/>
      <c r="FI349" s="9"/>
      <c r="FJ349" s="9"/>
      <c r="FK349" s="9"/>
      <c r="FL349" s="9"/>
      <c r="FM349" s="9"/>
      <c r="FN349" s="9"/>
      <c r="FO349" s="9"/>
      <c r="FP349" s="9"/>
      <c r="FQ349" s="9"/>
      <c r="FR349" s="9"/>
      <c r="FS349" s="9"/>
      <c r="FT349" s="9"/>
      <c r="FU349" s="9"/>
      <c r="FV349" s="9"/>
      <c r="FW349" s="9"/>
      <c r="FX349" s="9"/>
      <c r="FY349" s="9"/>
      <c r="FZ349" s="9"/>
      <c r="GA349" s="9"/>
      <c r="GB349" s="9"/>
      <c r="GC349" s="9"/>
      <c r="GD349" s="9"/>
      <c r="GE349" s="9"/>
      <c r="GF349" s="9"/>
      <c r="GG349" s="9"/>
      <c r="GH349" s="9"/>
      <c r="GI349" s="9"/>
      <c r="GJ349" s="9"/>
      <c r="GK349" s="9"/>
      <c r="GL349" s="9"/>
      <c r="GM349" s="9"/>
      <c r="GN349" s="9"/>
      <c r="GO349" s="9"/>
      <c r="GP349" s="9"/>
      <c r="GQ349" s="9"/>
      <c r="GR349" s="9"/>
      <c r="GS349" s="9"/>
      <c r="GT349" s="9"/>
      <c r="GU349" s="9"/>
      <c r="GV349" s="9"/>
      <c r="GW349" s="9"/>
      <c r="GX349" s="9"/>
      <c r="GY349" s="9"/>
      <c r="GZ349" s="9"/>
      <c r="HA349" s="9"/>
      <c r="HB349" s="9"/>
      <c r="HC349" s="9"/>
      <c r="HD349" s="9"/>
      <c r="HE349" s="9"/>
      <c r="HF349" s="9"/>
      <c r="HG349" s="9"/>
      <c r="HH349" s="9"/>
      <c r="HI349" s="9"/>
      <c r="HJ349" s="9"/>
      <c r="HK349" s="9"/>
      <c r="HU349" s="58">
        <v>45494</v>
      </c>
      <c r="HW349" s="58"/>
      <c r="HX349" s="58"/>
      <c r="II349" t="s">
        <v>238</v>
      </c>
      <c r="IJ349" s="88" t="s">
        <v>1190</v>
      </c>
      <c r="IK349" t="s">
        <v>660</v>
      </c>
      <c r="IL349" s="88" t="s">
        <v>661</v>
      </c>
      <c r="IO349" s="87" t="s">
        <v>29</v>
      </c>
      <c r="JK349" t="s">
        <v>1547</v>
      </c>
      <c r="JL349" s="84" t="s">
        <v>15</v>
      </c>
      <c r="JM349" s="88" t="s">
        <v>14</v>
      </c>
      <c r="JQ349" s="95" t="s">
        <v>13</v>
      </c>
      <c r="JR349">
        <v>100</v>
      </c>
      <c r="JU349">
        <v>81</v>
      </c>
      <c r="JV349">
        <v>65</v>
      </c>
      <c r="KF349" t="s">
        <v>1549</v>
      </c>
      <c r="KG349" s="12" t="s">
        <v>1548</v>
      </c>
      <c r="KJ349" t="s">
        <v>1550</v>
      </c>
      <c r="KK349" t="s">
        <v>222</v>
      </c>
      <c r="KL349" s="8" t="s">
        <v>1551</v>
      </c>
      <c r="KM349" s="95" t="s">
        <v>220</v>
      </c>
      <c r="KN349">
        <v>18</v>
      </c>
      <c r="MZ349" t="s">
        <v>1525</v>
      </c>
      <c r="NA349">
        <v>6.3</v>
      </c>
      <c r="NB349" t="s">
        <v>1531</v>
      </c>
      <c r="NC349" t="s">
        <v>23</v>
      </c>
      <c r="ND349" t="s">
        <v>271</v>
      </c>
      <c r="NK349" t="s">
        <v>1451</v>
      </c>
      <c r="NL349" t="s">
        <v>1527</v>
      </c>
      <c r="NM349" s="4" t="s">
        <v>1518</v>
      </c>
      <c r="NN349" s="6" t="s">
        <v>1537</v>
      </c>
      <c r="NW349" t="s">
        <v>6</v>
      </c>
      <c r="NX349">
        <v>283069.7</v>
      </c>
      <c r="NY349" s="88" t="s">
        <v>29</v>
      </c>
      <c r="NZ349" s="88" t="s">
        <v>29</v>
      </c>
      <c r="OC349">
        <v>3</v>
      </c>
      <c r="OT349" t="s">
        <v>1553</v>
      </c>
      <c r="OU349" s="88"/>
      <c r="OV349">
        <v>2004</v>
      </c>
      <c r="OY349" t="s">
        <v>1556</v>
      </c>
      <c r="PA349" s="88" t="s">
        <v>1169</v>
      </c>
      <c r="PB349" s="58">
        <v>46105</v>
      </c>
    </row>
    <row r="350" spans="1:418" ht="15.75" thickBot="1">
      <c r="A350" t="s">
        <v>248</v>
      </c>
      <c r="B350" t="s">
        <v>1523</v>
      </c>
      <c r="C350" t="s">
        <v>1173</v>
      </c>
      <c r="D350" s="4" t="s">
        <v>1936</v>
      </c>
      <c r="E350" s="94" t="s">
        <v>1540</v>
      </c>
      <c r="F350" s="94" t="s">
        <v>31</v>
      </c>
      <c r="G350" s="88" t="s">
        <v>2</v>
      </c>
      <c r="H350" s="88" t="s">
        <v>30</v>
      </c>
      <c r="I350">
        <v>7.7338301139999999</v>
      </c>
      <c r="J350">
        <v>8.5391521210000008</v>
      </c>
      <c r="K350" s="87" t="s">
        <v>29</v>
      </c>
      <c r="AV350" t="s">
        <v>1541</v>
      </c>
      <c r="AW350">
        <v>5.7000000000000002E-2</v>
      </c>
      <c r="AX350" s="88" t="s">
        <v>29</v>
      </c>
      <c r="AY350">
        <v>1</v>
      </c>
      <c r="AZ350" t="s">
        <v>1555</v>
      </c>
      <c r="BA350">
        <v>2004</v>
      </c>
      <c r="BC350">
        <v>2004.2</v>
      </c>
      <c r="BD350" t="s">
        <v>238</v>
      </c>
      <c r="BE350" t="s">
        <v>1536</v>
      </c>
      <c r="BF350" t="s">
        <v>236</v>
      </c>
      <c r="BG350" s="78" t="s">
        <v>1233</v>
      </c>
      <c r="BH350" t="s">
        <v>23</v>
      </c>
      <c r="BI350" t="s">
        <v>1545</v>
      </c>
      <c r="BJ350" s="88" t="s">
        <v>22</v>
      </c>
      <c r="BK350">
        <v>53330</v>
      </c>
      <c r="BL350" t="s">
        <v>56</v>
      </c>
      <c r="BM350" t="s">
        <v>271</v>
      </c>
      <c r="BN350" t="s">
        <v>1544</v>
      </c>
      <c r="BO350" s="88" t="s">
        <v>22</v>
      </c>
      <c r="BP350">
        <v>266660</v>
      </c>
      <c r="EH350" s="9"/>
      <c r="EI350" s="9"/>
      <c r="EJ350" s="9"/>
      <c r="EK350" s="9"/>
      <c r="EL350" s="9"/>
      <c r="EM350" s="9"/>
      <c r="EN350" s="9"/>
      <c r="EO350" s="9"/>
      <c r="EP350" s="9"/>
      <c r="EQ350" s="9"/>
      <c r="ER350" s="9"/>
      <c r="ES350" s="9"/>
      <c r="ET350" s="9"/>
      <c r="EU350" s="9"/>
      <c r="EV350" s="9"/>
      <c r="EW350" s="9"/>
      <c r="EX350" s="9"/>
      <c r="EY350" s="9"/>
      <c r="EZ350" s="9"/>
      <c r="FA350" s="9"/>
      <c r="FB350" s="9"/>
      <c r="FC350" s="9"/>
      <c r="FD350" s="9"/>
      <c r="FE350" s="9"/>
      <c r="FF350" s="9"/>
      <c r="FG350" s="9"/>
      <c r="FH350" s="9"/>
      <c r="FI350" s="9"/>
      <c r="FJ350" s="9"/>
      <c r="FK350" s="9"/>
      <c r="FL350" s="9"/>
      <c r="FM350" s="9"/>
      <c r="FN350" s="9"/>
      <c r="FO350" s="9"/>
      <c r="FP350" s="9"/>
      <c r="FQ350" s="9"/>
      <c r="FR350" s="9"/>
      <c r="FS350" s="9"/>
      <c r="FT350" s="9"/>
      <c r="FU350" s="9"/>
      <c r="FV350" s="9"/>
      <c r="FW350" s="9"/>
      <c r="FX350" s="9"/>
      <c r="FY350" s="9"/>
      <c r="FZ350" s="9"/>
      <c r="GA350" s="9"/>
      <c r="GB350" s="9"/>
      <c r="GC350" s="9"/>
      <c r="GD350" s="9"/>
      <c r="GE350" s="9"/>
      <c r="GF350" s="9"/>
      <c r="GG350" s="9"/>
      <c r="GH350" s="9"/>
      <c r="GI350" s="9"/>
      <c r="GJ350" s="9"/>
      <c r="GK350" s="9"/>
      <c r="GL350" s="9"/>
      <c r="GM350" s="9"/>
      <c r="GN350" s="9"/>
      <c r="GO350" s="9"/>
      <c r="GP350" s="9"/>
      <c r="GQ350" s="9"/>
      <c r="GR350" s="9"/>
      <c r="GS350" s="9"/>
      <c r="GT350" s="9"/>
      <c r="GU350" s="9"/>
      <c r="GV350" s="9"/>
      <c r="GW350" s="9"/>
      <c r="GX350" s="9"/>
      <c r="GY350" s="9"/>
      <c r="GZ350" s="9"/>
      <c r="HA350" s="9"/>
      <c r="HB350" s="9"/>
      <c r="HC350" s="9"/>
      <c r="HD350" s="9"/>
      <c r="HE350" s="9"/>
      <c r="HF350" s="9"/>
      <c r="HG350" s="9"/>
      <c r="HH350" s="9"/>
      <c r="HI350" s="9"/>
      <c r="HJ350" s="9"/>
      <c r="HK350" s="9"/>
      <c r="HU350" s="58">
        <v>45494</v>
      </c>
      <c r="HW350" s="58"/>
      <c r="HX350" s="58"/>
      <c r="II350" t="s">
        <v>238</v>
      </c>
      <c r="IJ350" s="88" t="s">
        <v>1190</v>
      </c>
      <c r="IK350" t="s">
        <v>660</v>
      </c>
      <c r="IL350" s="88" t="s">
        <v>661</v>
      </c>
      <c r="IO350" s="87" t="s">
        <v>29</v>
      </c>
      <c r="JK350" t="s">
        <v>1547</v>
      </c>
      <c r="JL350" s="84" t="s">
        <v>15</v>
      </c>
      <c r="JM350" s="88" t="s">
        <v>14</v>
      </c>
      <c r="JQ350" s="95" t="s">
        <v>13</v>
      </c>
      <c r="JR350">
        <v>100</v>
      </c>
      <c r="JU350">
        <v>81</v>
      </c>
      <c r="JV350">
        <v>65</v>
      </c>
      <c r="KF350" t="s">
        <v>1549</v>
      </c>
      <c r="KG350" s="12" t="s">
        <v>1548</v>
      </c>
      <c r="KJ350" t="s">
        <v>1550</v>
      </c>
      <c r="KK350" t="s">
        <v>222</v>
      </c>
      <c r="KL350" s="8" t="s">
        <v>1551</v>
      </c>
      <c r="KM350" s="95" t="s">
        <v>220</v>
      </c>
      <c r="KN350">
        <v>18</v>
      </c>
      <c r="MZ350" t="s">
        <v>1525</v>
      </c>
      <c r="NA350">
        <v>6.3</v>
      </c>
      <c r="NB350" t="s">
        <v>1531</v>
      </c>
      <c r="NC350" t="s">
        <v>23</v>
      </c>
      <c r="ND350" t="s">
        <v>271</v>
      </c>
      <c r="NK350" t="s">
        <v>1451</v>
      </c>
      <c r="NL350" t="s">
        <v>1527</v>
      </c>
      <c r="NM350" s="4" t="s">
        <v>1518</v>
      </c>
      <c r="NN350" s="6" t="s">
        <v>1537</v>
      </c>
      <c r="NW350" t="s">
        <v>6</v>
      </c>
      <c r="NX350">
        <v>264418.7</v>
      </c>
      <c r="NY350" s="88" t="s">
        <v>29</v>
      </c>
      <c r="NZ350" s="88" t="s">
        <v>29</v>
      </c>
      <c r="OC350">
        <v>3</v>
      </c>
      <c r="OT350" t="s">
        <v>1553</v>
      </c>
      <c r="OU350" s="88"/>
      <c r="OV350">
        <v>2004</v>
      </c>
      <c r="OY350" t="s">
        <v>1556</v>
      </c>
      <c r="PA350" s="88" t="s">
        <v>1169</v>
      </c>
      <c r="PB350" s="58">
        <v>46105</v>
      </c>
    </row>
    <row r="351" spans="1:418" ht="15.75" thickBot="1">
      <c r="A351" t="s">
        <v>248</v>
      </c>
      <c r="B351" t="s">
        <v>1523</v>
      </c>
      <c r="C351" t="s">
        <v>1173</v>
      </c>
      <c r="D351" s="4" t="s">
        <v>1936</v>
      </c>
      <c r="E351" s="94" t="s">
        <v>1540</v>
      </c>
      <c r="F351" s="94" t="s">
        <v>31</v>
      </c>
      <c r="G351" s="88" t="s">
        <v>2</v>
      </c>
      <c r="H351" s="88" t="s">
        <v>30</v>
      </c>
      <c r="I351">
        <v>7.7338301139999999</v>
      </c>
      <c r="J351">
        <v>8.5391521210000008</v>
      </c>
      <c r="K351" s="87" t="s">
        <v>29</v>
      </c>
      <c r="AV351" t="s">
        <v>1541</v>
      </c>
      <c r="AW351">
        <v>5.7000000000000002E-2</v>
      </c>
      <c r="AX351" s="88" t="s">
        <v>29</v>
      </c>
      <c r="AY351">
        <v>1</v>
      </c>
      <c r="AZ351" t="s">
        <v>1555</v>
      </c>
      <c r="BA351">
        <v>2004</v>
      </c>
      <c r="BC351">
        <v>2004.2</v>
      </c>
      <c r="BD351" t="s">
        <v>19</v>
      </c>
      <c r="BE351" t="s">
        <v>1524</v>
      </c>
      <c r="BF351" t="s">
        <v>39</v>
      </c>
      <c r="BG351" s="78" t="s">
        <v>1233</v>
      </c>
      <c r="BH351" t="s">
        <v>271</v>
      </c>
      <c r="BI351" t="s">
        <v>1543</v>
      </c>
      <c r="BJ351" s="88" t="s">
        <v>22</v>
      </c>
      <c r="BK351">
        <v>266660</v>
      </c>
      <c r="EH351" s="9"/>
      <c r="EI351" s="9"/>
      <c r="EJ351" s="9"/>
      <c r="EK351" s="9"/>
      <c r="EL351" s="9"/>
      <c r="EM351" s="9"/>
      <c r="EN351" s="9"/>
      <c r="EO351" s="9"/>
      <c r="EP351" s="9"/>
      <c r="EQ351" s="9"/>
      <c r="ER351" s="9"/>
      <c r="ES351" s="9"/>
      <c r="ET351" s="9"/>
      <c r="EU351" s="9"/>
      <c r="EV351" s="9"/>
      <c r="EW351" s="9"/>
      <c r="EX351" s="9"/>
      <c r="EY351" s="9"/>
      <c r="EZ351" s="9"/>
      <c r="FA351" s="9"/>
      <c r="FB351" s="9"/>
      <c r="FC351" s="9"/>
      <c r="FD351" s="9"/>
      <c r="FE351" s="9"/>
      <c r="FF351" s="9"/>
      <c r="FG351" s="9"/>
      <c r="FH351" s="9"/>
      <c r="FI351" s="9"/>
      <c r="FJ351" s="9"/>
      <c r="FK351" s="9"/>
      <c r="FL351" s="9"/>
      <c r="FM351" s="9"/>
      <c r="FN351" s="9"/>
      <c r="FO351" s="9"/>
      <c r="FP351" s="9"/>
      <c r="FQ351" s="9"/>
      <c r="FR351" s="9"/>
      <c r="FS351" s="9"/>
      <c r="FT351" s="9"/>
      <c r="FU351" s="9"/>
      <c r="FV351" s="9"/>
      <c r="FW351" s="9"/>
      <c r="FX351" s="9"/>
      <c r="FY351" s="9"/>
      <c r="FZ351" s="9"/>
      <c r="GA351" s="9"/>
      <c r="GB351" s="9"/>
      <c r="GC351" s="9"/>
      <c r="GD351" s="9"/>
      <c r="GE351" s="9"/>
      <c r="GF351" s="9"/>
      <c r="GG351" s="9"/>
      <c r="GH351" s="9"/>
      <c r="GI351" s="9"/>
      <c r="GJ351" s="9"/>
      <c r="GK351" s="9"/>
      <c r="GL351" s="9"/>
      <c r="GM351" s="9"/>
      <c r="GN351" s="9"/>
      <c r="GO351" s="9"/>
      <c r="GP351" s="9"/>
      <c r="GQ351" s="9"/>
      <c r="GR351" s="9"/>
      <c r="GS351" s="9"/>
      <c r="GT351" s="9"/>
      <c r="GU351" s="9"/>
      <c r="GV351" s="9"/>
      <c r="GW351" s="9"/>
      <c r="GX351" s="9"/>
      <c r="GY351" s="9"/>
      <c r="GZ351" s="9"/>
      <c r="HA351" s="9"/>
      <c r="HB351" s="9"/>
      <c r="HC351" s="9"/>
      <c r="HD351" s="9"/>
      <c r="HE351" s="9"/>
      <c r="HF351" s="9"/>
      <c r="HG351" s="9"/>
      <c r="HH351" s="9"/>
      <c r="HI351" s="9"/>
      <c r="HJ351" s="9"/>
      <c r="HK351" s="9"/>
      <c r="HU351" s="58">
        <v>45494</v>
      </c>
      <c r="HW351" s="58"/>
      <c r="HX351" s="58"/>
      <c r="II351" t="s">
        <v>1546</v>
      </c>
      <c r="IJ351" s="88" t="s">
        <v>19</v>
      </c>
      <c r="IK351" t="s">
        <v>660</v>
      </c>
      <c r="IL351" s="88" t="s">
        <v>661</v>
      </c>
      <c r="IO351" s="87" t="s">
        <v>29</v>
      </c>
      <c r="JK351" t="s">
        <v>1547</v>
      </c>
      <c r="JL351" s="84" t="s">
        <v>15</v>
      </c>
      <c r="JM351" s="88" t="s">
        <v>14</v>
      </c>
      <c r="JQ351" s="95" t="s">
        <v>13</v>
      </c>
      <c r="JR351">
        <v>10</v>
      </c>
      <c r="JU351">
        <v>36</v>
      </c>
      <c r="JV351">
        <v>20</v>
      </c>
      <c r="KF351" t="s">
        <v>1549</v>
      </c>
      <c r="KG351" s="12" t="s">
        <v>1548</v>
      </c>
      <c r="KJ351" t="s">
        <v>1550</v>
      </c>
      <c r="KK351" t="s">
        <v>222</v>
      </c>
      <c r="KL351" s="8" t="s">
        <v>1551</v>
      </c>
      <c r="KM351" s="95" t="s">
        <v>220</v>
      </c>
      <c r="KN351">
        <v>18</v>
      </c>
      <c r="MZ351" t="s">
        <v>1525</v>
      </c>
      <c r="NA351">
        <v>6.3</v>
      </c>
      <c r="NB351" t="s">
        <v>1526</v>
      </c>
      <c r="NC351" t="s">
        <v>271</v>
      </c>
      <c r="NK351" t="s">
        <v>1451</v>
      </c>
      <c r="NL351" t="s">
        <v>1527</v>
      </c>
      <c r="NM351" s="4" t="s">
        <v>1518</v>
      </c>
      <c r="NN351" s="6" t="s">
        <v>1537</v>
      </c>
      <c r="NV351" t="s">
        <v>1559</v>
      </c>
      <c r="NW351" t="s">
        <v>6</v>
      </c>
      <c r="NX351">
        <v>98016.25</v>
      </c>
      <c r="NY351" s="88" t="s">
        <v>29</v>
      </c>
      <c r="NZ351" s="88" t="s">
        <v>29</v>
      </c>
      <c r="OC351">
        <v>3</v>
      </c>
      <c r="OT351" t="s">
        <v>1553</v>
      </c>
      <c r="OU351" s="88"/>
      <c r="OV351">
        <v>2004</v>
      </c>
      <c r="OY351" t="s">
        <v>1556</v>
      </c>
      <c r="PA351" s="88" t="s">
        <v>1169</v>
      </c>
      <c r="PB351" s="58">
        <v>46105</v>
      </c>
    </row>
    <row r="352" spans="1:418" ht="15.75" thickBot="1">
      <c r="A352" t="s">
        <v>248</v>
      </c>
      <c r="B352" t="s">
        <v>1523</v>
      </c>
      <c r="C352" t="s">
        <v>1173</v>
      </c>
      <c r="D352" s="4" t="s">
        <v>1936</v>
      </c>
      <c r="E352" s="94" t="s">
        <v>1540</v>
      </c>
      <c r="F352" s="94" t="s">
        <v>31</v>
      </c>
      <c r="G352" s="88" t="s">
        <v>2</v>
      </c>
      <c r="H352" s="88" t="s">
        <v>30</v>
      </c>
      <c r="I352">
        <v>7.7338301139999999</v>
      </c>
      <c r="J352">
        <v>8.5391521210000008</v>
      </c>
      <c r="K352" s="87" t="s">
        <v>29</v>
      </c>
      <c r="AV352" t="s">
        <v>1541</v>
      </c>
      <c r="AW352">
        <v>5.7000000000000002E-2</v>
      </c>
      <c r="AX352" s="88" t="s">
        <v>29</v>
      </c>
      <c r="AY352">
        <v>1</v>
      </c>
      <c r="AZ352" t="s">
        <v>1555</v>
      </c>
      <c r="BA352">
        <v>2004</v>
      </c>
      <c r="BC352">
        <v>2004.2</v>
      </c>
      <c r="BD352" t="s">
        <v>19</v>
      </c>
      <c r="BE352" t="s">
        <v>1528</v>
      </c>
      <c r="BF352" t="s">
        <v>24</v>
      </c>
      <c r="BG352" s="78" t="s">
        <v>1233</v>
      </c>
      <c r="BH352" t="s">
        <v>271</v>
      </c>
      <c r="BI352" t="s">
        <v>1544</v>
      </c>
      <c r="BJ352" s="88" t="s">
        <v>22</v>
      </c>
      <c r="BK352">
        <v>266660</v>
      </c>
      <c r="EH352" s="9"/>
      <c r="EI352" s="9"/>
      <c r="EJ352" s="9"/>
      <c r="EK352" s="9"/>
      <c r="EL352" s="9"/>
      <c r="EM352" s="9"/>
      <c r="EN352" s="9"/>
      <c r="EO352" s="9"/>
      <c r="EP352" s="9"/>
      <c r="EQ352" s="9"/>
      <c r="ER352" s="9"/>
      <c r="ES352" s="9"/>
      <c r="ET352" s="9"/>
      <c r="EU352" s="9"/>
      <c r="EV352" s="9"/>
      <c r="EW352" s="9"/>
      <c r="EX352" s="9"/>
      <c r="EY352" s="9"/>
      <c r="EZ352" s="9"/>
      <c r="FA352" s="9"/>
      <c r="FB352" s="9"/>
      <c r="FC352" s="9"/>
      <c r="FD352" s="9"/>
      <c r="FE352" s="9"/>
      <c r="FF352" s="9"/>
      <c r="FG352" s="9"/>
      <c r="FH352" s="9"/>
      <c r="FI352" s="9"/>
      <c r="FJ352" s="9"/>
      <c r="FK352" s="9"/>
      <c r="FL352" s="9"/>
      <c r="FM352" s="9"/>
      <c r="FN352" s="9"/>
      <c r="FO352" s="9"/>
      <c r="FP352" s="9"/>
      <c r="FQ352" s="9"/>
      <c r="FR352" s="9"/>
      <c r="FS352" s="9"/>
      <c r="FT352" s="9"/>
      <c r="FU352" s="9"/>
      <c r="FV352" s="9"/>
      <c r="FW352" s="9"/>
      <c r="FX352" s="9"/>
      <c r="FY352" s="9"/>
      <c r="FZ352" s="9"/>
      <c r="GA352" s="9"/>
      <c r="GB352" s="9"/>
      <c r="GC352" s="9"/>
      <c r="GD352" s="9"/>
      <c r="GE352" s="9"/>
      <c r="GF352" s="9"/>
      <c r="GG352" s="9"/>
      <c r="GH352" s="9"/>
      <c r="GI352" s="9"/>
      <c r="GJ352" s="9"/>
      <c r="GK352" s="9"/>
      <c r="GL352" s="9"/>
      <c r="GM352" s="9"/>
      <c r="GN352" s="9"/>
      <c r="GO352" s="9"/>
      <c r="GP352" s="9"/>
      <c r="GQ352" s="9"/>
      <c r="GR352" s="9"/>
      <c r="GS352" s="9"/>
      <c r="GT352" s="9"/>
      <c r="GU352" s="9"/>
      <c r="GV352" s="9"/>
      <c r="GW352" s="9"/>
      <c r="GX352" s="9"/>
      <c r="GY352" s="9"/>
      <c r="GZ352" s="9"/>
      <c r="HA352" s="9"/>
      <c r="HB352" s="9"/>
      <c r="HC352" s="9"/>
      <c r="HD352" s="9"/>
      <c r="HE352" s="9"/>
      <c r="HF352" s="9"/>
      <c r="HG352" s="9"/>
      <c r="HH352" s="9"/>
      <c r="HI352" s="9"/>
      <c r="HJ352" s="9"/>
      <c r="HK352" s="9"/>
      <c r="HU352" s="58">
        <v>45494</v>
      </c>
      <c r="HW352" s="58"/>
      <c r="HX352" s="58"/>
      <c r="II352" t="s">
        <v>1546</v>
      </c>
      <c r="IJ352" s="88" t="s">
        <v>19</v>
      </c>
      <c r="IK352" t="s">
        <v>660</v>
      </c>
      <c r="IL352" s="88" t="s">
        <v>661</v>
      </c>
      <c r="IO352" s="87" t="s">
        <v>29</v>
      </c>
      <c r="JK352" t="s">
        <v>1547</v>
      </c>
      <c r="JL352" s="84" t="s">
        <v>15</v>
      </c>
      <c r="JM352" s="88" t="s">
        <v>14</v>
      </c>
      <c r="JQ352" s="95" t="s">
        <v>13</v>
      </c>
      <c r="JR352">
        <v>10</v>
      </c>
      <c r="JU352">
        <v>36</v>
      </c>
      <c r="JV352">
        <v>20</v>
      </c>
      <c r="KF352" t="s">
        <v>1549</v>
      </c>
      <c r="KG352" s="12" t="s">
        <v>1548</v>
      </c>
      <c r="KJ352" t="s">
        <v>1550</v>
      </c>
      <c r="KK352" t="s">
        <v>222</v>
      </c>
      <c r="KL352" s="8" t="s">
        <v>1551</v>
      </c>
      <c r="KM352" s="95" t="s">
        <v>220</v>
      </c>
      <c r="KN352">
        <v>18</v>
      </c>
      <c r="MZ352" t="s">
        <v>1525</v>
      </c>
      <c r="NA352">
        <v>6.3</v>
      </c>
      <c r="NB352" t="s">
        <v>1526</v>
      </c>
      <c r="NC352" t="s">
        <v>271</v>
      </c>
      <c r="NK352" t="s">
        <v>1451</v>
      </c>
      <c r="NL352" t="s">
        <v>1527</v>
      </c>
      <c r="NM352" s="4" t="s">
        <v>1518</v>
      </c>
      <c r="NN352" s="6" t="s">
        <v>1537</v>
      </c>
      <c r="NV352" t="s">
        <v>1557</v>
      </c>
      <c r="NW352" t="s">
        <v>6</v>
      </c>
      <c r="NX352">
        <v>92989.8</v>
      </c>
      <c r="NY352" s="88" t="s">
        <v>29</v>
      </c>
      <c r="NZ352" s="88" t="s">
        <v>29</v>
      </c>
      <c r="OC352">
        <v>3</v>
      </c>
      <c r="OT352" t="s">
        <v>1553</v>
      </c>
      <c r="OU352" s="88"/>
      <c r="OV352">
        <v>2004</v>
      </c>
      <c r="OY352" t="s">
        <v>1556</v>
      </c>
      <c r="PA352" s="88" t="s">
        <v>1169</v>
      </c>
      <c r="PB352" s="58">
        <v>46105</v>
      </c>
    </row>
    <row r="353" spans="1:418" ht="15.75" thickBot="1">
      <c r="A353" t="s">
        <v>248</v>
      </c>
      <c r="B353" t="s">
        <v>1523</v>
      </c>
      <c r="C353" t="s">
        <v>1173</v>
      </c>
      <c r="D353" s="4" t="s">
        <v>1936</v>
      </c>
      <c r="E353" s="96" t="s">
        <v>1540</v>
      </c>
      <c r="F353" s="96" t="s">
        <v>31</v>
      </c>
      <c r="G353" s="2" t="s">
        <v>2</v>
      </c>
      <c r="H353" s="2" t="s">
        <v>30</v>
      </c>
      <c r="I353">
        <v>7.7338301139999999</v>
      </c>
      <c r="J353">
        <v>8.5391521210000008</v>
      </c>
      <c r="K353" s="89" t="s">
        <v>29</v>
      </c>
      <c r="AV353" t="s">
        <v>1541</v>
      </c>
      <c r="AW353">
        <v>5.7000000000000002E-2</v>
      </c>
      <c r="AX353" s="2" t="s">
        <v>29</v>
      </c>
      <c r="AY353">
        <v>1</v>
      </c>
      <c r="AZ353" t="s">
        <v>1555</v>
      </c>
      <c r="BA353">
        <v>2004</v>
      </c>
      <c r="BC353">
        <v>2004.2</v>
      </c>
      <c r="BD353" t="s">
        <v>19</v>
      </c>
      <c r="BE353" t="s">
        <v>1529</v>
      </c>
      <c r="BF353" t="s">
        <v>299</v>
      </c>
      <c r="BG353" s="97" t="s">
        <v>1233</v>
      </c>
      <c r="BH353" t="s">
        <v>23</v>
      </c>
      <c r="BI353" t="s">
        <v>1545</v>
      </c>
      <c r="BJ353" s="2" t="s">
        <v>22</v>
      </c>
      <c r="BK353">
        <v>53330</v>
      </c>
      <c r="EH353" s="9"/>
      <c r="EI353" s="9"/>
      <c r="EJ353" s="9"/>
      <c r="EK353" s="9"/>
      <c r="EL353" s="9"/>
      <c r="EM353" s="9"/>
      <c r="EN353" s="9"/>
      <c r="EO353" s="9"/>
      <c r="EP353" s="9"/>
      <c r="EQ353" s="9"/>
      <c r="ER353" s="9"/>
      <c r="ES353" s="9"/>
      <c r="ET353" s="9"/>
      <c r="EU353" s="9"/>
      <c r="EV353" s="9"/>
      <c r="EW353" s="9"/>
      <c r="EX353" s="9"/>
      <c r="EY353" s="9"/>
      <c r="EZ353" s="9"/>
      <c r="FA353" s="9"/>
      <c r="FB353" s="9"/>
      <c r="FC353" s="9"/>
      <c r="FD353" s="9"/>
      <c r="FE353" s="9"/>
      <c r="FF353" s="9"/>
      <c r="FG353" s="9"/>
      <c r="FH353" s="9"/>
      <c r="FI353" s="9"/>
      <c r="FJ353" s="9"/>
      <c r="FK353" s="9"/>
      <c r="FL353" s="9"/>
      <c r="FM353" s="9"/>
      <c r="FN353" s="9"/>
      <c r="FO353" s="9"/>
      <c r="FP353" s="9"/>
      <c r="FQ353" s="9"/>
      <c r="FR353" s="9"/>
      <c r="FS353" s="9"/>
      <c r="FT353" s="9"/>
      <c r="FU353" s="9"/>
      <c r="FV353" s="9"/>
      <c r="FW353" s="9"/>
      <c r="FX353" s="9"/>
      <c r="FY353" s="9"/>
      <c r="FZ353" s="9"/>
      <c r="GA353" s="9"/>
      <c r="GB353" s="9"/>
      <c r="GC353" s="9"/>
      <c r="GD353" s="9"/>
      <c r="GE353" s="9"/>
      <c r="GF353" s="9"/>
      <c r="GG353" s="9"/>
      <c r="GH353" s="9"/>
      <c r="GI353" s="9"/>
      <c r="GJ353" s="9"/>
      <c r="GK353" s="9"/>
      <c r="GL353" s="9"/>
      <c r="GM353" s="9"/>
      <c r="GN353" s="9"/>
      <c r="GO353" s="9"/>
      <c r="GP353" s="9"/>
      <c r="GQ353" s="9"/>
      <c r="GR353" s="9"/>
      <c r="GS353" s="9"/>
      <c r="GT353" s="9"/>
      <c r="GU353" s="9"/>
      <c r="GV353" s="9"/>
      <c r="GW353" s="9"/>
      <c r="GX353" s="9"/>
      <c r="GY353" s="9"/>
      <c r="GZ353" s="9"/>
      <c r="HA353" s="9"/>
      <c r="HB353" s="9"/>
      <c r="HC353" s="9"/>
      <c r="HD353" s="9"/>
      <c r="HE353" s="9"/>
      <c r="HF353" s="9"/>
      <c r="HG353" s="9"/>
      <c r="HH353" s="9"/>
      <c r="HI353" s="9"/>
      <c r="HJ353" s="9"/>
      <c r="HK353" s="9"/>
      <c r="HU353" s="58">
        <v>45494</v>
      </c>
      <c r="HW353" s="58"/>
      <c r="HX353" s="58"/>
      <c r="II353" t="s">
        <v>1546</v>
      </c>
      <c r="IJ353" s="2" t="s">
        <v>19</v>
      </c>
      <c r="IK353" t="s">
        <v>660</v>
      </c>
      <c r="IL353" s="2" t="s">
        <v>661</v>
      </c>
      <c r="IO353" s="89" t="s">
        <v>29</v>
      </c>
      <c r="JK353" t="s">
        <v>1547</v>
      </c>
      <c r="JL353" s="98" t="s">
        <v>15</v>
      </c>
      <c r="JM353" s="2" t="s">
        <v>14</v>
      </c>
      <c r="JQ353" s="99" t="s">
        <v>13</v>
      </c>
      <c r="JR353">
        <v>90</v>
      </c>
      <c r="JU353">
        <v>45</v>
      </c>
      <c r="JV353">
        <v>45</v>
      </c>
      <c r="KF353" t="s">
        <v>1549</v>
      </c>
      <c r="KG353" s="14" t="s">
        <v>1548</v>
      </c>
      <c r="KJ353" t="s">
        <v>1550</v>
      </c>
      <c r="KK353" t="s">
        <v>222</v>
      </c>
      <c r="KL353" s="8" t="s">
        <v>1551</v>
      </c>
      <c r="KM353" s="99" t="s">
        <v>220</v>
      </c>
      <c r="KN353">
        <v>18</v>
      </c>
      <c r="MZ353" t="s">
        <v>1525</v>
      </c>
      <c r="NA353">
        <v>6.3</v>
      </c>
      <c r="NB353" t="s">
        <v>1530</v>
      </c>
      <c r="NC353" t="s">
        <v>23</v>
      </c>
      <c r="NK353" t="s">
        <v>1451</v>
      </c>
      <c r="NL353" t="s">
        <v>1527</v>
      </c>
      <c r="NM353" s="4" t="s">
        <v>1518</v>
      </c>
      <c r="NN353" s="6" t="s">
        <v>1537</v>
      </c>
      <c r="NV353" t="s">
        <v>1558</v>
      </c>
      <c r="NW353" t="s">
        <v>6</v>
      </c>
      <c r="NX353">
        <v>218452.5</v>
      </c>
      <c r="NY353" s="2" t="s">
        <v>29</v>
      </c>
      <c r="NZ353" s="2" t="s">
        <v>29</v>
      </c>
      <c r="OC353">
        <v>3</v>
      </c>
      <c r="OT353" t="s">
        <v>1553</v>
      </c>
      <c r="OU353" s="2"/>
      <c r="OV353">
        <v>2004</v>
      </c>
      <c r="OY353" t="s">
        <v>1556</v>
      </c>
      <c r="PA353" s="2" t="s">
        <v>1169</v>
      </c>
      <c r="PB353" s="58">
        <v>46105</v>
      </c>
    </row>
    <row r="354" spans="1:418" ht="15.75" thickBot="1">
      <c r="A354" t="s">
        <v>248</v>
      </c>
      <c r="B354" t="s">
        <v>1523</v>
      </c>
      <c r="C354" t="s">
        <v>1173</v>
      </c>
      <c r="D354" s="4" t="s">
        <v>1936</v>
      </c>
      <c r="E354" s="94" t="s">
        <v>1540</v>
      </c>
      <c r="F354" s="94" t="s">
        <v>31</v>
      </c>
      <c r="G354" s="88" t="s">
        <v>2</v>
      </c>
      <c r="H354" s="88" t="s">
        <v>30</v>
      </c>
      <c r="I354">
        <v>7.7338301139999999</v>
      </c>
      <c r="J354">
        <v>8.5391521210000008</v>
      </c>
      <c r="K354" s="87" t="s">
        <v>29</v>
      </c>
      <c r="AV354" t="s">
        <v>1541</v>
      </c>
      <c r="AW354">
        <v>5.7000000000000002E-2</v>
      </c>
      <c r="AX354" s="88" t="s">
        <v>29</v>
      </c>
      <c r="AY354">
        <v>1</v>
      </c>
      <c r="AZ354" t="s">
        <v>1554</v>
      </c>
      <c r="BA354">
        <v>2004</v>
      </c>
      <c r="BC354">
        <v>2004.1</v>
      </c>
      <c r="BD354" t="s">
        <v>238</v>
      </c>
      <c r="BE354" t="s">
        <v>1542</v>
      </c>
      <c r="BF354" t="s">
        <v>64</v>
      </c>
      <c r="BG354" s="78" t="s">
        <v>1233</v>
      </c>
      <c r="BH354" t="s">
        <v>23</v>
      </c>
      <c r="BI354" t="s">
        <v>1545</v>
      </c>
      <c r="BJ354" s="88" t="s">
        <v>22</v>
      </c>
      <c r="BK354">
        <v>38000</v>
      </c>
      <c r="BL354" t="s">
        <v>56</v>
      </c>
      <c r="BM354" t="s">
        <v>271</v>
      </c>
      <c r="BN354" t="s">
        <v>1543</v>
      </c>
      <c r="BO354" s="88" t="s">
        <v>22</v>
      </c>
      <c r="BP354">
        <v>266660</v>
      </c>
      <c r="EH354" s="9"/>
      <c r="EI354" s="9"/>
      <c r="EJ354" s="9"/>
      <c r="EK354" s="9"/>
      <c r="EL354" s="9"/>
      <c r="EM354" s="9"/>
      <c r="EN354" s="9"/>
      <c r="EO354" s="9"/>
      <c r="EP354" s="9"/>
      <c r="EQ354" s="9"/>
      <c r="ER354" s="9"/>
      <c r="ES354" s="9"/>
      <c r="ET354" s="9"/>
      <c r="EU354" s="9"/>
      <c r="EV354" s="9"/>
      <c r="EW354" s="9"/>
      <c r="EX354" s="9"/>
      <c r="EY354" s="9"/>
      <c r="EZ354" s="9"/>
      <c r="FA354" s="9"/>
      <c r="FB354" s="9"/>
      <c r="FC354" s="9"/>
      <c r="FD354" s="9"/>
      <c r="FE354" s="9"/>
      <c r="FF354" s="9"/>
      <c r="FG354" s="9"/>
      <c r="FH354" s="9"/>
      <c r="FI354" s="9"/>
      <c r="FJ354" s="9"/>
      <c r="FK354" s="9"/>
      <c r="FL354" s="9"/>
      <c r="FM354" s="9"/>
      <c r="FN354" s="9"/>
      <c r="FO354" s="9"/>
      <c r="FP354" s="9"/>
      <c r="FQ354" s="9"/>
      <c r="FR354" s="9"/>
      <c r="FS354" s="9"/>
      <c r="FT354" s="9"/>
      <c r="FU354" s="9"/>
      <c r="FV354" s="9"/>
      <c r="FW354" s="9"/>
      <c r="FX354" s="9"/>
      <c r="FY354" s="9"/>
      <c r="FZ354" s="9"/>
      <c r="GA354" s="9"/>
      <c r="GB354" s="9"/>
      <c r="GC354" s="9"/>
      <c r="GD354" s="9"/>
      <c r="GE354" s="9"/>
      <c r="GF354" s="9"/>
      <c r="GG354" s="9"/>
      <c r="GH354" s="9"/>
      <c r="GI354" s="9"/>
      <c r="GJ354" s="9"/>
      <c r="GK354" s="9"/>
      <c r="GL354" s="9"/>
      <c r="GM354" s="9"/>
      <c r="GN354" s="9"/>
      <c r="GO354" s="9"/>
      <c r="GP354" s="9"/>
      <c r="GQ354" s="9"/>
      <c r="GR354" s="9"/>
      <c r="GS354" s="9"/>
      <c r="GT354" s="9"/>
      <c r="GU354" s="9"/>
      <c r="GV354" s="9"/>
      <c r="GW354" s="9"/>
      <c r="GX354" s="9"/>
      <c r="GY354" s="9"/>
      <c r="GZ354" s="9"/>
      <c r="HA354" s="9"/>
      <c r="HB354" s="9"/>
      <c r="HC354" s="9"/>
      <c r="HD354" s="9"/>
      <c r="HE354" s="9"/>
      <c r="HF354" s="9"/>
      <c r="HG354" s="9"/>
      <c r="HH354" s="9"/>
      <c r="HI354" s="9"/>
      <c r="HJ354" s="9"/>
      <c r="HK354" s="9"/>
      <c r="HU354" s="58">
        <v>38127</v>
      </c>
      <c r="HW354" s="58"/>
      <c r="HX354" s="58"/>
      <c r="II354" t="s">
        <v>238</v>
      </c>
      <c r="IJ354" s="88" t="s">
        <v>1190</v>
      </c>
      <c r="IK354" t="s">
        <v>660</v>
      </c>
      <c r="IL354" s="88" t="s">
        <v>661</v>
      </c>
      <c r="IO354" s="87" t="s">
        <v>29</v>
      </c>
      <c r="JK354" t="s">
        <v>1547</v>
      </c>
      <c r="JL354" s="84" t="s">
        <v>15</v>
      </c>
      <c r="JM354" s="88" t="s">
        <v>14</v>
      </c>
      <c r="JQ354" s="95" t="s">
        <v>13</v>
      </c>
      <c r="JR354">
        <v>100</v>
      </c>
      <c r="JU354">
        <v>81</v>
      </c>
      <c r="JV354">
        <v>65</v>
      </c>
      <c r="KF354" t="s">
        <v>1549</v>
      </c>
      <c r="KG354" s="12" t="s">
        <v>1548</v>
      </c>
      <c r="KJ354" t="s">
        <v>1550</v>
      </c>
      <c r="KK354" t="s">
        <v>222</v>
      </c>
      <c r="KL354" s="8" t="s">
        <v>1551</v>
      </c>
      <c r="KM354" s="95" t="s">
        <v>220</v>
      </c>
      <c r="KN354">
        <v>18</v>
      </c>
      <c r="MZ354" t="s">
        <v>1525</v>
      </c>
      <c r="NA354">
        <v>6.3</v>
      </c>
      <c r="NB354" t="s">
        <v>1531</v>
      </c>
      <c r="NC354" t="s">
        <v>23</v>
      </c>
      <c r="ND354" t="s">
        <v>271</v>
      </c>
      <c r="NK354" t="s">
        <v>1531</v>
      </c>
      <c r="NM354" s="4" t="s">
        <v>2456</v>
      </c>
      <c r="NN354" s="88"/>
      <c r="NW354" t="s">
        <v>6</v>
      </c>
      <c r="NY354" s="2" t="s">
        <v>29</v>
      </c>
      <c r="NZ354" s="88"/>
      <c r="OC354">
        <v>3</v>
      </c>
      <c r="ON354">
        <v>0.53</v>
      </c>
      <c r="OO354" s="87" t="s">
        <v>29</v>
      </c>
      <c r="OP354">
        <v>0.39</v>
      </c>
      <c r="OQ354" s="87" t="s">
        <v>29</v>
      </c>
      <c r="OR354">
        <v>0.92</v>
      </c>
      <c r="OS354" s="87" t="s">
        <v>29</v>
      </c>
      <c r="OT354" t="s">
        <v>1560</v>
      </c>
      <c r="OU354" s="88"/>
      <c r="OV354">
        <v>2004</v>
      </c>
      <c r="OY354" t="s">
        <v>1539</v>
      </c>
      <c r="PA354" s="88" t="s">
        <v>1169</v>
      </c>
      <c r="PB354" s="58">
        <v>46105</v>
      </c>
    </row>
    <row r="355" spans="1:418" ht="15.75" thickBot="1">
      <c r="A355" t="s">
        <v>248</v>
      </c>
      <c r="B355" t="s">
        <v>1523</v>
      </c>
      <c r="C355" t="s">
        <v>1173</v>
      </c>
      <c r="D355" s="4" t="s">
        <v>1936</v>
      </c>
      <c r="E355" s="94" t="s">
        <v>1540</v>
      </c>
      <c r="F355" s="94" t="s">
        <v>31</v>
      </c>
      <c r="G355" s="88" t="s">
        <v>2</v>
      </c>
      <c r="H355" s="88" t="s">
        <v>30</v>
      </c>
      <c r="I355">
        <v>7.7338301139999999</v>
      </c>
      <c r="J355">
        <v>8.5391521210000008</v>
      </c>
      <c r="K355" s="87" t="s">
        <v>29</v>
      </c>
      <c r="AV355" t="s">
        <v>1541</v>
      </c>
      <c r="AW355">
        <v>5.7000000000000002E-2</v>
      </c>
      <c r="AX355" s="88" t="s">
        <v>29</v>
      </c>
      <c r="AY355">
        <v>1</v>
      </c>
      <c r="AZ355" t="s">
        <v>1554</v>
      </c>
      <c r="BA355">
        <v>2004</v>
      </c>
      <c r="BC355">
        <v>2004.1</v>
      </c>
      <c r="BD355" t="s">
        <v>238</v>
      </c>
      <c r="BE355" t="s">
        <v>1532</v>
      </c>
      <c r="BF355" t="s">
        <v>57</v>
      </c>
      <c r="BG355" s="78" t="s">
        <v>1233</v>
      </c>
      <c r="BH355" t="s">
        <v>23</v>
      </c>
      <c r="BI355" t="s">
        <v>1545</v>
      </c>
      <c r="BJ355" s="88" t="s">
        <v>22</v>
      </c>
      <c r="BK355">
        <v>38000</v>
      </c>
      <c r="BL355" t="s">
        <v>56</v>
      </c>
      <c r="BM355" t="s">
        <v>271</v>
      </c>
      <c r="BN355" t="s">
        <v>1544</v>
      </c>
      <c r="BO355" s="88" t="s">
        <v>22</v>
      </c>
      <c r="BP355">
        <v>266660</v>
      </c>
      <c r="EH355" s="9"/>
      <c r="EI355" s="9"/>
      <c r="EJ355" s="9"/>
      <c r="EK355" s="9"/>
      <c r="EL355" s="9"/>
      <c r="EM355" s="9"/>
      <c r="EN355" s="9"/>
      <c r="EO355" s="9"/>
      <c r="EP355" s="9"/>
      <c r="EQ355" s="9"/>
      <c r="ER355" s="9"/>
      <c r="ES355" s="9"/>
      <c r="ET355" s="9"/>
      <c r="EU355" s="9"/>
      <c r="EV355" s="9"/>
      <c r="EW355" s="9"/>
      <c r="EX355" s="9"/>
      <c r="EY355" s="9"/>
      <c r="EZ355" s="9"/>
      <c r="FA355" s="9"/>
      <c r="FB355" s="9"/>
      <c r="FC355" s="9"/>
      <c r="FD355" s="9"/>
      <c r="FE355" s="9"/>
      <c r="FF355" s="9"/>
      <c r="FG355" s="9"/>
      <c r="FH355" s="9"/>
      <c r="FI355" s="9"/>
      <c r="FJ355" s="9"/>
      <c r="FK355" s="9"/>
      <c r="FL355" s="9"/>
      <c r="FM355" s="9"/>
      <c r="FN355" s="9"/>
      <c r="FO355" s="9"/>
      <c r="FP355" s="9"/>
      <c r="FQ355" s="9"/>
      <c r="FR355" s="9"/>
      <c r="FS355" s="9"/>
      <c r="FT355" s="9"/>
      <c r="FU355" s="9"/>
      <c r="FV355" s="9"/>
      <c r="FW355" s="9"/>
      <c r="FX355" s="9"/>
      <c r="FY355" s="9"/>
      <c r="FZ355" s="9"/>
      <c r="GA355" s="9"/>
      <c r="GB355" s="9"/>
      <c r="GC355" s="9"/>
      <c r="GD355" s="9"/>
      <c r="GE355" s="9"/>
      <c r="GF355" s="9"/>
      <c r="GG355" s="9"/>
      <c r="GH355" s="9"/>
      <c r="GI355" s="9"/>
      <c r="GJ355" s="9"/>
      <c r="GK355" s="9"/>
      <c r="GL355" s="9"/>
      <c r="GM355" s="9"/>
      <c r="GN355" s="9"/>
      <c r="GO355" s="9"/>
      <c r="GP355" s="9"/>
      <c r="GQ355" s="9"/>
      <c r="GR355" s="9"/>
      <c r="GS355" s="9"/>
      <c r="GT355" s="9"/>
      <c r="GU355" s="9"/>
      <c r="GV355" s="9"/>
      <c r="GW355" s="9"/>
      <c r="GX355" s="9"/>
      <c r="GY355" s="9"/>
      <c r="GZ355" s="9"/>
      <c r="HA355" s="9"/>
      <c r="HB355" s="9"/>
      <c r="HC355" s="9"/>
      <c r="HD355" s="9"/>
      <c r="HE355" s="9"/>
      <c r="HF355" s="9"/>
      <c r="HG355" s="9"/>
      <c r="HH355" s="9"/>
      <c r="HI355" s="9"/>
      <c r="HJ355" s="9"/>
      <c r="HK355" s="9"/>
      <c r="HU355" s="58">
        <v>38127</v>
      </c>
      <c r="HW355" s="58"/>
      <c r="HX355" s="58"/>
      <c r="II355" t="s">
        <v>238</v>
      </c>
      <c r="IJ355" s="88" t="s">
        <v>1190</v>
      </c>
      <c r="IK355" t="s">
        <v>660</v>
      </c>
      <c r="IL355" s="88" t="s">
        <v>661</v>
      </c>
      <c r="IO355" s="87" t="s">
        <v>29</v>
      </c>
      <c r="JK355" t="s">
        <v>1547</v>
      </c>
      <c r="JL355" s="84" t="s">
        <v>15</v>
      </c>
      <c r="JM355" s="88" t="s">
        <v>14</v>
      </c>
      <c r="JQ355" s="95" t="s">
        <v>13</v>
      </c>
      <c r="JR355">
        <v>100</v>
      </c>
      <c r="JU355">
        <v>81</v>
      </c>
      <c r="JV355">
        <v>65</v>
      </c>
      <c r="KF355" t="s">
        <v>1549</v>
      </c>
      <c r="KG355" s="12" t="s">
        <v>1548</v>
      </c>
      <c r="KJ355" t="s">
        <v>1550</v>
      </c>
      <c r="KK355" t="s">
        <v>222</v>
      </c>
      <c r="KL355" s="8" t="s">
        <v>1551</v>
      </c>
      <c r="KM355" s="95" t="s">
        <v>220</v>
      </c>
      <c r="KN355">
        <v>18</v>
      </c>
      <c r="MZ355" t="s">
        <v>1525</v>
      </c>
      <c r="NA355">
        <v>6.3</v>
      </c>
      <c r="NB355" t="s">
        <v>1531</v>
      </c>
      <c r="NC355" t="s">
        <v>23</v>
      </c>
      <c r="ND355" t="s">
        <v>271</v>
      </c>
      <c r="NK355" t="s">
        <v>1561</v>
      </c>
      <c r="NM355" s="4" t="s">
        <v>2456</v>
      </c>
      <c r="NN355" s="88"/>
      <c r="NW355" t="s">
        <v>6</v>
      </c>
      <c r="NY355" s="2" t="s">
        <v>29</v>
      </c>
      <c r="NZ355" s="88"/>
      <c r="OC355">
        <v>3</v>
      </c>
      <c r="ON355">
        <v>0.61</v>
      </c>
      <c r="OO355" s="87" t="s">
        <v>29</v>
      </c>
      <c r="OP355">
        <v>1.02</v>
      </c>
      <c r="OQ355" s="87" t="s">
        <v>29</v>
      </c>
      <c r="OR355">
        <v>1.63</v>
      </c>
      <c r="OS355" s="87" t="s">
        <v>29</v>
      </c>
      <c r="OT355" t="s">
        <v>1560</v>
      </c>
      <c r="OU355" s="88"/>
      <c r="OV355">
        <v>2004</v>
      </c>
      <c r="OY355" t="s">
        <v>1539</v>
      </c>
      <c r="PA355" s="88" t="s">
        <v>1169</v>
      </c>
      <c r="PB355" s="58">
        <v>46105</v>
      </c>
    </row>
    <row r="356" spans="1:418" ht="15.75" thickBot="1">
      <c r="A356" t="s">
        <v>248</v>
      </c>
      <c r="B356" t="s">
        <v>1523</v>
      </c>
      <c r="C356" t="s">
        <v>1173</v>
      </c>
      <c r="D356" s="4" t="s">
        <v>1936</v>
      </c>
      <c r="E356" s="94" t="s">
        <v>1540</v>
      </c>
      <c r="F356" s="94" t="s">
        <v>31</v>
      </c>
      <c r="G356" s="88" t="s">
        <v>2</v>
      </c>
      <c r="H356" s="88" t="s">
        <v>30</v>
      </c>
      <c r="I356">
        <v>7.7338301139999999</v>
      </c>
      <c r="J356">
        <v>8.5391521210000008</v>
      </c>
      <c r="K356" s="87" t="s">
        <v>29</v>
      </c>
      <c r="AV356" t="s">
        <v>1541</v>
      </c>
      <c r="AW356">
        <v>5.7000000000000002E-2</v>
      </c>
      <c r="AX356" s="88" t="s">
        <v>29</v>
      </c>
      <c r="AY356">
        <v>1</v>
      </c>
      <c r="AZ356" t="s">
        <v>1554</v>
      </c>
      <c r="BA356">
        <v>2004</v>
      </c>
      <c r="BC356">
        <v>2004.1</v>
      </c>
      <c r="BD356" t="s">
        <v>238</v>
      </c>
      <c r="BE356" t="s">
        <v>1533</v>
      </c>
      <c r="BF356" t="s">
        <v>48</v>
      </c>
      <c r="BG356" s="78" t="s">
        <v>1233</v>
      </c>
      <c r="BH356" t="s">
        <v>23</v>
      </c>
      <c r="BI356" t="s">
        <v>1545</v>
      </c>
      <c r="BJ356" s="88" t="s">
        <v>22</v>
      </c>
      <c r="BK356">
        <v>44440</v>
      </c>
      <c r="BL356" t="s">
        <v>56</v>
      </c>
      <c r="BM356" t="s">
        <v>271</v>
      </c>
      <c r="BN356" t="s">
        <v>1543</v>
      </c>
      <c r="BO356" s="88" t="s">
        <v>22</v>
      </c>
      <c r="BP356">
        <v>266660</v>
      </c>
      <c r="EH356" s="9"/>
      <c r="EI356" s="9"/>
      <c r="EJ356" s="9"/>
      <c r="EK356" s="9"/>
      <c r="EL356" s="9"/>
      <c r="EM356" s="9"/>
      <c r="EN356" s="9"/>
      <c r="EO356" s="9"/>
      <c r="EP356" s="9"/>
      <c r="EQ356" s="9"/>
      <c r="ER356" s="9"/>
      <c r="ES356" s="9"/>
      <c r="ET356" s="9"/>
      <c r="EU356" s="9"/>
      <c r="EV356" s="9"/>
      <c r="EW356" s="9"/>
      <c r="EX356" s="9"/>
      <c r="EY356" s="9"/>
      <c r="EZ356" s="9"/>
      <c r="FA356" s="9"/>
      <c r="FB356" s="9"/>
      <c r="FC356" s="9"/>
      <c r="FD356" s="9"/>
      <c r="FE356" s="9"/>
      <c r="FF356" s="9"/>
      <c r="FG356" s="9"/>
      <c r="FH356" s="9"/>
      <c r="FI356" s="9"/>
      <c r="FJ356" s="9"/>
      <c r="FK356" s="9"/>
      <c r="FL356" s="9"/>
      <c r="FM356" s="9"/>
      <c r="FN356" s="9"/>
      <c r="FO356" s="9"/>
      <c r="FP356" s="9"/>
      <c r="FQ356" s="9"/>
      <c r="FR356" s="9"/>
      <c r="FS356" s="9"/>
      <c r="FT356" s="9"/>
      <c r="FU356" s="9"/>
      <c r="FV356" s="9"/>
      <c r="FW356" s="9"/>
      <c r="FX356" s="9"/>
      <c r="FY356" s="9"/>
      <c r="FZ356" s="9"/>
      <c r="GA356" s="9"/>
      <c r="GB356" s="9"/>
      <c r="GC356" s="9"/>
      <c r="GD356" s="9"/>
      <c r="GE356" s="9"/>
      <c r="GF356" s="9"/>
      <c r="GG356" s="9"/>
      <c r="GH356" s="9"/>
      <c r="GI356" s="9"/>
      <c r="GJ356" s="9"/>
      <c r="GK356" s="9"/>
      <c r="GL356" s="9"/>
      <c r="GM356" s="9"/>
      <c r="GN356" s="9"/>
      <c r="GO356" s="9"/>
      <c r="GP356" s="9"/>
      <c r="GQ356" s="9"/>
      <c r="GR356" s="9"/>
      <c r="GS356" s="9"/>
      <c r="GT356" s="9"/>
      <c r="GU356" s="9"/>
      <c r="GV356" s="9"/>
      <c r="GW356" s="9"/>
      <c r="GX356" s="9"/>
      <c r="GY356" s="9"/>
      <c r="GZ356" s="9"/>
      <c r="HA356" s="9"/>
      <c r="HB356" s="9"/>
      <c r="HC356" s="9"/>
      <c r="HD356" s="9"/>
      <c r="HE356" s="9"/>
      <c r="HF356" s="9"/>
      <c r="HG356" s="9"/>
      <c r="HH356" s="9"/>
      <c r="HI356" s="9"/>
      <c r="HJ356" s="9"/>
      <c r="HK356" s="9"/>
      <c r="HU356" s="58">
        <v>38127</v>
      </c>
      <c r="HW356" s="58"/>
      <c r="HX356" s="58"/>
      <c r="II356" t="s">
        <v>238</v>
      </c>
      <c r="IJ356" s="88" t="s">
        <v>1190</v>
      </c>
      <c r="IK356" t="s">
        <v>660</v>
      </c>
      <c r="IL356" s="88" t="s">
        <v>661</v>
      </c>
      <c r="IO356" s="87" t="s">
        <v>29</v>
      </c>
      <c r="JK356" t="s">
        <v>1547</v>
      </c>
      <c r="JL356" s="84" t="s">
        <v>15</v>
      </c>
      <c r="JM356" s="88" t="s">
        <v>14</v>
      </c>
      <c r="JQ356" s="95" t="s">
        <v>13</v>
      </c>
      <c r="JR356">
        <v>100</v>
      </c>
      <c r="JU356">
        <v>81</v>
      </c>
      <c r="JV356">
        <v>65</v>
      </c>
      <c r="KF356" t="s">
        <v>1549</v>
      </c>
      <c r="KG356" s="12" t="s">
        <v>1548</v>
      </c>
      <c r="KJ356" t="s">
        <v>1550</v>
      </c>
      <c r="KK356" t="s">
        <v>222</v>
      </c>
      <c r="KL356" s="8" t="s">
        <v>1551</v>
      </c>
      <c r="KM356" s="95" t="s">
        <v>220</v>
      </c>
      <c r="KN356">
        <v>18</v>
      </c>
      <c r="MZ356" t="s">
        <v>1525</v>
      </c>
      <c r="NA356">
        <v>6.3</v>
      </c>
      <c r="NB356" t="s">
        <v>1531</v>
      </c>
      <c r="NC356" t="s">
        <v>23</v>
      </c>
      <c r="ND356" t="s">
        <v>271</v>
      </c>
      <c r="NK356" t="s">
        <v>1561</v>
      </c>
      <c r="NM356" s="4" t="s">
        <v>2456</v>
      </c>
      <c r="NN356" s="88"/>
      <c r="NW356" t="s">
        <v>6</v>
      </c>
      <c r="NY356" s="2" t="s">
        <v>29</v>
      </c>
      <c r="NZ356" s="88"/>
      <c r="OC356">
        <v>3</v>
      </c>
      <c r="ON356">
        <v>0.78</v>
      </c>
      <c r="OO356" s="87" t="s">
        <v>29</v>
      </c>
      <c r="OP356">
        <v>0.42</v>
      </c>
      <c r="OQ356" s="87" t="s">
        <v>29</v>
      </c>
      <c r="OR356">
        <v>1.2</v>
      </c>
      <c r="OS356" s="87" t="s">
        <v>29</v>
      </c>
      <c r="OT356" t="s">
        <v>1560</v>
      </c>
      <c r="OU356" s="88"/>
      <c r="OV356">
        <v>2004</v>
      </c>
      <c r="OY356" t="s">
        <v>1539</v>
      </c>
      <c r="PA356" s="88" t="s">
        <v>1169</v>
      </c>
      <c r="PB356" s="58">
        <v>46105</v>
      </c>
    </row>
    <row r="357" spans="1:418" ht="15.75" thickBot="1">
      <c r="A357" t="s">
        <v>248</v>
      </c>
      <c r="B357" t="s">
        <v>1523</v>
      </c>
      <c r="C357" t="s">
        <v>1173</v>
      </c>
      <c r="D357" s="4" t="s">
        <v>1936</v>
      </c>
      <c r="E357" s="94" t="s">
        <v>1540</v>
      </c>
      <c r="F357" s="94" t="s">
        <v>31</v>
      </c>
      <c r="G357" s="88" t="s">
        <v>2</v>
      </c>
      <c r="H357" s="88" t="s">
        <v>30</v>
      </c>
      <c r="I357">
        <v>7.7338301139999999</v>
      </c>
      <c r="J357">
        <v>8.5391521210000008</v>
      </c>
      <c r="K357" s="87" t="s">
        <v>29</v>
      </c>
      <c r="AV357" t="s">
        <v>1541</v>
      </c>
      <c r="AW357">
        <v>5.7000000000000002E-2</v>
      </c>
      <c r="AX357" s="88" t="s">
        <v>29</v>
      </c>
      <c r="AY357">
        <v>1</v>
      </c>
      <c r="AZ357" t="s">
        <v>1554</v>
      </c>
      <c r="BA357">
        <v>2004</v>
      </c>
      <c r="BC357">
        <v>2004.1</v>
      </c>
      <c r="BD357" t="s">
        <v>238</v>
      </c>
      <c r="BE357" t="s">
        <v>1534</v>
      </c>
      <c r="BF357" t="s">
        <v>43</v>
      </c>
      <c r="BG357" s="78" t="s">
        <v>1233</v>
      </c>
      <c r="BH357" t="s">
        <v>23</v>
      </c>
      <c r="BI357" t="s">
        <v>1545</v>
      </c>
      <c r="BJ357" s="88" t="s">
        <v>22</v>
      </c>
      <c r="BK357">
        <v>44440</v>
      </c>
      <c r="BL357" t="s">
        <v>56</v>
      </c>
      <c r="BM357" t="s">
        <v>271</v>
      </c>
      <c r="BN357" t="s">
        <v>1544</v>
      </c>
      <c r="BO357" s="88" t="s">
        <v>22</v>
      </c>
      <c r="BP357">
        <v>266660</v>
      </c>
      <c r="EH357" s="9"/>
      <c r="EI357" s="9"/>
      <c r="EJ357" s="9"/>
      <c r="EK357" s="9"/>
      <c r="EL357" s="9"/>
      <c r="EM357" s="9"/>
      <c r="EN357" s="9"/>
      <c r="EO357" s="9"/>
      <c r="EP357" s="9"/>
      <c r="EQ357" s="9"/>
      <c r="ER357" s="9"/>
      <c r="ES357" s="9"/>
      <c r="ET357" s="9"/>
      <c r="EU357" s="9"/>
      <c r="EV357" s="9"/>
      <c r="EW357" s="9"/>
      <c r="EX357" s="9"/>
      <c r="EY357" s="9"/>
      <c r="EZ357" s="9"/>
      <c r="FA357" s="9"/>
      <c r="FB357" s="9"/>
      <c r="FC357" s="9"/>
      <c r="FD357" s="9"/>
      <c r="FE357" s="9"/>
      <c r="FF357" s="9"/>
      <c r="FG357" s="9"/>
      <c r="FH357" s="9"/>
      <c r="FI357" s="9"/>
      <c r="FJ357" s="9"/>
      <c r="FK357" s="9"/>
      <c r="FL357" s="9"/>
      <c r="FM357" s="9"/>
      <c r="FN357" s="9"/>
      <c r="FO357" s="9"/>
      <c r="FP357" s="9"/>
      <c r="FQ357" s="9"/>
      <c r="FR357" s="9"/>
      <c r="FS357" s="9"/>
      <c r="FT357" s="9"/>
      <c r="FU357" s="9"/>
      <c r="FV357" s="9"/>
      <c r="FW357" s="9"/>
      <c r="FX357" s="9"/>
      <c r="FY357" s="9"/>
      <c r="FZ357" s="9"/>
      <c r="GA357" s="9"/>
      <c r="GB357" s="9"/>
      <c r="GC357" s="9"/>
      <c r="GD357" s="9"/>
      <c r="GE357" s="9"/>
      <c r="GF357" s="9"/>
      <c r="GG357" s="9"/>
      <c r="GH357" s="9"/>
      <c r="GI357" s="9"/>
      <c r="GJ357" s="9"/>
      <c r="GK357" s="9"/>
      <c r="GL357" s="9"/>
      <c r="GM357" s="9"/>
      <c r="GN357" s="9"/>
      <c r="GO357" s="9"/>
      <c r="GP357" s="9"/>
      <c r="GQ357" s="9"/>
      <c r="GR357" s="9"/>
      <c r="GS357" s="9"/>
      <c r="GT357" s="9"/>
      <c r="GU357" s="9"/>
      <c r="GV357" s="9"/>
      <c r="GW357" s="9"/>
      <c r="GX357" s="9"/>
      <c r="GY357" s="9"/>
      <c r="GZ357" s="9"/>
      <c r="HA357" s="9"/>
      <c r="HB357" s="9"/>
      <c r="HC357" s="9"/>
      <c r="HD357" s="9"/>
      <c r="HE357" s="9"/>
      <c r="HF357" s="9"/>
      <c r="HG357" s="9"/>
      <c r="HH357" s="9"/>
      <c r="HI357" s="9"/>
      <c r="HJ357" s="9"/>
      <c r="HK357" s="9"/>
      <c r="HU357" s="58">
        <v>38127</v>
      </c>
      <c r="HW357" s="58"/>
      <c r="HX357" s="58"/>
      <c r="II357" t="s">
        <v>238</v>
      </c>
      <c r="IJ357" s="88" t="s">
        <v>1190</v>
      </c>
      <c r="IK357" t="s">
        <v>660</v>
      </c>
      <c r="IL357" s="88" t="s">
        <v>661</v>
      </c>
      <c r="IO357" s="87" t="s">
        <v>29</v>
      </c>
      <c r="JK357" t="s">
        <v>1547</v>
      </c>
      <c r="JL357" s="84" t="s">
        <v>15</v>
      </c>
      <c r="JM357" s="88" t="s">
        <v>14</v>
      </c>
      <c r="JQ357" s="95" t="s">
        <v>13</v>
      </c>
      <c r="JR357">
        <v>100</v>
      </c>
      <c r="JU357">
        <v>81</v>
      </c>
      <c r="JV357">
        <v>65</v>
      </c>
      <c r="KF357" t="s">
        <v>1549</v>
      </c>
      <c r="KG357" s="12" t="s">
        <v>1548</v>
      </c>
      <c r="KJ357" t="s">
        <v>1550</v>
      </c>
      <c r="KK357" t="s">
        <v>222</v>
      </c>
      <c r="KL357" s="8" t="s">
        <v>1551</v>
      </c>
      <c r="KM357" s="95" t="s">
        <v>220</v>
      </c>
      <c r="KN357">
        <v>18</v>
      </c>
      <c r="MZ357" t="s">
        <v>1525</v>
      </c>
      <c r="NA357">
        <v>6.3</v>
      </c>
      <c r="NB357" t="s">
        <v>1531</v>
      </c>
      <c r="NC357" t="s">
        <v>23</v>
      </c>
      <c r="ND357" t="s">
        <v>271</v>
      </c>
      <c r="NK357" t="s">
        <v>1561</v>
      </c>
      <c r="NM357" s="4" t="s">
        <v>2456</v>
      </c>
      <c r="NN357" s="88"/>
      <c r="NW357" t="s">
        <v>6</v>
      </c>
      <c r="NY357" s="2" t="s">
        <v>29</v>
      </c>
      <c r="NZ357" s="88"/>
      <c r="OC357">
        <v>3</v>
      </c>
      <c r="ON357">
        <v>0.62</v>
      </c>
      <c r="OO357" s="87" t="s">
        <v>29</v>
      </c>
      <c r="OP357">
        <v>0.68</v>
      </c>
      <c r="OQ357" s="87" t="s">
        <v>29</v>
      </c>
      <c r="OR357">
        <v>1.3</v>
      </c>
      <c r="OS357" s="87" t="s">
        <v>29</v>
      </c>
      <c r="OT357" t="s">
        <v>1560</v>
      </c>
      <c r="OU357" s="88"/>
      <c r="OV357">
        <v>2004</v>
      </c>
      <c r="OY357" t="s">
        <v>1539</v>
      </c>
      <c r="PA357" s="88" t="s">
        <v>1169</v>
      </c>
      <c r="PB357" s="58">
        <v>46105</v>
      </c>
    </row>
    <row r="358" spans="1:418" ht="15.75" thickBot="1">
      <c r="A358" t="s">
        <v>248</v>
      </c>
      <c r="B358" t="s">
        <v>1523</v>
      </c>
      <c r="C358" t="s">
        <v>1173</v>
      </c>
      <c r="D358" s="4" t="s">
        <v>1936</v>
      </c>
      <c r="E358" s="94" t="s">
        <v>1540</v>
      </c>
      <c r="F358" s="94" t="s">
        <v>31</v>
      </c>
      <c r="G358" s="88" t="s">
        <v>2</v>
      </c>
      <c r="H358" s="88" t="s">
        <v>30</v>
      </c>
      <c r="I358">
        <v>7.7338301139999999</v>
      </c>
      <c r="J358">
        <v>8.5391521210000008</v>
      </c>
      <c r="K358" s="87" t="s">
        <v>29</v>
      </c>
      <c r="AV358" t="s">
        <v>1541</v>
      </c>
      <c r="AW358">
        <v>5.7000000000000002E-2</v>
      </c>
      <c r="AX358" s="88" t="s">
        <v>29</v>
      </c>
      <c r="AY358">
        <v>1</v>
      </c>
      <c r="AZ358" t="s">
        <v>1554</v>
      </c>
      <c r="BA358">
        <v>2004</v>
      </c>
      <c r="BC358">
        <v>2004.1</v>
      </c>
      <c r="BD358" t="s">
        <v>238</v>
      </c>
      <c r="BE358" t="s">
        <v>1535</v>
      </c>
      <c r="BF358" t="s">
        <v>252</v>
      </c>
      <c r="BG358" s="78" t="s">
        <v>1233</v>
      </c>
      <c r="BH358" t="s">
        <v>23</v>
      </c>
      <c r="BI358" t="s">
        <v>1545</v>
      </c>
      <c r="BJ358" s="88" t="s">
        <v>22</v>
      </c>
      <c r="BK358">
        <v>53330</v>
      </c>
      <c r="BL358" t="s">
        <v>56</v>
      </c>
      <c r="BM358" t="s">
        <v>271</v>
      </c>
      <c r="BN358" t="s">
        <v>1543</v>
      </c>
      <c r="BO358" s="88" t="s">
        <v>22</v>
      </c>
      <c r="BP358">
        <v>266660</v>
      </c>
      <c r="EH358" s="9"/>
      <c r="EI358" s="9"/>
      <c r="EJ358" s="9"/>
      <c r="EK358" s="9"/>
      <c r="EL358" s="9"/>
      <c r="EM358" s="9"/>
      <c r="EN358" s="9"/>
      <c r="EO358" s="9"/>
      <c r="EP358" s="9"/>
      <c r="EQ358" s="9"/>
      <c r="ER358" s="9"/>
      <c r="ES358" s="9"/>
      <c r="ET358" s="9"/>
      <c r="EU358" s="9"/>
      <c r="EV358" s="9"/>
      <c r="EW358" s="9"/>
      <c r="EX358" s="9"/>
      <c r="EY358" s="9"/>
      <c r="EZ358" s="9"/>
      <c r="FA358" s="9"/>
      <c r="FB358" s="9"/>
      <c r="FC358" s="9"/>
      <c r="FD358" s="9"/>
      <c r="FE358" s="9"/>
      <c r="FF358" s="9"/>
      <c r="FG358" s="9"/>
      <c r="FH358" s="9"/>
      <c r="FI358" s="9"/>
      <c r="FJ358" s="9"/>
      <c r="FK358" s="9"/>
      <c r="FL358" s="9"/>
      <c r="FM358" s="9"/>
      <c r="FN358" s="9"/>
      <c r="FO358" s="9"/>
      <c r="FP358" s="9"/>
      <c r="FQ358" s="9"/>
      <c r="FR358" s="9"/>
      <c r="FS358" s="9"/>
      <c r="FT358" s="9"/>
      <c r="FU358" s="9"/>
      <c r="FV358" s="9"/>
      <c r="FW358" s="9"/>
      <c r="FX358" s="9"/>
      <c r="FY358" s="9"/>
      <c r="FZ358" s="9"/>
      <c r="GA358" s="9"/>
      <c r="GB358" s="9"/>
      <c r="GC358" s="9"/>
      <c r="GD358" s="9"/>
      <c r="GE358" s="9"/>
      <c r="GF358" s="9"/>
      <c r="GG358" s="9"/>
      <c r="GH358" s="9"/>
      <c r="GI358" s="9"/>
      <c r="GJ358" s="9"/>
      <c r="GK358" s="9"/>
      <c r="GL358" s="9"/>
      <c r="GM358" s="9"/>
      <c r="GN358" s="9"/>
      <c r="GO358" s="9"/>
      <c r="GP358" s="9"/>
      <c r="GQ358" s="9"/>
      <c r="GR358" s="9"/>
      <c r="GS358" s="9"/>
      <c r="GT358" s="9"/>
      <c r="GU358" s="9"/>
      <c r="GV358" s="9"/>
      <c r="GW358" s="9"/>
      <c r="GX358" s="9"/>
      <c r="GY358" s="9"/>
      <c r="GZ358" s="9"/>
      <c r="HA358" s="9"/>
      <c r="HB358" s="9"/>
      <c r="HC358" s="9"/>
      <c r="HD358" s="9"/>
      <c r="HE358" s="9"/>
      <c r="HF358" s="9"/>
      <c r="HG358" s="9"/>
      <c r="HH358" s="9"/>
      <c r="HI358" s="9"/>
      <c r="HJ358" s="9"/>
      <c r="HK358" s="9"/>
      <c r="HU358" s="58">
        <v>38127</v>
      </c>
      <c r="HW358" s="58"/>
      <c r="HX358" s="58"/>
      <c r="II358" t="s">
        <v>238</v>
      </c>
      <c r="IJ358" s="88" t="s">
        <v>1190</v>
      </c>
      <c r="IK358" t="s">
        <v>660</v>
      </c>
      <c r="IL358" s="88" t="s">
        <v>661</v>
      </c>
      <c r="IO358" s="87" t="s">
        <v>29</v>
      </c>
      <c r="JK358" t="s">
        <v>1547</v>
      </c>
      <c r="JL358" s="84" t="s">
        <v>15</v>
      </c>
      <c r="JM358" s="88" t="s">
        <v>14</v>
      </c>
      <c r="JQ358" s="95" t="s">
        <v>13</v>
      </c>
      <c r="JR358">
        <v>100</v>
      </c>
      <c r="JU358">
        <v>81</v>
      </c>
      <c r="JV358">
        <v>65</v>
      </c>
      <c r="KF358" t="s">
        <v>1549</v>
      </c>
      <c r="KG358" s="12" t="s">
        <v>1548</v>
      </c>
      <c r="KJ358" t="s">
        <v>1550</v>
      </c>
      <c r="KK358" t="s">
        <v>222</v>
      </c>
      <c r="KL358" s="8" t="s">
        <v>1551</v>
      </c>
      <c r="KM358" s="95" t="s">
        <v>220</v>
      </c>
      <c r="KN358">
        <v>18</v>
      </c>
      <c r="MZ358" t="s">
        <v>1525</v>
      </c>
      <c r="NA358">
        <v>6.3</v>
      </c>
      <c r="NB358" t="s">
        <v>1531</v>
      </c>
      <c r="NC358" t="s">
        <v>23</v>
      </c>
      <c r="ND358" t="s">
        <v>271</v>
      </c>
      <c r="NK358" t="s">
        <v>1561</v>
      </c>
      <c r="NM358" s="4" t="s">
        <v>2456</v>
      </c>
      <c r="NN358" s="88"/>
      <c r="NW358" t="s">
        <v>6</v>
      </c>
      <c r="NY358" s="2" t="s">
        <v>29</v>
      </c>
      <c r="NZ358" s="88"/>
      <c r="OC358">
        <v>3</v>
      </c>
      <c r="ON358">
        <v>1.01</v>
      </c>
      <c r="OO358" s="87" t="s">
        <v>29</v>
      </c>
      <c r="OP358">
        <v>0.42</v>
      </c>
      <c r="OQ358" s="87" t="s">
        <v>29</v>
      </c>
      <c r="OR358">
        <v>1.42</v>
      </c>
      <c r="OS358" s="87" t="s">
        <v>29</v>
      </c>
      <c r="OT358" t="s">
        <v>1560</v>
      </c>
      <c r="OU358" s="88"/>
      <c r="OV358">
        <v>2004</v>
      </c>
      <c r="OY358" t="s">
        <v>1539</v>
      </c>
      <c r="PA358" s="88" t="s">
        <v>1169</v>
      </c>
      <c r="PB358" s="58">
        <v>46105</v>
      </c>
    </row>
    <row r="359" spans="1:418" ht="15.75" thickBot="1">
      <c r="A359" t="s">
        <v>248</v>
      </c>
      <c r="B359" t="s">
        <v>1523</v>
      </c>
      <c r="C359" t="s">
        <v>1173</v>
      </c>
      <c r="D359" s="4" t="s">
        <v>1936</v>
      </c>
      <c r="E359" s="94" t="s">
        <v>1540</v>
      </c>
      <c r="F359" s="94" t="s">
        <v>31</v>
      </c>
      <c r="G359" s="88" t="s">
        <v>2</v>
      </c>
      <c r="H359" s="88" t="s">
        <v>30</v>
      </c>
      <c r="I359">
        <v>7.7338301139999999</v>
      </c>
      <c r="J359">
        <v>8.5391521210000008</v>
      </c>
      <c r="K359" s="87" t="s">
        <v>29</v>
      </c>
      <c r="AV359" t="s">
        <v>1541</v>
      </c>
      <c r="AW359">
        <v>5.7000000000000002E-2</v>
      </c>
      <c r="AX359" s="88" t="s">
        <v>29</v>
      </c>
      <c r="AY359">
        <v>1</v>
      </c>
      <c r="AZ359" t="s">
        <v>1554</v>
      </c>
      <c r="BA359">
        <v>2004</v>
      </c>
      <c r="BC359">
        <v>2004.1</v>
      </c>
      <c r="BD359" t="s">
        <v>238</v>
      </c>
      <c r="BE359" t="s">
        <v>1536</v>
      </c>
      <c r="BF359" t="s">
        <v>236</v>
      </c>
      <c r="BG359" s="78" t="s">
        <v>1233</v>
      </c>
      <c r="BH359" t="s">
        <v>23</v>
      </c>
      <c r="BI359" t="s">
        <v>1545</v>
      </c>
      <c r="BJ359" s="88" t="s">
        <v>22</v>
      </c>
      <c r="BK359">
        <v>53330</v>
      </c>
      <c r="BL359" t="s">
        <v>56</v>
      </c>
      <c r="BM359" t="s">
        <v>271</v>
      </c>
      <c r="BN359" t="s">
        <v>1544</v>
      </c>
      <c r="BO359" s="88" t="s">
        <v>22</v>
      </c>
      <c r="BP359">
        <v>266660</v>
      </c>
      <c r="EH359" s="9"/>
      <c r="EI359" s="9"/>
      <c r="EJ359" s="9"/>
      <c r="EK359" s="9"/>
      <c r="EL359" s="9"/>
      <c r="EM359" s="9"/>
      <c r="EN359" s="9"/>
      <c r="EO359" s="9"/>
      <c r="EP359" s="9"/>
      <c r="EQ359" s="9"/>
      <c r="ER359" s="9"/>
      <c r="ES359" s="9"/>
      <c r="ET359" s="9"/>
      <c r="EU359" s="9"/>
      <c r="EV359" s="9"/>
      <c r="EW359" s="9"/>
      <c r="EX359" s="9"/>
      <c r="EY359" s="9"/>
      <c r="EZ359" s="9"/>
      <c r="FA359" s="9"/>
      <c r="FB359" s="9"/>
      <c r="FC359" s="9"/>
      <c r="FD359" s="9"/>
      <c r="FE359" s="9"/>
      <c r="FF359" s="9"/>
      <c r="FG359" s="9"/>
      <c r="FH359" s="9"/>
      <c r="FI359" s="9"/>
      <c r="FJ359" s="9"/>
      <c r="FK359" s="9"/>
      <c r="FL359" s="9"/>
      <c r="FM359" s="9"/>
      <c r="FN359" s="9"/>
      <c r="FO359" s="9"/>
      <c r="FP359" s="9"/>
      <c r="FQ359" s="9"/>
      <c r="FR359" s="9"/>
      <c r="FS359" s="9"/>
      <c r="FT359" s="9"/>
      <c r="FU359" s="9"/>
      <c r="FV359" s="9"/>
      <c r="FW359" s="9"/>
      <c r="FX359" s="9"/>
      <c r="FY359" s="9"/>
      <c r="FZ359" s="9"/>
      <c r="GA359" s="9"/>
      <c r="GB359" s="9"/>
      <c r="GC359" s="9"/>
      <c r="GD359" s="9"/>
      <c r="GE359" s="9"/>
      <c r="GF359" s="9"/>
      <c r="GG359" s="9"/>
      <c r="GH359" s="9"/>
      <c r="GI359" s="9"/>
      <c r="GJ359" s="9"/>
      <c r="GK359" s="9"/>
      <c r="GL359" s="9"/>
      <c r="GM359" s="9"/>
      <c r="GN359" s="9"/>
      <c r="GO359" s="9"/>
      <c r="GP359" s="9"/>
      <c r="GQ359" s="9"/>
      <c r="GR359" s="9"/>
      <c r="GS359" s="9"/>
      <c r="GT359" s="9"/>
      <c r="GU359" s="9"/>
      <c r="GV359" s="9"/>
      <c r="GW359" s="9"/>
      <c r="GX359" s="9"/>
      <c r="GY359" s="9"/>
      <c r="GZ359" s="9"/>
      <c r="HA359" s="9"/>
      <c r="HB359" s="9"/>
      <c r="HC359" s="9"/>
      <c r="HD359" s="9"/>
      <c r="HE359" s="9"/>
      <c r="HF359" s="9"/>
      <c r="HG359" s="9"/>
      <c r="HH359" s="9"/>
      <c r="HI359" s="9"/>
      <c r="HJ359" s="9"/>
      <c r="HK359" s="9"/>
      <c r="HU359" s="58">
        <v>38127</v>
      </c>
      <c r="HW359" s="58"/>
      <c r="HX359" s="58"/>
      <c r="II359" t="s">
        <v>238</v>
      </c>
      <c r="IJ359" s="88" t="s">
        <v>1190</v>
      </c>
      <c r="IK359" t="s">
        <v>660</v>
      </c>
      <c r="IL359" s="88" t="s">
        <v>661</v>
      </c>
      <c r="IO359" s="87" t="s">
        <v>29</v>
      </c>
      <c r="JK359" t="s">
        <v>1547</v>
      </c>
      <c r="JL359" s="84" t="s">
        <v>15</v>
      </c>
      <c r="JM359" s="88" t="s">
        <v>14</v>
      </c>
      <c r="JQ359" s="95" t="s">
        <v>13</v>
      </c>
      <c r="JR359">
        <v>100</v>
      </c>
      <c r="JU359">
        <v>81</v>
      </c>
      <c r="JV359">
        <v>65</v>
      </c>
      <c r="KF359" t="s">
        <v>1549</v>
      </c>
      <c r="KG359" s="12" t="s">
        <v>1548</v>
      </c>
      <c r="KJ359" t="s">
        <v>1550</v>
      </c>
      <c r="KK359" t="s">
        <v>222</v>
      </c>
      <c r="KL359" s="8" t="s">
        <v>1551</v>
      </c>
      <c r="KM359" s="95" t="s">
        <v>220</v>
      </c>
      <c r="KN359">
        <v>18</v>
      </c>
      <c r="MZ359" t="s">
        <v>1525</v>
      </c>
      <c r="NA359">
        <v>6.3</v>
      </c>
      <c r="NB359" t="s">
        <v>1531</v>
      </c>
      <c r="NC359" t="s">
        <v>23</v>
      </c>
      <c r="ND359" t="s">
        <v>271</v>
      </c>
      <c r="NK359" t="s">
        <v>1561</v>
      </c>
      <c r="NM359" s="4" t="s">
        <v>2456</v>
      </c>
      <c r="NN359" s="88"/>
      <c r="NW359" t="s">
        <v>6</v>
      </c>
      <c r="NY359" s="2" t="s">
        <v>29</v>
      </c>
      <c r="NZ359" s="88"/>
      <c r="OC359">
        <v>3</v>
      </c>
      <c r="ON359">
        <v>0.81</v>
      </c>
      <c r="OO359" s="87" t="s">
        <v>29</v>
      </c>
      <c r="OP359">
        <v>0.64</v>
      </c>
      <c r="OQ359" s="87" t="s">
        <v>29</v>
      </c>
      <c r="OR359">
        <v>1.45</v>
      </c>
      <c r="OS359" s="87" t="s">
        <v>29</v>
      </c>
      <c r="OT359" t="s">
        <v>1560</v>
      </c>
      <c r="OU359" s="88"/>
      <c r="OV359">
        <v>2004</v>
      </c>
      <c r="OY359" t="s">
        <v>1539</v>
      </c>
      <c r="PA359" s="88" t="s">
        <v>1169</v>
      </c>
      <c r="PB359" s="58">
        <v>46105</v>
      </c>
    </row>
    <row r="360" spans="1:418" ht="15.75" thickBot="1">
      <c r="A360" t="s">
        <v>248</v>
      </c>
      <c r="B360" t="s">
        <v>1523</v>
      </c>
      <c r="C360" t="s">
        <v>1173</v>
      </c>
      <c r="D360" s="4" t="s">
        <v>1936</v>
      </c>
      <c r="E360" s="94" t="s">
        <v>1540</v>
      </c>
      <c r="F360" s="94" t="s">
        <v>31</v>
      </c>
      <c r="G360" s="88" t="s">
        <v>2</v>
      </c>
      <c r="H360" s="88" t="s">
        <v>30</v>
      </c>
      <c r="I360">
        <v>7.7338301139999999</v>
      </c>
      <c r="J360">
        <v>8.5391521210000008</v>
      </c>
      <c r="K360" s="87" t="s">
        <v>29</v>
      </c>
      <c r="AV360" t="s">
        <v>1541</v>
      </c>
      <c r="AW360">
        <v>5.7000000000000002E-2</v>
      </c>
      <c r="AX360" s="88" t="s">
        <v>29</v>
      </c>
      <c r="AY360">
        <v>1</v>
      </c>
      <c r="AZ360" t="s">
        <v>1554</v>
      </c>
      <c r="BA360">
        <v>2004</v>
      </c>
      <c r="BC360">
        <v>2004.1</v>
      </c>
      <c r="BD360" t="s">
        <v>19</v>
      </c>
      <c r="BE360" t="s">
        <v>1524</v>
      </c>
      <c r="BF360" t="s">
        <v>39</v>
      </c>
      <c r="BG360" s="78" t="s">
        <v>1233</v>
      </c>
      <c r="BH360" t="s">
        <v>271</v>
      </c>
      <c r="BI360" t="s">
        <v>1543</v>
      </c>
      <c r="BJ360" s="88" t="s">
        <v>22</v>
      </c>
      <c r="BK360">
        <v>266660</v>
      </c>
      <c r="EH360" s="9"/>
      <c r="EI360" s="9"/>
      <c r="EJ360" s="9"/>
      <c r="EK360" s="9"/>
      <c r="EL360" s="9"/>
      <c r="EM360" s="9"/>
      <c r="EN360" s="9"/>
      <c r="EO360" s="9"/>
      <c r="EP360" s="9"/>
      <c r="EQ360" s="9"/>
      <c r="ER360" s="9"/>
      <c r="ES360" s="9"/>
      <c r="ET360" s="9"/>
      <c r="EU360" s="9"/>
      <c r="EV360" s="9"/>
      <c r="EW360" s="9"/>
      <c r="EX360" s="9"/>
      <c r="EY360" s="9"/>
      <c r="EZ360" s="9"/>
      <c r="FA360" s="9"/>
      <c r="FB360" s="9"/>
      <c r="FC360" s="9"/>
      <c r="FD360" s="9"/>
      <c r="FE360" s="9"/>
      <c r="FF360" s="9"/>
      <c r="FG360" s="9"/>
      <c r="FH360" s="9"/>
      <c r="FI360" s="9"/>
      <c r="FJ360" s="9"/>
      <c r="FK360" s="9"/>
      <c r="FL360" s="9"/>
      <c r="FM360" s="9"/>
      <c r="FN360" s="9"/>
      <c r="FO360" s="9"/>
      <c r="FP360" s="9"/>
      <c r="FQ360" s="9"/>
      <c r="FR360" s="9"/>
      <c r="FS360" s="9"/>
      <c r="FT360" s="9"/>
      <c r="FU360" s="9"/>
      <c r="FV360" s="9"/>
      <c r="FW360" s="9"/>
      <c r="FX360" s="9"/>
      <c r="FY360" s="9"/>
      <c r="FZ360" s="9"/>
      <c r="GA360" s="9"/>
      <c r="GB360" s="9"/>
      <c r="GC360" s="9"/>
      <c r="GD360" s="9"/>
      <c r="GE360" s="9"/>
      <c r="GF360" s="9"/>
      <c r="GG360" s="9"/>
      <c r="GH360" s="9"/>
      <c r="GI360" s="9"/>
      <c r="GJ360" s="9"/>
      <c r="GK360" s="9"/>
      <c r="GL360" s="9"/>
      <c r="GM360" s="9"/>
      <c r="GN360" s="9"/>
      <c r="GO360" s="9"/>
      <c r="GP360" s="9"/>
      <c r="GQ360" s="9"/>
      <c r="GR360" s="9"/>
      <c r="GS360" s="9"/>
      <c r="GT360" s="9"/>
      <c r="GU360" s="9"/>
      <c r="GV360" s="9"/>
      <c r="GW360" s="9"/>
      <c r="GX360" s="9"/>
      <c r="GY360" s="9"/>
      <c r="GZ360" s="9"/>
      <c r="HA360" s="9"/>
      <c r="HB360" s="9"/>
      <c r="HC360" s="9"/>
      <c r="HD360" s="9"/>
      <c r="HE360" s="9"/>
      <c r="HF360" s="9"/>
      <c r="HG360" s="9"/>
      <c r="HH360" s="9"/>
      <c r="HI360" s="9"/>
      <c r="HJ360" s="9"/>
      <c r="HK360" s="9"/>
      <c r="HU360" s="58">
        <v>38127</v>
      </c>
      <c r="HW360" s="58"/>
      <c r="HX360" s="58"/>
      <c r="II360" t="s">
        <v>1546</v>
      </c>
      <c r="IJ360" s="88" t="s">
        <v>19</v>
      </c>
      <c r="IK360" t="s">
        <v>660</v>
      </c>
      <c r="IL360" s="88" t="s">
        <v>661</v>
      </c>
      <c r="IO360" s="87" t="s">
        <v>29</v>
      </c>
      <c r="JK360" t="s">
        <v>1547</v>
      </c>
      <c r="JL360" s="84" t="s">
        <v>15</v>
      </c>
      <c r="JM360" s="88" t="s">
        <v>14</v>
      </c>
      <c r="JQ360" s="95" t="s">
        <v>13</v>
      </c>
      <c r="JR360">
        <v>10</v>
      </c>
      <c r="JU360">
        <v>36</v>
      </c>
      <c r="JV360">
        <v>20</v>
      </c>
      <c r="KF360" t="s">
        <v>1549</v>
      </c>
      <c r="KG360" s="12" t="s">
        <v>1548</v>
      </c>
      <c r="KJ360" t="s">
        <v>1550</v>
      </c>
      <c r="KK360" t="s">
        <v>222</v>
      </c>
      <c r="KL360" s="8" t="s">
        <v>1551</v>
      </c>
      <c r="KM360" s="95" t="s">
        <v>220</v>
      </c>
      <c r="KN360">
        <v>18</v>
      </c>
      <c r="MZ360" t="s">
        <v>1525</v>
      </c>
      <c r="NA360">
        <v>6.3</v>
      </c>
      <c r="NB360" t="s">
        <v>1526</v>
      </c>
      <c r="NC360" t="s">
        <v>271</v>
      </c>
      <c r="NK360" t="s">
        <v>1526</v>
      </c>
      <c r="NM360" s="4" t="s">
        <v>2456</v>
      </c>
      <c r="NN360" s="88"/>
      <c r="NV360" t="s">
        <v>1559</v>
      </c>
      <c r="NW360" t="s">
        <v>6</v>
      </c>
      <c r="NY360" s="2" t="s">
        <v>29</v>
      </c>
      <c r="NZ360" s="88"/>
      <c r="OC360">
        <v>3</v>
      </c>
      <c r="OT360" t="s">
        <v>1560</v>
      </c>
      <c r="OU360" s="88"/>
      <c r="OV360">
        <v>2004</v>
      </c>
      <c r="OY360" t="s">
        <v>1539</v>
      </c>
      <c r="PA360" s="88" t="s">
        <v>1169</v>
      </c>
      <c r="PB360" s="58">
        <v>46105</v>
      </c>
    </row>
    <row r="361" spans="1:418" ht="15.75" thickBot="1">
      <c r="A361" t="s">
        <v>248</v>
      </c>
      <c r="B361" t="s">
        <v>1523</v>
      </c>
      <c r="C361" t="s">
        <v>1173</v>
      </c>
      <c r="D361" s="4" t="s">
        <v>1936</v>
      </c>
      <c r="E361" s="94" t="s">
        <v>1540</v>
      </c>
      <c r="F361" s="94" t="s">
        <v>31</v>
      </c>
      <c r="G361" s="88" t="s">
        <v>2</v>
      </c>
      <c r="H361" s="88" t="s">
        <v>30</v>
      </c>
      <c r="I361">
        <v>7.7338301139999999</v>
      </c>
      <c r="J361">
        <v>8.5391521210000008</v>
      </c>
      <c r="K361" s="87" t="s">
        <v>29</v>
      </c>
      <c r="AV361" t="s">
        <v>1541</v>
      </c>
      <c r="AW361">
        <v>5.7000000000000002E-2</v>
      </c>
      <c r="AX361" s="88" t="s">
        <v>29</v>
      </c>
      <c r="AY361">
        <v>1</v>
      </c>
      <c r="AZ361" t="s">
        <v>1554</v>
      </c>
      <c r="BA361">
        <v>2004</v>
      </c>
      <c r="BC361">
        <v>2004.1</v>
      </c>
      <c r="BD361" t="s">
        <v>19</v>
      </c>
      <c r="BE361" t="s">
        <v>1528</v>
      </c>
      <c r="BF361" t="s">
        <v>24</v>
      </c>
      <c r="BG361" s="78" t="s">
        <v>1233</v>
      </c>
      <c r="BH361" t="s">
        <v>271</v>
      </c>
      <c r="BI361" t="s">
        <v>1544</v>
      </c>
      <c r="BJ361" s="88" t="s">
        <v>22</v>
      </c>
      <c r="BK361">
        <v>266660</v>
      </c>
      <c r="EH361" s="9"/>
      <c r="EI361" s="9"/>
      <c r="EJ361" s="9"/>
      <c r="EK361" s="9"/>
      <c r="EL361" s="9"/>
      <c r="EM361" s="9"/>
      <c r="EN361" s="9"/>
      <c r="EO361" s="9"/>
      <c r="EP361" s="9"/>
      <c r="EQ361" s="9"/>
      <c r="ER361" s="9"/>
      <c r="ES361" s="9"/>
      <c r="ET361" s="9"/>
      <c r="EU361" s="9"/>
      <c r="EV361" s="9"/>
      <c r="EW361" s="9"/>
      <c r="EX361" s="9"/>
      <c r="EY361" s="9"/>
      <c r="EZ361" s="9"/>
      <c r="FA361" s="9"/>
      <c r="FB361" s="9"/>
      <c r="FC361" s="9"/>
      <c r="FD361" s="9"/>
      <c r="FE361" s="9"/>
      <c r="FF361" s="9"/>
      <c r="FG361" s="9"/>
      <c r="FH361" s="9"/>
      <c r="FI361" s="9"/>
      <c r="FJ361" s="9"/>
      <c r="FK361" s="9"/>
      <c r="FL361" s="9"/>
      <c r="FM361" s="9"/>
      <c r="FN361" s="9"/>
      <c r="FO361" s="9"/>
      <c r="FP361" s="9"/>
      <c r="FQ361" s="9"/>
      <c r="FR361" s="9"/>
      <c r="FS361" s="9"/>
      <c r="FT361" s="9"/>
      <c r="FU361" s="9"/>
      <c r="FV361" s="9"/>
      <c r="FW361" s="9"/>
      <c r="FX361" s="9"/>
      <c r="FY361" s="9"/>
      <c r="FZ361" s="9"/>
      <c r="GA361" s="9"/>
      <c r="GB361" s="9"/>
      <c r="GC361" s="9"/>
      <c r="GD361" s="9"/>
      <c r="GE361" s="9"/>
      <c r="GF361" s="9"/>
      <c r="GG361" s="9"/>
      <c r="GH361" s="9"/>
      <c r="GI361" s="9"/>
      <c r="GJ361" s="9"/>
      <c r="GK361" s="9"/>
      <c r="GL361" s="9"/>
      <c r="GM361" s="9"/>
      <c r="GN361" s="9"/>
      <c r="GO361" s="9"/>
      <c r="GP361" s="9"/>
      <c r="GQ361" s="9"/>
      <c r="GR361" s="9"/>
      <c r="GS361" s="9"/>
      <c r="GT361" s="9"/>
      <c r="GU361" s="9"/>
      <c r="GV361" s="9"/>
      <c r="GW361" s="9"/>
      <c r="GX361" s="9"/>
      <c r="GY361" s="9"/>
      <c r="GZ361" s="9"/>
      <c r="HA361" s="9"/>
      <c r="HB361" s="9"/>
      <c r="HC361" s="9"/>
      <c r="HD361" s="9"/>
      <c r="HE361" s="9"/>
      <c r="HF361" s="9"/>
      <c r="HG361" s="9"/>
      <c r="HH361" s="9"/>
      <c r="HI361" s="9"/>
      <c r="HJ361" s="9"/>
      <c r="HK361" s="9"/>
      <c r="HU361" s="58">
        <v>38127</v>
      </c>
      <c r="HW361" s="58"/>
      <c r="HX361" s="58"/>
      <c r="II361" t="s">
        <v>1546</v>
      </c>
      <c r="IJ361" s="88" t="s">
        <v>19</v>
      </c>
      <c r="IK361" t="s">
        <v>660</v>
      </c>
      <c r="IL361" s="88" t="s">
        <v>661</v>
      </c>
      <c r="IO361" s="87" t="s">
        <v>29</v>
      </c>
      <c r="JK361" t="s">
        <v>1547</v>
      </c>
      <c r="JL361" s="84" t="s">
        <v>15</v>
      </c>
      <c r="JM361" s="88" t="s">
        <v>14</v>
      </c>
      <c r="JQ361" s="95" t="s">
        <v>13</v>
      </c>
      <c r="JR361">
        <v>10</v>
      </c>
      <c r="JU361">
        <v>36</v>
      </c>
      <c r="JV361">
        <v>20</v>
      </c>
      <c r="KF361" t="s">
        <v>1549</v>
      </c>
      <c r="KG361" s="12" t="s">
        <v>1548</v>
      </c>
      <c r="KJ361" t="s">
        <v>1550</v>
      </c>
      <c r="KK361" t="s">
        <v>222</v>
      </c>
      <c r="KL361" s="8" t="s">
        <v>1551</v>
      </c>
      <c r="KM361" s="95" t="s">
        <v>220</v>
      </c>
      <c r="KN361">
        <v>18</v>
      </c>
      <c r="MZ361" t="s">
        <v>1525</v>
      </c>
      <c r="NA361">
        <v>6.3</v>
      </c>
      <c r="NB361" t="s">
        <v>1526</v>
      </c>
      <c r="NC361" t="s">
        <v>271</v>
      </c>
      <c r="NK361" t="s">
        <v>1526</v>
      </c>
      <c r="NM361" s="4" t="s">
        <v>2456</v>
      </c>
      <c r="NN361" s="88"/>
      <c r="NV361" t="s">
        <v>1557</v>
      </c>
      <c r="NW361" t="s">
        <v>6</v>
      </c>
      <c r="NY361" s="2" t="s">
        <v>29</v>
      </c>
      <c r="NZ361" s="88"/>
      <c r="OC361">
        <v>3</v>
      </c>
      <c r="OT361" t="s">
        <v>1560</v>
      </c>
      <c r="OU361" s="88"/>
      <c r="OV361">
        <v>2004</v>
      </c>
      <c r="OY361" t="s">
        <v>1539</v>
      </c>
      <c r="PA361" s="88" t="s">
        <v>1169</v>
      </c>
      <c r="PB361" s="58">
        <v>46105</v>
      </c>
    </row>
    <row r="362" spans="1:418" ht="15.75" thickBot="1">
      <c r="A362" t="s">
        <v>248</v>
      </c>
      <c r="B362" t="s">
        <v>1523</v>
      </c>
      <c r="C362" t="s">
        <v>1173</v>
      </c>
      <c r="D362" s="4" t="s">
        <v>1936</v>
      </c>
      <c r="E362" s="94" t="s">
        <v>1540</v>
      </c>
      <c r="F362" s="94" t="s">
        <v>31</v>
      </c>
      <c r="G362" s="88" t="s">
        <v>2</v>
      </c>
      <c r="H362" s="88" t="s">
        <v>30</v>
      </c>
      <c r="I362">
        <v>7.7338301139999999</v>
      </c>
      <c r="J362">
        <v>8.5391521210000008</v>
      </c>
      <c r="K362" s="87" t="s">
        <v>29</v>
      </c>
      <c r="AV362" t="s">
        <v>1541</v>
      </c>
      <c r="AW362">
        <v>5.7000000000000002E-2</v>
      </c>
      <c r="AX362" s="88" t="s">
        <v>29</v>
      </c>
      <c r="AY362">
        <v>1</v>
      </c>
      <c r="AZ362" t="s">
        <v>1554</v>
      </c>
      <c r="BA362">
        <v>2004</v>
      </c>
      <c r="BC362">
        <v>2004.1</v>
      </c>
      <c r="BD362" t="s">
        <v>19</v>
      </c>
      <c r="BE362" t="s">
        <v>1529</v>
      </c>
      <c r="BF362" t="s">
        <v>299</v>
      </c>
      <c r="BG362" s="78" t="s">
        <v>1233</v>
      </c>
      <c r="BH362" t="s">
        <v>23</v>
      </c>
      <c r="BI362" t="s">
        <v>1545</v>
      </c>
      <c r="BJ362" s="88" t="s">
        <v>22</v>
      </c>
      <c r="BK362">
        <v>53330</v>
      </c>
      <c r="EH362" s="9"/>
      <c r="EI362" s="9"/>
      <c r="EJ362" s="9"/>
      <c r="EK362" s="9"/>
      <c r="EL362" s="9"/>
      <c r="EM362" s="9"/>
      <c r="EN362" s="9"/>
      <c r="EO362" s="9"/>
      <c r="EP362" s="9"/>
      <c r="EQ362" s="9"/>
      <c r="ER362" s="9"/>
      <c r="ES362" s="9"/>
      <c r="ET362" s="9"/>
      <c r="EU362" s="9"/>
      <c r="EV362" s="9"/>
      <c r="EW362" s="9"/>
      <c r="EX362" s="9"/>
      <c r="EY362" s="9"/>
      <c r="EZ362" s="9"/>
      <c r="FA362" s="9"/>
      <c r="FB362" s="9"/>
      <c r="FC362" s="9"/>
      <c r="FD362" s="9"/>
      <c r="FE362" s="9"/>
      <c r="FF362" s="9"/>
      <c r="FG362" s="9"/>
      <c r="FH362" s="9"/>
      <c r="FI362" s="9"/>
      <c r="FJ362" s="9"/>
      <c r="FK362" s="9"/>
      <c r="FL362" s="9"/>
      <c r="FM362" s="9"/>
      <c r="FN362" s="9"/>
      <c r="FO362" s="9"/>
      <c r="FP362" s="9"/>
      <c r="FQ362" s="9"/>
      <c r="FR362" s="9"/>
      <c r="FS362" s="9"/>
      <c r="FT362" s="9"/>
      <c r="FU362" s="9"/>
      <c r="FV362" s="9"/>
      <c r="FW362" s="9"/>
      <c r="FX362" s="9"/>
      <c r="FY362" s="9"/>
      <c r="FZ362" s="9"/>
      <c r="GA362" s="9"/>
      <c r="GB362" s="9"/>
      <c r="GC362" s="9"/>
      <c r="GD362" s="9"/>
      <c r="GE362" s="9"/>
      <c r="GF362" s="9"/>
      <c r="GG362" s="9"/>
      <c r="GH362" s="9"/>
      <c r="GI362" s="9"/>
      <c r="GJ362" s="9"/>
      <c r="GK362" s="9"/>
      <c r="GL362" s="9"/>
      <c r="GM362" s="9"/>
      <c r="GN362" s="9"/>
      <c r="GO362" s="9"/>
      <c r="GP362" s="9"/>
      <c r="GQ362" s="9"/>
      <c r="GR362" s="9"/>
      <c r="GS362" s="9"/>
      <c r="GT362" s="9"/>
      <c r="GU362" s="9"/>
      <c r="GV362" s="9"/>
      <c r="GW362" s="9"/>
      <c r="GX362" s="9"/>
      <c r="GY362" s="9"/>
      <c r="GZ362" s="9"/>
      <c r="HA362" s="9"/>
      <c r="HB362" s="9"/>
      <c r="HC362" s="9"/>
      <c r="HD362" s="9"/>
      <c r="HE362" s="9"/>
      <c r="HF362" s="9"/>
      <c r="HG362" s="9"/>
      <c r="HH362" s="9"/>
      <c r="HI362" s="9"/>
      <c r="HJ362" s="9"/>
      <c r="HK362" s="9"/>
      <c r="HU362" s="58">
        <v>38127</v>
      </c>
      <c r="HW362" s="58"/>
      <c r="HX362" s="58"/>
      <c r="II362" t="s">
        <v>1546</v>
      </c>
      <c r="IJ362" s="88" t="s">
        <v>19</v>
      </c>
      <c r="IK362" t="s">
        <v>660</v>
      </c>
      <c r="IL362" s="88" t="s">
        <v>661</v>
      </c>
      <c r="IO362" s="87" t="s">
        <v>29</v>
      </c>
      <c r="JK362" t="s">
        <v>1547</v>
      </c>
      <c r="JL362" s="84" t="s">
        <v>15</v>
      </c>
      <c r="JM362" s="88" t="s">
        <v>14</v>
      </c>
      <c r="JQ362" s="95" t="s">
        <v>13</v>
      </c>
      <c r="JR362">
        <v>90</v>
      </c>
      <c r="JU362">
        <v>45</v>
      </c>
      <c r="JV362">
        <v>45</v>
      </c>
      <c r="KF362" t="s">
        <v>1549</v>
      </c>
      <c r="KG362" s="12" t="s">
        <v>1548</v>
      </c>
      <c r="KJ362" t="s">
        <v>1550</v>
      </c>
      <c r="KK362" t="s">
        <v>222</v>
      </c>
      <c r="KL362" s="8" t="s">
        <v>1551</v>
      </c>
      <c r="KM362" s="95" t="s">
        <v>220</v>
      </c>
      <c r="KN362">
        <v>18</v>
      </c>
      <c r="MZ362" t="s">
        <v>1525</v>
      </c>
      <c r="NA362">
        <v>6.3</v>
      </c>
      <c r="NB362" t="s">
        <v>1530</v>
      </c>
      <c r="NC362" t="s">
        <v>23</v>
      </c>
      <c r="NK362" t="s">
        <v>1530</v>
      </c>
      <c r="NM362" s="4" t="s">
        <v>2456</v>
      </c>
      <c r="NN362" s="88"/>
      <c r="NV362" t="s">
        <v>1558</v>
      </c>
      <c r="NW362" t="s">
        <v>6</v>
      </c>
      <c r="NY362" s="2" t="s">
        <v>29</v>
      </c>
      <c r="NZ362" s="88"/>
      <c r="OC362">
        <v>3</v>
      </c>
      <c r="OT362" t="s">
        <v>1560</v>
      </c>
      <c r="OU362" s="88"/>
      <c r="OV362">
        <v>2004</v>
      </c>
      <c r="OY362" t="s">
        <v>1539</v>
      </c>
      <c r="PA362" s="88" t="s">
        <v>1169</v>
      </c>
      <c r="PB362" s="58">
        <v>46105</v>
      </c>
    </row>
    <row r="363" spans="1:418" ht="15.75" thickBot="1">
      <c r="A363" t="s">
        <v>248</v>
      </c>
      <c r="B363" t="s">
        <v>1523</v>
      </c>
      <c r="C363" t="s">
        <v>1173</v>
      </c>
      <c r="D363" s="4" t="s">
        <v>1936</v>
      </c>
      <c r="E363" s="94" t="s">
        <v>1540</v>
      </c>
      <c r="F363" s="94" t="s">
        <v>31</v>
      </c>
      <c r="G363" s="88" t="s">
        <v>2</v>
      </c>
      <c r="H363" s="88" t="s">
        <v>30</v>
      </c>
      <c r="I363">
        <v>7.7338301139999999</v>
      </c>
      <c r="J363">
        <v>8.5391521210000008</v>
      </c>
      <c r="K363" s="87" t="s">
        <v>29</v>
      </c>
      <c r="AV363" t="s">
        <v>1541</v>
      </c>
      <c r="AW363">
        <v>5.7000000000000002E-2</v>
      </c>
      <c r="AX363" s="88" t="s">
        <v>29</v>
      </c>
      <c r="AY363">
        <v>1</v>
      </c>
      <c r="AZ363" t="s">
        <v>1555</v>
      </c>
      <c r="BA363">
        <v>2004</v>
      </c>
      <c r="BC363">
        <v>2004.2</v>
      </c>
      <c r="BD363" t="s">
        <v>238</v>
      </c>
      <c r="BE363" t="s">
        <v>1542</v>
      </c>
      <c r="BF363" t="s">
        <v>64</v>
      </c>
      <c r="BG363" s="78" t="s">
        <v>1233</v>
      </c>
      <c r="BH363" t="s">
        <v>23</v>
      </c>
      <c r="BI363" t="s">
        <v>1545</v>
      </c>
      <c r="BJ363" s="88" t="s">
        <v>22</v>
      </c>
      <c r="BK363">
        <v>38000</v>
      </c>
      <c r="BL363" t="s">
        <v>56</v>
      </c>
      <c r="BM363" t="s">
        <v>271</v>
      </c>
      <c r="BN363" t="s">
        <v>1543</v>
      </c>
      <c r="BO363" s="88" t="s">
        <v>22</v>
      </c>
      <c r="BP363">
        <v>266660</v>
      </c>
      <c r="EH363" s="9"/>
      <c r="EI363" s="9"/>
      <c r="EJ363" s="9"/>
      <c r="EK363" s="9"/>
      <c r="EL363" s="9"/>
      <c r="EM363" s="9"/>
      <c r="EN363" s="9"/>
      <c r="EO363" s="9"/>
      <c r="EP363" s="9"/>
      <c r="EQ363" s="9"/>
      <c r="ER363" s="9"/>
      <c r="ES363" s="9"/>
      <c r="ET363" s="9"/>
      <c r="EU363" s="9"/>
      <c r="EV363" s="9"/>
      <c r="EW363" s="9"/>
      <c r="EX363" s="9"/>
      <c r="EY363" s="9"/>
      <c r="EZ363" s="9"/>
      <c r="FA363" s="9"/>
      <c r="FB363" s="9"/>
      <c r="FC363" s="9"/>
      <c r="FD363" s="9"/>
      <c r="FE363" s="9"/>
      <c r="FF363" s="9"/>
      <c r="FG363" s="9"/>
      <c r="FH363" s="9"/>
      <c r="FI363" s="9"/>
      <c r="FJ363" s="9"/>
      <c r="FK363" s="9"/>
      <c r="FL363" s="9"/>
      <c r="FM363" s="9"/>
      <c r="FN363" s="9"/>
      <c r="FO363" s="9"/>
      <c r="FP363" s="9"/>
      <c r="FQ363" s="9"/>
      <c r="FR363" s="9"/>
      <c r="FS363" s="9"/>
      <c r="FT363" s="9"/>
      <c r="FU363" s="9"/>
      <c r="FV363" s="9"/>
      <c r="FW363" s="9"/>
      <c r="FX363" s="9"/>
      <c r="FY363" s="9"/>
      <c r="FZ363" s="9"/>
      <c r="GA363" s="9"/>
      <c r="GB363" s="9"/>
      <c r="GC363" s="9"/>
      <c r="GD363" s="9"/>
      <c r="GE363" s="9"/>
      <c r="GF363" s="9"/>
      <c r="GG363" s="9"/>
      <c r="GH363" s="9"/>
      <c r="GI363" s="9"/>
      <c r="GJ363" s="9"/>
      <c r="GK363" s="9"/>
      <c r="GL363" s="9"/>
      <c r="GM363" s="9"/>
      <c r="GN363" s="9"/>
      <c r="GO363" s="9"/>
      <c r="GP363" s="9"/>
      <c r="GQ363" s="9"/>
      <c r="GR363" s="9"/>
      <c r="GS363" s="9"/>
      <c r="GT363" s="9"/>
      <c r="GU363" s="9"/>
      <c r="GV363" s="9"/>
      <c r="GW363" s="9"/>
      <c r="GX363" s="9"/>
      <c r="GY363" s="9"/>
      <c r="GZ363" s="9"/>
      <c r="HA363" s="9"/>
      <c r="HB363" s="9"/>
      <c r="HC363" s="9"/>
      <c r="HD363" s="9"/>
      <c r="HE363" s="9"/>
      <c r="HF363" s="9"/>
      <c r="HG363" s="9"/>
      <c r="HH363" s="9"/>
      <c r="HI363" s="9"/>
      <c r="HJ363" s="9"/>
      <c r="HK363" s="9"/>
      <c r="HU363" s="58">
        <v>45494</v>
      </c>
      <c r="HW363" s="58"/>
      <c r="HX363" s="58"/>
      <c r="II363" t="s">
        <v>238</v>
      </c>
      <c r="IJ363" s="88" t="s">
        <v>1190</v>
      </c>
      <c r="IK363" t="s">
        <v>660</v>
      </c>
      <c r="IL363" s="88" t="s">
        <v>661</v>
      </c>
      <c r="IO363" s="87" t="s">
        <v>29</v>
      </c>
      <c r="JK363" t="s">
        <v>1547</v>
      </c>
      <c r="JL363" s="84" t="s">
        <v>15</v>
      </c>
      <c r="JM363" s="88" t="s">
        <v>14</v>
      </c>
      <c r="JQ363" s="95" t="s">
        <v>13</v>
      </c>
      <c r="JR363">
        <v>100</v>
      </c>
      <c r="JU363">
        <v>81</v>
      </c>
      <c r="JV363">
        <v>65</v>
      </c>
      <c r="KF363" t="s">
        <v>1549</v>
      </c>
      <c r="KG363" s="12" t="s">
        <v>1548</v>
      </c>
      <c r="KJ363" t="s">
        <v>1550</v>
      </c>
      <c r="KK363" t="s">
        <v>222</v>
      </c>
      <c r="KL363" s="8" t="s">
        <v>1551</v>
      </c>
      <c r="KM363" s="95" t="s">
        <v>220</v>
      </c>
      <c r="KN363">
        <v>18</v>
      </c>
      <c r="MZ363" t="s">
        <v>1525</v>
      </c>
      <c r="NA363">
        <v>6.3</v>
      </c>
      <c r="NB363" t="s">
        <v>1531</v>
      </c>
      <c r="NC363" t="s">
        <v>23</v>
      </c>
      <c r="ND363" t="s">
        <v>271</v>
      </c>
      <c r="NK363" t="s">
        <v>1531</v>
      </c>
      <c r="NM363" s="4" t="s">
        <v>2456</v>
      </c>
      <c r="NN363" s="88"/>
      <c r="NW363" t="s">
        <v>6</v>
      </c>
      <c r="NY363" s="2" t="s">
        <v>29</v>
      </c>
      <c r="NZ363" s="88"/>
      <c r="OC363">
        <v>3</v>
      </c>
      <c r="ON363">
        <v>0.79</v>
      </c>
      <c r="OO363" s="87" t="s">
        <v>29</v>
      </c>
      <c r="OP363">
        <v>0.44</v>
      </c>
      <c r="OQ363" s="87" t="s">
        <v>29</v>
      </c>
      <c r="OR363">
        <v>1.23</v>
      </c>
      <c r="OS363" s="87" t="s">
        <v>29</v>
      </c>
      <c r="OT363" t="s">
        <v>1553</v>
      </c>
      <c r="OU363" s="88"/>
      <c r="OV363">
        <v>2004</v>
      </c>
      <c r="OY363" t="s">
        <v>1556</v>
      </c>
      <c r="PA363" s="88" t="s">
        <v>1169</v>
      </c>
      <c r="PB363" s="58">
        <v>46105</v>
      </c>
    </row>
    <row r="364" spans="1:418" ht="15.75" thickBot="1">
      <c r="A364" t="s">
        <v>248</v>
      </c>
      <c r="B364" t="s">
        <v>1523</v>
      </c>
      <c r="C364" t="s">
        <v>1173</v>
      </c>
      <c r="D364" s="4" t="s">
        <v>1936</v>
      </c>
      <c r="E364" s="94" t="s">
        <v>1540</v>
      </c>
      <c r="F364" s="94" t="s">
        <v>31</v>
      </c>
      <c r="G364" s="88" t="s">
        <v>2</v>
      </c>
      <c r="H364" s="88" t="s">
        <v>30</v>
      </c>
      <c r="I364">
        <v>7.7338301139999999</v>
      </c>
      <c r="J364">
        <v>8.5391521210000008</v>
      </c>
      <c r="K364" s="87" t="s">
        <v>29</v>
      </c>
      <c r="AV364" t="s">
        <v>1541</v>
      </c>
      <c r="AW364">
        <v>5.7000000000000002E-2</v>
      </c>
      <c r="AX364" s="88" t="s">
        <v>29</v>
      </c>
      <c r="AY364">
        <v>1</v>
      </c>
      <c r="AZ364" t="s">
        <v>1555</v>
      </c>
      <c r="BA364">
        <v>2004</v>
      </c>
      <c r="BC364">
        <v>2004.2</v>
      </c>
      <c r="BD364" t="s">
        <v>238</v>
      </c>
      <c r="BE364" t="s">
        <v>1532</v>
      </c>
      <c r="BF364" t="s">
        <v>57</v>
      </c>
      <c r="BG364" s="78" t="s">
        <v>1233</v>
      </c>
      <c r="BH364" t="s">
        <v>23</v>
      </c>
      <c r="BI364" t="s">
        <v>1545</v>
      </c>
      <c r="BJ364" s="88" t="s">
        <v>22</v>
      </c>
      <c r="BK364">
        <v>38000</v>
      </c>
      <c r="BL364" t="s">
        <v>56</v>
      </c>
      <c r="BM364" t="s">
        <v>271</v>
      </c>
      <c r="BN364" t="s">
        <v>1544</v>
      </c>
      <c r="BO364" s="88" t="s">
        <v>22</v>
      </c>
      <c r="BP364">
        <v>266660</v>
      </c>
      <c r="EH364" s="9"/>
      <c r="EI364" s="9"/>
      <c r="EJ364" s="9"/>
      <c r="EK364" s="9"/>
      <c r="EL364" s="9"/>
      <c r="EM364" s="9"/>
      <c r="EN364" s="9"/>
      <c r="EO364" s="9"/>
      <c r="EP364" s="9"/>
      <c r="EQ364" s="9"/>
      <c r="ER364" s="9"/>
      <c r="ES364" s="9"/>
      <c r="ET364" s="9"/>
      <c r="EU364" s="9"/>
      <c r="EV364" s="9"/>
      <c r="EW364" s="9"/>
      <c r="EX364" s="9"/>
      <c r="EY364" s="9"/>
      <c r="EZ364" s="9"/>
      <c r="FA364" s="9"/>
      <c r="FB364" s="9"/>
      <c r="FC364" s="9"/>
      <c r="FD364" s="9"/>
      <c r="FE364" s="9"/>
      <c r="FF364" s="9"/>
      <c r="FG364" s="9"/>
      <c r="FH364" s="9"/>
      <c r="FI364" s="9"/>
      <c r="FJ364" s="9"/>
      <c r="FK364" s="9"/>
      <c r="FL364" s="9"/>
      <c r="FM364" s="9"/>
      <c r="FN364" s="9"/>
      <c r="FO364" s="9"/>
      <c r="FP364" s="9"/>
      <c r="FQ364" s="9"/>
      <c r="FR364" s="9"/>
      <c r="FS364" s="9"/>
      <c r="FT364" s="9"/>
      <c r="FU364" s="9"/>
      <c r="FV364" s="9"/>
      <c r="FW364" s="9"/>
      <c r="FX364" s="9"/>
      <c r="FY364" s="9"/>
      <c r="FZ364" s="9"/>
      <c r="GA364" s="9"/>
      <c r="GB364" s="9"/>
      <c r="GC364" s="9"/>
      <c r="GD364" s="9"/>
      <c r="GE364" s="9"/>
      <c r="GF364" s="9"/>
      <c r="GG364" s="9"/>
      <c r="GH364" s="9"/>
      <c r="GI364" s="9"/>
      <c r="GJ364" s="9"/>
      <c r="GK364" s="9"/>
      <c r="GL364" s="9"/>
      <c r="GM364" s="9"/>
      <c r="GN364" s="9"/>
      <c r="GO364" s="9"/>
      <c r="GP364" s="9"/>
      <c r="GQ364" s="9"/>
      <c r="GR364" s="9"/>
      <c r="GS364" s="9"/>
      <c r="GT364" s="9"/>
      <c r="GU364" s="9"/>
      <c r="GV364" s="9"/>
      <c r="GW364" s="9"/>
      <c r="GX364" s="9"/>
      <c r="GY364" s="9"/>
      <c r="GZ364" s="9"/>
      <c r="HA364" s="9"/>
      <c r="HB364" s="9"/>
      <c r="HC364" s="9"/>
      <c r="HD364" s="9"/>
      <c r="HE364" s="9"/>
      <c r="HF364" s="9"/>
      <c r="HG364" s="9"/>
      <c r="HH364" s="9"/>
      <c r="HI364" s="9"/>
      <c r="HJ364" s="9"/>
      <c r="HK364" s="9"/>
      <c r="HU364" s="58">
        <v>45494</v>
      </c>
      <c r="HW364" s="58"/>
      <c r="HX364" s="58"/>
      <c r="II364" t="s">
        <v>238</v>
      </c>
      <c r="IJ364" s="88" t="s">
        <v>1190</v>
      </c>
      <c r="IK364" t="s">
        <v>660</v>
      </c>
      <c r="IL364" s="88" t="s">
        <v>661</v>
      </c>
      <c r="IO364" s="87" t="s">
        <v>29</v>
      </c>
      <c r="JK364" t="s">
        <v>1547</v>
      </c>
      <c r="JL364" s="84" t="s">
        <v>15</v>
      </c>
      <c r="JM364" s="88" t="s">
        <v>14</v>
      </c>
      <c r="JQ364" s="95" t="s">
        <v>13</v>
      </c>
      <c r="JR364">
        <v>100</v>
      </c>
      <c r="JU364">
        <v>81</v>
      </c>
      <c r="JV364">
        <v>65</v>
      </c>
      <c r="KF364" t="s">
        <v>1549</v>
      </c>
      <c r="KG364" s="12" t="s">
        <v>1548</v>
      </c>
      <c r="KJ364" t="s">
        <v>1550</v>
      </c>
      <c r="KK364" t="s">
        <v>222</v>
      </c>
      <c r="KL364" s="8" t="s">
        <v>1551</v>
      </c>
      <c r="KM364" s="95" t="s">
        <v>220</v>
      </c>
      <c r="KN364">
        <v>18</v>
      </c>
      <c r="MZ364" t="s">
        <v>1525</v>
      </c>
      <c r="NA364">
        <v>6.3</v>
      </c>
      <c r="NB364" t="s">
        <v>1531</v>
      </c>
      <c r="NC364" t="s">
        <v>23</v>
      </c>
      <c r="ND364" t="s">
        <v>271</v>
      </c>
      <c r="NK364" t="s">
        <v>1561</v>
      </c>
      <c r="NM364" s="4" t="s">
        <v>2456</v>
      </c>
      <c r="NN364" s="88"/>
      <c r="NW364" t="s">
        <v>6</v>
      </c>
      <c r="NY364" s="2" t="s">
        <v>29</v>
      </c>
      <c r="NZ364" s="88"/>
      <c r="OC364">
        <v>3</v>
      </c>
      <c r="ON364">
        <v>0.55000000000000004</v>
      </c>
      <c r="OO364" s="87" t="s">
        <v>29</v>
      </c>
      <c r="OP364">
        <v>0.49</v>
      </c>
      <c r="OQ364" s="87" t="s">
        <v>29</v>
      </c>
      <c r="OR364">
        <v>1.04</v>
      </c>
      <c r="OS364" s="87" t="s">
        <v>29</v>
      </c>
      <c r="OT364" t="s">
        <v>1553</v>
      </c>
      <c r="OU364" s="88"/>
      <c r="OV364">
        <v>2004</v>
      </c>
      <c r="OY364" t="s">
        <v>1556</v>
      </c>
      <c r="PA364" s="88" t="s">
        <v>1169</v>
      </c>
      <c r="PB364" s="58">
        <v>46105</v>
      </c>
    </row>
    <row r="365" spans="1:418" ht="15.75" thickBot="1">
      <c r="A365" t="s">
        <v>248</v>
      </c>
      <c r="B365" t="s">
        <v>1523</v>
      </c>
      <c r="C365" t="s">
        <v>1173</v>
      </c>
      <c r="D365" s="4" t="s">
        <v>1936</v>
      </c>
      <c r="E365" s="94" t="s">
        <v>1540</v>
      </c>
      <c r="F365" s="94" t="s">
        <v>31</v>
      </c>
      <c r="G365" s="88" t="s">
        <v>2</v>
      </c>
      <c r="H365" s="88" t="s">
        <v>30</v>
      </c>
      <c r="I365">
        <v>7.7338301139999999</v>
      </c>
      <c r="J365">
        <v>8.5391521210000008</v>
      </c>
      <c r="K365" s="87" t="s">
        <v>29</v>
      </c>
      <c r="AV365" t="s">
        <v>1541</v>
      </c>
      <c r="AW365">
        <v>5.7000000000000002E-2</v>
      </c>
      <c r="AX365" s="88" t="s">
        <v>29</v>
      </c>
      <c r="AY365">
        <v>1</v>
      </c>
      <c r="AZ365" t="s">
        <v>1555</v>
      </c>
      <c r="BA365">
        <v>2004</v>
      </c>
      <c r="BC365">
        <v>2004.2</v>
      </c>
      <c r="BD365" t="s">
        <v>238</v>
      </c>
      <c r="BE365" t="s">
        <v>1533</v>
      </c>
      <c r="BF365" t="s">
        <v>48</v>
      </c>
      <c r="BG365" s="78" t="s">
        <v>1233</v>
      </c>
      <c r="BH365" t="s">
        <v>23</v>
      </c>
      <c r="BI365" t="s">
        <v>1545</v>
      </c>
      <c r="BJ365" s="88" t="s">
        <v>22</v>
      </c>
      <c r="BK365">
        <v>44440</v>
      </c>
      <c r="BL365" t="s">
        <v>56</v>
      </c>
      <c r="BM365" t="s">
        <v>271</v>
      </c>
      <c r="BN365" t="s">
        <v>1543</v>
      </c>
      <c r="BO365" s="88" t="s">
        <v>22</v>
      </c>
      <c r="BP365">
        <v>266660</v>
      </c>
      <c r="EH365" s="9"/>
      <c r="EI365" s="9"/>
      <c r="EJ365" s="9"/>
      <c r="EK365" s="9"/>
      <c r="EL365" s="9"/>
      <c r="EM365" s="9"/>
      <c r="EN365" s="9"/>
      <c r="EO365" s="9"/>
      <c r="EP365" s="9"/>
      <c r="EQ365" s="9"/>
      <c r="ER365" s="9"/>
      <c r="ES365" s="9"/>
      <c r="ET365" s="9"/>
      <c r="EU365" s="9"/>
      <c r="EV365" s="9"/>
      <c r="EW365" s="9"/>
      <c r="EX365" s="9"/>
      <c r="EY365" s="9"/>
      <c r="EZ365" s="9"/>
      <c r="FA365" s="9"/>
      <c r="FB365" s="9"/>
      <c r="FC365" s="9"/>
      <c r="FD365" s="9"/>
      <c r="FE365" s="9"/>
      <c r="FF365" s="9"/>
      <c r="FG365" s="9"/>
      <c r="FH365" s="9"/>
      <c r="FI365" s="9"/>
      <c r="FJ365" s="9"/>
      <c r="FK365" s="9"/>
      <c r="FL365" s="9"/>
      <c r="FM365" s="9"/>
      <c r="FN365" s="9"/>
      <c r="FO365" s="9"/>
      <c r="FP365" s="9"/>
      <c r="FQ365" s="9"/>
      <c r="FR365" s="9"/>
      <c r="FS365" s="9"/>
      <c r="FT365" s="9"/>
      <c r="FU365" s="9"/>
      <c r="FV365" s="9"/>
      <c r="FW365" s="9"/>
      <c r="FX365" s="9"/>
      <c r="FY365" s="9"/>
      <c r="FZ365" s="9"/>
      <c r="GA365" s="9"/>
      <c r="GB365" s="9"/>
      <c r="GC365" s="9"/>
      <c r="GD365" s="9"/>
      <c r="GE365" s="9"/>
      <c r="GF365" s="9"/>
      <c r="GG365" s="9"/>
      <c r="GH365" s="9"/>
      <c r="GI365" s="9"/>
      <c r="GJ365" s="9"/>
      <c r="GK365" s="9"/>
      <c r="GL365" s="9"/>
      <c r="GM365" s="9"/>
      <c r="GN365" s="9"/>
      <c r="GO365" s="9"/>
      <c r="GP365" s="9"/>
      <c r="GQ365" s="9"/>
      <c r="GR365" s="9"/>
      <c r="GS365" s="9"/>
      <c r="GT365" s="9"/>
      <c r="GU365" s="9"/>
      <c r="GV365" s="9"/>
      <c r="GW365" s="9"/>
      <c r="GX365" s="9"/>
      <c r="GY365" s="9"/>
      <c r="GZ365" s="9"/>
      <c r="HA365" s="9"/>
      <c r="HB365" s="9"/>
      <c r="HC365" s="9"/>
      <c r="HD365" s="9"/>
      <c r="HE365" s="9"/>
      <c r="HF365" s="9"/>
      <c r="HG365" s="9"/>
      <c r="HH365" s="9"/>
      <c r="HI365" s="9"/>
      <c r="HJ365" s="9"/>
      <c r="HK365" s="9"/>
      <c r="HU365" s="58">
        <v>45494</v>
      </c>
      <c r="HW365" s="58"/>
      <c r="HX365" s="58"/>
      <c r="II365" t="s">
        <v>238</v>
      </c>
      <c r="IJ365" s="88" t="s">
        <v>1190</v>
      </c>
      <c r="IK365" t="s">
        <v>660</v>
      </c>
      <c r="IL365" s="88" t="s">
        <v>661</v>
      </c>
      <c r="IO365" s="87" t="s">
        <v>29</v>
      </c>
      <c r="JK365" t="s">
        <v>1547</v>
      </c>
      <c r="JL365" s="84" t="s">
        <v>15</v>
      </c>
      <c r="JM365" s="88" t="s">
        <v>14</v>
      </c>
      <c r="JQ365" s="95" t="s">
        <v>13</v>
      </c>
      <c r="JR365">
        <v>100</v>
      </c>
      <c r="JU365">
        <v>81</v>
      </c>
      <c r="JV365">
        <v>65</v>
      </c>
      <c r="KF365" t="s">
        <v>1549</v>
      </c>
      <c r="KG365" s="12" t="s">
        <v>1548</v>
      </c>
      <c r="KJ365" t="s">
        <v>1550</v>
      </c>
      <c r="KK365" t="s">
        <v>222</v>
      </c>
      <c r="KL365" s="8" t="s">
        <v>1551</v>
      </c>
      <c r="KM365" s="95" t="s">
        <v>220</v>
      </c>
      <c r="KN365">
        <v>18</v>
      </c>
      <c r="MZ365" t="s">
        <v>1525</v>
      </c>
      <c r="NA365">
        <v>6.3</v>
      </c>
      <c r="NB365" t="s">
        <v>1531</v>
      </c>
      <c r="NC365" t="s">
        <v>23</v>
      </c>
      <c r="ND365" t="s">
        <v>271</v>
      </c>
      <c r="NK365" t="s">
        <v>1561</v>
      </c>
      <c r="NM365" s="4" t="s">
        <v>2456</v>
      </c>
      <c r="NN365" s="88"/>
      <c r="NW365" t="s">
        <v>6</v>
      </c>
      <c r="NY365" s="2" t="s">
        <v>29</v>
      </c>
      <c r="NZ365" s="88"/>
      <c r="OC365">
        <v>3</v>
      </c>
      <c r="ON365">
        <v>0.8</v>
      </c>
      <c r="OO365" s="87" t="s">
        <v>29</v>
      </c>
      <c r="OP365">
        <v>0.59</v>
      </c>
      <c r="OQ365" s="87" t="s">
        <v>29</v>
      </c>
      <c r="OR365">
        <v>1.39</v>
      </c>
      <c r="OS365" s="87" t="s">
        <v>29</v>
      </c>
      <c r="OT365" t="s">
        <v>1553</v>
      </c>
      <c r="OU365" s="88"/>
      <c r="OV365">
        <v>2004</v>
      </c>
      <c r="OY365" t="s">
        <v>1556</v>
      </c>
      <c r="PA365" s="88" t="s">
        <v>1169</v>
      </c>
      <c r="PB365" s="58">
        <v>46105</v>
      </c>
    </row>
    <row r="366" spans="1:418" ht="15.75" thickBot="1">
      <c r="A366" t="s">
        <v>248</v>
      </c>
      <c r="B366" t="s">
        <v>1523</v>
      </c>
      <c r="C366" t="s">
        <v>1173</v>
      </c>
      <c r="D366" s="4" t="s">
        <v>1936</v>
      </c>
      <c r="E366" s="94" t="s">
        <v>1540</v>
      </c>
      <c r="F366" s="94" t="s">
        <v>31</v>
      </c>
      <c r="G366" s="88" t="s">
        <v>2</v>
      </c>
      <c r="H366" s="88" t="s">
        <v>30</v>
      </c>
      <c r="I366">
        <v>7.7338301139999999</v>
      </c>
      <c r="J366">
        <v>8.5391521210000008</v>
      </c>
      <c r="K366" s="87" t="s">
        <v>29</v>
      </c>
      <c r="AV366" t="s">
        <v>1541</v>
      </c>
      <c r="AW366">
        <v>5.7000000000000002E-2</v>
      </c>
      <c r="AX366" s="88" t="s">
        <v>29</v>
      </c>
      <c r="AY366">
        <v>1</v>
      </c>
      <c r="AZ366" t="s">
        <v>1555</v>
      </c>
      <c r="BA366">
        <v>2004</v>
      </c>
      <c r="BC366">
        <v>2004.2</v>
      </c>
      <c r="BD366" t="s">
        <v>238</v>
      </c>
      <c r="BE366" t="s">
        <v>1534</v>
      </c>
      <c r="BF366" t="s">
        <v>43</v>
      </c>
      <c r="BG366" s="78" t="s">
        <v>1233</v>
      </c>
      <c r="BH366" t="s">
        <v>23</v>
      </c>
      <c r="BI366" t="s">
        <v>1545</v>
      </c>
      <c r="BJ366" s="88" t="s">
        <v>22</v>
      </c>
      <c r="BK366">
        <v>44440</v>
      </c>
      <c r="BL366" t="s">
        <v>56</v>
      </c>
      <c r="BM366" t="s">
        <v>271</v>
      </c>
      <c r="BN366" t="s">
        <v>1544</v>
      </c>
      <c r="BO366" s="88" t="s">
        <v>22</v>
      </c>
      <c r="BP366">
        <v>266660</v>
      </c>
      <c r="EH366" s="9"/>
      <c r="EI366" s="9"/>
      <c r="EJ366" s="9"/>
      <c r="EK366" s="9"/>
      <c r="EL366" s="9"/>
      <c r="EM366" s="9"/>
      <c r="EN366" s="9"/>
      <c r="EO366" s="9"/>
      <c r="EP366" s="9"/>
      <c r="EQ366" s="9"/>
      <c r="ER366" s="9"/>
      <c r="ES366" s="9"/>
      <c r="ET366" s="9"/>
      <c r="EU366" s="9"/>
      <c r="EV366" s="9"/>
      <c r="EW366" s="9"/>
      <c r="EX366" s="9"/>
      <c r="EY366" s="9"/>
      <c r="EZ366" s="9"/>
      <c r="FA366" s="9"/>
      <c r="FB366" s="9"/>
      <c r="FC366" s="9"/>
      <c r="FD366" s="9"/>
      <c r="FE366" s="9"/>
      <c r="FF366" s="9"/>
      <c r="FG366" s="9"/>
      <c r="FH366" s="9"/>
      <c r="FI366" s="9"/>
      <c r="FJ366" s="9"/>
      <c r="FK366" s="9"/>
      <c r="FL366" s="9"/>
      <c r="FM366" s="9"/>
      <c r="FN366" s="9"/>
      <c r="FO366" s="9"/>
      <c r="FP366" s="9"/>
      <c r="FQ366" s="9"/>
      <c r="FR366" s="9"/>
      <c r="FS366" s="9"/>
      <c r="FT366" s="9"/>
      <c r="FU366" s="9"/>
      <c r="FV366" s="9"/>
      <c r="FW366" s="9"/>
      <c r="FX366" s="9"/>
      <c r="FY366" s="9"/>
      <c r="FZ366" s="9"/>
      <c r="GA366" s="9"/>
      <c r="GB366" s="9"/>
      <c r="GC366" s="9"/>
      <c r="GD366" s="9"/>
      <c r="GE366" s="9"/>
      <c r="GF366" s="9"/>
      <c r="GG366" s="9"/>
      <c r="GH366" s="9"/>
      <c r="GI366" s="9"/>
      <c r="GJ366" s="9"/>
      <c r="GK366" s="9"/>
      <c r="GL366" s="9"/>
      <c r="GM366" s="9"/>
      <c r="GN366" s="9"/>
      <c r="GO366" s="9"/>
      <c r="GP366" s="9"/>
      <c r="GQ366" s="9"/>
      <c r="GR366" s="9"/>
      <c r="GS366" s="9"/>
      <c r="GT366" s="9"/>
      <c r="GU366" s="9"/>
      <c r="GV366" s="9"/>
      <c r="GW366" s="9"/>
      <c r="GX366" s="9"/>
      <c r="GY366" s="9"/>
      <c r="GZ366" s="9"/>
      <c r="HA366" s="9"/>
      <c r="HB366" s="9"/>
      <c r="HC366" s="9"/>
      <c r="HD366" s="9"/>
      <c r="HE366" s="9"/>
      <c r="HF366" s="9"/>
      <c r="HG366" s="9"/>
      <c r="HH366" s="9"/>
      <c r="HI366" s="9"/>
      <c r="HJ366" s="9"/>
      <c r="HK366" s="9"/>
      <c r="HU366" s="58">
        <v>45494</v>
      </c>
      <c r="HW366" s="58"/>
      <c r="HX366" s="58"/>
      <c r="II366" t="s">
        <v>238</v>
      </c>
      <c r="IJ366" s="88" t="s">
        <v>1190</v>
      </c>
      <c r="IK366" t="s">
        <v>660</v>
      </c>
      <c r="IL366" s="88" t="s">
        <v>661</v>
      </c>
      <c r="IO366" s="87" t="s">
        <v>29</v>
      </c>
      <c r="JK366" t="s">
        <v>1547</v>
      </c>
      <c r="JL366" s="84" t="s">
        <v>15</v>
      </c>
      <c r="JM366" s="88" t="s">
        <v>14</v>
      </c>
      <c r="JQ366" s="95" t="s">
        <v>13</v>
      </c>
      <c r="JR366">
        <v>100</v>
      </c>
      <c r="JU366">
        <v>81</v>
      </c>
      <c r="JV366">
        <v>65</v>
      </c>
      <c r="KF366" t="s">
        <v>1549</v>
      </c>
      <c r="KG366" s="12" t="s">
        <v>1548</v>
      </c>
      <c r="KJ366" t="s">
        <v>1550</v>
      </c>
      <c r="KK366" t="s">
        <v>222</v>
      </c>
      <c r="KL366" s="8" t="s">
        <v>1551</v>
      </c>
      <c r="KM366" s="95" t="s">
        <v>220</v>
      </c>
      <c r="KN366">
        <v>18</v>
      </c>
      <c r="MZ366" t="s">
        <v>1525</v>
      </c>
      <c r="NA366">
        <v>6.3</v>
      </c>
      <c r="NB366" t="s">
        <v>1531</v>
      </c>
      <c r="NC366" t="s">
        <v>23</v>
      </c>
      <c r="ND366" t="s">
        <v>271</v>
      </c>
      <c r="NK366" t="s">
        <v>1561</v>
      </c>
      <c r="NM366" s="4" t="s">
        <v>2456</v>
      </c>
      <c r="NN366" s="88"/>
      <c r="NW366" t="s">
        <v>6</v>
      </c>
      <c r="NY366" s="2" t="s">
        <v>29</v>
      </c>
      <c r="NZ366" s="88"/>
      <c r="OC366">
        <v>3</v>
      </c>
      <c r="ON366">
        <v>0.66</v>
      </c>
      <c r="OO366" s="87" t="s">
        <v>29</v>
      </c>
      <c r="OP366">
        <v>0.57999999999999996</v>
      </c>
      <c r="OQ366" s="87" t="s">
        <v>29</v>
      </c>
      <c r="OR366">
        <v>1.24</v>
      </c>
      <c r="OS366" s="87" t="s">
        <v>29</v>
      </c>
      <c r="OT366" t="s">
        <v>1553</v>
      </c>
      <c r="OU366" s="88"/>
      <c r="OV366">
        <v>2004</v>
      </c>
      <c r="OY366" t="s">
        <v>1556</v>
      </c>
      <c r="PA366" s="88" t="s">
        <v>1169</v>
      </c>
      <c r="PB366" s="58">
        <v>46105</v>
      </c>
    </row>
    <row r="367" spans="1:418" ht="15.75" thickBot="1">
      <c r="A367" t="s">
        <v>248</v>
      </c>
      <c r="B367" t="s">
        <v>1523</v>
      </c>
      <c r="C367" t="s">
        <v>1173</v>
      </c>
      <c r="D367" s="4" t="s">
        <v>1936</v>
      </c>
      <c r="E367" s="94" t="s">
        <v>1540</v>
      </c>
      <c r="F367" s="94" t="s">
        <v>31</v>
      </c>
      <c r="G367" s="88" t="s">
        <v>2</v>
      </c>
      <c r="H367" s="88" t="s">
        <v>30</v>
      </c>
      <c r="I367">
        <v>7.7338301139999999</v>
      </c>
      <c r="J367">
        <v>8.5391521210000008</v>
      </c>
      <c r="K367" s="87" t="s">
        <v>29</v>
      </c>
      <c r="AV367" t="s">
        <v>1541</v>
      </c>
      <c r="AW367">
        <v>5.7000000000000002E-2</v>
      </c>
      <c r="AX367" s="88" t="s">
        <v>29</v>
      </c>
      <c r="AY367">
        <v>1</v>
      </c>
      <c r="AZ367" t="s">
        <v>1555</v>
      </c>
      <c r="BA367">
        <v>2004</v>
      </c>
      <c r="BC367">
        <v>2004.2</v>
      </c>
      <c r="BD367" t="s">
        <v>238</v>
      </c>
      <c r="BE367" t="s">
        <v>1535</v>
      </c>
      <c r="BF367" t="s">
        <v>252</v>
      </c>
      <c r="BG367" s="78" t="s">
        <v>1233</v>
      </c>
      <c r="BH367" t="s">
        <v>23</v>
      </c>
      <c r="BI367" t="s">
        <v>1545</v>
      </c>
      <c r="BJ367" s="88" t="s">
        <v>22</v>
      </c>
      <c r="BK367">
        <v>53330</v>
      </c>
      <c r="BL367" t="s">
        <v>56</v>
      </c>
      <c r="BM367" t="s">
        <v>271</v>
      </c>
      <c r="BN367" t="s">
        <v>1543</v>
      </c>
      <c r="BO367" s="88" t="s">
        <v>22</v>
      </c>
      <c r="BP367">
        <v>266660</v>
      </c>
      <c r="EH367" s="9"/>
      <c r="EI367" s="9"/>
      <c r="EJ367" s="9"/>
      <c r="EK367" s="9"/>
      <c r="EL367" s="9"/>
      <c r="EM367" s="9"/>
      <c r="EN367" s="9"/>
      <c r="EO367" s="9"/>
      <c r="EP367" s="9"/>
      <c r="EQ367" s="9"/>
      <c r="ER367" s="9"/>
      <c r="ES367" s="9"/>
      <c r="ET367" s="9"/>
      <c r="EU367" s="9"/>
      <c r="EV367" s="9"/>
      <c r="EW367" s="9"/>
      <c r="EX367" s="9"/>
      <c r="EY367" s="9"/>
      <c r="EZ367" s="9"/>
      <c r="FA367" s="9"/>
      <c r="FB367" s="9"/>
      <c r="FC367" s="9"/>
      <c r="FD367" s="9"/>
      <c r="FE367" s="9"/>
      <c r="FF367" s="9"/>
      <c r="FG367" s="9"/>
      <c r="FH367" s="9"/>
      <c r="FI367" s="9"/>
      <c r="FJ367" s="9"/>
      <c r="FK367" s="9"/>
      <c r="FL367" s="9"/>
      <c r="FM367" s="9"/>
      <c r="FN367" s="9"/>
      <c r="FO367" s="9"/>
      <c r="FP367" s="9"/>
      <c r="FQ367" s="9"/>
      <c r="FR367" s="9"/>
      <c r="FS367" s="9"/>
      <c r="FT367" s="9"/>
      <c r="FU367" s="9"/>
      <c r="FV367" s="9"/>
      <c r="FW367" s="9"/>
      <c r="FX367" s="9"/>
      <c r="FY367" s="9"/>
      <c r="FZ367" s="9"/>
      <c r="GA367" s="9"/>
      <c r="GB367" s="9"/>
      <c r="GC367" s="9"/>
      <c r="GD367" s="9"/>
      <c r="GE367" s="9"/>
      <c r="GF367" s="9"/>
      <c r="GG367" s="9"/>
      <c r="GH367" s="9"/>
      <c r="GI367" s="9"/>
      <c r="GJ367" s="9"/>
      <c r="GK367" s="9"/>
      <c r="GL367" s="9"/>
      <c r="GM367" s="9"/>
      <c r="GN367" s="9"/>
      <c r="GO367" s="9"/>
      <c r="GP367" s="9"/>
      <c r="GQ367" s="9"/>
      <c r="GR367" s="9"/>
      <c r="GS367" s="9"/>
      <c r="GT367" s="9"/>
      <c r="GU367" s="9"/>
      <c r="GV367" s="9"/>
      <c r="GW367" s="9"/>
      <c r="GX367" s="9"/>
      <c r="GY367" s="9"/>
      <c r="GZ367" s="9"/>
      <c r="HA367" s="9"/>
      <c r="HB367" s="9"/>
      <c r="HC367" s="9"/>
      <c r="HD367" s="9"/>
      <c r="HE367" s="9"/>
      <c r="HF367" s="9"/>
      <c r="HG367" s="9"/>
      <c r="HH367" s="9"/>
      <c r="HI367" s="9"/>
      <c r="HJ367" s="9"/>
      <c r="HK367" s="9"/>
      <c r="HU367" s="58">
        <v>45494</v>
      </c>
      <c r="HW367" s="58"/>
      <c r="HX367" s="58"/>
      <c r="II367" t="s">
        <v>238</v>
      </c>
      <c r="IJ367" s="88" t="s">
        <v>1190</v>
      </c>
      <c r="IK367" t="s">
        <v>660</v>
      </c>
      <c r="IL367" s="88" t="s">
        <v>661</v>
      </c>
      <c r="IO367" s="87" t="s">
        <v>29</v>
      </c>
      <c r="JK367" t="s">
        <v>1547</v>
      </c>
      <c r="JL367" s="84" t="s">
        <v>15</v>
      </c>
      <c r="JM367" s="88" t="s">
        <v>14</v>
      </c>
      <c r="JQ367" s="95" t="s">
        <v>13</v>
      </c>
      <c r="JR367">
        <v>100</v>
      </c>
      <c r="JU367">
        <v>81</v>
      </c>
      <c r="JV367">
        <v>65</v>
      </c>
      <c r="KF367" t="s">
        <v>1549</v>
      </c>
      <c r="KG367" s="12" t="s">
        <v>1548</v>
      </c>
      <c r="KJ367" t="s">
        <v>1550</v>
      </c>
      <c r="KK367" t="s">
        <v>222</v>
      </c>
      <c r="KL367" s="8" t="s">
        <v>1551</v>
      </c>
      <c r="KM367" s="95" t="s">
        <v>220</v>
      </c>
      <c r="KN367">
        <v>18</v>
      </c>
      <c r="MZ367" t="s">
        <v>1525</v>
      </c>
      <c r="NA367">
        <v>6.3</v>
      </c>
      <c r="NB367" t="s">
        <v>1531</v>
      </c>
      <c r="NC367" t="s">
        <v>23</v>
      </c>
      <c r="ND367" t="s">
        <v>271</v>
      </c>
      <c r="NK367" t="s">
        <v>1561</v>
      </c>
      <c r="NM367" s="4" t="s">
        <v>2456</v>
      </c>
      <c r="NN367" s="88"/>
      <c r="NW367" t="s">
        <v>6</v>
      </c>
      <c r="NY367" s="2" t="s">
        <v>29</v>
      </c>
      <c r="NZ367" s="88"/>
      <c r="OC367">
        <v>3</v>
      </c>
      <c r="ON367">
        <v>1.91</v>
      </c>
      <c r="OO367" s="87" t="s">
        <v>29</v>
      </c>
      <c r="OP367">
        <v>0.64</v>
      </c>
      <c r="OQ367" s="87" t="s">
        <v>29</v>
      </c>
      <c r="OR367">
        <v>1.55</v>
      </c>
      <c r="OS367" s="87" t="s">
        <v>29</v>
      </c>
      <c r="OT367" t="s">
        <v>1553</v>
      </c>
      <c r="OU367" s="88"/>
      <c r="OV367">
        <v>2004</v>
      </c>
      <c r="OY367" t="s">
        <v>1556</v>
      </c>
      <c r="PA367" s="88" t="s">
        <v>1169</v>
      </c>
      <c r="PB367" s="58">
        <v>46105</v>
      </c>
    </row>
    <row r="368" spans="1:418" ht="15.75" thickBot="1">
      <c r="A368" t="s">
        <v>248</v>
      </c>
      <c r="B368" t="s">
        <v>1523</v>
      </c>
      <c r="C368" t="s">
        <v>1173</v>
      </c>
      <c r="D368" s="4" t="s">
        <v>1936</v>
      </c>
      <c r="E368" s="94" t="s">
        <v>1540</v>
      </c>
      <c r="F368" s="94" t="s">
        <v>31</v>
      </c>
      <c r="G368" s="88" t="s">
        <v>2</v>
      </c>
      <c r="H368" s="88" t="s">
        <v>30</v>
      </c>
      <c r="I368">
        <v>7.7338301139999999</v>
      </c>
      <c r="J368">
        <v>8.5391521210000008</v>
      </c>
      <c r="K368" s="87" t="s">
        <v>29</v>
      </c>
      <c r="AV368" t="s">
        <v>1541</v>
      </c>
      <c r="AW368">
        <v>5.7000000000000002E-2</v>
      </c>
      <c r="AX368" s="88" t="s">
        <v>29</v>
      </c>
      <c r="AY368">
        <v>1</v>
      </c>
      <c r="AZ368" t="s">
        <v>1555</v>
      </c>
      <c r="BA368">
        <v>2004</v>
      </c>
      <c r="BC368">
        <v>2004.2</v>
      </c>
      <c r="BD368" t="s">
        <v>238</v>
      </c>
      <c r="BE368" t="s">
        <v>1536</v>
      </c>
      <c r="BF368" t="s">
        <v>236</v>
      </c>
      <c r="BG368" s="78" t="s">
        <v>1233</v>
      </c>
      <c r="BH368" t="s">
        <v>23</v>
      </c>
      <c r="BI368" t="s">
        <v>1545</v>
      </c>
      <c r="BJ368" s="88" t="s">
        <v>22</v>
      </c>
      <c r="BK368">
        <v>53330</v>
      </c>
      <c r="BL368" t="s">
        <v>56</v>
      </c>
      <c r="BM368" t="s">
        <v>271</v>
      </c>
      <c r="BN368" t="s">
        <v>1544</v>
      </c>
      <c r="BO368" s="88" t="s">
        <v>22</v>
      </c>
      <c r="BP368">
        <v>266660</v>
      </c>
      <c r="EH368" s="9"/>
      <c r="EI368" s="9"/>
      <c r="EJ368" s="9"/>
      <c r="EK368" s="9"/>
      <c r="EL368" s="9"/>
      <c r="EM368" s="9"/>
      <c r="EN368" s="9"/>
      <c r="EO368" s="9"/>
      <c r="EP368" s="9"/>
      <c r="EQ368" s="9"/>
      <c r="ER368" s="9"/>
      <c r="ES368" s="9"/>
      <c r="ET368" s="9"/>
      <c r="EU368" s="9"/>
      <c r="EV368" s="9"/>
      <c r="EW368" s="9"/>
      <c r="EX368" s="9"/>
      <c r="EY368" s="9"/>
      <c r="EZ368" s="9"/>
      <c r="FA368" s="9"/>
      <c r="FB368" s="9"/>
      <c r="FC368" s="9"/>
      <c r="FD368" s="9"/>
      <c r="FE368" s="9"/>
      <c r="FF368" s="9"/>
      <c r="FG368" s="9"/>
      <c r="FH368" s="9"/>
      <c r="FI368" s="9"/>
      <c r="FJ368" s="9"/>
      <c r="FK368" s="9"/>
      <c r="FL368" s="9"/>
      <c r="FM368" s="9"/>
      <c r="FN368" s="9"/>
      <c r="FO368" s="9"/>
      <c r="FP368" s="9"/>
      <c r="FQ368" s="9"/>
      <c r="FR368" s="9"/>
      <c r="FS368" s="9"/>
      <c r="FT368" s="9"/>
      <c r="FU368" s="9"/>
      <c r="FV368" s="9"/>
      <c r="FW368" s="9"/>
      <c r="FX368" s="9"/>
      <c r="FY368" s="9"/>
      <c r="FZ368" s="9"/>
      <c r="GA368" s="9"/>
      <c r="GB368" s="9"/>
      <c r="GC368" s="9"/>
      <c r="GD368" s="9"/>
      <c r="GE368" s="9"/>
      <c r="GF368" s="9"/>
      <c r="GG368" s="9"/>
      <c r="GH368" s="9"/>
      <c r="GI368" s="9"/>
      <c r="GJ368" s="9"/>
      <c r="GK368" s="9"/>
      <c r="GL368" s="9"/>
      <c r="GM368" s="9"/>
      <c r="GN368" s="9"/>
      <c r="GO368" s="9"/>
      <c r="GP368" s="9"/>
      <c r="GQ368" s="9"/>
      <c r="GR368" s="9"/>
      <c r="GS368" s="9"/>
      <c r="GT368" s="9"/>
      <c r="GU368" s="9"/>
      <c r="GV368" s="9"/>
      <c r="GW368" s="9"/>
      <c r="GX368" s="9"/>
      <c r="GY368" s="9"/>
      <c r="GZ368" s="9"/>
      <c r="HA368" s="9"/>
      <c r="HB368" s="9"/>
      <c r="HC368" s="9"/>
      <c r="HD368" s="9"/>
      <c r="HE368" s="9"/>
      <c r="HF368" s="9"/>
      <c r="HG368" s="9"/>
      <c r="HH368" s="9"/>
      <c r="HI368" s="9"/>
      <c r="HJ368" s="9"/>
      <c r="HK368" s="9"/>
      <c r="HU368" s="58">
        <v>45494</v>
      </c>
      <c r="HW368" s="58"/>
      <c r="HX368" s="58"/>
      <c r="II368" t="s">
        <v>238</v>
      </c>
      <c r="IJ368" s="88" t="s">
        <v>1190</v>
      </c>
      <c r="IK368" t="s">
        <v>660</v>
      </c>
      <c r="IL368" s="88" t="s">
        <v>661</v>
      </c>
      <c r="IO368" s="87" t="s">
        <v>29</v>
      </c>
      <c r="JK368" t="s">
        <v>1547</v>
      </c>
      <c r="JL368" s="84" t="s">
        <v>15</v>
      </c>
      <c r="JM368" s="88" t="s">
        <v>14</v>
      </c>
      <c r="JQ368" s="95" t="s">
        <v>13</v>
      </c>
      <c r="JR368">
        <v>100</v>
      </c>
      <c r="JU368">
        <v>81</v>
      </c>
      <c r="JV368">
        <v>65</v>
      </c>
      <c r="KF368" t="s">
        <v>1549</v>
      </c>
      <c r="KG368" s="12" t="s">
        <v>1548</v>
      </c>
      <c r="KJ368" t="s">
        <v>1550</v>
      </c>
      <c r="KK368" t="s">
        <v>222</v>
      </c>
      <c r="KL368" s="8" t="s">
        <v>1551</v>
      </c>
      <c r="KM368" s="95" t="s">
        <v>220</v>
      </c>
      <c r="KN368">
        <v>18</v>
      </c>
      <c r="MZ368" t="s">
        <v>1525</v>
      </c>
      <c r="NA368">
        <v>6.3</v>
      </c>
      <c r="NB368" t="s">
        <v>1531</v>
      </c>
      <c r="NC368" t="s">
        <v>23</v>
      </c>
      <c r="ND368" t="s">
        <v>271</v>
      </c>
      <c r="NK368" t="s">
        <v>1561</v>
      </c>
      <c r="NM368" s="4" t="s">
        <v>2456</v>
      </c>
      <c r="NN368" s="88"/>
      <c r="NW368" t="s">
        <v>6</v>
      </c>
      <c r="NY368" s="2" t="s">
        <v>29</v>
      </c>
      <c r="NZ368" s="88"/>
      <c r="OC368">
        <v>3</v>
      </c>
      <c r="ON368">
        <v>0.89</v>
      </c>
      <c r="OO368" s="87" t="s">
        <v>29</v>
      </c>
      <c r="OP368">
        <v>0.51</v>
      </c>
      <c r="OQ368" s="87" t="s">
        <v>29</v>
      </c>
      <c r="OR368">
        <v>1.41</v>
      </c>
      <c r="OS368" s="87" t="s">
        <v>29</v>
      </c>
      <c r="OT368" t="s">
        <v>1553</v>
      </c>
      <c r="OU368" s="88"/>
      <c r="OV368">
        <v>2004</v>
      </c>
      <c r="OY368" t="s">
        <v>1556</v>
      </c>
      <c r="PA368" s="88" t="s">
        <v>1169</v>
      </c>
      <c r="PB368" s="58">
        <v>46105</v>
      </c>
    </row>
    <row r="369" spans="1:418" ht="15.75" thickBot="1">
      <c r="A369" t="s">
        <v>248</v>
      </c>
      <c r="B369" t="s">
        <v>1523</v>
      </c>
      <c r="C369" t="s">
        <v>1173</v>
      </c>
      <c r="D369" s="4" t="s">
        <v>1936</v>
      </c>
      <c r="E369" s="94" t="s">
        <v>1540</v>
      </c>
      <c r="F369" s="94" t="s">
        <v>31</v>
      </c>
      <c r="G369" s="88" t="s">
        <v>2</v>
      </c>
      <c r="H369" s="88" t="s">
        <v>30</v>
      </c>
      <c r="I369">
        <v>7.7338301139999999</v>
      </c>
      <c r="J369">
        <v>8.5391521210000008</v>
      </c>
      <c r="K369" s="87" t="s">
        <v>29</v>
      </c>
      <c r="AV369" t="s">
        <v>1541</v>
      </c>
      <c r="AW369">
        <v>5.7000000000000002E-2</v>
      </c>
      <c r="AX369" s="88" t="s">
        <v>29</v>
      </c>
      <c r="AY369">
        <v>1</v>
      </c>
      <c r="AZ369" t="s">
        <v>1555</v>
      </c>
      <c r="BA369">
        <v>2004</v>
      </c>
      <c r="BC369">
        <v>2004.2</v>
      </c>
      <c r="BD369" t="s">
        <v>19</v>
      </c>
      <c r="BE369" t="s">
        <v>1524</v>
      </c>
      <c r="BF369" t="s">
        <v>39</v>
      </c>
      <c r="BG369" s="78" t="s">
        <v>1233</v>
      </c>
      <c r="BH369" t="s">
        <v>271</v>
      </c>
      <c r="BI369" t="s">
        <v>1543</v>
      </c>
      <c r="BJ369" s="88" t="s">
        <v>22</v>
      </c>
      <c r="BK369">
        <v>266660</v>
      </c>
      <c r="EH369" s="9"/>
      <c r="EI369" s="9"/>
      <c r="EJ369" s="9"/>
      <c r="EK369" s="9"/>
      <c r="EL369" s="9"/>
      <c r="EM369" s="9"/>
      <c r="EN369" s="9"/>
      <c r="EO369" s="9"/>
      <c r="EP369" s="9"/>
      <c r="EQ369" s="9"/>
      <c r="ER369" s="9"/>
      <c r="ES369" s="9"/>
      <c r="ET369" s="9"/>
      <c r="EU369" s="9"/>
      <c r="EV369" s="9"/>
      <c r="EW369" s="9"/>
      <c r="EX369" s="9"/>
      <c r="EY369" s="9"/>
      <c r="EZ369" s="9"/>
      <c r="FA369" s="9"/>
      <c r="FB369" s="9"/>
      <c r="FC369" s="9"/>
      <c r="FD369" s="9"/>
      <c r="FE369" s="9"/>
      <c r="FF369" s="9"/>
      <c r="FG369" s="9"/>
      <c r="FH369" s="9"/>
      <c r="FI369" s="9"/>
      <c r="FJ369" s="9"/>
      <c r="FK369" s="9"/>
      <c r="FL369" s="9"/>
      <c r="FM369" s="9"/>
      <c r="FN369" s="9"/>
      <c r="FO369" s="9"/>
      <c r="FP369" s="9"/>
      <c r="FQ369" s="9"/>
      <c r="FR369" s="9"/>
      <c r="FS369" s="9"/>
      <c r="FT369" s="9"/>
      <c r="FU369" s="9"/>
      <c r="FV369" s="9"/>
      <c r="FW369" s="9"/>
      <c r="FX369" s="9"/>
      <c r="FY369" s="9"/>
      <c r="FZ369" s="9"/>
      <c r="GA369" s="9"/>
      <c r="GB369" s="9"/>
      <c r="GC369" s="9"/>
      <c r="GD369" s="9"/>
      <c r="GE369" s="9"/>
      <c r="GF369" s="9"/>
      <c r="GG369" s="9"/>
      <c r="GH369" s="9"/>
      <c r="GI369" s="9"/>
      <c r="GJ369" s="9"/>
      <c r="GK369" s="9"/>
      <c r="GL369" s="9"/>
      <c r="GM369" s="9"/>
      <c r="GN369" s="9"/>
      <c r="GO369" s="9"/>
      <c r="GP369" s="9"/>
      <c r="GQ369" s="9"/>
      <c r="GR369" s="9"/>
      <c r="GS369" s="9"/>
      <c r="GT369" s="9"/>
      <c r="GU369" s="9"/>
      <c r="GV369" s="9"/>
      <c r="GW369" s="9"/>
      <c r="GX369" s="9"/>
      <c r="GY369" s="9"/>
      <c r="GZ369" s="9"/>
      <c r="HA369" s="9"/>
      <c r="HB369" s="9"/>
      <c r="HC369" s="9"/>
      <c r="HD369" s="9"/>
      <c r="HE369" s="9"/>
      <c r="HF369" s="9"/>
      <c r="HG369" s="9"/>
      <c r="HH369" s="9"/>
      <c r="HI369" s="9"/>
      <c r="HJ369" s="9"/>
      <c r="HK369" s="9"/>
      <c r="HU369" s="58">
        <v>45494</v>
      </c>
      <c r="HW369" s="58"/>
      <c r="HX369" s="58"/>
      <c r="II369" t="s">
        <v>1546</v>
      </c>
      <c r="IJ369" s="88" t="s">
        <v>19</v>
      </c>
      <c r="IK369" t="s">
        <v>660</v>
      </c>
      <c r="IL369" s="88" t="s">
        <v>661</v>
      </c>
      <c r="IO369" s="87" t="s">
        <v>29</v>
      </c>
      <c r="JK369" t="s">
        <v>1547</v>
      </c>
      <c r="JL369" s="84" t="s">
        <v>15</v>
      </c>
      <c r="JM369" s="88" t="s">
        <v>14</v>
      </c>
      <c r="JQ369" s="95" t="s">
        <v>13</v>
      </c>
      <c r="JR369">
        <v>10</v>
      </c>
      <c r="JU369">
        <v>36</v>
      </c>
      <c r="JV369">
        <v>20</v>
      </c>
      <c r="KF369" t="s">
        <v>1549</v>
      </c>
      <c r="KG369" s="12" t="s">
        <v>1548</v>
      </c>
      <c r="KJ369" t="s">
        <v>1550</v>
      </c>
      <c r="KK369" t="s">
        <v>222</v>
      </c>
      <c r="KL369" s="8" t="s">
        <v>1551</v>
      </c>
      <c r="KM369" s="95" t="s">
        <v>220</v>
      </c>
      <c r="KN369">
        <v>18</v>
      </c>
      <c r="MZ369" t="s">
        <v>1525</v>
      </c>
      <c r="NA369">
        <v>6.3</v>
      </c>
      <c r="NB369" t="s">
        <v>1526</v>
      </c>
      <c r="NC369" t="s">
        <v>271</v>
      </c>
      <c r="NK369" t="s">
        <v>1526</v>
      </c>
      <c r="NM369" s="4" t="s">
        <v>2456</v>
      </c>
      <c r="NN369" s="88"/>
      <c r="NV369" t="s">
        <v>1559</v>
      </c>
      <c r="NW369" t="s">
        <v>6</v>
      </c>
      <c r="NY369" s="2" t="s">
        <v>29</v>
      </c>
      <c r="NZ369" s="88"/>
      <c r="OC369">
        <v>3</v>
      </c>
      <c r="OT369" t="s">
        <v>1553</v>
      </c>
      <c r="OU369" s="88"/>
      <c r="OV369">
        <v>2004</v>
      </c>
      <c r="OY369" t="s">
        <v>1556</v>
      </c>
      <c r="PA369" s="88" t="s">
        <v>1169</v>
      </c>
      <c r="PB369" s="58">
        <v>46105</v>
      </c>
    </row>
    <row r="370" spans="1:418" ht="15.75" thickBot="1">
      <c r="A370" t="s">
        <v>248</v>
      </c>
      <c r="B370" t="s">
        <v>1523</v>
      </c>
      <c r="C370" t="s">
        <v>1173</v>
      </c>
      <c r="D370" s="4" t="s">
        <v>1936</v>
      </c>
      <c r="E370" s="94" t="s">
        <v>1540</v>
      </c>
      <c r="F370" s="94" t="s">
        <v>31</v>
      </c>
      <c r="G370" s="88" t="s">
        <v>2</v>
      </c>
      <c r="H370" s="88" t="s">
        <v>30</v>
      </c>
      <c r="I370">
        <v>7.7338301139999999</v>
      </c>
      <c r="J370">
        <v>8.5391521210000008</v>
      </c>
      <c r="K370" s="87" t="s">
        <v>29</v>
      </c>
      <c r="AV370" t="s">
        <v>1541</v>
      </c>
      <c r="AW370">
        <v>5.7000000000000002E-2</v>
      </c>
      <c r="AX370" s="88" t="s">
        <v>29</v>
      </c>
      <c r="AY370">
        <v>1</v>
      </c>
      <c r="AZ370" t="s">
        <v>1555</v>
      </c>
      <c r="BA370">
        <v>2004</v>
      </c>
      <c r="BC370">
        <v>2004.2</v>
      </c>
      <c r="BD370" t="s">
        <v>19</v>
      </c>
      <c r="BE370" t="s">
        <v>1528</v>
      </c>
      <c r="BF370" t="s">
        <v>24</v>
      </c>
      <c r="BG370" s="78" t="s">
        <v>1233</v>
      </c>
      <c r="BH370" t="s">
        <v>271</v>
      </c>
      <c r="BI370" t="s">
        <v>1544</v>
      </c>
      <c r="BJ370" s="88" t="s">
        <v>22</v>
      </c>
      <c r="BK370">
        <v>266660</v>
      </c>
      <c r="EH370" s="9"/>
      <c r="EI370" s="9"/>
      <c r="EJ370" s="9"/>
      <c r="EK370" s="9"/>
      <c r="EL370" s="9"/>
      <c r="EM370" s="9"/>
      <c r="EN370" s="9"/>
      <c r="EO370" s="9"/>
      <c r="EP370" s="9"/>
      <c r="EQ370" s="9"/>
      <c r="ER370" s="9"/>
      <c r="ES370" s="9"/>
      <c r="ET370" s="9"/>
      <c r="EU370" s="9"/>
      <c r="EV370" s="9"/>
      <c r="EW370" s="9"/>
      <c r="EX370" s="9"/>
      <c r="EY370" s="9"/>
      <c r="EZ370" s="9"/>
      <c r="FA370" s="9"/>
      <c r="FB370" s="9"/>
      <c r="FC370" s="9"/>
      <c r="FD370" s="9"/>
      <c r="FE370" s="9"/>
      <c r="FF370" s="9"/>
      <c r="FG370" s="9"/>
      <c r="FH370" s="9"/>
      <c r="FI370" s="9"/>
      <c r="FJ370" s="9"/>
      <c r="FK370" s="9"/>
      <c r="FL370" s="9"/>
      <c r="FM370" s="9"/>
      <c r="FN370" s="9"/>
      <c r="FO370" s="9"/>
      <c r="FP370" s="9"/>
      <c r="FQ370" s="9"/>
      <c r="FR370" s="9"/>
      <c r="FS370" s="9"/>
      <c r="FT370" s="9"/>
      <c r="FU370" s="9"/>
      <c r="FV370" s="9"/>
      <c r="FW370" s="9"/>
      <c r="FX370" s="9"/>
      <c r="FY370" s="9"/>
      <c r="FZ370" s="9"/>
      <c r="GA370" s="9"/>
      <c r="GB370" s="9"/>
      <c r="GC370" s="9"/>
      <c r="GD370" s="9"/>
      <c r="GE370" s="9"/>
      <c r="GF370" s="9"/>
      <c r="GG370" s="9"/>
      <c r="GH370" s="9"/>
      <c r="GI370" s="9"/>
      <c r="GJ370" s="9"/>
      <c r="GK370" s="9"/>
      <c r="GL370" s="9"/>
      <c r="GM370" s="9"/>
      <c r="GN370" s="9"/>
      <c r="GO370" s="9"/>
      <c r="GP370" s="9"/>
      <c r="GQ370" s="9"/>
      <c r="GR370" s="9"/>
      <c r="GS370" s="9"/>
      <c r="GT370" s="9"/>
      <c r="GU370" s="9"/>
      <c r="GV370" s="9"/>
      <c r="GW370" s="9"/>
      <c r="GX370" s="9"/>
      <c r="GY370" s="9"/>
      <c r="GZ370" s="9"/>
      <c r="HA370" s="9"/>
      <c r="HB370" s="9"/>
      <c r="HC370" s="9"/>
      <c r="HD370" s="9"/>
      <c r="HE370" s="9"/>
      <c r="HF370" s="9"/>
      <c r="HG370" s="9"/>
      <c r="HH370" s="9"/>
      <c r="HI370" s="9"/>
      <c r="HJ370" s="9"/>
      <c r="HK370" s="9"/>
      <c r="HU370" s="58">
        <v>45494</v>
      </c>
      <c r="HW370" s="58"/>
      <c r="HX370" s="58"/>
      <c r="II370" t="s">
        <v>1546</v>
      </c>
      <c r="IJ370" s="88" t="s">
        <v>19</v>
      </c>
      <c r="IK370" t="s">
        <v>660</v>
      </c>
      <c r="IL370" s="88" t="s">
        <v>661</v>
      </c>
      <c r="IO370" s="87" t="s">
        <v>29</v>
      </c>
      <c r="JK370" t="s">
        <v>1547</v>
      </c>
      <c r="JL370" s="84" t="s">
        <v>15</v>
      </c>
      <c r="JM370" s="88" t="s">
        <v>14</v>
      </c>
      <c r="JQ370" s="95" t="s">
        <v>13</v>
      </c>
      <c r="JR370">
        <v>10</v>
      </c>
      <c r="JU370">
        <v>36</v>
      </c>
      <c r="JV370">
        <v>20</v>
      </c>
      <c r="KF370" t="s">
        <v>1549</v>
      </c>
      <c r="KG370" s="12" t="s">
        <v>1548</v>
      </c>
      <c r="KJ370" t="s">
        <v>1550</v>
      </c>
      <c r="KK370" t="s">
        <v>222</v>
      </c>
      <c r="KL370" s="8" t="s">
        <v>1551</v>
      </c>
      <c r="KM370" s="95" t="s">
        <v>220</v>
      </c>
      <c r="KN370">
        <v>18</v>
      </c>
      <c r="MZ370" t="s">
        <v>1525</v>
      </c>
      <c r="NA370">
        <v>6.3</v>
      </c>
      <c r="NB370" t="s">
        <v>1526</v>
      </c>
      <c r="NC370" t="s">
        <v>271</v>
      </c>
      <c r="NK370" t="s">
        <v>1526</v>
      </c>
      <c r="NM370" s="4" t="s">
        <v>2456</v>
      </c>
      <c r="NN370" s="88"/>
      <c r="NV370" t="s">
        <v>1557</v>
      </c>
      <c r="NW370" t="s">
        <v>6</v>
      </c>
      <c r="NY370" s="2" t="s">
        <v>29</v>
      </c>
      <c r="NZ370" s="88"/>
      <c r="OC370">
        <v>3</v>
      </c>
      <c r="OT370" t="s">
        <v>1553</v>
      </c>
      <c r="OU370" s="88"/>
      <c r="OV370">
        <v>2004</v>
      </c>
      <c r="OY370" t="s">
        <v>1556</v>
      </c>
      <c r="PA370" s="88" t="s">
        <v>1169</v>
      </c>
      <c r="PB370" s="58">
        <v>46105</v>
      </c>
    </row>
    <row r="371" spans="1:418" ht="15.75" thickBot="1">
      <c r="A371" t="s">
        <v>248</v>
      </c>
      <c r="B371" t="s">
        <v>1523</v>
      </c>
      <c r="C371" t="s">
        <v>1173</v>
      </c>
      <c r="D371" s="4" t="s">
        <v>1936</v>
      </c>
      <c r="E371" s="96" t="s">
        <v>1540</v>
      </c>
      <c r="F371" s="96" t="s">
        <v>31</v>
      </c>
      <c r="G371" s="2" t="s">
        <v>2</v>
      </c>
      <c r="H371" s="2" t="s">
        <v>30</v>
      </c>
      <c r="I371">
        <v>7.7338301139999999</v>
      </c>
      <c r="J371">
        <v>8.5391521210000008</v>
      </c>
      <c r="K371" s="89" t="s">
        <v>29</v>
      </c>
      <c r="AV371" t="s">
        <v>1541</v>
      </c>
      <c r="AW371">
        <v>5.7000000000000002E-2</v>
      </c>
      <c r="AX371" s="2" t="s">
        <v>29</v>
      </c>
      <c r="AY371">
        <v>1</v>
      </c>
      <c r="AZ371" t="s">
        <v>1555</v>
      </c>
      <c r="BA371">
        <v>2004</v>
      </c>
      <c r="BC371">
        <v>2004.2</v>
      </c>
      <c r="BD371" t="s">
        <v>19</v>
      </c>
      <c r="BE371" t="s">
        <v>1529</v>
      </c>
      <c r="BF371" t="s">
        <v>299</v>
      </c>
      <c r="BG371" s="97" t="s">
        <v>1233</v>
      </c>
      <c r="BH371" t="s">
        <v>23</v>
      </c>
      <c r="BI371" t="s">
        <v>1545</v>
      </c>
      <c r="BJ371" s="2" t="s">
        <v>22</v>
      </c>
      <c r="BK371">
        <v>53330</v>
      </c>
      <c r="EH371" s="9"/>
      <c r="EI371" s="9"/>
      <c r="EJ371" s="9"/>
      <c r="EK371" s="9"/>
      <c r="EL371" s="9"/>
      <c r="EM371" s="9"/>
      <c r="EN371" s="9"/>
      <c r="EO371" s="9"/>
      <c r="EP371" s="9"/>
      <c r="EQ371" s="9"/>
      <c r="ER371" s="9"/>
      <c r="ES371" s="9"/>
      <c r="ET371" s="9"/>
      <c r="EU371" s="9"/>
      <c r="EV371" s="9"/>
      <c r="EW371" s="9"/>
      <c r="EX371" s="9"/>
      <c r="EY371" s="9"/>
      <c r="EZ371" s="9"/>
      <c r="FA371" s="9"/>
      <c r="FB371" s="9"/>
      <c r="FC371" s="9"/>
      <c r="FD371" s="9"/>
      <c r="FE371" s="9"/>
      <c r="FF371" s="9"/>
      <c r="FG371" s="9"/>
      <c r="FH371" s="9"/>
      <c r="FI371" s="9"/>
      <c r="FJ371" s="9"/>
      <c r="FK371" s="9"/>
      <c r="FL371" s="9"/>
      <c r="FM371" s="9"/>
      <c r="FN371" s="9"/>
      <c r="FO371" s="9"/>
      <c r="FP371" s="9"/>
      <c r="FQ371" s="9"/>
      <c r="FR371" s="9"/>
      <c r="FS371" s="9"/>
      <c r="FT371" s="9"/>
      <c r="FU371" s="9"/>
      <c r="FV371" s="9"/>
      <c r="FW371" s="9"/>
      <c r="FX371" s="9"/>
      <c r="FY371" s="9"/>
      <c r="FZ371" s="9"/>
      <c r="GA371" s="9"/>
      <c r="GB371" s="9"/>
      <c r="GC371" s="9"/>
      <c r="GD371" s="9"/>
      <c r="GE371" s="9"/>
      <c r="GF371" s="9"/>
      <c r="GG371" s="9"/>
      <c r="GH371" s="9"/>
      <c r="GI371" s="9"/>
      <c r="GJ371" s="9"/>
      <c r="GK371" s="9"/>
      <c r="GL371" s="9"/>
      <c r="GM371" s="9"/>
      <c r="GN371" s="9"/>
      <c r="GO371" s="9"/>
      <c r="GP371" s="9"/>
      <c r="GQ371" s="9"/>
      <c r="GR371" s="9"/>
      <c r="GS371" s="9"/>
      <c r="GT371" s="9"/>
      <c r="GU371" s="9"/>
      <c r="GV371" s="9"/>
      <c r="GW371" s="9"/>
      <c r="GX371" s="9"/>
      <c r="GY371" s="9"/>
      <c r="GZ371" s="9"/>
      <c r="HA371" s="9"/>
      <c r="HB371" s="9"/>
      <c r="HC371" s="9"/>
      <c r="HD371" s="9"/>
      <c r="HE371" s="9"/>
      <c r="HF371" s="9"/>
      <c r="HG371" s="9"/>
      <c r="HH371" s="9"/>
      <c r="HI371" s="9"/>
      <c r="HJ371" s="9"/>
      <c r="HK371" s="9"/>
      <c r="HU371" s="58">
        <v>45494</v>
      </c>
      <c r="HW371" s="58"/>
      <c r="HX371" s="58"/>
      <c r="II371" t="s">
        <v>1546</v>
      </c>
      <c r="IJ371" s="2" t="s">
        <v>19</v>
      </c>
      <c r="IK371" t="s">
        <v>660</v>
      </c>
      <c r="IL371" s="2" t="s">
        <v>661</v>
      </c>
      <c r="IO371" s="89" t="s">
        <v>29</v>
      </c>
      <c r="JK371" t="s">
        <v>1547</v>
      </c>
      <c r="JL371" s="98" t="s">
        <v>15</v>
      </c>
      <c r="JM371" s="2" t="s">
        <v>14</v>
      </c>
      <c r="JQ371" s="99" t="s">
        <v>13</v>
      </c>
      <c r="JR371">
        <v>90</v>
      </c>
      <c r="JU371">
        <v>45</v>
      </c>
      <c r="JV371">
        <v>45</v>
      </c>
      <c r="KF371" t="s">
        <v>1549</v>
      </c>
      <c r="KG371" s="14" t="s">
        <v>1548</v>
      </c>
      <c r="KJ371" t="s">
        <v>1550</v>
      </c>
      <c r="KK371" t="s">
        <v>222</v>
      </c>
      <c r="KL371" s="8" t="s">
        <v>1551</v>
      </c>
      <c r="KM371" s="99" t="s">
        <v>220</v>
      </c>
      <c r="KN371">
        <v>18</v>
      </c>
      <c r="MZ371" t="s">
        <v>1525</v>
      </c>
      <c r="NA371">
        <v>6.3</v>
      </c>
      <c r="NB371" t="s">
        <v>1530</v>
      </c>
      <c r="NC371" t="s">
        <v>23</v>
      </c>
      <c r="NK371" t="s">
        <v>1530</v>
      </c>
      <c r="NM371" s="4" t="s">
        <v>2456</v>
      </c>
      <c r="NN371" s="2"/>
      <c r="NV371" t="s">
        <v>1558</v>
      </c>
      <c r="NW371" t="s">
        <v>6</v>
      </c>
      <c r="NY371" s="2" t="s">
        <v>29</v>
      </c>
      <c r="NZ371" s="2"/>
      <c r="OC371">
        <v>3</v>
      </c>
      <c r="OT371" t="s">
        <v>1553</v>
      </c>
      <c r="OU371" s="2"/>
      <c r="OV371">
        <v>2004</v>
      </c>
      <c r="OY371" t="s">
        <v>1556</v>
      </c>
      <c r="PA371" s="2" t="s">
        <v>1169</v>
      </c>
      <c r="PB371" s="58">
        <v>46105</v>
      </c>
    </row>
    <row r="372" spans="1:418" ht="15.75" thickBot="1">
      <c r="A372" t="s">
        <v>248</v>
      </c>
      <c r="B372" t="s">
        <v>1562</v>
      </c>
      <c r="C372" t="s">
        <v>1173</v>
      </c>
      <c r="D372" s="4" t="s">
        <v>1936</v>
      </c>
      <c r="E372" t="s">
        <v>1578</v>
      </c>
      <c r="F372" s="100" t="s">
        <v>31</v>
      </c>
      <c r="G372" s="87" t="s">
        <v>2</v>
      </c>
      <c r="H372" s="87" t="s">
        <v>30</v>
      </c>
      <c r="I372">
        <v>7.25</v>
      </c>
      <c r="J372">
        <v>3.4166666669999999</v>
      </c>
      <c r="K372" s="87" t="s">
        <v>29</v>
      </c>
      <c r="AV372" t="s">
        <v>1697</v>
      </c>
      <c r="AW372">
        <v>3240</v>
      </c>
      <c r="AX372">
        <v>1.2E-2</v>
      </c>
      <c r="AY372">
        <v>1</v>
      </c>
      <c r="BA372">
        <v>2006</v>
      </c>
      <c r="BB372">
        <v>2007</v>
      </c>
      <c r="BD372" t="s">
        <v>238</v>
      </c>
      <c r="BE372" t="s">
        <v>1572</v>
      </c>
      <c r="BF372" t="s">
        <v>64</v>
      </c>
      <c r="BG372" s="78" t="s">
        <v>1233</v>
      </c>
      <c r="BH372" t="s">
        <v>1569</v>
      </c>
      <c r="BI372" t="s">
        <v>1581</v>
      </c>
      <c r="BJ372" s="87" t="s">
        <v>22</v>
      </c>
      <c r="BK372">
        <v>1330</v>
      </c>
      <c r="BL372" t="s">
        <v>56</v>
      </c>
      <c r="BM372" t="s">
        <v>1580</v>
      </c>
      <c r="BN372" t="s">
        <v>234</v>
      </c>
      <c r="BO372" s="87" t="s">
        <v>22</v>
      </c>
      <c r="BP372">
        <v>20000</v>
      </c>
      <c r="EH372" s="9"/>
      <c r="EI372" s="9"/>
      <c r="EJ372" s="9"/>
      <c r="EK372" s="9"/>
      <c r="EL372" s="9"/>
      <c r="EM372" s="9"/>
      <c r="EN372" s="9"/>
      <c r="EO372" s="9"/>
      <c r="EP372" s="9"/>
      <c r="EQ372" s="9"/>
      <c r="ER372" s="9"/>
      <c r="ES372" s="9"/>
      <c r="ET372" s="9"/>
      <c r="EU372" s="9"/>
      <c r="EV372" s="9"/>
      <c r="EW372" s="9"/>
      <c r="EX372" s="9"/>
      <c r="EY372" s="9"/>
      <c r="EZ372" s="9"/>
      <c r="FA372" s="9"/>
      <c r="FB372" s="9"/>
      <c r="FC372" s="9"/>
      <c r="FD372" s="9"/>
      <c r="FE372" s="9"/>
      <c r="FF372" s="9"/>
      <c r="FG372" s="9"/>
      <c r="FH372" s="9"/>
      <c r="FI372" s="9"/>
      <c r="FJ372" s="9"/>
      <c r="FK372" s="9"/>
      <c r="FL372" s="9"/>
      <c r="FM372" s="9"/>
      <c r="FN372" s="9"/>
      <c r="FO372" s="9"/>
      <c r="FP372" s="9"/>
      <c r="FQ372" s="9"/>
      <c r="FR372" s="9"/>
      <c r="FS372" s="9"/>
      <c r="FT372" s="9"/>
      <c r="FU372" s="9"/>
      <c r="FV372" s="9"/>
      <c r="FW372" s="9"/>
      <c r="FX372" s="9"/>
      <c r="FY372" s="9"/>
      <c r="FZ372" s="9"/>
      <c r="GA372" s="9"/>
      <c r="GB372" s="9"/>
      <c r="GC372" s="9"/>
      <c r="GD372" s="9"/>
      <c r="GE372" s="9"/>
      <c r="GF372" s="9"/>
      <c r="GG372" s="9"/>
      <c r="GH372" s="9"/>
      <c r="GI372" s="9"/>
      <c r="GJ372" s="9"/>
      <c r="GK372" s="9"/>
      <c r="GL372" s="9"/>
      <c r="GM372" s="9"/>
      <c r="GN372" s="9"/>
      <c r="GO372" s="9"/>
      <c r="GP372" s="9"/>
      <c r="GQ372" s="9"/>
      <c r="GR372" s="9"/>
      <c r="GS372" s="9"/>
      <c r="GT372" s="9"/>
      <c r="GU372" s="9"/>
      <c r="GV372" s="9"/>
      <c r="GW372" s="9"/>
      <c r="GX372" s="9"/>
      <c r="GY372" s="9"/>
      <c r="GZ372" s="9"/>
      <c r="HA372" s="9"/>
      <c r="HB372" s="9"/>
      <c r="HC372" s="9"/>
      <c r="HD372" s="9"/>
      <c r="HE372" s="9"/>
      <c r="HF372" s="9"/>
      <c r="HG372" s="9"/>
      <c r="HH372" s="9"/>
      <c r="HI372" s="9"/>
      <c r="HJ372" s="9"/>
      <c r="HK372" s="9"/>
      <c r="HU372" s="101">
        <v>38838</v>
      </c>
      <c r="HW372" s="58"/>
      <c r="HX372" s="58"/>
      <c r="II372" t="s">
        <v>1572</v>
      </c>
      <c r="IJ372" s="87" t="s">
        <v>1190</v>
      </c>
      <c r="IK372" s="19" t="s">
        <v>660</v>
      </c>
      <c r="IL372" t="s">
        <v>661</v>
      </c>
      <c r="IM372">
        <v>2006</v>
      </c>
      <c r="IO372" s="87" t="s">
        <v>29</v>
      </c>
      <c r="JK372" t="s">
        <v>1572</v>
      </c>
      <c r="JL372" s="84" t="s">
        <v>721</v>
      </c>
      <c r="MZ372" t="s">
        <v>1564</v>
      </c>
      <c r="NA372">
        <v>120</v>
      </c>
      <c r="NB372" t="s">
        <v>1586</v>
      </c>
      <c r="NC372" t="s">
        <v>1580</v>
      </c>
      <c r="ND372" t="s">
        <v>1584</v>
      </c>
      <c r="NK372" t="s">
        <v>1583</v>
      </c>
      <c r="NM372" s="103" t="s">
        <v>1518</v>
      </c>
      <c r="NN372" s="102" t="s">
        <v>1537</v>
      </c>
      <c r="NW372" t="s">
        <v>6</v>
      </c>
      <c r="NX372">
        <v>721899.99</v>
      </c>
      <c r="NY372" s="88" t="s">
        <v>29</v>
      </c>
      <c r="NZ372" s="88" t="s">
        <v>29</v>
      </c>
      <c r="OA372" s="104"/>
      <c r="OC372">
        <v>3</v>
      </c>
      <c r="OT372" t="s">
        <v>1575</v>
      </c>
      <c r="OU372" s="3" t="s">
        <v>2188</v>
      </c>
      <c r="OW372">
        <v>2006</v>
      </c>
      <c r="OX372">
        <v>2007</v>
      </c>
      <c r="PA372" t="s">
        <v>1169</v>
      </c>
      <c r="PB372" s="58">
        <v>46105</v>
      </c>
    </row>
    <row r="373" spans="1:418" ht="15.75" thickBot="1">
      <c r="A373" t="s">
        <v>248</v>
      </c>
      <c r="B373" t="s">
        <v>1562</v>
      </c>
      <c r="C373" t="s">
        <v>1173</v>
      </c>
      <c r="D373" s="4" t="s">
        <v>1936</v>
      </c>
      <c r="E373" t="s">
        <v>1578</v>
      </c>
      <c r="F373" s="100" t="s">
        <v>31</v>
      </c>
      <c r="G373" s="87" t="s">
        <v>2</v>
      </c>
      <c r="H373" s="87" t="s">
        <v>30</v>
      </c>
      <c r="I373">
        <v>7.25</v>
      </c>
      <c r="J373">
        <v>3.4166666669999999</v>
      </c>
      <c r="K373" s="87" t="s">
        <v>29</v>
      </c>
      <c r="AV373" t="s">
        <v>1697</v>
      </c>
      <c r="AW373">
        <v>3240</v>
      </c>
      <c r="AX373">
        <v>1.2E-2</v>
      </c>
      <c r="AY373">
        <v>1</v>
      </c>
      <c r="BA373">
        <v>2006</v>
      </c>
      <c r="BB373">
        <v>2007</v>
      </c>
      <c r="BD373" t="s">
        <v>19</v>
      </c>
      <c r="BE373" t="s">
        <v>1568</v>
      </c>
      <c r="BF373" t="s">
        <v>39</v>
      </c>
      <c r="BG373" s="78" t="s">
        <v>1233</v>
      </c>
      <c r="BH373" t="s">
        <v>1569</v>
      </c>
      <c r="BI373" t="s">
        <v>1581</v>
      </c>
      <c r="BJ373" s="87" t="s">
        <v>22</v>
      </c>
      <c r="BK373">
        <v>1330</v>
      </c>
      <c r="EH373" s="9"/>
      <c r="EI373" s="9"/>
      <c r="EJ373" s="9"/>
      <c r="EK373" s="9"/>
      <c r="EL373" s="9"/>
      <c r="EM373" s="9"/>
      <c r="EN373" s="9"/>
      <c r="EO373" s="9"/>
      <c r="EP373" s="9"/>
      <c r="EQ373" s="9"/>
      <c r="ER373" s="9"/>
      <c r="ES373" s="9"/>
      <c r="ET373" s="9"/>
      <c r="EU373" s="9"/>
      <c r="EV373" s="9"/>
      <c r="EW373" s="9"/>
      <c r="EX373" s="9"/>
      <c r="EY373" s="9"/>
      <c r="EZ373" s="9"/>
      <c r="FA373" s="9"/>
      <c r="FB373" s="9"/>
      <c r="FC373" s="9"/>
      <c r="FD373" s="9"/>
      <c r="FE373" s="9"/>
      <c r="FF373" s="9"/>
      <c r="FG373" s="9"/>
      <c r="FH373" s="9"/>
      <c r="FI373" s="9"/>
      <c r="FJ373" s="9"/>
      <c r="FK373" s="9"/>
      <c r="FL373" s="9"/>
      <c r="FM373" s="9"/>
      <c r="FN373" s="9"/>
      <c r="FO373" s="9"/>
      <c r="FP373" s="9"/>
      <c r="FQ373" s="9"/>
      <c r="FR373" s="9"/>
      <c r="FS373" s="9"/>
      <c r="FT373" s="9"/>
      <c r="FU373" s="9"/>
      <c r="FV373" s="9"/>
      <c r="FW373" s="9"/>
      <c r="FX373" s="9"/>
      <c r="FY373" s="9"/>
      <c r="FZ373" s="9"/>
      <c r="GA373" s="9"/>
      <c r="GB373" s="9"/>
      <c r="GC373" s="9"/>
      <c r="GD373" s="9"/>
      <c r="GE373" s="9"/>
      <c r="GF373" s="9"/>
      <c r="GG373" s="9"/>
      <c r="GH373" s="9"/>
      <c r="GI373" s="9"/>
      <c r="GJ373" s="9"/>
      <c r="GK373" s="9"/>
      <c r="GL373" s="9"/>
      <c r="GM373" s="9"/>
      <c r="GN373" s="9"/>
      <c r="GO373" s="9"/>
      <c r="GP373" s="9"/>
      <c r="GQ373" s="9"/>
      <c r="GR373" s="9"/>
      <c r="GS373" s="9"/>
      <c r="GT373" s="9"/>
      <c r="GU373" s="9"/>
      <c r="GV373" s="9"/>
      <c r="GW373" s="9"/>
      <c r="GX373" s="9"/>
      <c r="GY373" s="9"/>
      <c r="GZ373" s="9"/>
      <c r="HA373" s="9"/>
      <c r="HB373" s="9"/>
      <c r="HC373" s="9"/>
      <c r="HD373" s="9"/>
      <c r="HE373" s="9"/>
      <c r="HF373" s="9"/>
      <c r="HG373" s="9"/>
      <c r="HH373" s="9"/>
      <c r="HI373" s="9"/>
      <c r="HJ373" s="9"/>
      <c r="HK373" s="9"/>
      <c r="HU373" s="101">
        <v>38838</v>
      </c>
      <c r="HW373" s="58"/>
      <c r="HX373" s="58"/>
      <c r="II373" t="s">
        <v>1568</v>
      </c>
      <c r="IJ373" t="s">
        <v>19</v>
      </c>
      <c r="IK373" s="19"/>
      <c r="IO373" s="87"/>
      <c r="JK373" t="s">
        <v>1568</v>
      </c>
      <c r="JL373" s="84" t="s">
        <v>721</v>
      </c>
      <c r="MZ373" t="s">
        <v>1564</v>
      </c>
      <c r="NA373">
        <v>120</v>
      </c>
      <c r="NB373" t="s">
        <v>1585</v>
      </c>
      <c r="NC373" t="s">
        <v>1584</v>
      </c>
      <c r="ND373" t="s">
        <v>1588</v>
      </c>
      <c r="NK373" t="s">
        <v>1583</v>
      </c>
      <c r="NM373" s="103" t="s">
        <v>1518</v>
      </c>
      <c r="NN373" s="102" t="s">
        <v>1537</v>
      </c>
      <c r="NV373" t="s">
        <v>64</v>
      </c>
      <c r="NW373" t="s">
        <v>6</v>
      </c>
      <c r="NX373">
        <v>469786.76</v>
      </c>
      <c r="NY373" s="88" t="s">
        <v>29</v>
      </c>
      <c r="NZ373" s="88" t="s">
        <v>29</v>
      </c>
      <c r="OA373" s="104"/>
      <c r="OC373">
        <v>3</v>
      </c>
      <c r="OT373" t="s">
        <v>1575</v>
      </c>
      <c r="OU373" s="3" t="s">
        <v>2188</v>
      </c>
      <c r="OW373">
        <v>2006</v>
      </c>
      <c r="OX373">
        <v>2007</v>
      </c>
      <c r="PA373" t="s">
        <v>1169</v>
      </c>
      <c r="PB373" s="58">
        <v>46105</v>
      </c>
    </row>
    <row r="374" spans="1:418" ht="15.75" thickBot="1">
      <c r="A374" t="s">
        <v>248</v>
      </c>
      <c r="B374" t="s">
        <v>1562</v>
      </c>
      <c r="C374" t="s">
        <v>1173</v>
      </c>
      <c r="D374" s="4" t="s">
        <v>1936</v>
      </c>
      <c r="E374" t="s">
        <v>1578</v>
      </c>
      <c r="F374" s="100" t="s">
        <v>31</v>
      </c>
      <c r="G374" s="87" t="s">
        <v>2</v>
      </c>
      <c r="H374" s="87" t="s">
        <v>30</v>
      </c>
      <c r="I374">
        <v>7.25</v>
      </c>
      <c r="J374">
        <v>3.4166666669999999</v>
      </c>
      <c r="K374" s="87" t="s">
        <v>29</v>
      </c>
      <c r="AV374" t="s">
        <v>1697</v>
      </c>
      <c r="AW374">
        <v>3240</v>
      </c>
      <c r="AX374">
        <v>1.2E-2</v>
      </c>
      <c r="AY374">
        <v>1</v>
      </c>
      <c r="BA374">
        <v>2006</v>
      </c>
      <c r="BB374">
        <v>2007</v>
      </c>
      <c r="BD374" t="s">
        <v>19</v>
      </c>
      <c r="BE374" t="s">
        <v>1567</v>
      </c>
      <c r="BF374" t="s">
        <v>24</v>
      </c>
      <c r="BG374" s="78" t="s">
        <v>1233</v>
      </c>
      <c r="BH374" t="s">
        <v>1580</v>
      </c>
      <c r="BI374" t="s">
        <v>836</v>
      </c>
      <c r="BJ374" s="87" t="s">
        <v>22</v>
      </c>
      <c r="BK374">
        <v>20000</v>
      </c>
      <c r="EH374" s="9"/>
      <c r="EI374" s="9"/>
      <c r="EJ374" s="9"/>
      <c r="EK374" s="9"/>
      <c r="EL374" s="9"/>
      <c r="EM374" s="9"/>
      <c r="EN374" s="9"/>
      <c r="EO374" s="9"/>
      <c r="EP374" s="9"/>
      <c r="EQ374" s="9"/>
      <c r="ER374" s="9"/>
      <c r="ES374" s="9"/>
      <c r="ET374" s="9"/>
      <c r="EU374" s="9"/>
      <c r="EV374" s="9"/>
      <c r="EW374" s="9"/>
      <c r="EX374" s="9"/>
      <c r="EY374" s="9"/>
      <c r="EZ374" s="9"/>
      <c r="FA374" s="9"/>
      <c r="FB374" s="9"/>
      <c r="FC374" s="9"/>
      <c r="FD374" s="9"/>
      <c r="FE374" s="9"/>
      <c r="FF374" s="9"/>
      <c r="FG374" s="9"/>
      <c r="FH374" s="9"/>
      <c r="FI374" s="9"/>
      <c r="FJ374" s="9"/>
      <c r="FK374" s="9"/>
      <c r="FL374" s="9"/>
      <c r="FM374" s="9"/>
      <c r="FN374" s="9"/>
      <c r="FO374" s="9"/>
      <c r="FP374" s="9"/>
      <c r="FQ374" s="9"/>
      <c r="FR374" s="9"/>
      <c r="FS374" s="9"/>
      <c r="FT374" s="9"/>
      <c r="FU374" s="9"/>
      <c r="FV374" s="9"/>
      <c r="FW374" s="9"/>
      <c r="FX374" s="9"/>
      <c r="FY374" s="9"/>
      <c r="FZ374" s="9"/>
      <c r="GA374" s="9"/>
      <c r="GB374" s="9"/>
      <c r="GC374" s="9"/>
      <c r="GD374" s="9"/>
      <c r="GE374" s="9"/>
      <c r="GF374" s="9"/>
      <c r="GG374" s="9"/>
      <c r="GH374" s="9"/>
      <c r="GI374" s="9"/>
      <c r="GJ374" s="9"/>
      <c r="GK374" s="9"/>
      <c r="GL374" s="9"/>
      <c r="GM374" s="9"/>
      <c r="GN374" s="9"/>
      <c r="GO374" s="9"/>
      <c r="GP374" s="9"/>
      <c r="GQ374" s="9"/>
      <c r="GR374" s="9"/>
      <c r="GS374" s="9"/>
      <c r="GT374" s="9"/>
      <c r="GU374" s="9"/>
      <c r="GV374" s="9"/>
      <c r="GW374" s="9"/>
      <c r="GX374" s="9"/>
      <c r="GY374" s="9"/>
      <c r="GZ374" s="9"/>
      <c r="HA374" s="9"/>
      <c r="HB374" s="9"/>
      <c r="HC374" s="9"/>
      <c r="HD374" s="9"/>
      <c r="HE374" s="9"/>
      <c r="HF374" s="9"/>
      <c r="HG374" s="9"/>
      <c r="HH374" s="9"/>
      <c r="HI374" s="9"/>
      <c r="HJ374" s="9"/>
      <c r="HK374" s="9"/>
      <c r="HU374" s="101">
        <v>38838</v>
      </c>
      <c r="HW374" s="58"/>
      <c r="HX374" s="58"/>
      <c r="II374" t="s">
        <v>1567</v>
      </c>
      <c r="IJ374" t="s">
        <v>19</v>
      </c>
      <c r="IK374" s="19"/>
      <c r="IO374" s="87"/>
      <c r="JK374" t="s">
        <v>1567</v>
      </c>
      <c r="JL374" s="84" t="s">
        <v>721</v>
      </c>
      <c r="MZ374" t="s">
        <v>1564</v>
      </c>
      <c r="NA374">
        <v>120</v>
      </c>
      <c r="NB374" t="s">
        <v>1565</v>
      </c>
      <c r="NC374" t="s">
        <v>1580</v>
      </c>
      <c r="NK374" t="s">
        <v>1583</v>
      </c>
      <c r="NM374" s="103" t="s">
        <v>1518</v>
      </c>
      <c r="NN374" s="102" t="s">
        <v>1537</v>
      </c>
      <c r="NV374" t="s">
        <v>64</v>
      </c>
      <c r="NW374" t="s">
        <v>6</v>
      </c>
      <c r="NX374">
        <v>255239.79</v>
      </c>
      <c r="NY374" s="88" t="s">
        <v>29</v>
      </c>
      <c r="NZ374" s="88" t="s">
        <v>29</v>
      </c>
      <c r="OA374" s="104"/>
      <c r="OC374">
        <v>3</v>
      </c>
      <c r="OT374" t="s">
        <v>1575</v>
      </c>
      <c r="OU374" s="3" t="s">
        <v>2188</v>
      </c>
      <c r="OW374">
        <v>2006</v>
      </c>
      <c r="OX374">
        <v>2007</v>
      </c>
      <c r="PA374" t="s">
        <v>1169</v>
      </c>
      <c r="PB374" s="58">
        <v>46105</v>
      </c>
    </row>
    <row r="375" spans="1:418" ht="15.75" thickBot="1">
      <c r="A375" t="s">
        <v>248</v>
      </c>
      <c r="B375" t="s">
        <v>1562</v>
      </c>
      <c r="C375" t="s">
        <v>1173</v>
      </c>
      <c r="D375" s="4" t="s">
        <v>1936</v>
      </c>
      <c r="E375" t="s">
        <v>1578</v>
      </c>
      <c r="F375" s="100" t="s">
        <v>31</v>
      </c>
      <c r="G375" s="87" t="s">
        <v>2</v>
      </c>
      <c r="H375" s="87" t="s">
        <v>30</v>
      </c>
      <c r="I375">
        <v>7.25</v>
      </c>
      <c r="J375">
        <v>3.4166666669999999</v>
      </c>
      <c r="K375" s="87" t="s">
        <v>29</v>
      </c>
      <c r="AV375" t="s">
        <v>1697</v>
      </c>
      <c r="AW375">
        <v>3240</v>
      </c>
      <c r="AX375">
        <v>1.2E-2</v>
      </c>
      <c r="AY375">
        <v>1</v>
      </c>
      <c r="BA375">
        <v>2006</v>
      </c>
      <c r="BB375">
        <v>2007</v>
      </c>
      <c r="BD375" t="s">
        <v>19</v>
      </c>
      <c r="BE375" t="s">
        <v>1563</v>
      </c>
      <c r="BF375" t="s">
        <v>299</v>
      </c>
      <c r="BG375" s="78" t="s">
        <v>1233</v>
      </c>
      <c r="BH375" t="s">
        <v>1580</v>
      </c>
      <c r="BI375" t="s">
        <v>234</v>
      </c>
      <c r="BJ375" s="87" t="s">
        <v>22</v>
      </c>
      <c r="BK375">
        <v>20000</v>
      </c>
      <c r="EH375" s="9"/>
      <c r="EI375" s="9"/>
      <c r="EJ375" s="9"/>
      <c r="EK375" s="9"/>
      <c r="EL375" s="9"/>
      <c r="EM375" s="9"/>
      <c r="EN375" s="9"/>
      <c r="EO375" s="9"/>
      <c r="EP375" s="9"/>
      <c r="EQ375" s="9"/>
      <c r="ER375" s="9"/>
      <c r="ES375" s="9"/>
      <c r="ET375" s="9"/>
      <c r="EU375" s="9"/>
      <c r="EV375" s="9"/>
      <c r="EW375" s="9"/>
      <c r="EX375" s="9"/>
      <c r="EY375" s="9"/>
      <c r="EZ375" s="9"/>
      <c r="FA375" s="9"/>
      <c r="FB375" s="9"/>
      <c r="FC375" s="9"/>
      <c r="FD375" s="9"/>
      <c r="FE375" s="9"/>
      <c r="FF375" s="9"/>
      <c r="FG375" s="9"/>
      <c r="FH375" s="9"/>
      <c r="FI375" s="9"/>
      <c r="FJ375" s="9"/>
      <c r="FK375" s="9"/>
      <c r="FL375" s="9"/>
      <c r="FM375" s="9"/>
      <c r="FN375" s="9"/>
      <c r="FO375" s="9"/>
      <c r="FP375" s="9"/>
      <c r="FQ375" s="9"/>
      <c r="FR375" s="9"/>
      <c r="FS375" s="9"/>
      <c r="FT375" s="9"/>
      <c r="FU375" s="9"/>
      <c r="FV375" s="9"/>
      <c r="FW375" s="9"/>
      <c r="FX375" s="9"/>
      <c r="FY375" s="9"/>
      <c r="FZ375" s="9"/>
      <c r="GA375" s="9"/>
      <c r="GB375" s="9"/>
      <c r="GC375" s="9"/>
      <c r="GD375" s="9"/>
      <c r="GE375" s="9"/>
      <c r="GF375" s="9"/>
      <c r="GG375" s="9"/>
      <c r="GH375" s="9"/>
      <c r="GI375" s="9"/>
      <c r="GJ375" s="9"/>
      <c r="GK375" s="9"/>
      <c r="GL375" s="9"/>
      <c r="GM375" s="9"/>
      <c r="GN375" s="9"/>
      <c r="GO375" s="9"/>
      <c r="GP375" s="9"/>
      <c r="GQ375" s="9"/>
      <c r="GR375" s="9"/>
      <c r="GS375" s="9"/>
      <c r="GT375" s="9"/>
      <c r="GU375" s="9"/>
      <c r="GV375" s="9"/>
      <c r="GW375" s="9"/>
      <c r="GX375" s="9"/>
      <c r="GY375" s="9"/>
      <c r="GZ375" s="9"/>
      <c r="HA375" s="9"/>
      <c r="HB375" s="9"/>
      <c r="HC375" s="9"/>
      <c r="HD375" s="9"/>
      <c r="HE375" s="9"/>
      <c r="HF375" s="9"/>
      <c r="HG375" s="9"/>
      <c r="HH375" s="9"/>
      <c r="HI375" s="9"/>
      <c r="HJ375" s="9"/>
      <c r="HK375" s="9"/>
      <c r="HU375" s="101">
        <v>38838</v>
      </c>
      <c r="HW375" s="58"/>
      <c r="HX375" s="58"/>
      <c r="II375" t="s">
        <v>1563</v>
      </c>
      <c r="IJ375" t="s">
        <v>19</v>
      </c>
      <c r="IK375" s="19"/>
      <c r="JK375" t="s">
        <v>1563</v>
      </c>
      <c r="JL375" s="84" t="s">
        <v>227</v>
      </c>
      <c r="JW375" s="8" t="s">
        <v>227</v>
      </c>
      <c r="JX375" s="8" t="s">
        <v>1582</v>
      </c>
      <c r="JY375" t="s">
        <v>13</v>
      </c>
      <c r="JZ375">
        <v>40000</v>
      </c>
      <c r="MZ375" t="s">
        <v>1564</v>
      </c>
      <c r="NA375">
        <v>120</v>
      </c>
      <c r="NB375" t="s">
        <v>1565</v>
      </c>
      <c r="NC375" t="s">
        <v>1580</v>
      </c>
      <c r="NK375" t="s">
        <v>1583</v>
      </c>
      <c r="NM375" s="103" t="s">
        <v>1518</v>
      </c>
      <c r="NN375" s="102" t="s">
        <v>1537</v>
      </c>
      <c r="NV375" t="s">
        <v>57</v>
      </c>
      <c r="NW375" t="s">
        <v>6</v>
      </c>
      <c r="NX375">
        <v>508799.08999999997</v>
      </c>
      <c r="NY375" s="88" t="s">
        <v>29</v>
      </c>
      <c r="NZ375" s="88" t="s">
        <v>29</v>
      </c>
      <c r="OA375" s="104"/>
      <c r="OC375">
        <v>3</v>
      </c>
      <c r="OT375" t="s">
        <v>1576</v>
      </c>
      <c r="OU375" s="3" t="s">
        <v>2188</v>
      </c>
      <c r="OW375">
        <v>2006</v>
      </c>
      <c r="OX375">
        <v>2007</v>
      </c>
      <c r="PA375" t="s">
        <v>1169</v>
      </c>
      <c r="PB375" s="58">
        <v>46105</v>
      </c>
    </row>
    <row r="376" spans="1:418" ht="15.75" thickBot="1">
      <c r="A376" t="s">
        <v>248</v>
      </c>
      <c r="B376" t="s">
        <v>1562</v>
      </c>
      <c r="C376" t="s">
        <v>1173</v>
      </c>
      <c r="D376" s="4" t="s">
        <v>1936</v>
      </c>
      <c r="E376" t="s">
        <v>1578</v>
      </c>
      <c r="F376" s="100" t="s">
        <v>31</v>
      </c>
      <c r="G376" s="87" t="s">
        <v>2</v>
      </c>
      <c r="H376" s="87" t="s">
        <v>30</v>
      </c>
      <c r="I376">
        <v>7.25</v>
      </c>
      <c r="J376">
        <v>3.4166666669999999</v>
      </c>
      <c r="K376" s="87" t="s">
        <v>29</v>
      </c>
      <c r="AV376" t="s">
        <v>1697</v>
      </c>
      <c r="AW376">
        <v>3240</v>
      </c>
      <c r="AX376">
        <v>1.2E-2</v>
      </c>
      <c r="AY376">
        <v>1</v>
      </c>
      <c r="BA376">
        <v>2006</v>
      </c>
      <c r="BB376">
        <v>2007</v>
      </c>
      <c r="BD376" t="s">
        <v>19</v>
      </c>
      <c r="BE376" t="s">
        <v>1566</v>
      </c>
      <c r="BF376" t="s">
        <v>256</v>
      </c>
      <c r="BG376" s="78" t="s">
        <v>1233</v>
      </c>
      <c r="BH376" t="s">
        <v>1580</v>
      </c>
      <c r="BI376" t="s">
        <v>234</v>
      </c>
      <c r="BJ376" s="87" t="s">
        <v>22</v>
      </c>
      <c r="BK376">
        <v>20000</v>
      </c>
      <c r="EH376" s="9"/>
      <c r="EI376" s="9"/>
      <c r="EJ376" s="9"/>
      <c r="EK376" s="9"/>
      <c r="EL376" s="9"/>
      <c r="EM376" s="9"/>
      <c r="EN376" s="9"/>
      <c r="EO376" s="9"/>
      <c r="EP376" s="9"/>
      <c r="EQ376" s="9"/>
      <c r="ER376" s="9"/>
      <c r="ES376" s="9"/>
      <c r="ET376" s="9"/>
      <c r="EU376" s="9"/>
      <c r="EV376" s="9"/>
      <c r="EW376" s="9"/>
      <c r="EX376" s="9"/>
      <c r="EY376" s="9"/>
      <c r="EZ376" s="9"/>
      <c r="FA376" s="9"/>
      <c r="FB376" s="9"/>
      <c r="FC376" s="9"/>
      <c r="FD376" s="9"/>
      <c r="FE376" s="9"/>
      <c r="FF376" s="9"/>
      <c r="FG376" s="9"/>
      <c r="FH376" s="9"/>
      <c r="FI376" s="9"/>
      <c r="FJ376" s="9"/>
      <c r="FK376" s="9"/>
      <c r="FL376" s="9"/>
      <c r="FM376" s="9"/>
      <c r="FN376" s="9"/>
      <c r="FO376" s="9"/>
      <c r="FP376" s="9"/>
      <c r="FQ376" s="9"/>
      <c r="FR376" s="9"/>
      <c r="FS376" s="9"/>
      <c r="FT376" s="9"/>
      <c r="FU376" s="9"/>
      <c r="FV376" s="9"/>
      <c r="FW376" s="9"/>
      <c r="FX376" s="9"/>
      <c r="FY376" s="9"/>
      <c r="FZ376" s="9"/>
      <c r="GA376" s="9"/>
      <c r="GB376" s="9"/>
      <c r="GC376" s="9"/>
      <c r="GD376" s="9"/>
      <c r="GE376" s="9"/>
      <c r="GF376" s="9"/>
      <c r="GG376" s="9"/>
      <c r="GH376" s="9"/>
      <c r="GI376" s="9"/>
      <c r="GJ376" s="9"/>
      <c r="GK376" s="9"/>
      <c r="GL376" s="9"/>
      <c r="GM376" s="9"/>
      <c r="GN376" s="9"/>
      <c r="GO376" s="9"/>
      <c r="GP376" s="9"/>
      <c r="GQ376" s="9"/>
      <c r="GR376" s="9"/>
      <c r="GS376" s="9"/>
      <c r="GT376" s="9"/>
      <c r="GU376" s="9"/>
      <c r="GV376" s="9"/>
      <c r="GW376" s="9"/>
      <c r="GX376" s="9"/>
      <c r="GY376" s="9"/>
      <c r="GZ376" s="9"/>
      <c r="HA376" s="9"/>
      <c r="HB376" s="9"/>
      <c r="HC376" s="9"/>
      <c r="HD376" s="9"/>
      <c r="HE376" s="9"/>
      <c r="HF376" s="9"/>
      <c r="HG376" s="9"/>
      <c r="HH376" s="9"/>
      <c r="HI376" s="9"/>
      <c r="HJ376" s="9"/>
      <c r="HK376" s="9"/>
      <c r="HU376" s="101">
        <v>38838</v>
      </c>
      <c r="HW376" s="58"/>
      <c r="HX376" s="58"/>
      <c r="II376" t="s">
        <v>1566</v>
      </c>
      <c r="IJ376" t="s">
        <v>19</v>
      </c>
      <c r="IK376" s="19"/>
      <c r="JK376" t="s">
        <v>1566</v>
      </c>
      <c r="JL376" s="84" t="s">
        <v>227</v>
      </c>
      <c r="JW376" s="8" t="s">
        <v>227</v>
      </c>
      <c r="JX376" s="8" t="s">
        <v>1582</v>
      </c>
      <c r="JY376" t="s">
        <v>13</v>
      </c>
      <c r="JZ376">
        <v>80000</v>
      </c>
      <c r="MZ376" t="s">
        <v>1564</v>
      </c>
      <c r="NA376">
        <v>120</v>
      </c>
      <c r="NB376" t="s">
        <v>1565</v>
      </c>
      <c r="NC376" t="s">
        <v>1580</v>
      </c>
      <c r="NK376" t="s">
        <v>1583</v>
      </c>
      <c r="NM376" s="103" t="s">
        <v>1518</v>
      </c>
      <c r="NN376" s="102" t="s">
        <v>1537</v>
      </c>
      <c r="NV376" t="s">
        <v>48</v>
      </c>
      <c r="NW376" t="s">
        <v>6</v>
      </c>
      <c r="NX376">
        <v>453134.65</v>
      </c>
      <c r="NY376" s="88" t="s">
        <v>29</v>
      </c>
      <c r="NZ376" s="88" t="s">
        <v>29</v>
      </c>
      <c r="OA376" s="104"/>
      <c r="OC376">
        <v>3</v>
      </c>
      <c r="OT376" t="s">
        <v>1576</v>
      </c>
      <c r="OU376" s="3" t="s">
        <v>2188</v>
      </c>
      <c r="OW376">
        <v>2006</v>
      </c>
      <c r="OX376">
        <v>2007</v>
      </c>
      <c r="PA376" t="s">
        <v>1169</v>
      </c>
      <c r="PB376" s="58">
        <v>46105</v>
      </c>
    </row>
    <row r="377" spans="1:418" ht="15.75" thickBot="1">
      <c r="A377" t="s">
        <v>248</v>
      </c>
      <c r="B377" t="s">
        <v>1562</v>
      </c>
      <c r="C377" t="s">
        <v>1173</v>
      </c>
      <c r="D377" s="4" t="s">
        <v>1936</v>
      </c>
      <c r="E377" t="s">
        <v>1578</v>
      </c>
      <c r="F377" s="100" t="s">
        <v>31</v>
      </c>
      <c r="G377" s="87" t="s">
        <v>2</v>
      </c>
      <c r="H377" s="87" t="s">
        <v>30</v>
      </c>
      <c r="I377">
        <v>7.25</v>
      </c>
      <c r="J377">
        <v>3.4166666669999999</v>
      </c>
      <c r="K377" s="87" t="s">
        <v>29</v>
      </c>
      <c r="AV377" t="s">
        <v>1697</v>
      </c>
      <c r="AW377">
        <v>3240</v>
      </c>
      <c r="AX377">
        <v>1.2E-2</v>
      </c>
      <c r="AY377">
        <v>1</v>
      </c>
      <c r="BA377">
        <v>2006</v>
      </c>
      <c r="BB377">
        <v>2007</v>
      </c>
      <c r="BD377" t="s">
        <v>19</v>
      </c>
      <c r="BE377" t="s">
        <v>1570</v>
      </c>
      <c r="BF377" t="s">
        <v>1456</v>
      </c>
      <c r="BG377" s="78" t="s">
        <v>1233</v>
      </c>
      <c r="BH377" t="s">
        <v>1569</v>
      </c>
      <c r="BI377" t="s">
        <v>1581</v>
      </c>
      <c r="BJ377" s="87" t="s">
        <v>22</v>
      </c>
      <c r="BK377">
        <v>1330</v>
      </c>
      <c r="EH377" s="9"/>
      <c r="EI377" s="9"/>
      <c r="EJ377" s="9"/>
      <c r="EK377" s="9"/>
      <c r="EL377" s="9"/>
      <c r="EM377" s="9"/>
      <c r="EN377" s="9"/>
      <c r="EO377" s="9"/>
      <c r="EP377" s="9"/>
      <c r="EQ377" s="9"/>
      <c r="ER377" s="9"/>
      <c r="ES377" s="9"/>
      <c r="ET377" s="9"/>
      <c r="EU377" s="9"/>
      <c r="EV377" s="9"/>
      <c r="EW377" s="9"/>
      <c r="EX377" s="9"/>
      <c r="EY377" s="9"/>
      <c r="EZ377" s="9"/>
      <c r="FA377" s="9"/>
      <c r="FB377" s="9"/>
      <c r="FC377" s="9"/>
      <c r="FD377" s="9"/>
      <c r="FE377" s="9"/>
      <c r="FF377" s="9"/>
      <c r="FG377" s="9"/>
      <c r="FH377" s="9"/>
      <c r="FI377" s="9"/>
      <c r="FJ377" s="9"/>
      <c r="FK377" s="9"/>
      <c r="FL377" s="9"/>
      <c r="FM377" s="9"/>
      <c r="FN377" s="9"/>
      <c r="FO377" s="9"/>
      <c r="FP377" s="9"/>
      <c r="FQ377" s="9"/>
      <c r="FR377" s="9"/>
      <c r="FS377" s="9"/>
      <c r="FT377" s="9"/>
      <c r="FU377" s="9"/>
      <c r="FV377" s="9"/>
      <c r="FW377" s="9"/>
      <c r="FX377" s="9"/>
      <c r="FY377" s="9"/>
      <c r="FZ377" s="9"/>
      <c r="GA377" s="9"/>
      <c r="GB377" s="9"/>
      <c r="GC377" s="9"/>
      <c r="GD377" s="9"/>
      <c r="GE377" s="9"/>
      <c r="GF377" s="9"/>
      <c r="GG377" s="9"/>
      <c r="GH377" s="9"/>
      <c r="GI377" s="9"/>
      <c r="GJ377" s="9"/>
      <c r="GK377" s="9"/>
      <c r="GL377" s="9"/>
      <c r="GM377" s="9"/>
      <c r="GN377" s="9"/>
      <c r="GO377" s="9"/>
      <c r="GP377" s="9"/>
      <c r="GQ377" s="9"/>
      <c r="GR377" s="9"/>
      <c r="GS377" s="9"/>
      <c r="GT377" s="9"/>
      <c r="GU377" s="9"/>
      <c r="GV377" s="9"/>
      <c r="GW377" s="9"/>
      <c r="GX377" s="9"/>
      <c r="GY377" s="9"/>
      <c r="GZ377" s="9"/>
      <c r="HA377" s="9"/>
      <c r="HB377" s="9"/>
      <c r="HC377" s="9"/>
      <c r="HD377" s="9"/>
      <c r="HE377" s="9"/>
      <c r="HF377" s="9"/>
      <c r="HG377" s="9"/>
      <c r="HH377" s="9"/>
      <c r="HI377" s="9"/>
      <c r="HJ377" s="9"/>
      <c r="HK377" s="9"/>
      <c r="HU377" s="101">
        <v>38838</v>
      </c>
      <c r="HW377" s="58"/>
      <c r="HX377" s="58"/>
      <c r="II377" t="s">
        <v>1570</v>
      </c>
      <c r="IJ377" t="s">
        <v>19</v>
      </c>
      <c r="IK377" s="19"/>
      <c r="JK377" t="s">
        <v>1570</v>
      </c>
      <c r="JL377" s="84" t="s">
        <v>227</v>
      </c>
      <c r="JW377" s="8" t="s">
        <v>227</v>
      </c>
      <c r="JX377" s="8" t="s">
        <v>1582</v>
      </c>
      <c r="JY377" t="s">
        <v>13</v>
      </c>
      <c r="JZ377">
        <v>40000</v>
      </c>
      <c r="MZ377" t="s">
        <v>1564</v>
      </c>
      <c r="NA377">
        <v>120</v>
      </c>
      <c r="NB377" t="s">
        <v>1585</v>
      </c>
      <c r="NC377" t="s">
        <v>1584</v>
      </c>
      <c r="ND377" t="s">
        <v>1588</v>
      </c>
      <c r="NK377" t="s">
        <v>1583</v>
      </c>
      <c r="NM377" s="103" t="s">
        <v>1518</v>
      </c>
      <c r="NN377" s="102" t="s">
        <v>1537</v>
      </c>
      <c r="NV377" t="s">
        <v>57</v>
      </c>
      <c r="NW377" t="s">
        <v>6</v>
      </c>
      <c r="NX377" s="104">
        <v>735248.37</v>
      </c>
      <c r="NY377" s="88" t="s">
        <v>29</v>
      </c>
      <c r="NZ377" s="88" t="s">
        <v>29</v>
      </c>
      <c r="OA377" s="104"/>
      <c r="OC377">
        <v>3</v>
      </c>
      <c r="OT377" t="s">
        <v>1577</v>
      </c>
      <c r="OU377" s="3" t="s">
        <v>2188</v>
      </c>
      <c r="OW377">
        <v>2006</v>
      </c>
      <c r="OX377">
        <v>2007</v>
      </c>
      <c r="PA377" t="s">
        <v>1169</v>
      </c>
      <c r="PB377" s="58">
        <v>46105</v>
      </c>
    </row>
    <row r="378" spans="1:418" ht="15.75" thickBot="1">
      <c r="A378" t="s">
        <v>248</v>
      </c>
      <c r="B378" t="s">
        <v>1562</v>
      </c>
      <c r="C378" t="s">
        <v>1173</v>
      </c>
      <c r="D378" s="4" t="s">
        <v>1936</v>
      </c>
      <c r="E378" t="s">
        <v>1578</v>
      </c>
      <c r="F378" s="100" t="s">
        <v>31</v>
      </c>
      <c r="G378" s="87" t="s">
        <v>2</v>
      </c>
      <c r="H378" s="87" t="s">
        <v>30</v>
      </c>
      <c r="I378">
        <v>7.25</v>
      </c>
      <c r="J378">
        <v>3.4166666669999999</v>
      </c>
      <c r="K378" s="87" t="s">
        <v>29</v>
      </c>
      <c r="AV378" t="s">
        <v>1697</v>
      </c>
      <c r="AW378">
        <v>3240</v>
      </c>
      <c r="AX378">
        <v>1.2E-2</v>
      </c>
      <c r="AY378">
        <v>1</v>
      </c>
      <c r="BA378">
        <v>2006</v>
      </c>
      <c r="BB378">
        <v>2007</v>
      </c>
      <c r="BD378" t="s">
        <v>19</v>
      </c>
      <c r="BE378" t="s">
        <v>1571</v>
      </c>
      <c r="BF378" t="s">
        <v>1458</v>
      </c>
      <c r="BG378" s="78" t="s">
        <v>1233</v>
      </c>
      <c r="BH378" t="s">
        <v>1569</v>
      </c>
      <c r="BI378" t="s">
        <v>1581</v>
      </c>
      <c r="BJ378" s="87" t="s">
        <v>22</v>
      </c>
      <c r="BK378">
        <v>1330</v>
      </c>
      <c r="EH378" s="9"/>
      <c r="EI378" s="9"/>
      <c r="EJ378" s="9"/>
      <c r="EK378" s="9"/>
      <c r="EL378" s="9"/>
      <c r="EM378" s="9"/>
      <c r="EN378" s="9"/>
      <c r="EO378" s="9"/>
      <c r="EP378" s="9"/>
      <c r="EQ378" s="9"/>
      <c r="ER378" s="9"/>
      <c r="ES378" s="9"/>
      <c r="ET378" s="9"/>
      <c r="EU378" s="9"/>
      <c r="EV378" s="9"/>
      <c r="EW378" s="9"/>
      <c r="EX378" s="9"/>
      <c r="EY378" s="9"/>
      <c r="EZ378" s="9"/>
      <c r="FA378" s="9"/>
      <c r="FB378" s="9"/>
      <c r="FC378" s="9"/>
      <c r="FD378" s="9"/>
      <c r="FE378" s="9"/>
      <c r="FF378" s="9"/>
      <c r="FG378" s="9"/>
      <c r="FH378" s="9"/>
      <c r="FI378" s="9"/>
      <c r="FJ378" s="9"/>
      <c r="FK378" s="9"/>
      <c r="FL378" s="9"/>
      <c r="FM378" s="9"/>
      <c r="FN378" s="9"/>
      <c r="FO378" s="9"/>
      <c r="FP378" s="9"/>
      <c r="FQ378" s="9"/>
      <c r="FR378" s="9"/>
      <c r="FS378" s="9"/>
      <c r="FT378" s="9"/>
      <c r="FU378" s="9"/>
      <c r="FV378" s="9"/>
      <c r="FW378" s="9"/>
      <c r="FX378" s="9"/>
      <c r="FY378" s="9"/>
      <c r="FZ378" s="9"/>
      <c r="GA378" s="9"/>
      <c r="GB378" s="9"/>
      <c r="GC378" s="9"/>
      <c r="GD378" s="9"/>
      <c r="GE378" s="9"/>
      <c r="GF378" s="9"/>
      <c r="GG378" s="9"/>
      <c r="GH378" s="9"/>
      <c r="GI378" s="9"/>
      <c r="GJ378" s="9"/>
      <c r="GK378" s="9"/>
      <c r="GL378" s="9"/>
      <c r="GM378" s="9"/>
      <c r="GN378" s="9"/>
      <c r="GO378" s="9"/>
      <c r="GP378" s="9"/>
      <c r="GQ378" s="9"/>
      <c r="GR378" s="9"/>
      <c r="GS378" s="9"/>
      <c r="GT378" s="9"/>
      <c r="GU378" s="9"/>
      <c r="GV378" s="9"/>
      <c r="GW378" s="9"/>
      <c r="GX378" s="9"/>
      <c r="GY378" s="9"/>
      <c r="GZ378" s="9"/>
      <c r="HA378" s="9"/>
      <c r="HB378" s="9"/>
      <c r="HC378" s="9"/>
      <c r="HD378" s="9"/>
      <c r="HE378" s="9"/>
      <c r="HF378" s="9"/>
      <c r="HG378" s="9"/>
      <c r="HH378" s="9"/>
      <c r="HI378" s="9"/>
      <c r="HJ378" s="9"/>
      <c r="HK378" s="9"/>
      <c r="HU378" s="101">
        <v>38838</v>
      </c>
      <c r="HW378" s="58"/>
      <c r="HX378" s="58"/>
      <c r="II378" t="s">
        <v>1571</v>
      </c>
      <c r="IJ378" t="s">
        <v>19</v>
      </c>
      <c r="IK378" s="19"/>
      <c r="JK378" t="s">
        <v>1571</v>
      </c>
      <c r="JL378" s="84" t="s">
        <v>227</v>
      </c>
      <c r="JW378" s="8" t="s">
        <v>227</v>
      </c>
      <c r="JX378" s="8" t="s">
        <v>1582</v>
      </c>
      <c r="JY378" t="s">
        <v>13</v>
      </c>
      <c r="JZ378">
        <v>80000</v>
      </c>
      <c r="MZ378" t="s">
        <v>1564</v>
      </c>
      <c r="NA378">
        <v>120</v>
      </c>
      <c r="NB378" t="s">
        <v>1585</v>
      </c>
      <c r="NC378" t="s">
        <v>1584</v>
      </c>
      <c r="ND378" t="s">
        <v>1588</v>
      </c>
      <c r="NK378" t="s">
        <v>1583</v>
      </c>
      <c r="NM378" s="103" t="s">
        <v>1518</v>
      </c>
      <c r="NN378" s="102" t="s">
        <v>1537</v>
      </c>
      <c r="NV378" t="s">
        <v>48</v>
      </c>
      <c r="NW378" t="s">
        <v>6</v>
      </c>
      <c r="NX378" s="104">
        <v>931907.17</v>
      </c>
      <c r="NY378" s="88" t="s">
        <v>29</v>
      </c>
      <c r="NZ378" s="88" t="s">
        <v>29</v>
      </c>
      <c r="OA378" s="104"/>
      <c r="OC378">
        <v>3</v>
      </c>
      <c r="OT378" t="s">
        <v>1577</v>
      </c>
      <c r="OU378" s="3" t="s">
        <v>2188</v>
      </c>
      <c r="OW378">
        <v>2006</v>
      </c>
      <c r="OX378">
        <v>2007</v>
      </c>
      <c r="PA378" t="s">
        <v>1169</v>
      </c>
      <c r="PB378" s="58">
        <v>46105</v>
      </c>
    </row>
    <row r="379" spans="1:418" ht="15.75" thickBot="1">
      <c r="A379" t="s">
        <v>248</v>
      </c>
      <c r="B379" t="s">
        <v>1562</v>
      </c>
      <c r="C379" t="s">
        <v>1173</v>
      </c>
      <c r="D379" s="4" t="s">
        <v>1936</v>
      </c>
      <c r="E379" t="s">
        <v>1578</v>
      </c>
      <c r="F379" s="100" t="s">
        <v>31</v>
      </c>
      <c r="G379" s="87" t="s">
        <v>2</v>
      </c>
      <c r="H379" s="87" t="s">
        <v>30</v>
      </c>
      <c r="I379">
        <v>7.25</v>
      </c>
      <c r="J379">
        <v>3.4166666669999999</v>
      </c>
      <c r="K379" s="87" t="s">
        <v>29</v>
      </c>
      <c r="AV379" t="s">
        <v>1697</v>
      </c>
      <c r="AW379">
        <v>3240</v>
      </c>
      <c r="AX379">
        <v>1.2E-2</v>
      </c>
      <c r="AY379">
        <v>1</v>
      </c>
      <c r="BA379">
        <v>2006</v>
      </c>
      <c r="BB379">
        <v>2007</v>
      </c>
      <c r="BD379" t="s">
        <v>238</v>
      </c>
      <c r="BE379" t="s">
        <v>1573</v>
      </c>
      <c r="BF379" t="s">
        <v>57</v>
      </c>
      <c r="BG379" s="78" t="s">
        <v>1233</v>
      </c>
      <c r="BH379" t="s">
        <v>1569</v>
      </c>
      <c r="BI379" t="s">
        <v>1581</v>
      </c>
      <c r="BJ379" s="87" t="s">
        <v>22</v>
      </c>
      <c r="BK379">
        <v>1330</v>
      </c>
      <c r="BL379" t="s">
        <v>56</v>
      </c>
      <c r="BM379" t="s">
        <v>1580</v>
      </c>
      <c r="BN379" t="s">
        <v>234</v>
      </c>
      <c r="BO379" s="87" t="s">
        <v>22</v>
      </c>
      <c r="BP379">
        <v>20000</v>
      </c>
      <c r="EH379" s="9"/>
      <c r="EI379" s="9"/>
      <c r="EJ379" s="9"/>
      <c r="EK379" s="9"/>
      <c r="EL379" s="9"/>
      <c r="EM379" s="9"/>
      <c r="EN379" s="9"/>
      <c r="EO379" s="9"/>
      <c r="EP379" s="9"/>
      <c r="EQ379" s="9"/>
      <c r="ER379" s="9"/>
      <c r="ES379" s="9"/>
      <c r="ET379" s="9"/>
      <c r="EU379" s="9"/>
      <c r="EV379" s="9"/>
      <c r="EW379" s="9"/>
      <c r="EX379" s="9"/>
      <c r="EY379" s="9"/>
      <c r="EZ379" s="9"/>
      <c r="FA379" s="9"/>
      <c r="FB379" s="9"/>
      <c r="FC379" s="9"/>
      <c r="FD379" s="9"/>
      <c r="FE379" s="9"/>
      <c r="FF379" s="9"/>
      <c r="FG379" s="9"/>
      <c r="FH379" s="9"/>
      <c r="FI379" s="9"/>
      <c r="FJ379" s="9"/>
      <c r="FK379" s="9"/>
      <c r="FL379" s="9"/>
      <c r="FM379" s="9"/>
      <c r="FN379" s="9"/>
      <c r="FO379" s="9"/>
      <c r="FP379" s="9"/>
      <c r="FQ379" s="9"/>
      <c r="FR379" s="9"/>
      <c r="FS379" s="9"/>
      <c r="FT379" s="9"/>
      <c r="FU379" s="9"/>
      <c r="FV379" s="9"/>
      <c r="FW379" s="9"/>
      <c r="FX379" s="9"/>
      <c r="FY379" s="9"/>
      <c r="FZ379" s="9"/>
      <c r="GA379" s="9"/>
      <c r="GB379" s="9"/>
      <c r="GC379" s="9"/>
      <c r="GD379" s="9"/>
      <c r="GE379" s="9"/>
      <c r="GF379" s="9"/>
      <c r="GG379" s="9"/>
      <c r="GH379" s="9"/>
      <c r="GI379" s="9"/>
      <c r="GJ379" s="9"/>
      <c r="GK379" s="9"/>
      <c r="GL379" s="9"/>
      <c r="GM379" s="9"/>
      <c r="GN379" s="9"/>
      <c r="GO379" s="9"/>
      <c r="GP379" s="9"/>
      <c r="GQ379" s="9"/>
      <c r="GR379" s="9"/>
      <c r="GS379" s="9"/>
      <c r="GT379" s="9"/>
      <c r="GU379" s="9"/>
      <c r="GV379" s="9"/>
      <c r="GW379" s="9"/>
      <c r="GX379" s="9"/>
      <c r="GY379" s="9"/>
      <c r="GZ379" s="9"/>
      <c r="HA379" s="9"/>
      <c r="HB379" s="9"/>
      <c r="HC379" s="9"/>
      <c r="HD379" s="9"/>
      <c r="HE379" s="9"/>
      <c r="HF379" s="9"/>
      <c r="HG379" s="9"/>
      <c r="HH379" s="9"/>
      <c r="HI379" s="9"/>
      <c r="HJ379" s="9"/>
      <c r="HK379" s="9"/>
      <c r="HU379" s="101">
        <v>38838</v>
      </c>
      <c r="HW379" s="58"/>
      <c r="HX379" s="58"/>
      <c r="II379" t="s">
        <v>1573</v>
      </c>
      <c r="IJ379" s="87" t="s">
        <v>1190</v>
      </c>
      <c r="IK379" s="19" t="s">
        <v>660</v>
      </c>
      <c r="IL379" t="s">
        <v>661</v>
      </c>
      <c r="IM379">
        <v>2006</v>
      </c>
      <c r="IO379" s="87" t="s">
        <v>29</v>
      </c>
      <c r="JK379" t="s">
        <v>1573</v>
      </c>
      <c r="JL379" s="84" t="s">
        <v>227</v>
      </c>
      <c r="JW379" s="8" t="s">
        <v>227</v>
      </c>
      <c r="JX379" s="8" t="s">
        <v>1582</v>
      </c>
      <c r="JY379" t="s">
        <v>13</v>
      </c>
      <c r="JZ379">
        <v>40000</v>
      </c>
      <c r="MZ379" t="s">
        <v>1564</v>
      </c>
      <c r="NA379">
        <v>120</v>
      </c>
      <c r="NB379" t="s">
        <v>1586</v>
      </c>
      <c r="NC379" t="s">
        <v>1580</v>
      </c>
      <c r="ND379" t="s">
        <v>1584</v>
      </c>
      <c r="NE379" t="s">
        <v>1588</v>
      </c>
      <c r="NK379" t="s">
        <v>1583</v>
      </c>
      <c r="NM379" s="103" t="s">
        <v>1518</v>
      </c>
      <c r="NN379" s="102" t="s">
        <v>1537</v>
      </c>
      <c r="NW379" t="s">
        <v>6</v>
      </c>
      <c r="NX379">
        <v>940163.19</v>
      </c>
      <c r="NY379" s="88" t="s">
        <v>29</v>
      </c>
      <c r="NZ379" s="88" t="s">
        <v>29</v>
      </c>
      <c r="OA379" s="104"/>
      <c r="OC379">
        <v>3</v>
      </c>
      <c r="OT379" t="s">
        <v>1587</v>
      </c>
      <c r="OU379" s="3" t="s">
        <v>2188</v>
      </c>
      <c r="OW379">
        <v>2006</v>
      </c>
      <c r="OX379">
        <v>2007</v>
      </c>
      <c r="PA379" t="s">
        <v>1169</v>
      </c>
      <c r="PB379" s="58">
        <v>46105</v>
      </c>
    </row>
    <row r="380" spans="1:418" ht="15.75" thickBot="1">
      <c r="A380" t="s">
        <v>248</v>
      </c>
      <c r="B380" t="s">
        <v>1562</v>
      </c>
      <c r="C380" t="s">
        <v>1173</v>
      </c>
      <c r="D380" s="4" t="s">
        <v>1936</v>
      </c>
      <c r="E380" t="s">
        <v>1578</v>
      </c>
      <c r="F380" s="100" t="s">
        <v>31</v>
      </c>
      <c r="G380" s="87" t="s">
        <v>2</v>
      </c>
      <c r="H380" s="87" t="s">
        <v>30</v>
      </c>
      <c r="I380">
        <v>7.25</v>
      </c>
      <c r="J380">
        <v>3.4166666669999999</v>
      </c>
      <c r="K380" s="87" t="s">
        <v>29</v>
      </c>
      <c r="AV380" t="s">
        <v>1697</v>
      </c>
      <c r="AW380">
        <v>3240</v>
      </c>
      <c r="AX380">
        <v>1.2E-2</v>
      </c>
      <c r="AY380">
        <v>1</v>
      </c>
      <c r="BA380">
        <v>2006</v>
      </c>
      <c r="BB380">
        <v>2007</v>
      </c>
      <c r="BD380" t="s">
        <v>238</v>
      </c>
      <c r="BE380" t="s">
        <v>1574</v>
      </c>
      <c r="BF380" t="s">
        <v>48</v>
      </c>
      <c r="BG380" s="78" t="s">
        <v>1233</v>
      </c>
      <c r="BH380" t="s">
        <v>1569</v>
      </c>
      <c r="BI380" t="s">
        <v>1581</v>
      </c>
      <c r="BJ380" s="87" t="s">
        <v>22</v>
      </c>
      <c r="BK380">
        <v>1330</v>
      </c>
      <c r="BL380" t="s">
        <v>56</v>
      </c>
      <c r="BM380" t="s">
        <v>1580</v>
      </c>
      <c r="BN380" t="s">
        <v>234</v>
      </c>
      <c r="BO380" s="87" t="s">
        <v>22</v>
      </c>
      <c r="BP380">
        <v>20000</v>
      </c>
      <c r="EH380" s="9"/>
      <c r="EI380" s="9"/>
      <c r="EJ380" s="9"/>
      <c r="EK380" s="9"/>
      <c r="EL380" s="9"/>
      <c r="EM380" s="9"/>
      <c r="EN380" s="9"/>
      <c r="EO380" s="9"/>
      <c r="EP380" s="9"/>
      <c r="EQ380" s="9"/>
      <c r="ER380" s="9"/>
      <c r="ES380" s="9"/>
      <c r="ET380" s="9"/>
      <c r="EU380" s="9"/>
      <c r="EV380" s="9"/>
      <c r="EW380" s="9"/>
      <c r="EX380" s="9"/>
      <c r="EY380" s="9"/>
      <c r="EZ380" s="9"/>
      <c r="FA380" s="9"/>
      <c r="FB380" s="9"/>
      <c r="FC380" s="9"/>
      <c r="FD380" s="9"/>
      <c r="FE380" s="9"/>
      <c r="FF380" s="9"/>
      <c r="FG380" s="9"/>
      <c r="FH380" s="9"/>
      <c r="FI380" s="9"/>
      <c r="FJ380" s="9"/>
      <c r="FK380" s="9"/>
      <c r="FL380" s="9"/>
      <c r="FM380" s="9"/>
      <c r="FN380" s="9"/>
      <c r="FO380" s="9"/>
      <c r="FP380" s="9"/>
      <c r="FQ380" s="9"/>
      <c r="FR380" s="9"/>
      <c r="FS380" s="9"/>
      <c r="FT380" s="9"/>
      <c r="FU380" s="9"/>
      <c r="FV380" s="9"/>
      <c r="FW380" s="9"/>
      <c r="FX380" s="9"/>
      <c r="FY380" s="9"/>
      <c r="FZ380" s="9"/>
      <c r="GA380" s="9"/>
      <c r="GB380" s="9"/>
      <c r="GC380" s="9"/>
      <c r="GD380" s="9"/>
      <c r="GE380" s="9"/>
      <c r="GF380" s="9"/>
      <c r="GG380" s="9"/>
      <c r="GH380" s="9"/>
      <c r="GI380" s="9"/>
      <c r="GJ380" s="9"/>
      <c r="GK380" s="9"/>
      <c r="GL380" s="9"/>
      <c r="GM380" s="9"/>
      <c r="GN380" s="9"/>
      <c r="GO380" s="9"/>
      <c r="GP380" s="9"/>
      <c r="GQ380" s="9"/>
      <c r="GR380" s="9"/>
      <c r="GS380" s="9"/>
      <c r="GT380" s="9"/>
      <c r="GU380" s="9"/>
      <c r="GV380" s="9"/>
      <c r="GW380" s="9"/>
      <c r="GX380" s="9"/>
      <c r="GY380" s="9"/>
      <c r="GZ380" s="9"/>
      <c r="HA380" s="9"/>
      <c r="HB380" s="9"/>
      <c r="HC380" s="9"/>
      <c r="HD380" s="9"/>
      <c r="HE380" s="9"/>
      <c r="HF380" s="9"/>
      <c r="HG380" s="9"/>
      <c r="HH380" s="9"/>
      <c r="HI380" s="9"/>
      <c r="HJ380" s="9"/>
      <c r="HK380" s="9"/>
      <c r="HU380" s="101">
        <v>38838</v>
      </c>
      <c r="HW380" s="58"/>
      <c r="HX380" s="58"/>
      <c r="II380" t="s">
        <v>1574</v>
      </c>
      <c r="IJ380" s="87" t="s">
        <v>1190</v>
      </c>
      <c r="IK380" s="19" t="s">
        <v>660</v>
      </c>
      <c r="IL380" t="s">
        <v>661</v>
      </c>
      <c r="IM380">
        <v>2006</v>
      </c>
      <c r="IO380" s="87" t="s">
        <v>29</v>
      </c>
      <c r="JK380" t="s">
        <v>1574</v>
      </c>
      <c r="JL380" s="84" t="s">
        <v>227</v>
      </c>
      <c r="JW380" s="8" t="s">
        <v>227</v>
      </c>
      <c r="JX380" s="8" t="s">
        <v>1582</v>
      </c>
      <c r="JY380" t="s">
        <v>13</v>
      </c>
      <c r="JZ380">
        <v>80000</v>
      </c>
      <c r="MZ380" t="s">
        <v>1564</v>
      </c>
      <c r="NA380">
        <v>120</v>
      </c>
      <c r="NB380" t="s">
        <v>1586</v>
      </c>
      <c r="NC380" t="s">
        <v>1580</v>
      </c>
      <c r="ND380" t="s">
        <v>1584</v>
      </c>
      <c r="NE380" t="s">
        <v>1588</v>
      </c>
      <c r="NK380" t="s">
        <v>1583</v>
      </c>
      <c r="NM380" s="103" t="s">
        <v>1518</v>
      </c>
      <c r="NN380" s="102" t="s">
        <v>1537</v>
      </c>
      <c r="NW380" t="s">
        <v>6</v>
      </c>
      <c r="NX380" s="104">
        <v>1011907.38</v>
      </c>
      <c r="NY380" s="88" t="s">
        <v>29</v>
      </c>
      <c r="NZ380" s="88" t="s">
        <v>29</v>
      </c>
      <c r="OA380" s="104"/>
      <c r="OC380">
        <v>3</v>
      </c>
      <c r="OT380" t="s">
        <v>1587</v>
      </c>
      <c r="OU380" s="3" t="s">
        <v>2188</v>
      </c>
      <c r="OW380">
        <v>2006</v>
      </c>
      <c r="OX380">
        <v>2007</v>
      </c>
      <c r="PA380" t="s">
        <v>1169</v>
      </c>
      <c r="PB380" s="58">
        <v>46105</v>
      </c>
    </row>
    <row r="381" spans="1:418" ht="15.75" thickBot="1">
      <c r="A381" t="s">
        <v>248</v>
      </c>
      <c r="B381" t="s">
        <v>1562</v>
      </c>
      <c r="C381" t="s">
        <v>1173</v>
      </c>
      <c r="D381" s="4" t="s">
        <v>1936</v>
      </c>
      <c r="E381" t="s">
        <v>1578</v>
      </c>
      <c r="F381" s="100" t="s">
        <v>31</v>
      </c>
      <c r="G381" s="87" t="s">
        <v>2</v>
      </c>
      <c r="H381" s="87" t="s">
        <v>30</v>
      </c>
      <c r="I381">
        <v>7.25</v>
      </c>
      <c r="J381">
        <v>3.4166666669999999</v>
      </c>
      <c r="K381" s="87" t="s">
        <v>29</v>
      </c>
      <c r="AV381" t="s">
        <v>1697</v>
      </c>
      <c r="AW381">
        <v>3240</v>
      </c>
      <c r="AX381">
        <v>1.2E-2</v>
      </c>
      <c r="AY381">
        <v>1</v>
      </c>
      <c r="BA381">
        <v>2006</v>
      </c>
      <c r="BB381">
        <v>2007</v>
      </c>
      <c r="BD381" t="s">
        <v>238</v>
      </c>
      <c r="BE381" t="s">
        <v>1572</v>
      </c>
      <c r="BF381" t="s">
        <v>64</v>
      </c>
      <c r="BG381" s="78" t="s">
        <v>1233</v>
      </c>
      <c r="BH381" t="s">
        <v>1569</v>
      </c>
      <c r="BI381" t="s">
        <v>1581</v>
      </c>
      <c r="BJ381" s="87" t="s">
        <v>22</v>
      </c>
      <c r="BK381">
        <v>1330</v>
      </c>
      <c r="BL381" t="s">
        <v>56</v>
      </c>
      <c r="BM381" t="s">
        <v>1580</v>
      </c>
      <c r="BN381" t="s">
        <v>234</v>
      </c>
      <c r="BO381" s="87" t="s">
        <v>22</v>
      </c>
      <c r="BP381">
        <v>20000</v>
      </c>
      <c r="EH381" s="9"/>
      <c r="EI381" s="9"/>
      <c r="EJ381" s="9"/>
      <c r="EK381" s="9"/>
      <c r="EL381" s="9"/>
      <c r="EM381" s="9"/>
      <c r="EN381" s="9"/>
      <c r="EO381" s="9"/>
      <c r="EP381" s="9"/>
      <c r="EQ381" s="9"/>
      <c r="ER381" s="9"/>
      <c r="ES381" s="9"/>
      <c r="ET381" s="9"/>
      <c r="EU381" s="9"/>
      <c r="EV381" s="9"/>
      <c r="EW381" s="9"/>
      <c r="EX381" s="9"/>
      <c r="EY381" s="9"/>
      <c r="EZ381" s="9"/>
      <c r="FA381" s="9"/>
      <c r="FB381" s="9"/>
      <c r="FC381" s="9"/>
      <c r="FD381" s="9"/>
      <c r="FE381" s="9"/>
      <c r="FF381" s="9"/>
      <c r="FG381" s="9"/>
      <c r="FH381" s="9"/>
      <c r="FI381" s="9"/>
      <c r="FJ381" s="9"/>
      <c r="FK381" s="9"/>
      <c r="FL381" s="9"/>
      <c r="FM381" s="9"/>
      <c r="FN381" s="9"/>
      <c r="FO381" s="9"/>
      <c r="FP381" s="9"/>
      <c r="FQ381" s="9"/>
      <c r="FR381" s="9"/>
      <c r="FS381" s="9"/>
      <c r="FT381" s="9"/>
      <c r="FU381" s="9"/>
      <c r="FV381" s="9"/>
      <c r="FW381" s="9"/>
      <c r="FX381" s="9"/>
      <c r="FY381" s="9"/>
      <c r="FZ381" s="9"/>
      <c r="GA381" s="9"/>
      <c r="GB381" s="9"/>
      <c r="GC381" s="9"/>
      <c r="GD381" s="9"/>
      <c r="GE381" s="9"/>
      <c r="GF381" s="9"/>
      <c r="GG381" s="9"/>
      <c r="GH381" s="9"/>
      <c r="GI381" s="9"/>
      <c r="GJ381" s="9"/>
      <c r="GK381" s="9"/>
      <c r="GL381" s="9"/>
      <c r="GM381" s="9"/>
      <c r="GN381" s="9"/>
      <c r="GO381" s="9"/>
      <c r="GP381" s="9"/>
      <c r="GQ381" s="9"/>
      <c r="GR381" s="9"/>
      <c r="GS381" s="9"/>
      <c r="GT381" s="9"/>
      <c r="GU381" s="9"/>
      <c r="GV381" s="9"/>
      <c r="GW381" s="9"/>
      <c r="GX381" s="9"/>
      <c r="GY381" s="9"/>
      <c r="GZ381" s="9"/>
      <c r="HA381" s="9"/>
      <c r="HB381" s="9"/>
      <c r="HC381" s="9"/>
      <c r="HD381" s="9"/>
      <c r="HE381" s="9"/>
      <c r="HF381" s="9"/>
      <c r="HG381" s="9"/>
      <c r="HH381" s="9"/>
      <c r="HI381" s="9"/>
      <c r="HJ381" s="9"/>
      <c r="HK381" s="9"/>
      <c r="HU381" s="101">
        <v>38838</v>
      </c>
      <c r="HW381" s="58"/>
      <c r="HX381" s="58"/>
      <c r="II381" t="s">
        <v>1572</v>
      </c>
      <c r="IJ381" s="87" t="s">
        <v>1190</v>
      </c>
      <c r="IK381" s="19" t="s">
        <v>660</v>
      </c>
      <c r="IL381" t="s">
        <v>661</v>
      </c>
      <c r="IM381">
        <v>2006</v>
      </c>
      <c r="IO381" s="87" t="s">
        <v>29</v>
      </c>
      <c r="JK381" t="s">
        <v>1572</v>
      </c>
      <c r="JL381" s="84" t="s">
        <v>721</v>
      </c>
      <c r="MZ381" t="s">
        <v>1589</v>
      </c>
      <c r="NA381">
        <v>120</v>
      </c>
      <c r="NJ381" s="87" t="s">
        <v>1592</v>
      </c>
      <c r="NK381" t="s">
        <v>1590</v>
      </c>
      <c r="NM381" s="103" t="s">
        <v>671</v>
      </c>
      <c r="NN381" s="102" t="s">
        <v>1537</v>
      </c>
      <c r="NW381" t="s">
        <v>6</v>
      </c>
      <c r="NX381">
        <v>115491.47</v>
      </c>
      <c r="NY381" s="88" t="s">
        <v>29</v>
      </c>
      <c r="NZ381" s="88" t="s">
        <v>29</v>
      </c>
      <c r="OA381" s="104"/>
      <c r="OC381">
        <v>3</v>
      </c>
      <c r="OT381" t="s">
        <v>1575</v>
      </c>
      <c r="OU381" s="3" t="s">
        <v>2188</v>
      </c>
      <c r="OW381">
        <v>2006</v>
      </c>
      <c r="OX381">
        <v>2007</v>
      </c>
      <c r="PA381" t="s">
        <v>1169</v>
      </c>
      <c r="PB381" s="58">
        <v>46105</v>
      </c>
    </row>
    <row r="382" spans="1:418" ht="15.75" thickBot="1">
      <c r="A382" t="s">
        <v>248</v>
      </c>
      <c r="B382" t="s">
        <v>1562</v>
      </c>
      <c r="C382" t="s">
        <v>1173</v>
      </c>
      <c r="D382" s="4" t="s">
        <v>1936</v>
      </c>
      <c r="E382" t="s">
        <v>1578</v>
      </c>
      <c r="F382" s="100" t="s">
        <v>31</v>
      </c>
      <c r="G382" s="87" t="s">
        <v>2</v>
      </c>
      <c r="H382" s="87" t="s">
        <v>30</v>
      </c>
      <c r="I382">
        <v>7.25</v>
      </c>
      <c r="J382">
        <v>3.4166666669999999</v>
      </c>
      <c r="K382" s="87" t="s">
        <v>29</v>
      </c>
      <c r="AV382" t="s">
        <v>1697</v>
      </c>
      <c r="AW382">
        <v>3240</v>
      </c>
      <c r="AX382">
        <v>1.2E-2</v>
      </c>
      <c r="AY382">
        <v>1</v>
      </c>
      <c r="BA382">
        <v>2006</v>
      </c>
      <c r="BB382">
        <v>2007</v>
      </c>
      <c r="BD382" t="s">
        <v>19</v>
      </c>
      <c r="BE382" t="s">
        <v>1568</v>
      </c>
      <c r="BF382" t="s">
        <v>39</v>
      </c>
      <c r="BG382" s="78" t="s">
        <v>1233</v>
      </c>
      <c r="BH382" t="s">
        <v>1569</v>
      </c>
      <c r="BI382" t="s">
        <v>1581</v>
      </c>
      <c r="BJ382" s="87" t="s">
        <v>22</v>
      </c>
      <c r="BK382">
        <v>1330</v>
      </c>
      <c r="EH382" s="9"/>
      <c r="EI382" s="9"/>
      <c r="EJ382" s="9"/>
      <c r="EK382" s="9"/>
      <c r="EL382" s="9"/>
      <c r="EM382" s="9"/>
      <c r="EN382" s="9"/>
      <c r="EO382" s="9"/>
      <c r="EP382" s="9"/>
      <c r="EQ382" s="9"/>
      <c r="ER382" s="9"/>
      <c r="ES382" s="9"/>
      <c r="ET382" s="9"/>
      <c r="EU382" s="9"/>
      <c r="EV382" s="9"/>
      <c r="EW382" s="9"/>
      <c r="EX382" s="9"/>
      <c r="EY382" s="9"/>
      <c r="EZ382" s="9"/>
      <c r="FA382" s="9"/>
      <c r="FB382" s="9"/>
      <c r="FC382" s="9"/>
      <c r="FD382" s="9"/>
      <c r="FE382" s="9"/>
      <c r="FF382" s="9"/>
      <c r="FG382" s="9"/>
      <c r="FH382" s="9"/>
      <c r="FI382" s="9"/>
      <c r="FJ382" s="9"/>
      <c r="FK382" s="9"/>
      <c r="FL382" s="9"/>
      <c r="FM382" s="9"/>
      <c r="FN382" s="9"/>
      <c r="FO382" s="9"/>
      <c r="FP382" s="9"/>
      <c r="FQ382" s="9"/>
      <c r="FR382" s="9"/>
      <c r="FS382" s="9"/>
      <c r="FT382" s="9"/>
      <c r="FU382" s="9"/>
      <c r="FV382" s="9"/>
      <c r="FW382" s="9"/>
      <c r="FX382" s="9"/>
      <c r="FY382" s="9"/>
      <c r="FZ382" s="9"/>
      <c r="GA382" s="9"/>
      <c r="GB382" s="9"/>
      <c r="GC382" s="9"/>
      <c r="GD382" s="9"/>
      <c r="GE382" s="9"/>
      <c r="GF382" s="9"/>
      <c r="GG382" s="9"/>
      <c r="GH382" s="9"/>
      <c r="GI382" s="9"/>
      <c r="GJ382" s="9"/>
      <c r="GK382" s="9"/>
      <c r="GL382" s="9"/>
      <c r="GM382" s="9"/>
      <c r="GN382" s="9"/>
      <c r="GO382" s="9"/>
      <c r="GP382" s="9"/>
      <c r="GQ382" s="9"/>
      <c r="GR382" s="9"/>
      <c r="GS382" s="9"/>
      <c r="GT382" s="9"/>
      <c r="GU382" s="9"/>
      <c r="GV382" s="9"/>
      <c r="GW382" s="9"/>
      <c r="GX382" s="9"/>
      <c r="GY382" s="9"/>
      <c r="GZ382" s="9"/>
      <c r="HA382" s="9"/>
      <c r="HB382" s="9"/>
      <c r="HC382" s="9"/>
      <c r="HD382" s="9"/>
      <c r="HE382" s="9"/>
      <c r="HF382" s="9"/>
      <c r="HG382" s="9"/>
      <c r="HH382" s="9"/>
      <c r="HI382" s="9"/>
      <c r="HJ382" s="9"/>
      <c r="HK382" s="9"/>
      <c r="HU382" s="101">
        <v>38838</v>
      </c>
      <c r="HW382" s="58"/>
      <c r="HX382" s="58"/>
      <c r="II382" t="s">
        <v>1568</v>
      </c>
      <c r="IJ382" t="s">
        <v>19</v>
      </c>
      <c r="IK382" s="19"/>
      <c r="IO382" s="87"/>
      <c r="JK382" t="s">
        <v>1568</v>
      </c>
      <c r="JL382" s="84" t="s">
        <v>721</v>
      </c>
      <c r="MZ382" t="s">
        <v>1589</v>
      </c>
      <c r="NA382">
        <v>120</v>
      </c>
      <c r="NJ382" s="87" t="s">
        <v>1592</v>
      </c>
      <c r="NK382" t="s">
        <v>1590</v>
      </c>
      <c r="NM382" s="103" t="s">
        <v>671</v>
      </c>
      <c r="NN382" s="102" t="s">
        <v>1537</v>
      </c>
      <c r="NV382" t="s">
        <v>64</v>
      </c>
      <c r="NW382" t="s">
        <v>6</v>
      </c>
      <c r="NX382">
        <v>60028.22</v>
      </c>
      <c r="NY382" s="88" t="s">
        <v>29</v>
      </c>
      <c r="NZ382" s="88" t="s">
        <v>29</v>
      </c>
      <c r="OA382" s="104"/>
      <c r="OC382">
        <v>3</v>
      </c>
      <c r="OT382" t="s">
        <v>1575</v>
      </c>
      <c r="OU382" s="3" t="s">
        <v>2188</v>
      </c>
      <c r="OW382">
        <v>2006</v>
      </c>
      <c r="OX382">
        <v>2007</v>
      </c>
      <c r="PA382" t="s">
        <v>1169</v>
      </c>
      <c r="PB382" s="58">
        <v>46105</v>
      </c>
    </row>
    <row r="383" spans="1:418" ht="15.75" thickBot="1">
      <c r="A383" t="s">
        <v>248</v>
      </c>
      <c r="B383" t="s">
        <v>1562</v>
      </c>
      <c r="C383" t="s">
        <v>1173</v>
      </c>
      <c r="D383" s="4" t="s">
        <v>1936</v>
      </c>
      <c r="E383" t="s">
        <v>1578</v>
      </c>
      <c r="F383" s="100" t="s">
        <v>31</v>
      </c>
      <c r="G383" s="87" t="s">
        <v>2</v>
      </c>
      <c r="H383" s="87" t="s">
        <v>30</v>
      </c>
      <c r="I383">
        <v>7.25</v>
      </c>
      <c r="J383">
        <v>3.4166666669999999</v>
      </c>
      <c r="K383" s="87" t="s">
        <v>29</v>
      </c>
      <c r="AV383" t="s">
        <v>1697</v>
      </c>
      <c r="AW383">
        <v>3240</v>
      </c>
      <c r="AX383">
        <v>1.2E-2</v>
      </c>
      <c r="AY383">
        <v>1</v>
      </c>
      <c r="BA383">
        <v>2006</v>
      </c>
      <c r="BB383">
        <v>2007</v>
      </c>
      <c r="BD383" t="s">
        <v>19</v>
      </c>
      <c r="BE383" t="s">
        <v>1567</v>
      </c>
      <c r="BF383" t="s">
        <v>24</v>
      </c>
      <c r="BG383" s="78" t="s">
        <v>1233</v>
      </c>
      <c r="BH383" t="s">
        <v>1580</v>
      </c>
      <c r="BI383" t="s">
        <v>836</v>
      </c>
      <c r="BJ383" s="87" t="s">
        <v>22</v>
      </c>
      <c r="BK383">
        <v>20000</v>
      </c>
      <c r="EH383" s="9"/>
      <c r="EI383" s="9"/>
      <c r="EJ383" s="9"/>
      <c r="EK383" s="9"/>
      <c r="EL383" s="9"/>
      <c r="EM383" s="9"/>
      <c r="EN383" s="9"/>
      <c r="EO383" s="9"/>
      <c r="EP383" s="9"/>
      <c r="EQ383" s="9"/>
      <c r="ER383" s="9"/>
      <c r="ES383" s="9"/>
      <c r="ET383" s="9"/>
      <c r="EU383" s="9"/>
      <c r="EV383" s="9"/>
      <c r="EW383" s="9"/>
      <c r="EX383" s="9"/>
      <c r="EY383" s="9"/>
      <c r="EZ383" s="9"/>
      <c r="FA383" s="9"/>
      <c r="FB383" s="9"/>
      <c r="FC383" s="9"/>
      <c r="FD383" s="9"/>
      <c r="FE383" s="9"/>
      <c r="FF383" s="9"/>
      <c r="FG383" s="9"/>
      <c r="FH383" s="9"/>
      <c r="FI383" s="9"/>
      <c r="FJ383" s="9"/>
      <c r="FK383" s="9"/>
      <c r="FL383" s="9"/>
      <c r="FM383" s="9"/>
      <c r="FN383" s="9"/>
      <c r="FO383" s="9"/>
      <c r="FP383" s="9"/>
      <c r="FQ383" s="9"/>
      <c r="FR383" s="9"/>
      <c r="FS383" s="9"/>
      <c r="FT383" s="9"/>
      <c r="FU383" s="9"/>
      <c r="FV383" s="9"/>
      <c r="FW383" s="9"/>
      <c r="FX383" s="9"/>
      <c r="FY383" s="9"/>
      <c r="FZ383" s="9"/>
      <c r="GA383" s="9"/>
      <c r="GB383" s="9"/>
      <c r="GC383" s="9"/>
      <c r="GD383" s="9"/>
      <c r="GE383" s="9"/>
      <c r="GF383" s="9"/>
      <c r="GG383" s="9"/>
      <c r="GH383" s="9"/>
      <c r="GI383" s="9"/>
      <c r="GJ383" s="9"/>
      <c r="GK383" s="9"/>
      <c r="GL383" s="9"/>
      <c r="GM383" s="9"/>
      <c r="GN383" s="9"/>
      <c r="GO383" s="9"/>
      <c r="GP383" s="9"/>
      <c r="GQ383" s="9"/>
      <c r="GR383" s="9"/>
      <c r="GS383" s="9"/>
      <c r="GT383" s="9"/>
      <c r="GU383" s="9"/>
      <c r="GV383" s="9"/>
      <c r="GW383" s="9"/>
      <c r="GX383" s="9"/>
      <c r="GY383" s="9"/>
      <c r="GZ383" s="9"/>
      <c r="HA383" s="9"/>
      <c r="HB383" s="9"/>
      <c r="HC383" s="9"/>
      <c r="HD383" s="9"/>
      <c r="HE383" s="9"/>
      <c r="HF383" s="9"/>
      <c r="HG383" s="9"/>
      <c r="HH383" s="9"/>
      <c r="HI383" s="9"/>
      <c r="HJ383" s="9"/>
      <c r="HK383" s="9"/>
      <c r="HU383" s="101">
        <v>38838</v>
      </c>
      <c r="HW383" s="58"/>
      <c r="HX383" s="58"/>
      <c r="II383" t="s">
        <v>1567</v>
      </c>
      <c r="IJ383" t="s">
        <v>19</v>
      </c>
      <c r="IK383" s="19"/>
      <c r="IO383" s="87"/>
      <c r="JK383" t="s">
        <v>1567</v>
      </c>
      <c r="JL383" s="84" t="s">
        <v>721</v>
      </c>
      <c r="MZ383" t="s">
        <v>1589</v>
      </c>
      <c r="NA383">
        <v>120</v>
      </c>
      <c r="NJ383" s="87" t="s">
        <v>1592</v>
      </c>
      <c r="NK383" t="s">
        <v>1590</v>
      </c>
      <c r="NM383" s="103" t="s">
        <v>671</v>
      </c>
      <c r="NN383" s="102" t="s">
        <v>1537</v>
      </c>
      <c r="NV383" t="s">
        <v>64</v>
      </c>
      <c r="NW383" t="s">
        <v>6</v>
      </c>
      <c r="NX383">
        <v>112248.22</v>
      </c>
      <c r="NY383" s="88" t="s">
        <v>29</v>
      </c>
      <c r="NZ383" s="88" t="s">
        <v>29</v>
      </c>
      <c r="OA383" s="104"/>
      <c r="OC383">
        <v>3</v>
      </c>
      <c r="OT383" t="s">
        <v>1575</v>
      </c>
      <c r="OU383" s="3" t="s">
        <v>2188</v>
      </c>
      <c r="OW383">
        <v>2006</v>
      </c>
      <c r="OX383">
        <v>2007</v>
      </c>
      <c r="PA383" t="s">
        <v>1169</v>
      </c>
      <c r="PB383" s="58">
        <v>46105</v>
      </c>
    </row>
    <row r="384" spans="1:418" ht="15.75" thickBot="1">
      <c r="A384" t="s">
        <v>248</v>
      </c>
      <c r="B384" t="s">
        <v>1562</v>
      </c>
      <c r="C384" t="s">
        <v>1173</v>
      </c>
      <c r="D384" s="4" t="s">
        <v>1936</v>
      </c>
      <c r="E384" t="s">
        <v>1578</v>
      </c>
      <c r="F384" s="100" t="s">
        <v>31</v>
      </c>
      <c r="G384" s="87" t="s">
        <v>2</v>
      </c>
      <c r="H384" s="87" t="s">
        <v>30</v>
      </c>
      <c r="I384">
        <v>7.25</v>
      </c>
      <c r="J384">
        <v>3.4166666669999999</v>
      </c>
      <c r="K384" s="87" t="s">
        <v>29</v>
      </c>
      <c r="AV384" t="s">
        <v>1697</v>
      </c>
      <c r="AW384">
        <v>3240</v>
      </c>
      <c r="AX384">
        <v>1.2E-2</v>
      </c>
      <c r="AY384">
        <v>1</v>
      </c>
      <c r="BA384">
        <v>2006</v>
      </c>
      <c r="BB384">
        <v>2007</v>
      </c>
      <c r="BD384" t="s">
        <v>19</v>
      </c>
      <c r="BE384" t="s">
        <v>1563</v>
      </c>
      <c r="BF384" t="s">
        <v>299</v>
      </c>
      <c r="BG384" s="78" t="s">
        <v>1233</v>
      </c>
      <c r="BH384" t="s">
        <v>1580</v>
      </c>
      <c r="BI384" t="s">
        <v>234</v>
      </c>
      <c r="BJ384" s="87" t="s">
        <v>22</v>
      </c>
      <c r="BK384">
        <v>20000</v>
      </c>
      <c r="EH384" s="9"/>
      <c r="EI384" s="9"/>
      <c r="EJ384" s="9"/>
      <c r="EK384" s="9"/>
      <c r="EL384" s="9"/>
      <c r="EM384" s="9"/>
      <c r="EN384" s="9"/>
      <c r="EO384" s="9"/>
      <c r="EP384" s="9"/>
      <c r="EQ384" s="9"/>
      <c r="ER384" s="9"/>
      <c r="ES384" s="9"/>
      <c r="ET384" s="9"/>
      <c r="EU384" s="9"/>
      <c r="EV384" s="9"/>
      <c r="EW384" s="9"/>
      <c r="EX384" s="9"/>
      <c r="EY384" s="9"/>
      <c r="EZ384" s="9"/>
      <c r="FA384" s="9"/>
      <c r="FB384" s="9"/>
      <c r="FC384" s="9"/>
      <c r="FD384" s="9"/>
      <c r="FE384" s="9"/>
      <c r="FF384" s="9"/>
      <c r="FG384" s="9"/>
      <c r="FH384" s="9"/>
      <c r="FI384" s="9"/>
      <c r="FJ384" s="9"/>
      <c r="FK384" s="9"/>
      <c r="FL384" s="9"/>
      <c r="FM384" s="9"/>
      <c r="FN384" s="9"/>
      <c r="FO384" s="9"/>
      <c r="FP384" s="9"/>
      <c r="FQ384" s="9"/>
      <c r="FR384" s="9"/>
      <c r="FS384" s="9"/>
      <c r="FT384" s="9"/>
      <c r="FU384" s="9"/>
      <c r="FV384" s="9"/>
      <c r="FW384" s="9"/>
      <c r="FX384" s="9"/>
      <c r="FY384" s="9"/>
      <c r="FZ384" s="9"/>
      <c r="GA384" s="9"/>
      <c r="GB384" s="9"/>
      <c r="GC384" s="9"/>
      <c r="GD384" s="9"/>
      <c r="GE384" s="9"/>
      <c r="GF384" s="9"/>
      <c r="GG384" s="9"/>
      <c r="GH384" s="9"/>
      <c r="GI384" s="9"/>
      <c r="GJ384" s="9"/>
      <c r="GK384" s="9"/>
      <c r="GL384" s="9"/>
      <c r="GM384" s="9"/>
      <c r="GN384" s="9"/>
      <c r="GO384" s="9"/>
      <c r="GP384" s="9"/>
      <c r="GQ384" s="9"/>
      <c r="GR384" s="9"/>
      <c r="GS384" s="9"/>
      <c r="GT384" s="9"/>
      <c r="GU384" s="9"/>
      <c r="GV384" s="9"/>
      <c r="GW384" s="9"/>
      <c r="GX384" s="9"/>
      <c r="GY384" s="9"/>
      <c r="GZ384" s="9"/>
      <c r="HA384" s="9"/>
      <c r="HB384" s="9"/>
      <c r="HC384" s="9"/>
      <c r="HD384" s="9"/>
      <c r="HE384" s="9"/>
      <c r="HF384" s="9"/>
      <c r="HG384" s="9"/>
      <c r="HH384" s="9"/>
      <c r="HI384" s="9"/>
      <c r="HJ384" s="9"/>
      <c r="HK384" s="9"/>
      <c r="HU384" s="101">
        <v>38838</v>
      </c>
      <c r="HW384" s="58"/>
      <c r="HX384" s="58"/>
      <c r="II384" t="s">
        <v>1563</v>
      </c>
      <c r="IJ384" t="s">
        <v>19</v>
      </c>
      <c r="IK384" s="19"/>
      <c r="JK384" t="s">
        <v>1563</v>
      </c>
      <c r="JL384" s="84" t="s">
        <v>227</v>
      </c>
      <c r="JW384" s="8" t="s">
        <v>227</v>
      </c>
      <c r="JX384" s="8" t="s">
        <v>1582</v>
      </c>
      <c r="JY384" t="s">
        <v>13</v>
      </c>
      <c r="JZ384">
        <v>40000</v>
      </c>
      <c r="MZ384" t="s">
        <v>1589</v>
      </c>
      <c r="NA384">
        <v>120</v>
      </c>
      <c r="NJ384" s="87" t="s">
        <v>1592</v>
      </c>
      <c r="NK384" t="s">
        <v>1590</v>
      </c>
      <c r="NM384" s="103" t="s">
        <v>671</v>
      </c>
      <c r="NN384" s="102" t="s">
        <v>1537</v>
      </c>
      <c r="NV384" t="s">
        <v>57</v>
      </c>
      <c r="NW384" t="s">
        <v>6</v>
      </c>
      <c r="NX384">
        <v>134025.53</v>
      </c>
      <c r="NY384" s="88" t="s">
        <v>29</v>
      </c>
      <c r="NZ384" s="88" t="s">
        <v>29</v>
      </c>
      <c r="OA384" s="104"/>
      <c r="OC384">
        <v>3</v>
      </c>
      <c r="OT384" t="s">
        <v>1576</v>
      </c>
      <c r="OU384" s="3" t="s">
        <v>2188</v>
      </c>
      <c r="OW384">
        <v>2006</v>
      </c>
      <c r="OX384">
        <v>2007</v>
      </c>
      <c r="PA384" t="s">
        <v>1169</v>
      </c>
      <c r="PB384" s="58">
        <v>46105</v>
      </c>
    </row>
    <row r="385" spans="1:418" ht="15.75" thickBot="1">
      <c r="A385" t="s">
        <v>248</v>
      </c>
      <c r="B385" t="s">
        <v>1562</v>
      </c>
      <c r="C385" t="s">
        <v>1173</v>
      </c>
      <c r="D385" s="4" t="s">
        <v>1936</v>
      </c>
      <c r="E385" t="s">
        <v>1578</v>
      </c>
      <c r="F385" s="100" t="s">
        <v>31</v>
      </c>
      <c r="G385" s="87" t="s">
        <v>2</v>
      </c>
      <c r="H385" s="87" t="s">
        <v>30</v>
      </c>
      <c r="I385">
        <v>7.25</v>
      </c>
      <c r="J385">
        <v>3.4166666669999999</v>
      </c>
      <c r="K385" s="87" t="s">
        <v>29</v>
      </c>
      <c r="AV385" t="s">
        <v>1697</v>
      </c>
      <c r="AW385">
        <v>3240</v>
      </c>
      <c r="AX385">
        <v>1.2E-2</v>
      </c>
      <c r="AY385">
        <v>1</v>
      </c>
      <c r="BA385">
        <v>2006</v>
      </c>
      <c r="BB385">
        <v>2007</v>
      </c>
      <c r="BD385" t="s">
        <v>19</v>
      </c>
      <c r="BE385" t="s">
        <v>1566</v>
      </c>
      <c r="BF385" t="s">
        <v>256</v>
      </c>
      <c r="BG385" s="78" t="s">
        <v>1233</v>
      </c>
      <c r="BH385" t="s">
        <v>1580</v>
      </c>
      <c r="BI385" t="s">
        <v>234</v>
      </c>
      <c r="BJ385" s="87" t="s">
        <v>22</v>
      </c>
      <c r="BK385">
        <v>20000</v>
      </c>
      <c r="EH385" s="9"/>
      <c r="EI385" s="9"/>
      <c r="EJ385" s="9"/>
      <c r="EK385" s="9"/>
      <c r="EL385" s="9"/>
      <c r="EM385" s="9"/>
      <c r="EN385" s="9"/>
      <c r="EO385" s="9"/>
      <c r="EP385" s="9"/>
      <c r="EQ385" s="9"/>
      <c r="ER385" s="9"/>
      <c r="ES385" s="9"/>
      <c r="ET385" s="9"/>
      <c r="EU385" s="9"/>
      <c r="EV385" s="9"/>
      <c r="EW385" s="9"/>
      <c r="EX385" s="9"/>
      <c r="EY385" s="9"/>
      <c r="EZ385" s="9"/>
      <c r="FA385" s="9"/>
      <c r="FB385" s="9"/>
      <c r="FC385" s="9"/>
      <c r="FD385" s="9"/>
      <c r="FE385" s="9"/>
      <c r="FF385" s="9"/>
      <c r="FG385" s="9"/>
      <c r="FH385" s="9"/>
      <c r="FI385" s="9"/>
      <c r="FJ385" s="9"/>
      <c r="FK385" s="9"/>
      <c r="FL385" s="9"/>
      <c r="FM385" s="9"/>
      <c r="FN385" s="9"/>
      <c r="FO385" s="9"/>
      <c r="FP385" s="9"/>
      <c r="FQ385" s="9"/>
      <c r="FR385" s="9"/>
      <c r="FS385" s="9"/>
      <c r="FT385" s="9"/>
      <c r="FU385" s="9"/>
      <c r="FV385" s="9"/>
      <c r="FW385" s="9"/>
      <c r="FX385" s="9"/>
      <c r="FY385" s="9"/>
      <c r="FZ385" s="9"/>
      <c r="GA385" s="9"/>
      <c r="GB385" s="9"/>
      <c r="GC385" s="9"/>
      <c r="GD385" s="9"/>
      <c r="GE385" s="9"/>
      <c r="GF385" s="9"/>
      <c r="GG385" s="9"/>
      <c r="GH385" s="9"/>
      <c r="GI385" s="9"/>
      <c r="GJ385" s="9"/>
      <c r="GK385" s="9"/>
      <c r="GL385" s="9"/>
      <c r="GM385" s="9"/>
      <c r="GN385" s="9"/>
      <c r="GO385" s="9"/>
      <c r="GP385" s="9"/>
      <c r="GQ385" s="9"/>
      <c r="GR385" s="9"/>
      <c r="GS385" s="9"/>
      <c r="GT385" s="9"/>
      <c r="GU385" s="9"/>
      <c r="GV385" s="9"/>
      <c r="GW385" s="9"/>
      <c r="GX385" s="9"/>
      <c r="GY385" s="9"/>
      <c r="GZ385" s="9"/>
      <c r="HA385" s="9"/>
      <c r="HB385" s="9"/>
      <c r="HC385" s="9"/>
      <c r="HD385" s="9"/>
      <c r="HE385" s="9"/>
      <c r="HF385" s="9"/>
      <c r="HG385" s="9"/>
      <c r="HH385" s="9"/>
      <c r="HI385" s="9"/>
      <c r="HJ385" s="9"/>
      <c r="HK385" s="9"/>
      <c r="HU385" s="101">
        <v>38838</v>
      </c>
      <c r="HW385" s="58"/>
      <c r="HX385" s="58"/>
      <c r="II385" t="s">
        <v>1566</v>
      </c>
      <c r="IJ385" t="s">
        <v>19</v>
      </c>
      <c r="IK385" s="19"/>
      <c r="JK385" t="s">
        <v>1566</v>
      </c>
      <c r="JL385" s="84" t="s">
        <v>227</v>
      </c>
      <c r="JW385" s="8" t="s">
        <v>227</v>
      </c>
      <c r="JX385" s="8" t="s">
        <v>1582</v>
      </c>
      <c r="JY385" t="s">
        <v>13</v>
      </c>
      <c r="JZ385">
        <v>80000</v>
      </c>
      <c r="MZ385" t="s">
        <v>1589</v>
      </c>
      <c r="NA385">
        <v>120</v>
      </c>
      <c r="NJ385" s="87" t="s">
        <v>1592</v>
      </c>
      <c r="NK385" t="s">
        <v>1590</v>
      </c>
      <c r="NM385" s="103" t="s">
        <v>671</v>
      </c>
      <c r="NN385" s="102" t="s">
        <v>1537</v>
      </c>
      <c r="NV385" t="s">
        <v>48</v>
      </c>
      <c r="NW385" t="s">
        <v>6</v>
      </c>
      <c r="NX385">
        <v>134998.13</v>
      </c>
      <c r="NY385" s="88" t="s">
        <v>29</v>
      </c>
      <c r="NZ385" s="88" t="s">
        <v>29</v>
      </c>
      <c r="OA385" s="104"/>
      <c r="OC385">
        <v>3</v>
      </c>
      <c r="OT385" t="s">
        <v>1576</v>
      </c>
      <c r="OU385" s="3" t="s">
        <v>2188</v>
      </c>
      <c r="OW385">
        <v>2006</v>
      </c>
      <c r="OX385">
        <v>2007</v>
      </c>
      <c r="PA385" t="s">
        <v>1169</v>
      </c>
      <c r="PB385" s="58">
        <v>46105</v>
      </c>
    </row>
    <row r="386" spans="1:418" ht="15.75" thickBot="1">
      <c r="A386" t="s">
        <v>248</v>
      </c>
      <c r="B386" t="s">
        <v>1562</v>
      </c>
      <c r="C386" t="s">
        <v>1173</v>
      </c>
      <c r="D386" s="4" t="s">
        <v>1936</v>
      </c>
      <c r="E386" t="s">
        <v>1578</v>
      </c>
      <c r="F386" s="100" t="s">
        <v>31</v>
      </c>
      <c r="G386" s="87" t="s">
        <v>2</v>
      </c>
      <c r="H386" s="87" t="s">
        <v>30</v>
      </c>
      <c r="I386">
        <v>7.25</v>
      </c>
      <c r="J386">
        <v>3.4166666669999999</v>
      </c>
      <c r="K386" s="87" t="s">
        <v>29</v>
      </c>
      <c r="AV386" t="s">
        <v>1697</v>
      </c>
      <c r="AW386">
        <v>3240</v>
      </c>
      <c r="AX386">
        <v>1.2E-2</v>
      </c>
      <c r="AY386">
        <v>1</v>
      </c>
      <c r="BA386">
        <v>2006</v>
      </c>
      <c r="BB386">
        <v>2007</v>
      </c>
      <c r="BD386" t="s">
        <v>19</v>
      </c>
      <c r="BE386" t="s">
        <v>1570</v>
      </c>
      <c r="BF386" t="s">
        <v>1456</v>
      </c>
      <c r="BG386" s="78" t="s">
        <v>1233</v>
      </c>
      <c r="BH386" t="s">
        <v>1569</v>
      </c>
      <c r="BI386" t="s">
        <v>1581</v>
      </c>
      <c r="BJ386" s="87" t="s">
        <v>22</v>
      </c>
      <c r="BK386">
        <v>1330</v>
      </c>
      <c r="EH386" s="9"/>
      <c r="EI386" s="9"/>
      <c r="EJ386" s="9"/>
      <c r="EK386" s="9"/>
      <c r="EL386" s="9"/>
      <c r="EM386" s="9"/>
      <c r="EN386" s="9"/>
      <c r="EO386" s="9"/>
      <c r="EP386" s="9"/>
      <c r="EQ386" s="9"/>
      <c r="ER386" s="9"/>
      <c r="ES386" s="9"/>
      <c r="ET386" s="9"/>
      <c r="EU386" s="9"/>
      <c r="EV386" s="9"/>
      <c r="EW386" s="9"/>
      <c r="EX386" s="9"/>
      <c r="EY386" s="9"/>
      <c r="EZ386" s="9"/>
      <c r="FA386" s="9"/>
      <c r="FB386" s="9"/>
      <c r="FC386" s="9"/>
      <c r="FD386" s="9"/>
      <c r="FE386" s="9"/>
      <c r="FF386" s="9"/>
      <c r="FG386" s="9"/>
      <c r="FH386" s="9"/>
      <c r="FI386" s="9"/>
      <c r="FJ386" s="9"/>
      <c r="FK386" s="9"/>
      <c r="FL386" s="9"/>
      <c r="FM386" s="9"/>
      <c r="FN386" s="9"/>
      <c r="FO386" s="9"/>
      <c r="FP386" s="9"/>
      <c r="FQ386" s="9"/>
      <c r="FR386" s="9"/>
      <c r="FS386" s="9"/>
      <c r="FT386" s="9"/>
      <c r="FU386" s="9"/>
      <c r="FV386" s="9"/>
      <c r="FW386" s="9"/>
      <c r="FX386" s="9"/>
      <c r="FY386" s="9"/>
      <c r="FZ386" s="9"/>
      <c r="GA386" s="9"/>
      <c r="GB386" s="9"/>
      <c r="GC386" s="9"/>
      <c r="GD386" s="9"/>
      <c r="GE386" s="9"/>
      <c r="GF386" s="9"/>
      <c r="GG386" s="9"/>
      <c r="GH386" s="9"/>
      <c r="GI386" s="9"/>
      <c r="GJ386" s="9"/>
      <c r="GK386" s="9"/>
      <c r="GL386" s="9"/>
      <c r="GM386" s="9"/>
      <c r="GN386" s="9"/>
      <c r="GO386" s="9"/>
      <c r="GP386" s="9"/>
      <c r="GQ386" s="9"/>
      <c r="GR386" s="9"/>
      <c r="GS386" s="9"/>
      <c r="GT386" s="9"/>
      <c r="GU386" s="9"/>
      <c r="GV386" s="9"/>
      <c r="GW386" s="9"/>
      <c r="GX386" s="9"/>
      <c r="GY386" s="9"/>
      <c r="GZ386" s="9"/>
      <c r="HA386" s="9"/>
      <c r="HB386" s="9"/>
      <c r="HC386" s="9"/>
      <c r="HD386" s="9"/>
      <c r="HE386" s="9"/>
      <c r="HF386" s="9"/>
      <c r="HG386" s="9"/>
      <c r="HH386" s="9"/>
      <c r="HI386" s="9"/>
      <c r="HJ386" s="9"/>
      <c r="HK386" s="9"/>
      <c r="HU386" s="101">
        <v>38838</v>
      </c>
      <c r="HW386" s="58"/>
      <c r="HX386" s="58"/>
      <c r="II386" t="s">
        <v>1570</v>
      </c>
      <c r="IJ386" t="s">
        <v>19</v>
      </c>
      <c r="IK386" s="19"/>
      <c r="JK386" t="s">
        <v>1570</v>
      </c>
      <c r="JL386" s="84" t="s">
        <v>227</v>
      </c>
      <c r="JW386" s="8" t="s">
        <v>227</v>
      </c>
      <c r="JX386" s="8" t="s">
        <v>1582</v>
      </c>
      <c r="JY386" t="s">
        <v>13</v>
      </c>
      <c r="JZ386">
        <v>40000</v>
      </c>
      <c r="MZ386" t="s">
        <v>1589</v>
      </c>
      <c r="NA386">
        <v>120</v>
      </c>
      <c r="NJ386" s="87" t="s">
        <v>1592</v>
      </c>
      <c r="NK386" t="s">
        <v>1590</v>
      </c>
      <c r="NM386" s="103" t="s">
        <v>671</v>
      </c>
      <c r="NN386" s="102" t="s">
        <v>1537</v>
      </c>
      <c r="NV386" t="s">
        <v>57</v>
      </c>
      <c r="NW386" t="s">
        <v>6</v>
      </c>
      <c r="NX386" s="104">
        <v>76765.98</v>
      </c>
      <c r="NY386" s="88" t="s">
        <v>29</v>
      </c>
      <c r="NZ386" s="88" t="s">
        <v>29</v>
      </c>
      <c r="OA386" s="104"/>
      <c r="OC386">
        <v>3</v>
      </c>
      <c r="OT386" t="s">
        <v>1577</v>
      </c>
      <c r="OU386" s="3" t="s">
        <v>2188</v>
      </c>
      <c r="OW386">
        <v>2006</v>
      </c>
      <c r="OX386">
        <v>2007</v>
      </c>
      <c r="PA386" t="s">
        <v>1169</v>
      </c>
      <c r="PB386" s="58">
        <v>46105</v>
      </c>
    </row>
    <row r="387" spans="1:418" ht="15.75" thickBot="1">
      <c r="A387" t="s">
        <v>248</v>
      </c>
      <c r="B387" t="s">
        <v>1562</v>
      </c>
      <c r="C387" t="s">
        <v>1173</v>
      </c>
      <c r="D387" s="4" t="s">
        <v>1936</v>
      </c>
      <c r="E387" t="s">
        <v>1578</v>
      </c>
      <c r="F387" s="100" t="s">
        <v>31</v>
      </c>
      <c r="G387" s="87" t="s">
        <v>2</v>
      </c>
      <c r="H387" s="87" t="s">
        <v>30</v>
      </c>
      <c r="I387">
        <v>7.25</v>
      </c>
      <c r="J387">
        <v>3.4166666669999999</v>
      </c>
      <c r="K387" s="87" t="s">
        <v>29</v>
      </c>
      <c r="AV387" t="s">
        <v>1697</v>
      </c>
      <c r="AW387">
        <v>3240</v>
      </c>
      <c r="AX387">
        <v>1.2E-2</v>
      </c>
      <c r="AY387">
        <v>1</v>
      </c>
      <c r="BA387">
        <v>2006</v>
      </c>
      <c r="BB387">
        <v>2007</v>
      </c>
      <c r="BD387" t="s">
        <v>19</v>
      </c>
      <c r="BE387" t="s">
        <v>1571</v>
      </c>
      <c r="BF387" t="s">
        <v>1458</v>
      </c>
      <c r="BG387" s="78" t="s">
        <v>1233</v>
      </c>
      <c r="BH387" t="s">
        <v>1569</v>
      </c>
      <c r="BI387" t="s">
        <v>1581</v>
      </c>
      <c r="BJ387" s="87" t="s">
        <v>22</v>
      </c>
      <c r="BK387">
        <v>1330</v>
      </c>
      <c r="EH387" s="9"/>
      <c r="EI387" s="9"/>
      <c r="EJ387" s="9"/>
      <c r="EK387" s="9"/>
      <c r="EL387" s="9"/>
      <c r="EM387" s="9"/>
      <c r="EN387" s="9"/>
      <c r="EO387" s="9"/>
      <c r="EP387" s="9"/>
      <c r="EQ387" s="9"/>
      <c r="ER387" s="9"/>
      <c r="ES387" s="9"/>
      <c r="ET387" s="9"/>
      <c r="EU387" s="9"/>
      <c r="EV387" s="9"/>
      <c r="EW387" s="9"/>
      <c r="EX387" s="9"/>
      <c r="EY387" s="9"/>
      <c r="EZ387" s="9"/>
      <c r="FA387" s="9"/>
      <c r="FB387" s="9"/>
      <c r="FC387" s="9"/>
      <c r="FD387" s="9"/>
      <c r="FE387" s="9"/>
      <c r="FF387" s="9"/>
      <c r="FG387" s="9"/>
      <c r="FH387" s="9"/>
      <c r="FI387" s="9"/>
      <c r="FJ387" s="9"/>
      <c r="FK387" s="9"/>
      <c r="FL387" s="9"/>
      <c r="FM387" s="9"/>
      <c r="FN387" s="9"/>
      <c r="FO387" s="9"/>
      <c r="FP387" s="9"/>
      <c r="FQ387" s="9"/>
      <c r="FR387" s="9"/>
      <c r="FS387" s="9"/>
      <c r="FT387" s="9"/>
      <c r="FU387" s="9"/>
      <c r="FV387" s="9"/>
      <c r="FW387" s="9"/>
      <c r="FX387" s="9"/>
      <c r="FY387" s="9"/>
      <c r="FZ387" s="9"/>
      <c r="GA387" s="9"/>
      <c r="GB387" s="9"/>
      <c r="GC387" s="9"/>
      <c r="GD387" s="9"/>
      <c r="GE387" s="9"/>
      <c r="GF387" s="9"/>
      <c r="GG387" s="9"/>
      <c r="GH387" s="9"/>
      <c r="GI387" s="9"/>
      <c r="GJ387" s="9"/>
      <c r="GK387" s="9"/>
      <c r="GL387" s="9"/>
      <c r="GM387" s="9"/>
      <c r="GN387" s="9"/>
      <c r="GO387" s="9"/>
      <c r="GP387" s="9"/>
      <c r="GQ387" s="9"/>
      <c r="GR387" s="9"/>
      <c r="GS387" s="9"/>
      <c r="GT387" s="9"/>
      <c r="GU387" s="9"/>
      <c r="GV387" s="9"/>
      <c r="GW387" s="9"/>
      <c r="GX387" s="9"/>
      <c r="GY387" s="9"/>
      <c r="GZ387" s="9"/>
      <c r="HA387" s="9"/>
      <c r="HB387" s="9"/>
      <c r="HC387" s="9"/>
      <c r="HD387" s="9"/>
      <c r="HE387" s="9"/>
      <c r="HF387" s="9"/>
      <c r="HG387" s="9"/>
      <c r="HH387" s="9"/>
      <c r="HI387" s="9"/>
      <c r="HJ387" s="9"/>
      <c r="HK387" s="9"/>
      <c r="HU387" s="101">
        <v>38838</v>
      </c>
      <c r="HW387" s="58"/>
      <c r="HX387" s="58"/>
      <c r="II387" t="s">
        <v>1571</v>
      </c>
      <c r="IJ387" t="s">
        <v>19</v>
      </c>
      <c r="IK387" s="19"/>
      <c r="JK387" t="s">
        <v>1571</v>
      </c>
      <c r="JL387" s="84" t="s">
        <v>227</v>
      </c>
      <c r="JW387" s="8" t="s">
        <v>227</v>
      </c>
      <c r="JX387" s="8" t="s">
        <v>1582</v>
      </c>
      <c r="JY387" t="s">
        <v>13</v>
      </c>
      <c r="JZ387">
        <v>80000</v>
      </c>
      <c r="MZ387" t="s">
        <v>1589</v>
      </c>
      <c r="NA387">
        <v>120</v>
      </c>
      <c r="NJ387" s="87" t="s">
        <v>1592</v>
      </c>
      <c r="NK387" t="s">
        <v>1590</v>
      </c>
      <c r="NM387" s="103" t="s">
        <v>671</v>
      </c>
      <c r="NN387" s="102" t="s">
        <v>1537</v>
      </c>
      <c r="NV387" t="s">
        <v>48</v>
      </c>
      <c r="NW387" t="s">
        <v>6</v>
      </c>
      <c r="NX387" s="104">
        <v>86605.98</v>
      </c>
      <c r="NY387" s="88" t="s">
        <v>29</v>
      </c>
      <c r="NZ387" s="88" t="s">
        <v>29</v>
      </c>
      <c r="OA387" s="104"/>
      <c r="OC387">
        <v>3</v>
      </c>
      <c r="OT387" t="s">
        <v>1577</v>
      </c>
      <c r="OU387" s="3" t="s">
        <v>2188</v>
      </c>
      <c r="OW387">
        <v>2006</v>
      </c>
      <c r="OX387">
        <v>2007</v>
      </c>
      <c r="PA387" t="s">
        <v>1169</v>
      </c>
      <c r="PB387" s="58">
        <v>46105</v>
      </c>
    </row>
    <row r="388" spans="1:418" ht="15.75" thickBot="1">
      <c r="A388" t="s">
        <v>248</v>
      </c>
      <c r="B388" t="s">
        <v>1562</v>
      </c>
      <c r="C388" t="s">
        <v>1173</v>
      </c>
      <c r="D388" s="4" t="s">
        <v>1936</v>
      </c>
      <c r="E388" t="s">
        <v>1578</v>
      </c>
      <c r="F388" s="100" t="s">
        <v>31</v>
      </c>
      <c r="G388" s="87" t="s">
        <v>2</v>
      </c>
      <c r="H388" s="87" t="s">
        <v>30</v>
      </c>
      <c r="I388">
        <v>7.25</v>
      </c>
      <c r="J388">
        <v>3.4166666669999999</v>
      </c>
      <c r="K388" s="87" t="s">
        <v>29</v>
      </c>
      <c r="AV388" t="s">
        <v>1697</v>
      </c>
      <c r="AW388">
        <v>3240</v>
      </c>
      <c r="AX388">
        <v>1.2E-2</v>
      </c>
      <c r="AY388">
        <v>1</v>
      </c>
      <c r="BA388">
        <v>2006</v>
      </c>
      <c r="BB388">
        <v>2007</v>
      </c>
      <c r="BD388" t="s">
        <v>238</v>
      </c>
      <c r="BE388" t="s">
        <v>1573</v>
      </c>
      <c r="BF388" t="s">
        <v>57</v>
      </c>
      <c r="BG388" s="78" t="s">
        <v>1233</v>
      </c>
      <c r="BH388" t="s">
        <v>1569</v>
      </c>
      <c r="BI388" t="s">
        <v>1581</v>
      </c>
      <c r="BJ388" s="87" t="s">
        <v>22</v>
      </c>
      <c r="BK388">
        <v>1330</v>
      </c>
      <c r="BL388" t="s">
        <v>56</v>
      </c>
      <c r="BM388" t="s">
        <v>1580</v>
      </c>
      <c r="BN388" t="s">
        <v>234</v>
      </c>
      <c r="BO388" s="87" t="s">
        <v>22</v>
      </c>
      <c r="BP388">
        <v>20000</v>
      </c>
      <c r="EH388" s="9"/>
      <c r="EI388" s="9"/>
      <c r="EJ388" s="9"/>
      <c r="EK388" s="9"/>
      <c r="EL388" s="9"/>
      <c r="EM388" s="9"/>
      <c r="EN388" s="9"/>
      <c r="EO388" s="9"/>
      <c r="EP388" s="9"/>
      <c r="EQ388" s="9"/>
      <c r="ER388" s="9"/>
      <c r="ES388" s="9"/>
      <c r="ET388" s="9"/>
      <c r="EU388" s="9"/>
      <c r="EV388" s="9"/>
      <c r="EW388" s="9"/>
      <c r="EX388" s="9"/>
      <c r="EY388" s="9"/>
      <c r="EZ388" s="9"/>
      <c r="FA388" s="9"/>
      <c r="FB388" s="9"/>
      <c r="FC388" s="9"/>
      <c r="FD388" s="9"/>
      <c r="FE388" s="9"/>
      <c r="FF388" s="9"/>
      <c r="FG388" s="9"/>
      <c r="FH388" s="9"/>
      <c r="FI388" s="9"/>
      <c r="FJ388" s="9"/>
      <c r="FK388" s="9"/>
      <c r="FL388" s="9"/>
      <c r="FM388" s="9"/>
      <c r="FN388" s="9"/>
      <c r="FO388" s="9"/>
      <c r="FP388" s="9"/>
      <c r="FQ388" s="9"/>
      <c r="FR388" s="9"/>
      <c r="FS388" s="9"/>
      <c r="FT388" s="9"/>
      <c r="FU388" s="9"/>
      <c r="FV388" s="9"/>
      <c r="FW388" s="9"/>
      <c r="FX388" s="9"/>
      <c r="FY388" s="9"/>
      <c r="FZ388" s="9"/>
      <c r="GA388" s="9"/>
      <c r="GB388" s="9"/>
      <c r="GC388" s="9"/>
      <c r="GD388" s="9"/>
      <c r="GE388" s="9"/>
      <c r="GF388" s="9"/>
      <c r="GG388" s="9"/>
      <c r="GH388" s="9"/>
      <c r="GI388" s="9"/>
      <c r="GJ388" s="9"/>
      <c r="GK388" s="9"/>
      <c r="GL388" s="9"/>
      <c r="GM388" s="9"/>
      <c r="GN388" s="9"/>
      <c r="GO388" s="9"/>
      <c r="GP388" s="9"/>
      <c r="GQ388" s="9"/>
      <c r="GR388" s="9"/>
      <c r="GS388" s="9"/>
      <c r="GT388" s="9"/>
      <c r="GU388" s="9"/>
      <c r="GV388" s="9"/>
      <c r="GW388" s="9"/>
      <c r="GX388" s="9"/>
      <c r="GY388" s="9"/>
      <c r="GZ388" s="9"/>
      <c r="HA388" s="9"/>
      <c r="HB388" s="9"/>
      <c r="HC388" s="9"/>
      <c r="HD388" s="9"/>
      <c r="HE388" s="9"/>
      <c r="HF388" s="9"/>
      <c r="HG388" s="9"/>
      <c r="HH388" s="9"/>
      <c r="HI388" s="9"/>
      <c r="HJ388" s="9"/>
      <c r="HK388" s="9"/>
      <c r="HU388" s="101">
        <v>38838</v>
      </c>
      <c r="HW388" s="58"/>
      <c r="HX388" s="58"/>
      <c r="II388" t="s">
        <v>1573</v>
      </c>
      <c r="IJ388" s="87" t="s">
        <v>1190</v>
      </c>
      <c r="IK388" t="s">
        <v>660</v>
      </c>
      <c r="IL388" t="s">
        <v>661</v>
      </c>
      <c r="IM388">
        <v>2006</v>
      </c>
      <c r="IO388" s="87" t="s">
        <v>29</v>
      </c>
      <c r="JK388" t="s">
        <v>1573</v>
      </c>
      <c r="JL388" s="84" t="s">
        <v>227</v>
      </c>
      <c r="JW388" s="8" t="s">
        <v>227</v>
      </c>
      <c r="JX388" s="8" t="s">
        <v>1582</v>
      </c>
      <c r="JY388" t="s">
        <v>13</v>
      </c>
      <c r="JZ388">
        <v>40000</v>
      </c>
      <c r="MZ388" t="s">
        <v>1589</v>
      </c>
      <c r="NA388">
        <v>120</v>
      </c>
      <c r="NJ388" s="87" t="s">
        <v>1592</v>
      </c>
      <c r="NK388" t="s">
        <v>1590</v>
      </c>
      <c r="NM388" s="103" t="s">
        <v>671</v>
      </c>
      <c r="NN388" s="102" t="s">
        <v>1537</v>
      </c>
      <c r="NW388" t="s">
        <v>6</v>
      </c>
      <c r="NX388" s="104">
        <v>137595.43</v>
      </c>
      <c r="NY388" s="88" t="s">
        <v>29</v>
      </c>
      <c r="NZ388" s="88" t="s">
        <v>29</v>
      </c>
      <c r="OC388">
        <v>3</v>
      </c>
      <c r="OT388" t="s">
        <v>1587</v>
      </c>
      <c r="OU388" s="3" t="s">
        <v>2188</v>
      </c>
      <c r="OW388">
        <v>2006</v>
      </c>
      <c r="OX388">
        <v>2007</v>
      </c>
      <c r="PA388" t="s">
        <v>1169</v>
      </c>
      <c r="PB388" s="58">
        <v>46105</v>
      </c>
    </row>
    <row r="389" spans="1:418" ht="15.75" thickBot="1">
      <c r="A389" t="s">
        <v>248</v>
      </c>
      <c r="B389" t="s">
        <v>1562</v>
      </c>
      <c r="C389" t="s">
        <v>1173</v>
      </c>
      <c r="D389" s="4" t="s">
        <v>1936</v>
      </c>
      <c r="E389" t="s">
        <v>1578</v>
      </c>
      <c r="F389" s="100" t="s">
        <v>31</v>
      </c>
      <c r="G389" s="87" t="s">
        <v>2</v>
      </c>
      <c r="H389" s="87" t="s">
        <v>30</v>
      </c>
      <c r="I389">
        <v>7.25</v>
      </c>
      <c r="J389">
        <v>3.4166666669999999</v>
      </c>
      <c r="K389" s="87" t="s">
        <v>29</v>
      </c>
      <c r="AV389" t="s">
        <v>1697</v>
      </c>
      <c r="AW389">
        <v>3240</v>
      </c>
      <c r="AX389">
        <v>1.2E-2</v>
      </c>
      <c r="AY389">
        <v>1</v>
      </c>
      <c r="BA389">
        <v>2006</v>
      </c>
      <c r="BB389">
        <v>2007</v>
      </c>
      <c r="BD389" t="s">
        <v>238</v>
      </c>
      <c r="BE389" t="s">
        <v>1574</v>
      </c>
      <c r="BF389" t="s">
        <v>48</v>
      </c>
      <c r="BG389" s="78" t="s">
        <v>1233</v>
      </c>
      <c r="BH389" t="s">
        <v>1569</v>
      </c>
      <c r="BI389" t="s">
        <v>1581</v>
      </c>
      <c r="BJ389" s="87" t="s">
        <v>22</v>
      </c>
      <c r="BK389">
        <v>1330</v>
      </c>
      <c r="BL389" t="s">
        <v>56</v>
      </c>
      <c r="BM389" t="s">
        <v>1580</v>
      </c>
      <c r="BN389" t="s">
        <v>234</v>
      </c>
      <c r="BO389" s="87" t="s">
        <v>22</v>
      </c>
      <c r="BP389">
        <v>20000</v>
      </c>
      <c r="EH389" s="9"/>
      <c r="EI389" s="9"/>
      <c r="EJ389" s="9"/>
      <c r="EK389" s="9"/>
      <c r="EL389" s="9"/>
      <c r="EM389" s="9"/>
      <c r="EN389" s="9"/>
      <c r="EO389" s="9"/>
      <c r="EP389" s="9"/>
      <c r="EQ389" s="9"/>
      <c r="ER389" s="9"/>
      <c r="ES389" s="9"/>
      <c r="ET389" s="9"/>
      <c r="EU389" s="9"/>
      <c r="EV389" s="9"/>
      <c r="EW389" s="9"/>
      <c r="EX389" s="9"/>
      <c r="EY389" s="9"/>
      <c r="EZ389" s="9"/>
      <c r="FA389" s="9"/>
      <c r="FB389" s="9"/>
      <c r="FC389" s="9"/>
      <c r="FD389" s="9"/>
      <c r="FE389" s="9"/>
      <c r="FF389" s="9"/>
      <c r="FG389" s="9"/>
      <c r="FH389" s="9"/>
      <c r="FI389" s="9"/>
      <c r="FJ389" s="9"/>
      <c r="FK389" s="9"/>
      <c r="FL389" s="9"/>
      <c r="FM389" s="9"/>
      <c r="FN389" s="9"/>
      <c r="FO389" s="9"/>
      <c r="FP389" s="9"/>
      <c r="FQ389" s="9"/>
      <c r="FR389" s="9"/>
      <c r="FS389" s="9"/>
      <c r="FT389" s="9"/>
      <c r="FU389" s="9"/>
      <c r="FV389" s="9"/>
      <c r="FW389" s="9"/>
      <c r="FX389" s="9"/>
      <c r="FY389" s="9"/>
      <c r="FZ389" s="9"/>
      <c r="GA389" s="9"/>
      <c r="GB389" s="9"/>
      <c r="GC389" s="9"/>
      <c r="GD389" s="9"/>
      <c r="GE389" s="9"/>
      <c r="GF389" s="9"/>
      <c r="GG389" s="9"/>
      <c r="GH389" s="9"/>
      <c r="GI389" s="9"/>
      <c r="GJ389" s="9"/>
      <c r="GK389" s="9"/>
      <c r="GL389" s="9"/>
      <c r="GM389" s="9"/>
      <c r="GN389" s="9"/>
      <c r="GO389" s="9"/>
      <c r="GP389" s="9"/>
      <c r="GQ389" s="9"/>
      <c r="GR389" s="9"/>
      <c r="GS389" s="9"/>
      <c r="GT389" s="9"/>
      <c r="GU389" s="9"/>
      <c r="GV389" s="9"/>
      <c r="GW389" s="9"/>
      <c r="GX389" s="9"/>
      <c r="GY389" s="9"/>
      <c r="GZ389" s="9"/>
      <c r="HA389" s="9"/>
      <c r="HB389" s="9"/>
      <c r="HC389" s="9"/>
      <c r="HD389" s="9"/>
      <c r="HE389" s="9"/>
      <c r="HF389" s="9"/>
      <c r="HG389" s="9"/>
      <c r="HH389" s="9"/>
      <c r="HI389" s="9"/>
      <c r="HJ389" s="9"/>
      <c r="HK389" s="9"/>
      <c r="HU389" s="101">
        <v>38838</v>
      </c>
      <c r="HW389" s="58"/>
      <c r="HX389" s="58"/>
      <c r="II389" t="s">
        <v>1574</v>
      </c>
      <c r="IJ389" s="87" t="s">
        <v>1190</v>
      </c>
      <c r="IK389" t="s">
        <v>660</v>
      </c>
      <c r="IL389" t="s">
        <v>661</v>
      </c>
      <c r="IM389">
        <v>2006</v>
      </c>
      <c r="IO389" s="87" t="s">
        <v>29</v>
      </c>
      <c r="JK389" t="s">
        <v>1574</v>
      </c>
      <c r="JL389" s="84" t="s">
        <v>227</v>
      </c>
      <c r="JW389" s="8" t="s">
        <v>227</v>
      </c>
      <c r="JX389" s="8" t="s">
        <v>1582</v>
      </c>
      <c r="JY389" t="s">
        <v>13</v>
      </c>
      <c r="JZ389">
        <v>80000</v>
      </c>
      <c r="MZ389" t="s">
        <v>1589</v>
      </c>
      <c r="NA389">
        <v>120</v>
      </c>
      <c r="NJ389" s="87" t="s">
        <v>1592</v>
      </c>
      <c r="NK389" t="s">
        <v>1590</v>
      </c>
      <c r="NM389" s="103" t="s">
        <v>671</v>
      </c>
      <c r="NN389" s="102" t="s">
        <v>1537</v>
      </c>
      <c r="NW389" t="s">
        <v>6</v>
      </c>
      <c r="NX389" s="104">
        <v>135620.25</v>
      </c>
      <c r="NY389" s="88" t="s">
        <v>29</v>
      </c>
      <c r="NZ389" s="88" t="s">
        <v>29</v>
      </c>
      <c r="OC389">
        <v>3</v>
      </c>
      <c r="OT389" t="s">
        <v>1587</v>
      </c>
      <c r="OU389" s="3" t="s">
        <v>2188</v>
      </c>
      <c r="OW389">
        <v>2006</v>
      </c>
      <c r="OX389">
        <v>2007</v>
      </c>
      <c r="PA389" t="s">
        <v>1169</v>
      </c>
      <c r="PB389" s="58">
        <v>46105</v>
      </c>
    </row>
    <row r="390" spans="1:418" ht="15.75" thickBot="1">
      <c r="A390" t="s">
        <v>248</v>
      </c>
      <c r="B390" t="s">
        <v>1562</v>
      </c>
      <c r="C390" t="s">
        <v>1173</v>
      </c>
      <c r="D390" s="4" t="s">
        <v>1936</v>
      </c>
      <c r="E390" t="s">
        <v>1578</v>
      </c>
      <c r="F390" s="100" t="s">
        <v>31</v>
      </c>
      <c r="G390" s="87" t="s">
        <v>2</v>
      </c>
      <c r="H390" s="87" t="s">
        <v>30</v>
      </c>
      <c r="I390">
        <v>7.25</v>
      </c>
      <c r="J390">
        <v>3.4166666669999999</v>
      </c>
      <c r="K390" s="87" t="s">
        <v>29</v>
      </c>
      <c r="AV390" t="s">
        <v>1697</v>
      </c>
      <c r="AW390">
        <v>3240</v>
      </c>
      <c r="AX390">
        <v>1.2E-2</v>
      </c>
      <c r="AY390">
        <v>1</v>
      </c>
      <c r="BA390">
        <v>2006</v>
      </c>
      <c r="BB390">
        <v>2007</v>
      </c>
      <c r="BD390" t="s">
        <v>238</v>
      </c>
      <c r="BE390" t="s">
        <v>1572</v>
      </c>
      <c r="BF390" t="s">
        <v>64</v>
      </c>
      <c r="BG390" s="78" t="s">
        <v>1233</v>
      </c>
      <c r="BH390" t="s">
        <v>1569</v>
      </c>
      <c r="BI390" t="s">
        <v>1581</v>
      </c>
      <c r="BJ390" s="87" t="s">
        <v>22</v>
      </c>
      <c r="BK390">
        <v>1330</v>
      </c>
      <c r="BL390" t="s">
        <v>56</v>
      </c>
      <c r="BM390" t="s">
        <v>1580</v>
      </c>
      <c r="BN390" t="s">
        <v>234</v>
      </c>
      <c r="BO390" s="87" t="s">
        <v>22</v>
      </c>
      <c r="BP390">
        <v>20000</v>
      </c>
      <c r="EH390" s="9"/>
      <c r="EI390" s="9"/>
      <c r="EJ390" s="9"/>
      <c r="EK390" s="9"/>
      <c r="EL390" s="9"/>
      <c r="EM390" s="9"/>
      <c r="EN390" s="9"/>
      <c r="EO390" s="9"/>
      <c r="EP390" s="9"/>
      <c r="EQ390" s="9"/>
      <c r="ER390" s="9"/>
      <c r="ES390" s="9"/>
      <c r="ET390" s="9"/>
      <c r="EU390" s="9"/>
      <c r="EV390" s="9"/>
      <c r="EW390" s="9"/>
      <c r="EX390" s="9"/>
      <c r="EY390" s="9"/>
      <c r="EZ390" s="9"/>
      <c r="FA390" s="9"/>
      <c r="FB390" s="9"/>
      <c r="FC390" s="9"/>
      <c r="FD390" s="9"/>
      <c r="FE390" s="9"/>
      <c r="FF390" s="9"/>
      <c r="FG390" s="9"/>
      <c r="FH390" s="9"/>
      <c r="FI390" s="9"/>
      <c r="FJ390" s="9"/>
      <c r="FK390" s="9"/>
      <c r="FL390" s="9"/>
      <c r="FM390" s="9"/>
      <c r="FN390" s="9"/>
      <c r="FO390" s="9"/>
      <c r="FP390" s="9"/>
      <c r="FQ390" s="9"/>
      <c r="FR390" s="9"/>
      <c r="FS390" s="9"/>
      <c r="FT390" s="9"/>
      <c r="FU390" s="9"/>
      <c r="FV390" s="9"/>
      <c r="FW390" s="9"/>
      <c r="FX390" s="9"/>
      <c r="FY390" s="9"/>
      <c r="FZ390" s="9"/>
      <c r="GA390" s="9"/>
      <c r="GB390" s="9"/>
      <c r="GC390" s="9"/>
      <c r="GD390" s="9"/>
      <c r="GE390" s="9"/>
      <c r="GF390" s="9"/>
      <c r="GG390" s="9"/>
      <c r="GH390" s="9"/>
      <c r="GI390" s="9"/>
      <c r="GJ390" s="9"/>
      <c r="GK390" s="9"/>
      <c r="GL390" s="9"/>
      <c r="GM390" s="9"/>
      <c r="GN390" s="9"/>
      <c r="GO390" s="9"/>
      <c r="GP390" s="9"/>
      <c r="GQ390" s="9"/>
      <c r="GR390" s="9"/>
      <c r="GS390" s="9"/>
      <c r="GT390" s="9"/>
      <c r="GU390" s="9"/>
      <c r="GV390" s="9"/>
      <c r="GW390" s="9"/>
      <c r="GX390" s="9"/>
      <c r="GY390" s="9"/>
      <c r="GZ390" s="9"/>
      <c r="HA390" s="9"/>
      <c r="HB390" s="9"/>
      <c r="HC390" s="9"/>
      <c r="HD390" s="9"/>
      <c r="HE390" s="9"/>
      <c r="HF390" s="9"/>
      <c r="HG390" s="9"/>
      <c r="HH390" s="9"/>
      <c r="HI390" s="9"/>
      <c r="HJ390" s="9"/>
      <c r="HK390" s="9"/>
      <c r="HU390" s="101">
        <v>38838</v>
      </c>
      <c r="HW390" s="58"/>
      <c r="HX390" s="58"/>
      <c r="II390" t="s">
        <v>1572</v>
      </c>
      <c r="IJ390" s="87" t="s">
        <v>1190</v>
      </c>
      <c r="IK390" t="s">
        <v>660</v>
      </c>
      <c r="IL390" t="s">
        <v>661</v>
      </c>
      <c r="IM390">
        <v>2006</v>
      </c>
      <c r="IO390" s="87" t="s">
        <v>29</v>
      </c>
      <c r="JK390" t="s">
        <v>1572</v>
      </c>
      <c r="JL390" s="84" t="s">
        <v>721</v>
      </c>
      <c r="MZ390" t="s">
        <v>1589</v>
      </c>
      <c r="NA390">
        <v>120</v>
      </c>
      <c r="NJ390" t="s">
        <v>1593</v>
      </c>
      <c r="NK390" s="87" t="s">
        <v>1591</v>
      </c>
      <c r="NM390" s="103" t="s">
        <v>1416</v>
      </c>
      <c r="NN390" s="102" t="s">
        <v>1537</v>
      </c>
      <c r="NW390" t="s">
        <v>6</v>
      </c>
      <c r="NX390">
        <v>212658.66999999998</v>
      </c>
      <c r="NY390" s="88" t="s">
        <v>29</v>
      </c>
      <c r="NZ390" s="88" t="s">
        <v>29</v>
      </c>
      <c r="OA390" s="104"/>
      <c r="OC390">
        <v>3</v>
      </c>
      <c r="OT390" t="s">
        <v>1575</v>
      </c>
      <c r="OU390" s="3" t="s">
        <v>2188</v>
      </c>
      <c r="OW390">
        <v>2006</v>
      </c>
      <c r="OX390">
        <v>2007</v>
      </c>
      <c r="PA390" t="s">
        <v>1169</v>
      </c>
      <c r="PB390" s="58">
        <v>46105</v>
      </c>
    </row>
    <row r="391" spans="1:418" ht="15.75" thickBot="1">
      <c r="A391" t="s">
        <v>248</v>
      </c>
      <c r="B391" t="s">
        <v>1562</v>
      </c>
      <c r="C391" t="s">
        <v>1173</v>
      </c>
      <c r="D391" s="4" t="s">
        <v>1936</v>
      </c>
      <c r="E391" t="s">
        <v>1578</v>
      </c>
      <c r="F391" s="100" t="s">
        <v>31</v>
      </c>
      <c r="G391" s="87" t="s">
        <v>2</v>
      </c>
      <c r="H391" s="87" t="s">
        <v>30</v>
      </c>
      <c r="I391">
        <v>7.25</v>
      </c>
      <c r="J391">
        <v>3.4166666669999999</v>
      </c>
      <c r="K391" s="87" t="s">
        <v>29</v>
      </c>
      <c r="AV391" t="s">
        <v>1697</v>
      </c>
      <c r="AW391">
        <v>3240</v>
      </c>
      <c r="AX391">
        <v>1.2E-2</v>
      </c>
      <c r="AY391">
        <v>1</v>
      </c>
      <c r="BA391">
        <v>2006</v>
      </c>
      <c r="BB391">
        <v>2007</v>
      </c>
      <c r="BD391" t="s">
        <v>19</v>
      </c>
      <c r="BE391" t="s">
        <v>1568</v>
      </c>
      <c r="BF391" t="s">
        <v>39</v>
      </c>
      <c r="BG391" s="78" t="s">
        <v>1233</v>
      </c>
      <c r="BH391" t="s">
        <v>1569</v>
      </c>
      <c r="BI391" t="s">
        <v>1581</v>
      </c>
      <c r="BJ391" s="87" t="s">
        <v>22</v>
      </c>
      <c r="BK391">
        <v>1330</v>
      </c>
      <c r="EH391" s="9"/>
      <c r="EI391" s="9"/>
      <c r="EJ391" s="9"/>
      <c r="EK391" s="9"/>
      <c r="EL391" s="9"/>
      <c r="EM391" s="9"/>
      <c r="EN391" s="9"/>
      <c r="EO391" s="9"/>
      <c r="EP391" s="9"/>
      <c r="EQ391" s="9"/>
      <c r="ER391" s="9"/>
      <c r="ES391" s="9"/>
      <c r="ET391" s="9"/>
      <c r="EU391" s="9"/>
      <c r="EV391" s="9"/>
      <c r="EW391" s="9"/>
      <c r="EX391" s="9"/>
      <c r="EY391" s="9"/>
      <c r="EZ391" s="9"/>
      <c r="FA391" s="9"/>
      <c r="FB391" s="9"/>
      <c r="FC391" s="9"/>
      <c r="FD391" s="9"/>
      <c r="FE391" s="9"/>
      <c r="FF391" s="9"/>
      <c r="FG391" s="9"/>
      <c r="FH391" s="9"/>
      <c r="FI391" s="9"/>
      <c r="FJ391" s="9"/>
      <c r="FK391" s="9"/>
      <c r="FL391" s="9"/>
      <c r="FM391" s="9"/>
      <c r="FN391" s="9"/>
      <c r="FO391" s="9"/>
      <c r="FP391" s="9"/>
      <c r="FQ391" s="9"/>
      <c r="FR391" s="9"/>
      <c r="FS391" s="9"/>
      <c r="FT391" s="9"/>
      <c r="FU391" s="9"/>
      <c r="FV391" s="9"/>
      <c r="FW391" s="9"/>
      <c r="FX391" s="9"/>
      <c r="FY391" s="9"/>
      <c r="FZ391" s="9"/>
      <c r="GA391" s="9"/>
      <c r="GB391" s="9"/>
      <c r="GC391" s="9"/>
      <c r="GD391" s="9"/>
      <c r="GE391" s="9"/>
      <c r="GF391" s="9"/>
      <c r="GG391" s="9"/>
      <c r="GH391" s="9"/>
      <c r="GI391" s="9"/>
      <c r="GJ391" s="9"/>
      <c r="GK391" s="9"/>
      <c r="GL391" s="9"/>
      <c r="GM391" s="9"/>
      <c r="GN391" s="9"/>
      <c r="GO391" s="9"/>
      <c r="GP391" s="9"/>
      <c r="GQ391" s="9"/>
      <c r="GR391" s="9"/>
      <c r="GS391" s="9"/>
      <c r="GT391" s="9"/>
      <c r="GU391" s="9"/>
      <c r="GV391" s="9"/>
      <c r="GW391" s="9"/>
      <c r="GX391" s="9"/>
      <c r="GY391" s="9"/>
      <c r="GZ391" s="9"/>
      <c r="HA391" s="9"/>
      <c r="HB391" s="9"/>
      <c r="HC391" s="9"/>
      <c r="HD391" s="9"/>
      <c r="HE391" s="9"/>
      <c r="HF391" s="9"/>
      <c r="HG391" s="9"/>
      <c r="HH391" s="9"/>
      <c r="HI391" s="9"/>
      <c r="HJ391" s="9"/>
      <c r="HK391" s="9"/>
      <c r="HU391" s="101">
        <v>38838</v>
      </c>
      <c r="HW391" s="58"/>
      <c r="HX391" s="58"/>
      <c r="II391" t="s">
        <v>1568</v>
      </c>
      <c r="IJ391" t="s">
        <v>19</v>
      </c>
      <c r="IO391" s="87"/>
      <c r="JK391" t="s">
        <v>1568</v>
      </c>
      <c r="JL391" s="84" t="s">
        <v>721</v>
      </c>
      <c r="MZ391" t="s">
        <v>1589</v>
      </c>
      <c r="NA391">
        <v>120</v>
      </c>
      <c r="NJ391" t="s">
        <v>1593</v>
      </c>
      <c r="NK391" s="87" t="s">
        <v>1591</v>
      </c>
      <c r="NM391" s="103" t="s">
        <v>1416</v>
      </c>
      <c r="NN391" s="102" t="s">
        <v>1537</v>
      </c>
      <c r="NV391" t="s">
        <v>64</v>
      </c>
      <c r="NW391" t="s">
        <v>6</v>
      </c>
      <c r="NX391">
        <v>126528.22</v>
      </c>
      <c r="NY391" s="88" t="s">
        <v>29</v>
      </c>
      <c r="NZ391" s="88" t="s">
        <v>29</v>
      </c>
      <c r="OA391" s="104"/>
      <c r="OC391">
        <v>3</v>
      </c>
      <c r="OT391" t="s">
        <v>1575</v>
      </c>
      <c r="OU391" s="3" t="s">
        <v>2188</v>
      </c>
      <c r="OW391">
        <v>2006</v>
      </c>
      <c r="OX391">
        <v>2007</v>
      </c>
      <c r="PA391" t="s">
        <v>1169</v>
      </c>
      <c r="PB391" s="58">
        <v>46105</v>
      </c>
    </row>
    <row r="392" spans="1:418" ht="15.75" thickBot="1">
      <c r="A392" t="s">
        <v>248</v>
      </c>
      <c r="B392" t="s">
        <v>1562</v>
      </c>
      <c r="C392" t="s">
        <v>1173</v>
      </c>
      <c r="D392" s="4" t="s">
        <v>1936</v>
      </c>
      <c r="E392" t="s">
        <v>1578</v>
      </c>
      <c r="F392" s="100" t="s">
        <v>31</v>
      </c>
      <c r="G392" s="87" t="s">
        <v>2</v>
      </c>
      <c r="H392" s="87" t="s">
        <v>30</v>
      </c>
      <c r="I392">
        <v>7.25</v>
      </c>
      <c r="J392">
        <v>3.4166666669999999</v>
      </c>
      <c r="K392" s="87" t="s">
        <v>29</v>
      </c>
      <c r="AV392" t="s">
        <v>1697</v>
      </c>
      <c r="AW392">
        <v>3240</v>
      </c>
      <c r="AX392">
        <v>1.2E-2</v>
      </c>
      <c r="AY392">
        <v>1</v>
      </c>
      <c r="BA392">
        <v>2006</v>
      </c>
      <c r="BB392">
        <v>2007</v>
      </c>
      <c r="BD392" t="s">
        <v>19</v>
      </c>
      <c r="BE392" t="s">
        <v>1567</v>
      </c>
      <c r="BF392" t="s">
        <v>24</v>
      </c>
      <c r="BG392" s="78" t="s">
        <v>1233</v>
      </c>
      <c r="BH392" t="s">
        <v>1580</v>
      </c>
      <c r="BI392" t="s">
        <v>836</v>
      </c>
      <c r="BJ392" s="87" t="s">
        <v>22</v>
      </c>
      <c r="BK392">
        <v>20000</v>
      </c>
      <c r="EH392" s="9"/>
      <c r="EI392" s="9"/>
      <c r="EJ392" s="9"/>
      <c r="EK392" s="9"/>
      <c r="EL392" s="9"/>
      <c r="EM392" s="9"/>
      <c r="EN392" s="9"/>
      <c r="EO392" s="9"/>
      <c r="EP392" s="9"/>
      <c r="EQ392" s="9"/>
      <c r="ER392" s="9"/>
      <c r="ES392" s="9"/>
      <c r="ET392" s="9"/>
      <c r="EU392" s="9"/>
      <c r="EV392" s="9"/>
      <c r="EW392" s="9"/>
      <c r="EX392" s="9"/>
      <c r="EY392" s="9"/>
      <c r="EZ392" s="9"/>
      <c r="FA392" s="9"/>
      <c r="FB392" s="9"/>
      <c r="FC392" s="9"/>
      <c r="FD392" s="9"/>
      <c r="FE392" s="9"/>
      <c r="FF392" s="9"/>
      <c r="FG392" s="9"/>
      <c r="FH392" s="9"/>
      <c r="FI392" s="9"/>
      <c r="FJ392" s="9"/>
      <c r="FK392" s="9"/>
      <c r="FL392" s="9"/>
      <c r="FM392" s="9"/>
      <c r="FN392" s="9"/>
      <c r="FO392" s="9"/>
      <c r="FP392" s="9"/>
      <c r="FQ392" s="9"/>
      <c r="FR392" s="9"/>
      <c r="FS392" s="9"/>
      <c r="FT392" s="9"/>
      <c r="FU392" s="9"/>
      <c r="FV392" s="9"/>
      <c r="FW392" s="9"/>
      <c r="FX392" s="9"/>
      <c r="FY392" s="9"/>
      <c r="FZ392" s="9"/>
      <c r="GA392" s="9"/>
      <c r="GB392" s="9"/>
      <c r="GC392" s="9"/>
      <c r="GD392" s="9"/>
      <c r="GE392" s="9"/>
      <c r="GF392" s="9"/>
      <c r="GG392" s="9"/>
      <c r="GH392" s="9"/>
      <c r="GI392" s="9"/>
      <c r="GJ392" s="9"/>
      <c r="GK392" s="9"/>
      <c r="GL392" s="9"/>
      <c r="GM392" s="9"/>
      <c r="GN392" s="9"/>
      <c r="GO392" s="9"/>
      <c r="GP392" s="9"/>
      <c r="GQ392" s="9"/>
      <c r="GR392" s="9"/>
      <c r="GS392" s="9"/>
      <c r="GT392" s="9"/>
      <c r="GU392" s="9"/>
      <c r="GV392" s="9"/>
      <c r="GW392" s="9"/>
      <c r="GX392" s="9"/>
      <c r="GY392" s="9"/>
      <c r="GZ392" s="9"/>
      <c r="HA392" s="9"/>
      <c r="HB392" s="9"/>
      <c r="HC392" s="9"/>
      <c r="HD392" s="9"/>
      <c r="HE392" s="9"/>
      <c r="HF392" s="9"/>
      <c r="HG392" s="9"/>
      <c r="HH392" s="9"/>
      <c r="HI392" s="9"/>
      <c r="HJ392" s="9"/>
      <c r="HK392" s="9"/>
      <c r="HU392" s="101">
        <v>38838</v>
      </c>
      <c r="HW392" s="58"/>
      <c r="HX392" s="58"/>
      <c r="II392" t="s">
        <v>1567</v>
      </c>
      <c r="IJ392" t="s">
        <v>19</v>
      </c>
      <c r="IO392" s="87"/>
      <c r="JK392" t="s">
        <v>1567</v>
      </c>
      <c r="JL392" s="84" t="s">
        <v>721</v>
      </c>
      <c r="MZ392" t="s">
        <v>1589</v>
      </c>
      <c r="NA392">
        <v>120</v>
      </c>
      <c r="NJ392" t="s">
        <v>1593</v>
      </c>
      <c r="NK392" s="87" t="s">
        <v>1591</v>
      </c>
      <c r="NM392" s="103" t="s">
        <v>1416</v>
      </c>
      <c r="NN392" s="102" t="s">
        <v>1537</v>
      </c>
      <c r="NV392" t="s">
        <v>64</v>
      </c>
      <c r="NW392" t="s">
        <v>6</v>
      </c>
      <c r="NX392">
        <v>142915.42000000001</v>
      </c>
      <c r="NY392" s="88" t="s">
        <v>29</v>
      </c>
      <c r="NZ392" s="88" t="s">
        <v>29</v>
      </c>
      <c r="OA392" s="104"/>
      <c r="OC392">
        <v>3</v>
      </c>
      <c r="OT392" t="s">
        <v>1575</v>
      </c>
      <c r="OU392" s="3" t="s">
        <v>2188</v>
      </c>
      <c r="OW392">
        <v>2006</v>
      </c>
      <c r="OX392">
        <v>2007</v>
      </c>
      <c r="PA392" t="s">
        <v>1169</v>
      </c>
      <c r="PB392" s="58">
        <v>46105</v>
      </c>
    </row>
    <row r="393" spans="1:418" ht="15.75" thickBot="1">
      <c r="A393" t="s">
        <v>248</v>
      </c>
      <c r="B393" t="s">
        <v>1562</v>
      </c>
      <c r="C393" t="s">
        <v>1173</v>
      </c>
      <c r="D393" s="4" t="s">
        <v>1936</v>
      </c>
      <c r="E393" t="s">
        <v>1578</v>
      </c>
      <c r="F393" s="100" t="s">
        <v>31</v>
      </c>
      <c r="G393" s="87" t="s">
        <v>2</v>
      </c>
      <c r="H393" s="87" t="s">
        <v>30</v>
      </c>
      <c r="I393">
        <v>7.25</v>
      </c>
      <c r="J393">
        <v>3.4166666669999999</v>
      </c>
      <c r="K393" s="87" t="s">
        <v>29</v>
      </c>
      <c r="AV393" t="s">
        <v>1697</v>
      </c>
      <c r="AW393">
        <v>3240</v>
      </c>
      <c r="AX393">
        <v>1.2E-2</v>
      </c>
      <c r="AY393">
        <v>1</v>
      </c>
      <c r="BA393">
        <v>2006</v>
      </c>
      <c r="BB393">
        <v>2007</v>
      </c>
      <c r="BD393" t="s">
        <v>19</v>
      </c>
      <c r="BE393" t="s">
        <v>1563</v>
      </c>
      <c r="BF393" t="s">
        <v>299</v>
      </c>
      <c r="BG393" s="78" t="s">
        <v>1233</v>
      </c>
      <c r="BH393" t="s">
        <v>1580</v>
      </c>
      <c r="BI393" t="s">
        <v>234</v>
      </c>
      <c r="BJ393" s="87" t="s">
        <v>22</v>
      </c>
      <c r="BK393">
        <v>20000</v>
      </c>
      <c r="EH393" s="9"/>
      <c r="EI393" s="9"/>
      <c r="EJ393" s="9"/>
      <c r="EK393" s="9"/>
      <c r="EL393" s="9"/>
      <c r="EM393" s="9"/>
      <c r="EN393" s="9"/>
      <c r="EO393" s="9"/>
      <c r="EP393" s="9"/>
      <c r="EQ393" s="9"/>
      <c r="ER393" s="9"/>
      <c r="ES393" s="9"/>
      <c r="ET393" s="9"/>
      <c r="EU393" s="9"/>
      <c r="EV393" s="9"/>
      <c r="EW393" s="9"/>
      <c r="EX393" s="9"/>
      <c r="EY393" s="9"/>
      <c r="EZ393" s="9"/>
      <c r="FA393" s="9"/>
      <c r="FB393" s="9"/>
      <c r="FC393" s="9"/>
      <c r="FD393" s="9"/>
      <c r="FE393" s="9"/>
      <c r="FF393" s="9"/>
      <c r="FG393" s="9"/>
      <c r="FH393" s="9"/>
      <c r="FI393" s="9"/>
      <c r="FJ393" s="9"/>
      <c r="FK393" s="9"/>
      <c r="FL393" s="9"/>
      <c r="FM393" s="9"/>
      <c r="FN393" s="9"/>
      <c r="FO393" s="9"/>
      <c r="FP393" s="9"/>
      <c r="FQ393" s="9"/>
      <c r="FR393" s="9"/>
      <c r="FS393" s="9"/>
      <c r="FT393" s="9"/>
      <c r="FU393" s="9"/>
      <c r="FV393" s="9"/>
      <c r="FW393" s="9"/>
      <c r="FX393" s="9"/>
      <c r="FY393" s="9"/>
      <c r="FZ393" s="9"/>
      <c r="GA393" s="9"/>
      <c r="GB393" s="9"/>
      <c r="GC393" s="9"/>
      <c r="GD393" s="9"/>
      <c r="GE393" s="9"/>
      <c r="GF393" s="9"/>
      <c r="GG393" s="9"/>
      <c r="GH393" s="9"/>
      <c r="GI393" s="9"/>
      <c r="GJ393" s="9"/>
      <c r="GK393" s="9"/>
      <c r="GL393" s="9"/>
      <c r="GM393" s="9"/>
      <c r="GN393" s="9"/>
      <c r="GO393" s="9"/>
      <c r="GP393" s="9"/>
      <c r="GQ393" s="9"/>
      <c r="GR393" s="9"/>
      <c r="GS393" s="9"/>
      <c r="GT393" s="9"/>
      <c r="GU393" s="9"/>
      <c r="GV393" s="9"/>
      <c r="GW393" s="9"/>
      <c r="GX393" s="9"/>
      <c r="GY393" s="9"/>
      <c r="GZ393" s="9"/>
      <c r="HA393" s="9"/>
      <c r="HB393" s="9"/>
      <c r="HC393" s="9"/>
      <c r="HD393" s="9"/>
      <c r="HE393" s="9"/>
      <c r="HF393" s="9"/>
      <c r="HG393" s="9"/>
      <c r="HH393" s="9"/>
      <c r="HI393" s="9"/>
      <c r="HJ393" s="9"/>
      <c r="HK393" s="9"/>
      <c r="HU393" s="101">
        <v>38838</v>
      </c>
      <c r="HW393" s="58"/>
      <c r="HX393" s="58"/>
      <c r="II393" t="s">
        <v>1563</v>
      </c>
      <c r="IJ393" t="s">
        <v>19</v>
      </c>
      <c r="JK393" t="s">
        <v>1563</v>
      </c>
      <c r="JL393" s="84" t="s">
        <v>227</v>
      </c>
      <c r="JW393" s="8" t="s">
        <v>227</v>
      </c>
      <c r="JX393" s="8" t="s">
        <v>1582</v>
      </c>
      <c r="JY393" t="s">
        <v>13</v>
      </c>
      <c r="JZ393">
        <v>40000</v>
      </c>
      <c r="MZ393" t="s">
        <v>1589</v>
      </c>
      <c r="NA393">
        <v>120</v>
      </c>
      <c r="NJ393" t="s">
        <v>1594</v>
      </c>
      <c r="NK393" s="87" t="s">
        <v>1591</v>
      </c>
      <c r="NM393" s="103" t="s">
        <v>1416</v>
      </c>
      <c r="NN393" s="102" t="s">
        <v>1537</v>
      </c>
      <c r="NV393" t="s">
        <v>57</v>
      </c>
      <c r="NW393" t="s">
        <v>6</v>
      </c>
      <c r="NX393">
        <v>181572.72999999998</v>
      </c>
      <c r="NY393" s="88" t="s">
        <v>29</v>
      </c>
      <c r="NZ393" s="88" t="s">
        <v>29</v>
      </c>
      <c r="OA393" s="104"/>
      <c r="OC393">
        <v>3</v>
      </c>
      <c r="OT393" t="s">
        <v>1576</v>
      </c>
      <c r="OU393" s="3" t="s">
        <v>2188</v>
      </c>
      <c r="OW393">
        <v>2006</v>
      </c>
      <c r="OX393">
        <v>2007</v>
      </c>
      <c r="PA393" t="s">
        <v>1169</v>
      </c>
      <c r="PB393" s="58">
        <v>46105</v>
      </c>
    </row>
    <row r="394" spans="1:418" ht="15.75" thickBot="1">
      <c r="A394" t="s">
        <v>248</v>
      </c>
      <c r="B394" t="s">
        <v>1562</v>
      </c>
      <c r="C394" t="s">
        <v>1173</v>
      </c>
      <c r="D394" s="4" t="s">
        <v>1936</v>
      </c>
      <c r="E394" t="s">
        <v>1578</v>
      </c>
      <c r="F394" s="100" t="s">
        <v>31</v>
      </c>
      <c r="G394" s="87" t="s">
        <v>2</v>
      </c>
      <c r="H394" s="87" t="s">
        <v>30</v>
      </c>
      <c r="I394">
        <v>7.25</v>
      </c>
      <c r="J394">
        <v>3.4166666669999999</v>
      </c>
      <c r="K394" s="87" t="s">
        <v>29</v>
      </c>
      <c r="AV394" t="s">
        <v>1697</v>
      </c>
      <c r="AW394">
        <v>3240</v>
      </c>
      <c r="AX394">
        <v>1.2E-2</v>
      </c>
      <c r="AY394">
        <v>1</v>
      </c>
      <c r="BA394">
        <v>2006</v>
      </c>
      <c r="BB394">
        <v>2007</v>
      </c>
      <c r="BD394" t="s">
        <v>19</v>
      </c>
      <c r="BE394" t="s">
        <v>1566</v>
      </c>
      <c r="BF394" t="s">
        <v>256</v>
      </c>
      <c r="BG394" s="78" t="s">
        <v>1233</v>
      </c>
      <c r="BH394" t="s">
        <v>1580</v>
      </c>
      <c r="BI394" t="s">
        <v>234</v>
      </c>
      <c r="BJ394" s="87" t="s">
        <v>22</v>
      </c>
      <c r="BK394">
        <v>20000</v>
      </c>
      <c r="EH394" s="9"/>
      <c r="EI394" s="9"/>
      <c r="EJ394" s="9"/>
      <c r="EK394" s="9"/>
      <c r="EL394" s="9"/>
      <c r="EM394" s="9"/>
      <c r="EN394" s="9"/>
      <c r="EO394" s="9"/>
      <c r="EP394" s="9"/>
      <c r="EQ394" s="9"/>
      <c r="ER394" s="9"/>
      <c r="ES394" s="9"/>
      <c r="ET394" s="9"/>
      <c r="EU394" s="9"/>
      <c r="EV394" s="9"/>
      <c r="EW394" s="9"/>
      <c r="EX394" s="9"/>
      <c r="EY394" s="9"/>
      <c r="EZ394" s="9"/>
      <c r="FA394" s="9"/>
      <c r="FB394" s="9"/>
      <c r="FC394" s="9"/>
      <c r="FD394" s="9"/>
      <c r="FE394" s="9"/>
      <c r="FF394" s="9"/>
      <c r="FG394" s="9"/>
      <c r="FH394" s="9"/>
      <c r="FI394" s="9"/>
      <c r="FJ394" s="9"/>
      <c r="FK394" s="9"/>
      <c r="FL394" s="9"/>
      <c r="FM394" s="9"/>
      <c r="FN394" s="9"/>
      <c r="FO394" s="9"/>
      <c r="FP394" s="9"/>
      <c r="FQ394" s="9"/>
      <c r="FR394" s="9"/>
      <c r="FS394" s="9"/>
      <c r="FT394" s="9"/>
      <c r="FU394" s="9"/>
      <c r="FV394" s="9"/>
      <c r="FW394" s="9"/>
      <c r="FX394" s="9"/>
      <c r="FY394" s="9"/>
      <c r="FZ394" s="9"/>
      <c r="GA394" s="9"/>
      <c r="GB394" s="9"/>
      <c r="GC394" s="9"/>
      <c r="GD394" s="9"/>
      <c r="GE394" s="9"/>
      <c r="GF394" s="9"/>
      <c r="GG394" s="9"/>
      <c r="GH394" s="9"/>
      <c r="GI394" s="9"/>
      <c r="GJ394" s="9"/>
      <c r="GK394" s="9"/>
      <c r="GL394" s="9"/>
      <c r="GM394" s="9"/>
      <c r="GN394" s="9"/>
      <c r="GO394" s="9"/>
      <c r="GP394" s="9"/>
      <c r="GQ394" s="9"/>
      <c r="GR394" s="9"/>
      <c r="GS394" s="9"/>
      <c r="GT394" s="9"/>
      <c r="GU394" s="9"/>
      <c r="GV394" s="9"/>
      <c r="GW394" s="9"/>
      <c r="GX394" s="9"/>
      <c r="GY394" s="9"/>
      <c r="GZ394" s="9"/>
      <c r="HA394" s="9"/>
      <c r="HB394" s="9"/>
      <c r="HC394" s="9"/>
      <c r="HD394" s="9"/>
      <c r="HE394" s="9"/>
      <c r="HF394" s="9"/>
      <c r="HG394" s="9"/>
      <c r="HH394" s="9"/>
      <c r="HI394" s="9"/>
      <c r="HJ394" s="9"/>
      <c r="HK394" s="9"/>
      <c r="HU394" s="101">
        <v>38838</v>
      </c>
      <c r="HW394" s="58"/>
      <c r="HX394" s="58"/>
      <c r="II394" t="s">
        <v>1566</v>
      </c>
      <c r="IJ394" t="s">
        <v>19</v>
      </c>
      <c r="JK394" t="s">
        <v>1566</v>
      </c>
      <c r="JL394" s="84" t="s">
        <v>227</v>
      </c>
      <c r="JW394" s="8" t="s">
        <v>227</v>
      </c>
      <c r="JX394" s="8" t="s">
        <v>1582</v>
      </c>
      <c r="JY394" t="s">
        <v>13</v>
      </c>
      <c r="JZ394">
        <v>80000</v>
      </c>
      <c r="MZ394" t="s">
        <v>1589</v>
      </c>
      <c r="NA394">
        <v>120</v>
      </c>
      <c r="NJ394" t="s">
        <v>1594</v>
      </c>
      <c r="NK394" s="87" t="s">
        <v>1591</v>
      </c>
      <c r="NM394" s="103" t="s">
        <v>1416</v>
      </c>
      <c r="NN394" s="102" t="s">
        <v>1537</v>
      </c>
      <c r="NV394" t="s">
        <v>48</v>
      </c>
      <c r="NW394" t="s">
        <v>6</v>
      </c>
      <c r="NX394">
        <v>199425.33</v>
      </c>
      <c r="NY394" s="88" t="s">
        <v>29</v>
      </c>
      <c r="NZ394" s="88" t="s">
        <v>29</v>
      </c>
      <c r="OA394" s="104"/>
      <c r="OC394">
        <v>3</v>
      </c>
      <c r="OT394" t="s">
        <v>1576</v>
      </c>
      <c r="OU394" s="3" t="s">
        <v>2188</v>
      </c>
      <c r="OW394">
        <v>2006</v>
      </c>
      <c r="OX394">
        <v>2007</v>
      </c>
      <c r="PA394" t="s">
        <v>1169</v>
      </c>
      <c r="PB394" s="58">
        <v>46105</v>
      </c>
    </row>
    <row r="395" spans="1:418" ht="15.75" thickBot="1">
      <c r="A395" t="s">
        <v>248</v>
      </c>
      <c r="B395" t="s">
        <v>1562</v>
      </c>
      <c r="C395" t="s">
        <v>1173</v>
      </c>
      <c r="D395" s="4" t="s">
        <v>1936</v>
      </c>
      <c r="E395" t="s">
        <v>1578</v>
      </c>
      <c r="F395" s="100" t="s">
        <v>31</v>
      </c>
      <c r="G395" s="87" t="s">
        <v>2</v>
      </c>
      <c r="H395" s="87" t="s">
        <v>30</v>
      </c>
      <c r="I395">
        <v>7.25</v>
      </c>
      <c r="J395">
        <v>3.4166666669999999</v>
      </c>
      <c r="K395" s="87" t="s">
        <v>29</v>
      </c>
      <c r="AV395" t="s">
        <v>1697</v>
      </c>
      <c r="AW395">
        <v>3240</v>
      </c>
      <c r="AX395">
        <v>1.2E-2</v>
      </c>
      <c r="AY395">
        <v>1</v>
      </c>
      <c r="BA395">
        <v>2006</v>
      </c>
      <c r="BB395">
        <v>2007</v>
      </c>
      <c r="BD395" t="s">
        <v>19</v>
      </c>
      <c r="BE395" t="s">
        <v>1570</v>
      </c>
      <c r="BF395" t="s">
        <v>1456</v>
      </c>
      <c r="BG395" s="78" t="s">
        <v>1233</v>
      </c>
      <c r="BH395" t="s">
        <v>1569</v>
      </c>
      <c r="BI395" t="s">
        <v>1581</v>
      </c>
      <c r="BJ395" s="87" t="s">
        <v>22</v>
      </c>
      <c r="BK395">
        <v>1330</v>
      </c>
      <c r="EH395" s="9"/>
      <c r="EI395" s="9"/>
      <c r="EJ395" s="9"/>
      <c r="EK395" s="9"/>
      <c r="EL395" s="9"/>
      <c r="EM395" s="9"/>
      <c r="EN395" s="9"/>
      <c r="EO395" s="9"/>
      <c r="EP395" s="9"/>
      <c r="EQ395" s="9"/>
      <c r="ER395" s="9"/>
      <c r="ES395" s="9"/>
      <c r="ET395" s="9"/>
      <c r="EU395" s="9"/>
      <c r="EV395" s="9"/>
      <c r="EW395" s="9"/>
      <c r="EX395" s="9"/>
      <c r="EY395" s="9"/>
      <c r="EZ395" s="9"/>
      <c r="FA395" s="9"/>
      <c r="FB395" s="9"/>
      <c r="FC395" s="9"/>
      <c r="FD395" s="9"/>
      <c r="FE395" s="9"/>
      <c r="FF395" s="9"/>
      <c r="FG395" s="9"/>
      <c r="FH395" s="9"/>
      <c r="FI395" s="9"/>
      <c r="FJ395" s="9"/>
      <c r="FK395" s="9"/>
      <c r="FL395" s="9"/>
      <c r="FM395" s="9"/>
      <c r="FN395" s="9"/>
      <c r="FO395" s="9"/>
      <c r="FP395" s="9"/>
      <c r="FQ395" s="9"/>
      <c r="FR395" s="9"/>
      <c r="FS395" s="9"/>
      <c r="FT395" s="9"/>
      <c r="FU395" s="9"/>
      <c r="FV395" s="9"/>
      <c r="FW395" s="9"/>
      <c r="FX395" s="9"/>
      <c r="FY395" s="9"/>
      <c r="FZ395" s="9"/>
      <c r="GA395" s="9"/>
      <c r="GB395" s="9"/>
      <c r="GC395" s="9"/>
      <c r="GD395" s="9"/>
      <c r="GE395" s="9"/>
      <c r="GF395" s="9"/>
      <c r="GG395" s="9"/>
      <c r="GH395" s="9"/>
      <c r="GI395" s="9"/>
      <c r="GJ395" s="9"/>
      <c r="GK395" s="9"/>
      <c r="GL395" s="9"/>
      <c r="GM395" s="9"/>
      <c r="GN395" s="9"/>
      <c r="GO395" s="9"/>
      <c r="GP395" s="9"/>
      <c r="GQ395" s="9"/>
      <c r="GR395" s="9"/>
      <c r="GS395" s="9"/>
      <c r="GT395" s="9"/>
      <c r="GU395" s="9"/>
      <c r="GV395" s="9"/>
      <c r="GW395" s="9"/>
      <c r="GX395" s="9"/>
      <c r="GY395" s="9"/>
      <c r="GZ395" s="9"/>
      <c r="HA395" s="9"/>
      <c r="HB395" s="9"/>
      <c r="HC395" s="9"/>
      <c r="HD395" s="9"/>
      <c r="HE395" s="9"/>
      <c r="HF395" s="9"/>
      <c r="HG395" s="9"/>
      <c r="HH395" s="9"/>
      <c r="HI395" s="9"/>
      <c r="HJ395" s="9"/>
      <c r="HK395" s="9"/>
      <c r="HU395" s="101">
        <v>38838</v>
      </c>
      <c r="HW395" s="58"/>
      <c r="HX395" s="58"/>
      <c r="II395" t="s">
        <v>1570</v>
      </c>
      <c r="IJ395" t="s">
        <v>19</v>
      </c>
      <c r="JK395" t="s">
        <v>1570</v>
      </c>
      <c r="JL395" s="84" t="s">
        <v>227</v>
      </c>
      <c r="JW395" s="8" t="s">
        <v>227</v>
      </c>
      <c r="JX395" s="8" t="s">
        <v>1582</v>
      </c>
      <c r="JY395" t="s">
        <v>13</v>
      </c>
      <c r="JZ395">
        <v>40000</v>
      </c>
      <c r="MZ395" t="s">
        <v>1589</v>
      </c>
      <c r="NA395">
        <v>120</v>
      </c>
      <c r="NJ395" t="s">
        <v>1594</v>
      </c>
      <c r="NK395" s="87" t="s">
        <v>1591</v>
      </c>
      <c r="NM395" s="103" t="s">
        <v>1416</v>
      </c>
      <c r="NN395" s="102" t="s">
        <v>1537</v>
      </c>
      <c r="NV395" t="s">
        <v>57</v>
      </c>
      <c r="NW395" t="s">
        <v>6</v>
      </c>
      <c r="NX395">
        <v>160145.98000000001</v>
      </c>
      <c r="NY395" s="88" t="s">
        <v>29</v>
      </c>
      <c r="NZ395" s="88" t="s">
        <v>29</v>
      </c>
      <c r="OA395" s="104"/>
      <c r="OC395">
        <v>3</v>
      </c>
      <c r="OT395" t="s">
        <v>1577</v>
      </c>
      <c r="OU395" s="3" t="s">
        <v>2188</v>
      </c>
      <c r="OW395">
        <v>2006</v>
      </c>
      <c r="OX395">
        <v>2007</v>
      </c>
      <c r="PA395" t="s">
        <v>1169</v>
      </c>
      <c r="PB395" s="58">
        <v>46105</v>
      </c>
    </row>
    <row r="396" spans="1:418" ht="15.75" thickBot="1">
      <c r="A396" t="s">
        <v>248</v>
      </c>
      <c r="B396" t="s">
        <v>1562</v>
      </c>
      <c r="C396" t="s">
        <v>1173</v>
      </c>
      <c r="D396" s="4" t="s">
        <v>1936</v>
      </c>
      <c r="E396" t="s">
        <v>1578</v>
      </c>
      <c r="F396" s="100" t="s">
        <v>31</v>
      </c>
      <c r="G396" s="87" t="s">
        <v>2</v>
      </c>
      <c r="H396" s="87" t="s">
        <v>30</v>
      </c>
      <c r="I396">
        <v>7.25</v>
      </c>
      <c r="J396">
        <v>3.4166666669999999</v>
      </c>
      <c r="K396" s="87" t="s">
        <v>29</v>
      </c>
      <c r="AV396" t="s">
        <v>1697</v>
      </c>
      <c r="AW396">
        <v>3240</v>
      </c>
      <c r="AX396">
        <v>1.2E-2</v>
      </c>
      <c r="AY396">
        <v>1</v>
      </c>
      <c r="BA396">
        <v>2006</v>
      </c>
      <c r="BB396">
        <v>2007</v>
      </c>
      <c r="BD396" t="s">
        <v>19</v>
      </c>
      <c r="BE396" t="s">
        <v>1571</v>
      </c>
      <c r="BF396" t="s">
        <v>1458</v>
      </c>
      <c r="BG396" s="78" t="s">
        <v>1233</v>
      </c>
      <c r="BH396" t="s">
        <v>1569</v>
      </c>
      <c r="BI396" t="s">
        <v>1581</v>
      </c>
      <c r="BJ396" s="87" t="s">
        <v>22</v>
      </c>
      <c r="BK396">
        <v>1330</v>
      </c>
      <c r="EH396" s="9"/>
      <c r="EI396" s="9"/>
      <c r="EJ396" s="9"/>
      <c r="EK396" s="9"/>
      <c r="EL396" s="9"/>
      <c r="EM396" s="9"/>
      <c r="EN396" s="9"/>
      <c r="EO396" s="9"/>
      <c r="EP396" s="9"/>
      <c r="EQ396" s="9"/>
      <c r="ER396" s="9"/>
      <c r="ES396" s="9"/>
      <c r="ET396" s="9"/>
      <c r="EU396" s="9"/>
      <c r="EV396" s="9"/>
      <c r="EW396" s="9"/>
      <c r="EX396" s="9"/>
      <c r="EY396" s="9"/>
      <c r="EZ396" s="9"/>
      <c r="FA396" s="9"/>
      <c r="FB396" s="9"/>
      <c r="FC396" s="9"/>
      <c r="FD396" s="9"/>
      <c r="FE396" s="9"/>
      <c r="FF396" s="9"/>
      <c r="FG396" s="9"/>
      <c r="FH396" s="9"/>
      <c r="FI396" s="9"/>
      <c r="FJ396" s="9"/>
      <c r="FK396" s="9"/>
      <c r="FL396" s="9"/>
      <c r="FM396" s="9"/>
      <c r="FN396" s="9"/>
      <c r="FO396" s="9"/>
      <c r="FP396" s="9"/>
      <c r="FQ396" s="9"/>
      <c r="FR396" s="9"/>
      <c r="FS396" s="9"/>
      <c r="FT396" s="9"/>
      <c r="FU396" s="9"/>
      <c r="FV396" s="9"/>
      <c r="FW396" s="9"/>
      <c r="FX396" s="9"/>
      <c r="FY396" s="9"/>
      <c r="FZ396" s="9"/>
      <c r="GA396" s="9"/>
      <c r="GB396" s="9"/>
      <c r="GC396" s="9"/>
      <c r="GD396" s="9"/>
      <c r="GE396" s="9"/>
      <c r="GF396" s="9"/>
      <c r="GG396" s="9"/>
      <c r="GH396" s="9"/>
      <c r="GI396" s="9"/>
      <c r="GJ396" s="9"/>
      <c r="GK396" s="9"/>
      <c r="GL396" s="9"/>
      <c r="GM396" s="9"/>
      <c r="GN396" s="9"/>
      <c r="GO396" s="9"/>
      <c r="GP396" s="9"/>
      <c r="GQ396" s="9"/>
      <c r="GR396" s="9"/>
      <c r="GS396" s="9"/>
      <c r="GT396" s="9"/>
      <c r="GU396" s="9"/>
      <c r="GV396" s="9"/>
      <c r="GW396" s="9"/>
      <c r="GX396" s="9"/>
      <c r="GY396" s="9"/>
      <c r="GZ396" s="9"/>
      <c r="HA396" s="9"/>
      <c r="HB396" s="9"/>
      <c r="HC396" s="9"/>
      <c r="HD396" s="9"/>
      <c r="HE396" s="9"/>
      <c r="HF396" s="9"/>
      <c r="HG396" s="9"/>
      <c r="HH396" s="9"/>
      <c r="HI396" s="9"/>
      <c r="HJ396" s="9"/>
      <c r="HK396" s="9"/>
      <c r="HU396" s="101">
        <v>38838</v>
      </c>
      <c r="HW396" s="58"/>
      <c r="HX396" s="58"/>
      <c r="II396" t="s">
        <v>1571</v>
      </c>
      <c r="IJ396" t="s">
        <v>19</v>
      </c>
      <c r="JK396" t="s">
        <v>1571</v>
      </c>
      <c r="JL396" s="84" t="s">
        <v>227</v>
      </c>
      <c r="JW396" s="8" t="s">
        <v>227</v>
      </c>
      <c r="JX396" s="8" t="s">
        <v>1582</v>
      </c>
      <c r="JY396" t="s">
        <v>13</v>
      </c>
      <c r="JZ396">
        <v>80000</v>
      </c>
      <c r="MZ396" t="s">
        <v>1589</v>
      </c>
      <c r="NA396">
        <v>120</v>
      </c>
      <c r="NJ396" t="s">
        <v>1594</v>
      </c>
      <c r="NK396" s="87" t="s">
        <v>1591</v>
      </c>
      <c r="NM396" s="103" t="s">
        <v>1416</v>
      </c>
      <c r="NN396" s="102" t="s">
        <v>1537</v>
      </c>
      <c r="NV396" t="s">
        <v>48</v>
      </c>
      <c r="NW396" t="s">
        <v>6</v>
      </c>
      <c r="NX396" s="104">
        <v>186865.98</v>
      </c>
      <c r="NY396" s="88" t="s">
        <v>29</v>
      </c>
      <c r="NZ396" s="88" t="s">
        <v>29</v>
      </c>
      <c r="OA396" s="104"/>
      <c r="OC396">
        <v>3</v>
      </c>
      <c r="OT396" t="s">
        <v>1577</v>
      </c>
      <c r="OU396" s="3" t="s">
        <v>2188</v>
      </c>
      <c r="OW396">
        <v>2006</v>
      </c>
      <c r="OX396">
        <v>2007</v>
      </c>
      <c r="PA396" t="s">
        <v>1169</v>
      </c>
      <c r="PB396" s="58">
        <v>46105</v>
      </c>
    </row>
    <row r="397" spans="1:418" ht="15.75" thickBot="1">
      <c r="A397" t="s">
        <v>248</v>
      </c>
      <c r="B397" t="s">
        <v>1562</v>
      </c>
      <c r="C397" t="s">
        <v>1173</v>
      </c>
      <c r="D397" s="4" t="s">
        <v>1936</v>
      </c>
      <c r="E397" t="s">
        <v>1578</v>
      </c>
      <c r="F397" s="100" t="s">
        <v>31</v>
      </c>
      <c r="G397" s="87" t="s">
        <v>2</v>
      </c>
      <c r="H397" s="87" t="s">
        <v>30</v>
      </c>
      <c r="I397">
        <v>7.25</v>
      </c>
      <c r="J397">
        <v>3.4166666669999999</v>
      </c>
      <c r="K397" s="87" t="s">
        <v>29</v>
      </c>
      <c r="AV397" t="s">
        <v>1697</v>
      </c>
      <c r="AW397">
        <v>3240</v>
      </c>
      <c r="AX397">
        <v>1.2E-2</v>
      </c>
      <c r="AY397">
        <v>1</v>
      </c>
      <c r="BA397">
        <v>2006</v>
      </c>
      <c r="BB397">
        <v>2007</v>
      </c>
      <c r="BD397" t="s">
        <v>238</v>
      </c>
      <c r="BE397" t="s">
        <v>1573</v>
      </c>
      <c r="BF397" t="s">
        <v>57</v>
      </c>
      <c r="BG397" s="78" t="s">
        <v>1233</v>
      </c>
      <c r="BH397" t="s">
        <v>1569</v>
      </c>
      <c r="BI397" t="s">
        <v>1581</v>
      </c>
      <c r="BJ397" s="87" t="s">
        <v>22</v>
      </c>
      <c r="BK397">
        <v>1330</v>
      </c>
      <c r="BL397" t="s">
        <v>56</v>
      </c>
      <c r="BM397" t="s">
        <v>1580</v>
      </c>
      <c r="BN397" t="s">
        <v>234</v>
      </c>
      <c r="BO397" s="87" t="s">
        <v>22</v>
      </c>
      <c r="BP397">
        <v>20000</v>
      </c>
      <c r="EH397" s="9"/>
      <c r="EI397" s="9"/>
      <c r="EJ397" s="9"/>
      <c r="EK397" s="9"/>
      <c r="EL397" s="9"/>
      <c r="EM397" s="9"/>
      <c r="EN397" s="9"/>
      <c r="EO397" s="9"/>
      <c r="EP397" s="9"/>
      <c r="EQ397" s="9"/>
      <c r="ER397" s="9"/>
      <c r="ES397" s="9"/>
      <c r="ET397" s="9"/>
      <c r="EU397" s="9"/>
      <c r="EV397" s="9"/>
      <c r="EW397" s="9"/>
      <c r="EX397" s="9"/>
      <c r="EY397" s="9"/>
      <c r="EZ397" s="9"/>
      <c r="FA397" s="9"/>
      <c r="FB397" s="9"/>
      <c r="FC397" s="9"/>
      <c r="FD397" s="9"/>
      <c r="FE397" s="9"/>
      <c r="FF397" s="9"/>
      <c r="FG397" s="9"/>
      <c r="FH397" s="9"/>
      <c r="FI397" s="9"/>
      <c r="FJ397" s="9"/>
      <c r="FK397" s="9"/>
      <c r="FL397" s="9"/>
      <c r="FM397" s="9"/>
      <c r="FN397" s="9"/>
      <c r="FO397" s="9"/>
      <c r="FP397" s="9"/>
      <c r="FQ397" s="9"/>
      <c r="FR397" s="9"/>
      <c r="FS397" s="9"/>
      <c r="FT397" s="9"/>
      <c r="FU397" s="9"/>
      <c r="FV397" s="9"/>
      <c r="FW397" s="9"/>
      <c r="FX397" s="9"/>
      <c r="FY397" s="9"/>
      <c r="FZ397" s="9"/>
      <c r="GA397" s="9"/>
      <c r="GB397" s="9"/>
      <c r="GC397" s="9"/>
      <c r="GD397" s="9"/>
      <c r="GE397" s="9"/>
      <c r="GF397" s="9"/>
      <c r="GG397" s="9"/>
      <c r="GH397" s="9"/>
      <c r="GI397" s="9"/>
      <c r="GJ397" s="9"/>
      <c r="GK397" s="9"/>
      <c r="GL397" s="9"/>
      <c r="GM397" s="9"/>
      <c r="GN397" s="9"/>
      <c r="GO397" s="9"/>
      <c r="GP397" s="9"/>
      <c r="GQ397" s="9"/>
      <c r="GR397" s="9"/>
      <c r="GS397" s="9"/>
      <c r="GT397" s="9"/>
      <c r="GU397" s="9"/>
      <c r="GV397" s="9"/>
      <c r="GW397" s="9"/>
      <c r="GX397" s="9"/>
      <c r="GY397" s="9"/>
      <c r="GZ397" s="9"/>
      <c r="HA397" s="9"/>
      <c r="HB397" s="9"/>
      <c r="HC397" s="9"/>
      <c r="HD397" s="9"/>
      <c r="HE397" s="9"/>
      <c r="HF397" s="9"/>
      <c r="HG397" s="9"/>
      <c r="HH397" s="9"/>
      <c r="HI397" s="9"/>
      <c r="HJ397" s="9"/>
      <c r="HK397" s="9"/>
      <c r="HU397" s="101">
        <v>38838</v>
      </c>
      <c r="HW397" s="58"/>
      <c r="HX397" s="58"/>
      <c r="II397" t="s">
        <v>1573</v>
      </c>
      <c r="IJ397" s="87" t="s">
        <v>1190</v>
      </c>
      <c r="IK397" t="s">
        <v>660</v>
      </c>
      <c r="IL397" t="s">
        <v>661</v>
      </c>
      <c r="IM397">
        <v>2006</v>
      </c>
      <c r="IO397" s="87" t="s">
        <v>29</v>
      </c>
      <c r="JK397" t="s">
        <v>1573</v>
      </c>
      <c r="JL397" s="84" t="s">
        <v>227</v>
      </c>
      <c r="JW397" s="8" t="s">
        <v>227</v>
      </c>
      <c r="JX397" s="8" t="s">
        <v>1582</v>
      </c>
      <c r="JY397" t="s">
        <v>13</v>
      </c>
      <c r="JZ397">
        <v>40000</v>
      </c>
      <c r="MZ397" t="s">
        <v>1589</v>
      </c>
      <c r="NA397">
        <v>120</v>
      </c>
      <c r="NJ397" t="s">
        <v>1594</v>
      </c>
      <c r="NK397" s="87" t="s">
        <v>1591</v>
      </c>
      <c r="NM397" s="103" t="s">
        <v>1416</v>
      </c>
      <c r="NN397" s="102" t="s">
        <v>1537</v>
      </c>
      <c r="NW397" t="s">
        <v>6</v>
      </c>
      <c r="NX397">
        <v>251642.63</v>
      </c>
      <c r="NY397" s="88" t="s">
        <v>29</v>
      </c>
      <c r="NZ397" s="88" t="s">
        <v>29</v>
      </c>
      <c r="OA397" s="104"/>
      <c r="OC397">
        <v>3</v>
      </c>
      <c r="OT397" t="s">
        <v>1587</v>
      </c>
      <c r="OU397" s="3" t="s">
        <v>2188</v>
      </c>
      <c r="OW397">
        <v>2006</v>
      </c>
      <c r="OX397">
        <v>2007</v>
      </c>
      <c r="PA397" t="s">
        <v>1169</v>
      </c>
      <c r="PB397" s="58">
        <v>46105</v>
      </c>
    </row>
    <row r="398" spans="1:418" ht="15.75" thickBot="1">
      <c r="A398" t="s">
        <v>248</v>
      </c>
      <c r="B398" t="s">
        <v>1562</v>
      </c>
      <c r="C398" t="s">
        <v>1173</v>
      </c>
      <c r="D398" s="4" t="s">
        <v>1936</v>
      </c>
      <c r="E398" t="s">
        <v>1578</v>
      </c>
      <c r="F398" s="100" t="s">
        <v>31</v>
      </c>
      <c r="G398" s="87" t="s">
        <v>2</v>
      </c>
      <c r="H398" s="87" t="s">
        <v>30</v>
      </c>
      <c r="I398">
        <v>7.25</v>
      </c>
      <c r="J398">
        <v>3.4166666669999999</v>
      </c>
      <c r="K398" s="87" t="s">
        <v>29</v>
      </c>
      <c r="AV398" t="s">
        <v>1697</v>
      </c>
      <c r="AW398">
        <v>3240</v>
      </c>
      <c r="AX398">
        <v>1.2E-2</v>
      </c>
      <c r="AY398">
        <v>1</v>
      </c>
      <c r="BA398">
        <v>2006</v>
      </c>
      <c r="BB398">
        <v>2007</v>
      </c>
      <c r="BD398" t="s">
        <v>238</v>
      </c>
      <c r="BE398" t="s">
        <v>1574</v>
      </c>
      <c r="BF398" t="s">
        <v>48</v>
      </c>
      <c r="BG398" s="78" t="s">
        <v>1233</v>
      </c>
      <c r="BH398" t="s">
        <v>1569</v>
      </c>
      <c r="BI398" t="s">
        <v>1581</v>
      </c>
      <c r="BJ398" s="87" t="s">
        <v>22</v>
      </c>
      <c r="BK398">
        <v>1330</v>
      </c>
      <c r="BL398" t="s">
        <v>56</v>
      </c>
      <c r="BM398" t="s">
        <v>1580</v>
      </c>
      <c r="BN398" t="s">
        <v>234</v>
      </c>
      <c r="BO398" s="87" t="s">
        <v>22</v>
      </c>
      <c r="BP398">
        <v>20000</v>
      </c>
      <c r="EH398" s="9"/>
      <c r="EI398" s="9"/>
      <c r="EJ398" s="9"/>
      <c r="EK398" s="9"/>
      <c r="EL398" s="9"/>
      <c r="EM398" s="9"/>
      <c r="EN398" s="9"/>
      <c r="EO398" s="9"/>
      <c r="EP398" s="9"/>
      <c r="EQ398" s="9"/>
      <c r="ER398" s="9"/>
      <c r="ES398" s="9"/>
      <c r="ET398" s="9"/>
      <c r="EU398" s="9"/>
      <c r="EV398" s="9"/>
      <c r="EW398" s="9"/>
      <c r="EX398" s="9"/>
      <c r="EY398" s="9"/>
      <c r="EZ398" s="9"/>
      <c r="FA398" s="9"/>
      <c r="FB398" s="9"/>
      <c r="FC398" s="9"/>
      <c r="FD398" s="9"/>
      <c r="FE398" s="9"/>
      <c r="FF398" s="9"/>
      <c r="FG398" s="9"/>
      <c r="FH398" s="9"/>
      <c r="FI398" s="9"/>
      <c r="FJ398" s="9"/>
      <c r="FK398" s="9"/>
      <c r="FL398" s="9"/>
      <c r="FM398" s="9"/>
      <c r="FN398" s="9"/>
      <c r="FO398" s="9"/>
      <c r="FP398" s="9"/>
      <c r="FQ398" s="9"/>
      <c r="FR398" s="9"/>
      <c r="FS398" s="9"/>
      <c r="FT398" s="9"/>
      <c r="FU398" s="9"/>
      <c r="FV398" s="9"/>
      <c r="FW398" s="9"/>
      <c r="FX398" s="9"/>
      <c r="FY398" s="9"/>
      <c r="FZ398" s="9"/>
      <c r="GA398" s="9"/>
      <c r="GB398" s="9"/>
      <c r="GC398" s="9"/>
      <c r="GD398" s="9"/>
      <c r="GE398" s="9"/>
      <c r="GF398" s="9"/>
      <c r="GG398" s="9"/>
      <c r="GH398" s="9"/>
      <c r="GI398" s="9"/>
      <c r="GJ398" s="9"/>
      <c r="GK398" s="9"/>
      <c r="GL398" s="9"/>
      <c r="GM398" s="9"/>
      <c r="GN398" s="9"/>
      <c r="GO398" s="9"/>
      <c r="GP398" s="9"/>
      <c r="GQ398" s="9"/>
      <c r="GR398" s="9"/>
      <c r="GS398" s="9"/>
      <c r="GT398" s="9"/>
      <c r="GU398" s="9"/>
      <c r="GV398" s="9"/>
      <c r="GW398" s="9"/>
      <c r="GX398" s="9"/>
      <c r="GY398" s="9"/>
      <c r="GZ398" s="9"/>
      <c r="HA398" s="9"/>
      <c r="HB398" s="9"/>
      <c r="HC398" s="9"/>
      <c r="HD398" s="9"/>
      <c r="HE398" s="9"/>
      <c r="HF398" s="9"/>
      <c r="HG398" s="9"/>
      <c r="HH398" s="9"/>
      <c r="HI398" s="9"/>
      <c r="HJ398" s="9"/>
      <c r="HK398" s="9"/>
      <c r="HU398" s="101">
        <v>38838</v>
      </c>
      <c r="HW398" s="58"/>
      <c r="HX398" s="58"/>
      <c r="II398" t="s">
        <v>1574</v>
      </c>
      <c r="IJ398" s="87" t="s">
        <v>1190</v>
      </c>
      <c r="IK398" t="s">
        <v>660</v>
      </c>
      <c r="IL398" t="s">
        <v>661</v>
      </c>
      <c r="IM398">
        <v>2006</v>
      </c>
      <c r="IO398" s="87" t="s">
        <v>29</v>
      </c>
      <c r="JK398" t="s">
        <v>1574</v>
      </c>
      <c r="JL398" s="84" t="s">
        <v>227</v>
      </c>
      <c r="JW398" s="8" t="s">
        <v>227</v>
      </c>
      <c r="JX398" s="8" t="s">
        <v>1582</v>
      </c>
      <c r="JY398" t="s">
        <v>13</v>
      </c>
      <c r="JZ398">
        <v>80000</v>
      </c>
      <c r="MZ398" t="s">
        <v>1589</v>
      </c>
      <c r="NA398">
        <v>120</v>
      </c>
      <c r="NJ398" t="s">
        <v>1594</v>
      </c>
      <c r="NK398" s="87" t="s">
        <v>1591</v>
      </c>
      <c r="NM398" s="103" t="s">
        <v>1416</v>
      </c>
      <c r="NN398" s="102" t="s">
        <v>1537</v>
      </c>
      <c r="NW398" t="s">
        <v>6</v>
      </c>
      <c r="NX398" s="104">
        <v>266547.45</v>
      </c>
      <c r="NY398" s="88" t="s">
        <v>29</v>
      </c>
      <c r="NZ398" s="88" t="s">
        <v>29</v>
      </c>
      <c r="OA398" s="104"/>
      <c r="OC398">
        <v>3</v>
      </c>
      <c r="OT398" t="s">
        <v>1587</v>
      </c>
      <c r="OU398" s="3" t="s">
        <v>2188</v>
      </c>
      <c r="OW398">
        <v>2006</v>
      </c>
      <c r="OX398">
        <v>2007</v>
      </c>
      <c r="PA398" t="s">
        <v>1169</v>
      </c>
      <c r="PB398" s="58">
        <v>46105</v>
      </c>
    </row>
    <row r="399" spans="1:418" ht="15.75" thickBot="1">
      <c r="A399" t="s">
        <v>248</v>
      </c>
      <c r="B399" t="s">
        <v>1562</v>
      </c>
      <c r="C399" t="s">
        <v>1173</v>
      </c>
      <c r="D399" s="4" t="s">
        <v>1936</v>
      </c>
      <c r="E399" t="s">
        <v>1578</v>
      </c>
      <c r="F399" s="100" t="s">
        <v>31</v>
      </c>
      <c r="G399" s="87" t="s">
        <v>2</v>
      </c>
      <c r="H399" s="87" t="s">
        <v>30</v>
      </c>
      <c r="I399">
        <v>7.25</v>
      </c>
      <c r="J399">
        <v>3.4166666669999999</v>
      </c>
      <c r="K399" s="87" t="s">
        <v>29</v>
      </c>
      <c r="AV399" t="s">
        <v>1697</v>
      </c>
      <c r="AW399">
        <v>3240</v>
      </c>
      <c r="AX399">
        <v>1.2E-2</v>
      </c>
      <c r="AY399">
        <v>1</v>
      </c>
      <c r="BA399">
        <v>2006</v>
      </c>
      <c r="BB399">
        <v>2007</v>
      </c>
      <c r="BD399" t="s">
        <v>238</v>
      </c>
      <c r="BE399" t="s">
        <v>1572</v>
      </c>
      <c r="BF399" t="s">
        <v>64</v>
      </c>
      <c r="BG399" s="78" t="s">
        <v>1233</v>
      </c>
      <c r="BH399" t="s">
        <v>1569</v>
      </c>
      <c r="BI399" t="s">
        <v>1581</v>
      </c>
      <c r="BJ399" s="87" t="s">
        <v>22</v>
      </c>
      <c r="BK399">
        <v>1330</v>
      </c>
      <c r="BL399" t="s">
        <v>56</v>
      </c>
      <c r="BM399" t="s">
        <v>1580</v>
      </c>
      <c r="BN399" t="s">
        <v>234</v>
      </c>
      <c r="BO399" s="87" t="s">
        <v>22</v>
      </c>
      <c r="BP399">
        <v>20000</v>
      </c>
      <c r="EH399" s="9"/>
      <c r="EI399" s="9"/>
      <c r="EJ399" s="9"/>
      <c r="EK399" s="9"/>
      <c r="EL399" s="9"/>
      <c r="EM399" s="9"/>
      <c r="EN399" s="9"/>
      <c r="EO399" s="9"/>
      <c r="EP399" s="9"/>
      <c r="EQ399" s="9"/>
      <c r="ER399" s="9"/>
      <c r="ES399" s="9"/>
      <c r="ET399" s="9"/>
      <c r="EU399" s="9"/>
      <c r="EV399" s="9"/>
      <c r="EW399" s="9"/>
      <c r="EX399" s="9"/>
      <c r="EY399" s="9"/>
      <c r="EZ399" s="9"/>
      <c r="FA399" s="9"/>
      <c r="FB399" s="9"/>
      <c r="FC399" s="9"/>
      <c r="FD399" s="9"/>
      <c r="FE399" s="9"/>
      <c r="FF399" s="9"/>
      <c r="FG399" s="9"/>
      <c r="FH399" s="9"/>
      <c r="FI399" s="9"/>
      <c r="FJ399" s="9"/>
      <c r="FK399" s="9"/>
      <c r="FL399" s="9"/>
      <c r="FM399" s="9"/>
      <c r="FN399" s="9"/>
      <c r="FO399" s="9"/>
      <c r="FP399" s="9"/>
      <c r="FQ399" s="9"/>
      <c r="FR399" s="9"/>
      <c r="FS399" s="9"/>
      <c r="FT399" s="9"/>
      <c r="FU399" s="9"/>
      <c r="FV399" s="9"/>
      <c r="FW399" s="9"/>
      <c r="FX399" s="9"/>
      <c r="FY399" s="9"/>
      <c r="FZ399" s="9"/>
      <c r="GA399" s="9"/>
      <c r="GB399" s="9"/>
      <c r="GC399" s="9"/>
      <c r="GD399" s="9"/>
      <c r="GE399" s="9"/>
      <c r="GF399" s="9"/>
      <c r="GG399" s="9"/>
      <c r="GH399" s="9"/>
      <c r="GI399" s="9"/>
      <c r="GJ399" s="9"/>
      <c r="GK399" s="9"/>
      <c r="GL399" s="9"/>
      <c r="GM399" s="9"/>
      <c r="GN399" s="9"/>
      <c r="GO399" s="9"/>
      <c r="GP399" s="9"/>
      <c r="GQ399" s="9"/>
      <c r="GR399" s="9"/>
      <c r="GS399" s="9"/>
      <c r="GT399" s="9"/>
      <c r="GU399" s="9"/>
      <c r="GV399" s="9"/>
      <c r="GW399" s="9"/>
      <c r="GX399" s="9"/>
      <c r="GY399" s="9"/>
      <c r="GZ399" s="9"/>
      <c r="HA399" s="9"/>
      <c r="HB399" s="9"/>
      <c r="HC399" s="9"/>
      <c r="HD399" s="9"/>
      <c r="HE399" s="9"/>
      <c r="HF399" s="9"/>
      <c r="HG399" s="9"/>
      <c r="HH399" s="9"/>
      <c r="HI399" s="9"/>
      <c r="HJ399" s="9"/>
      <c r="HK399" s="9"/>
      <c r="HU399" s="101">
        <v>38838</v>
      </c>
      <c r="HW399" s="58"/>
      <c r="HX399" s="58"/>
      <c r="II399" t="s">
        <v>1572</v>
      </c>
      <c r="IJ399" s="87" t="s">
        <v>1190</v>
      </c>
      <c r="IK399" t="s">
        <v>660</v>
      </c>
      <c r="IL399" t="s">
        <v>661</v>
      </c>
      <c r="IM399">
        <v>2006</v>
      </c>
      <c r="IO399" s="87" t="s">
        <v>29</v>
      </c>
      <c r="JK399" t="s">
        <v>1572</v>
      </c>
      <c r="JL399" s="84" t="s">
        <v>721</v>
      </c>
      <c r="MZ399" t="s">
        <v>1589</v>
      </c>
      <c r="NA399">
        <v>120</v>
      </c>
      <c r="NB399" t="s">
        <v>1586</v>
      </c>
      <c r="NC399" t="s">
        <v>1580</v>
      </c>
      <c r="ND399" t="s">
        <v>1584</v>
      </c>
      <c r="NJ399" t="s">
        <v>1593</v>
      </c>
      <c r="NK399" s="87" t="s">
        <v>1595</v>
      </c>
      <c r="NM399" s="103" t="s">
        <v>266</v>
      </c>
      <c r="NN399" s="102" t="s">
        <v>1537</v>
      </c>
      <c r="NW399" t="s">
        <v>6</v>
      </c>
      <c r="NX399">
        <v>509241.32</v>
      </c>
      <c r="NY399" s="88" t="s">
        <v>29</v>
      </c>
      <c r="NZ399" s="88" t="s">
        <v>29</v>
      </c>
      <c r="OA399" s="104"/>
      <c r="OC399">
        <v>3</v>
      </c>
      <c r="OT399" t="s">
        <v>1575</v>
      </c>
      <c r="OU399" s="3" t="s">
        <v>2188</v>
      </c>
      <c r="OW399">
        <v>2006</v>
      </c>
      <c r="OX399">
        <v>2007</v>
      </c>
      <c r="PA399" t="s">
        <v>1169</v>
      </c>
      <c r="PB399" s="58">
        <v>46105</v>
      </c>
    </row>
    <row r="400" spans="1:418" ht="15.75" thickBot="1">
      <c r="A400" t="s">
        <v>248</v>
      </c>
      <c r="B400" t="s">
        <v>1562</v>
      </c>
      <c r="C400" t="s">
        <v>1173</v>
      </c>
      <c r="D400" s="4" t="s">
        <v>1936</v>
      </c>
      <c r="E400" t="s">
        <v>1578</v>
      </c>
      <c r="F400" s="100" t="s">
        <v>31</v>
      </c>
      <c r="G400" s="87" t="s">
        <v>2</v>
      </c>
      <c r="H400" s="87" t="s">
        <v>30</v>
      </c>
      <c r="I400">
        <v>7.25</v>
      </c>
      <c r="J400">
        <v>3.4166666669999999</v>
      </c>
      <c r="K400" s="87" t="s">
        <v>29</v>
      </c>
      <c r="AV400" t="s">
        <v>1697</v>
      </c>
      <c r="AW400">
        <v>3240</v>
      </c>
      <c r="AX400">
        <v>1.2E-2</v>
      </c>
      <c r="AY400">
        <v>1</v>
      </c>
      <c r="BA400">
        <v>2006</v>
      </c>
      <c r="BB400">
        <v>2007</v>
      </c>
      <c r="BD400" t="s">
        <v>19</v>
      </c>
      <c r="BE400" t="s">
        <v>1568</v>
      </c>
      <c r="BF400" t="s">
        <v>39</v>
      </c>
      <c r="BG400" s="78" t="s">
        <v>1233</v>
      </c>
      <c r="BH400" t="s">
        <v>1569</v>
      </c>
      <c r="BI400" t="s">
        <v>1581</v>
      </c>
      <c r="BJ400" s="87" t="s">
        <v>22</v>
      </c>
      <c r="BK400">
        <v>1330</v>
      </c>
      <c r="EH400" s="9"/>
      <c r="EI400" s="9"/>
      <c r="EJ400" s="9"/>
      <c r="EK400" s="9"/>
      <c r="EL400" s="9"/>
      <c r="EM400" s="9"/>
      <c r="EN400" s="9"/>
      <c r="EO400" s="9"/>
      <c r="EP400" s="9"/>
      <c r="EQ400" s="9"/>
      <c r="ER400" s="9"/>
      <c r="ES400" s="9"/>
      <c r="ET400" s="9"/>
      <c r="EU400" s="9"/>
      <c r="EV400" s="9"/>
      <c r="EW400" s="9"/>
      <c r="EX400" s="9"/>
      <c r="EY400" s="9"/>
      <c r="EZ400" s="9"/>
      <c r="FA400" s="9"/>
      <c r="FB400" s="9"/>
      <c r="FC400" s="9"/>
      <c r="FD400" s="9"/>
      <c r="FE400" s="9"/>
      <c r="FF400" s="9"/>
      <c r="FG400" s="9"/>
      <c r="FH400" s="9"/>
      <c r="FI400" s="9"/>
      <c r="FJ400" s="9"/>
      <c r="FK400" s="9"/>
      <c r="FL400" s="9"/>
      <c r="FM400" s="9"/>
      <c r="FN400" s="9"/>
      <c r="FO400" s="9"/>
      <c r="FP400" s="9"/>
      <c r="FQ400" s="9"/>
      <c r="FR400" s="9"/>
      <c r="FS400" s="9"/>
      <c r="FT400" s="9"/>
      <c r="FU400" s="9"/>
      <c r="FV400" s="9"/>
      <c r="FW400" s="9"/>
      <c r="FX400" s="9"/>
      <c r="FY400" s="9"/>
      <c r="FZ400" s="9"/>
      <c r="GA400" s="9"/>
      <c r="GB400" s="9"/>
      <c r="GC400" s="9"/>
      <c r="GD400" s="9"/>
      <c r="GE400" s="9"/>
      <c r="GF400" s="9"/>
      <c r="GG400" s="9"/>
      <c r="GH400" s="9"/>
      <c r="GI400" s="9"/>
      <c r="GJ400" s="9"/>
      <c r="GK400" s="9"/>
      <c r="GL400" s="9"/>
      <c r="GM400" s="9"/>
      <c r="GN400" s="9"/>
      <c r="GO400" s="9"/>
      <c r="GP400" s="9"/>
      <c r="GQ400" s="9"/>
      <c r="GR400" s="9"/>
      <c r="GS400" s="9"/>
      <c r="GT400" s="9"/>
      <c r="GU400" s="9"/>
      <c r="GV400" s="9"/>
      <c r="GW400" s="9"/>
      <c r="GX400" s="9"/>
      <c r="GY400" s="9"/>
      <c r="GZ400" s="9"/>
      <c r="HA400" s="9"/>
      <c r="HB400" s="9"/>
      <c r="HC400" s="9"/>
      <c r="HD400" s="9"/>
      <c r="HE400" s="9"/>
      <c r="HF400" s="9"/>
      <c r="HG400" s="9"/>
      <c r="HH400" s="9"/>
      <c r="HI400" s="9"/>
      <c r="HJ400" s="9"/>
      <c r="HK400" s="9"/>
      <c r="HU400" s="101">
        <v>38838</v>
      </c>
      <c r="HW400" s="58"/>
      <c r="HX400" s="58"/>
      <c r="II400" t="s">
        <v>1568</v>
      </c>
      <c r="IJ400" t="s">
        <v>19</v>
      </c>
      <c r="IO400" s="87"/>
      <c r="JK400" t="s">
        <v>1568</v>
      </c>
      <c r="JL400" s="84" t="s">
        <v>721</v>
      </c>
      <c r="MZ400" t="s">
        <v>1589</v>
      </c>
      <c r="NA400">
        <v>120</v>
      </c>
      <c r="NB400" t="s">
        <v>1585</v>
      </c>
      <c r="NC400" t="s">
        <v>1584</v>
      </c>
      <c r="ND400" t="s">
        <v>1588</v>
      </c>
      <c r="NJ400" t="s">
        <v>1593</v>
      </c>
      <c r="NK400" s="87" t="s">
        <v>1595</v>
      </c>
      <c r="NM400" s="103" t="s">
        <v>266</v>
      </c>
      <c r="NN400" s="102" t="s">
        <v>1537</v>
      </c>
      <c r="NV400" t="s">
        <v>64</v>
      </c>
      <c r="NW400" t="s">
        <v>6</v>
      </c>
      <c r="NX400">
        <v>343258.54</v>
      </c>
      <c r="NY400" s="88" t="s">
        <v>29</v>
      </c>
      <c r="NZ400" s="88" t="s">
        <v>29</v>
      </c>
      <c r="OA400" s="104"/>
      <c r="OC400">
        <v>3</v>
      </c>
      <c r="OT400" t="s">
        <v>1575</v>
      </c>
      <c r="OU400" s="3" t="s">
        <v>2188</v>
      </c>
      <c r="OW400">
        <v>2006</v>
      </c>
      <c r="OX400">
        <v>2007</v>
      </c>
      <c r="PA400" t="s">
        <v>1169</v>
      </c>
      <c r="PB400" s="58">
        <v>46105</v>
      </c>
    </row>
    <row r="401" spans="1:418" ht="15.75" thickBot="1">
      <c r="A401" t="s">
        <v>248</v>
      </c>
      <c r="B401" t="s">
        <v>1562</v>
      </c>
      <c r="C401" t="s">
        <v>1173</v>
      </c>
      <c r="D401" s="4" t="s">
        <v>1936</v>
      </c>
      <c r="E401" t="s">
        <v>1578</v>
      </c>
      <c r="F401" s="100" t="s">
        <v>31</v>
      </c>
      <c r="G401" s="87" t="s">
        <v>2</v>
      </c>
      <c r="H401" s="87" t="s">
        <v>30</v>
      </c>
      <c r="I401">
        <v>7.25</v>
      </c>
      <c r="J401">
        <v>3.4166666669999999</v>
      </c>
      <c r="K401" s="87" t="s">
        <v>29</v>
      </c>
      <c r="AV401" t="s">
        <v>1697</v>
      </c>
      <c r="AW401">
        <v>3240</v>
      </c>
      <c r="AX401">
        <v>1.2E-2</v>
      </c>
      <c r="AY401">
        <v>1</v>
      </c>
      <c r="BA401">
        <v>2006</v>
      </c>
      <c r="BB401">
        <v>2007</v>
      </c>
      <c r="BD401" t="s">
        <v>19</v>
      </c>
      <c r="BE401" t="s">
        <v>1567</v>
      </c>
      <c r="BF401" t="s">
        <v>24</v>
      </c>
      <c r="BG401" s="78" t="s">
        <v>1233</v>
      </c>
      <c r="BH401" t="s">
        <v>1580</v>
      </c>
      <c r="BI401" t="s">
        <v>836</v>
      </c>
      <c r="BJ401" s="87" t="s">
        <v>22</v>
      </c>
      <c r="BK401">
        <v>20000</v>
      </c>
      <c r="EH401" s="9"/>
      <c r="EI401" s="9"/>
      <c r="EJ401" s="9"/>
      <c r="EK401" s="9"/>
      <c r="EL401" s="9"/>
      <c r="EM401" s="9"/>
      <c r="EN401" s="9"/>
      <c r="EO401" s="9"/>
      <c r="EP401" s="9"/>
      <c r="EQ401" s="9"/>
      <c r="ER401" s="9"/>
      <c r="ES401" s="9"/>
      <c r="ET401" s="9"/>
      <c r="EU401" s="9"/>
      <c r="EV401" s="9"/>
      <c r="EW401" s="9"/>
      <c r="EX401" s="9"/>
      <c r="EY401" s="9"/>
      <c r="EZ401" s="9"/>
      <c r="FA401" s="9"/>
      <c r="FB401" s="9"/>
      <c r="FC401" s="9"/>
      <c r="FD401" s="9"/>
      <c r="FE401" s="9"/>
      <c r="FF401" s="9"/>
      <c r="FG401" s="9"/>
      <c r="FH401" s="9"/>
      <c r="FI401" s="9"/>
      <c r="FJ401" s="9"/>
      <c r="FK401" s="9"/>
      <c r="FL401" s="9"/>
      <c r="FM401" s="9"/>
      <c r="FN401" s="9"/>
      <c r="FO401" s="9"/>
      <c r="FP401" s="9"/>
      <c r="FQ401" s="9"/>
      <c r="FR401" s="9"/>
      <c r="FS401" s="9"/>
      <c r="FT401" s="9"/>
      <c r="FU401" s="9"/>
      <c r="FV401" s="9"/>
      <c r="FW401" s="9"/>
      <c r="FX401" s="9"/>
      <c r="FY401" s="9"/>
      <c r="FZ401" s="9"/>
      <c r="GA401" s="9"/>
      <c r="GB401" s="9"/>
      <c r="GC401" s="9"/>
      <c r="GD401" s="9"/>
      <c r="GE401" s="9"/>
      <c r="GF401" s="9"/>
      <c r="GG401" s="9"/>
      <c r="GH401" s="9"/>
      <c r="GI401" s="9"/>
      <c r="GJ401" s="9"/>
      <c r="GK401" s="9"/>
      <c r="GL401" s="9"/>
      <c r="GM401" s="9"/>
      <c r="GN401" s="9"/>
      <c r="GO401" s="9"/>
      <c r="GP401" s="9"/>
      <c r="GQ401" s="9"/>
      <c r="GR401" s="9"/>
      <c r="GS401" s="9"/>
      <c r="GT401" s="9"/>
      <c r="GU401" s="9"/>
      <c r="GV401" s="9"/>
      <c r="GW401" s="9"/>
      <c r="GX401" s="9"/>
      <c r="GY401" s="9"/>
      <c r="GZ401" s="9"/>
      <c r="HA401" s="9"/>
      <c r="HB401" s="9"/>
      <c r="HC401" s="9"/>
      <c r="HD401" s="9"/>
      <c r="HE401" s="9"/>
      <c r="HF401" s="9"/>
      <c r="HG401" s="9"/>
      <c r="HH401" s="9"/>
      <c r="HI401" s="9"/>
      <c r="HJ401" s="9"/>
      <c r="HK401" s="9"/>
      <c r="HU401" s="101">
        <v>38838</v>
      </c>
      <c r="HW401" s="58"/>
      <c r="HX401" s="58"/>
      <c r="II401" t="s">
        <v>1567</v>
      </c>
      <c r="IJ401" t="s">
        <v>19</v>
      </c>
      <c r="IO401" s="87"/>
      <c r="JK401" t="s">
        <v>1567</v>
      </c>
      <c r="JL401" s="84" t="s">
        <v>721</v>
      </c>
      <c r="MZ401" t="s">
        <v>1589</v>
      </c>
      <c r="NA401">
        <v>120</v>
      </c>
      <c r="NB401" t="s">
        <v>1565</v>
      </c>
      <c r="NC401" t="s">
        <v>1580</v>
      </c>
      <c r="NJ401" t="s">
        <v>1593</v>
      </c>
      <c r="NK401" s="87" t="s">
        <v>1595</v>
      </c>
      <c r="NM401" s="103" t="s">
        <v>266</v>
      </c>
      <c r="NN401" s="102" t="s">
        <v>1537</v>
      </c>
      <c r="NV401" t="s">
        <v>64</v>
      </c>
      <c r="NW401" t="s">
        <v>6</v>
      </c>
      <c r="NX401">
        <v>112324.37</v>
      </c>
      <c r="NY401" s="88" t="s">
        <v>29</v>
      </c>
      <c r="NZ401" s="88" t="s">
        <v>29</v>
      </c>
      <c r="OA401" s="104"/>
      <c r="OC401">
        <v>3</v>
      </c>
      <c r="OT401" t="s">
        <v>1575</v>
      </c>
      <c r="OU401" s="3" t="s">
        <v>2188</v>
      </c>
      <c r="OW401">
        <v>2006</v>
      </c>
      <c r="OX401">
        <v>2007</v>
      </c>
      <c r="PA401" t="s">
        <v>1169</v>
      </c>
      <c r="PB401" s="58">
        <v>46105</v>
      </c>
    </row>
    <row r="402" spans="1:418" ht="15.75" thickBot="1">
      <c r="A402" t="s">
        <v>248</v>
      </c>
      <c r="B402" t="s">
        <v>1562</v>
      </c>
      <c r="C402" t="s">
        <v>1173</v>
      </c>
      <c r="D402" s="4" t="s">
        <v>1936</v>
      </c>
      <c r="E402" t="s">
        <v>1578</v>
      </c>
      <c r="F402" s="100" t="s">
        <v>31</v>
      </c>
      <c r="G402" s="87" t="s">
        <v>2</v>
      </c>
      <c r="H402" s="87" t="s">
        <v>30</v>
      </c>
      <c r="I402">
        <v>7.25</v>
      </c>
      <c r="J402">
        <v>3.4166666669999999</v>
      </c>
      <c r="K402" s="87" t="s">
        <v>29</v>
      </c>
      <c r="AV402" t="s">
        <v>1697</v>
      </c>
      <c r="AW402">
        <v>3240</v>
      </c>
      <c r="AX402">
        <v>1.2E-2</v>
      </c>
      <c r="AY402">
        <v>1</v>
      </c>
      <c r="BA402">
        <v>2006</v>
      </c>
      <c r="BB402">
        <v>2007</v>
      </c>
      <c r="BD402" t="s">
        <v>19</v>
      </c>
      <c r="BE402" t="s">
        <v>1563</v>
      </c>
      <c r="BF402" t="s">
        <v>299</v>
      </c>
      <c r="BG402" s="78" t="s">
        <v>1233</v>
      </c>
      <c r="BH402" t="s">
        <v>1580</v>
      </c>
      <c r="BI402" t="s">
        <v>234</v>
      </c>
      <c r="BJ402" s="87" t="s">
        <v>22</v>
      </c>
      <c r="BK402">
        <v>20000</v>
      </c>
      <c r="EH402" s="9"/>
      <c r="EI402" s="9"/>
      <c r="EJ402" s="9"/>
      <c r="EK402" s="9"/>
      <c r="EL402" s="9"/>
      <c r="EM402" s="9"/>
      <c r="EN402" s="9"/>
      <c r="EO402" s="9"/>
      <c r="EP402" s="9"/>
      <c r="EQ402" s="9"/>
      <c r="ER402" s="9"/>
      <c r="ES402" s="9"/>
      <c r="ET402" s="9"/>
      <c r="EU402" s="9"/>
      <c r="EV402" s="9"/>
      <c r="EW402" s="9"/>
      <c r="EX402" s="9"/>
      <c r="EY402" s="9"/>
      <c r="EZ402" s="9"/>
      <c r="FA402" s="9"/>
      <c r="FB402" s="9"/>
      <c r="FC402" s="9"/>
      <c r="FD402" s="9"/>
      <c r="FE402" s="9"/>
      <c r="FF402" s="9"/>
      <c r="FG402" s="9"/>
      <c r="FH402" s="9"/>
      <c r="FI402" s="9"/>
      <c r="FJ402" s="9"/>
      <c r="FK402" s="9"/>
      <c r="FL402" s="9"/>
      <c r="FM402" s="9"/>
      <c r="FN402" s="9"/>
      <c r="FO402" s="9"/>
      <c r="FP402" s="9"/>
      <c r="FQ402" s="9"/>
      <c r="FR402" s="9"/>
      <c r="FS402" s="9"/>
      <c r="FT402" s="9"/>
      <c r="FU402" s="9"/>
      <c r="FV402" s="9"/>
      <c r="FW402" s="9"/>
      <c r="FX402" s="9"/>
      <c r="FY402" s="9"/>
      <c r="FZ402" s="9"/>
      <c r="GA402" s="9"/>
      <c r="GB402" s="9"/>
      <c r="GC402" s="9"/>
      <c r="GD402" s="9"/>
      <c r="GE402" s="9"/>
      <c r="GF402" s="9"/>
      <c r="GG402" s="9"/>
      <c r="GH402" s="9"/>
      <c r="GI402" s="9"/>
      <c r="GJ402" s="9"/>
      <c r="GK402" s="9"/>
      <c r="GL402" s="9"/>
      <c r="GM402" s="9"/>
      <c r="GN402" s="9"/>
      <c r="GO402" s="9"/>
      <c r="GP402" s="9"/>
      <c r="GQ402" s="9"/>
      <c r="GR402" s="9"/>
      <c r="GS402" s="9"/>
      <c r="GT402" s="9"/>
      <c r="GU402" s="9"/>
      <c r="GV402" s="9"/>
      <c r="GW402" s="9"/>
      <c r="GX402" s="9"/>
      <c r="GY402" s="9"/>
      <c r="GZ402" s="9"/>
      <c r="HA402" s="9"/>
      <c r="HB402" s="9"/>
      <c r="HC402" s="9"/>
      <c r="HD402" s="9"/>
      <c r="HE402" s="9"/>
      <c r="HF402" s="9"/>
      <c r="HG402" s="9"/>
      <c r="HH402" s="9"/>
      <c r="HI402" s="9"/>
      <c r="HJ402" s="9"/>
      <c r="HK402" s="9"/>
      <c r="HU402" s="101">
        <v>38838</v>
      </c>
      <c r="HW402" s="58"/>
      <c r="HX402" s="58"/>
      <c r="II402" t="s">
        <v>1563</v>
      </c>
      <c r="IJ402" t="s">
        <v>19</v>
      </c>
      <c r="JK402" t="s">
        <v>1563</v>
      </c>
      <c r="JL402" s="84" t="s">
        <v>227</v>
      </c>
      <c r="JW402" s="8" t="s">
        <v>227</v>
      </c>
      <c r="JX402" s="8" t="s">
        <v>1582</v>
      </c>
      <c r="JY402" t="s">
        <v>13</v>
      </c>
      <c r="JZ402">
        <v>40000</v>
      </c>
      <c r="MZ402" t="s">
        <v>1589</v>
      </c>
      <c r="NA402">
        <v>120</v>
      </c>
      <c r="NB402" t="s">
        <v>1565</v>
      </c>
      <c r="NC402" t="s">
        <v>1580</v>
      </c>
      <c r="NJ402" t="s">
        <v>1594</v>
      </c>
      <c r="NK402" s="87" t="s">
        <v>1595</v>
      </c>
      <c r="NM402" s="103" t="s">
        <v>266</v>
      </c>
      <c r="NN402" s="102" t="s">
        <v>1537</v>
      </c>
      <c r="NV402" t="s">
        <v>57</v>
      </c>
      <c r="NW402" t="s">
        <v>6</v>
      </c>
      <c r="NX402" s="104">
        <v>327226.36</v>
      </c>
      <c r="NY402" s="88" t="s">
        <v>29</v>
      </c>
      <c r="NZ402" s="88" t="s">
        <v>29</v>
      </c>
      <c r="OA402" s="104"/>
      <c r="OC402">
        <v>3</v>
      </c>
      <c r="OT402" t="s">
        <v>1576</v>
      </c>
      <c r="OU402" s="3" t="s">
        <v>2188</v>
      </c>
      <c r="OW402">
        <v>2006</v>
      </c>
      <c r="OX402">
        <v>2007</v>
      </c>
      <c r="PA402" t="s">
        <v>1169</v>
      </c>
      <c r="PB402" s="58">
        <v>46105</v>
      </c>
    </row>
    <row r="403" spans="1:418" ht="15.75" thickBot="1">
      <c r="A403" t="s">
        <v>248</v>
      </c>
      <c r="B403" t="s">
        <v>1562</v>
      </c>
      <c r="C403" t="s">
        <v>1173</v>
      </c>
      <c r="D403" s="4" t="s">
        <v>1936</v>
      </c>
      <c r="E403" t="s">
        <v>1578</v>
      </c>
      <c r="F403" s="100" t="s">
        <v>31</v>
      </c>
      <c r="G403" s="87" t="s">
        <v>2</v>
      </c>
      <c r="H403" s="87" t="s">
        <v>30</v>
      </c>
      <c r="I403">
        <v>7.25</v>
      </c>
      <c r="J403">
        <v>3.4166666669999999</v>
      </c>
      <c r="K403" s="87" t="s">
        <v>29</v>
      </c>
      <c r="AV403" t="s">
        <v>1697</v>
      </c>
      <c r="AW403">
        <v>3240</v>
      </c>
      <c r="AX403">
        <v>1.2E-2</v>
      </c>
      <c r="AY403">
        <v>1</v>
      </c>
      <c r="BA403">
        <v>2006</v>
      </c>
      <c r="BB403">
        <v>2007</v>
      </c>
      <c r="BD403" t="s">
        <v>19</v>
      </c>
      <c r="BE403" t="s">
        <v>1566</v>
      </c>
      <c r="BF403" t="s">
        <v>256</v>
      </c>
      <c r="BG403" s="78" t="s">
        <v>1233</v>
      </c>
      <c r="BH403" t="s">
        <v>1580</v>
      </c>
      <c r="BI403" t="s">
        <v>234</v>
      </c>
      <c r="BJ403" s="87" t="s">
        <v>22</v>
      </c>
      <c r="BK403">
        <v>20000</v>
      </c>
      <c r="EH403" s="9"/>
      <c r="EI403" s="9"/>
      <c r="EJ403" s="9"/>
      <c r="EK403" s="9"/>
      <c r="EL403" s="9"/>
      <c r="EM403" s="9"/>
      <c r="EN403" s="9"/>
      <c r="EO403" s="9"/>
      <c r="EP403" s="9"/>
      <c r="EQ403" s="9"/>
      <c r="ER403" s="9"/>
      <c r="ES403" s="9"/>
      <c r="ET403" s="9"/>
      <c r="EU403" s="9"/>
      <c r="EV403" s="9"/>
      <c r="EW403" s="9"/>
      <c r="EX403" s="9"/>
      <c r="EY403" s="9"/>
      <c r="EZ403" s="9"/>
      <c r="FA403" s="9"/>
      <c r="FB403" s="9"/>
      <c r="FC403" s="9"/>
      <c r="FD403" s="9"/>
      <c r="FE403" s="9"/>
      <c r="FF403" s="9"/>
      <c r="FG403" s="9"/>
      <c r="FH403" s="9"/>
      <c r="FI403" s="9"/>
      <c r="FJ403" s="9"/>
      <c r="FK403" s="9"/>
      <c r="FL403" s="9"/>
      <c r="FM403" s="9"/>
      <c r="FN403" s="9"/>
      <c r="FO403" s="9"/>
      <c r="FP403" s="9"/>
      <c r="FQ403" s="9"/>
      <c r="FR403" s="9"/>
      <c r="FS403" s="9"/>
      <c r="FT403" s="9"/>
      <c r="FU403" s="9"/>
      <c r="FV403" s="9"/>
      <c r="FW403" s="9"/>
      <c r="FX403" s="9"/>
      <c r="FY403" s="9"/>
      <c r="FZ403" s="9"/>
      <c r="GA403" s="9"/>
      <c r="GB403" s="9"/>
      <c r="GC403" s="9"/>
      <c r="GD403" s="9"/>
      <c r="GE403" s="9"/>
      <c r="GF403" s="9"/>
      <c r="GG403" s="9"/>
      <c r="GH403" s="9"/>
      <c r="GI403" s="9"/>
      <c r="GJ403" s="9"/>
      <c r="GK403" s="9"/>
      <c r="GL403" s="9"/>
      <c r="GM403" s="9"/>
      <c r="GN403" s="9"/>
      <c r="GO403" s="9"/>
      <c r="GP403" s="9"/>
      <c r="GQ403" s="9"/>
      <c r="GR403" s="9"/>
      <c r="GS403" s="9"/>
      <c r="GT403" s="9"/>
      <c r="GU403" s="9"/>
      <c r="GV403" s="9"/>
      <c r="GW403" s="9"/>
      <c r="GX403" s="9"/>
      <c r="GY403" s="9"/>
      <c r="GZ403" s="9"/>
      <c r="HA403" s="9"/>
      <c r="HB403" s="9"/>
      <c r="HC403" s="9"/>
      <c r="HD403" s="9"/>
      <c r="HE403" s="9"/>
      <c r="HF403" s="9"/>
      <c r="HG403" s="9"/>
      <c r="HH403" s="9"/>
      <c r="HI403" s="9"/>
      <c r="HJ403" s="9"/>
      <c r="HK403" s="9"/>
      <c r="HU403" s="101">
        <v>38838</v>
      </c>
      <c r="HW403" s="58"/>
      <c r="HX403" s="58"/>
      <c r="II403" t="s">
        <v>1566</v>
      </c>
      <c r="IJ403" t="s">
        <v>19</v>
      </c>
      <c r="JK403" t="s">
        <v>1566</v>
      </c>
      <c r="JL403" s="84" t="s">
        <v>227</v>
      </c>
      <c r="JW403" s="8" t="s">
        <v>227</v>
      </c>
      <c r="JX403" s="8" t="s">
        <v>1582</v>
      </c>
      <c r="JY403" t="s">
        <v>13</v>
      </c>
      <c r="JZ403">
        <v>80000</v>
      </c>
      <c r="MZ403" t="s">
        <v>1589</v>
      </c>
      <c r="NA403">
        <v>120</v>
      </c>
      <c r="NB403" t="s">
        <v>1565</v>
      </c>
      <c r="NC403" t="s">
        <v>1580</v>
      </c>
      <c r="NJ403" t="s">
        <v>1594</v>
      </c>
      <c r="NK403" s="87" t="s">
        <v>1595</v>
      </c>
      <c r="NM403" s="103" t="s">
        <v>266</v>
      </c>
      <c r="NN403" s="102" t="s">
        <v>1537</v>
      </c>
      <c r="NV403" t="s">
        <v>48</v>
      </c>
      <c r="NW403" t="s">
        <v>6</v>
      </c>
      <c r="NX403" s="104">
        <v>253709.32</v>
      </c>
      <c r="NY403" s="88" t="s">
        <v>29</v>
      </c>
      <c r="NZ403" s="88" t="s">
        <v>29</v>
      </c>
      <c r="OA403" s="104"/>
      <c r="OC403">
        <v>3</v>
      </c>
      <c r="OT403" t="s">
        <v>1576</v>
      </c>
      <c r="OU403" s="3" t="s">
        <v>2188</v>
      </c>
      <c r="OW403">
        <v>2006</v>
      </c>
      <c r="OX403">
        <v>2007</v>
      </c>
      <c r="PA403" t="s">
        <v>1169</v>
      </c>
      <c r="PB403" s="58">
        <v>46105</v>
      </c>
    </row>
    <row r="404" spans="1:418" ht="15.75" thickBot="1">
      <c r="A404" t="s">
        <v>248</v>
      </c>
      <c r="B404" t="s">
        <v>1562</v>
      </c>
      <c r="C404" t="s">
        <v>1173</v>
      </c>
      <c r="D404" s="4" t="s">
        <v>1936</v>
      </c>
      <c r="E404" t="s">
        <v>1578</v>
      </c>
      <c r="F404" s="100" t="s">
        <v>31</v>
      </c>
      <c r="G404" s="87" t="s">
        <v>2</v>
      </c>
      <c r="H404" s="87" t="s">
        <v>30</v>
      </c>
      <c r="I404">
        <v>7.25</v>
      </c>
      <c r="J404">
        <v>3.4166666669999999</v>
      </c>
      <c r="K404" s="87" t="s">
        <v>29</v>
      </c>
      <c r="AV404" t="s">
        <v>1697</v>
      </c>
      <c r="AW404">
        <v>3240</v>
      </c>
      <c r="AX404">
        <v>1.2E-2</v>
      </c>
      <c r="AY404">
        <v>1</v>
      </c>
      <c r="BA404">
        <v>2006</v>
      </c>
      <c r="BB404">
        <v>2007</v>
      </c>
      <c r="BD404" t="s">
        <v>19</v>
      </c>
      <c r="BE404" t="s">
        <v>1570</v>
      </c>
      <c r="BF404" t="s">
        <v>1456</v>
      </c>
      <c r="BG404" s="78" t="s">
        <v>1233</v>
      </c>
      <c r="BH404" t="s">
        <v>1569</v>
      </c>
      <c r="BI404" t="s">
        <v>1581</v>
      </c>
      <c r="BJ404" s="87" t="s">
        <v>22</v>
      </c>
      <c r="BK404">
        <v>1330</v>
      </c>
      <c r="EH404" s="9"/>
      <c r="EI404" s="9"/>
      <c r="EJ404" s="9"/>
      <c r="EK404" s="9"/>
      <c r="EL404" s="9"/>
      <c r="EM404" s="9"/>
      <c r="EN404" s="9"/>
      <c r="EO404" s="9"/>
      <c r="EP404" s="9"/>
      <c r="EQ404" s="9"/>
      <c r="ER404" s="9"/>
      <c r="ES404" s="9"/>
      <c r="ET404" s="9"/>
      <c r="EU404" s="9"/>
      <c r="EV404" s="9"/>
      <c r="EW404" s="9"/>
      <c r="EX404" s="9"/>
      <c r="EY404" s="9"/>
      <c r="EZ404" s="9"/>
      <c r="FA404" s="9"/>
      <c r="FB404" s="9"/>
      <c r="FC404" s="9"/>
      <c r="FD404" s="9"/>
      <c r="FE404" s="9"/>
      <c r="FF404" s="9"/>
      <c r="FG404" s="9"/>
      <c r="FH404" s="9"/>
      <c r="FI404" s="9"/>
      <c r="FJ404" s="9"/>
      <c r="FK404" s="9"/>
      <c r="FL404" s="9"/>
      <c r="FM404" s="9"/>
      <c r="FN404" s="9"/>
      <c r="FO404" s="9"/>
      <c r="FP404" s="9"/>
      <c r="FQ404" s="9"/>
      <c r="FR404" s="9"/>
      <c r="FS404" s="9"/>
      <c r="FT404" s="9"/>
      <c r="FU404" s="9"/>
      <c r="FV404" s="9"/>
      <c r="FW404" s="9"/>
      <c r="FX404" s="9"/>
      <c r="FY404" s="9"/>
      <c r="FZ404" s="9"/>
      <c r="GA404" s="9"/>
      <c r="GB404" s="9"/>
      <c r="GC404" s="9"/>
      <c r="GD404" s="9"/>
      <c r="GE404" s="9"/>
      <c r="GF404" s="9"/>
      <c r="GG404" s="9"/>
      <c r="GH404" s="9"/>
      <c r="GI404" s="9"/>
      <c r="GJ404" s="9"/>
      <c r="GK404" s="9"/>
      <c r="GL404" s="9"/>
      <c r="GM404" s="9"/>
      <c r="GN404" s="9"/>
      <c r="GO404" s="9"/>
      <c r="GP404" s="9"/>
      <c r="GQ404" s="9"/>
      <c r="GR404" s="9"/>
      <c r="GS404" s="9"/>
      <c r="GT404" s="9"/>
      <c r="GU404" s="9"/>
      <c r="GV404" s="9"/>
      <c r="GW404" s="9"/>
      <c r="GX404" s="9"/>
      <c r="GY404" s="9"/>
      <c r="GZ404" s="9"/>
      <c r="HA404" s="9"/>
      <c r="HB404" s="9"/>
      <c r="HC404" s="9"/>
      <c r="HD404" s="9"/>
      <c r="HE404" s="9"/>
      <c r="HF404" s="9"/>
      <c r="HG404" s="9"/>
      <c r="HH404" s="9"/>
      <c r="HI404" s="9"/>
      <c r="HJ404" s="9"/>
      <c r="HK404" s="9"/>
      <c r="HU404" s="101">
        <v>38838</v>
      </c>
      <c r="HW404" s="58"/>
      <c r="HX404" s="58"/>
      <c r="II404" t="s">
        <v>1570</v>
      </c>
      <c r="IJ404" t="s">
        <v>19</v>
      </c>
      <c r="JK404" t="s">
        <v>1570</v>
      </c>
      <c r="JL404" s="84" t="s">
        <v>227</v>
      </c>
      <c r="JW404" s="8" t="s">
        <v>227</v>
      </c>
      <c r="JX404" s="8" t="s">
        <v>1582</v>
      </c>
      <c r="JY404" t="s">
        <v>13</v>
      </c>
      <c r="JZ404">
        <v>40000</v>
      </c>
      <c r="MZ404" t="s">
        <v>1589</v>
      </c>
      <c r="NA404">
        <v>120</v>
      </c>
      <c r="NB404" t="s">
        <v>1585</v>
      </c>
      <c r="NC404" t="s">
        <v>1584</v>
      </c>
      <c r="ND404" t="s">
        <v>1588</v>
      </c>
      <c r="NJ404" t="s">
        <v>1594</v>
      </c>
      <c r="NK404" s="87" t="s">
        <v>1595</v>
      </c>
      <c r="NM404" s="103" t="s">
        <v>266</v>
      </c>
      <c r="NN404" s="102" t="s">
        <v>1537</v>
      </c>
      <c r="NV404" t="s">
        <v>57</v>
      </c>
      <c r="NW404" t="s">
        <v>6</v>
      </c>
      <c r="NX404">
        <v>575102.39</v>
      </c>
      <c r="NY404" s="88" t="s">
        <v>29</v>
      </c>
      <c r="NZ404" s="88" t="s">
        <v>29</v>
      </c>
      <c r="OA404" s="104"/>
      <c r="OC404">
        <v>3</v>
      </c>
      <c r="OT404" t="s">
        <v>1577</v>
      </c>
      <c r="OU404" s="3" t="s">
        <v>2188</v>
      </c>
      <c r="OW404">
        <v>2006</v>
      </c>
      <c r="OX404">
        <v>2007</v>
      </c>
      <c r="PA404" t="s">
        <v>1169</v>
      </c>
      <c r="PB404" s="58">
        <v>46105</v>
      </c>
    </row>
    <row r="405" spans="1:418" ht="15.75" thickBot="1">
      <c r="A405" t="s">
        <v>248</v>
      </c>
      <c r="B405" t="s">
        <v>1562</v>
      </c>
      <c r="C405" t="s">
        <v>1173</v>
      </c>
      <c r="D405" s="4" t="s">
        <v>1936</v>
      </c>
      <c r="E405" t="s">
        <v>1578</v>
      </c>
      <c r="F405" s="100" t="s">
        <v>31</v>
      </c>
      <c r="G405" s="87" t="s">
        <v>2</v>
      </c>
      <c r="H405" s="87" t="s">
        <v>30</v>
      </c>
      <c r="I405">
        <v>7.25</v>
      </c>
      <c r="J405">
        <v>3.4166666669999999</v>
      </c>
      <c r="K405" s="87" t="s">
        <v>29</v>
      </c>
      <c r="AV405" t="s">
        <v>1697</v>
      </c>
      <c r="AW405">
        <v>3240</v>
      </c>
      <c r="AX405">
        <v>1.2E-2</v>
      </c>
      <c r="AY405">
        <v>1</v>
      </c>
      <c r="BA405">
        <v>2006</v>
      </c>
      <c r="BB405">
        <v>2007</v>
      </c>
      <c r="BD405" t="s">
        <v>19</v>
      </c>
      <c r="BE405" t="s">
        <v>1571</v>
      </c>
      <c r="BF405" t="s">
        <v>1458</v>
      </c>
      <c r="BG405" s="78" t="s">
        <v>1233</v>
      </c>
      <c r="BH405" t="s">
        <v>1569</v>
      </c>
      <c r="BI405" t="s">
        <v>1581</v>
      </c>
      <c r="BJ405" s="87" t="s">
        <v>22</v>
      </c>
      <c r="BK405">
        <v>1330</v>
      </c>
      <c r="EH405" s="9"/>
      <c r="EI405" s="9"/>
      <c r="EJ405" s="9"/>
      <c r="EK405" s="9"/>
      <c r="EL405" s="9"/>
      <c r="EM405" s="9"/>
      <c r="EN405" s="9"/>
      <c r="EO405" s="9"/>
      <c r="EP405" s="9"/>
      <c r="EQ405" s="9"/>
      <c r="ER405" s="9"/>
      <c r="ES405" s="9"/>
      <c r="ET405" s="9"/>
      <c r="EU405" s="9"/>
      <c r="EV405" s="9"/>
      <c r="EW405" s="9"/>
      <c r="EX405" s="9"/>
      <c r="EY405" s="9"/>
      <c r="EZ405" s="9"/>
      <c r="FA405" s="9"/>
      <c r="FB405" s="9"/>
      <c r="FC405" s="9"/>
      <c r="FD405" s="9"/>
      <c r="FE405" s="9"/>
      <c r="FF405" s="9"/>
      <c r="FG405" s="9"/>
      <c r="FH405" s="9"/>
      <c r="FI405" s="9"/>
      <c r="FJ405" s="9"/>
      <c r="FK405" s="9"/>
      <c r="FL405" s="9"/>
      <c r="FM405" s="9"/>
      <c r="FN405" s="9"/>
      <c r="FO405" s="9"/>
      <c r="FP405" s="9"/>
      <c r="FQ405" s="9"/>
      <c r="FR405" s="9"/>
      <c r="FS405" s="9"/>
      <c r="FT405" s="9"/>
      <c r="FU405" s="9"/>
      <c r="FV405" s="9"/>
      <c r="FW405" s="9"/>
      <c r="FX405" s="9"/>
      <c r="FY405" s="9"/>
      <c r="FZ405" s="9"/>
      <c r="GA405" s="9"/>
      <c r="GB405" s="9"/>
      <c r="GC405" s="9"/>
      <c r="GD405" s="9"/>
      <c r="GE405" s="9"/>
      <c r="GF405" s="9"/>
      <c r="GG405" s="9"/>
      <c r="GH405" s="9"/>
      <c r="GI405" s="9"/>
      <c r="GJ405" s="9"/>
      <c r="GK405" s="9"/>
      <c r="GL405" s="9"/>
      <c r="GM405" s="9"/>
      <c r="GN405" s="9"/>
      <c r="GO405" s="9"/>
      <c r="GP405" s="9"/>
      <c r="GQ405" s="9"/>
      <c r="GR405" s="9"/>
      <c r="GS405" s="9"/>
      <c r="GT405" s="9"/>
      <c r="GU405" s="9"/>
      <c r="GV405" s="9"/>
      <c r="GW405" s="9"/>
      <c r="GX405" s="9"/>
      <c r="GY405" s="9"/>
      <c r="GZ405" s="9"/>
      <c r="HA405" s="9"/>
      <c r="HB405" s="9"/>
      <c r="HC405" s="9"/>
      <c r="HD405" s="9"/>
      <c r="HE405" s="9"/>
      <c r="HF405" s="9"/>
      <c r="HG405" s="9"/>
      <c r="HH405" s="9"/>
      <c r="HI405" s="9"/>
      <c r="HJ405" s="9"/>
      <c r="HK405" s="9"/>
      <c r="HU405" s="101">
        <v>38838</v>
      </c>
      <c r="HW405" s="58"/>
      <c r="HX405" s="58"/>
      <c r="II405" t="s">
        <v>1571</v>
      </c>
      <c r="IJ405" t="s">
        <v>19</v>
      </c>
      <c r="JK405" t="s">
        <v>1571</v>
      </c>
      <c r="JL405" s="84" t="s">
        <v>227</v>
      </c>
      <c r="JW405" s="8" t="s">
        <v>227</v>
      </c>
      <c r="JX405" s="8" t="s">
        <v>1582</v>
      </c>
      <c r="JY405" t="s">
        <v>13</v>
      </c>
      <c r="JZ405">
        <v>80000</v>
      </c>
      <c r="MZ405" t="s">
        <v>1589</v>
      </c>
      <c r="NA405">
        <v>120</v>
      </c>
      <c r="NB405" t="s">
        <v>1585</v>
      </c>
      <c r="NC405" t="s">
        <v>1584</v>
      </c>
      <c r="ND405" t="s">
        <v>1588</v>
      </c>
      <c r="NJ405" t="s">
        <v>1594</v>
      </c>
      <c r="NK405" s="87" t="s">
        <v>1595</v>
      </c>
      <c r="NM405" s="103" t="s">
        <v>266</v>
      </c>
      <c r="NN405" s="102" t="s">
        <v>1537</v>
      </c>
      <c r="NV405" t="s">
        <v>48</v>
      </c>
      <c r="NW405" t="s">
        <v>6</v>
      </c>
      <c r="NX405">
        <v>745041.19</v>
      </c>
      <c r="NY405" s="88" t="s">
        <v>29</v>
      </c>
      <c r="NZ405" s="88" t="s">
        <v>29</v>
      </c>
      <c r="OA405" s="104"/>
      <c r="OC405">
        <v>3</v>
      </c>
      <c r="OT405" t="s">
        <v>1577</v>
      </c>
      <c r="OU405" s="3" t="s">
        <v>2188</v>
      </c>
      <c r="OW405">
        <v>2006</v>
      </c>
      <c r="OX405">
        <v>2007</v>
      </c>
      <c r="PA405" t="s">
        <v>1169</v>
      </c>
      <c r="PB405" s="58">
        <v>46105</v>
      </c>
    </row>
    <row r="406" spans="1:418" ht="15.75" thickBot="1">
      <c r="A406" t="s">
        <v>248</v>
      </c>
      <c r="B406" t="s">
        <v>1562</v>
      </c>
      <c r="C406" t="s">
        <v>1173</v>
      </c>
      <c r="D406" s="4" t="s">
        <v>1936</v>
      </c>
      <c r="E406" t="s">
        <v>1578</v>
      </c>
      <c r="F406" s="100" t="s">
        <v>31</v>
      </c>
      <c r="G406" s="87" t="s">
        <v>2</v>
      </c>
      <c r="H406" s="87" t="s">
        <v>30</v>
      </c>
      <c r="I406">
        <v>7.25</v>
      </c>
      <c r="J406">
        <v>3.4166666669999999</v>
      </c>
      <c r="K406" s="87" t="s">
        <v>29</v>
      </c>
      <c r="AV406" t="s">
        <v>1697</v>
      </c>
      <c r="AW406">
        <v>3240</v>
      </c>
      <c r="AX406">
        <v>1.2E-2</v>
      </c>
      <c r="AY406">
        <v>1</v>
      </c>
      <c r="BA406">
        <v>2006</v>
      </c>
      <c r="BB406">
        <v>2007</v>
      </c>
      <c r="BD406" t="s">
        <v>238</v>
      </c>
      <c r="BE406" t="s">
        <v>1573</v>
      </c>
      <c r="BF406" t="s">
        <v>57</v>
      </c>
      <c r="BG406" s="78" t="s">
        <v>1233</v>
      </c>
      <c r="BH406" t="s">
        <v>1569</v>
      </c>
      <c r="BI406" t="s">
        <v>1581</v>
      </c>
      <c r="BJ406" s="87" t="s">
        <v>22</v>
      </c>
      <c r="BK406">
        <v>1330</v>
      </c>
      <c r="BL406" t="s">
        <v>56</v>
      </c>
      <c r="BM406" t="s">
        <v>1580</v>
      </c>
      <c r="BN406" t="s">
        <v>234</v>
      </c>
      <c r="BO406" s="87" t="s">
        <v>22</v>
      </c>
      <c r="BP406">
        <v>20000</v>
      </c>
      <c r="EH406" s="9"/>
      <c r="EI406" s="9"/>
      <c r="EJ406" s="9"/>
      <c r="EK406" s="9"/>
      <c r="EL406" s="9"/>
      <c r="EM406" s="9"/>
      <c r="EN406" s="9"/>
      <c r="EO406" s="9"/>
      <c r="EP406" s="9"/>
      <c r="EQ406" s="9"/>
      <c r="ER406" s="9"/>
      <c r="ES406" s="9"/>
      <c r="ET406" s="9"/>
      <c r="EU406" s="9"/>
      <c r="EV406" s="9"/>
      <c r="EW406" s="9"/>
      <c r="EX406" s="9"/>
      <c r="EY406" s="9"/>
      <c r="EZ406" s="9"/>
      <c r="FA406" s="9"/>
      <c r="FB406" s="9"/>
      <c r="FC406" s="9"/>
      <c r="FD406" s="9"/>
      <c r="FE406" s="9"/>
      <c r="FF406" s="9"/>
      <c r="FG406" s="9"/>
      <c r="FH406" s="9"/>
      <c r="FI406" s="9"/>
      <c r="FJ406" s="9"/>
      <c r="FK406" s="9"/>
      <c r="FL406" s="9"/>
      <c r="FM406" s="9"/>
      <c r="FN406" s="9"/>
      <c r="FO406" s="9"/>
      <c r="FP406" s="9"/>
      <c r="FQ406" s="9"/>
      <c r="FR406" s="9"/>
      <c r="FS406" s="9"/>
      <c r="FT406" s="9"/>
      <c r="FU406" s="9"/>
      <c r="FV406" s="9"/>
      <c r="FW406" s="9"/>
      <c r="FX406" s="9"/>
      <c r="FY406" s="9"/>
      <c r="FZ406" s="9"/>
      <c r="GA406" s="9"/>
      <c r="GB406" s="9"/>
      <c r="GC406" s="9"/>
      <c r="GD406" s="9"/>
      <c r="GE406" s="9"/>
      <c r="GF406" s="9"/>
      <c r="GG406" s="9"/>
      <c r="GH406" s="9"/>
      <c r="GI406" s="9"/>
      <c r="GJ406" s="9"/>
      <c r="GK406" s="9"/>
      <c r="GL406" s="9"/>
      <c r="GM406" s="9"/>
      <c r="GN406" s="9"/>
      <c r="GO406" s="9"/>
      <c r="GP406" s="9"/>
      <c r="GQ406" s="9"/>
      <c r="GR406" s="9"/>
      <c r="GS406" s="9"/>
      <c r="GT406" s="9"/>
      <c r="GU406" s="9"/>
      <c r="GV406" s="9"/>
      <c r="GW406" s="9"/>
      <c r="GX406" s="9"/>
      <c r="GY406" s="9"/>
      <c r="GZ406" s="9"/>
      <c r="HA406" s="9"/>
      <c r="HB406" s="9"/>
      <c r="HC406" s="9"/>
      <c r="HD406" s="9"/>
      <c r="HE406" s="9"/>
      <c r="HF406" s="9"/>
      <c r="HG406" s="9"/>
      <c r="HH406" s="9"/>
      <c r="HI406" s="9"/>
      <c r="HJ406" s="9"/>
      <c r="HK406" s="9"/>
      <c r="HU406" s="101">
        <v>38838</v>
      </c>
      <c r="HW406" s="58"/>
      <c r="HX406" s="58"/>
      <c r="II406" t="s">
        <v>1573</v>
      </c>
      <c r="IJ406" s="87" t="s">
        <v>1190</v>
      </c>
      <c r="IK406" t="s">
        <v>660</v>
      </c>
      <c r="IL406" t="s">
        <v>661</v>
      </c>
      <c r="IM406">
        <v>2006</v>
      </c>
      <c r="IO406" s="87" t="s">
        <v>29</v>
      </c>
      <c r="JK406" t="s">
        <v>1573</v>
      </c>
      <c r="JL406" s="84" t="s">
        <v>227</v>
      </c>
      <c r="JW406" s="8" t="s">
        <v>227</v>
      </c>
      <c r="JX406" s="8" t="s">
        <v>1582</v>
      </c>
      <c r="JY406" t="s">
        <v>13</v>
      </c>
      <c r="JZ406">
        <v>40000</v>
      </c>
      <c r="MZ406" t="s">
        <v>1589</v>
      </c>
      <c r="NA406">
        <v>120</v>
      </c>
      <c r="NB406" t="s">
        <v>1586</v>
      </c>
      <c r="NC406" t="s">
        <v>1580</v>
      </c>
      <c r="ND406" t="s">
        <v>1584</v>
      </c>
      <c r="NE406" t="s">
        <v>1588</v>
      </c>
      <c r="NJ406" t="s">
        <v>1594</v>
      </c>
      <c r="NK406" s="87" t="s">
        <v>1595</v>
      </c>
      <c r="NM406" s="103" t="s">
        <v>266</v>
      </c>
      <c r="NN406" s="102" t="s">
        <v>1537</v>
      </c>
      <c r="NW406" t="s">
        <v>6</v>
      </c>
      <c r="NX406">
        <v>688520.56</v>
      </c>
      <c r="NY406" s="88" t="s">
        <v>29</v>
      </c>
      <c r="NZ406" s="88" t="s">
        <v>29</v>
      </c>
      <c r="OA406" s="104"/>
      <c r="OC406">
        <v>3</v>
      </c>
      <c r="OT406" t="s">
        <v>1587</v>
      </c>
      <c r="OU406" s="3" t="s">
        <v>2188</v>
      </c>
      <c r="OW406">
        <v>2006</v>
      </c>
      <c r="OX406">
        <v>2007</v>
      </c>
      <c r="PA406" t="s">
        <v>1169</v>
      </c>
      <c r="PB406" s="58">
        <v>46105</v>
      </c>
    </row>
    <row r="407" spans="1:418" ht="15.75" thickBot="1">
      <c r="A407" t="s">
        <v>248</v>
      </c>
      <c r="B407" t="s">
        <v>1562</v>
      </c>
      <c r="C407" t="s">
        <v>1173</v>
      </c>
      <c r="D407" s="4" t="s">
        <v>1936</v>
      </c>
      <c r="E407" t="s">
        <v>1578</v>
      </c>
      <c r="F407" s="100" t="s">
        <v>31</v>
      </c>
      <c r="G407" s="87" t="s">
        <v>2</v>
      </c>
      <c r="H407" s="87" t="s">
        <v>30</v>
      </c>
      <c r="I407">
        <v>7.25</v>
      </c>
      <c r="J407">
        <v>3.4166666669999999</v>
      </c>
      <c r="K407" s="87" t="s">
        <v>29</v>
      </c>
      <c r="AV407" t="s">
        <v>1697</v>
      </c>
      <c r="AW407">
        <v>3240</v>
      </c>
      <c r="AX407">
        <v>1.2E-2</v>
      </c>
      <c r="AY407">
        <v>1</v>
      </c>
      <c r="BA407">
        <v>2006</v>
      </c>
      <c r="BB407">
        <v>2007</v>
      </c>
      <c r="BD407" t="s">
        <v>238</v>
      </c>
      <c r="BE407" t="s">
        <v>1574</v>
      </c>
      <c r="BF407" t="s">
        <v>48</v>
      </c>
      <c r="BG407" s="78" t="s">
        <v>1233</v>
      </c>
      <c r="BH407" t="s">
        <v>1569</v>
      </c>
      <c r="BI407" t="s">
        <v>1581</v>
      </c>
      <c r="BJ407" s="87" t="s">
        <v>22</v>
      </c>
      <c r="BK407">
        <v>1330</v>
      </c>
      <c r="BL407" t="s">
        <v>56</v>
      </c>
      <c r="BM407" t="s">
        <v>1580</v>
      </c>
      <c r="BN407" t="s">
        <v>234</v>
      </c>
      <c r="BO407" s="87" t="s">
        <v>22</v>
      </c>
      <c r="BP407">
        <v>20000</v>
      </c>
      <c r="EH407" s="9"/>
      <c r="EI407" s="9"/>
      <c r="EJ407" s="9"/>
      <c r="EK407" s="9"/>
      <c r="EL407" s="9"/>
      <c r="EM407" s="9"/>
      <c r="EN407" s="9"/>
      <c r="EO407" s="9"/>
      <c r="EP407" s="9"/>
      <c r="EQ407" s="9"/>
      <c r="ER407" s="9"/>
      <c r="ES407" s="9"/>
      <c r="ET407" s="9"/>
      <c r="EU407" s="9"/>
      <c r="EV407" s="9"/>
      <c r="EW407" s="9"/>
      <c r="EX407" s="9"/>
      <c r="EY407" s="9"/>
      <c r="EZ407" s="9"/>
      <c r="FA407" s="9"/>
      <c r="FB407" s="9"/>
      <c r="FC407" s="9"/>
      <c r="FD407" s="9"/>
      <c r="FE407" s="9"/>
      <c r="FF407" s="9"/>
      <c r="FG407" s="9"/>
      <c r="FH407" s="9"/>
      <c r="FI407" s="9"/>
      <c r="FJ407" s="9"/>
      <c r="FK407" s="9"/>
      <c r="FL407" s="9"/>
      <c r="FM407" s="9"/>
      <c r="FN407" s="9"/>
      <c r="FO407" s="9"/>
      <c r="FP407" s="9"/>
      <c r="FQ407" s="9"/>
      <c r="FR407" s="9"/>
      <c r="FS407" s="9"/>
      <c r="FT407" s="9"/>
      <c r="FU407" s="9"/>
      <c r="FV407" s="9"/>
      <c r="FW407" s="9"/>
      <c r="FX407" s="9"/>
      <c r="FY407" s="9"/>
      <c r="FZ407" s="9"/>
      <c r="GA407" s="9"/>
      <c r="GB407" s="9"/>
      <c r="GC407" s="9"/>
      <c r="GD407" s="9"/>
      <c r="GE407" s="9"/>
      <c r="GF407" s="9"/>
      <c r="GG407" s="9"/>
      <c r="GH407" s="9"/>
      <c r="GI407" s="9"/>
      <c r="GJ407" s="9"/>
      <c r="GK407" s="9"/>
      <c r="GL407" s="9"/>
      <c r="GM407" s="9"/>
      <c r="GN407" s="9"/>
      <c r="GO407" s="9"/>
      <c r="GP407" s="9"/>
      <c r="GQ407" s="9"/>
      <c r="GR407" s="9"/>
      <c r="GS407" s="9"/>
      <c r="GT407" s="9"/>
      <c r="GU407" s="9"/>
      <c r="GV407" s="9"/>
      <c r="GW407" s="9"/>
      <c r="GX407" s="9"/>
      <c r="GY407" s="9"/>
      <c r="GZ407" s="9"/>
      <c r="HA407" s="9"/>
      <c r="HB407" s="9"/>
      <c r="HC407" s="9"/>
      <c r="HD407" s="9"/>
      <c r="HE407" s="9"/>
      <c r="HF407" s="9"/>
      <c r="HG407" s="9"/>
      <c r="HH407" s="9"/>
      <c r="HI407" s="9"/>
      <c r="HJ407" s="9"/>
      <c r="HK407" s="9"/>
      <c r="HU407" s="101">
        <v>38838</v>
      </c>
      <c r="HW407" s="58"/>
      <c r="HX407" s="58"/>
      <c r="II407" t="s">
        <v>1574</v>
      </c>
      <c r="IJ407" s="87" t="s">
        <v>1190</v>
      </c>
      <c r="IK407" t="s">
        <v>660</v>
      </c>
      <c r="IL407" t="s">
        <v>661</v>
      </c>
      <c r="IM407">
        <v>2006</v>
      </c>
      <c r="IO407" s="87" t="s">
        <v>29</v>
      </c>
      <c r="JK407" t="s">
        <v>1574</v>
      </c>
      <c r="JL407" s="84" t="s">
        <v>227</v>
      </c>
      <c r="JW407" s="8" t="s">
        <v>227</v>
      </c>
      <c r="JX407" s="8" t="s">
        <v>1582</v>
      </c>
      <c r="JY407" t="s">
        <v>13</v>
      </c>
      <c r="JZ407">
        <v>80000</v>
      </c>
      <c r="MZ407" t="s">
        <v>1589</v>
      </c>
      <c r="NA407">
        <v>120</v>
      </c>
      <c r="NB407" t="s">
        <v>1586</v>
      </c>
      <c r="NC407" t="s">
        <v>1580</v>
      </c>
      <c r="ND407" t="s">
        <v>1584</v>
      </c>
      <c r="NE407" t="s">
        <v>1588</v>
      </c>
      <c r="NJ407" t="s">
        <v>1594</v>
      </c>
      <c r="NK407" s="87" t="s">
        <v>1595</v>
      </c>
      <c r="NM407" s="103" t="s">
        <v>266</v>
      </c>
      <c r="NN407" s="102" t="s">
        <v>1537</v>
      </c>
      <c r="NW407" t="s">
        <v>6</v>
      </c>
      <c r="NX407">
        <v>745359.91999999993</v>
      </c>
      <c r="NY407" s="88" t="s">
        <v>29</v>
      </c>
      <c r="NZ407" s="88" t="s">
        <v>29</v>
      </c>
      <c r="OA407" s="104"/>
      <c r="OC407">
        <v>3</v>
      </c>
      <c r="OT407" t="s">
        <v>1587</v>
      </c>
      <c r="OU407" s="3" t="s">
        <v>2188</v>
      </c>
      <c r="OW407">
        <v>2006</v>
      </c>
      <c r="OX407">
        <v>2007</v>
      </c>
      <c r="PA407" t="s">
        <v>1169</v>
      </c>
      <c r="PB407" s="58">
        <v>46105</v>
      </c>
    </row>
    <row r="408" spans="1:418" ht="15.75" thickBot="1">
      <c r="A408" t="s">
        <v>248</v>
      </c>
      <c r="B408" t="s">
        <v>1562</v>
      </c>
      <c r="C408" t="s">
        <v>1173</v>
      </c>
      <c r="D408" s="4" t="s">
        <v>1936</v>
      </c>
      <c r="E408" t="s">
        <v>1578</v>
      </c>
      <c r="F408" s="100" t="s">
        <v>31</v>
      </c>
      <c r="G408" s="87" t="s">
        <v>2</v>
      </c>
      <c r="H408" s="87" t="s">
        <v>30</v>
      </c>
      <c r="I408">
        <v>7.25</v>
      </c>
      <c r="J408">
        <v>3.4166666669999999</v>
      </c>
      <c r="K408" s="87" t="s">
        <v>29</v>
      </c>
      <c r="AV408" t="s">
        <v>1697</v>
      </c>
      <c r="AW408">
        <v>3240</v>
      </c>
      <c r="AX408">
        <v>1.2E-2</v>
      </c>
      <c r="AY408">
        <v>1</v>
      </c>
      <c r="BA408">
        <v>2006</v>
      </c>
      <c r="BB408">
        <v>2007</v>
      </c>
      <c r="BD408" t="s">
        <v>238</v>
      </c>
      <c r="BE408" t="s">
        <v>1572</v>
      </c>
      <c r="BF408" t="s">
        <v>64</v>
      </c>
      <c r="BG408" s="78" t="s">
        <v>1233</v>
      </c>
      <c r="BH408" t="s">
        <v>1569</v>
      </c>
      <c r="BI408" t="s">
        <v>1581</v>
      </c>
      <c r="BJ408" s="87" t="s">
        <v>22</v>
      </c>
      <c r="BK408">
        <v>1330</v>
      </c>
      <c r="BL408" t="s">
        <v>56</v>
      </c>
      <c r="BM408" t="s">
        <v>1580</v>
      </c>
      <c r="BN408" t="s">
        <v>234</v>
      </c>
      <c r="BO408" s="87" t="s">
        <v>22</v>
      </c>
      <c r="BP408">
        <v>20000</v>
      </c>
      <c r="EH408" s="9"/>
      <c r="EI408" s="9"/>
      <c r="EJ408" s="9"/>
      <c r="EK408" s="9"/>
      <c r="EL408" s="9"/>
      <c r="EM408" s="9"/>
      <c r="EN408" s="9"/>
      <c r="EO408" s="9"/>
      <c r="EP408" s="9"/>
      <c r="EQ408" s="9"/>
      <c r="ER408" s="9"/>
      <c r="ES408" s="9"/>
      <c r="ET408" s="9"/>
      <c r="EU408" s="9"/>
      <c r="EV408" s="9"/>
      <c r="EW408" s="9"/>
      <c r="EX408" s="9"/>
      <c r="EY408" s="9"/>
      <c r="EZ408" s="9"/>
      <c r="FA408" s="9"/>
      <c r="FB408" s="9"/>
      <c r="FC408" s="9"/>
      <c r="FD408" s="9"/>
      <c r="FE408" s="9"/>
      <c r="FF408" s="9"/>
      <c r="FG408" s="9"/>
      <c r="FH408" s="9"/>
      <c r="FI408" s="9"/>
      <c r="FJ408" s="9"/>
      <c r="FK408" s="9"/>
      <c r="FL408" s="9"/>
      <c r="FM408" s="9"/>
      <c r="FN408" s="9"/>
      <c r="FO408" s="9"/>
      <c r="FP408" s="9"/>
      <c r="FQ408" s="9"/>
      <c r="FR408" s="9"/>
      <c r="FS408" s="9"/>
      <c r="FT408" s="9"/>
      <c r="FU408" s="9"/>
      <c r="FV408" s="9"/>
      <c r="FW408" s="9"/>
      <c r="FX408" s="9"/>
      <c r="FY408" s="9"/>
      <c r="FZ408" s="9"/>
      <c r="GA408" s="9"/>
      <c r="GB408" s="9"/>
      <c r="GC408" s="9"/>
      <c r="GD408" s="9"/>
      <c r="GE408" s="9"/>
      <c r="GF408" s="9"/>
      <c r="GG408" s="9"/>
      <c r="GH408" s="9"/>
      <c r="GI408" s="9"/>
      <c r="GJ408" s="9"/>
      <c r="GK408" s="9"/>
      <c r="GL408" s="9"/>
      <c r="GM408" s="9"/>
      <c r="GN408" s="9"/>
      <c r="GO408" s="9"/>
      <c r="GP408" s="9"/>
      <c r="GQ408" s="9"/>
      <c r="GR408" s="9"/>
      <c r="GS408" s="9"/>
      <c r="GT408" s="9"/>
      <c r="GU408" s="9"/>
      <c r="GV408" s="9"/>
      <c r="GW408" s="9"/>
      <c r="GX408" s="9"/>
      <c r="GY408" s="9"/>
      <c r="GZ408" s="9"/>
      <c r="HA408" s="9"/>
      <c r="HB408" s="9"/>
      <c r="HC408" s="9"/>
      <c r="HD408" s="9"/>
      <c r="HE408" s="9"/>
      <c r="HF408" s="9"/>
      <c r="HG408" s="9"/>
      <c r="HH408" s="9"/>
      <c r="HI408" s="9"/>
      <c r="HJ408" s="9"/>
      <c r="HK408" s="9"/>
      <c r="HU408" s="101">
        <v>38838</v>
      </c>
      <c r="HW408" s="58"/>
      <c r="HX408" s="58"/>
      <c r="II408" t="s">
        <v>1572</v>
      </c>
      <c r="IJ408" s="87" t="s">
        <v>1190</v>
      </c>
      <c r="IK408" t="s">
        <v>660</v>
      </c>
      <c r="IL408" t="s">
        <v>661</v>
      </c>
      <c r="IM408">
        <v>2006</v>
      </c>
      <c r="IO408" s="87" t="s">
        <v>29</v>
      </c>
      <c r="JK408" t="s">
        <v>1572</v>
      </c>
      <c r="JL408" s="84" t="s">
        <v>721</v>
      </c>
      <c r="MZ408" t="s">
        <v>1589</v>
      </c>
      <c r="NA408">
        <v>120</v>
      </c>
      <c r="NB408" t="s">
        <v>1586</v>
      </c>
      <c r="NC408" t="s">
        <v>1580</v>
      </c>
      <c r="ND408" t="s">
        <v>1584</v>
      </c>
      <c r="NE408" t="s">
        <v>1588</v>
      </c>
      <c r="NJ408" t="s">
        <v>1593</v>
      </c>
      <c r="NK408" s="87" t="s">
        <v>1597</v>
      </c>
      <c r="NM408" s="4" t="s">
        <v>1598</v>
      </c>
      <c r="NN408" s="102"/>
      <c r="NW408" t="s">
        <v>6</v>
      </c>
      <c r="NX408" s="104">
        <v>3.42</v>
      </c>
      <c r="NY408" s="88" t="s">
        <v>29</v>
      </c>
      <c r="NZ408" s="88" t="s">
        <v>29</v>
      </c>
      <c r="OC408">
        <v>3</v>
      </c>
      <c r="OT408" t="s">
        <v>1596</v>
      </c>
      <c r="OU408" s="88" t="s">
        <v>6</v>
      </c>
      <c r="OW408">
        <v>2006</v>
      </c>
      <c r="OX408">
        <v>2007</v>
      </c>
      <c r="PA408" t="s">
        <v>1169</v>
      </c>
      <c r="PB408" s="58">
        <v>46105</v>
      </c>
    </row>
    <row r="409" spans="1:418" ht="15.75" thickBot="1">
      <c r="A409" t="s">
        <v>248</v>
      </c>
      <c r="B409" t="s">
        <v>1562</v>
      </c>
      <c r="C409" t="s">
        <v>1173</v>
      </c>
      <c r="D409" s="4" t="s">
        <v>1936</v>
      </c>
      <c r="E409" t="s">
        <v>1578</v>
      </c>
      <c r="F409" s="100" t="s">
        <v>31</v>
      </c>
      <c r="G409" s="87" t="s">
        <v>2</v>
      </c>
      <c r="H409" s="87" t="s">
        <v>30</v>
      </c>
      <c r="I409">
        <v>7.25</v>
      </c>
      <c r="J409">
        <v>3.4166666669999999</v>
      </c>
      <c r="K409" s="87" t="s">
        <v>29</v>
      </c>
      <c r="AV409" t="s">
        <v>1697</v>
      </c>
      <c r="AW409">
        <v>3240</v>
      </c>
      <c r="AX409">
        <v>1.2E-2</v>
      </c>
      <c r="AY409">
        <v>1</v>
      </c>
      <c r="BA409">
        <v>2006</v>
      </c>
      <c r="BB409">
        <v>2007</v>
      </c>
      <c r="BD409" t="s">
        <v>238</v>
      </c>
      <c r="BE409" t="s">
        <v>1573</v>
      </c>
      <c r="BF409" t="s">
        <v>57</v>
      </c>
      <c r="BG409" s="78" t="s">
        <v>1233</v>
      </c>
      <c r="BH409" t="s">
        <v>1569</v>
      </c>
      <c r="BI409" t="s">
        <v>1581</v>
      </c>
      <c r="BJ409" s="87" t="s">
        <v>22</v>
      </c>
      <c r="BK409">
        <v>1330</v>
      </c>
      <c r="BL409" t="s">
        <v>56</v>
      </c>
      <c r="BM409" t="s">
        <v>1580</v>
      </c>
      <c r="BN409" t="s">
        <v>234</v>
      </c>
      <c r="BO409" s="87" t="s">
        <v>22</v>
      </c>
      <c r="BP409">
        <v>20000</v>
      </c>
      <c r="EH409" s="9"/>
      <c r="EI409" s="9"/>
      <c r="EJ409" s="9"/>
      <c r="EK409" s="9"/>
      <c r="EL409" s="9"/>
      <c r="EM409" s="9"/>
      <c r="EN409" s="9"/>
      <c r="EO409" s="9"/>
      <c r="EP409" s="9"/>
      <c r="EQ409" s="9"/>
      <c r="ER409" s="9"/>
      <c r="ES409" s="9"/>
      <c r="ET409" s="9"/>
      <c r="EU409" s="9"/>
      <c r="EV409" s="9"/>
      <c r="EW409" s="9"/>
      <c r="EX409" s="9"/>
      <c r="EY409" s="9"/>
      <c r="EZ409" s="9"/>
      <c r="FA409" s="9"/>
      <c r="FB409" s="9"/>
      <c r="FC409" s="9"/>
      <c r="FD409" s="9"/>
      <c r="FE409" s="9"/>
      <c r="FF409" s="9"/>
      <c r="FG409" s="9"/>
      <c r="FH409" s="9"/>
      <c r="FI409" s="9"/>
      <c r="FJ409" s="9"/>
      <c r="FK409" s="9"/>
      <c r="FL409" s="9"/>
      <c r="FM409" s="9"/>
      <c r="FN409" s="9"/>
      <c r="FO409" s="9"/>
      <c r="FP409" s="9"/>
      <c r="FQ409" s="9"/>
      <c r="FR409" s="9"/>
      <c r="FS409" s="9"/>
      <c r="FT409" s="9"/>
      <c r="FU409" s="9"/>
      <c r="FV409" s="9"/>
      <c r="FW409" s="9"/>
      <c r="FX409" s="9"/>
      <c r="FY409" s="9"/>
      <c r="FZ409" s="9"/>
      <c r="GA409" s="9"/>
      <c r="GB409" s="9"/>
      <c r="GC409" s="9"/>
      <c r="GD409" s="9"/>
      <c r="GE409" s="9"/>
      <c r="GF409" s="9"/>
      <c r="GG409" s="9"/>
      <c r="GH409" s="9"/>
      <c r="GI409" s="9"/>
      <c r="GJ409" s="9"/>
      <c r="GK409" s="9"/>
      <c r="GL409" s="9"/>
      <c r="GM409" s="9"/>
      <c r="GN409" s="9"/>
      <c r="GO409" s="9"/>
      <c r="GP409" s="9"/>
      <c r="GQ409" s="9"/>
      <c r="GR409" s="9"/>
      <c r="GS409" s="9"/>
      <c r="GT409" s="9"/>
      <c r="GU409" s="9"/>
      <c r="GV409" s="9"/>
      <c r="GW409" s="9"/>
      <c r="GX409" s="9"/>
      <c r="GY409" s="9"/>
      <c r="GZ409" s="9"/>
      <c r="HA409" s="9"/>
      <c r="HB409" s="9"/>
      <c r="HC409" s="9"/>
      <c r="HD409" s="9"/>
      <c r="HE409" s="9"/>
      <c r="HF409" s="9"/>
      <c r="HG409" s="9"/>
      <c r="HH409" s="9"/>
      <c r="HI409" s="9"/>
      <c r="HJ409" s="9"/>
      <c r="HK409" s="9"/>
      <c r="HU409" s="101">
        <v>38838</v>
      </c>
      <c r="HW409" s="58"/>
      <c r="HX409" s="58"/>
      <c r="II409" t="s">
        <v>1573</v>
      </c>
      <c r="IJ409" s="87" t="s">
        <v>1190</v>
      </c>
      <c r="IK409" t="s">
        <v>660</v>
      </c>
      <c r="IL409" t="s">
        <v>661</v>
      </c>
      <c r="IM409">
        <v>2006</v>
      </c>
      <c r="IO409" s="87" t="s">
        <v>29</v>
      </c>
      <c r="JK409" t="s">
        <v>1573</v>
      </c>
      <c r="JL409" s="84" t="s">
        <v>227</v>
      </c>
      <c r="JW409" s="8" t="s">
        <v>227</v>
      </c>
      <c r="JX409" s="8" t="s">
        <v>1582</v>
      </c>
      <c r="JY409" t="s">
        <v>13</v>
      </c>
      <c r="JZ409">
        <v>40000</v>
      </c>
      <c r="MZ409" t="s">
        <v>1589</v>
      </c>
      <c r="NA409">
        <v>120</v>
      </c>
      <c r="NB409" t="s">
        <v>1586</v>
      </c>
      <c r="NC409" t="s">
        <v>1580</v>
      </c>
      <c r="ND409" t="s">
        <v>1584</v>
      </c>
      <c r="NE409" t="s">
        <v>1588</v>
      </c>
      <c r="NJ409" t="s">
        <v>1594</v>
      </c>
      <c r="NK409" s="87" t="s">
        <v>1597</v>
      </c>
      <c r="NM409" s="4" t="s">
        <v>1598</v>
      </c>
      <c r="NN409" s="102"/>
      <c r="NW409" t="s">
        <v>6</v>
      </c>
      <c r="NX409" s="104">
        <v>3.74</v>
      </c>
      <c r="NY409" s="88" t="s">
        <v>29</v>
      </c>
      <c r="NZ409" s="88" t="s">
        <v>29</v>
      </c>
      <c r="OC409">
        <v>3</v>
      </c>
      <c r="OT409" t="s">
        <v>1596</v>
      </c>
      <c r="OU409" s="88" t="s">
        <v>6</v>
      </c>
      <c r="OW409">
        <v>2006</v>
      </c>
      <c r="OX409">
        <v>2007</v>
      </c>
      <c r="PA409" t="s">
        <v>1169</v>
      </c>
      <c r="PB409" s="58">
        <v>46105</v>
      </c>
    </row>
    <row r="410" spans="1:418" ht="15.75" thickBot="1">
      <c r="A410" t="s">
        <v>248</v>
      </c>
      <c r="B410" t="s">
        <v>1562</v>
      </c>
      <c r="C410" t="s">
        <v>1173</v>
      </c>
      <c r="D410" s="4" t="s">
        <v>1936</v>
      </c>
      <c r="E410" t="s">
        <v>1578</v>
      </c>
      <c r="F410" s="100" t="s">
        <v>31</v>
      </c>
      <c r="G410" s="87" t="s">
        <v>2</v>
      </c>
      <c r="H410" s="87" t="s">
        <v>30</v>
      </c>
      <c r="I410">
        <v>7.25</v>
      </c>
      <c r="J410">
        <v>3.4166666669999999</v>
      </c>
      <c r="K410" s="87" t="s">
        <v>29</v>
      </c>
      <c r="AV410" t="s">
        <v>1697</v>
      </c>
      <c r="AW410">
        <v>3240</v>
      </c>
      <c r="AX410">
        <v>1.2E-2</v>
      </c>
      <c r="AY410">
        <v>1</v>
      </c>
      <c r="BA410">
        <v>2006</v>
      </c>
      <c r="BB410">
        <v>2007</v>
      </c>
      <c r="BD410" t="s">
        <v>238</v>
      </c>
      <c r="BE410" t="s">
        <v>1574</v>
      </c>
      <c r="BF410" t="s">
        <v>48</v>
      </c>
      <c r="BG410" s="78" t="s">
        <v>1233</v>
      </c>
      <c r="BH410" t="s">
        <v>1569</v>
      </c>
      <c r="BI410" t="s">
        <v>1581</v>
      </c>
      <c r="BJ410" s="87" t="s">
        <v>22</v>
      </c>
      <c r="BK410">
        <v>1330</v>
      </c>
      <c r="BL410" t="s">
        <v>56</v>
      </c>
      <c r="BM410" t="s">
        <v>1580</v>
      </c>
      <c r="BN410" t="s">
        <v>234</v>
      </c>
      <c r="BO410" s="87" t="s">
        <v>22</v>
      </c>
      <c r="BP410">
        <v>20000</v>
      </c>
      <c r="EH410" s="9"/>
      <c r="EI410" s="9"/>
      <c r="EJ410" s="9"/>
      <c r="EK410" s="9"/>
      <c r="EL410" s="9"/>
      <c r="EM410" s="9"/>
      <c r="EN410" s="9"/>
      <c r="EO410" s="9"/>
      <c r="EP410" s="9"/>
      <c r="EQ410" s="9"/>
      <c r="ER410" s="9"/>
      <c r="ES410" s="9"/>
      <c r="ET410" s="9"/>
      <c r="EU410" s="9"/>
      <c r="EV410" s="9"/>
      <c r="EW410" s="9"/>
      <c r="EX410" s="9"/>
      <c r="EY410" s="9"/>
      <c r="EZ410" s="9"/>
      <c r="FA410" s="9"/>
      <c r="FB410" s="9"/>
      <c r="FC410" s="9"/>
      <c r="FD410" s="9"/>
      <c r="FE410" s="9"/>
      <c r="FF410" s="9"/>
      <c r="FG410" s="9"/>
      <c r="FH410" s="9"/>
      <c r="FI410" s="9"/>
      <c r="FJ410" s="9"/>
      <c r="FK410" s="9"/>
      <c r="FL410" s="9"/>
      <c r="FM410" s="9"/>
      <c r="FN410" s="9"/>
      <c r="FO410" s="9"/>
      <c r="FP410" s="9"/>
      <c r="FQ410" s="9"/>
      <c r="FR410" s="9"/>
      <c r="FS410" s="9"/>
      <c r="FT410" s="9"/>
      <c r="FU410" s="9"/>
      <c r="FV410" s="9"/>
      <c r="FW410" s="9"/>
      <c r="FX410" s="9"/>
      <c r="FY410" s="9"/>
      <c r="FZ410" s="9"/>
      <c r="GA410" s="9"/>
      <c r="GB410" s="9"/>
      <c r="GC410" s="9"/>
      <c r="GD410" s="9"/>
      <c r="GE410" s="9"/>
      <c r="GF410" s="9"/>
      <c r="GG410" s="9"/>
      <c r="GH410" s="9"/>
      <c r="GI410" s="9"/>
      <c r="GJ410" s="9"/>
      <c r="GK410" s="9"/>
      <c r="GL410" s="9"/>
      <c r="GM410" s="9"/>
      <c r="GN410" s="9"/>
      <c r="GO410" s="9"/>
      <c r="GP410" s="9"/>
      <c r="GQ410" s="9"/>
      <c r="GR410" s="9"/>
      <c r="GS410" s="9"/>
      <c r="GT410" s="9"/>
      <c r="GU410" s="9"/>
      <c r="GV410" s="9"/>
      <c r="GW410" s="9"/>
      <c r="GX410" s="9"/>
      <c r="GY410" s="9"/>
      <c r="GZ410" s="9"/>
      <c r="HA410" s="9"/>
      <c r="HB410" s="9"/>
      <c r="HC410" s="9"/>
      <c r="HD410" s="9"/>
      <c r="HE410" s="9"/>
      <c r="HF410" s="9"/>
      <c r="HG410" s="9"/>
      <c r="HH410" s="9"/>
      <c r="HI410" s="9"/>
      <c r="HJ410" s="9"/>
      <c r="HK410" s="9"/>
      <c r="HU410" s="101">
        <v>38838</v>
      </c>
      <c r="HW410" s="58"/>
      <c r="HX410" s="58"/>
      <c r="II410" t="s">
        <v>1574</v>
      </c>
      <c r="IJ410" s="87" t="s">
        <v>1190</v>
      </c>
      <c r="IK410" t="s">
        <v>660</v>
      </c>
      <c r="IL410" t="s">
        <v>661</v>
      </c>
      <c r="IM410">
        <v>2006</v>
      </c>
      <c r="IO410" s="87" t="s">
        <v>29</v>
      </c>
      <c r="JK410" t="s">
        <v>1574</v>
      </c>
      <c r="JL410" s="84" t="s">
        <v>227</v>
      </c>
      <c r="JW410" s="8" t="s">
        <v>227</v>
      </c>
      <c r="JX410" s="8" t="s">
        <v>1582</v>
      </c>
      <c r="JY410" t="s">
        <v>13</v>
      </c>
      <c r="JZ410">
        <v>80000</v>
      </c>
      <c r="MZ410" t="s">
        <v>1589</v>
      </c>
      <c r="NA410">
        <v>120</v>
      </c>
      <c r="NB410" t="s">
        <v>1586</v>
      </c>
      <c r="NC410" t="s">
        <v>1580</v>
      </c>
      <c r="ND410" t="s">
        <v>1584</v>
      </c>
      <c r="NE410" t="s">
        <v>1588</v>
      </c>
      <c r="NJ410" t="s">
        <v>1594</v>
      </c>
      <c r="NK410" s="87" t="s">
        <v>1597</v>
      </c>
      <c r="NM410" s="4" t="s">
        <v>1598</v>
      </c>
      <c r="NN410" s="102"/>
      <c r="NQ410" s="104"/>
      <c r="NW410" t="s">
        <v>6</v>
      </c>
      <c r="NX410" s="104">
        <v>3.77</v>
      </c>
      <c r="NY410" s="88" t="s">
        <v>29</v>
      </c>
      <c r="NZ410" s="88" t="s">
        <v>29</v>
      </c>
      <c r="OC410">
        <v>3</v>
      </c>
      <c r="OT410" t="s">
        <v>1596</v>
      </c>
      <c r="OU410" s="88" t="s">
        <v>6</v>
      </c>
      <c r="OW410">
        <v>2006</v>
      </c>
      <c r="OX410">
        <v>2007</v>
      </c>
      <c r="PA410" t="s">
        <v>1169</v>
      </c>
      <c r="PB410" s="58">
        <v>46105</v>
      </c>
    </row>
    <row r="411" spans="1:418" ht="15.75" thickBot="1">
      <c r="A411" t="s">
        <v>248</v>
      </c>
      <c r="B411" t="s">
        <v>1562</v>
      </c>
      <c r="C411" t="s">
        <v>1173</v>
      </c>
      <c r="D411" s="4" t="s">
        <v>1936</v>
      </c>
      <c r="E411" t="s">
        <v>1578</v>
      </c>
      <c r="F411" s="100" t="s">
        <v>31</v>
      </c>
      <c r="G411" s="87" t="s">
        <v>2</v>
      </c>
      <c r="H411" s="87" t="s">
        <v>30</v>
      </c>
      <c r="I411">
        <v>7.25</v>
      </c>
      <c r="J411">
        <v>3.4166666669999999</v>
      </c>
      <c r="K411" s="87" t="s">
        <v>29</v>
      </c>
      <c r="AV411" t="s">
        <v>1697</v>
      </c>
      <c r="AW411">
        <v>3240</v>
      </c>
      <c r="AX411">
        <v>1.2E-2</v>
      </c>
      <c r="AY411">
        <v>1</v>
      </c>
      <c r="BA411">
        <v>2006</v>
      </c>
      <c r="BB411">
        <v>2007</v>
      </c>
      <c r="BD411" t="s">
        <v>19</v>
      </c>
      <c r="BE411" t="s">
        <v>1568</v>
      </c>
      <c r="BF411" t="s">
        <v>39</v>
      </c>
      <c r="BG411" s="78" t="s">
        <v>1233</v>
      </c>
      <c r="BH411" t="s">
        <v>1569</v>
      </c>
      <c r="BI411" t="s">
        <v>1581</v>
      </c>
      <c r="BJ411" s="87" t="s">
        <v>22</v>
      </c>
      <c r="BK411">
        <v>1330</v>
      </c>
      <c r="EH411" s="9"/>
      <c r="EI411" s="9"/>
      <c r="EJ411" s="9"/>
      <c r="EK411" s="9"/>
      <c r="EL411" s="9"/>
      <c r="EM411" s="9"/>
      <c r="EN411" s="9"/>
      <c r="EO411" s="9"/>
      <c r="EP411" s="9"/>
      <c r="EQ411" s="9"/>
      <c r="ER411" s="9"/>
      <c r="ES411" s="9"/>
      <c r="ET411" s="9"/>
      <c r="EU411" s="9"/>
      <c r="EV411" s="9"/>
      <c r="EW411" s="9"/>
      <c r="EX411" s="9"/>
      <c r="EY411" s="9"/>
      <c r="EZ411" s="9"/>
      <c r="FA411" s="9"/>
      <c r="FB411" s="9"/>
      <c r="FC411" s="9"/>
      <c r="FD411" s="9"/>
      <c r="FE411" s="9"/>
      <c r="FF411" s="9"/>
      <c r="FG411" s="9"/>
      <c r="FH411" s="9"/>
      <c r="FI411" s="9"/>
      <c r="FJ411" s="9"/>
      <c r="FK411" s="9"/>
      <c r="FL411" s="9"/>
      <c r="FM411" s="9"/>
      <c r="FN411" s="9"/>
      <c r="FO411" s="9"/>
      <c r="FP411" s="9"/>
      <c r="FQ411" s="9"/>
      <c r="FR411" s="9"/>
      <c r="FS411" s="9"/>
      <c r="FT411" s="9"/>
      <c r="FU411" s="9"/>
      <c r="FV411" s="9"/>
      <c r="FW411" s="9"/>
      <c r="FX411" s="9"/>
      <c r="FY411" s="9"/>
      <c r="FZ411" s="9"/>
      <c r="GA411" s="9"/>
      <c r="GB411" s="9"/>
      <c r="GC411" s="9"/>
      <c r="GD411" s="9"/>
      <c r="GE411" s="9"/>
      <c r="GF411" s="9"/>
      <c r="GG411" s="9"/>
      <c r="GH411" s="9"/>
      <c r="GI411" s="9"/>
      <c r="GJ411" s="9"/>
      <c r="GK411" s="9"/>
      <c r="GL411" s="9"/>
      <c r="GM411" s="9"/>
      <c r="GN411" s="9"/>
      <c r="GO411" s="9"/>
      <c r="GP411" s="9"/>
      <c r="GQ411" s="9"/>
      <c r="GR411" s="9"/>
      <c r="GS411" s="9"/>
      <c r="GT411" s="9"/>
      <c r="GU411" s="9"/>
      <c r="GV411" s="9"/>
      <c r="GW411" s="9"/>
      <c r="GX411" s="9"/>
      <c r="GY411" s="9"/>
      <c r="GZ411" s="9"/>
      <c r="HA411" s="9"/>
      <c r="HB411" s="9"/>
      <c r="HC411" s="9"/>
      <c r="HD411" s="9"/>
      <c r="HE411" s="9"/>
      <c r="HF411" s="9"/>
      <c r="HG411" s="9"/>
      <c r="HH411" s="9"/>
      <c r="HI411" s="9"/>
      <c r="HJ411" s="9"/>
      <c r="HK411" s="9"/>
      <c r="HU411" s="101">
        <v>38838</v>
      </c>
      <c r="HW411" s="58"/>
      <c r="HX411" s="58"/>
      <c r="II411" t="s">
        <v>1568</v>
      </c>
      <c r="IJ411" t="s">
        <v>19</v>
      </c>
      <c r="IO411" s="87"/>
      <c r="JK411" t="s">
        <v>1568</v>
      </c>
      <c r="JL411" s="84" t="s">
        <v>721</v>
      </c>
      <c r="MZ411" t="s">
        <v>1589</v>
      </c>
      <c r="NA411">
        <v>120</v>
      </c>
      <c r="NB411" t="s">
        <v>1585</v>
      </c>
      <c r="NC411" t="s">
        <v>1584</v>
      </c>
      <c r="ND411" t="s">
        <v>1588</v>
      </c>
      <c r="NJ411" t="s">
        <v>1593</v>
      </c>
      <c r="NK411" s="87" t="s">
        <v>1597</v>
      </c>
      <c r="NM411" s="4" t="s">
        <v>1598</v>
      </c>
      <c r="NN411" s="102"/>
      <c r="NV411" t="s">
        <v>64</v>
      </c>
      <c r="NW411" t="s">
        <v>6</v>
      </c>
      <c r="NX411" s="104">
        <v>3.7</v>
      </c>
      <c r="NY411" s="88" t="s">
        <v>29</v>
      </c>
      <c r="NZ411" s="88" t="s">
        <v>29</v>
      </c>
      <c r="OC411">
        <v>3</v>
      </c>
      <c r="OT411" t="s">
        <v>1596</v>
      </c>
      <c r="OU411" s="88" t="s">
        <v>6</v>
      </c>
      <c r="OW411">
        <v>2006</v>
      </c>
      <c r="OX411">
        <v>2007</v>
      </c>
      <c r="PA411" t="s">
        <v>1169</v>
      </c>
      <c r="PB411" s="58">
        <v>46105</v>
      </c>
    </row>
    <row r="412" spans="1:418" ht="15.75" thickBot="1">
      <c r="A412" t="s">
        <v>248</v>
      </c>
      <c r="B412" t="s">
        <v>1562</v>
      </c>
      <c r="C412" t="s">
        <v>1173</v>
      </c>
      <c r="D412" s="4" t="s">
        <v>1936</v>
      </c>
      <c r="E412" t="s">
        <v>1578</v>
      </c>
      <c r="F412" s="100" t="s">
        <v>31</v>
      </c>
      <c r="G412" s="87" t="s">
        <v>2</v>
      </c>
      <c r="H412" s="87" t="s">
        <v>30</v>
      </c>
      <c r="I412">
        <v>7.25</v>
      </c>
      <c r="J412">
        <v>3.4166666669999999</v>
      </c>
      <c r="K412" s="87" t="s">
        <v>29</v>
      </c>
      <c r="AV412" t="s">
        <v>1697</v>
      </c>
      <c r="AW412">
        <v>3240</v>
      </c>
      <c r="AX412">
        <v>1.2E-2</v>
      </c>
      <c r="AY412">
        <v>1</v>
      </c>
      <c r="BA412">
        <v>2006</v>
      </c>
      <c r="BB412">
        <v>2007</v>
      </c>
      <c r="BD412" t="s">
        <v>19</v>
      </c>
      <c r="BE412" t="s">
        <v>1570</v>
      </c>
      <c r="BF412" t="s">
        <v>1456</v>
      </c>
      <c r="BG412" s="78" t="s">
        <v>1233</v>
      </c>
      <c r="BH412" t="s">
        <v>1569</v>
      </c>
      <c r="BI412" t="s">
        <v>1581</v>
      </c>
      <c r="BJ412" s="87" t="s">
        <v>22</v>
      </c>
      <c r="BK412">
        <v>1330</v>
      </c>
      <c r="EH412" s="9"/>
      <c r="EI412" s="9"/>
      <c r="EJ412" s="9"/>
      <c r="EK412" s="9"/>
      <c r="EL412" s="9"/>
      <c r="EM412" s="9"/>
      <c r="EN412" s="9"/>
      <c r="EO412" s="9"/>
      <c r="EP412" s="9"/>
      <c r="EQ412" s="9"/>
      <c r="ER412" s="9"/>
      <c r="ES412" s="9"/>
      <c r="ET412" s="9"/>
      <c r="EU412" s="9"/>
      <c r="EV412" s="9"/>
      <c r="EW412" s="9"/>
      <c r="EX412" s="9"/>
      <c r="EY412" s="9"/>
      <c r="EZ412" s="9"/>
      <c r="FA412" s="9"/>
      <c r="FB412" s="9"/>
      <c r="FC412" s="9"/>
      <c r="FD412" s="9"/>
      <c r="FE412" s="9"/>
      <c r="FF412" s="9"/>
      <c r="FG412" s="9"/>
      <c r="FH412" s="9"/>
      <c r="FI412" s="9"/>
      <c r="FJ412" s="9"/>
      <c r="FK412" s="9"/>
      <c r="FL412" s="9"/>
      <c r="FM412" s="9"/>
      <c r="FN412" s="9"/>
      <c r="FO412" s="9"/>
      <c r="FP412" s="9"/>
      <c r="FQ412" s="9"/>
      <c r="FR412" s="9"/>
      <c r="FS412" s="9"/>
      <c r="FT412" s="9"/>
      <c r="FU412" s="9"/>
      <c r="FV412" s="9"/>
      <c r="FW412" s="9"/>
      <c r="FX412" s="9"/>
      <c r="FY412" s="9"/>
      <c r="FZ412" s="9"/>
      <c r="GA412" s="9"/>
      <c r="GB412" s="9"/>
      <c r="GC412" s="9"/>
      <c r="GD412" s="9"/>
      <c r="GE412" s="9"/>
      <c r="GF412" s="9"/>
      <c r="GG412" s="9"/>
      <c r="GH412" s="9"/>
      <c r="GI412" s="9"/>
      <c r="GJ412" s="9"/>
      <c r="GK412" s="9"/>
      <c r="GL412" s="9"/>
      <c r="GM412" s="9"/>
      <c r="GN412" s="9"/>
      <c r="GO412" s="9"/>
      <c r="GP412" s="9"/>
      <c r="GQ412" s="9"/>
      <c r="GR412" s="9"/>
      <c r="GS412" s="9"/>
      <c r="GT412" s="9"/>
      <c r="GU412" s="9"/>
      <c r="GV412" s="9"/>
      <c r="GW412" s="9"/>
      <c r="GX412" s="9"/>
      <c r="GY412" s="9"/>
      <c r="GZ412" s="9"/>
      <c r="HA412" s="9"/>
      <c r="HB412" s="9"/>
      <c r="HC412" s="9"/>
      <c r="HD412" s="9"/>
      <c r="HE412" s="9"/>
      <c r="HF412" s="9"/>
      <c r="HG412" s="9"/>
      <c r="HH412" s="9"/>
      <c r="HI412" s="9"/>
      <c r="HJ412" s="9"/>
      <c r="HK412" s="9"/>
      <c r="HU412" s="101">
        <v>38838</v>
      </c>
      <c r="HW412" s="58"/>
      <c r="HX412" s="58"/>
      <c r="II412" t="s">
        <v>1570</v>
      </c>
      <c r="IJ412" t="s">
        <v>19</v>
      </c>
      <c r="JK412" t="s">
        <v>1570</v>
      </c>
      <c r="JL412" s="84" t="s">
        <v>227</v>
      </c>
      <c r="JW412" s="8" t="s">
        <v>227</v>
      </c>
      <c r="JX412" s="8" t="s">
        <v>1582</v>
      </c>
      <c r="JY412" t="s">
        <v>13</v>
      </c>
      <c r="JZ412">
        <v>40000</v>
      </c>
      <c r="MZ412" t="s">
        <v>1589</v>
      </c>
      <c r="NA412">
        <v>120</v>
      </c>
      <c r="NB412" t="s">
        <v>1585</v>
      </c>
      <c r="NC412" t="s">
        <v>1584</v>
      </c>
      <c r="ND412" t="s">
        <v>1588</v>
      </c>
      <c r="NJ412" t="s">
        <v>1594</v>
      </c>
      <c r="NK412" s="87" t="s">
        <v>1597</v>
      </c>
      <c r="NM412" s="4" t="s">
        <v>1598</v>
      </c>
      <c r="NN412" s="102"/>
      <c r="NV412" t="s">
        <v>57</v>
      </c>
      <c r="NW412" t="s">
        <v>6</v>
      </c>
      <c r="NX412" s="104">
        <v>4.68</v>
      </c>
      <c r="NY412" s="88" t="s">
        <v>29</v>
      </c>
      <c r="NZ412" s="88" t="s">
        <v>29</v>
      </c>
      <c r="OC412">
        <v>3</v>
      </c>
      <c r="OT412" t="s">
        <v>1596</v>
      </c>
      <c r="OU412" s="88" t="s">
        <v>6</v>
      </c>
      <c r="OW412">
        <v>2006</v>
      </c>
      <c r="OX412">
        <v>2007</v>
      </c>
      <c r="PA412" t="s">
        <v>1169</v>
      </c>
      <c r="PB412" s="58">
        <v>46105</v>
      </c>
    </row>
    <row r="413" spans="1:418" ht="15.75" thickBot="1">
      <c r="A413" t="s">
        <v>248</v>
      </c>
      <c r="B413" t="s">
        <v>1562</v>
      </c>
      <c r="C413" t="s">
        <v>1173</v>
      </c>
      <c r="D413" s="4" t="s">
        <v>1936</v>
      </c>
      <c r="E413" t="s">
        <v>1578</v>
      </c>
      <c r="F413" s="100" t="s">
        <v>31</v>
      </c>
      <c r="G413" s="87" t="s">
        <v>2</v>
      </c>
      <c r="H413" s="87" t="s">
        <v>30</v>
      </c>
      <c r="I413">
        <v>7.25</v>
      </c>
      <c r="J413">
        <v>3.4166666669999999</v>
      </c>
      <c r="K413" s="87" t="s">
        <v>29</v>
      </c>
      <c r="AV413" t="s">
        <v>1697</v>
      </c>
      <c r="AW413">
        <v>3240</v>
      </c>
      <c r="AX413">
        <v>1.2E-2</v>
      </c>
      <c r="AY413">
        <v>1</v>
      </c>
      <c r="BA413">
        <v>2006</v>
      </c>
      <c r="BB413">
        <v>2007</v>
      </c>
      <c r="BD413" t="s">
        <v>19</v>
      </c>
      <c r="BE413" t="s">
        <v>1571</v>
      </c>
      <c r="BF413" t="s">
        <v>1458</v>
      </c>
      <c r="BG413" s="78" t="s">
        <v>1233</v>
      </c>
      <c r="BH413" t="s">
        <v>1569</v>
      </c>
      <c r="BI413" t="s">
        <v>1581</v>
      </c>
      <c r="BJ413" s="87" t="s">
        <v>22</v>
      </c>
      <c r="BK413">
        <v>1330</v>
      </c>
      <c r="EH413" s="9"/>
      <c r="EI413" s="9"/>
      <c r="EJ413" s="9"/>
      <c r="EK413" s="9"/>
      <c r="EL413" s="9"/>
      <c r="EM413" s="9"/>
      <c r="EN413" s="9"/>
      <c r="EO413" s="9"/>
      <c r="EP413" s="9"/>
      <c r="EQ413" s="9"/>
      <c r="ER413" s="9"/>
      <c r="ES413" s="9"/>
      <c r="ET413" s="9"/>
      <c r="EU413" s="9"/>
      <c r="EV413" s="9"/>
      <c r="EW413" s="9"/>
      <c r="EX413" s="9"/>
      <c r="EY413" s="9"/>
      <c r="EZ413" s="9"/>
      <c r="FA413" s="9"/>
      <c r="FB413" s="9"/>
      <c r="FC413" s="9"/>
      <c r="FD413" s="9"/>
      <c r="FE413" s="9"/>
      <c r="FF413" s="9"/>
      <c r="FG413" s="9"/>
      <c r="FH413" s="9"/>
      <c r="FI413" s="9"/>
      <c r="FJ413" s="9"/>
      <c r="FK413" s="9"/>
      <c r="FL413" s="9"/>
      <c r="FM413" s="9"/>
      <c r="FN413" s="9"/>
      <c r="FO413" s="9"/>
      <c r="FP413" s="9"/>
      <c r="FQ413" s="9"/>
      <c r="FR413" s="9"/>
      <c r="FS413" s="9"/>
      <c r="FT413" s="9"/>
      <c r="FU413" s="9"/>
      <c r="FV413" s="9"/>
      <c r="FW413" s="9"/>
      <c r="FX413" s="9"/>
      <c r="FY413" s="9"/>
      <c r="FZ413" s="9"/>
      <c r="GA413" s="9"/>
      <c r="GB413" s="9"/>
      <c r="GC413" s="9"/>
      <c r="GD413" s="9"/>
      <c r="GE413" s="9"/>
      <c r="GF413" s="9"/>
      <c r="GG413" s="9"/>
      <c r="GH413" s="9"/>
      <c r="GI413" s="9"/>
      <c r="GJ413" s="9"/>
      <c r="GK413" s="9"/>
      <c r="GL413" s="9"/>
      <c r="GM413" s="9"/>
      <c r="GN413" s="9"/>
      <c r="GO413" s="9"/>
      <c r="GP413" s="9"/>
      <c r="GQ413" s="9"/>
      <c r="GR413" s="9"/>
      <c r="GS413" s="9"/>
      <c r="GT413" s="9"/>
      <c r="GU413" s="9"/>
      <c r="GV413" s="9"/>
      <c r="GW413" s="9"/>
      <c r="GX413" s="9"/>
      <c r="GY413" s="9"/>
      <c r="GZ413" s="9"/>
      <c r="HA413" s="9"/>
      <c r="HB413" s="9"/>
      <c r="HC413" s="9"/>
      <c r="HD413" s="9"/>
      <c r="HE413" s="9"/>
      <c r="HF413" s="9"/>
      <c r="HG413" s="9"/>
      <c r="HH413" s="9"/>
      <c r="HI413" s="9"/>
      <c r="HJ413" s="9"/>
      <c r="HK413" s="9"/>
      <c r="HU413" s="101">
        <v>38838</v>
      </c>
      <c r="HW413" s="58"/>
      <c r="HX413" s="58"/>
      <c r="II413" t="s">
        <v>1571</v>
      </c>
      <c r="IJ413" t="s">
        <v>19</v>
      </c>
      <c r="JK413" t="s">
        <v>1571</v>
      </c>
      <c r="JL413" s="84" t="s">
        <v>227</v>
      </c>
      <c r="JW413" s="8" t="s">
        <v>227</v>
      </c>
      <c r="JX413" s="8" t="s">
        <v>1582</v>
      </c>
      <c r="JY413" t="s">
        <v>13</v>
      </c>
      <c r="JZ413">
        <v>80000</v>
      </c>
      <c r="MZ413" t="s">
        <v>1589</v>
      </c>
      <c r="NA413">
        <v>120</v>
      </c>
      <c r="NB413" t="s">
        <v>1585</v>
      </c>
      <c r="NC413" t="s">
        <v>1584</v>
      </c>
      <c r="ND413" t="s">
        <v>1588</v>
      </c>
      <c r="NJ413" t="s">
        <v>1594</v>
      </c>
      <c r="NK413" s="87" t="s">
        <v>1597</v>
      </c>
      <c r="NM413" s="4" t="s">
        <v>1598</v>
      </c>
      <c r="NN413" s="102"/>
      <c r="NV413" t="s">
        <v>48</v>
      </c>
      <c r="NW413" t="s">
        <v>6</v>
      </c>
      <c r="NX413" s="104">
        <v>4.97</v>
      </c>
      <c r="NY413" s="88" t="s">
        <v>29</v>
      </c>
      <c r="NZ413" s="88" t="s">
        <v>29</v>
      </c>
      <c r="OC413">
        <v>3</v>
      </c>
      <c r="OT413" t="s">
        <v>1596</v>
      </c>
      <c r="OU413" s="88" t="s">
        <v>6</v>
      </c>
      <c r="OW413">
        <v>2006</v>
      </c>
      <c r="OX413">
        <v>2007</v>
      </c>
      <c r="PA413" t="s">
        <v>1169</v>
      </c>
      <c r="PB413" s="58">
        <v>46105</v>
      </c>
    </row>
    <row r="414" spans="1:418" ht="15.75" thickBot="1">
      <c r="A414" t="s">
        <v>248</v>
      </c>
      <c r="B414" t="s">
        <v>1562</v>
      </c>
      <c r="C414" t="s">
        <v>1173</v>
      </c>
      <c r="D414" s="4" t="s">
        <v>1936</v>
      </c>
      <c r="E414" t="s">
        <v>1578</v>
      </c>
      <c r="F414" s="100" t="s">
        <v>31</v>
      </c>
      <c r="G414" s="87" t="s">
        <v>2</v>
      </c>
      <c r="H414" s="87" t="s">
        <v>30</v>
      </c>
      <c r="I414">
        <v>7.25</v>
      </c>
      <c r="J414">
        <v>3.4166666669999999</v>
      </c>
      <c r="K414" s="87" t="s">
        <v>29</v>
      </c>
      <c r="AV414" t="s">
        <v>1697</v>
      </c>
      <c r="AW414">
        <v>3240</v>
      </c>
      <c r="AX414">
        <v>1.2E-2</v>
      </c>
      <c r="AY414">
        <v>1</v>
      </c>
      <c r="BA414">
        <v>2006</v>
      </c>
      <c r="BB414">
        <v>2007</v>
      </c>
      <c r="BD414" t="s">
        <v>19</v>
      </c>
      <c r="BE414" t="s">
        <v>1567</v>
      </c>
      <c r="BF414" t="s">
        <v>24</v>
      </c>
      <c r="BG414" s="78" t="s">
        <v>1233</v>
      </c>
      <c r="BH414" t="s">
        <v>1580</v>
      </c>
      <c r="BI414" t="s">
        <v>836</v>
      </c>
      <c r="BJ414" s="87" t="s">
        <v>22</v>
      </c>
      <c r="BK414">
        <v>20000</v>
      </c>
      <c r="EH414" s="9"/>
      <c r="EI414" s="9"/>
      <c r="EJ414" s="9"/>
      <c r="EK414" s="9"/>
      <c r="EL414" s="9"/>
      <c r="EM414" s="9"/>
      <c r="EN414" s="9"/>
      <c r="EO414" s="9"/>
      <c r="EP414" s="9"/>
      <c r="EQ414" s="9"/>
      <c r="ER414" s="9"/>
      <c r="ES414" s="9"/>
      <c r="ET414" s="9"/>
      <c r="EU414" s="9"/>
      <c r="EV414" s="9"/>
      <c r="EW414" s="9"/>
      <c r="EX414" s="9"/>
      <c r="EY414" s="9"/>
      <c r="EZ414" s="9"/>
      <c r="FA414" s="9"/>
      <c r="FB414" s="9"/>
      <c r="FC414" s="9"/>
      <c r="FD414" s="9"/>
      <c r="FE414" s="9"/>
      <c r="FF414" s="9"/>
      <c r="FG414" s="9"/>
      <c r="FH414" s="9"/>
      <c r="FI414" s="9"/>
      <c r="FJ414" s="9"/>
      <c r="FK414" s="9"/>
      <c r="FL414" s="9"/>
      <c r="FM414" s="9"/>
      <c r="FN414" s="9"/>
      <c r="FO414" s="9"/>
      <c r="FP414" s="9"/>
      <c r="FQ414" s="9"/>
      <c r="FR414" s="9"/>
      <c r="FS414" s="9"/>
      <c r="FT414" s="9"/>
      <c r="FU414" s="9"/>
      <c r="FV414" s="9"/>
      <c r="FW414" s="9"/>
      <c r="FX414" s="9"/>
      <c r="FY414" s="9"/>
      <c r="FZ414" s="9"/>
      <c r="GA414" s="9"/>
      <c r="GB414" s="9"/>
      <c r="GC414" s="9"/>
      <c r="GD414" s="9"/>
      <c r="GE414" s="9"/>
      <c r="GF414" s="9"/>
      <c r="GG414" s="9"/>
      <c r="GH414" s="9"/>
      <c r="GI414" s="9"/>
      <c r="GJ414" s="9"/>
      <c r="GK414" s="9"/>
      <c r="GL414" s="9"/>
      <c r="GM414" s="9"/>
      <c r="GN414" s="9"/>
      <c r="GO414" s="9"/>
      <c r="GP414" s="9"/>
      <c r="GQ414" s="9"/>
      <c r="GR414" s="9"/>
      <c r="GS414" s="9"/>
      <c r="GT414" s="9"/>
      <c r="GU414" s="9"/>
      <c r="GV414" s="9"/>
      <c r="GW414" s="9"/>
      <c r="GX414" s="9"/>
      <c r="GY414" s="9"/>
      <c r="GZ414" s="9"/>
      <c r="HA414" s="9"/>
      <c r="HB414" s="9"/>
      <c r="HC414" s="9"/>
      <c r="HD414" s="9"/>
      <c r="HE414" s="9"/>
      <c r="HF414" s="9"/>
      <c r="HG414" s="9"/>
      <c r="HH414" s="9"/>
      <c r="HI414" s="9"/>
      <c r="HJ414" s="9"/>
      <c r="HK414" s="9"/>
      <c r="HU414" s="101">
        <v>38838</v>
      </c>
      <c r="HW414" s="58"/>
      <c r="HX414" s="58"/>
      <c r="II414" t="s">
        <v>1567</v>
      </c>
      <c r="IJ414" t="s">
        <v>19</v>
      </c>
      <c r="IO414" s="87"/>
      <c r="JK414" t="s">
        <v>1567</v>
      </c>
      <c r="JL414" s="84" t="s">
        <v>721</v>
      </c>
      <c r="MZ414" t="s">
        <v>1589</v>
      </c>
      <c r="NA414">
        <v>120</v>
      </c>
      <c r="NB414" t="s">
        <v>1565</v>
      </c>
      <c r="NC414" t="s">
        <v>1580</v>
      </c>
      <c r="NJ414" t="s">
        <v>1593</v>
      </c>
      <c r="NK414" s="87" t="s">
        <v>1597</v>
      </c>
      <c r="NM414" s="4" t="s">
        <v>1598</v>
      </c>
      <c r="NN414" s="102"/>
      <c r="NV414" t="s">
        <v>64</v>
      </c>
      <c r="NW414" t="s">
        <v>6</v>
      </c>
      <c r="NX414" s="104">
        <v>1.73</v>
      </c>
      <c r="NY414" s="88" t="s">
        <v>29</v>
      </c>
      <c r="NZ414" s="88" t="s">
        <v>29</v>
      </c>
      <c r="OC414">
        <v>3</v>
      </c>
      <c r="OT414" t="s">
        <v>1596</v>
      </c>
      <c r="OU414" s="88" t="s">
        <v>6</v>
      </c>
      <c r="OW414">
        <v>2006</v>
      </c>
      <c r="OX414">
        <v>2007</v>
      </c>
      <c r="PA414" t="s">
        <v>1169</v>
      </c>
      <c r="PB414" s="58">
        <v>46105</v>
      </c>
    </row>
    <row r="415" spans="1:418" ht="15.75" thickBot="1">
      <c r="A415" t="s">
        <v>248</v>
      </c>
      <c r="B415" t="s">
        <v>1562</v>
      </c>
      <c r="C415" t="s">
        <v>1173</v>
      </c>
      <c r="D415" s="4" t="s">
        <v>1936</v>
      </c>
      <c r="E415" t="s">
        <v>1578</v>
      </c>
      <c r="F415" s="100" t="s">
        <v>31</v>
      </c>
      <c r="G415" s="87" t="s">
        <v>2</v>
      </c>
      <c r="H415" s="87" t="s">
        <v>30</v>
      </c>
      <c r="I415">
        <v>7.25</v>
      </c>
      <c r="J415">
        <v>3.4166666669999999</v>
      </c>
      <c r="K415" s="87" t="s">
        <v>29</v>
      </c>
      <c r="AV415" t="s">
        <v>1697</v>
      </c>
      <c r="AW415">
        <v>3240</v>
      </c>
      <c r="AX415">
        <v>1.2E-2</v>
      </c>
      <c r="AY415">
        <v>1</v>
      </c>
      <c r="BA415">
        <v>2006</v>
      </c>
      <c r="BB415">
        <v>2007</v>
      </c>
      <c r="BD415" t="s">
        <v>19</v>
      </c>
      <c r="BE415" t="s">
        <v>1563</v>
      </c>
      <c r="BF415" t="s">
        <v>299</v>
      </c>
      <c r="BG415" s="78" t="s">
        <v>1233</v>
      </c>
      <c r="BH415" t="s">
        <v>1580</v>
      </c>
      <c r="BI415" t="s">
        <v>234</v>
      </c>
      <c r="BJ415" s="87" t="s">
        <v>22</v>
      </c>
      <c r="BK415">
        <v>20000</v>
      </c>
      <c r="EH415" s="9"/>
      <c r="EI415" s="9"/>
      <c r="EJ415" s="9"/>
      <c r="EK415" s="9"/>
      <c r="EL415" s="9"/>
      <c r="EM415" s="9"/>
      <c r="EN415" s="9"/>
      <c r="EO415" s="9"/>
      <c r="EP415" s="9"/>
      <c r="EQ415" s="9"/>
      <c r="ER415" s="9"/>
      <c r="ES415" s="9"/>
      <c r="ET415" s="9"/>
      <c r="EU415" s="9"/>
      <c r="EV415" s="9"/>
      <c r="EW415" s="9"/>
      <c r="EX415" s="9"/>
      <c r="EY415" s="9"/>
      <c r="EZ415" s="9"/>
      <c r="FA415" s="9"/>
      <c r="FB415" s="9"/>
      <c r="FC415" s="9"/>
      <c r="FD415" s="9"/>
      <c r="FE415" s="9"/>
      <c r="FF415" s="9"/>
      <c r="FG415" s="9"/>
      <c r="FH415" s="9"/>
      <c r="FI415" s="9"/>
      <c r="FJ415" s="9"/>
      <c r="FK415" s="9"/>
      <c r="FL415" s="9"/>
      <c r="FM415" s="9"/>
      <c r="FN415" s="9"/>
      <c r="FO415" s="9"/>
      <c r="FP415" s="9"/>
      <c r="FQ415" s="9"/>
      <c r="FR415" s="9"/>
      <c r="FS415" s="9"/>
      <c r="FT415" s="9"/>
      <c r="FU415" s="9"/>
      <c r="FV415" s="9"/>
      <c r="FW415" s="9"/>
      <c r="FX415" s="9"/>
      <c r="FY415" s="9"/>
      <c r="FZ415" s="9"/>
      <c r="GA415" s="9"/>
      <c r="GB415" s="9"/>
      <c r="GC415" s="9"/>
      <c r="GD415" s="9"/>
      <c r="GE415" s="9"/>
      <c r="GF415" s="9"/>
      <c r="GG415" s="9"/>
      <c r="GH415" s="9"/>
      <c r="GI415" s="9"/>
      <c r="GJ415" s="9"/>
      <c r="GK415" s="9"/>
      <c r="GL415" s="9"/>
      <c r="GM415" s="9"/>
      <c r="GN415" s="9"/>
      <c r="GO415" s="9"/>
      <c r="GP415" s="9"/>
      <c r="GQ415" s="9"/>
      <c r="GR415" s="9"/>
      <c r="GS415" s="9"/>
      <c r="GT415" s="9"/>
      <c r="GU415" s="9"/>
      <c r="GV415" s="9"/>
      <c r="GW415" s="9"/>
      <c r="GX415" s="9"/>
      <c r="GY415" s="9"/>
      <c r="GZ415" s="9"/>
      <c r="HA415" s="9"/>
      <c r="HB415" s="9"/>
      <c r="HC415" s="9"/>
      <c r="HD415" s="9"/>
      <c r="HE415" s="9"/>
      <c r="HF415" s="9"/>
      <c r="HG415" s="9"/>
      <c r="HH415" s="9"/>
      <c r="HI415" s="9"/>
      <c r="HJ415" s="9"/>
      <c r="HK415" s="9"/>
      <c r="HU415" s="101">
        <v>38838</v>
      </c>
      <c r="HW415" s="58"/>
      <c r="HX415" s="58"/>
      <c r="II415" t="s">
        <v>1563</v>
      </c>
      <c r="IJ415" t="s">
        <v>19</v>
      </c>
      <c r="JK415" t="s">
        <v>1563</v>
      </c>
      <c r="JL415" s="84" t="s">
        <v>227</v>
      </c>
      <c r="JW415" s="8" t="s">
        <v>227</v>
      </c>
      <c r="JX415" s="8" t="s">
        <v>1582</v>
      </c>
      <c r="JY415" t="s">
        <v>13</v>
      </c>
      <c r="JZ415">
        <v>40000</v>
      </c>
      <c r="MZ415" t="s">
        <v>1589</v>
      </c>
      <c r="NA415">
        <v>120</v>
      </c>
      <c r="NB415" t="s">
        <v>1565</v>
      </c>
      <c r="NC415" t="s">
        <v>1580</v>
      </c>
      <c r="NJ415" t="s">
        <v>1594</v>
      </c>
      <c r="NK415" s="87" t="s">
        <v>1597</v>
      </c>
      <c r="NM415" s="4" t="s">
        <v>1598</v>
      </c>
      <c r="NN415" s="102"/>
      <c r="NV415" t="s">
        <v>57</v>
      </c>
      <c r="NW415" t="s">
        <v>6</v>
      </c>
      <c r="NX415" s="104">
        <v>2.82</v>
      </c>
      <c r="NY415" s="88" t="s">
        <v>29</v>
      </c>
      <c r="NZ415" s="88" t="s">
        <v>29</v>
      </c>
      <c r="OC415">
        <v>3</v>
      </c>
      <c r="OT415" t="s">
        <v>1596</v>
      </c>
      <c r="OU415" s="88" t="s">
        <v>6</v>
      </c>
      <c r="OW415">
        <v>2006</v>
      </c>
      <c r="OX415">
        <v>2007</v>
      </c>
      <c r="PA415" t="s">
        <v>1169</v>
      </c>
      <c r="PB415" s="58">
        <v>46105</v>
      </c>
    </row>
    <row r="416" spans="1:418" ht="15.75" thickBot="1">
      <c r="A416" t="s">
        <v>248</v>
      </c>
      <c r="B416" t="s">
        <v>1562</v>
      </c>
      <c r="C416" t="s">
        <v>1173</v>
      </c>
      <c r="D416" s="4" t="s">
        <v>1936</v>
      </c>
      <c r="E416" t="s">
        <v>1578</v>
      </c>
      <c r="F416" s="100" t="s">
        <v>31</v>
      </c>
      <c r="G416" s="87" t="s">
        <v>2</v>
      </c>
      <c r="H416" s="87" t="s">
        <v>30</v>
      </c>
      <c r="I416">
        <v>7.25</v>
      </c>
      <c r="J416">
        <v>3.4166666669999999</v>
      </c>
      <c r="K416" s="87" t="s">
        <v>29</v>
      </c>
      <c r="AV416" t="s">
        <v>1697</v>
      </c>
      <c r="AW416">
        <v>3240</v>
      </c>
      <c r="AX416">
        <v>1.2E-2</v>
      </c>
      <c r="AY416">
        <v>1</v>
      </c>
      <c r="BA416">
        <v>2006</v>
      </c>
      <c r="BB416">
        <v>2007</v>
      </c>
      <c r="BD416" t="s">
        <v>19</v>
      </c>
      <c r="BE416" t="s">
        <v>1566</v>
      </c>
      <c r="BF416" t="s">
        <v>256</v>
      </c>
      <c r="BG416" s="78" t="s">
        <v>1233</v>
      </c>
      <c r="BH416" t="s">
        <v>1580</v>
      </c>
      <c r="BI416" t="s">
        <v>234</v>
      </c>
      <c r="BJ416" s="87" t="s">
        <v>22</v>
      </c>
      <c r="BK416">
        <v>20000</v>
      </c>
      <c r="EH416" s="9"/>
      <c r="EI416" s="9"/>
      <c r="EJ416" s="9"/>
      <c r="EK416" s="9"/>
      <c r="EL416" s="9"/>
      <c r="EM416" s="9"/>
      <c r="EN416" s="9"/>
      <c r="EO416" s="9"/>
      <c r="EP416" s="9"/>
      <c r="EQ416" s="9"/>
      <c r="ER416" s="9"/>
      <c r="ES416" s="9"/>
      <c r="ET416" s="9"/>
      <c r="EU416" s="9"/>
      <c r="EV416" s="9"/>
      <c r="EW416" s="9"/>
      <c r="EX416" s="9"/>
      <c r="EY416" s="9"/>
      <c r="EZ416" s="9"/>
      <c r="FA416" s="9"/>
      <c r="FB416" s="9"/>
      <c r="FC416" s="9"/>
      <c r="FD416" s="9"/>
      <c r="FE416" s="9"/>
      <c r="FF416" s="9"/>
      <c r="FG416" s="9"/>
      <c r="FH416" s="9"/>
      <c r="FI416" s="9"/>
      <c r="FJ416" s="9"/>
      <c r="FK416" s="9"/>
      <c r="FL416" s="9"/>
      <c r="FM416" s="9"/>
      <c r="FN416" s="9"/>
      <c r="FO416" s="9"/>
      <c r="FP416" s="9"/>
      <c r="FQ416" s="9"/>
      <c r="FR416" s="9"/>
      <c r="FS416" s="9"/>
      <c r="FT416" s="9"/>
      <c r="FU416" s="9"/>
      <c r="FV416" s="9"/>
      <c r="FW416" s="9"/>
      <c r="FX416" s="9"/>
      <c r="FY416" s="9"/>
      <c r="FZ416" s="9"/>
      <c r="GA416" s="9"/>
      <c r="GB416" s="9"/>
      <c r="GC416" s="9"/>
      <c r="GD416" s="9"/>
      <c r="GE416" s="9"/>
      <c r="GF416" s="9"/>
      <c r="GG416" s="9"/>
      <c r="GH416" s="9"/>
      <c r="GI416" s="9"/>
      <c r="GJ416" s="9"/>
      <c r="GK416" s="9"/>
      <c r="GL416" s="9"/>
      <c r="GM416" s="9"/>
      <c r="GN416" s="9"/>
      <c r="GO416" s="9"/>
      <c r="GP416" s="9"/>
      <c r="GQ416" s="9"/>
      <c r="GR416" s="9"/>
      <c r="GS416" s="9"/>
      <c r="GT416" s="9"/>
      <c r="GU416" s="9"/>
      <c r="GV416" s="9"/>
      <c r="GW416" s="9"/>
      <c r="GX416" s="9"/>
      <c r="GY416" s="9"/>
      <c r="GZ416" s="9"/>
      <c r="HA416" s="9"/>
      <c r="HB416" s="9"/>
      <c r="HC416" s="9"/>
      <c r="HD416" s="9"/>
      <c r="HE416" s="9"/>
      <c r="HF416" s="9"/>
      <c r="HG416" s="9"/>
      <c r="HH416" s="9"/>
      <c r="HI416" s="9"/>
      <c r="HJ416" s="9"/>
      <c r="HK416" s="9"/>
      <c r="HU416" s="101">
        <v>38838</v>
      </c>
      <c r="HW416" s="58"/>
      <c r="HX416" s="58"/>
      <c r="II416" t="s">
        <v>1566</v>
      </c>
      <c r="IJ416" t="s">
        <v>19</v>
      </c>
      <c r="JK416" t="s">
        <v>1566</v>
      </c>
      <c r="JL416" s="84" t="s">
        <v>227</v>
      </c>
      <c r="JW416" s="8" t="s">
        <v>227</v>
      </c>
      <c r="JX416" s="8" t="s">
        <v>1582</v>
      </c>
      <c r="JY416" t="s">
        <v>13</v>
      </c>
      <c r="JZ416">
        <v>80000</v>
      </c>
      <c r="MZ416" t="s">
        <v>1589</v>
      </c>
      <c r="NA416">
        <v>120</v>
      </c>
      <c r="NB416" t="s">
        <v>1565</v>
      </c>
      <c r="NC416" t="s">
        <v>1580</v>
      </c>
      <c r="NJ416" t="s">
        <v>1594</v>
      </c>
      <c r="NK416" s="87" t="s">
        <v>1597</v>
      </c>
      <c r="NM416" s="4" t="s">
        <v>1598</v>
      </c>
      <c r="NN416" s="102"/>
      <c r="NV416" t="s">
        <v>48</v>
      </c>
      <c r="NW416" t="s">
        <v>6</v>
      </c>
      <c r="NX416" s="104">
        <v>2.2400000000000002</v>
      </c>
      <c r="NY416" s="88" t="s">
        <v>29</v>
      </c>
      <c r="NZ416" s="88" t="s">
        <v>29</v>
      </c>
      <c r="OC416">
        <v>3</v>
      </c>
      <c r="OT416" t="s">
        <v>1596</v>
      </c>
      <c r="OU416" s="88" t="s">
        <v>6</v>
      </c>
      <c r="OW416">
        <v>2006</v>
      </c>
      <c r="OX416">
        <v>2007</v>
      </c>
      <c r="PA416" t="s">
        <v>1169</v>
      </c>
      <c r="PB416" s="58">
        <v>46105</v>
      </c>
    </row>
    <row r="417" spans="1:418" ht="15.75" thickBot="1">
      <c r="A417" t="s">
        <v>248</v>
      </c>
      <c r="B417" t="s">
        <v>1562</v>
      </c>
      <c r="C417" t="s">
        <v>1173</v>
      </c>
      <c r="D417" s="4" t="s">
        <v>1936</v>
      </c>
      <c r="E417" t="s">
        <v>1578</v>
      </c>
      <c r="F417" s="100" t="s">
        <v>31</v>
      </c>
      <c r="G417" s="87" t="s">
        <v>2</v>
      </c>
      <c r="H417" s="87" t="s">
        <v>30</v>
      </c>
      <c r="I417">
        <v>7.25</v>
      </c>
      <c r="J417">
        <v>3.4166666669999999</v>
      </c>
      <c r="K417" s="87" t="s">
        <v>29</v>
      </c>
      <c r="AV417" t="s">
        <v>1697</v>
      </c>
      <c r="AW417">
        <v>3240</v>
      </c>
      <c r="AX417">
        <v>1.2E-2</v>
      </c>
      <c r="AY417">
        <v>1</v>
      </c>
      <c r="BA417">
        <v>2006</v>
      </c>
      <c r="BB417">
        <v>2007</v>
      </c>
      <c r="BD417" t="s">
        <v>238</v>
      </c>
      <c r="BE417" t="s">
        <v>1572</v>
      </c>
      <c r="BF417" t="s">
        <v>64</v>
      </c>
      <c r="BG417" s="78" t="s">
        <v>1233</v>
      </c>
      <c r="BH417" t="s">
        <v>1569</v>
      </c>
      <c r="BI417" t="s">
        <v>1581</v>
      </c>
      <c r="BJ417" s="87" t="s">
        <v>22</v>
      </c>
      <c r="BK417">
        <v>1330</v>
      </c>
      <c r="BL417" t="s">
        <v>56</v>
      </c>
      <c r="BM417" t="s">
        <v>1580</v>
      </c>
      <c r="BN417" t="s">
        <v>234</v>
      </c>
      <c r="BO417" s="87" t="s">
        <v>22</v>
      </c>
      <c r="BP417">
        <v>20000</v>
      </c>
      <c r="EH417" s="9"/>
      <c r="EI417" s="9"/>
      <c r="EJ417" s="9"/>
      <c r="EK417" s="9"/>
      <c r="EL417" s="9"/>
      <c r="EM417" s="9"/>
      <c r="EN417" s="9"/>
      <c r="EO417" s="9"/>
      <c r="EP417" s="9"/>
      <c r="EQ417" s="9"/>
      <c r="ER417" s="9"/>
      <c r="ES417" s="9"/>
      <c r="ET417" s="9"/>
      <c r="EU417" s="9"/>
      <c r="EV417" s="9"/>
      <c r="EW417" s="9"/>
      <c r="EX417" s="9"/>
      <c r="EY417" s="9"/>
      <c r="EZ417" s="9"/>
      <c r="FA417" s="9"/>
      <c r="FB417" s="9"/>
      <c r="FC417" s="9"/>
      <c r="FD417" s="9"/>
      <c r="FE417" s="9"/>
      <c r="FF417" s="9"/>
      <c r="FG417" s="9"/>
      <c r="FH417" s="9"/>
      <c r="FI417" s="9"/>
      <c r="FJ417" s="9"/>
      <c r="FK417" s="9"/>
      <c r="FL417" s="9"/>
      <c r="FM417" s="9"/>
      <c r="FN417" s="9"/>
      <c r="FO417" s="9"/>
      <c r="FP417" s="9"/>
      <c r="FQ417" s="9"/>
      <c r="FR417" s="9"/>
      <c r="FS417" s="9"/>
      <c r="FT417" s="9"/>
      <c r="FU417" s="9"/>
      <c r="FV417" s="9"/>
      <c r="FW417" s="9"/>
      <c r="FX417" s="9"/>
      <c r="FY417" s="9"/>
      <c r="FZ417" s="9"/>
      <c r="GA417" s="9"/>
      <c r="GB417" s="9"/>
      <c r="GC417" s="9"/>
      <c r="GD417" s="9"/>
      <c r="GE417" s="9"/>
      <c r="GF417" s="9"/>
      <c r="GG417" s="9"/>
      <c r="GH417" s="9"/>
      <c r="GI417" s="9"/>
      <c r="GJ417" s="9"/>
      <c r="GK417" s="9"/>
      <c r="GL417" s="9"/>
      <c r="GM417" s="9"/>
      <c r="GN417" s="9"/>
      <c r="GO417" s="9"/>
      <c r="GP417" s="9"/>
      <c r="GQ417" s="9"/>
      <c r="GR417" s="9"/>
      <c r="GS417" s="9"/>
      <c r="GT417" s="9"/>
      <c r="GU417" s="9"/>
      <c r="GV417" s="9"/>
      <c r="GW417" s="9"/>
      <c r="GX417" s="9"/>
      <c r="GY417" s="9"/>
      <c r="GZ417" s="9"/>
      <c r="HA417" s="9"/>
      <c r="HB417" s="9"/>
      <c r="HC417" s="9"/>
      <c r="HD417" s="9"/>
      <c r="HE417" s="9"/>
      <c r="HF417" s="9"/>
      <c r="HG417" s="9"/>
      <c r="HH417" s="9"/>
      <c r="HI417" s="9"/>
      <c r="HJ417" s="9"/>
      <c r="HK417" s="9"/>
      <c r="HU417" s="101">
        <v>38838</v>
      </c>
      <c r="HW417" s="58"/>
      <c r="HX417" s="58"/>
      <c r="II417" t="s">
        <v>1572</v>
      </c>
      <c r="IJ417" s="87" t="s">
        <v>1190</v>
      </c>
      <c r="IK417" t="s">
        <v>660</v>
      </c>
      <c r="IL417" t="s">
        <v>661</v>
      </c>
      <c r="IM417">
        <v>2006</v>
      </c>
      <c r="IO417" s="87" t="s">
        <v>29</v>
      </c>
      <c r="JK417" t="s">
        <v>1572</v>
      </c>
      <c r="JL417" s="84" t="s">
        <v>721</v>
      </c>
      <c r="MZ417" t="s">
        <v>1589</v>
      </c>
      <c r="NA417">
        <v>120</v>
      </c>
      <c r="NB417" t="s">
        <v>2457</v>
      </c>
      <c r="NC417" t="s">
        <v>1580</v>
      </c>
      <c r="ND417" t="s">
        <v>1588</v>
      </c>
      <c r="NE417" t="s">
        <v>1584</v>
      </c>
      <c r="NK417" s="87" t="s">
        <v>1599</v>
      </c>
      <c r="NM417" s="103" t="s">
        <v>8</v>
      </c>
      <c r="NN417" s="102" t="s">
        <v>13</v>
      </c>
      <c r="NW417" t="s">
        <v>6</v>
      </c>
      <c r="NX417" s="104"/>
      <c r="NY417" s="88" t="s">
        <v>29</v>
      </c>
      <c r="NZ417" s="88"/>
      <c r="OC417">
        <v>3</v>
      </c>
      <c r="OD417">
        <v>4238.72</v>
      </c>
      <c r="OE417" s="88" t="s">
        <v>29</v>
      </c>
      <c r="OF417">
        <v>0</v>
      </c>
      <c r="OG417" s="88" t="s">
        <v>29</v>
      </c>
      <c r="OH417">
        <v>266.67</v>
      </c>
      <c r="OI417" s="88" t="s">
        <v>29</v>
      </c>
      <c r="OT417" t="s">
        <v>1575</v>
      </c>
      <c r="OU417" s="87"/>
      <c r="OV417">
        <v>2006</v>
      </c>
      <c r="PA417" t="s">
        <v>1169</v>
      </c>
      <c r="PB417" s="58">
        <v>46105</v>
      </c>
    </row>
    <row r="418" spans="1:418" ht="15.75" thickBot="1">
      <c r="A418" t="s">
        <v>248</v>
      </c>
      <c r="B418" t="s">
        <v>1562</v>
      </c>
      <c r="C418" t="s">
        <v>1173</v>
      </c>
      <c r="D418" s="4" t="s">
        <v>1936</v>
      </c>
      <c r="E418" t="s">
        <v>1578</v>
      </c>
      <c r="F418" s="100" t="s">
        <v>31</v>
      </c>
      <c r="G418" s="87" t="s">
        <v>2</v>
      </c>
      <c r="H418" s="87" t="s">
        <v>30</v>
      </c>
      <c r="I418">
        <v>7.25</v>
      </c>
      <c r="J418">
        <v>3.4166666669999999</v>
      </c>
      <c r="K418" s="87" t="s">
        <v>29</v>
      </c>
      <c r="AV418" t="s">
        <v>1697</v>
      </c>
      <c r="AW418">
        <v>3240</v>
      </c>
      <c r="AX418">
        <v>1.2E-2</v>
      </c>
      <c r="AY418">
        <v>1</v>
      </c>
      <c r="BA418">
        <v>2006</v>
      </c>
      <c r="BB418">
        <v>2007</v>
      </c>
      <c r="BD418" t="s">
        <v>19</v>
      </c>
      <c r="BE418" t="s">
        <v>1568</v>
      </c>
      <c r="BF418" t="s">
        <v>39</v>
      </c>
      <c r="BG418" s="78" t="s">
        <v>1233</v>
      </c>
      <c r="BH418" t="s">
        <v>1569</v>
      </c>
      <c r="BI418" t="s">
        <v>1581</v>
      </c>
      <c r="BJ418" s="87" t="s">
        <v>22</v>
      </c>
      <c r="BK418">
        <v>1330</v>
      </c>
      <c r="EH418" s="9"/>
      <c r="EI418" s="9"/>
      <c r="EJ418" s="9"/>
      <c r="EK418" s="9"/>
      <c r="EL418" s="9"/>
      <c r="EM418" s="9"/>
      <c r="EN418" s="9"/>
      <c r="EO418" s="9"/>
      <c r="EP418" s="9"/>
      <c r="EQ418" s="9"/>
      <c r="ER418" s="9"/>
      <c r="ES418" s="9"/>
      <c r="ET418" s="9"/>
      <c r="EU418" s="9"/>
      <c r="EV418" s="9"/>
      <c r="EW418" s="9"/>
      <c r="EX418" s="9"/>
      <c r="EY418" s="9"/>
      <c r="EZ418" s="9"/>
      <c r="FA418" s="9"/>
      <c r="FB418" s="9"/>
      <c r="FC418" s="9"/>
      <c r="FD418" s="9"/>
      <c r="FE418" s="9"/>
      <c r="FF418" s="9"/>
      <c r="FG418" s="9"/>
      <c r="FH418" s="9"/>
      <c r="FI418" s="9"/>
      <c r="FJ418" s="9"/>
      <c r="FK418" s="9"/>
      <c r="FL418" s="9"/>
      <c r="FM418" s="9"/>
      <c r="FN418" s="9"/>
      <c r="FO418" s="9"/>
      <c r="FP418" s="9"/>
      <c r="FQ418" s="9"/>
      <c r="FR418" s="9"/>
      <c r="FS418" s="9"/>
      <c r="FT418" s="9"/>
      <c r="FU418" s="9"/>
      <c r="FV418" s="9"/>
      <c r="FW418" s="9"/>
      <c r="FX418" s="9"/>
      <c r="FY418" s="9"/>
      <c r="FZ418" s="9"/>
      <c r="GA418" s="9"/>
      <c r="GB418" s="9"/>
      <c r="GC418" s="9"/>
      <c r="GD418" s="9"/>
      <c r="GE418" s="9"/>
      <c r="GF418" s="9"/>
      <c r="GG418" s="9"/>
      <c r="GH418" s="9"/>
      <c r="GI418" s="9"/>
      <c r="GJ418" s="9"/>
      <c r="GK418" s="9"/>
      <c r="GL418" s="9"/>
      <c r="GM418" s="9"/>
      <c r="GN418" s="9"/>
      <c r="GO418" s="9"/>
      <c r="GP418" s="9"/>
      <c r="GQ418" s="9"/>
      <c r="GR418" s="9"/>
      <c r="GS418" s="9"/>
      <c r="GT418" s="9"/>
      <c r="GU418" s="9"/>
      <c r="GV418" s="9"/>
      <c r="GW418" s="9"/>
      <c r="GX418" s="9"/>
      <c r="GY418" s="9"/>
      <c r="GZ418" s="9"/>
      <c r="HA418" s="9"/>
      <c r="HB418" s="9"/>
      <c r="HC418" s="9"/>
      <c r="HD418" s="9"/>
      <c r="HE418" s="9"/>
      <c r="HF418" s="9"/>
      <c r="HG418" s="9"/>
      <c r="HH418" s="9"/>
      <c r="HI418" s="9"/>
      <c r="HJ418" s="9"/>
      <c r="HK418" s="9"/>
      <c r="HU418" s="101">
        <v>38838</v>
      </c>
      <c r="HW418" s="58"/>
      <c r="HX418" s="58"/>
      <c r="II418" t="s">
        <v>1568</v>
      </c>
      <c r="IJ418" t="s">
        <v>19</v>
      </c>
      <c r="IO418" s="87"/>
      <c r="JK418" t="s">
        <v>1568</v>
      </c>
      <c r="JL418" s="84" t="s">
        <v>721</v>
      </c>
      <c r="MZ418" t="s">
        <v>1589</v>
      </c>
      <c r="NA418">
        <v>120</v>
      </c>
      <c r="NB418" t="s">
        <v>2458</v>
      </c>
      <c r="ND418" t="s">
        <v>1588</v>
      </c>
      <c r="NE418" t="s">
        <v>1584</v>
      </c>
      <c r="NK418" s="87" t="s">
        <v>1599</v>
      </c>
      <c r="NM418" s="103" t="s">
        <v>8</v>
      </c>
      <c r="NN418" s="102" t="s">
        <v>13</v>
      </c>
      <c r="NV418" t="s">
        <v>64</v>
      </c>
      <c r="NW418" t="s">
        <v>6</v>
      </c>
      <c r="NX418" s="104"/>
      <c r="NY418" s="88" t="s">
        <v>29</v>
      </c>
      <c r="NZ418" s="88"/>
      <c r="OC418">
        <v>3</v>
      </c>
      <c r="OE418" s="88"/>
      <c r="OF418">
        <v>0</v>
      </c>
      <c r="OG418" s="88" t="s">
        <v>29</v>
      </c>
      <c r="OH418">
        <v>305.54000000000002</v>
      </c>
      <c r="OI418" s="88" t="s">
        <v>29</v>
      </c>
      <c r="OT418" t="s">
        <v>1575</v>
      </c>
      <c r="OU418" s="87"/>
      <c r="OV418">
        <v>2006</v>
      </c>
      <c r="PA418" t="s">
        <v>1169</v>
      </c>
      <c r="PB418" s="58">
        <v>46105</v>
      </c>
    </row>
    <row r="419" spans="1:418" ht="15.75" thickBot="1">
      <c r="A419" t="s">
        <v>248</v>
      </c>
      <c r="B419" t="s">
        <v>1562</v>
      </c>
      <c r="C419" t="s">
        <v>1173</v>
      </c>
      <c r="D419" s="4" t="s">
        <v>1936</v>
      </c>
      <c r="E419" t="s">
        <v>1578</v>
      </c>
      <c r="F419" s="100" t="s">
        <v>31</v>
      </c>
      <c r="G419" s="87" t="s">
        <v>2</v>
      </c>
      <c r="H419" s="87" t="s">
        <v>30</v>
      </c>
      <c r="I419">
        <v>7.25</v>
      </c>
      <c r="J419">
        <v>3.4166666669999999</v>
      </c>
      <c r="K419" s="87" t="s">
        <v>29</v>
      </c>
      <c r="AV419" t="s">
        <v>1697</v>
      </c>
      <c r="AW419">
        <v>3240</v>
      </c>
      <c r="AX419">
        <v>1.2E-2</v>
      </c>
      <c r="AY419">
        <v>1</v>
      </c>
      <c r="BA419">
        <v>2006</v>
      </c>
      <c r="BB419">
        <v>2007</v>
      </c>
      <c r="BD419" t="s">
        <v>19</v>
      </c>
      <c r="BE419" t="s">
        <v>1567</v>
      </c>
      <c r="BF419" t="s">
        <v>24</v>
      </c>
      <c r="BG419" s="78" t="s">
        <v>1233</v>
      </c>
      <c r="BH419" t="s">
        <v>1580</v>
      </c>
      <c r="BI419" t="s">
        <v>836</v>
      </c>
      <c r="BJ419" s="87" t="s">
        <v>22</v>
      </c>
      <c r="BK419">
        <v>20000</v>
      </c>
      <c r="EH419" s="9"/>
      <c r="EI419" s="9"/>
      <c r="EJ419" s="9"/>
      <c r="EK419" s="9"/>
      <c r="EL419" s="9"/>
      <c r="EM419" s="9"/>
      <c r="EN419" s="9"/>
      <c r="EO419" s="9"/>
      <c r="EP419" s="9"/>
      <c r="EQ419" s="9"/>
      <c r="ER419" s="9"/>
      <c r="ES419" s="9"/>
      <c r="ET419" s="9"/>
      <c r="EU419" s="9"/>
      <c r="EV419" s="9"/>
      <c r="EW419" s="9"/>
      <c r="EX419" s="9"/>
      <c r="EY419" s="9"/>
      <c r="EZ419" s="9"/>
      <c r="FA419" s="9"/>
      <c r="FB419" s="9"/>
      <c r="FC419" s="9"/>
      <c r="FD419" s="9"/>
      <c r="FE419" s="9"/>
      <c r="FF419" s="9"/>
      <c r="FG419" s="9"/>
      <c r="FH419" s="9"/>
      <c r="FI419" s="9"/>
      <c r="FJ419" s="9"/>
      <c r="FK419" s="9"/>
      <c r="FL419" s="9"/>
      <c r="FM419" s="9"/>
      <c r="FN419" s="9"/>
      <c r="FO419" s="9"/>
      <c r="FP419" s="9"/>
      <c r="FQ419" s="9"/>
      <c r="FR419" s="9"/>
      <c r="FS419" s="9"/>
      <c r="FT419" s="9"/>
      <c r="FU419" s="9"/>
      <c r="FV419" s="9"/>
      <c r="FW419" s="9"/>
      <c r="FX419" s="9"/>
      <c r="FY419" s="9"/>
      <c r="FZ419" s="9"/>
      <c r="GA419" s="9"/>
      <c r="GB419" s="9"/>
      <c r="GC419" s="9"/>
      <c r="GD419" s="9"/>
      <c r="GE419" s="9"/>
      <c r="GF419" s="9"/>
      <c r="GG419" s="9"/>
      <c r="GH419" s="9"/>
      <c r="GI419" s="9"/>
      <c r="GJ419" s="9"/>
      <c r="GK419" s="9"/>
      <c r="GL419" s="9"/>
      <c r="GM419" s="9"/>
      <c r="GN419" s="9"/>
      <c r="GO419" s="9"/>
      <c r="GP419" s="9"/>
      <c r="GQ419" s="9"/>
      <c r="GR419" s="9"/>
      <c r="GS419" s="9"/>
      <c r="GT419" s="9"/>
      <c r="GU419" s="9"/>
      <c r="GV419" s="9"/>
      <c r="GW419" s="9"/>
      <c r="GX419" s="9"/>
      <c r="GY419" s="9"/>
      <c r="GZ419" s="9"/>
      <c r="HA419" s="9"/>
      <c r="HB419" s="9"/>
      <c r="HC419" s="9"/>
      <c r="HD419" s="9"/>
      <c r="HE419" s="9"/>
      <c r="HF419" s="9"/>
      <c r="HG419" s="9"/>
      <c r="HH419" s="9"/>
      <c r="HI419" s="9"/>
      <c r="HJ419" s="9"/>
      <c r="HK419" s="9"/>
      <c r="HU419" s="101">
        <v>38838</v>
      </c>
      <c r="HW419" s="58"/>
      <c r="HX419" s="58"/>
      <c r="II419" t="s">
        <v>1567</v>
      </c>
      <c r="IJ419" t="s">
        <v>19</v>
      </c>
      <c r="IO419" s="87"/>
      <c r="JK419" t="s">
        <v>1567</v>
      </c>
      <c r="JL419" s="84" t="s">
        <v>721</v>
      </c>
      <c r="MZ419" t="s">
        <v>1589</v>
      </c>
      <c r="NA419">
        <v>120</v>
      </c>
      <c r="NB419" t="s">
        <v>2459</v>
      </c>
      <c r="NC419" t="s">
        <v>1580</v>
      </c>
      <c r="NK419" s="87" t="s">
        <v>1599</v>
      </c>
      <c r="NM419" s="103" t="s">
        <v>8</v>
      </c>
      <c r="NN419" s="102" t="s">
        <v>13</v>
      </c>
      <c r="NV419" t="s">
        <v>64</v>
      </c>
      <c r="NW419" t="s">
        <v>6</v>
      </c>
      <c r="NX419" s="104"/>
      <c r="NY419" s="88" t="s">
        <v>29</v>
      </c>
      <c r="NZ419" s="88"/>
      <c r="OC419">
        <v>3</v>
      </c>
      <c r="OD419">
        <v>3569.3</v>
      </c>
      <c r="OE419" s="88" t="s">
        <v>29</v>
      </c>
      <c r="OT419" t="s">
        <v>1575</v>
      </c>
      <c r="OU419" s="87"/>
      <c r="OV419">
        <v>2006</v>
      </c>
      <c r="PA419" t="s">
        <v>1169</v>
      </c>
      <c r="PB419" s="58">
        <v>46105</v>
      </c>
    </row>
    <row r="420" spans="1:418" ht="15.75" thickBot="1">
      <c r="A420" t="s">
        <v>248</v>
      </c>
      <c r="B420" t="s">
        <v>1562</v>
      </c>
      <c r="C420" t="s">
        <v>1173</v>
      </c>
      <c r="D420" s="4" t="s">
        <v>1936</v>
      </c>
      <c r="E420" t="s">
        <v>1578</v>
      </c>
      <c r="F420" s="100" t="s">
        <v>31</v>
      </c>
      <c r="G420" s="87" t="s">
        <v>2</v>
      </c>
      <c r="H420" s="87" t="s">
        <v>30</v>
      </c>
      <c r="I420">
        <v>7.25</v>
      </c>
      <c r="J420">
        <v>3.4166666669999999</v>
      </c>
      <c r="K420" s="87" t="s">
        <v>29</v>
      </c>
      <c r="AV420" t="s">
        <v>1697</v>
      </c>
      <c r="AW420">
        <v>3240</v>
      </c>
      <c r="AX420">
        <v>1.2E-2</v>
      </c>
      <c r="AY420">
        <v>1</v>
      </c>
      <c r="BA420">
        <v>2006</v>
      </c>
      <c r="BB420">
        <v>2007</v>
      </c>
      <c r="BD420" t="s">
        <v>19</v>
      </c>
      <c r="BE420" t="s">
        <v>1563</v>
      </c>
      <c r="BF420" t="s">
        <v>299</v>
      </c>
      <c r="BG420" s="78" t="s">
        <v>1233</v>
      </c>
      <c r="BH420" t="s">
        <v>1580</v>
      </c>
      <c r="BI420" t="s">
        <v>234</v>
      </c>
      <c r="BJ420" s="87" t="s">
        <v>22</v>
      </c>
      <c r="BK420">
        <v>20000</v>
      </c>
      <c r="EH420" s="9"/>
      <c r="EI420" s="9"/>
      <c r="EJ420" s="9"/>
      <c r="EK420" s="9"/>
      <c r="EL420" s="9"/>
      <c r="EM420" s="9"/>
      <c r="EN420" s="9"/>
      <c r="EO420" s="9"/>
      <c r="EP420" s="9"/>
      <c r="EQ420" s="9"/>
      <c r="ER420" s="9"/>
      <c r="ES420" s="9"/>
      <c r="ET420" s="9"/>
      <c r="EU420" s="9"/>
      <c r="EV420" s="9"/>
      <c r="EW420" s="9"/>
      <c r="EX420" s="9"/>
      <c r="EY420" s="9"/>
      <c r="EZ420" s="9"/>
      <c r="FA420" s="9"/>
      <c r="FB420" s="9"/>
      <c r="FC420" s="9"/>
      <c r="FD420" s="9"/>
      <c r="FE420" s="9"/>
      <c r="FF420" s="9"/>
      <c r="FG420" s="9"/>
      <c r="FH420" s="9"/>
      <c r="FI420" s="9"/>
      <c r="FJ420" s="9"/>
      <c r="FK420" s="9"/>
      <c r="FL420" s="9"/>
      <c r="FM420" s="9"/>
      <c r="FN420" s="9"/>
      <c r="FO420" s="9"/>
      <c r="FP420" s="9"/>
      <c r="FQ420" s="9"/>
      <c r="FR420" s="9"/>
      <c r="FS420" s="9"/>
      <c r="FT420" s="9"/>
      <c r="FU420" s="9"/>
      <c r="FV420" s="9"/>
      <c r="FW420" s="9"/>
      <c r="FX420" s="9"/>
      <c r="FY420" s="9"/>
      <c r="FZ420" s="9"/>
      <c r="GA420" s="9"/>
      <c r="GB420" s="9"/>
      <c r="GC420" s="9"/>
      <c r="GD420" s="9"/>
      <c r="GE420" s="9"/>
      <c r="GF420" s="9"/>
      <c r="GG420" s="9"/>
      <c r="GH420" s="9"/>
      <c r="GI420" s="9"/>
      <c r="GJ420" s="9"/>
      <c r="GK420" s="9"/>
      <c r="GL420" s="9"/>
      <c r="GM420" s="9"/>
      <c r="GN420" s="9"/>
      <c r="GO420" s="9"/>
      <c r="GP420" s="9"/>
      <c r="GQ420" s="9"/>
      <c r="GR420" s="9"/>
      <c r="GS420" s="9"/>
      <c r="GT420" s="9"/>
      <c r="GU420" s="9"/>
      <c r="GV420" s="9"/>
      <c r="GW420" s="9"/>
      <c r="GX420" s="9"/>
      <c r="GY420" s="9"/>
      <c r="GZ420" s="9"/>
      <c r="HA420" s="9"/>
      <c r="HB420" s="9"/>
      <c r="HC420" s="9"/>
      <c r="HD420" s="9"/>
      <c r="HE420" s="9"/>
      <c r="HF420" s="9"/>
      <c r="HG420" s="9"/>
      <c r="HH420" s="9"/>
      <c r="HI420" s="9"/>
      <c r="HJ420" s="9"/>
      <c r="HK420" s="9"/>
      <c r="HU420" s="101">
        <v>38838</v>
      </c>
      <c r="HW420" s="58"/>
      <c r="HX420" s="58"/>
      <c r="II420" t="s">
        <v>1563</v>
      </c>
      <c r="IJ420" t="s">
        <v>19</v>
      </c>
      <c r="JK420" t="s">
        <v>1563</v>
      </c>
      <c r="JL420" s="84" t="s">
        <v>227</v>
      </c>
      <c r="JW420" s="8" t="s">
        <v>227</v>
      </c>
      <c r="JX420" s="8" t="s">
        <v>1582</v>
      </c>
      <c r="JY420" t="s">
        <v>13</v>
      </c>
      <c r="JZ420">
        <v>40000</v>
      </c>
      <c r="MZ420" t="s">
        <v>1589</v>
      </c>
      <c r="NA420">
        <v>120</v>
      </c>
      <c r="NB420" t="s">
        <v>2459</v>
      </c>
      <c r="NC420" t="s">
        <v>1580</v>
      </c>
      <c r="NK420" s="87" t="s">
        <v>1599</v>
      </c>
      <c r="NM420" s="103" t="s">
        <v>8</v>
      </c>
      <c r="NN420" s="102" t="s">
        <v>13</v>
      </c>
      <c r="NV420" t="s">
        <v>57</v>
      </c>
      <c r="NW420" t="s">
        <v>6</v>
      </c>
      <c r="NX420" s="104"/>
      <c r="NY420" s="88" t="s">
        <v>29</v>
      </c>
      <c r="NZ420" s="88"/>
      <c r="OC420">
        <v>3</v>
      </c>
      <c r="OD420">
        <v>9987.1</v>
      </c>
      <c r="OE420" s="88" t="s">
        <v>29</v>
      </c>
      <c r="OT420" t="s">
        <v>1576</v>
      </c>
      <c r="OU420" s="87"/>
      <c r="OV420">
        <v>2006</v>
      </c>
      <c r="PA420" t="s">
        <v>1169</v>
      </c>
      <c r="PB420" s="58">
        <v>46105</v>
      </c>
    </row>
    <row r="421" spans="1:418" ht="15.75" thickBot="1">
      <c r="A421" t="s">
        <v>248</v>
      </c>
      <c r="B421" t="s">
        <v>1562</v>
      </c>
      <c r="C421" t="s">
        <v>1173</v>
      </c>
      <c r="D421" s="4" t="s">
        <v>1936</v>
      </c>
      <c r="E421" t="s">
        <v>1578</v>
      </c>
      <c r="F421" s="100" t="s">
        <v>31</v>
      </c>
      <c r="G421" s="87" t="s">
        <v>2</v>
      </c>
      <c r="H421" s="87" t="s">
        <v>30</v>
      </c>
      <c r="I421">
        <v>7.25</v>
      </c>
      <c r="J421">
        <v>3.4166666669999999</v>
      </c>
      <c r="K421" s="87" t="s">
        <v>29</v>
      </c>
      <c r="AV421" t="s">
        <v>1697</v>
      </c>
      <c r="AW421">
        <v>3240</v>
      </c>
      <c r="AX421">
        <v>1.2E-2</v>
      </c>
      <c r="AY421">
        <v>1</v>
      </c>
      <c r="BA421">
        <v>2006</v>
      </c>
      <c r="BB421">
        <v>2007</v>
      </c>
      <c r="BD421" t="s">
        <v>19</v>
      </c>
      <c r="BE421" t="s">
        <v>1566</v>
      </c>
      <c r="BF421" t="s">
        <v>256</v>
      </c>
      <c r="BG421" s="78" t="s">
        <v>1233</v>
      </c>
      <c r="BH421" t="s">
        <v>1580</v>
      </c>
      <c r="BI421" t="s">
        <v>234</v>
      </c>
      <c r="BJ421" s="87" t="s">
        <v>22</v>
      </c>
      <c r="BK421">
        <v>20000</v>
      </c>
      <c r="EH421" s="9"/>
      <c r="EI421" s="9"/>
      <c r="EJ421" s="9"/>
      <c r="EK421" s="9"/>
      <c r="EL421" s="9"/>
      <c r="EM421" s="9"/>
      <c r="EN421" s="9"/>
      <c r="EO421" s="9"/>
      <c r="EP421" s="9"/>
      <c r="EQ421" s="9"/>
      <c r="ER421" s="9"/>
      <c r="ES421" s="9"/>
      <c r="ET421" s="9"/>
      <c r="EU421" s="9"/>
      <c r="EV421" s="9"/>
      <c r="EW421" s="9"/>
      <c r="EX421" s="9"/>
      <c r="EY421" s="9"/>
      <c r="EZ421" s="9"/>
      <c r="FA421" s="9"/>
      <c r="FB421" s="9"/>
      <c r="FC421" s="9"/>
      <c r="FD421" s="9"/>
      <c r="FE421" s="9"/>
      <c r="FF421" s="9"/>
      <c r="FG421" s="9"/>
      <c r="FH421" s="9"/>
      <c r="FI421" s="9"/>
      <c r="FJ421" s="9"/>
      <c r="FK421" s="9"/>
      <c r="FL421" s="9"/>
      <c r="FM421" s="9"/>
      <c r="FN421" s="9"/>
      <c r="FO421" s="9"/>
      <c r="FP421" s="9"/>
      <c r="FQ421" s="9"/>
      <c r="FR421" s="9"/>
      <c r="FS421" s="9"/>
      <c r="FT421" s="9"/>
      <c r="FU421" s="9"/>
      <c r="FV421" s="9"/>
      <c r="FW421" s="9"/>
      <c r="FX421" s="9"/>
      <c r="FY421" s="9"/>
      <c r="FZ421" s="9"/>
      <c r="GA421" s="9"/>
      <c r="GB421" s="9"/>
      <c r="GC421" s="9"/>
      <c r="GD421" s="9"/>
      <c r="GE421" s="9"/>
      <c r="GF421" s="9"/>
      <c r="GG421" s="9"/>
      <c r="GH421" s="9"/>
      <c r="GI421" s="9"/>
      <c r="GJ421" s="9"/>
      <c r="GK421" s="9"/>
      <c r="GL421" s="9"/>
      <c r="GM421" s="9"/>
      <c r="GN421" s="9"/>
      <c r="GO421" s="9"/>
      <c r="GP421" s="9"/>
      <c r="GQ421" s="9"/>
      <c r="GR421" s="9"/>
      <c r="GS421" s="9"/>
      <c r="GT421" s="9"/>
      <c r="GU421" s="9"/>
      <c r="GV421" s="9"/>
      <c r="GW421" s="9"/>
      <c r="GX421" s="9"/>
      <c r="GY421" s="9"/>
      <c r="GZ421" s="9"/>
      <c r="HA421" s="9"/>
      <c r="HB421" s="9"/>
      <c r="HC421" s="9"/>
      <c r="HD421" s="9"/>
      <c r="HE421" s="9"/>
      <c r="HF421" s="9"/>
      <c r="HG421" s="9"/>
      <c r="HH421" s="9"/>
      <c r="HI421" s="9"/>
      <c r="HJ421" s="9"/>
      <c r="HK421" s="9"/>
      <c r="HU421" s="101">
        <v>38838</v>
      </c>
      <c r="HW421" s="58"/>
      <c r="HX421" s="58"/>
      <c r="II421" t="s">
        <v>1566</v>
      </c>
      <c r="IJ421" t="s">
        <v>19</v>
      </c>
      <c r="JK421" t="s">
        <v>1566</v>
      </c>
      <c r="JL421" s="84" t="s">
        <v>227</v>
      </c>
      <c r="JW421" s="8" t="s">
        <v>227</v>
      </c>
      <c r="JX421" s="8" t="s">
        <v>1582</v>
      </c>
      <c r="JY421" t="s">
        <v>13</v>
      </c>
      <c r="JZ421">
        <v>80000</v>
      </c>
      <c r="MZ421" t="s">
        <v>1589</v>
      </c>
      <c r="NA421">
        <v>120</v>
      </c>
      <c r="NB421" t="s">
        <v>2459</v>
      </c>
      <c r="NC421" t="s">
        <v>1580</v>
      </c>
      <c r="NK421" s="87" t="s">
        <v>1599</v>
      </c>
      <c r="NM421" s="103" t="s">
        <v>8</v>
      </c>
      <c r="NN421" s="102" t="s">
        <v>13</v>
      </c>
      <c r="NV421" t="s">
        <v>48</v>
      </c>
      <c r="NW421" t="s">
        <v>6</v>
      </c>
      <c r="NX421" s="104"/>
      <c r="NY421" s="88" t="s">
        <v>29</v>
      </c>
      <c r="NZ421" s="88"/>
      <c r="OC421">
        <v>3</v>
      </c>
      <c r="OD421">
        <v>7821.91</v>
      </c>
      <c r="OE421" s="88" t="s">
        <v>29</v>
      </c>
      <c r="OT421" t="s">
        <v>1576</v>
      </c>
      <c r="OU421" s="87"/>
      <c r="OV421">
        <v>2006</v>
      </c>
      <c r="PA421" t="s">
        <v>1169</v>
      </c>
      <c r="PB421" s="58">
        <v>46105</v>
      </c>
    </row>
    <row r="422" spans="1:418" ht="15.75" thickBot="1">
      <c r="A422" t="s">
        <v>248</v>
      </c>
      <c r="B422" t="s">
        <v>1562</v>
      </c>
      <c r="C422" t="s">
        <v>1173</v>
      </c>
      <c r="D422" s="4" t="s">
        <v>1936</v>
      </c>
      <c r="E422" t="s">
        <v>1578</v>
      </c>
      <c r="F422" s="100" t="s">
        <v>31</v>
      </c>
      <c r="G422" s="87" t="s">
        <v>2</v>
      </c>
      <c r="H422" s="87" t="s">
        <v>30</v>
      </c>
      <c r="I422">
        <v>7.25</v>
      </c>
      <c r="J422">
        <v>3.4166666669999999</v>
      </c>
      <c r="K422" s="87" t="s">
        <v>29</v>
      </c>
      <c r="AV422" t="s">
        <v>1697</v>
      </c>
      <c r="AW422">
        <v>3240</v>
      </c>
      <c r="AX422">
        <v>1.2E-2</v>
      </c>
      <c r="AY422">
        <v>1</v>
      </c>
      <c r="BA422">
        <v>2006</v>
      </c>
      <c r="BB422">
        <v>2007</v>
      </c>
      <c r="BD422" t="s">
        <v>19</v>
      </c>
      <c r="BE422" t="s">
        <v>1570</v>
      </c>
      <c r="BF422" t="s">
        <v>1456</v>
      </c>
      <c r="BG422" s="78" t="s">
        <v>1233</v>
      </c>
      <c r="BH422" t="s">
        <v>1569</v>
      </c>
      <c r="BI422" t="s">
        <v>1581</v>
      </c>
      <c r="BJ422" s="87" t="s">
        <v>22</v>
      </c>
      <c r="BK422">
        <v>1330</v>
      </c>
      <c r="EH422" s="9"/>
      <c r="EI422" s="9"/>
      <c r="EJ422" s="9"/>
      <c r="EK422" s="9"/>
      <c r="EL422" s="9"/>
      <c r="EM422" s="9"/>
      <c r="EN422" s="9"/>
      <c r="EO422" s="9"/>
      <c r="EP422" s="9"/>
      <c r="EQ422" s="9"/>
      <c r="ER422" s="9"/>
      <c r="ES422" s="9"/>
      <c r="ET422" s="9"/>
      <c r="EU422" s="9"/>
      <c r="EV422" s="9"/>
      <c r="EW422" s="9"/>
      <c r="EX422" s="9"/>
      <c r="EY422" s="9"/>
      <c r="EZ422" s="9"/>
      <c r="FA422" s="9"/>
      <c r="FB422" s="9"/>
      <c r="FC422" s="9"/>
      <c r="FD422" s="9"/>
      <c r="FE422" s="9"/>
      <c r="FF422" s="9"/>
      <c r="FG422" s="9"/>
      <c r="FH422" s="9"/>
      <c r="FI422" s="9"/>
      <c r="FJ422" s="9"/>
      <c r="FK422" s="9"/>
      <c r="FL422" s="9"/>
      <c r="FM422" s="9"/>
      <c r="FN422" s="9"/>
      <c r="FO422" s="9"/>
      <c r="FP422" s="9"/>
      <c r="FQ422" s="9"/>
      <c r="FR422" s="9"/>
      <c r="FS422" s="9"/>
      <c r="FT422" s="9"/>
      <c r="FU422" s="9"/>
      <c r="FV422" s="9"/>
      <c r="FW422" s="9"/>
      <c r="FX422" s="9"/>
      <c r="FY422" s="9"/>
      <c r="FZ422" s="9"/>
      <c r="GA422" s="9"/>
      <c r="GB422" s="9"/>
      <c r="GC422" s="9"/>
      <c r="GD422" s="9"/>
      <c r="GE422" s="9"/>
      <c r="GF422" s="9"/>
      <c r="GG422" s="9"/>
      <c r="GH422" s="9"/>
      <c r="GI422" s="9"/>
      <c r="GJ422" s="9"/>
      <c r="GK422" s="9"/>
      <c r="GL422" s="9"/>
      <c r="GM422" s="9"/>
      <c r="GN422" s="9"/>
      <c r="GO422" s="9"/>
      <c r="GP422" s="9"/>
      <c r="GQ422" s="9"/>
      <c r="GR422" s="9"/>
      <c r="GS422" s="9"/>
      <c r="GT422" s="9"/>
      <c r="GU422" s="9"/>
      <c r="GV422" s="9"/>
      <c r="GW422" s="9"/>
      <c r="GX422" s="9"/>
      <c r="GY422" s="9"/>
      <c r="GZ422" s="9"/>
      <c r="HA422" s="9"/>
      <c r="HB422" s="9"/>
      <c r="HC422" s="9"/>
      <c r="HD422" s="9"/>
      <c r="HE422" s="9"/>
      <c r="HF422" s="9"/>
      <c r="HG422" s="9"/>
      <c r="HH422" s="9"/>
      <c r="HI422" s="9"/>
      <c r="HJ422" s="9"/>
      <c r="HK422" s="9"/>
      <c r="HU422" s="101">
        <v>38838</v>
      </c>
      <c r="HW422" s="58"/>
      <c r="HX422" s="58"/>
      <c r="II422" t="s">
        <v>1570</v>
      </c>
      <c r="IJ422" t="s">
        <v>19</v>
      </c>
      <c r="JK422" t="s">
        <v>1570</v>
      </c>
      <c r="JL422" s="84" t="s">
        <v>227</v>
      </c>
      <c r="JW422" s="8" t="s">
        <v>227</v>
      </c>
      <c r="JX422" s="8" t="s">
        <v>1582</v>
      </c>
      <c r="JY422" t="s">
        <v>13</v>
      </c>
      <c r="JZ422">
        <v>40000</v>
      </c>
      <c r="MZ422" t="s">
        <v>1589</v>
      </c>
      <c r="NA422">
        <v>120</v>
      </c>
      <c r="NB422" t="s">
        <v>2458</v>
      </c>
      <c r="ND422" t="s">
        <v>1588</v>
      </c>
      <c r="NE422" t="s">
        <v>1584</v>
      </c>
      <c r="NK422" s="87" t="s">
        <v>1599</v>
      </c>
      <c r="NM422" s="103" t="s">
        <v>8</v>
      </c>
      <c r="NN422" s="102" t="s">
        <v>13</v>
      </c>
      <c r="NV422" t="s">
        <v>57</v>
      </c>
      <c r="NW422" t="s">
        <v>6</v>
      </c>
      <c r="NX422" s="104"/>
      <c r="NY422" s="88" t="s">
        <v>29</v>
      </c>
      <c r="NZ422" s="88"/>
      <c r="OC422">
        <v>3</v>
      </c>
      <c r="OE422" s="88"/>
      <c r="OF422">
        <v>1133.29</v>
      </c>
      <c r="OG422" s="88" t="s">
        <v>29</v>
      </c>
      <c r="OH422">
        <v>666.64</v>
      </c>
      <c r="OI422" s="88" t="s">
        <v>29</v>
      </c>
      <c r="OT422" t="s">
        <v>1577</v>
      </c>
      <c r="OU422" s="87"/>
      <c r="OV422">
        <v>2006</v>
      </c>
      <c r="PA422" t="s">
        <v>1169</v>
      </c>
      <c r="PB422" s="58">
        <v>46105</v>
      </c>
    </row>
    <row r="423" spans="1:418" ht="15.75" thickBot="1">
      <c r="A423" t="s">
        <v>248</v>
      </c>
      <c r="B423" t="s">
        <v>1562</v>
      </c>
      <c r="C423" t="s">
        <v>1173</v>
      </c>
      <c r="D423" s="4" t="s">
        <v>1936</v>
      </c>
      <c r="E423" t="s">
        <v>1578</v>
      </c>
      <c r="F423" s="100" t="s">
        <v>31</v>
      </c>
      <c r="G423" s="87" t="s">
        <v>2</v>
      </c>
      <c r="H423" s="87" t="s">
        <v>30</v>
      </c>
      <c r="I423">
        <v>7.25</v>
      </c>
      <c r="J423">
        <v>3.4166666669999999</v>
      </c>
      <c r="K423" s="87" t="s">
        <v>29</v>
      </c>
      <c r="AV423" t="s">
        <v>1697</v>
      </c>
      <c r="AW423">
        <v>3240</v>
      </c>
      <c r="AX423">
        <v>1.2E-2</v>
      </c>
      <c r="AY423">
        <v>1</v>
      </c>
      <c r="BA423">
        <v>2006</v>
      </c>
      <c r="BB423">
        <v>2007</v>
      </c>
      <c r="BD423" t="s">
        <v>19</v>
      </c>
      <c r="BE423" t="s">
        <v>1571</v>
      </c>
      <c r="BF423" t="s">
        <v>1458</v>
      </c>
      <c r="BG423" s="78" t="s">
        <v>1233</v>
      </c>
      <c r="BH423" t="s">
        <v>1569</v>
      </c>
      <c r="BI423" t="s">
        <v>1581</v>
      </c>
      <c r="BJ423" s="87" t="s">
        <v>22</v>
      </c>
      <c r="BK423">
        <v>1330</v>
      </c>
      <c r="EH423" s="9"/>
      <c r="EI423" s="9"/>
      <c r="EJ423" s="9"/>
      <c r="EK423" s="9"/>
      <c r="EL423" s="9"/>
      <c r="EM423" s="9"/>
      <c r="EN423" s="9"/>
      <c r="EO423" s="9"/>
      <c r="EP423" s="9"/>
      <c r="EQ423" s="9"/>
      <c r="ER423" s="9"/>
      <c r="ES423" s="9"/>
      <c r="ET423" s="9"/>
      <c r="EU423" s="9"/>
      <c r="EV423" s="9"/>
      <c r="EW423" s="9"/>
      <c r="EX423" s="9"/>
      <c r="EY423" s="9"/>
      <c r="EZ423" s="9"/>
      <c r="FA423" s="9"/>
      <c r="FB423" s="9"/>
      <c r="FC423" s="9"/>
      <c r="FD423" s="9"/>
      <c r="FE423" s="9"/>
      <c r="FF423" s="9"/>
      <c r="FG423" s="9"/>
      <c r="FH423" s="9"/>
      <c r="FI423" s="9"/>
      <c r="FJ423" s="9"/>
      <c r="FK423" s="9"/>
      <c r="FL423" s="9"/>
      <c r="FM423" s="9"/>
      <c r="FN423" s="9"/>
      <c r="FO423" s="9"/>
      <c r="FP423" s="9"/>
      <c r="FQ423" s="9"/>
      <c r="FR423" s="9"/>
      <c r="FS423" s="9"/>
      <c r="FT423" s="9"/>
      <c r="FU423" s="9"/>
      <c r="FV423" s="9"/>
      <c r="FW423" s="9"/>
      <c r="FX423" s="9"/>
      <c r="FY423" s="9"/>
      <c r="FZ423" s="9"/>
      <c r="GA423" s="9"/>
      <c r="GB423" s="9"/>
      <c r="GC423" s="9"/>
      <c r="GD423" s="9"/>
      <c r="GE423" s="9"/>
      <c r="GF423" s="9"/>
      <c r="GG423" s="9"/>
      <c r="GH423" s="9"/>
      <c r="GI423" s="9"/>
      <c r="GJ423" s="9"/>
      <c r="GK423" s="9"/>
      <c r="GL423" s="9"/>
      <c r="GM423" s="9"/>
      <c r="GN423" s="9"/>
      <c r="GO423" s="9"/>
      <c r="GP423" s="9"/>
      <c r="GQ423" s="9"/>
      <c r="GR423" s="9"/>
      <c r="GS423" s="9"/>
      <c r="GT423" s="9"/>
      <c r="GU423" s="9"/>
      <c r="GV423" s="9"/>
      <c r="GW423" s="9"/>
      <c r="GX423" s="9"/>
      <c r="GY423" s="9"/>
      <c r="GZ423" s="9"/>
      <c r="HA423" s="9"/>
      <c r="HB423" s="9"/>
      <c r="HC423" s="9"/>
      <c r="HD423" s="9"/>
      <c r="HE423" s="9"/>
      <c r="HF423" s="9"/>
      <c r="HG423" s="9"/>
      <c r="HH423" s="9"/>
      <c r="HI423" s="9"/>
      <c r="HJ423" s="9"/>
      <c r="HK423" s="9"/>
      <c r="HU423" s="101">
        <v>38838</v>
      </c>
      <c r="HW423" s="58"/>
      <c r="HX423" s="58"/>
      <c r="II423" t="s">
        <v>1571</v>
      </c>
      <c r="IJ423" t="s">
        <v>19</v>
      </c>
      <c r="JK423" t="s">
        <v>1571</v>
      </c>
      <c r="JL423" s="84" t="s">
        <v>227</v>
      </c>
      <c r="JW423" s="8" t="s">
        <v>227</v>
      </c>
      <c r="JX423" s="8" t="s">
        <v>1582</v>
      </c>
      <c r="JY423" t="s">
        <v>13</v>
      </c>
      <c r="JZ423">
        <v>80000</v>
      </c>
      <c r="MZ423" t="s">
        <v>1589</v>
      </c>
      <c r="NA423">
        <v>120</v>
      </c>
      <c r="NB423" t="s">
        <v>2458</v>
      </c>
      <c r="ND423" t="s">
        <v>1588</v>
      </c>
      <c r="NE423" t="s">
        <v>1584</v>
      </c>
      <c r="NK423" s="87" t="s">
        <v>1599</v>
      </c>
      <c r="NM423" s="103" t="s">
        <v>8</v>
      </c>
      <c r="NN423" s="102" t="s">
        <v>13</v>
      </c>
      <c r="NV423" t="s">
        <v>48</v>
      </c>
      <c r="NW423" t="s">
        <v>6</v>
      </c>
      <c r="NX423" s="104"/>
      <c r="NY423" s="88" t="s">
        <v>29</v>
      </c>
      <c r="NZ423" s="88"/>
      <c r="OC423">
        <v>3</v>
      </c>
      <c r="OE423" s="88"/>
      <c r="OF423">
        <v>0</v>
      </c>
      <c r="OG423" s="88" t="s">
        <v>29</v>
      </c>
      <c r="OH423">
        <v>916.63</v>
      </c>
      <c r="OI423" s="88" t="s">
        <v>29</v>
      </c>
      <c r="OT423" t="s">
        <v>1577</v>
      </c>
      <c r="OU423" s="87"/>
      <c r="OV423">
        <v>2006</v>
      </c>
      <c r="PA423" t="s">
        <v>1169</v>
      </c>
      <c r="PB423" s="58">
        <v>46105</v>
      </c>
    </row>
    <row r="424" spans="1:418" ht="15.75" thickBot="1">
      <c r="A424" t="s">
        <v>248</v>
      </c>
      <c r="B424" t="s">
        <v>1562</v>
      </c>
      <c r="C424" t="s">
        <v>1173</v>
      </c>
      <c r="D424" s="4" t="s">
        <v>1936</v>
      </c>
      <c r="E424" t="s">
        <v>1578</v>
      </c>
      <c r="F424" s="100" t="s">
        <v>31</v>
      </c>
      <c r="G424" s="87" t="s">
        <v>2</v>
      </c>
      <c r="H424" s="87" t="s">
        <v>30</v>
      </c>
      <c r="I424">
        <v>7.25</v>
      </c>
      <c r="J424">
        <v>3.4166666669999999</v>
      </c>
      <c r="K424" s="87" t="s">
        <v>29</v>
      </c>
      <c r="AV424" t="s">
        <v>1697</v>
      </c>
      <c r="AW424">
        <v>3240</v>
      </c>
      <c r="AX424">
        <v>1.2E-2</v>
      </c>
      <c r="AY424">
        <v>1</v>
      </c>
      <c r="BA424">
        <v>2006</v>
      </c>
      <c r="BB424">
        <v>2007</v>
      </c>
      <c r="BD424" t="s">
        <v>238</v>
      </c>
      <c r="BE424" t="s">
        <v>1573</v>
      </c>
      <c r="BF424" t="s">
        <v>57</v>
      </c>
      <c r="BG424" s="78" t="s">
        <v>1233</v>
      </c>
      <c r="BH424" t="s">
        <v>1569</v>
      </c>
      <c r="BI424" t="s">
        <v>1581</v>
      </c>
      <c r="BJ424" s="87" t="s">
        <v>22</v>
      </c>
      <c r="BK424">
        <v>1330</v>
      </c>
      <c r="BL424" t="s">
        <v>56</v>
      </c>
      <c r="BM424" t="s">
        <v>1580</v>
      </c>
      <c r="BN424" t="s">
        <v>234</v>
      </c>
      <c r="BO424" s="87" t="s">
        <v>22</v>
      </c>
      <c r="BP424">
        <v>20000</v>
      </c>
      <c r="EH424" s="9"/>
      <c r="EI424" s="9"/>
      <c r="EJ424" s="9"/>
      <c r="EK424" s="9"/>
      <c r="EL424" s="9"/>
      <c r="EM424" s="9"/>
      <c r="EN424" s="9"/>
      <c r="EO424" s="9"/>
      <c r="EP424" s="9"/>
      <c r="EQ424" s="9"/>
      <c r="ER424" s="9"/>
      <c r="ES424" s="9"/>
      <c r="ET424" s="9"/>
      <c r="EU424" s="9"/>
      <c r="EV424" s="9"/>
      <c r="EW424" s="9"/>
      <c r="EX424" s="9"/>
      <c r="EY424" s="9"/>
      <c r="EZ424" s="9"/>
      <c r="FA424" s="9"/>
      <c r="FB424" s="9"/>
      <c r="FC424" s="9"/>
      <c r="FD424" s="9"/>
      <c r="FE424" s="9"/>
      <c r="FF424" s="9"/>
      <c r="FG424" s="9"/>
      <c r="FH424" s="9"/>
      <c r="FI424" s="9"/>
      <c r="FJ424" s="9"/>
      <c r="FK424" s="9"/>
      <c r="FL424" s="9"/>
      <c r="FM424" s="9"/>
      <c r="FN424" s="9"/>
      <c r="FO424" s="9"/>
      <c r="FP424" s="9"/>
      <c r="FQ424" s="9"/>
      <c r="FR424" s="9"/>
      <c r="FS424" s="9"/>
      <c r="FT424" s="9"/>
      <c r="FU424" s="9"/>
      <c r="FV424" s="9"/>
      <c r="FW424" s="9"/>
      <c r="FX424" s="9"/>
      <c r="FY424" s="9"/>
      <c r="FZ424" s="9"/>
      <c r="GA424" s="9"/>
      <c r="GB424" s="9"/>
      <c r="GC424" s="9"/>
      <c r="GD424" s="9"/>
      <c r="GE424" s="9"/>
      <c r="GF424" s="9"/>
      <c r="GG424" s="9"/>
      <c r="GH424" s="9"/>
      <c r="GI424" s="9"/>
      <c r="GJ424" s="9"/>
      <c r="GK424" s="9"/>
      <c r="GL424" s="9"/>
      <c r="GM424" s="9"/>
      <c r="GN424" s="9"/>
      <c r="GO424" s="9"/>
      <c r="GP424" s="9"/>
      <c r="GQ424" s="9"/>
      <c r="GR424" s="9"/>
      <c r="GS424" s="9"/>
      <c r="GT424" s="9"/>
      <c r="GU424" s="9"/>
      <c r="GV424" s="9"/>
      <c r="GW424" s="9"/>
      <c r="GX424" s="9"/>
      <c r="GY424" s="9"/>
      <c r="GZ424" s="9"/>
      <c r="HA424" s="9"/>
      <c r="HB424" s="9"/>
      <c r="HC424" s="9"/>
      <c r="HD424" s="9"/>
      <c r="HE424" s="9"/>
      <c r="HF424" s="9"/>
      <c r="HG424" s="9"/>
      <c r="HH424" s="9"/>
      <c r="HI424" s="9"/>
      <c r="HJ424" s="9"/>
      <c r="HK424" s="9"/>
      <c r="HU424" s="101">
        <v>38838</v>
      </c>
      <c r="HW424" s="58"/>
      <c r="HX424" s="58"/>
      <c r="II424" t="s">
        <v>1573</v>
      </c>
      <c r="IJ424" s="87" t="s">
        <v>1190</v>
      </c>
      <c r="IK424" t="s">
        <v>660</v>
      </c>
      <c r="IL424" t="s">
        <v>661</v>
      </c>
      <c r="IM424">
        <v>2006</v>
      </c>
      <c r="IO424" s="87" t="s">
        <v>29</v>
      </c>
      <c r="JK424" t="s">
        <v>1573</v>
      </c>
      <c r="JL424" s="84" t="s">
        <v>227</v>
      </c>
      <c r="JW424" s="8" t="s">
        <v>227</v>
      </c>
      <c r="JX424" s="8" t="s">
        <v>1582</v>
      </c>
      <c r="JY424" t="s">
        <v>13</v>
      </c>
      <c r="JZ424">
        <v>40000</v>
      </c>
      <c r="MZ424" t="s">
        <v>1589</v>
      </c>
      <c r="NA424">
        <v>120</v>
      </c>
      <c r="NB424" t="s">
        <v>2457</v>
      </c>
      <c r="NC424" t="s">
        <v>1580</v>
      </c>
      <c r="ND424" t="s">
        <v>1588</v>
      </c>
      <c r="NE424" t="s">
        <v>1584</v>
      </c>
      <c r="NK424" s="87" t="s">
        <v>1599</v>
      </c>
      <c r="NM424" s="103" t="s">
        <v>8</v>
      </c>
      <c r="NN424" s="102" t="s">
        <v>13</v>
      </c>
      <c r="NW424" t="s">
        <v>6</v>
      </c>
      <c r="NX424" s="104"/>
      <c r="NY424" s="88" t="s">
        <v>29</v>
      </c>
      <c r="NZ424" s="88"/>
      <c r="OC424">
        <v>3</v>
      </c>
      <c r="OD424">
        <v>5771.99</v>
      </c>
      <c r="OE424" s="88" t="s">
        <v>29</v>
      </c>
      <c r="OF424">
        <v>0</v>
      </c>
      <c r="OG424" s="88" t="s">
        <v>29</v>
      </c>
      <c r="OH424">
        <v>400</v>
      </c>
      <c r="OI424" s="88" t="s">
        <v>29</v>
      </c>
      <c r="OT424" t="s">
        <v>1587</v>
      </c>
      <c r="OU424" s="87"/>
      <c r="OV424">
        <v>2006</v>
      </c>
      <c r="PA424" t="s">
        <v>1169</v>
      </c>
      <c r="PB424" s="58">
        <v>46105</v>
      </c>
    </row>
    <row r="425" spans="1:418" ht="15.75" thickBot="1">
      <c r="A425" t="s">
        <v>248</v>
      </c>
      <c r="B425" t="s">
        <v>1562</v>
      </c>
      <c r="C425" t="s">
        <v>1173</v>
      </c>
      <c r="D425" s="4" t="s">
        <v>1936</v>
      </c>
      <c r="E425" t="s">
        <v>1578</v>
      </c>
      <c r="F425" s="100" t="s">
        <v>31</v>
      </c>
      <c r="G425" s="87" t="s">
        <v>2</v>
      </c>
      <c r="H425" s="87" t="s">
        <v>30</v>
      </c>
      <c r="I425">
        <v>7.25</v>
      </c>
      <c r="J425">
        <v>3.4166666669999999</v>
      </c>
      <c r="K425" s="87" t="s">
        <v>29</v>
      </c>
      <c r="AV425" t="s">
        <v>1697</v>
      </c>
      <c r="AW425">
        <v>3240</v>
      </c>
      <c r="AX425">
        <v>1.2E-2</v>
      </c>
      <c r="AY425">
        <v>1</v>
      </c>
      <c r="BA425">
        <v>2006</v>
      </c>
      <c r="BB425">
        <v>2007</v>
      </c>
      <c r="BD425" t="s">
        <v>238</v>
      </c>
      <c r="BE425" t="s">
        <v>1574</v>
      </c>
      <c r="BF425" t="s">
        <v>48</v>
      </c>
      <c r="BG425" s="78" t="s">
        <v>1233</v>
      </c>
      <c r="BH425" t="s">
        <v>1569</v>
      </c>
      <c r="BI425" t="s">
        <v>1581</v>
      </c>
      <c r="BJ425" s="87" t="s">
        <v>22</v>
      </c>
      <c r="BK425">
        <v>1330</v>
      </c>
      <c r="BL425" t="s">
        <v>56</v>
      </c>
      <c r="BM425" t="s">
        <v>1580</v>
      </c>
      <c r="BN425" t="s">
        <v>234</v>
      </c>
      <c r="BO425" s="87" t="s">
        <v>22</v>
      </c>
      <c r="BP425">
        <v>20000</v>
      </c>
      <c r="EH425" s="9"/>
      <c r="EI425" s="9"/>
      <c r="EJ425" s="9"/>
      <c r="EK425" s="9"/>
      <c r="EL425" s="9"/>
      <c r="EM425" s="9"/>
      <c r="EN425" s="9"/>
      <c r="EO425" s="9"/>
      <c r="EP425" s="9"/>
      <c r="EQ425" s="9"/>
      <c r="ER425" s="9"/>
      <c r="ES425" s="9"/>
      <c r="ET425" s="9"/>
      <c r="EU425" s="9"/>
      <c r="EV425" s="9"/>
      <c r="EW425" s="9"/>
      <c r="EX425" s="9"/>
      <c r="EY425" s="9"/>
      <c r="EZ425" s="9"/>
      <c r="FA425" s="9"/>
      <c r="FB425" s="9"/>
      <c r="FC425" s="9"/>
      <c r="FD425" s="9"/>
      <c r="FE425" s="9"/>
      <c r="FF425" s="9"/>
      <c r="FG425" s="9"/>
      <c r="FH425" s="9"/>
      <c r="FI425" s="9"/>
      <c r="FJ425" s="9"/>
      <c r="FK425" s="9"/>
      <c r="FL425" s="9"/>
      <c r="FM425" s="9"/>
      <c r="FN425" s="9"/>
      <c r="FO425" s="9"/>
      <c r="FP425" s="9"/>
      <c r="FQ425" s="9"/>
      <c r="FR425" s="9"/>
      <c r="FS425" s="9"/>
      <c r="FT425" s="9"/>
      <c r="FU425" s="9"/>
      <c r="FV425" s="9"/>
      <c r="FW425" s="9"/>
      <c r="FX425" s="9"/>
      <c r="FY425" s="9"/>
      <c r="FZ425" s="9"/>
      <c r="GA425" s="9"/>
      <c r="GB425" s="9"/>
      <c r="GC425" s="9"/>
      <c r="GD425" s="9"/>
      <c r="GE425" s="9"/>
      <c r="GF425" s="9"/>
      <c r="GG425" s="9"/>
      <c r="GH425" s="9"/>
      <c r="GI425" s="9"/>
      <c r="GJ425" s="9"/>
      <c r="GK425" s="9"/>
      <c r="GL425" s="9"/>
      <c r="GM425" s="9"/>
      <c r="GN425" s="9"/>
      <c r="GO425" s="9"/>
      <c r="GP425" s="9"/>
      <c r="GQ425" s="9"/>
      <c r="GR425" s="9"/>
      <c r="GS425" s="9"/>
      <c r="GT425" s="9"/>
      <c r="GU425" s="9"/>
      <c r="GV425" s="9"/>
      <c r="GW425" s="9"/>
      <c r="GX425" s="9"/>
      <c r="GY425" s="9"/>
      <c r="GZ425" s="9"/>
      <c r="HA425" s="9"/>
      <c r="HB425" s="9"/>
      <c r="HC425" s="9"/>
      <c r="HD425" s="9"/>
      <c r="HE425" s="9"/>
      <c r="HF425" s="9"/>
      <c r="HG425" s="9"/>
      <c r="HH425" s="9"/>
      <c r="HI425" s="9"/>
      <c r="HJ425" s="9"/>
      <c r="HK425" s="9"/>
      <c r="HU425" s="101">
        <v>38838</v>
      </c>
      <c r="HW425" s="58"/>
      <c r="HX425" s="58"/>
      <c r="II425" t="s">
        <v>1574</v>
      </c>
      <c r="IJ425" s="87" t="s">
        <v>1190</v>
      </c>
      <c r="IK425" t="s">
        <v>660</v>
      </c>
      <c r="IL425" t="s">
        <v>661</v>
      </c>
      <c r="IM425">
        <v>2006</v>
      </c>
      <c r="IO425" s="87" t="s">
        <v>29</v>
      </c>
      <c r="JK425" t="s">
        <v>1574</v>
      </c>
      <c r="JL425" s="84" t="s">
        <v>227</v>
      </c>
      <c r="JW425" s="8" t="s">
        <v>227</v>
      </c>
      <c r="JX425" s="8" t="s">
        <v>1582</v>
      </c>
      <c r="JY425" t="s">
        <v>13</v>
      </c>
      <c r="JZ425">
        <v>80000</v>
      </c>
      <c r="MZ425" t="s">
        <v>1589</v>
      </c>
      <c r="NA425">
        <v>120</v>
      </c>
      <c r="NB425" t="s">
        <v>2457</v>
      </c>
      <c r="NC425" t="s">
        <v>1580</v>
      </c>
      <c r="ND425" t="s">
        <v>1588</v>
      </c>
      <c r="NE425" t="s">
        <v>1584</v>
      </c>
      <c r="NK425" s="87" t="s">
        <v>1599</v>
      </c>
      <c r="NM425" s="103" t="s">
        <v>8</v>
      </c>
      <c r="NN425" s="102" t="s">
        <v>13</v>
      </c>
      <c r="NW425" t="s">
        <v>6</v>
      </c>
      <c r="NX425" s="104"/>
      <c r="NY425" s="88" t="s">
        <v>29</v>
      </c>
      <c r="NZ425" s="88"/>
      <c r="OC425">
        <v>3</v>
      </c>
      <c r="OD425">
        <v>4747.03</v>
      </c>
      <c r="OE425" s="88" t="s">
        <v>29</v>
      </c>
      <c r="OF425">
        <v>3510.97</v>
      </c>
      <c r="OG425" s="88" t="s">
        <v>29</v>
      </c>
      <c r="OH425">
        <v>316.67</v>
      </c>
      <c r="OI425" s="88" t="s">
        <v>29</v>
      </c>
      <c r="OT425" t="s">
        <v>1587</v>
      </c>
      <c r="OU425" s="87"/>
      <c r="OV425">
        <v>2006</v>
      </c>
      <c r="PA425" t="s">
        <v>1169</v>
      </c>
      <c r="PB425" s="58">
        <v>46105</v>
      </c>
    </row>
    <row r="426" spans="1:418" ht="15.75" thickBot="1">
      <c r="A426" t="s">
        <v>248</v>
      </c>
      <c r="B426" t="s">
        <v>1562</v>
      </c>
      <c r="C426" t="s">
        <v>1173</v>
      </c>
      <c r="D426" s="4" t="s">
        <v>1936</v>
      </c>
      <c r="E426" t="s">
        <v>1578</v>
      </c>
      <c r="F426" s="100" t="s">
        <v>31</v>
      </c>
      <c r="G426" s="87" t="s">
        <v>2</v>
      </c>
      <c r="H426" s="87" t="s">
        <v>30</v>
      </c>
      <c r="I426">
        <v>7.25</v>
      </c>
      <c r="J426">
        <v>3.4166666669999999</v>
      </c>
      <c r="K426" s="87" t="s">
        <v>29</v>
      </c>
      <c r="AV426" t="s">
        <v>1697</v>
      </c>
      <c r="AW426">
        <v>3240</v>
      </c>
      <c r="AX426">
        <v>1.2E-2</v>
      </c>
      <c r="AY426">
        <v>1</v>
      </c>
      <c r="BA426">
        <v>2006</v>
      </c>
      <c r="BB426">
        <v>2007</v>
      </c>
      <c r="BD426" t="s">
        <v>238</v>
      </c>
      <c r="BE426" t="s">
        <v>1572</v>
      </c>
      <c r="BF426" t="s">
        <v>64</v>
      </c>
      <c r="BG426" s="78" t="s">
        <v>1233</v>
      </c>
      <c r="BH426" t="s">
        <v>1569</v>
      </c>
      <c r="BI426" t="s">
        <v>1581</v>
      </c>
      <c r="BJ426" s="87" t="s">
        <v>22</v>
      </c>
      <c r="BK426">
        <v>1330</v>
      </c>
      <c r="BL426" t="s">
        <v>56</v>
      </c>
      <c r="BM426" t="s">
        <v>1580</v>
      </c>
      <c r="BN426" t="s">
        <v>234</v>
      </c>
      <c r="BO426" s="87" t="s">
        <v>22</v>
      </c>
      <c r="BP426">
        <v>20000</v>
      </c>
      <c r="EH426" s="9"/>
      <c r="EI426" s="9"/>
      <c r="EJ426" s="9"/>
      <c r="EK426" s="9"/>
      <c r="EL426" s="9"/>
      <c r="EM426" s="9"/>
      <c r="EN426" s="9"/>
      <c r="EO426" s="9"/>
      <c r="EP426" s="9"/>
      <c r="EQ426" s="9"/>
      <c r="ER426" s="9"/>
      <c r="ES426" s="9"/>
      <c r="ET426" s="9"/>
      <c r="EU426" s="9"/>
      <c r="EV426" s="9"/>
      <c r="EW426" s="9"/>
      <c r="EX426" s="9"/>
      <c r="EY426" s="9"/>
      <c r="EZ426" s="9"/>
      <c r="FA426" s="9"/>
      <c r="FB426" s="9"/>
      <c r="FC426" s="9"/>
      <c r="FD426" s="9"/>
      <c r="FE426" s="9"/>
      <c r="FF426" s="9"/>
      <c r="FG426" s="9"/>
      <c r="FH426" s="9"/>
      <c r="FI426" s="9"/>
      <c r="FJ426" s="9"/>
      <c r="FK426" s="9"/>
      <c r="FL426" s="9"/>
      <c r="FM426" s="9"/>
      <c r="FN426" s="9"/>
      <c r="FO426" s="9"/>
      <c r="FP426" s="9"/>
      <c r="FQ426" s="9"/>
      <c r="FR426" s="9"/>
      <c r="FS426" s="9"/>
      <c r="FT426" s="9"/>
      <c r="FU426" s="9"/>
      <c r="FV426" s="9"/>
      <c r="FW426" s="9"/>
      <c r="FX426" s="9"/>
      <c r="FY426" s="9"/>
      <c r="FZ426" s="9"/>
      <c r="GA426" s="9"/>
      <c r="GB426" s="9"/>
      <c r="GC426" s="9"/>
      <c r="GD426" s="9"/>
      <c r="GE426" s="9"/>
      <c r="GF426" s="9"/>
      <c r="GG426" s="9"/>
      <c r="GH426" s="9"/>
      <c r="GI426" s="9"/>
      <c r="GJ426" s="9"/>
      <c r="GK426" s="9"/>
      <c r="GL426" s="9"/>
      <c r="GM426" s="9"/>
      <c r="GN426" s="9"/>
      <c r="GO426" s="9"/>
      <c r="GP426" s="9"/>
      <c r="GQ426" s="9"/>
      <c r="GR426" s="9"/>
      <c r="GS426" s="9"/>
      <c r="GT426" s="9"/>
      <c r="GU426" s="9"/>
      <c r="GV426" s="9"/>
      <c r="GW426" s="9"/>
      <c r="GX426" s="9"/>
      <c r="GY426" s="9"/>
      <c r="GZ426" s="9"/>
      <c r="HA426" s="9"/>
      <c r="HB426" s="9"/>
      <c r="HC426" s="9"/>
      <c r="HD426" s="9"/>
      <c r="HE426" s="9"/>
      <c r="HF426" s="9"/>
      <c r="HG426" s="9"/>
      <c r="HH426" s="9"/>
      <c r="HI426" s="9"/>
      <c r="HJ426" s="9"/>
      <c r="HK426" s="9"/>
      <c r="HU426" s="101">
        <v>38838</v>
      </c>
      <c r="HW426" s="58"/>
      <c r="HX426" s="58"/>
      <c r="II426" t="s">
        <v>1572</v>
      </c>
      <c r="IJ426" s="87" t="s">
        <v>1190</v>
      </c>
      <c r="IK426" t="s">
        <v>660</v>
      </c>
      <c r="IL426" t="s">
        <v>661</v>
      </c>
      <c r="IM426">
        <v>2006</v>
      </c>
      <c r="IO426" s="87" t="s">
        <v>29</v>
      </c>
      <c r="JK426" t="s">
        <v>1572</v>
      </c>
      <c r="JL426" s="84" t="s">
        <v>721</v>
      </c>
      <c r="MZ426" t="s">
        <v>1589</v>
      </c>
      <c r="NA426">
        <v>120</v>
      </c>
      <c r="NB426" t="s">
        <v>2457</v>
      </c>
      <c r="NC426" t="s">
        <v>1580</v>
      </c>
      <c r="ND426" t="s">
        <v>1588</v>
      </c>
      <c r="NE426" t="s">
        <v>1584</v>
      </c>
      <c r="NK426" s="87" t="s">
        <v>1599</v>
      </c>
      <c r="NM426" s="103" t="s">
        <v>8</v>
      </c>
      <c r="NN426" s="102" t="s">
        <v>13</v>
      </c>
      <c r="NW426" t="s">
        <v>6</v>
      </c>
      <c r="NX426" s="104"/>
      <c r="NY426" s="88" t="s">
        <v>29</v>
      </c>
      <c r="NZ426" s="88"/>
      <c r="OC426">
        <v>3</v>
      </c>
      <c r="OD426">
        <v>930.52</v>
      </c>
      <c r="OE426" s="88" t="s">
        <v>29</v>
      </c>
      <c r="OF426">
        <v>3469.31</v>
      </c>
      <c r="OG426" s="88" t="s">
        <v>29</v>
      </c>
      <c r="OH426">
        <v>7444.15</v>
      </c>
      <c r="OI426" s="88" t="s">
        <v>29</v>
      </c>
      <c r="OT426" t="s">
        <v>1575</v>
      </c>
      <c r="OU426" s="87"/>
      <c r="OV426">
        <v>2007</v>
      </c>
      <c r="PA426" t="s">
        <v>1169</v>
      </c>
      <c r="PB426" s="58">
        <v>46105</v>
      </c>
    </row>
    <row r="427" spans="1:418" ht="15.75" thickBot="1">
      <c r="A427" t="s">
        <v>248</v>
      </c>
      <c r="B427" t="s">
        <v>1562</v>
      </c>
      <c r="C427" t="s">
        <v>1173</v>
      </c>
      <c r="D427" s="4" t="s">
        <v>1936</v>
      </c>
      <c r="E427" t="s">
        <v>1578</v>
      </c>
      <c r="F427" s="100" t="s">
        <v>31</v>
      </c>
      <c r="G427" s="87" t="s">
        <v>2</v>
      </c>
      <c r="H427" s="87" t="s">
        <v>30</v>
      </c>
      <c r="I427">
        <v>7.25</v>
      </c>
      <c r="J427">
        <v>3.4166666669999999</v>
      </c>
      <c r="K427" s="87" t="s">
        <v>29</v>
      </c>
      <c r="AV427" t="s">
        <v>1697</v>
      </c>
      <c r="AW427">
        <v>3240</v>
      </c>
      <c r="AX427">
        <v>1.2E-2</v>
      </c>
      <c r="AY427">
        <v>1</v>
      </c>
      <c r="BA427">
        <v>2006</v>
      </c>
      <c r="BB427">
        <v>2007</v>
      </c>
      <c r="BD427" t="s">
        <v>19</v>
      </c>
      <c r="BE427" t="s">
        <v>1568</v>
      </c>
      <c r="BF427" t="s">
        <v>39</v>
      </c>
      <c r="BG427" s="78" t="s">
        <v>1233</v>
      </c>
      <c r="BH427" t="s">
        <v>1569</v>
      </c>
      <c r="BI427" t="s">
        <v>1581</v>
      </c>
      <c r="BJ427" s="87" t="s">
        <v>22</v>
      </c>
      <c r="BK427">
        <v>1330</v>
      </c>
      <c r="EH427" s="9"/>
      <c r="EI427" s="9"/>
      <c r="EJ427" s="9"/>
      <c r="EK427" s="9"/>
      <c r="EL427" s="9"/>
      <c r="EM427" s="9"/>
      <c r="EN427" s="9"/>
      <c r="EO427" s="9"/>
      <c r="EP427" s="9"/>
      <c r="EQ427" s="9"/>
      <c r="ER427" s="9"/>
      <c r="ES427" s="9"/>
      <c r="ET427" s="9"/>
      <c r="EU427" s="9"/>
      <c r="EV427" s="9"/>
      <c r="EW427" s="9"/>
      <c r="EX427" s="9"/>
      <c r="EY427" s="9"/>
      <c r="EZ427" s="9"/>
      <c r="FA427" s="9"/>
      <c r="FB427" s="9"/>
      <c r="FC427" s="9"/>
      <c r="FD427" s="9"/>
      <c r="FE427" s="9"/>
      <c r="FF427" s="9"/>
      <c r="FG427" s="9"/>
      <c r="FH427" s="9"/>
      <c r="FI427" s="9"/>
      <c r="FJ427" s="9"/>
      <c r="FK427" s="9"/>
      <c r="FL427" s="9"/>
      <c r="FM427" s="9"/>
      <c r="FN427" s="9"/>
      <c r="FO427" s="9"/>
      <c r="FP427" s="9"/>
      <c r="FQ427" s="9"/>
      <c r="FR427" s="9"/>
      <c r="FS427" s="9"/>
      <c r="FT427" s="9"/>
      <c r="FU427" s="9"/>
      <c r="FV427" s="9"/>
      <c r="FW427" s="9"/>
      <c r="FX427" s="9"/>
      <c r="FY427" s="9"/>
      <c r="FZ427" s="9"/>
      <c r="GA427" s="9"/>
      <c r="GB427" s="9"/>
      <c r="GC427" s="9"/>
      <c r="GD427" s="9"/>
      <c r="GE427" s="9"/>
      <c r="GF427" s="9"/>
      <c r="GG427" s="9"/>
      <c r="GH427" s="9"/>
      <c r="GI427" s="9"/>
      <c r="GJ427" s="9"/>
      <c r="GK427" s="9"/>
      <c r="GL427" s="9"/>
      <c r="GM427" s="9"/>
      <c r="GN427" s="9"/>
      <c r="GO427" s="9"/>
      <c r="GP427" s="9"/>
      <c r="GQ427" s="9"/>
      <c r="GR427" s="9"/>
      <c r="GS427" s="9"/>
      <c r="GT427" s="9"/>
      <c r="GU427" s="9"/>
      <c r="GV427" s="9"/>
      <c r="GW427" s="9"/>
      <c r="GX427" s="9"/>
      <c r="GY427" s="9"/>
      <c r="GZ427" s="9"/>
      <c r="HA427" s="9"/>
      <c r="HB427" s="9"/>
      <c r="HC427" s="9"/>
      <c r="HD427" s="9"/>
      <c r="HE427" s="9"/>
      <c r="HF427" s="9"/>
      <c r="HG427" s="9"/>
      <c r="HH427" s="9"/>
      <c r="HI427" s="9"/>
      <c r="HJ427" s="9"/>
      <c r="HK427" s="9"/>
      <c r="HU427" s="101">
        <v>38838</v>
      </c>
      <c r="HW427" s="58"/>
      <c r="HX427" s="58"/>
      <c r="II427" t="s">
        <v>1568</v>
      </c>
      <c r="IJ427" t="s">
        <v>19</v>
      </c>
      <c r="IO427" s="87"/>
      <c r="JK427" t="s">
        <v>1568</v>
      </c>
      <c r="JL427" s="84" t="s">
        <v>721</v>
      </c>
      <c r="MZ427" t="s">
        <v>1589</v>
      </c>
      <c r="NA427">
        <v>120</v>
      </c>
      <c r="NB427" t="s">
        <v>2458</v>
      </c>
      <c r="ND427" t="s">
        <v>1588</v>
      </c>
      <c r="NE427" t="s">
        <v>1584</v>
      </c>
      <c r="NK427" s="87" t="s">
        <v>1599</v>
      </c>
      <c r="NM427" s="103" t="s">
        <v>8</v>
      </c>
      <c r="NN427" s="102" t="s">
        <v>13</v>
      </c>
      <c r="NV427" t="s">
        <v>64</v>
      </c>
      <c r="NW427" t="s">
        <v>6</v>
      </c>
      <c r="NX427" s="104"/>
      <c r="NY427" s="88" t="s">
        <v>29</v>
      </c>
      <c r="NZ427" s="88"/>
      <c r="OC427">
        <v>3</v>
      </c>
      <c r="OE427" s="88"/>
      <c r="OF427">
        <v>2869.33</v>
      </c>
      <c r="OG427" s="88" t="s">
        <v>29</v>
      </c>
      <c r="OH427">
        <v>6749.73</v>
      </c>
      <c r="OI427" s="88" t="s">
        <v>29</v>
      </c>
      <c r="OT427" t="s">
        <v>1575</v>
      </c>
      <c r="OU427" s="87"/>
      <c r="OV427">
        <v>2007</v>
      </c>
      <c r="PA427" t="s">
        <v>1169</v>
      </c>
      <c r="PB427" s="58">
        <v>46105</v>
      </c>
    </row>
    <row r="428" spans="1:418" ht="15.75" thickBot="1">
      <c r="A428" t="s">
        <v>248</v>
      </c>
      <c r="B428" t="s">
        <v>1562</v>
      </c>
      <c r="C428" t="s">
        <v>1173</v>
      </c>
      <c r="D428" s="4" t="s">
        <v>1936</v>
      </c>
      <c r="E428" t="s">
        <v>1578</v>
      </c>
      <c r="F428" s="100" t="s">
        <v>31</v>
      </c>
      <c r="G428" s="87" t="s">
        <v>2</v>
      </c>
      <c r="H428" s="87" t="s">
        <v>30</v>
      </c>
      <c r="I428">
        <v>7.25</v>
      </c>
      <c r="J428">
        <v>3.4166666669999999</v>
      </c>
      <c r="K428" s="87" t="s">
        <v>29</v>
      </c>
      <c r="AV428" t="s">
        <v>1697</v>
      </c>
      <c r="AW428">
        <v>3240</v>
      </c>
      <c r="AX428">
        <v>1.2E-2</v>
      </c>
      <c r="AY428">
        <v>1</v>
      </c>
      <c r="BA428">
        <v>2006</v>
      </c>
      <c r="BB428">
        <v>2007</v>
      </c>
      <c r="BD428" t="s">
        <v>19</v>
      </c>
      <c r="BE428" t="s">
        <v>1567</v>
      </c>
      <c r="BF428" t="s">
        <v>24</v>
      </c>
      <c r="BG428" s="78" t="s">
        <v>1233</v>
      </c>
      <c r="BH428" t="s">
        <v>1580</v>
      </c>
      <c r="BI428" t="s">
        <v>836</v>
      </c>
      <c r="BJ428" s="87" t="s">
        <v>22</v>
      </c>
      <c r="BK428">
        <v>20000</v>
      </c>
      <c r="EH428" s="9"/>
      <c r="EI428" s="9"/>
      <c r="EJ428" s="9"/>
      <c r="EK428" s="9"/>
      <c r="EL428" s="9"/>
      <c r="EM428" s="9"/>
      <c r="EN428" s="9"/>
      <c r="EO428" s="9"/>
      <c r="EP428" s="9"/>
      <c r="EQ428" s="9"/>
      <c r="ER428" s="9"/>
      <c r="ES428" s="9"/>
      <c r="ET428" s="9"/>
      <c r="EU428" s="9"/>
      <c r="EV428" s="9"/>
      <c r="EW428" s="9"/>
      <c r="EX428" s="9"/>
      <c r="EY428" s="9"/>
      <c r="EZ428" s="9"/>
      <c r="FA428" s="9"/>
      <c r="FB428" s="9"/>
      <c r="FC428" s="9"/>
      <c r="FD428" s="9"/>
      <c r="FE428" s="9"/>
      <c r="FF428" s="9"/>
      <c r="FG428" s="9"/>
      <c r="FH428" s="9"/>
      <c r="FI428" s="9"/>
      <c r="FJ428" s="9"/>
      <c r="FK428" s="9"/>
      <c r="FL428" s="9"/>
      <c r="FM428" s="9"/>
      <c r="FN428" s="9"/>
      <c r="FO428" s="9"/>
      <c r="FP428" s="9"/>
      <c r="FQ428" s="9"/>
      <c r="FR428" s="9"/>
      <c r="FS428" s="9"/>
      <c r="FT428" s="9"/>
      <c r="FU428" s="9"/>
      <c r="FV428" s="9"/>
      <c r="FW428" s="9"/>
      <c r="FX428" s="9"/>
      <c r="FY428" s="9"/>
      <c r="FZ428" s="9"/>
      <c r="GA428" s="9"/>
      <c r="GB428" s="9"/>
      <c r="GC428" s="9"/>
      <c r="GD428" s="9"/>
      <c r="GE428" s="9"/>
      <c r="GF428" s="9"/>
      <c r="GG428" s="9"/>
      <c r="GH428" s="9"/>
      <c r="GI428" s="9"/>
      <c r="GJ428" s="9"/>
      <c r="GK428" s="9"/>
      <c r="GL428" s="9"/>
      <c r="GM428" s="9"/>
      <c r="GN428" s="9"/>
      <c r="GO428" s="9"/>
      <c r="GP428" s="9"/>
      <c r="GQ428" s="9"/>
      <c r="GR428" s="9"/>
      <c r="GS428" s="9"/>
      <c r="GT428" s="9"/>
      <c r="GU428" s="9"/>
      <c r="GV428" s="9"/>
      <c r="GW428" s="9"/>
      <c r="GX428" s="9"/>
      <c r="GY428" s="9"/>
      <c r="GZ428" s="9"/>
      <c r="HA428" s="9"/>
      <c r="HB428" s="9"/>
      <c r="HC428" s="9"/>
      <c r="HD428" s="9"/>
      <c r="HE428" s="9"/>
      <c r="HF428" s="9"/>
      <c r="HG428" s="9"/>
      <c r="HH428" s="9"/>
      <c r="HI428" s="9"/>
      <c r="HJ428" s="9"/>
      <c r="HK428" s="9"/>
      <c r="HU428" s="101">
        <v>38838</v>
      </c>
      <c r="HW428" s="58"/>
      <c r="HX428" s="58"/>
      <c r="II428" t="s">
        <v>1567</v>
      </c>
      <c r="IJ428" t="s">
        <v>19</v>
      </c>
      <c r="IO428" s="87"/>
      <c r="JK428" t="s">
        <v>1567</v>
      </c>
      <c r="JL428" s="84" t="s">
        <v>721</v>
      </c>
      <c r="MZ428" t="s">
        <v>1589</v>
      </c>
      <c r="NA428">
        <v>120</v>
      </c>
      <c r="NB428" t="s">
        <v>2459</v>
      </c>
      <c r="NC428" t="s">
        <v>1580</v>
      </c>
      <c r="NK428" s="87" t="s">
        <v>1599</v>
      </c>
      <c r="NM428" s="103" t="s">
        <v>8</v>
      </c>
      <c r="NN428" s="102" t="s">
        <v>13</v>
      </c>
      <c r="NV428" t="s">
        <v>64</v>
      </c>
      <c r="NW428" t="s">
        <v>6</v>
      </c>
      <c r="NX428" s="104"/>
      <c r="NY428" s="88" t="s">
        <v>29</v>
      </c>
      <c r="NZ428" s="88"/>
      <c r="OC428">
        <v>3</v>
      </c>
      <c r="OD428">
        <v>4224.83</v>
      </c>
      <c r="OE428" s="88" t="s">
        <v>29</v>
      </c>
      <c r="OT428" t="s">
        <v>1575</v>
      </c>
      <c r="OU428" s="87"/>
      <c r="OV428">
        <v>2007</v>
      </c>
      <c r="PA428" t="s">
        <v>1169</v>
      </c>
      <c r="PB428" s="58">
        <v>46105</v>
      </c>
    </row>
    <row r="429" spans="1:418" ht="15.75" thickBot="1">
      <c r="A429" t="s">
        <v>248</v>
      </c>
      <c r="B429" t="s">
        <v>1562</v>
      </c>
      <c r="C429" t="s">
        <v>1173</v>
      </c>
      <c r="D429" s="4" t="s">
        <v>1936</v>
      </c>
      <c r="E429" t="s">
        <v>1578</v>
      </c>
      <c r="F429" s="100" t="s">
        <v>31</v>
      </c>
      <c r="G429" s="87" t="s">
        <v>2</v>
      </c>
      <c r="H429" s="87" t="s">
        <v>30</v>
      </c>
      <c r="I429">
        <v>7.25</v>
      </c>
      <c r="J429">
        <v>3.4166666669999999</v>
      </c>
      <c r="K429" s="87" t="s">
        <v>29</v>
      </c>
      <c r="AV429" t="s">
        <v>1697</v>
      </c>
      <c r="AW429">
        <v>3240</v>
      </c>
      <c r="AX429">
        <v>1.2E-2</v>
      </c>
      <c r="AY429">
        <v>1</v>
      </c>
      <c r="BA429">
        <v>2006</v>
      </c>
      <c r="BB429">
        <v>2007</v>
      </c>
      <c r="BD429" t="s">
        <v>19</v>
      </c>
      <c r="BE429" t="s">
        <v>1563</v>
      </c>
      <c r="BF429" t="s">
        <v>299</v>
      </c>
      <c r="BG429" s="78" t="s">
        <v>1233</v>
      </c>
      <c r="BH429" t="s">
        <v>1580</v>
      </c>
      <c r="BI429" t="s">
        <v>234</v>
      </c>
      <c r="BJ429" s="87" t="s">
        <v>22</v>
      </c>
      <c r="BK429">
        <v>20000</v>
      </c>
      <c r="EH429" s="9"/>
      <c r="EI429" s="9"/>
      <c r="EJ429" s="9"/>
      <c r="EK429" s="9"/>
      <c r="EL429" s="9"/>
      <c r="EM429" s="9"/>
      <c r="EN429" s="9"/>
      <c r="EO429" s="9"/>
      <c r="EP429" s="9"/>
      <c r="EQ429" s="9"/>
      <c r="ER429" s="9"/>
      <c r="ES429" s="9"/>
      <c r="ET429" s="9"/>
      <c r="EU429" s="9"/>
      <c r="EV429" s="9"/>
      <c r="EW429" s="9"/>
      <c r="EX429" s="9"/>
      <c r="EY429" s="9"/>
      <c r="EZ429" s="9"/>
      <c r="FA429" s="9"/>
      <c r="FB429" s="9"/>
      <c r="FC429" s="9"/>
      <c r="FD429" s="9"/>
      <c r="FE429" s="9"/>
      <c r="FF429" s="9"/>
      <c r="FG429" s="9"/>
      <c r="FH429" s="9"/>
      <c r="FI429" s="9"/>
      <c r="FJ429" s="9"/>
      <c r="FK429" s="9"/>
      <c r="FL429" s="9"/>
      <c r="FM429" s="9"/>
      <c r="FN429" s="9"/>
      <c r="FO429" s="9"/>
      <c r="FP429" s="9"/>
      <c r="FQ429" s="9"/>
      <c r="FR429" s="9"/>
      <c r="FS429" s="9"/>
      <c r="FT429" s="9"/>
      <c r="FU429" s="9"/>
      <c r="FV429" s="9"/>
      <c r="FW429" s="9"/>
      <c r="FX429" s="9"/>
      <c r="FY429" s="9"/>
      <c r="FZ429" s="9"/>
      <c r="GA429" s="9"/>
      <c r="GB429" s="9"/>
      <c r="GC429" s="9"/>
      <c r="GD429" s="9"/>
      <c r="GE429" s="9"/>
      <c r="GF429" s="9"/>
      <c r="GG429" s="9"/>
      <c r="GH429" s="9"/>
      <c r="GI429" s="9"/>
      <c r="GJ429" s="9"/>
      <c r="GK429" s="9"/>
      <c r="GL429" s="9"/>
      <c r="GM429" s="9"/>
      <c r="GN429" s="9"/>
      <c r="GO429" s="9"/>
      <c r="GP429" s="9"/>
      <c r="GQ429" s="9"/>
      <c r="GR429" s="9"/>
      <c r="GS429" s="9"/>
      <c r="GT429" s="9"/>
      <c r="GU429" s="9"/>
      <c r="GV429" s="9"/>
      <c r="GW429" s="9"/>
      <c r="GX429" s="9"/>
      <c r="GY429" s="9"/>
      <c r="GZ429" s="9"/>
      <c r="HA429" s="9"/>
      <c r="HB429" s="9"/>
      <c r="HC429" s="9"/>
      <c r="HD429" s="9"/>
      <c r="HE429" s="9"/>
      <c r="HF429" s="9"/>
      <c r="HG429" s="9"/>
      <c r="HH429" s="9"/>
      <c r="HI429" s="9"/>
      <c r="HJ429" s="9"/>
      <c r="HK429" s="9"/>
      <c r="HU429" s="101">
        <v>38838</v>
      </c>
      <c r="HW429" s="58"/>
      <c r="HX429" s="58"/>
      <c r="II429" t="s">
        <v>1563</v>
      </c>
      <c r="IJ429" t="s">
        <v>19</v>
      </c>
      <c r="JK429" t="s">
        <v>1563</v>
      </c>
      <c r="JL429" s="84" t="s">
        <v>227</v>
      </c>
      <c r="JW429" s="8" t="s">
        <v>227</v>
      </c>
      <c r="JX429" s="8" t="s">
        <v>1582</v>
      </c>
      <c r="JY429" t="s">
        <v>13</v>
      </c>
      <c r="JZ429">
        <v>40000</v>
      </c>
      <c r="MZ429" t="s">
        <v>1589</v>
      </c>
      <c r="NA429">
        <v>120</v>
      </c>
      <c r="NB429" t="s">
        <v>2459</v>
      </c>
      <c r="NC429" t="s">
        <v>1580</v>
      </c>
      <c r="NK429" s="87" t="s">
        <v>1599</v>
      </c>
      <c r="NM429" s="103" t="s">
        <v>8</v>
      </c>
      <c r="NN429" s="102" t="s">
        <v>13</v>
      </c>
      <c r="NV429" t="s">
        <v>57</v>
      </c>
      <c r="NW429" t="s">
        <v>6</v>
      </c>
      <c r="NX429" s="104"/>
      <c r="NY429" s="88" t="s">
        <v>29</v>
      </c>
      <c r="NZ429" s="88"/>
      <c r="OC429">
        <v>3</v>
      </c>
      <c r="OD429">
        <v>6685.84</v>
      </c>
      <c r="OE429" s="88" t="s">
        <v>29</v>
      </c>
      <c r="OT429" t="s">
        <v>1576</v>
      </c>
      <c r="OU429" s="87"/>
      <c r="OV429">
        <v>2007</v>
      </c>
      <c r="PA429" t="s">
        <v>1169</v>
      </c>
      <c r="PB429" s="58">
        <v>46105</v>
      </c>
    </row>
    <row r="430" spans="1:418" ht="15.75" thickBot="1">
      <c r="A430" t="s">
        <v>248</v>
      </c>
      <c r="B430" t="s">
        <v>1562</v>
      </c>
      <c r="C430" t="s">
        <v>1173</v>
      </c>
      <c r="D430" s="4" t="s">
        <v>1936</v>
      </c>
      <c r="E430" t="s">
        <v>1578</v>
      </c>
      <c r="F430" s="100" t="s">
        <v>31</v>
      </c>
      <c r="G430" s="87" t="s">
        <v>2</v>
      </c>
      <c r="H430" s="87" t="s">
        <v>30</v>
      </c>
      <c r="I430">
        <v>7.25</v>
      </c>
      <c r="J430">
        <v>3.4166666669999999</v>
      </c>
      <c r="K430" s="87" t="s">
        <v>29</v>
      </c>
      <c r="AV430" t="s">
        <v>1697</v>
      </c>
      <c r="AW430">
        <v>3240</v>
      </c>
      <c r="AX430">
        <v>1.2E-2</v>
      </c>
      <c r="AY430">
        <v>1</v>
      </c>
      <c r="BA430">
        <v>2006</v>
      </c>
      <c r="BB430">
        <v>2007</v>
      </c>
      <c r="BD430" t="s">
        <v>19</v>
      </c>
      <c r="BE430" t="s">
        <v>1566</v>
      </c>
      <c r="BF430" t="s">
        <v>256</v>
      </c>
      <c r="BG430" s="78" t="s">
        <v>1233</v>
      </c>
      <c r="BH430" t="s">
        <v>1580</v>
      </c>
      <c r="BI430" t="s">
        <v>234</v>
      </c>
      <c r="BJ430" s="87" t="s">
        <v>22</v>
      </c>
      <c r="BK430">
        <v>20000</v>
      </c>
      <c r="EH430" s="9"/>
      <c r="EI430" s="9"/>
      <c r="EJ430" s="9"/>
      <c r="EK430" s="9"/>
      <c r="EL430" s="9"/>
      <c r="EM430" s="9"/>
      <c r="EN430" s="9"/>
      <c r="EO430" s="9"/>
      <c r="EP430" s="9"/>
      <c r="EQ430" s="9"/>
      <c r="ER430" s="9"/>
      <c r="ES430" s="9"/>
      <c r="ET430" s="9"/>
      <c r="EU430" s="9"/>
      <c r="EV430" s="9"/>
      <c r="EW430" s="9"/>
      <c r="EX430" s="9"/>
      <c r="EY430" s="9"/>
      <c r="EZ430" s="9"/>
      <c r="FA430" s="9"/>
      <c r="FB430" s="9"/>
      <c r="FC430" s="9"/>
      <c r="FD430" s="9"/>
      <c r="FE430" s="9"/>
      <c r="FF430" s="9"/>
      <c r="FG430" s="9"/>
      <c r="FH430" s="9"/>
      <c r="FI430" s="9"/>
      <c r="FJ430" s="9"/>
      <c r="FK430" s="9"/>
      <c r="FL430" s="9"/>
      <c r="FM430" s="9"/>
      <c r="FN430" s="9"/>
      <c r="FO430" s="9"/>
      <c r="FP430" s="9"/>
      <c r="FQ430" s="9"/>
      <c r="FR430" s="9"/>
      <c r="FS430" s="9"/>
      <c r="FT430" s="9"/>
      <c r="FU430" s="9"/>
      <c r="FV430" s="9"/>
      <c r="FW430" s="9"/>
      <c r="FX430" s="9"/>
      <c r="FY430" s="9"/>
      <c r="FZ430" s="9"/>
      <c r="GA430" s="9"/>
      <c r="GB430" s="9"/>
      <c r="GC430" s="9"/>
      <c r="GD430" s="9"/>
      <c r="GE430" s="9"/>
      <c r="GF430" s="9"/>
      <c r="GG430" s="9"/>
      <c r="GH430" s="9"/>
      <c r="GI430" s="9"/>
      <c r="GJ430" s="9"/>
      <c r="GK430" s="9"/>
      <c r="GL430" s="9"/>
      <c r="GM430" s="9"/>
      <c r="GN430" s="9"/>
      <c r="GO430" s="9"/>
      <c r="GP430" s="9"/>
      <c r="GQ430" s="9"/>
      <c r="GR430" s="9"/>
      <c r="GS430" s="9"/>
      <c r="GT430" s="9"/>
      <c r="GU430" s="9"/>
      <c r="GV430" s="9"/>
      <c r="GW430" s="9"/>
      <c r="GX430" s="9"/>
      <c r="GY430" s="9"/>
      <c r="GZ430" s="9"/>
      <c r="HA430" s="9"/>
      <c r="HB430" s="9"/>
      <c r="HC430" s="9"/>
      <c r="HD430" s="9"/>
      <c r="HE430" s="9"/>
      <c r="HF430" s="9"/>
      <c r="HG430" s="9"/>
      <c r="HH430" s="9"/>
      <c r="HI430" s="9"/>
      <c r="HJ430" s="9"/>
      <c r="HK430" s="9"/>
      <c r="HU430" s="101">
        <v>38838</v>
      </c>
      <c r="HW430" s="58"/>
      <c r="HX430" s="58"/>
      <c r="II430" t="s">
        <v>1566</v>
      </c>
      <c r="IJ430" t="s">
        <v>19</v>
      </c>
      <c r="JK430" t="s">
        <v>1566</v>
      </c>
      <c r="JL430" s="84" t="s">
        <v>227</v>
      </c>
      <c r="JW430" s="8" t="s">
        <v>227</v>
      </c>
      <c r="JX430" s="8" t="s">
        <v>1582</v>
      </c>
      <c r="JY430" t="s">
        <v>13</v>
      </c>
      <c r="JZ430">
        <v>80000</v>
      </c>
      <c r="MZ430" t="s">
        <v>1589</v>
      </c>
      <c r="NA430">
        <v>120</v>
      </c>
      <c r="NB430" t="s">
        <v>2459</v>
      </c>
      <c r="NC430" t="s">
        <v>1580</v>
      </c>
      <c r="NK430" s="87" t="s">
        <v>1599</v>
      </c>
      <c r="NM430" s="103" t="s">
        <v>8</v>
      </c>
      <c r="NN430" s="102" t="s">
        <v>13</v>
      </c>
      <c r="NV430" t="s">
        <v>48</v>
      </c>
      <c r="NW430" t="s">
        <v>6</v>
      </c>
      <c r="NX430" s="104"/>
      <c r="NY430" s="88" t="s">
        <v>29</v>
      </c>
      <c r="NZ430" s="88"/>
      <c r="OC430">
        <v>3</v>
      </c>
      <c r="OD430">
        <v>5927.54</v>
      </c>
      <c r="OE430" s="88" t="s">
        <v>29</v>
      </c>
      <c r="OT430" t="s">
        <v>1576</v>
      </c>
      <c r="OU430" s="87"/>
      <c r="OV430">
        <v>2007</v>
      </c>
      <c r="PA430" t="s">
        <v>1169</v>
      </c>
      <c r="PB430" s="58">
        <v>46105</v>
      </c>
    </row>
    <row r="431" spans="1:418" ht="15.75" thickBot="1">
      <c r="A431" t="s">
        <v>248</v>
      </c>
      <c r="B431" t="s">
        <v>1562</v>
      </c>
      <c r="C431" t="s">
        <v>1173</v>
      </c>
      <c r="D431" s="4" t="s">
        <v>1936</v>
      </c>
      <c r="E431" t="s">
        <v>1578</v>
      </c>
      <c r="F431" s="100" t="s">
        <v>31</v>
      </c>
      <c r="G431" s="87" t="s">
        <v>2</v>
      </c>
      <c r="H431" s="87" t="s">
        <v>30</v>
      </c>
      <c r="I431">
        <v>7.25</v>
      </c>
      <c r="J431">
        <v>3.4166666669999999</v>
      </c>
      <c r="K431" s="87" t="s">
        <v>29</v>
      </c>
      <c r="AV431" t="s">
        <v>1697</v>
      </c>
      <c r="AW431">
        <v>3240</v>
      </c>
      <c r="AX431">
        <v>1.2E-2</v>
      </c>
      <c r="AY431">
        <v>1</v>
      </c>
      <c r="BA431">
        <v>2006</v>
      </c>
      <c r="BB431">
        <v>2007</v>
      </c>
      <c r="BD431" t="s">
        <v>19</v>
      </c>
      <c r="BE431" t="s">
        <v>1570</v>
      </c>
      <c r="BF431" t="s">
        <v>1456</v>
      </c>
      <c r="BG431" s="78" t="s">
        <v>1233</v>
      </c>
      <c r="BH431" t="s">
        <v>1569</v>
      </c>
      <c r="BI431" t="s">
        <v>1581</v>
      </c>
      <c r="BJ431" s="87" t="s">
        <v>22</v>
      </c>
      <c r="BK431">
        <v>1330</v>
      </c>
      <c r="EH431" s="9"/>
      <c r="EI431" s="9"/>
      <c r="EJ431" s="9"/>
      <c r="EK431" s="9"/>
      <c r="EL431" s="9"/>
      <c r="EM431" s="9"/>
      <c r="EN431" s="9"/>
      <c r="EO431" s="9"/>
      <c r="EP431" s="9"/>
      <c r="EQ431" s="9"/>
      <c r="ER431" s="9"/>
      <c r="ES431" s="9"/>
      <c r="ET431" s="9"/>
      <c r="EU431" s="9"/>
      <c r="EV431" s="9"/>
      <c r="EW431" s="9"/>
      <c r="EX431" s="9"/>
      <c r="EY431" s="9"/>
      <c r="EZ431" s="9"/>
      <c r="FA431" s="9"/>
      <c r="FB431" s="9"/>
      <c r="FC431" s="9"/>
      <c r="FD431" s="9"/>
      <c r="FE431" s="9"/>
      <c r="FF431" s="9"/>
      <c r="FG431" s="9"/>
      <c r="FH431" s="9"/>
      <c r="FI431" s="9"/>
      <c r="FJ431" s="9"/>
      <c r="FK431" s="9"/>
      <c r="FL431" s="9"/>
      <c r="FM431" s="9"/>
      <c r="FN431" s="9"/>
      <c r="FO431" s="9"/>
      <c r="FP431" s="9"/>
      <c r="FQ431" s="9"/>
      <c r="FR431" s="9"/>
      <c r="FS431" s="9"/>
      <c r="FT431" s="9"/>
      <c r="FU431" s="9"/>
      <c r="FV431" s="9"/>
      <c r="FW431" s="9"/>
      <c r="FX431" s="9"/>
      <c r="FY431" s="9"/>
      <c r="FZ431" s="9"/>
      <c r="GA431" s="9"/>
      <c r="GB431" s="9"/>
      <c r="GC431" s="9"/>
      <c r="GD431" s="9"/>
      <c r="GE431" s="9"/>
      <c r="GF431" s="9"/>
      <c r="GG431" s="9"/>
      <c r="GH431" s="9"/>
      <c r="GI431" s="9"/>
      <c r="GJ431" s="9"/>
      <c r="GK431" s="9"/>
      <c r="GL431" s="9"/>
      <c r="GM431" s="9"/>
      <c r="GN431" s="9"/>
      <c r="GO431" s="9"/>
      <c r="GP431" s="9"/>
      <c r="GQ431" s="9"/>
      <c r="GR431" s="9"/>
      <c r="GS431" s="9"/>
      <c r="GT431" s="9"/>
      <c r="GU431" s="9"/>
      <c r="GV431" s="9"/>
      <c r="GW431" s="9"/>
      <c r="GX431" s="9"/>
      <c r="GY431" s="9"/>
      <c r="GZ431" s="9"/>
      <c r="HA431" s="9"/>
      <c r="HB431" s="9"/>
      <c r="HC431" s="9"/>
      <c r="HD431" s="9"/>
      <c r="HE431" s="9"/>
      <c r="HF431" s="9"/>
      <c r="HG431" s="9"/>
      <c r="HH431" s="9"/>
      <c r="HI431" s="9"/>
      <c r="HJ431" s="9"/>
      <c r="HK431" s="9"/>
      <c r="HU431" s="101">
        <v>38838</v>
      </c>
      <c r="HW431" s="58"/>
      <c r="HX431" s="58"/>
      <c r="II431" t="s">
        <v>1570</v>
      </c>
      <c r="IJ431" t="s">
        <v>19</v>
      </c>
      <c r="JK431" t="s">
        <v>1570</v>
      </c>
      <c r="JL431" s="84" t="s">
        <v>227</v>
      </c>
      <c r="JW431" s="8" t="s">
        <v>227</v>
      </c>
      <c r="JX431" s="8" t="s">
        <v>1582</v>
      </c>
      <c r="JY431" t="s">
        <v>13</v>
      </c>
      <c r="JZ431">
        <v>40000</v>
      </c>
      <c r="MZ431" t="s">
        <v>1589</v>
      </c>
      <c r="NA431">
        <v>120</v>
      </c>
      <c r="NB431" t="s">
        <v>2458</v>
      </c>
      <c r="ND431" t="s">
        <v>1588</v>
      </c>
      <c r="NE431" t="s">
        <v>1584</v>
      </c>
      <c r="NK431" s="87" t="s">
        <v>1599</v>
      </c>
      <c r="NM431" s="103" t="s">
        <v>8</v>
      </c>
      <c r="NN431" s="102" t="s">
        <v>13</v>
      </c>
      <c r="NV431" t="s">
        <v>57</v>
      </c>
      <c r="NW431" t="s">
        <v>6</v>
      </c>
      <c r="NX431" s="104"/>
      <c r="NY431" s="88" t="s">
        <v>29</v>
      </c>
      <c r="NZ431" s="88"/>
      <c r="OC431">
        <v>3</v>
      </c>
      <c r="OE431" s="88"/>
      <c r="OF431">
        <v>4063.73</v>
      </c>
      <c r="OG431" s="88" t="s">
        <v>29</v>
      </c>
      <c r="OH431">
        <v>10610.69</v>
      </c>
      <c r="OI431" s="88" t="s">
        <v>29</v>
      </c>
      <c r="OT431" t="s">
        <v>1577</v>
      </c>
      <c r="OU431" s="87"/>
      <c r="OV431">
        <v>2007</v>
      </c>
      <c r="PA431" t="s">
        <v>1169</v>
      </c>
      <c r="PB431" s="58">
        <v>46105</v>
      </c>
    </row>
    <row r="432" spans="1:418" ht="15.75" thickBot="1">
      <c r="A432" t="s">
        <v>248</v>
      </c>
      <c r="B432" t="s">
        <v>1562</v>
      </c>
      <c r="C432" t="s">
        <v>1173</v>
      </c>
      <c r="D432" s="4" t="s">
        <v>1936</v>
      </c>
      <c r="E432" t="s">
        <v>1578</v>
      </c>
      <c r="F432" s="100" t="s">
        <v>31</v>
      </c>
      <c r="G432" s="87" t="s">
        <v>2</v>
      </c>
      <c r="H432" s="87" t="s">
        <v>30</v>
      </c>
      <c r="I432">
        <v>7.25</v>
      </c>
      <c r="J432">
        <v>3.4166666669999999</v>
      </c>
      <c r="K432" s="87" t="s">
        <v>29</v>
      </c>
      <c r="AV432" t="s">
        <v>1697</v>
      </c>
      <c r="AW432">
        <v>3240</v>
      </c>
      <c r="AX432">
        <v>1.2E-2</v>
      </c>
      <c r="AY432">
        <v>1</v>
      </c>
      <c r="BA432">
        <v>2006</v>
      </c>
      <c r="BB432">
        <v>2007</v>
      </c>
      <c r="BD432" t="s">
        <v>19</v>
      </c>
      <c r="BE432" t="s">
        <v>1571</v>
      </c>
      <c r="BF432" t="s">
        <v>1458</v>
      </c>
      <c r="BG432" s="78" t="s">
        <v>1233</v>
      </c>
      <c r="BH432" t="s">
        <v>1569</v>
      </c>
      <c r="BI432" t="s">
        <v>1581</v>
      </c>
      <c r="BJ432" s="87" t="s">
        <v>22</v>
      </c>
      <c r="BK432">
        <v>1330</v>
      </c>
      <c r="EH432" s="9"/>
      <c r="EI432" s="9"/>
      <c r="EJ432" s="9"/>
      <c r="EK432" s="9"/>
      <c r="EL432" s="9"/>
      <c r="EM432" s="9"/>
      <c r="EN432" s="9"/>
      <c r="EO432" s="9"/>
      <c r="EP432" s="9"/>
      <c r="EQ432" s="9"/>
      <c r="ER432" s="9"/>
      <c r="ES432" s="9"/>
      <c r="ET432" s="9"/>
      <c r="EU432" s="9"/>
      <c r="EV432" s="9"/>
      <c r="EW432" s="9"/>
      <c r="EX432" s="9"/>
      <c r="EY432" s="9"/>
      <c r="EZ432" s="9"/>
      <c r="FA432" s="9"/>
      <c r="FB432" s="9"/>
      <c r="FC432" s="9"/>
      <c r="FD432" s="9"/>
      <c r="FE432" s="9"/>
      <c r="FF432" s="9"/>
      <c r="FG432" s="9"/>
      <c r="FH432" s="9"/>
      <c r="FI432" s="9"/>
      <c r="FJ432" s="9"/>
      <c r="FK432" s="9"/>
      <c r="FL432" s="9"/>
      <c r="FM432" s="9"/>
      <c r="FN432" s="9"/>
      <c r="FO432" s="9"/>
      <c r="FP432" s="9"/>
      <c r="FQ432" s="9"/>
      <c r="FR432" s="9"/>
      <c r="FS432" s="9"/>
      <c r="FT432" s="9"/>
      <c r="FU432" s="9"/>
      <c r="FV432" s="9"/>
      <c r="FW432" s="9"/>
      <c r="FX432" s="9"/>
      <c r="FY432" s="9"/>
      <c r="FZ432" s="9"/>
      <c r="GA432" s="9"/>
      <c r="GB432" s="9"/>
      <c r="GC432" s="9"/>
      <c r="GD432" s="9"/>
      <c r="GE432" s="9"/>
      <c r="GF432" s="9"/>
      <c r="GG432" s="9"/>
      <c r="GH432" s="9"/>
      <c r="GI432" s="9"/>
      <c r="GJ432" s="9"/>
      <c r="GK432" s="9"/>
      <c r="GL432" s="9"/>
      <c r="GM432" s="9"/>
      <c r="GN432" s="9"/>
      <c r="GO432" s="9"/>
      <c r="GP432" s="9"/>
      <c r="GQ432" s="9"/>
      <c r="GR432" s="9"/>
      <c r="GS432" s="9"/>
      <c r="GT432" s="9"/>
      <c r="GU432" s="9"/>
      <c r="GV432" s="9"/>
      <c r="GW432" s="9"/>
      <c r="GX432" s="9"/>
      <c r="GY432" s="9"/>
      <c r="GZ432" s="9"/>
      <c r="HA432" s="9"/>
      <c r="HB432" s="9"/>
      <c r="HC432" s="9"/>
      <c r="HD432" s="9"/>
      <c r="HE432" s="9"/>
      <c r="HF432" s="9"/>
      <c r="HG432" s="9"/>
      <c r="HH432" s="9"/>
      <c r="HI432" s="9"/>
      <c r="HJ432" s="9"/>
      <c r="HK432" s="9"/>
      <c r="HU432" s="101">
        <v>38838</v>
      </c>
      <c r="HW432" s="58"/>
      <c r="HX432" s="58"/>
      <c r="II432" t="s">
        <v>1571</v>
      </c>
      <c r="IJ432" t="s">
        <v>19</v>
      </c>
      <c r="JK432" t="s">
        <v>1571</v>
      </c>
      <c r="JL432" s="84" t="s">
        <v>227</v>
      </c>
      <c r="JW432" s="8" t="s">
        <v>227</v>
      </c>
      <c r="JX432" s="8" t="s">
        <v>1582</v>
      </c>
      <c r="JY432" t="s">
        <v>13</v>
      </c>
      <c r="JZ432">
        <v>80000</v>
      </c>
      <c r="MZ432" t="s">
        <v>1589</v>
      </c>
      <c r="NA432">
        <v>120</v>
      </c>
      <c r="NB432" t="s">
        <v>2458</v>
      </c>
      <c r="ND432" t="s">
        <v>1588</v>
      </c>
      <c r="NE432" t="s">
        <v>1584</v>
      </c>
      <c r="NK432" s="87" t="s">
        <v>1599</v>
      </c>
      <c r="NM432" s="103" t="s">
        <v>8</v>
      </c>
      <c r="NN432" s="102" t="s">
        <v>13</v>
      </c>
      <c r="NV432" t="s">
        <v>48</v>
      </c>
      <c r="NW432" t="s">
        <v>6</v>
      </c>
      <c r="NX432" s="104"/>
      <c r="NY432" s="88" t="s">
        <v>29</v>
      </c>
      <c r="NZ432" s="88"/>
      <c r="OC432">
        <v>3</v>
      </c>
      <c r="OE432" s="88"/>
      <c r="OF432">
        <v>5994.2</v>
      </c>
      <c r="OG432" s="88" t="s">
        <v>29</v>
      </c>
      <c r="OH432">
        <v>12082.85</v>
      </c>
      <c r="OI432" s="88" t="s">
        <v>29</v>
      </c>
      <c r="OT432" t="s">
        <v>1577</v>
      </c>
      <c r="OU432" s="87"/>
      <c r="OV432">
        <v>2007</v>
      </c>
      <c r="PA432" t="s">
        <v>1169</v>
      </c>
      <c r="PB432" s="58">
        <v>46105</v>
      </c>
    </row>
    <row r="433" spans="1:418" ht="15.75" thickBot="1">
      <c r="A433" t="s">
        <v>248</v>
      </c>
      <c r="B433" t="s">
        <v>1562</v>
      </c>
      <c r="C433" t="s">
        <v>1173</v>
      </c>
      <c r="D433" s="4" t="s">
        <v>1936</v>
      </c>
      <c r="E433" t="s">
        <v>1578</v>
      </c>
      <c r="F433" s="100" t="s">
        <v>31</v>
      </c>
      <c r="G433" s="87" t="s">
        <v>2</v>
      </c>
      <c r="H433" s="87" t="s">
        <v>30</v>
      </c>
      <c r="I433">
        <v>7.25</v>
      </c>
      <c r="J433">
        <v>3.4166666669999999</v>
      </c>
      <c r="K433" s="87" t="s">
        <v>29</v>
      </c>
      <c r="AV433" t="s">
        <v>1697</v>
      </c>
      <c r="AW433">
        <v>3240</v>
      </c>
      <c r="AX433">
        <v>1.2E-2</v>
      </c>
      <c r="AY433">
        <v>1</v>
      </c>
      <c r="BA433">
        <v>2006</v>
      </c>
      <c r="BB433">
        <v>2007</v>
      </c>
      <c r="BD433" t="s">
        <v>238</v>
      </c>
      <c r="BE433" t="s">
        <v>1573</v>
      </c>
      <c r="BF433" t="s">
        <v>57</v>
      </c>
      <c r="BG433" s="78" t="s">
        <v>1233</v>
      </c>
      <c r="BH433" t="s">
        <v>1569</v>
      </c>
      <c r="BI433" t="s">
        <v>1581</v>
      </c>
      <c r="BJ433" s="87" t="s">
        <v>22</v>
      </c>
      <c r="BK433">
        <v>1330</v>
      </c>
      <c r="BL433" t="s">
        <v>56</v>
      </c>
      <c r="BM433" t="s">
        <v>1580</v>
      </c>
      <c r="BN433" t="s">
        <v>234</v>
      </c>
      <c r="BO433" s="87" t="s">
        <v>22</v>
      </c>
      <c r="BP433">
        <v>20000</v>
      </c>
      <c r="EH433" s="9"/>
      <c r="EI433" s="9"/>
      <c r="EJ433" s="9"/>
      <c r="EK433" s="9"/>
      <c r="EL433" s="9"/>
      <c r="EM433" s="9"/>
      <c r="EN433" s="9"/>
      <c r="EO433" s="9"/>
      <c r="EP433" s="9"/>
      <c r="EQ433" s="9"/>
      <c r="ER433" s="9"/>
      <c r="ES433" s="9"/>
      <c r="ET433" s="9"/>
      <c r="EU433" s="9"/>
      <c r="EV433" s="9"/>
      <c r="EW433" s="9"/>
      <c r="EX433" s="9"/>
      <c r="EY433" s="9"/>
      <c r="EZ433" s="9"/>
      <c r="FA433" s="9"/>
      <c r="FB433" s="9"/>
      <c r="FC433" s="9"/>
      <c r="FD433" s="9"/>
      <c r="FE433" s="9"/>
      <c r="FF433" s="9"/>
      <c r="FG433" s="9"/>
      <c r="FH433" s="9"/>
      <c r="FI433" s="9"/>
      <c r="FJ433" s="9"/>
      <c r="FK433" s="9"/>
      <c r="FL433" s="9"/>
      <c r="FM433" s="9"/>
      <c r="FN433" s="9"/>
      <c r="FO433" s="9"/>
      <c r="FP433" s="9"/>
      <c r="FQ433" s="9"/>
      <c r="FR433" s="9"/>
      <c r="FS433" s="9"/>
      <c r="FT433" s="9"/>
      <c r="FU433" s="9"/>
      <c r="FV433" s="9"/>
      <c r="FW433" s="9"/>
      <c r="FX433" s="9"/>
      <c r="FY433" s="9"/>
      <c r="FZ433" s="9"/>
      <c r="GA433" s="9"/>
      <c r="GB433" s="9"/>
      <c r="GC433" s="9"/>
      <c r="GD433" s="9"/>
      <c r="GE433" s="9"/>
      <c r="GF433" s="9"/>
      <c r="GG433" s="9"/>
      <c r="GH433" s="9"/>
      <c r="GI433" s="9"/>
      <c r="GJ433" s="9"/>
      <c r="GK433" s="9"/>
      <c r="GL433" s="9"/>
      <c r="GM433" s="9"/>
      <c r="GN433" s="9"/>
      <c r="GO433" s="9"/>
      <c r="GP433" s="9"/>
      <c r="GQ433" s="9"/>
      <c r="GR433" s="9"/>
      <c r="GS433" s="9"/>
      <c r="GT433" s="9"/>
      <c r="GU433" s="9"/>
      <c r="GV433" s="9"/>
      <c r="GW433" s="9"/>
      <c r="GX433" s="9"/>
      <c r="GY433" s="9"/>
      <c r="GZ433" s="9"/>
      <c r="HA433" s="9"/>
      <c r="HB433" s="9"/>
      <c r="HC433" s="9"/>
      <c r="HD433" s="9"/>
      <c r="HE433" s="9"/>
      <c r="HF433" s="9"/>
      <c r="HG433" s="9"/>
      <c r="HH433" s="9"/>
      <c r="HI433" s="9"/>
      <c r="HJ433" s="9"/>
      <c r="HK433" s="9"/>
      <c r="HU433" s="101">
        <v>38838</v>
      </c>
      <c r="HW433" s="58"/>
      <c r="HX433" s="58"/>
      <c r="II433" t="s">
        <v>1573</v>
      </c>
      <c r="IJ433" s="87" t="s">
        <v>1190</v>
      </c>
      <c r="IK433" t="s">
        <v>660</v>
      </c>
      <c r="IL433" t="s">
        <v>661</v>
      </c>
      <c r="IM433">
        <v>2006</v>
      </c>
      <c r="IO433" s="87" t="s">
        <v>29</v>
      </c>
      <c r="JK433" t="s">
        <v>1573</v>
      </c>
      <c r="JL433" s="84" t="s">
        <v>227</v>
      </c>
      <c r="JW433" s="8" t="s">
        <v>227</v>
      </c>
      <c r="JX433" s="8" t="s">
        <v>1582</v>
      </c>
      <c r="JY433" t="s">
        <v>13</v>
      </c>
      <c r="JZ433">
        <v>40000</v>
      </c>
      <c r="MZ433" t="s">
        <v>1589</v>
      </c>
      <c r="NA433">
        <v>120</v>
      </c>
      <c r="NB433" t="s">
        <v>2457</v>
      </c>
      <c r="NC433" t="s">
        <v>1580</v>
      </c>
      <c r="ND433" t="s">
        <v>1588</v>
      </c>
      <c r="NE433" t="s">
        <v>1584</v>
      </c>
      <c r="NK433" s="87" t="s">
        <v>1599</v>
      </c>
      <c r="NM433" s="103" t="s">
        <v>8</v>
      </c>
      <c r="NN433" s="102" t="s">
        <v>13</v>
      </c>
      <c r="NW433" t="s">
        <v>6</v>
      </c>
      <c r="NX433" s="104"/>
      <c r="NY433" s="88" t="s">
        <v>29</v>
      </c>
      <c r="NZ433" s="88"/>
      <c r="OC433">
        <v>3</v>
      </c>
      <c r="OD433">
        <v>2452.6799999999998</v>
      </c>
      <c r="OE433" s="88" t="s">
        <v>29</v>
      </c>
      <c r="OF433">
        <v>5030.3500000000004</v>
      </c>
      <c r="OG433" s="88" t="s">
        <v>29</v>
      </c>
      <c r="OH433">
        <v>9110.75</v>
      </c>
      <c r="OI433" s="88" t="s">
        <v>29</v>
      </c>
      <c r="OT433" t="s">
        <v>1587</v>
      </c>
      <c r="OU433" s="87"/>
      <c r="OV433">
        <v>2007</v>
      </c>
      <c r="PA433" t="s">
        <v>1169</v>
      </c>
      <c r="PB433" s="58">
        <v>46105</v>
      </c>
    </row>
    <row r="434" spans="1:418" ht="15.75" thickBot="1">
      <c r="A434" t="s">
        <v>248</v>
      </c>
      <c r="B434" t="s">
        <v>1562</v>
      </c>
      <c r="C434" t="s">
        <v>1173</v>
      </c>
      <c r="D434" s="4" t="s">
        <v>1936</v>
      </c>
      <c r="E434" t="s">
        <v>1578</v>
      </c>
      <c r="F434" s="100" t="s">
        <v>31</v>
      </c>
      <c r="G434" s="87" t="s">
        <v>2</v>
      </c>
      <c r="H434" s="87" t="s">
        <v>30</v>
      </c>
      <c r="I434">
        <v>7.25</v>
      </c>
      <c r="J434">
        <v>3.4166666669999999</v>
      </c>
      <c r="K434" s="87" t="s">
        <v>29</v>
      </c>
      <c r="AV434" t="s">
        <v>1697</v>
      </c>
      <c r="AW434">
        <v>3240</v>
      </c>
      <c r="AX434">
        <v>1.2E-2</v>
      </c>
      <c r="AY434">
        <v>1</v>
      </c>
      <c r="BA434">
        <v>2006</v>
      </c>
      <c r="BB434">
        <v>2007</v>
      </c>
      <c r="BD434" t="s">
        <v>238</v>
      </c>
      <c r="BE434" t="s">
        <v>1574</v>
      </c>
      <c r="BF434" t="s">
        <v>48</v>
      </c>
      <c r="BG434" s="78" t="s">
        <v>1233</v>
      </c>
      <c r="BH434" t="s">
        <v>1569</v>
      </c>
      <c r="BI434" t="s">
        <v>1581</v>
      </c>
      <c r="BJ434" s="87" t="s">
        <v>22</v>
      </c>
      <c r="BK434">
        <v>1330</v>
      </c>
      <c r="BL434" t="s">
        <v>56</v>
      </c>
      <c r="BM434" t="s">
        <v>1580</v>
      </c>
      <c r="BN434" t="s">
        <v>234</v>
      </c>
      <c r="BO434" s="87" t="s">
        <v>22</v>
      </c>
      <c r="BP434">
        <v>20000</v>
      </c>
      <c r="EH434" s="9"/>
      <c r="EI434" s="9"/>
      <c r="EJ434" s="9"/>
      <c r="EK434" s="9"/>
      <c r="EL434" s="9"/>
      <c r="EM434" s="9"/>
      <c r="EN434" s="9"/>
      <c r="EO434" s="9"/>
      <c r="EP434" s="9"/>
      <c r="EQ434" s="9"/>
      <c r="ER434" s="9"/>
      <c r="ES434" s="9"/>
      <c r="ET434" s="9"/>
      <c r="EU434" s="9"/>
      <c r="EV434" s="9"/>
      <c r="EW434" s="9"/>
      <c r="EX434" s="9"/>
      <c r="EY434" s="9"/>
      <c r="EZ434" s="9"/>
      <c r="FA434" s="9"/>
      <c r="FB434" s="9"/>
      <c r="FC434" s="9"/>
      <c r="FD434" s="9"/>
      <c r="FE434" s="9"/>
      <c r="FF434" s="9"/>
      <c r="FG434" s="9"/>
      <c r="FH434" s="9"/>
      <c r="FI434" s="9"/>
      <c r="FJ434" s="9"/>
      <c r="FK434" s="9"/>
      <c r="FL434" s="9"/>
      <c r="FM434" s="9"/>
      <c r="FN434" s="9"/>
      <c r="FO434" s="9"/>
      <c r="FP434" s="9"/>
      <c r="FQ434" s="9"/>
      <c r="FR434" s="9"/>
      <c r="FS434" s="9"/>
      <c r="FT434" s="9"/>
      <c r="FU434" s="9"/>
      <c r="FV434" s="9"/>
      <c r="FW434" s="9"/>
      <c r="FX434" s="9"/>
      <c r="FY434" s="9"/>
      <c r="FZ434" s="9"/>
      <c r="GA434" s="9"/>
      <c r="GB434" s="9"/>
      <c r="GC434" s="9"/>
      <c r="GD434" s="9"/>
      <c r="GE434" s="9"/>
      <c r="GF434" s="9"/>
      <c r="GG434" s="9"/>
      <c r="GH434" s="9"/>
      <c r="GI434" s="9"/>
      <c r="GJ434" s="9"/>
      <c r="GK434" s="9"/>
      <c r="GL434" s="9"/>
      <c r="GM434" s="9"/>
      <c r="GN434" s="9"/>
      <c r="GO434" s="9"/>
      <c r="GP434" s="9"/>
      <c r="GQ434" s="9"/>
      <c r="GR434" s="9"/>
      <c r="GS434" s="9"/>
      <c r="GT434" s="9"/>
      <c r="GU434" s="9"/>
      <c r="GV434" s="9"/>
      <c r="GW434" s="9"/>
      <c r="GX434" s="9"/>
      <c r="GY434" s="9"/>
      <c r="GZ434" s="9"/>
      <c r="HA434" s="9"/>
      <c r="HB434" s="9"/>
      <c r="HC434" s="9"/>
      <c r="HD434" s="9"/>
      <c r="HE434" s="9"/>
      <c r="HF434" s="9"/>
      <c r="HG434" s="9"/>
      <c r="HH434" s="9"/>
      <c r="HI434" s="9"/>
      <c r="HJ434" s="9"/>
      <c r="HK434" s="9"/>
      <c r="HU434" s="101">
        <v>38838</v>
      </c>
      <c r="HW434" s="58"/>
      <c r="HX434" s="58"/>
      <c r="II434" t="s">
        <v>1574</v>
      </c>
      <c r="IJ434" s="87" t="s">
        <v>1190</v>
      </c>
      <c r="IK434" t="s">
        <v>660</v>
      </c>
      <c r="IL434" t="s">
        <v>661</v>
      </c>
      <c r="IM434">
        <v>2006</v>
      </c>
      <c r="IO434" s="87" t="s">
        <v>29</v>
      </c>
      <c r="JK434" t="s">
        <v>1574</v>
      </c>
      <c r="JL434" s="84" t="s">
        <v>227</v>
      </c>
      <c r="JW434" s="8" t="s">
        <v>227</v>
      </c>
      <c r="JX434" s="8" t="s">
        <v>1582</v>
      </c>
      <c r="JY434" t="s">
        <v>13</v>
      </c>
      <c r="JZ434">
        <v>80000</v>
      </c>
      <c r="MZ434" t="s">
        <v>1589</v>
      </c>
      <c r="NA434">
        <v>120</v>
      </c>
      <c r="NB434" t="s">
        <v>2457</v>
      </c>
      <c r="NC434" t="s">
        <v>1580</v>
      </c>
      <c r="ND434" t="s">
        <v>1588</v>
      </c>
      <c r="NE434" t="s">
        <v>1584</v>
      </c>
      <c r="NK434" s="87" t="s">
        <v>1599</v>
      </c>
      <c r="NM434" s="103" t="s">
        <v>8</v>
      </c>
      <c r="NN434" s="102" t="s">
        <v>13</v>
      </c>
      <c r="NW434" t="s">
        <v>6</v>
      </c>
      <c r="NX434" s="104"/>
      <c r="NY434" s="88" t="s">
        <v>29</v>
      </c>
      <c r="NZ434" s="88"/>
      <c r="OC434">
        <v>3</v>
      </c>
      <c r="OD434">
        <v>949.96</v>
      </c>
      <c r="OE434" s="88" t="s">
        <v>29</v>
      </c>
      <c r="OF434">
        <v>4549.82</v>
      </c>
      <c r="OG434" s="88" t="s">
        <v>29</v>
      </c>
      <c r="OH434">
        <v>10027.379999999999</v>
      </c>
      <c r="OI434" s="88" t="s">
        <v>29</v>
      </c>
      <c r="OT434" t="s">
        <v>1587</v>
      </c>
      <c r="OU434" s="87"/>
      <c r="OV434">
        <v>2007</v>
      </c>
      <c r="PA434" t="s">
        <v>1169</v>
      </c>
      <c r="PB434" s="58">
        <v>46105</v>
      </c>
    </row>
    <row r="435" spans="1:418" ht="15.75" thickBot="1">
      <c r="A435" t="s">
        <v>36</v>
      </c>
      <c r="B435" t="s">
        <v>1739</v>
      </c>
      <c r="C435" t="s">
        <v>1740</v>
      </c>
      <c r="D435" s="4" t="s">
        <v>245</v>
      </c>
      <c r="E435" t="s">
        <v>1806</v>
      </c>
      <c r="F435" s="4" t="s">
        <v>1804</v>
      </c>
      <c r="G435" t="s">
        <v>254</v>
      </c>
      <c r="H435" t="s">
        <v>30</v>
      </c>
      <c r="I435">
        <v>-23.748532000000001</v>
      </c>
      <c r="J435">
        <v>-62.056702000000001</v>
      </c>
      <c r="K435" s="87" t="s">
        <v>29</v>
      </c>
      <c r="AV435" t="s">
        <v>1766</v>
      </c>
      <c r="AW435" t="s">
        <v>234</v>
      </c>
      <c r="AX435">
        <v>1000</v>
      </c>
      <c r="AY435" s="5">
        <v>5.5555555555555558E-3</v>
      </c>
      <c r="AZ435" t="s">
        <v>1803</v>
      </c>
      <c r="BA435">
        <v>2010</v>
      </c>
      <c r="BD435" t="s">
        <v>1825</v>
      </c>
      <c r="BE435" t="s">
        <v>1742</v>
      </c>
      <c r="BF435" t="s">
        <v>39</v>
      </c>
      <c r="BG435" t="s">
        <v>1743</v>
      </c>
      <c r="EE435" t="s">
        <v>1774</v>
      </c>
      <c r="EF435" t="s">
        <v>29</v>
      </c>
      <c r="EG435" t="s">
        <v>29</v>
      </c>
      <c r="EH435" t="s">
        <v>29</v>
      </c>
      <c r="EI435" t="s">
        <v>1773</v>
      </c>
      <c r="EJ435" t="s">
        <v>29</v>
      </c>
      <c r="EK435" t="s">
        <v>29</v>
      </c>
      <c r="EL435" t="s">
        <v>29</v>
      </c>
      <c r="EM435" t="s">
        <v>1768</v>
      </c>
      <c r="EN435" t="s">
        <v>29</v>
      </c>
      <c r="EO435" t="s">
        <v>29</v>
      </c>
      <c r="EP435" t="s">
        <v>29</v>
      </c>
      <c r="EQ435" t="s">
        <v>1769</v>
      </c>
      <c r="ER435" t="s">
        <v>29</v>
      </c>
      <c r="ES435" t="s">
        <v>29</v>
      </c>
      <c r="ET435" t="s">
        <v>29</v>
      </c>
      <c r="EU435" t="s">
        <v>1770</v>
      </c>
      <c r="EV435" t="s">
        <v>29</v>
      </c>
      <c r="EW435" t="s">
        <v>29</v>
      </c>
      <c r="EX435" t="s">
        <v>29</v>
      </c>
      <c r="EY435" t="s">
        <v>1771</v>
      </c>
      <c r="EZ435" t="s">
        <v>29</v>
      </c>
      <c r="FA435" t="s">
        <v>29</v>
      </c>
      <c r="FB435" t="s">
        <v>29</v>
      </c>
      <c r="FC435" t="s">
        <v>1772</v>
      </c>
      <c r="FD435" t="s">
        <v>29</v>
      </c>
      <c r="FE435" t="s">
        <v>29</v>
      </c>
      <c r="FF435" t="s">
        <v>29</v>
      </c>
      <c r="HZ435" t="s">
        <v>1742</v>
      </c>
      <c r="IW435" t="s">
        <v>1742</v>
      </c>
      <c r="IX435" t="s">
        <v>1791</v>
      </c>
      <c r="IY435" t="s">
        <v>1791</v>
      </c>
      <c r="IZ435" t="s">
        <v>1791</v>
      </c>
      <c r="JA435">
        <v>5</v>
      </c>
      <c r="JB435">
        <v>70</v>
      </c>
      <c r="MZ435" t="s">
        <v>1805</v>
      </c>
      <c r="NA435">
        <v>1963</v>
      </c>
      <c r="NB435" t="s">
        <v>1754</v>
      </c>
      <c r="NC435" t="s">
        <v>1745</v>
      </c>
      <c r="NH435" t="s">
        <v>1755</v>
      </c>
      <c r="NI435" t="s">
        <v>711</v>
      </c>
      <c r="NK435" s="122" t="s">
        <v>1751</v>
      </c>
      <c r="NM435" s="122" t="s">
        <v>1751</v>
      </c>
      <c r="NV435" t="s">
        <v>1827</v>
      </c>
      <c r="NW435" t="s">
        <v>6</v>
      </c>
      <c r="NX435">
        <v>2.2000000000000002</v>
      </c>
      <c r="NY435" t="s">
        <v>1446</v>
      </c>
      <c r="NZ435">
        <v>1.2</v>
      </c>
      <c r="OC435">
        <v>6</v>
      </c>
      <c r="OT435" t="s">
        <v>1576</v>
      </c>
      <c r="OV435">
        <v>2010</v>
      </c>
      <c r="PA435" t="s">
        <v>1169</v>
      </c>
      <c r="PB435" s="58">
        <v>46108</v>
      </c>
    </row>
    <row r="436" spans="1:418" ht="15.75" thickBot="1">
      <c r="A436" t="s">
        <v>36</v>
      </c>
      <c r="B436" t="s">
        <v>1739</v>
      </c>
      <c r="C436" t="s">
        <v>1740</v>
      </c>
      <c r="D436" s="4" t="s">
        <v>245</v>
      </c>
      <c r="E436" t="s">
        <v>1806</v>
      </c>
      <c r="F436" s="4" t="s">
        <v>1804</v>
      </c>
      <c r="G436" t="s">
        <v>254</v>
      </c>
      <c r="H436" t="s">
        <v>30</v>
      </c>
      <c r="I436">
        <v>-23.748532000000001</v>
      </c>
      <c r="J436">
        <v>-62.056702000000001</v>
      </c>
      <c r="K436" s="87" t="s">
        <v>29</v>
      </c>
      <c r="AV436" t="s">
        <v>1766</v>
      </c>
      <c r="AW436" t="s">
        <v>234</v>
      </c>
      <c r="AX436" t="s">
        <v>234</v>
      </c>
      <c r="AY436" s="5">
        <v>5.5555555555555558E-3</v>
      </c>
      <c r="AZ436" t="s">
        <v>1803</v>
      </c>
      <c r="BA436">
        <v>2010</v>
      </c>
      <c r="BD436" t="s">
        <v>1759</v>
      </c>
      <c r="BE436" t="s">
        <v>1760</v>
      </c>
      <c r="BF436" t="s">
        <v>64</v>
      </c>
      <c r="BG436" t="s">
        <v>1779</v>
      </c>
      <c r="BH436" t="s">
        <v>1777</v>
      </c>
      <c r="BI436" t="s">
        <v>1782</v>
      </c>
      <c r="BJ436" t="s">
        <v>29</v>
      </c>
      <c r="BK436" t="s">
        <v>29</v>
      </c>
      <c r="EE436" t="s">
        <v>1774</v>
      </c>
      <c r="EF436" t="s">
        <v>29</v>
      </c>
      <c r="EG436" t="s">
        <v>29</v>
      </c>
      <c r="EH436" t="s">
        <v>29</v>
      </c>
      <c r="EI436" t="s">
        <v>1773</v>
      </c>
      <c r="EJ436" t="s">
        <v>29</v>
      </c>
      <c r="EK436" t="s">
        <v>29</v>
      </c>
      <c r="EL436" t="s">
        <v>29</v>
      </c>
      <c r="EM436" t="s">
        <v>1768</v>
      </c>
      <c r="EN436" t="s">
        <v>29</v>
      </c>
      <c r="EO436" t="s">
        <v>29</v>
      </c>
      <c r="EP436" t="s">
        <v>29</v>
      </c>
      <c r="EQ436" t="s">
        <v>1769</v>
      </c>
      <c r="ER436" t="s">
        <v>29</v>
      </c>
      <c r="ES436" t="s">
        <v>29</v>
      </c>
      <c r="ET436" t="s">
        <v>29</v>
      </c>
      <c r="EU436" t="s">
        <v>1770</v>
      </c>
      <c r="EV436" t="s">
        <v>29</v>
      </c>
      <c r="EW436" t="s">
        <v>29</v>
      </c>
      <c r="EX436" t="s">
        <v>29</v>
      </c>
      <c r="EY436" t="s">
        <v>1771</v>
      </c>
      <c r="EZ436" t="s">
        <v>29</v>
      </c>
      <c r="FA436" t="s">
        <v>29</v>
      </c>
      <c r="FB436" t="s">
        <v>29</v>
      </c>
      <c r="FC436" t="s">
        <v>1772</v>
      </c>
      <c r="FD436" t="s">
        <v>29</v>
      </c>
      <c r="FE436" t="s">
        <v>29</v>
      </c>
      <c r="FF436" t="s">
        <v>29</v>
      </c>
      <c r="GM436" t="s">
        <v>1775</v>
      </c>
      <c r="GN436" s="9" t="s">
        <v>29</v>
      </c>
      <c r="GO436" s="9" t="s">
        <v>29</v>
      </c>
      <c r="GP436" s="9" t="s">
        <v>29</v>
      </c>
      <c r="GQ436" s="9"/>
      <c r="GR436" s="9"/>
      <c r="GS436" s="9"/>
      <c r="GT436" s="9"/>
      <c r="GU436" s="9"/>
      <c r="GV436" s="9"/>
      <c r="GW436" s="9"/>
      <c r="GX436" s="9"/>
      <c r="GY436" s="9"/>
      <c r="GZ436" s="9"/>
      <c r="HA436" s="9"/>
      <c r="HB436" s="9"/>
      <c r="HC436" s="9"/>
      <c r="HD436" s="9"/>
      <c r="HE436" s="9"/>
      <c r="HF436" s="9"/>
      <c r="HG436" s="9"/>
      <c r="HH436" s="9"/>
      <c r="HI436" s="9"/>
      <c r="HJ436" s="9"/>
      <c r="HK436" s="9"/>
      <c r="HL436" s="9"/>
      <c r="HY436" s="58"/>
      <c r="HZ436" t="s">
        <v>1760</v>
      </c>
      <c r="IA436" t="s">
        <v>1795</v>
      </c>
      <c r="IW436" t="s">
        <v>1760</v>
      </c>
      <c r="IX436" s="84" t="s">
        <v>1792</v>
      </c>
      <c r="IY436" t="s">
        <v>1767</v>
      </c>
      <c r="IZ436" s="54" t="s">
        <v>1776</v>
      </c>
      <c r="JA436">
        <v>1</v>
      </c>
      <c r="JB436">
        <v>81</v>
      </c>
      <c r="MZ436" t="s">
        <v>1805</v>
      </c>
      <c r="NA436">
        <v>1963</v>
      </c>
      <c r="NB436" t="s">
        <v>1754</v>
      </c>
      <c r="NC436" t="s">
        <v>1745</v>
      </c>
      <c r="NH436" t="s">
        <v>1755</v>
      </c>
      <c r="NI436" t="s">
        <v>711</v>
      </c>
      <c r="NK436" t="s">
        <v>1751</v>
      </c>
      <c r="NM436" t="s">
        <v>1751</v>
      </c>
      <c r="NW436" t="s">
        <v>6</v>
      </c>
      <c r="NX436">
        <v>2.2999999999999998</v>
      </c>
      <c r="NY436" t="s">
        <v>1446</v>
      </c>
      <c r="NZ436">
        <v>1.8</v>
      </c>
      <c r="OC436">
        <v>8</v>
      </c>
      <c r="OT436" t="s">
        <v>1576</v>
      </c>
      <c r="OV436">
        <v>2010</v>
      </c>
      <c r="PA436" t="s">
        <v>1169</v>
      </c>
      <c r="PB436" s="58">
        <v>46108</v>
      </c>
    </row>
    <row r="437" spans="1:418" ht="15.75" thickBot="1">
      <c r="A437" t="s">
        <v>36</v>
      </c>
      <c r="B437" t="s">
        <v>1739</v>
      </c>
      <c r="C437" t="s">
        <v>1740</v>
      </c>
      <c r="D437" s="4" t="s">
        <v>245</v>
      </c>
      <c r="E437" t="s">
        <v>1806</v>
      </c>
      <c r="F437" s="4" t="s">
        <v>1804</v>
      </c>
      <c r="G437" t="s">
        <v>254</v>
      </c>
      <c r="H437" t="s">
        <v>30</v>
      </c>
      <c r="I437">
        <v>-23.748532000000001</v>
      </c>
      <c r="J437">
        <v>-62.056702000000001</v>
      </c>
      <c r="K437" s="87" t="s">
        <v>29</v>
      </c>
      <c r="AV437" t="s">
        <v>1766</v>
      </c>
      <c r="AW437" t="s">
        <v>234</v>
      </c>
      <c r="AX437">
        <v>3600</v>
      </c>
      <c r="AY437" s="5">
        <v>5.5555555555555558E-3</v>
      </c>
      <c r="AZ437" t="s">
        <v>1803</v>
      </c>
      <c r="BA437">
        <v>2010</v>
      </c>
      <c r="BD437" t="s">
        <v>1759</v>
      </c>
      <c r="BE437" t="s">
        <v>1762</v>
      </c>
      <c r="BF437" t="s">
        <v>57</v>
      </c>
      <c r="BG437" t="s">
        <v>1779</v>
      </c>
      <c r="BH437" t="s">
        <v>1777</v>
      </c>
      <c r="BI437" t="s">
        <v>29</v>
      </c>
      <c r="BJ437" t="s">
        <v>29</v>
      </c>
      <c r="BK437" t="s">
        <v>29</v>
      </c>
      <c r="EE437" t="s">
        <v>1774</v>
      </c>
      <c r="EF437" t="s">
        <v>29</v>
      </c>
      <c r="EG437" t="s">
        <v>29</v>
      </c>
      <c r="EH437" t="s">
        <v>29</v>
      </c>
      <c r="EI437" t="s">
        <v>1773</v>
      </c>
      <c r="EJ437" t="s">
        <v>29</v>
      </c>
      <c r="EK437" t="s">
        <v>29</v>
      </c>
      <c r="EL437" t="s">
        <v>29</v>
      </c>
      <c r="EM437" t="s">
        <v>1768</v>
      </c>
      <c r="EN437" t="s">
        <v>29</v>
      </c>
      <c r="EO437" t="s">
        <v>29</v>
      </c>
      <c r="EP437" t="s">
        <v>29</v>
      </c>
      <c r="EQ437" t="s">
        <v>1769</v>
      </c>
      <c r="ER437" t="s">
        <v>29</v>
      </c>
      <c r="ES437" t="s">
        <v>29</v>
      </c>
      <c r="ET437" t="s">
        <v>29</v>
      </c>
      <c r="EU437" t="s">
        <v>1770</v>
      </c>
      <c r="EV437" t="s">
        <v>29</v>
      </c>
      <c r="EW437" t="s">
        <v>29</v>
      </c>
      <c r="EX437" t="s">
        <v>29</v>
      </c>
      <c r="EY437" t="s">
        <v>1771</v>
      </c>
      <c r="EZ437" t="s">
        <v>29</v>
      </c>
      <c r="FA437" t="s">
        <v>29</v>
      </c>
      <c r="FB437" t="s">
        <v>29</v>
      </c>
      <c r="FC437" t="s">
        <v>1772</v>
      </c>
      <c r="FD437" t="s">
        <v>29</v>
      </c>
      <c r="FE437" t="s">
        <v>29</v>
      </c>
      <c r="FF437" t="s">
        <v>29</v>
      </c>
      <c r="FG437" s="9"/>
      <c r="FH437" s="9"/>
      <c r="FI437" s="9"/>
      <c r="FJ437" s="9"/>
      <c r="FK437" s="9"/>
      <c r="FL437" s="9"/>
      <c r="FM437" s="9"/>
      <c r="FN437" s="9"/>
      <c r="FO437" s="9"/>
      <c r="FP437" s="9"/>
      <c r="FQ437" s="9"/>
      <c r="FR437" s="9"/>
      <c r="FS437" s="9"/>
      <c r="FT437" s="9"/>
      <c r="FU437" s="9"/>
      <c r="FV437" s="9"/>
      <c r="FW437" s="9"/>
      <c r="FX437" s="9"/>
      <c r="FY437" s="9"/>
      <c r="FZ437" s="9"/>
      <c r="GA437" s="9"/>
      <c r="GB437" s="9"/>
      <c r="GC437" s="9"/>
      <c r="GD437" s="9"/>
      <c r="GE437" s="9"/>
      <c r="GF437" s="9"/>
      <c r="GG437" s="9"/>
      <c r="GH437" s="9"/>
      <c r="GI437" s="9"/>
      <c r="GJ437" s="9"/>
      <c r="GK437" s="9"/>
      <c r="GL437" s="9"/>
      <c r="GM437" s="9" t="s">
        <v>1775</v>
      </c>
      <c r="GN437" s="9" t="s">
        <v>29</v>
      </c>
      <c r="GO437" s="9" t="s">
        <v>29</v>
      </c>
      <c r="GP437" s="9" t="s">
        <v>29</v>
      </c>
      <c r="GQ437" s="9"/>
      <c r="GR437" s="9"/>
      <c r="GS437" s="9"/>
      <c r="GT437" s="9"/>
      <c r="GU437" s="9"/>
      <c r="GV437" s="9"/>
      <c r="GW437" s="9"/>
      <c r="GX437" s="9"/>
      <c r="GY437" s="9"/>
      <c r="GZ437" s="9"/>
      <c r="HA437" s="9"/>
      <c r="HB437" s="9"/>
      <c r="HC437" s="9"/>
      <c r="HD437" s="9"/>
      <c r="HE437" s="9"/>
      <c r="HF437" s="9"/>
      <c r="HG437" s="9"/>
      <c r="HH437" s="9"/>
      <c r="HI437" s="9"/>
      <c r="HJ437" s="9"/>
      <c r="HK437" s="9"/>
      <c r="HL437" s="9"/>
      <c r="HY437" s="58"/>
      <c r="HZ437" t="s">
        <v>1762</v>
      </c>
      <c r="IA437" t="s">
        <v>1795</v>
      </c>
      <c r="IW437" t="s">
        <v>1762</v>
      </c>
      <c r="IX437" s="84" t="s">
        <v>1792</v>
      </c>
      <c r="IY437" s="12" t="s">
        <v>1767</v>
      </c>
      <c r="IZ437" s="54" t="s">
        <v>1778</v>
      </c>
      <c r="JA437">
        <v>7.5</v>
      </c>
      <c r="JB437">
        <v>56</v>
      </c>
      <c r="MZ437" t="s">
        <v>1805</v>
      </c>
      <c r="NA437">
        <v>1963</v>
      </c>
      <c r="NB437" t="s">
        <v>1754</v>
      </c>
      <c r="NC437" t="s">
        <v>1745</v>
      </c>
      <c r="NH437" t="s">
        <v>1755</v>
      </c>
      <c r="NI437" t="s">
        <v>711</v>
      </c>
      <c r="NK437" t="s">
        <v>1751</v>
      </c>
      <c r="NM437" t="s">
        <v>1751</v>
      </c>
      <c r="NW437" t="s">
        <v>6</v>
      </c>
      <c r="NX437">
        <v>2.8</v>
      </c>
      <c r="NY437" t="s">
        <v>1446</v>
      </c>
      <c r="NZ437">
        <v>2</v>
      </c>
      <c r="OC437">
        <v>7</v>
      </c>
      <c r="OT437" t="s">
        <v>1576</v>
      </c>
      <c r="OV437">
        <v>2010</v>
      </c>
      <c r="PA437" t="s">
        <v>1169</v>
      </c>
      <c r="PB437" s="58">
        <v>46108</v>
      </c>
    </row>
    <row r="438" spans="1:418" ht="15.75" thickBot="1">
      <c r="A438" t="s">
        <v>36</v>
      </c>
      <c r="B438" t="s">
        <v>1739</v>
      </c>
      <c r="C438" t="s">
        <v>1740</v>
      </c>
      <c r="D438" s="4" t="s">
        <v>245</v>
      </c>
      <c r="E438" t="s">
        <v>1806</v>
      </c>
      <c r="F438" s="4" t="s">
        <v>1804</v>
      </c>
      <c r="G438" t="s">
        <v>254</v>
      </c>
      <c r="H438" t="s">
        <v>30</v>
      </c>
      <c r="I438">
        <v>-23.748532000000001</v>
      </c>
      <c r="J438">
        <v>-62.056702000000001</v>
      </c>
      <c r="K438" s="87" t="s">
        <v>29</v>
      </c>
      <c r="AV438" t="s">
        <v>1766</v>
      </c>
      <c r="AW438" t="s">
        <v>234</v>
      </c>
      <c r="AX438">
        <v>3600</v>
      </c>
      <c r="AY438" s="5">
        <v>5.5555555555555558E-3</v>
      </c>
      <c r="AZ438" t="s">
        <v>1803</v>
      </c>
      <c r="BA438">
        <v>2010</v>
      </c>
      <c r="BD438" t="s">
        <v>1759</v>
      </c>
      <c r="BE438" t="s">
        <v>1764</v>
      </c>
      <c r="BF438" t="s">
        <v>48</v>
      </c>
      <c r="BG438" t="s">
        <v>1779</v>
      </c>
      <c r="BH438" t="s">
        <v>1781</v>
      </c>
      <c r="BI438" t="s">
        <v>29</v>
      </c>
      <c r="BJ438" t="s">
        <v>29</v>
      </c>
      <c r="BK438" t="s">
        <v>29</v>
      </c>
      <c r="EE438" t="s">
        <v>1774</v>
      </c>
      <c r="EF438" t="s">
        <v>29</v>
      </c>
      <c r="EG438" t="s">
        <v>29</v>
      </c>
      <c r="EH438" t="s">
        <v>29</v>
      </c>
      <c r="EI438" t="s">
        <v>1773</v>
      </c>
      <c r="EJ438" t="s">
        <v>29</v>
      </c>
      <c r="EK438" t="s">
        <v>29</v>
      </c>
      <c r="EL438" t="s">
        <v>29</v>
      </c>
      <c r="EM438" t="s">
        <v>1768</v>
      </c>
      <c r="EN438" t="s">
        <v>29</v>
      </c>
      <c r="EO438" t="s">
        <v>29</v>
      </c>
      <c r="EP438" t="s">
        <v>29</v>
      </c>
      <c r="EQ438" t="s">
        <v>1769</v>
      </c>
      <c r="ER438" t="s">
        <v>29</v>
      </c>
      <c r="ES438" t="s">
        <v>29</v>
      </c>
      <c r="ET438" t="s">
        <v>29</v>
      </c>
      <c r="EU438" t="s">
        <v>1770</v>
      </c>
      <c r="EV438" t="s">
        <v>29</v>
      </c>
      <c r="EW438" t="s">
        <v>29</v>
      </c>
      <c r="EX438" t="s">
        <v>29</v>
      </c>
      <c r="EY438" t="s">
        <v>1771</v>
      </c>
      <c r="EZ438" t="s">
        <v>29</v>
      </c>
      <c r="FA438" t="s">
        <v>29</v>
      </c>
      <c r="FB438" t="s">
        <v>29</v>
      </c>
      <c r="FC438" t="s">
        <v>1772</v>
      </c>
      <c r="FD438" t="s">
        <v>29</v>
      </c>
      <c r="FE438" t="s">
        <v>29</v>
      </c>
      <c r="FF438" t="s">
        <v>29</v>
      </c>
      <c r="FG438" s="9"/>
      <c r="FH438" s="9"/>
      <c r="FI438" s="9"/>
      <c r="FJ438" s="9"/>
      <c r="FK438" s="9"/>
      <c r="FL438" s="9"/>
      <c r="FM438" s="9"/>
      <c r="FN438" s="9"/>
      <c r="FO438" s="9"/>
      <c r="FP438" s="9"/>
      <c r="FQ438" s="9"/>
      <c r="FR438" s="9"/>
      <c r="FS438" s="9"/>
      <c r="FT438" s="9"/>
      <c r="FU438" s="9"/>
      <c r="FV438" s="9"/>
      <c r="FW438" s="9"/>
      <c r="FX438" s="9"/>
      <c r="FY438" s="9"/>
      <c r="FZ438" s="9"/>
      <c r="GA438" s="9"/>
      <c r="GB438" s="9"/>
      <c r="GC438" s="9"/>
      <c r="GD438" s="9"/>
      <c r="GE438" s="9"/>
      <c r="GF438" s="9"/>
      <c r="GG438" s="9"/>
      <c r="GH438" s="9"/>
      <c r="GI438" s="9"/>
      <c r="GJ438" s="9"/>
      <c r="GK438" s="9"/>
      <c r="GL438" s="9"/>
      <c r="GM438" s="9" t="s">
        <v>1775</v>
      </c>
      <c r="GN438" s="9" t="s">
        <v>29</v>
      </c>
      <c r="GO438" s="9" t="s">
        <v>29</v>
      </c>
      <c r="GP438" s="9" t="s">
        <v>29</v>
      </c>
      <c r="GQ438" s="9"/>
      <c r="GR438" s="9"/>
      <c r="GS438" s="9"/>
      <c r="GT438" s="9"/>
      <c r="GU438" s="9"/>
      <c r="GV438" s="9"/>
      <c r="GW438" s="9"/>
      <c r="GX438" s="9"/>
      <c r="GY438" s="9"/>
      <c r="GZ438" s="9"/>
      <c r="HA438" s="9"/>
      <c r="HB438" s="9"/>
      <c r="HC438" s="9"/>
      <c r="HD438" s="9"/>
      <c r="HE438" s="9"/>
      <c r="HF438" s="9"/>
      <c r="HG438" s="9"/>
      <c r="HH438" s="9"/>
      <c r="HI438" s="9"/>
      <c r="HJ438" s="9"/>
      <c r="HK438" s="9"/>
      <c r="HL438" s="9"/>
      <c r="HY438" s="58"/>
      <c r="HZ438" t="s">
        <v>1764</v>
      </c>
      <c r="IA438" t="s">
        <v>1794</v>
      </c>
      <c r="IW438" t="s">
        <v>1764</v>
      </c>
      <c r="IX438" s="84" t="s">
        <v>1792</v>
      </c>
      <c r="IY438" s="12" t="s">
        <v>1767</v>
      </c>
      <c r="IZ438" s="54" t="s">
        <v>1778</v>
      </c>
      <c r="JA438">
        <v>7.5</v>
      </c>
      <c r="JB438">
        <v>37</v>
      </c>
      <c r="MZ438" t="s">
        <v>1805</v>
      </c>
      <c r="NA438">
        <v>1963</v>
      </c>
      <c r="NB438" t="s">
        <v>1754</v>
      </c>
      <c r="NC438" t="s">
        <v>1745</v>
      </c>
      <c r="NH438" t="s">
        <v>1755</v>
      </c>
      <c r="NI438" t="s">
        <v>711</v>
      </c>
      <c r="NK438" t="s">
        <v>1751</v>
      </c>
      <c r="NM438" t="s">
        <v>1751</v>
      </c>
      <c r="NW438" t="s">
        <v>6</v>
      </c>
      <c r="NX438">
        <v>3.8</v>
      </c>
      <c r="NY438" t="s">
        <v>1446</v>
      </c>
      <c r="NZ438">
        <v>1.6</v>
      </c>
      <c r="OC438">
        <v>5</v>
      </c>
      <c r="OT438" t="s">
        <v>1576</v>
      </c>
      <c r="OV438">
        <v>2010</v>
      </c>
      <c r="PA438" t="s">
        <v>1169</v>
      </c>
      <c r="PB438" s="58">
        <v>46108</v>
      </c>
    </row>
    <row r="439" spans="1:418" ht="15.75" thickBot="1">
      <c r="A439" t="s">
        <v>36</v>
      </c>
      <c r="B439" t="s">
        <v>1739</v>
      </c>
      <c r="C439" t="s">
        <v>1740</v>
      </c>
      <c r="D439" s="4" t="s">
        <v>245</v>
      </c>
      <c r="E439" t="s">
        <v>1806</v>
      </c>
      <c r="F439" s="4" t="s">
        <v>1804</v>
      </c>
      <c r="G439" t="s">
        <v>254</v>
      </c>
      <c r="H439" t="s">
        <v>30</v>
      </c>
      <c r="I439">
        <v>-23.748532000000001</v>
      </c>
      <c r="J439">
        <v>-62.056702000000001</v>
      </c>
      <c r="K439" s="87" t="s">
        <v>29</v>
      </c>
      <c r="AV439" t="s">
        <v>1766</v>
      </c>
      <c r="AW439" t="s">
        <v>234</v>
      </c>
      <c r="AX439" t="s">
        <v>234</v>
      </c>
      <c r="AY439" s="5">
        <v>5.5555555555555558E-3</v>
      </c>
      <c r="AZ439" t="s">
        <v>1803</v>
      </c>
      <c r="BA439">
        <v>2010</v>
      </c>
      <c r="BD439" t="s">
        <v>1747</v>
      </c>
      <c r="BE439" t="s">
        <v>1748</v>
      </c>
      <c r="BF439" t="s">
        <v>24</v>
      </c>
      <c r="BG439" t="s">
        <v>1779</v>
      </c>
      <c r="BH439" t="s">
        <v>1781</v>
      </c>
      <c r="BI439" t="s">
        <v>29</v>
      </c>
      <c r="BJ439" t="s">
        <v>29</v>
      </c>
      <c r="BK439" t="s">
        <v>29</v>
      </c>
      <c r="GM439" t="s">
        <v>1775</v>
      </c>
      <c r="GN439" s="9" t="s">
        <v>29</v>
      </c>
      <c r="GO439" s="9" t="s">
        <v>29</v>
      </c>
      <c r="GP439" s="9" t="s">
        <v>29</v>
      </c>
      <c r="HZ439" t="s">
        <v>1748</v>
      </c>
      <c r="IA439" t="s">
        <v>1794</v>
      </c>
      <c r="IW439" t="s">
        <v>1748</v>
      </c>
      <c r="IX439" s="54" t="s">
        <v>1793</v>
      </c>
      <c r="IY439" s="54" t="s">
        <v>1793</v>
      </c>
      <c r="IZ439" s="54" t="s">
        <v>1780</v>
      </c>
      <c r="JA439">
        <v>1</v>
      </c>
      <c r="JB439">
        <v>6</v>
      </c>
      <c r="MZ439" t="s">
        <v>1805</v>
      </c>
      <c r="NA439">
        <v>1963</v>
      </c>
      <c r="NB439" t="s">
        <v>1754</v>
      </c>
      <c r="NC439" t="s">
        <v>1745</v>
      </c>
      <c r="NH439" t="s">
        <v>1755</v>
      </c>
      <c r="NI439" t="s">
        <v>711</v>
      </c>
      <c r="NK439" t="s">
        <v>1751</v>
      </c>
      <c r="NM439" t="s">
        <v>1751</v>
      </c>
      <c r="NV439" t="s">
        <v>1828</v>
      </c>
      <c r="NW439" t="s">
        <v>6</v>
      </c>
      <c r="NX439">
        <v>3</v>
      </c>
      <c r="NY439" t="s">
        <v>1446</v>
      </c>
      <c r="NZ439">
        <v>1.7</v>
      </c>
      <c r="OC439">
        <v>7</v>
      </c>
      <c r="OT439" t="s">
        <v>1576</v>
      </c>
      <c r="OV439">
        <v>2010</v>
      </c>
      <c r="PA439" t="s">
        <v>1169</v>
      </c>
      <c r="PB439" s="58">
        <v>46108</v>
      </c>
    </row>
    <row r="440" spans="1:418" ht="15.75" thickBot="1">
      <c r="A440" t="s">
        <v>36</v>
      </c>
      <c r="B440" t="s">
        <v>1739</v>
      </c>
      <c r="C440" t="s">
        <v>1740</v>
      </c>
      <c r="D440" s="4" t="s">
        <v>245</v>
      </c>
      <c r="E440" t="s">
        <v>1806</v>
      </c>
      <c r="F440" s="4" t="s">
        <v>1804</v>
      </c>
      <c r="G440" t="s">
        <v>254</v>
      </c>
      <c r="H440" t="s">
        <v>30</v>
      </c>
      <c r="I440">
        <v>-23.748532000000001</v>
      </c>
      <c r="J440">
        <v>-62.056702000000001</v>
      </c>
      <c r="K440" s="87" t="s">
        <v>29</v>
      </c>
      <c r="AV440" t="s">
        <v>1766</v>
      </c>
      <c r="AW440" t="s">
        <v>234</v>
      </c>
      <c r="AX440">
        <v>1000</v>
      </c>
      <c r="AY440" s="5">
        <v>5.5555555555555558E-3</v>
      </c>
      <c r="AZ440" t="s">
        <v>1803</v>
      </c>
      <c r="BA440">
        <v>2010</v>
      </c>
      <c r="BD440" t="s">
        <v>1825</v>
      </c>
      <c r="BE440" t="s">
        <v>1742</v>
      </c>
      <c r="BF440" t="s">
        <v>39</v>
      </c>
      <c r="BG440" t="s">
        <v>1743</v>
      </c>
      <c r="EE440" t="s">
        <v>1774</v>
      </c>
      <c r="EF440" t="s">
        <v>29</v>
      </c>
      <c r="EG440" t="s">
        <v>29</v>
      </c>
      <c r="EH440" t="s">
        <v>29</v>
      </c>
      <c r="EI440" t="s">
        <v>1773</v>
      </c>
      <c r="EJ440" t="s">
        <v>29</v>
      </c>
      <c r="EK440" t="s">
        <v>29</v>
      </c>
      <c r="EL440" t="s">
        <v>29</v>
      </c>
      <c r="EM440" t="s">
        <v>1768</v>
      </c>
      <c r="EN440" t="s">
        <v>29</v>
      </c>
      <c r="EO440" t="s">
        <v>29</v>
      </c>
      <c r="EP440" t="s">
        <v>29</v>
      </c>
      <c r="EQ440" t="s">
        <v>1769</v>
      </c>
      <c r="ER440" t="s">
        <v>29</v>
      </c>
      <c r="ES440" t="s">
        <v>29</v>
      </c>
      <c r="ET440" t="s">
        <v>29</v>
      </c>
      <c r="EU440" t="s">
        <v>1770</v>
      </c>
      <c r="EV440" t="s">
        <v>29</v>
      </c>
      <c r="EW440" t="s">
        <v>29</v>
      </c>
      <c r="EX440" t="s">
        <v>29</v>
      </c>
      <c r="EY440" t="s">
        <v>1771</v>
      </c>
      <c r="EZ440" t="s">
        <v>29</v>
      </c>
      <c r="FA440" t="s">
        <v>29</v>
      </c>
      <c r="FB440" t="s">
        <v>29</v>
      </c>
      <c r="FC440" t="s">
        <v>1772</v>
      </c>
      <c r="FD440" t="s">
        <v>29</v>
      </c>
      <c r="FE440" t="s">
        <v>29</v>
      </c>
      <c r="FF440" t="s">
        <v>29</v>
      </c>
      <c r="HZ440" t="s">
        <v>1742</v>
      </c>
      <c r="IW440" t="s">
        <v>1742</v>
      </c>
      <c r="IX440" t="s">
        <v>1791</v>
      </c>
      <c r="IY440" t="s">
        <v>1791</v>
      </c>
      <c r="IZ440" t="s">
        <v>1791</v>
      </c>
      <c r="JA440">
        <v>5</v>
      </c>
      <c r="JB440">
        <v>70</v>
      </c>
      <c r="MZ440" t="s">
        <v>1805</v>
      </c>
      <c r="NA440">
        <v>1963</v>
      </c>
      <c r="NB440" t="s">
        <v>1750</v>
      </c>
      <c r="NC440" t="s">
        <v>1745</v>
      </c>
      <c r="NH440" t="s">
        <v>1789</v>
      </c>
      <c r="NI440" t="s">
        <v>711</v>
      </c>
      <c r="NK440" t="s">
        <v>1751</v>
      </c>
      <c r="NM440" t="s">
        <v>1751</v>
      </c>
      <c r="NV440" t="s">
        <v>1827</v>
      </c>
      <c r="NW440" t="s">
        <v>6</v>
      </c>
      <c r="NX440">
        <v>0.6</v>
      </c>
      <c r="NY440" t="s">
        <v>1446</v>
      </c>
      <c r="NZ440">
        <v>0.6</v>
      </c>
      <c r="OC440">
        <v>6</v>
      </c>
      <c r="OT440" t="s">
        <v>1576</v>
      </c>
      <c r="OV440">
        <v>2010</v>
      </c>
      <c r="PA440" t="s">
        <v>1169</v>
      </c>
      <c r="PB440" s="58">
        <v>46108</v>
      </c>
    </row>
    <row r="441" spans="1:418" ht="15.75" thickBot="1">
      <c r="A441" t="s">
        <v>36</v>
      </c>
      <c r="B441" t="s">
        <v>1739</v>
      </c>
      <c r="C441" t="s">
        <v>1740</v>
      </c>
      <c r="D441" s="4" t="s">
        <v>245</v>
      </c>
      <c r="E441" t="s">
        <v>1806</v>
      </c>
      <c r="F441" s="4" t="s">
        <v>1804</v>
      </c>
      <c r="G441" t="s">
        <v>254</v>
      </c>
      <c r="H441" t="s">
        <v>30</v>
      </c>
      <c r="I441">
        <v>-23.748532000000001</v>
      </c>
      <c r="J441">
        <v>-62.056702000000001</v>
      </c>
      <c r="K441" s="87" t="s">
        <v>29</v>
      </c>
      <c r="AV441" t="s">
        <v>1766</v>
      </c>
      <c r="AW441" t="s">
        <v>234</v>
      </c>
      <c r="AX441" t="s">
        <v>234</v>
      </c>
      <c r="AY441" s="5">
        <v>5.5555555555555558E-3</v>
      </c>
      <c r="AZ441" t="s">
        <v>1803</v>
      </c>
      <c r="BA441">
        <v>2010</v>
      </c>
      <c r="BD441" t="s">
        <v>1759</v>
      </c>
      <c r="BE441" t="s">
        <v>1760</v>
      </c>
      <c r="BF441" t="s">
        <v>64</v>
      </c>
      <c r="BG441" t="s">
        <v>1779</v>
      </c>
      <c r="BH441" t="s">
        <v>1777</v>
      </c>
      <c r="BI441" t="s">
        <v>1782</v>
      </c>
      <c r="BJ441" t="s">
        <v>29</v>
      </c>
      <c r="BK441" t="s">
        <v>29</v>
      </c>
      <c r="EE441" t="s">
        <v>1774</v>
      </c>
      <c r="EF441" t="s">
        <v>29</v>
      </c>
      <c r="EG441" t="s">
        <v>29</v>
      </c>
      <c r="EH441" t="s">
        <v>29</v>
      </c>
      <c r="EI441" t="s">
        <v>1773</v>
      </c>
      <c r="EJ441" t="s">
        <v>29</v>
      </c>
      <c r="EK441" t="s">
        <v>29</v>
      </c>
      <c r="EL441" t="s">
        <v>29</v>
      </c>
      <c r="EM441" t="s">
        <v>1768</v>
      </c>
      <c r="EN441" t="s">
        <v>29</v>
      </c>
      <c r="EO441" t="s">
        <v>29</v>
      </c>
      <c r="EP441" t="s">
        <v>29</v>
      </c>
      <c r="EQ441" t="s">
        <v>1769</v>
      </c>
      <c r="ER441" t="s">
        <v>29</v>
      </c>
      <c r="ES441" t="s">
        <v>29</v>
      </c>
      <c r="ET441" t="s">
        <v>29</v>
      </c>
      <c r="EU441" t="s">
        <v>1770</v>
      </c>
      <c r="EV441" t="s">
        <v>29</v>
      </c>
      <c r="EW441" t="s">
        <v>29</v>
      </c>
      <c r="EX441" t="s">
        <v>29</v>
      </c>
      <c r="EY441" t="s">
        <v>1771</v>
      </c>
      <c r="EZ441" t="s">
        <v>29</v>
      </c>
      <c r="FA441" t="s">
        <v>29</v>
      </c>
      <c r="FB441" t="s">
        <v>29</v>
      </c>
      <c r="FC441" t="s">
        <v>1772</v>
      </c>
      <c r="FD441" t="s">
        <v>29</v>
      </c>
      <c r="FE441" t="s">
        <v>29</v>
      </c>
      <c r="FF441" t="s">
        <v>29</v>
      </c>
      <c r="GM441" t="s">
        <v>1775</v>
      </c>
      <c r="GN441" s="9" t="s">
        <v>29</v>
      </c>
      <c r="GO441" s="9" t="s">
        <v>29</v>
      </c>
      <c r="GP441" s="9" t="s">
        <v>29</v>
      </c>
      <c r="GQ441" s="9"/>
      <c r="GR441" s="9"/>
      <c r="GS441" s="9"/>
      <c r="GT441" s="9"/>
      <c r="GU441" s="9"/>
      <c r="GV441" s="9"/>
      <c r="GW441" s="9"/>
      <c r="GX441" s="9"/>
      <c r="GY441" s="9"/>
      <c r="GZ441" s="9"/>
      <c r="HA441" s="9"/>
      <c r="HB441" s="9"/>
      <c r="HC441" s="9"/>
      <c r="HD441" s="9"/>
      <c r="HE441" s="9"/>
      <c r="HF441" s="9"/>
      <c r="HG441" s="9"/>
      <c r="HH441" s="9"/>
      <c r="HI441" s="9"/>
      <c r="HJ441" s="9"/>
      <c r="HK441" s="9"/>
      <c r="HL441" s="9"/>
      <c r="HY441" s="58"/>
      <c r="HZ441" t="s">
        <v>1760</v>
      </c>
      <c r="IA441" t="s">
        <v>1795</v>
      </c>
      <c r="IW441" t="s">
        <v>1760</v>
      </c>
      <c r="IX441" s="84" t="s">
        <v>1792</v>
      </c>
      <c r="IY441" t="s">
        <v>1767</v>
      </c>
      <c r="IZ441" s="54" t="s">
        <v>1776</v>
      </c>
      <c r="JA441">
        <v>1</v>
      </c>
      <c r="JB441">
        <v>81</v>
      </c>
      <c r="MZ441" t="s">
        <v>1805</v>
      </c>
      <c r="NA441">
        <v>1963</v>
      </c>
      <c r="NB441" t="s">
        <v>1750</v>
      </c>
      <c r="NC441" t="s">
        <v>1745</v>
      </c>
      <c r="NH441" t="s">
        <v>1789</v>
      </c>
      <c r="NI441" t="s">
        <v>711</v>
      </c>
      <c r="NK441" t="s">
        <v>1751</v>
      </c>
      <c r="NM441" t="s">
        <v>1751</v>
      </c>
      <c r="NW441" t="s">
        <v>6</v>
      </c>
      <c r="NX441">
        <v>0.3</v>
      </c>
      <c r="NY441" t="s">
        <v>1446</v>
      </c>
      <c r="NZ441">
        <v>0.5</v>
      </c>
      <c r="OC441">
        <v>8</v>
      </c>
      <c r="OT441" t="s">
        <v>1576</v>
      </c>
      <c r="OV441">
        <v>2010</v>
      </c>
      <c r="PA441" t="s">
        <v>1169</v>
      </c>
      <c r="PB441" s="58">
        <v>46108</v>
      </c>
    </row>
    <row r="442" spans="1:418" ht="15.75" thickBot="1">
      <c r="A442" t="s">
        <v>36</v>
      </c>
      <c r="B442" t="s">
        <v>1739</v>
      </c>
      <c r="C442" t="s">
        <v>1740</v>
      </c>
      <c r="D442" s="4" t="s">
        <v>245</v>
      </c>
      <c r="E442" t="s">
        <v>1806</v>
      </c>
      <c r="F442" s="4" t="s">
        <v>1804</v>
      </c>
      <c r="G442" t="s">
        <v>254</v>
      </c>
      <c r="H442" t="s">
        <v>30</v>
      </c>
      <c r="I442">
        <v>-23.748532000000001</v>
      </c>
      <c r="J442">
        <v>-62.056702000000001</v>
      </c>
      <c r="K442" s="87" t="s">
        <v>29</v>
      </c>
      <c r="AV442" t="s">
        <v>1766</v>
      </c>
      <c r="AW442" t="s">
        <v>234</v>
      </c>
      <c r="AX442">
        <v>3600</v>
      </c>
      <c r="AY442" s="5">
        <v>5.5555555555555558E-3</v>
      </c>
      <c r="AZ442" t="s">
        <v>1803</v>
      </c>
      <c r="BA442">
        <v>2010</v>
      </c>
      <c r="BD442" t="s">
        <v>1759</v>
      </c>
      <c r="BE442" t="s">
        <v>1762</v>
      </c>
      <c r="BF442" t="s">
        <v>57</v>
      </c>
      <c r="BG442" t="s">
        <v>1779</v>
      </c>
      <c r="BH442" t="s">
        <v>1777</v>
      </c>
      <c r="BI442" t="s">
        <v>29</v>
      </c>
      <c r="BJ442" t="s">
        <v>29</v>
      </c>
      <c r="BK442" t="s">
        <v>29</v>
      </c>
      <c r="EE442" t="s">
        <v>1774</v>
      </c>
      <c r="EF442" t="s">
        <v>29</v>
      </c>
      <c r="EG442" t="s">
        <v>29</v>
      </c>
      <c r="EH442" t="s">
        <v>29</v>
      </c>
      <c r="EI442" t="s">
        <v>1773</v>
      </c>
      <c r="EJ442" t="s">
        <v>29</v>
      </c>
      <c r="EK442" t="s">
        <v>29</v>
      </c>
      <c r="EL442" t="s">
        <v>29</v>
      </c>
      <c r="EM442" t="s">
        <v>1768</v>
      </c>
      <c r="EN442" t="s">
        <v>29</v>
      </c>
      <c r="EO442" t="s">
        <v>29</v>
      </c>
      <c r="EP442" t="s">
        <v>29</v>
      </c>
      <c r="EQ442" t="s">
        <v>1769</v>
      </c>
      <c r="ER442" t="s">
        <v>29</v>
      </c>
      <c r="ES442" t="s">
        <v>29</v>
      </c>
      <c r="ET442" t="s">
        <v>29</v>
      </c>
      <c r="EU442" t="s">
        <v>1770</v>
      </c>
      <c r="EV442" t="s">
        <v>29</v>
      </c>
      <c r="EW442" t="s">
        <v>29</v>
      </c>
      <c r="EX442" t="s">
        <v>29</v>
      </c>
      <c r="EY442" t="s">
        <v>1771</v>
      </c>
      <c r="EZ442" t="s">
        <v>29</v>
      </c>
      <c r="FA442" t="s">
        <v>29</v>
      </c>
      <c r="FB442" t="s">
        <v>29</v>
      </c>
      <c r="FC442" t="s">
        <v>1772</v>
      </c>
      <c r="FD442" t="s">
        <v>29</v>
      </c>
      <c r="FE442" t="s">
        <v>29</v>
      </c>
      <c r="FF442" t="s">
        <v>29</v>
      </c>
      <c r="FG442" s="9"/>
      <c r="FH442" s="9"/>
      <c r="FI442" s="9"/>
      <c r="FJ442" s="9"/>
      <c r="FK442" s="9"/>
      <c r="FL442" s="9"/>
      <c r="FM442" s="9"/>
      <c r="FN442" s="9"/>
      <c r="FO442" s="9"/>
      <c r="FP442" s="9"/>
      <c r="FQ442" s="9"/>
      <c r="FR442" s="9"/>
      <c r="FS442" s="9"/>
      <c r="FT442" s="9"/>
      <c r="FU442" s="9"/>
      <c r="FV442" s="9"/>
      <c r="FW442" s="9"/>
      <c r="FX442" s="9"/>
      <c r="FY442" s="9"/>
      <c r="FZ442" s="9"/>
      <c r="GA442" s="9"/>
      <c r="GB442" s="9"/>
      <c r="GC442" s="9"/>
      <c r="GD442" s="9"/>
      <c r="GE442" s="9"/>
      <c r="GF442" s="9"/>
      <c r="GG442" s="9"/>
      <c r="GH442" s="9"/>
      <c r="GI442" s="9"/>
      <c r="GJ442" s="9"/>
      <c r="GK442" s="9"/>
      <c r="GL442" s="9"/>
      <c r="GM442" s="9" t="s">
        <v>1775</v>
      </c>
      <c r="GN442" s="9" t="s">
        <v>29</v>
      </c>
      <c r="GO442" s="9" t="s">
        <v>29</v>
      </c>
      <c r="GP442" s="9" t="s">
        <v>29</v>
      </c>
      <c r="GQ442" s="9"/>
      <c r="GR442" s="9"/>
      <c r="GS442" s="9"/>
      <c r="GT442" s="9"/>
      <c r="GU442" s="9"/>
      <c r="GV442" s="9"/>
      <c r="GW442" s="9"/>
      <c r="GX442" s="9"/>
      <c r="GY442" s="9"/>
      <c r="GZ442" s="9"/>
      <c r="HA442" s="9"/>
      <c r="HB442" s="9"/>
      <c r="HC442" s="9"/>
      <c r="HD442" s="9"/>
      <c r="HE442" s="9"/>
      <c r="HF442" s="9"/>
      <c r="HG442" s="9"/>
      <c r="HH442" s="9"/>
      <c r="HI442" s="9"/>
      <c r="HJ442" s="9"/>
      <c r="HK442" s="9"/>
      <c r="HL442" s="9"/>
      <c r="HY442" s="58"/>
      <c r="HZ442" t="s">
        <v>1762</v>
      </c>
      <c r="IA442" t="s">
        <v>1795</v>
      </c>
      <c r="IW442" t="s">
        <v>1762</v>
      </c>
      <c r="IX442" s="84" t="s">
        <v>1792</v>
      </c>
      <c r="IY442" s="12" t="s">
        <v>1767</v>
      </c>
      <c r="IZ442" s="54" t="s">
        <v>1778</v>
      </c>
      <c r="JA442">
        <v>7.5</v>
      </c>
      <c r="JB442">
        <v>56</v>
      </c>
      <c r="MZ442" t="s">
        <v>1805</v>
      </c>
      <c r="NA442">
        <v>1963</v>
      </c>
      <c r="NB442" t="s">
        <v>1750</v>
      </c>
      <c r="NC442" t="s">
        <v>1745</v>
      </c>
      <c r="NH442" t="s">
        <v>1789</v>
      </c>
      <c r="NI442" t="s">
        <v>711</v>
      </c>
      <c r="NK442" t="s">
        <v>1751</v>
      </c>
      <c r="NM442" t="s">
        <v>1751</v>
      </c>
      <c r="NW442" t="s">
        <v>6</v>
      </c>
      <c r="NX442">
        <v>0.6</v>
      </c>
      <c r="NY442" t="s">
        <v>1446</v>
      </c>
      <c r="NZ442">
        <v>0.8</v>
      </c>
      <c r="OC442">
        <v>7</v>
      </c>
      <c r="OT442" t="s">
        <v>1576</v>
      </c>
      <c r="OV442">
        <v>2010</v>
      </c>
      <c r="PA442" t="s">
        <v>1169</v>
      </c>
      <c r="PB442" s="58">
        <v>46108</v>
      </c>
    </row>
    <row r="443" spans="1:418" ht="15.75" thickBot="1">
      <c r="A443" t="s">
        <v>36</v>
      </c>
      <c r="B443" t="s">
        <v>1739</v>
      </c>
      <c r="C443" t="s">
        <v>1740</v>
      </c>
      <c r="D443" s="4" t="s">
        <v>245</v>
      </c>
      <c r="E443" t="s">
        <v>1806</v>
      </c>
      <c r="F443" s="4" t="s">
        <v>1804</v>
      </c>
      <c r="G443" t="s">
        <v>254</v>
      </c>
      <c r="H443" t="s">
        <v>30</v>
      </c>
      <c r="I443">
        <v>-23.748532000000001</v>
      </c>
      <c r="J443">
        <v>-62.056702000000001</v>
      </c>
      <c r="K443" s="87" t="s">
        <v>29</v>
      </c>
      <c r="AV443" t="s">
        <v>1766</v>
      </c>
      <c r="AW443" t="s">
        <v>234</v>
      </c>
      <c r="AX443">
        <v>3600</v>
      </c>
      <c r="AY443" s="5">
        <v>5.5555555555555558E-3</v>
      </c>
      <c r="AZ443" t="s">
        <v>1803</v>
      </c>
      <c r="BA443">
        <v>2010</v>
      </c>
      <c r="BD443" t="s">
        <v>1759</v>
      </c>
      <c r="BE443" t="s">
        <v>1764</v>
      </c>
      <c r="BF443" t="s">
        <v>48</v>
      </c>
      <c r="BG443" t="s">
        <v>1779</v>
      </c>
      <c r="BH443" t="s">
        <v>1781</v>
      </c>
      <c r="BI443" t="s">
        <v>29</v>
      </c>
      <c r="BJ443" t="s">
        <v>29</v>
      </c>
      <c r="BK443" t="s">
        <v>29</v>
      </c>
      <c r="EE443" t="s">
        <v>1774</v>
      </c>
      <c r="EF443" t="s">
        <v>29</v>
      </c>
      <c r="EG443" t="s">
        <v>29</v>
      </c>
      <c r="EH443" t="s">
        <v>29</v>
      </c>
      <c r="EI443" t="s">
        <v>1773</v>
      </c>
      <c r="EJ443" t="s">
        <v>29</v>
      </c>
      <c r="EK443" t="s">
        <v>29</v>
      </c>
      <c r="EL443" t="s">
        <v>29</v>
      </c>
      <c r="EM443" t="s">
        <v>1768</v>
      </c>
      <c r="EN443" t="s">
        <v>29</v>
      </c>
      <c r="EO443" t="s">
        <v>29</v>
      </c>
      <c r="EP443" t="s">
        <v>29</v>
      </c>
      <c r="EQ443" t="s">
        <v>1769</v>
      </c>
      <c r="ER443" t="s">
        <v>29</v>
      </c>
      <c r="ES443" t="s">
        <v>29</v>
      </c>
      <c r="ET443" t="s">
        <v>29</v>
      </c>
      <c r="EU443" t="s">
        <v>1770</v>
      </c>
      <c r="EV443" t="s">
        <v>29</v>
      </c>
      <c r="EW443" t="s">
        <v>29</v>
      </c>
      <c r="EX443" t="s">
        <v>29</v>
      </c>
      <c r="EY443" t="s">
        <v>1771</v>
      </c>
      <c r="EZ443" t="s">
        <v>29</v>
      </c>
      <c r="FA443" t="s">
        <v>29</v>
      </c>
      <c r="FB443" t="s">
        <v>29</v>
      </c>
      <c r="FC443" t="s">
        <v>1772</v>
      </c>
      <c r="FD443" t="s">
        <v>29</v>
      </c>
      <c r="FE443" t="s">
        <v>29</v>
      </c>
      <c r="FF443" t="s">
        <v>29</v>
      </c>
      <c r="FG443" s="9"/>
      <c r="FH443" s="9"/>
      <c r="FI443" s="9"/>
      <c r="FJ443" s="9"/>
      <c r="FK443" s="9"/>
      <c r="FL443" s="9"/>
      <c r="FM443" s="9"/>
      <c r="FN443" s="9"/>
      <c r="FO443" s="9"/>
      <c r="FP443" s="9"/>
      <c r="FQ443" s="9"/>
      <c r="FR443" s="9"/>
      <c r="FS443" s="9"/>
      <c r="FT443" s="9"/>
      <c r="FU443" s="9"/>
      <c r="FV443" s="9"/>
      <c r="FW443" s="9"/>
      <c r="FX443" s="9"/>
      <c r="FY443" s="9"/>
      <c r="FZ443" s="9"/>
      <c r="GA443" s="9"/>
      <c r="GB443" s="9"/>
      <c r="GC443" s="9"/>
      <c r="GD443" s="9"/>
      <c r="GE443" s="9"/>
      <c r="GF443" s="9"/>
      <c r="GG443" s="9"/>
      <c r="GH443" s="9"/>
      <c r="GI443" s="9"/>
      <c r="GJ443" s="9"/>
      <c r="GK443" s="9"/>
      <c r="GL443" s="9"/>
      <c r="GM443" s="9" t="s">
        <v>1775</v>
      </c>
      <c r="GN443" s="9" t="s">
        <v>29</v>
      </c>
      <c r="GO443" s="9" t="s">
        <v>29</v>
      </c>
      <c r="GP443" s="9" t="s">
        <v>29</v>
      </c>
      <c r="GQ443" s="9"/>
      <c r="GR443" s="9"/>
      <c r="GS443" s="9"/>
      <c r="GT443" s="9"/>
      <c r="GU443" s="9"/>
      <c r="GV443" s="9"/>
      <c r="GW443" s="9"/>
      <c r="GX443" s="9"/>
      <c r="GY443" s="9"/>
      <c r="GZ443" s="9"/>
      <c r="HA443" s="9"/>
      <c r="HB443" s="9"/>
      <c r="HC443" s="9"/>
      <c r="HD443" s="9"/>
      <c r="HE443" s="9"/>
      <c r="HF443" s="9"/>
      <c r="HG443" s="9"/>
      <c r="HH443" s="9"/>
      <c r="HI443" s="9"/>
      <c r="HJ443" s="9"/>
      <c r="HK443" s="9"/>
      <c r="HL443" s="9"/>
      <c r="HY443" s="58"/>
      <c r="HZ443" t="s">
        <v>1764</v>
      </c>
      <c r="IA443" t="s">
        <v>1794</v>
      </c>
      <c r="IW443" t="s">
        <v>1764</v>
      </c>
      <c r="IX443" s="84" t="s">
        <v>1792</v>
      </c>
      <c r="IY443" s="12" t="s">
        <v>1767</v>
      </c>
      <c r="IZ443" s="54" t="s">
        <v>1778</v>
      </c>
      <c r="JA443">
        <v>7.5</v>
      </c>
      <c r="JB443">
        <v>37</v>
      </c>
      <c r="MZ443" t="s">
        <v>1805</v>
      </c>
      <c r="NA443">
        <v>1963</v>
      </c>
      <c r="NB443" t="s">
        <v>1750</v>
      </c>
      <c r="NC443" t="s">
        <v>1745</v>
      </c>
      <c r="NH443" t="s">
        <v>1789</v>
      </c>
      <c r="NI443" t="s">
        <v>711</v>
      </c>
      <c r="NK443" t="s">
        <v>1751</v>
      </c>
      <c r="NM443" t="s">
        <v>1751</v>
      </c>
      <c r="NW443" t="s">
        <v>6</v>
      </c>
      <c r="NX443">
        <v>0.9</v>
      </c>
      <c r="NY443" t="s">
        <v>1446</v>
      </c>
      <c r="NZ443">
        <v>0.9</v>
      </c>
      <c r="OC443">
        <v>5</v>
      </c>
      <c r="OT443" t="s">
        <v>1576</v>
      </c>
      <c r="OV443">
        <v>2010</v>
      </c>
      <c r="PA443" t="s">
        <v>1169</v>
      </c>
      <c r="PB443" s="58">
        <v>46108</v>
      </c>
    </row>
    <row r="444" spans="1:418" ht="15.75" thickBot="1">
      <c r="A444" t="s">
        <v>36</v>
      </c>
      <c r="B444" t="s">
        <v>1739</v>
      </c>
      <c r="C444" t="s">
        <v>1740</v>
      </c>
      <c r="D444" s="4" t="s">
        <v>245</v>
      </c>
      <c r="E444" t="s">
        <v>1806</v>
      </c>
      <c r="F444" s="4" t="s">
        <v>1804</v>
      </c>
      <c r="G444" t="s">
        <v>254</v>
      </c>
      <c r="H444" t="s">
        <v>30</v>
      </c>
      <c r="I444">
        <v>-23.748532000000001</v>
      </c>
      <c r="J444">
        <v>-62.056702000000001</v>
      </c>
      <c r="K444" s="87" t="s">
        <v>29</v>
      </c>
      <c r="AV444" t="s">
        <v>1766</v>
      </c>
      <c r="AW444" t="s">
        <v>234</v>
      </c>
      <c r="AX444" t="s">
        <v>234</v>
      </c>
      <c r="AY444" s="5">
        <v>5.5555555555555558E-3</v>
      </c>
      <c r="AZ444" t="s">
        <v>1803</v>
      </c>
      <c r="BA444">
        <v>2010</v>
      </c>
      <c r="BD444" t="s">
        <v>1747</v>
      </c>
      <c r="BE444" t="s">
        <v>1748</v>
      </c>
      <c r="BF444" t="s">
        <v>24</v>
      </c>
      <c r="BG444" t="s">
        <v>1779</v>
      </c>
      <c r="BH444" t="s">
        <v>1781</v>
      </c>
      <c r="BI444" t="s">
        <v>29</v>
      </c>
      <c r="BJ444" t="s">
        <v>29</v>
      </c>
      <c r="BK444" t="s">
        <v>29</v>
      </c>
      <c r="GM444" t="s">
        <v>1775</v>
      </c>
      <c r="GN444" s="9" t="s">
        <v>29</v>
      </c>
      <c r="GO444" s="9" t="s">
        <v>29</v>
      </c>
      <c r="GP444" s="9" t="s">
        <v>29</v>
      </c>
      <c r="HZ444" t="s">
        <v>1748</v>
      </c>
      <c r="IA444" t="s">
        <v>1794</v>
      </c>
      <c r="IW444" t="s">
        <v>1748</v>
      </c>
      <c r="IX444" s="54" t="s">
        <v>1793</v>
      </c>
      <c r="IY444" s="54" t="s">
        <v>1793</v>
      </c>
      <c r="IZ444" s="54" t="s">
        <v>1780</v>
      </c>
      <c r="JA444">
        <v>1</v>
      </c>
      <c r="JB444">
        <v>6</v>
      </c>
      <c r="MZ444" t="s">
        <v>1805</v>
      </c>
      <c r="NA444">
        <v>1963</v>
      </c>
      <c r="NB444" t="s">
        <v>1750</v>
      </c>
      <c r="NC444" t="s">
        <v>1745</v>
      </c>
      <c r="NH444" t="s">
        <v>1789</v>
      </c>
      <c r="NI444" t="s">
        <v>711</v>
      </c>
      <c r="NK444" t="s">
        <v>1751</v>
      </c>
      <c r="NM444" t="s">
        <v>1751</v>
      </c>
      <c r="NV444" t="s">
        <v>1828</v>
      </c>
      <c r="NW444" t="s">
        <v>6</v>
      </c>
      <c r="NX444">
        <v>0.9</v>
      </c>
      <c r="NY444" t="s">
        <v>1446</v>
      </c>
      <c r="NZ444">
        <v>0.7</v>
      </c>
      <c r="OC444">
        <v>7</v>
      </c>
      <c r="OT444" t="s">
        <v>1576</v>
      </c>
      <c r="OV444">
        <v>2010</v>
      </c>
      <c r="PA444" t="s">
        <v>1169</v>
      </c>
      <c r="PB444" s="58">
        <v>46108</v>
      </c>
    </row>
    <row r="445" spans="1:418" ht="15.75" thickBot="1">
      <c r="A445" t="s">
        <v>36</v>
      </c>
      <c r="B445" t="s">
        <v>1739</v>
      </c>
      <c r="C445" t="s">
        <v>1740</v>
      </c>
      <c r="D445" s="4" t="s">
        <v>245</v>
      </c>
      <c r="E445" t="s">
        <v>1806</v>
      </c>
      <c r="F445" s="4" t="s">
        <v>1804</v>
      </c>
      <c r="G445" t="s">
        <v>254</v>
      </c>
      <c r="H445" t="s">
        <v>30</v>
      </c>
      <c r="I445">
        <v>-23.748532000000001</v>
      </c>
      <c r="J445">
        <v>-62.056702000000001</v>
      </c>
      <c r="K445" s="87" t="s">
        <v>29</v>
      </c>
      <c r="AV445" t="s">
        <v>1766</v>
      </c>
      <c r="AW445" t="s">
        <v>234</v>
      </c>
      <c r="AX445">
        <v>1000</v>
      </c>
      <c r="AY445" s="5">
        <v>5.5555555555555558E-3</v>
      </c>
      <c r="AZ445" t="s">
        <v>1803</v>
      </c>
      <c r="BA445">
        <v>2010</v>
      </c>
      <c r="BD445" t="s">
        <v>1825</v>
      </c>
      <c r="BE445" t="s">
        <v>1742</v>
      </c>
      <c r="BF445" t="s">
        <v>39</v>
      </c>
      <c r="BG445" t="s">
        <v>1743</v>
      </c>
      <c r="EE445" t="s">
        <v>1774</v>
      </c>
      <c r="EF445" t="s">
        <v>29</v>
      </c>
      <c r="EG445" t="s">
        <v>29</v>
      </c>
      <c r="EH445" t="s">
        <v>29</v>
      </c>
      <c r="EI445" t="s">
        <v>1773</v>
      </c>
      <c r="EJ445" t="s">
        <v>29</v>
      </c>
      <c r="EK445" t="s">
        <v>29</v>
      </c>
      <c r="EL445" t="s">
        <v>29</v>
      </c>
      <c r="EM445" t="s">
        <v>1768</v>
      </c>
      <c r="EN445" t="s">
        <v>29</v>
      </c>
      <c r="EO445" t="s">
        <v>29</v>
      </c>
      <c r="EP445" t="s">
        <v>29</v>
      </c>
      <c r="EQ445" t="s">
        <v>1769</v>
      </c>
      <c r="ER445" t="s">
        <v>29</v>
      </c>
      <c r="ES445" t="s">
        <v>29</v>
      </c>
      <c r="ET445" t="s">
        <v>29</v>
      </c>
      <c r="EU445" t="s">
        <v>1770</v>
      </c>
      <c r="EV445" t="s">
        <v>29</v>
      </c>
      <c r="EW445" t="s">
        <v>29</v>
      </c>
      <c r="EX445" t="s">
        <v>29</v>
      </c>
      <c r="EY445" t="s">
        <v>1771</v>
      </c>
      <c r="EZ445" t="s">
        <v>29</v>
      </c>
      <c r="FA445" t="s">
        <v>29</v>
      </c>
      <c r="FB445" t="s">
        <v>29</v>
      </c>
      <c r="FC445" t="s">
        <v>1772</v>
      </c>
      <c r="FD445" t="s">
        <v>29</v>
      </c>
      <c r="FE445" t="s">
        <v>29</v>
      </c>
      <c r="FF445" t="s">
        <v>29</v>
      </c>
      <c r="HZ445" t="s">
        <v>1742</v>
      </c>
      <c r="IW445" t="s">
        <v>1742</v>
      </c>
      <c r="IX445" t="s">
        <v>1791</v>
      </c>
      <c r="IY445" t="s">
        <v>1791</v>
      </c>
      <c r="IZ445" t="s">
        <v>1791</v>
      </c>
      <c r="JA445">
        <v>5</v>
      </c>
      <c r="JB445">
        <v>70</v>
      </c>
      <c r="MZ445" t="s">
        <v>1805</v>
      </c>
      <c r="NA445">
        <v>1963</v>
      </c>
      <c r="NB445" t="s">
        <v>1756</v>
      </c>
      <c r="NC445" t="s">
        <v>1745</v>
      </c>
      <c r="NH445" t="s">
        <v>1790</v>
      </c>
      <c r="NI445" t="s">
        <v>711</v>
      </c>
      <c r="NK445" t="s">
        <v>1751</v>
      </c>
      <c r="NM445" t="s">
        <v>1751</v>
      </c>
      <c r="NV445" t="s">
        <v>1827</v>
      </c>
      <c r="NW445" t="s">
        <v>6</v>
      </c>
      <c r="NX445">
        <v>5.6</v>
      </c>
      <c r="NY445" t="s">
        <v>1446</v>
      </c>
      <c r="NZ445">
        <v>2.2999999999999998</v>
      </c>
      <c r="OC445">
        <v>6</v>
      </c>
      <c r="OT445" t="s">
        <v>1576</v>
      </c>
      <c r="OV445">
        <v>2010</v>
      </c>
      <c r="PA445" t="s">
        <v>1169</v>
      </c>
      <c r="PB445" s="58">
        <v>46108</v>
      </c>
    </row>
    <row r="446" spans="1:418" ht="15.75" thickBot="1">
      <c r="A446" t="s">
        <v>36</v>
      </c>
      <c r="B446" t="s">
        <v>1739</v>
      </c>
      <c r="C446" t="s">
        <v>1740</v>
      </c>
      <c r="D446" s="4" t="s">
        <v>245</v>
      </c>
      <c r="E446" t="s">
        <v>1806</v>
      </c>
      <c r="F446" s="4" t="s">
        <v>1804</v>
      </c>
      <c r="G446" t="s">
        <v>254</v>
      </c>
      <c r="H446" t="s">
        <v>30</v>
      </c>
      <c r="I446">
        <v>-23.748532000000001</v>
      </c>
      <c r="J446">
        <v>-62.056702000000001</v>
      </c>
      <c r="K446" s="87" t="s">
        <v>29</v>
      </c>
      <c r="AV446" t="s">
        <v>1766</v>
      </c>
      <c r="AW446" t="s">
        <v>234</v>
      </c>
      <c r="AX446" t="s">
        <v>234</v>
      </c>
      <c r="AY446" s="5">
        <v>5.5555555555555558E-3</v>
      </c>
      <c r="AZ446" t="s">
        <v>1803</v>
      </c>
      <c r="BA446">
        <v>2010</v>
      </c>
      <c r="BD446" t="s">
        <v>1759</v>
      </c>
      <c r="BE446" t="s">
        <v>1760</v>
      </c>
      <c r="BF446" t="s">
        <v>64</v>
      </c>
      <c r="BG446" t="s">
        <v>1779</v>
      </c>
      <c r="BH446" t="s">
        <v>1777</v>
      </c>
      <c r="BI446" t="s">
        <v>1782</v>
      </c>
      <c r="BJ446" t="s">
        <v>29</v>
      </c>
      <c r="BK446" t="s">
        <v>29</v>
      </c>
      <c r="EE446" t="s">
        <v>1774</v>
      </c>
      <c r="EF446" t="s">
        <v>29</v>
      </c>
      <c r="EG446" t="s">
        <v>29</v>
      </c>
      <c r="EH446" t="s">
        <v>29</v>
      </c>
      <c r="EI446" t="s">
        <v>1773</v>
      </c>
      <c r="EJ446" t="s">
        <v>29</v>
      </c>
      <c r="EK446" t="s">
        <v>29</v>
      </c>
      <c r="EL446" t="s">
        <v>29</v>
      </c>
      <c r="EM446" t="s">
        <v>1768</v>
      </c>
      <c r="EN446" t="s">
        <v>29</v>
      </c>
      <c r="EO446" t="s">
        <v>29</v>
      </c>
      <c r="EP446" t="s">
        <v>29</v>
      </c>
      <c r="EQ446" t="s">
        <v>1769</v>
      </c>
      <c r="ER446" t="s">
        <v>29</v>
      </c>
      <c r="ES446" t="s">
        <v>29</v>
      </c>
      <c r="ET446" t="s">
        <v>29</v>
      </c>
      <c r="EU446" t="s">
        <v>1770</v>
      </c>
      <c r="EV446" t="s">
        <v>29</v>
      </c>
      <c r="EW446" t="s">
        <v>29</v>
      </c>
      <c r="EX446" t="s">
        <v>29</v>
      </c>
      <c r="EY446" t="s">
        <v>1771</v>
      </c>
      <c r="EZ446" t="s">
        <v>29</v>
      </c>
      <c r="FA446" t="s">
        <v>29</v>
      </c>
      <c r="FB446" t="s">
        <v>29</v>
      </c>
      <c r="FC446" t="s">
        <v>1772</v>
      </c>
      <c r="FD446" t="s">
        <v>29</v>
      </c>
      <c r="FE446" t="s">
        <v>29</v>
      </c>
      <c r="FF446" t="s">
        <v>29</v>
      </c>
      <c r="GM446" t="s">
        <v>1775</v>
      </c>
      <c r="GN446" s="9" t="s">
        <v>29</v>
      </c>
      <c r="GO446" s="9" t="s">
        <v>29</v>
      </c>
      <c r="GP446" s="9" t="s">
        <v>29</v>
      </c>
      <c r="GQ446" s="9"/>
      <c r="GR446" s="9"/>
      <c r="GS446" s="9"/>
      <c r="GT446" s="9"/>
      <c r="GU446" s="9"/>
      <c r="GV446" s="9"/>
      <c r="GW446" s="9"/>
      <c r="GX446" s="9"/>
      <c r="GY446" s="9"/>
      <c r="GZ446" s="9"/>
      <c r="HA446" s="9"/>
      <c r="HB446" s="9"/>
      <c r="HC446" s="9"/>
      <c r="HD446" s="9"/>
      <c r="HE446" s="9"/>
      <c r="HF446" s="9"/>
      <c r="HG446" s="9"/>
      <c r="HH446" s="9"/>
      <c r="HI446" s="9"/>
      <c r="HJ446" s="9"/>
      <c r="HK446" s="9"/>
      <c r="HL446" s="9"/>
      <c r="HY446" s="58"/>
      <c r="HZ446" t="s">
        <v>1760</v>
      </c>
      <c r="IA446" t="s">
        <v>1795</v>
      </c>
      <c r="IW446" t="s">
        <v>1760</v>
      </c>
      <c r="IX446" s="84" t="s">
        <v>1792</v>
      </c>
      <c r="IY446" t="s">
        <v>1767</v>
      </c>
      <c r="IZ446" s="54" t="s">
        <v>1776</v>
      </c>
      <c r="JA446">
        <v>1</v>
      </c>
      <c r="JB446">
        <v>81</v>
      </c>
      <c r="MZ446" t="s">
        <v>1805</v>
      </c>
      <c r="NA446">
        <v>1963</v>
      </c>
      <c r="NB446" t="s">
        <v>1756</v>
      </c>
      <c r="NC446" t="s">
        <v>1745</v>
      </c>
      <c r="NH446" t="s">
        <v>1790</v>
      </c>
      <c r="NI446" t="s">
        <v>711</v>
      </c>
      <c r="NK446" t="s">
        <v>1751</v>
      </c>
      <c r="NM446" t="s">
        <v>1751</v>
      </c>
      <c r="NW446" t="s">
        <v>6</v>
      </c>
      <c r="NX446">
        <v>5.0999999999999996</v>
      </c>
      <c r="NY446" t="s">
        <v>1446</v>
      </c>
      <c r="NZ446">
        <v>2.2999999999999998</v>
      </c>
      <c r="OC446">
        <v>8</v>
      </c>
      <c r="OT446" t="s">
        <v>1576</v>
      </c>
      <c r="OV446">
        <v>2010</v>
      </c>
      <c r="PA446" t="s">
        <v>1169</v>
      </c>
      <c r="PB446" s="58">
        <v>46108</v>
      </c>
    </row>
    <row r="447" spans="1:418" ht="15.75" thickBot="1">
      <c r="A447" t="s">
        <v>36</v>
      </c>
      <c r="B447" t="s">
        <v>1739</v>
      </c>
      <c r="C447" t="s">
        <v>1740</v>
      </c>
      <c r="D447" s="4" t="s">
        <v>245</v>
      </c>
      <c r="E447" t="s">
        <v>1806</v>
      </c>
      <c r="F447" s="4" t="s">
        <v>1804</v>
      </c>
      <c r="G447" t="s">
        <v>254</v>
      </c>
      <c r="H447" t="s">
        <v>30</v>
      </c>
      <c r="I447">
        <v>-23.748532000000001</v>
      </c>
      <c r="J447">
        <v>-62.056702000000001</v>
      </c>
      <c r="K447" s="87" t="s">
        <v>29</v>
      </c>
      <c r="AV447" t="s">
        <v>1766</v>
      </c>
      <c r="AW447" t="s">
        <v>234</v>
      </c>
      <c r="AX447">
        <v>3600</v>
      </c>
      <c r="AY447" s="5">
        <v>5.5555555555555558E-3</v>
      </c>
      <c r="AZ447" t="s">
        <v>1803</v>
      </c>
      <c r="BA447">
        <v>2010</v>
      </c>
      <c r="BD447" t="s">
        <v>1759</v>
      </c>
      <c r="BE447" t="s">
        <v>1762</v>
      </c>
      <c r="BF447" t="s">
        <v>57</v>
      </c>
      <c r="BG447" t="s">
        <v>1779</v>
      </c>
      <c r="BH447" t="s">
        <v>1777</v>
      </c>
      <c r="BI447" t="s">
        <v>29</v>
      </c>
      <c r="BJ447" t="s">
        <v>29</v>
      </c>
      <c r="BK447" t="s">
        <v>29</v>
      </c>
      <c r="EE447" t="s">
        <v>1774</v>
      </c>
      <c r="EF447" t="s">
        <v>29</v>
      </c>
      <c r="EG447" t="s">
        <v>29</v>
      </c>
      <c r="EH447" t="s">
        <v>29</v>
      </c>
      <c r="EI447" t="s">
        <v>1773</v>
      </c>
      <c r="EJ447" t="s">
        <v>29</v>
      </c>
      <c r="EK447" t="s">
        <v>29</v>
      </c>
      <c r="EL447" t="s">
        <v>29</v>
      </c>
      <c r="EM447" t="s">
        <v>1768</v>
      </c>
      <c r="EN447" t="s">
        <v>29</v>
      </c>
      <c r="EO447" t="s">
        <v>29</v>
      </c>
      <c r="EP447" t="s">
        <v>29</v>
      </c>
      <c r="EQ447" t="s">
        <v>1769</v>
      </c>
      <c r="ER447" t="s">
        <v>29</v>
      </c>
      <c r="ES447" t="s">
        <v>29</v>
      </c>
      <c r="ET447" t="s">
        <v>29</v>
      </c>
      <c r="EU447" t="s">
        <v>1770</v>
      </c>
      <c r="EV447" t="s">
        <v>29</v>
      </c>
      <c r="EW447" t="s">
        <v>29</v>
      </c>
      <c r="EX447" t="s">
        <v>29</v>
      </c>
      <c r="EY447" t="s">
        <v>1771</v>
      </c>
      <c r="EZ447" t="s">
        <v>29</v>
      </c>
      <c r="FA447" t="s">
        <v>29</v>
      </c>
      <c r="FB447" t="s">
        <v>29</v>
      </c>
      <c r="FC447" t="s">
        <v>1772</v>
      </c>
      <c r="FD447" t="s">
        <v>29</v>
      </c>
      <c r="FE447" t="s">
        <v>29</v>
      </c>
      <c r="FF447" t="s">
        <v>29</v>
      </c>
      <c r="FG447" s="9"/>
      <c r="FH447" s="9"/>
      <c r="FI447" s="9"/>
      <c r="FJ447" s="9"/>
      <c r="FK447" s="9"/>
      <c r="FL447" s="9"/>
      <c r="FM447" s="9"/>
      <c r="FN447" s="9"/>
      <c r="FO447" s="9"/>
      <c r="FP447" s="9"/>
      <c r="FQ447" s="9"/>
      <c r="FR447" s="9"/>
      <c r="FS447" s="9"/>
      <c r="FT447" s="9"/>
      <c r="FU447" s="9"/>
      <c r="FV447" s="9"/>
      <c r="FW447" s="9"/>
      <c r="FX447" s="9"/>
      <c r="FY447" s="9"/>
      <c r="FZ447" s="9"/>
      <c r="GA447" s="9"/>
      <c r="GB447" s="9"/>
      <c r="GC447" s="9"/>
      <c r="GD447" s="9"/>
      <c r="GE447" s="9"/>
      <c r="GF447" s="9"/>
      <c r="GG447" s="9"/>
      <c r="GH447" s="9"/>
      <c r="GI447" s="9"/>
      <c r="GJ447" s="9"/>
      <c r="GK447" s="9"/>
      <c r="GL447" s="9"/>
      <c r="GM447" s="9" t="s">
        <v>1775</v>
      </c>
      <c r="GN447" s="9" t="s">
        <v>29</v>
      </c>
      <c r="GO447" s="9" t="s">
        <v>29</v>
      </c>
      <c r="GP447" s="9" t="s">
        <v>29</v>
      </c>
      <c r="GQ447" s="9"/>
      <c r="GR447" s="9"/>
      <c r="GS447" s="9"/>
      <c r="GT447" s="9"/>
      <c r="GU447" s="9"/>
      <c r="GV447" s="9"/>
      <c r="GW447" s="9"/>
      <c r="GX447" s="9"/>
      <c r="GY447" s="9"/>
      <c r="GZ447" s="9"/>
      <c r="HA447" s="9"/>
      <c r="HB447" s="9"/>
      <c r="HC447" s="9"/>
      <c r="HD447" s="9"/>
      <c r="HE447" s="9"/>
      <c r="HF447" s="9"/>
      <c r="HG447" s="9"/>
      <c r="HH447" s="9"/>
      <c r="HI447" s="9"/>
      <c r="HJ447" s="9"/>
      <c r="HK447" s="9"/>
      <c r="HL447" s="9"/>
      <c r="HY447" s="58"/>
      <c r="HZ447" t="s">
        <v>1762</v>
      </c>
      <c r="IA447" t="s">
        <v>1795</v>
      </c>
      <c r="IW447" t="s">
        <v>1762</v>
      </c>
      <c r="IX447" s="84" t="s">
        <v>1792</v>
      </c>
      <c r="IY447" s="12" t="s">
        <v>1767</v>
      </c>
      <c r="IZ447" s="54" t="s">
        <v>1778</v>
      </c>
      <c r="JA447">
        <v>7.5</v>
      </c>
      <c r="JB447">
        <v>56</v>
      </c>
      <c r="MZ447" t="s">
        <v>1805</v>
      </c>
      <c r="NA447">
        <v>1963</v>
      </c>
      <c r="NB447" t="s">
        <v>1756</v>
      </c>
      <c r="NC447" t="s">
        <v>1745</v>
      </c>
      <c r="NH447" t="s">
        <v>1790</v>
      </c>
      <c r="NI447" t="s">
        <v>711</v>
      </c>
      <c r="NK447" t="s">
        <v>1751</v>
      </c>
      <c r="NM447" t="s">
        <v>1751</v>
      </c>
      <c r="NW447" t="s">
        <v>6</v>
      </c>
      <c r="NX447">
        <v>5.0999999999999996</v>
      </c>
      <c r="NY447" t="s">
        <v>1446</v>
      </c>
      <c r="NZ447">
        <v>2.1</v>
      </c>
      <c r="OC447">
        <v>7</v>
      </c>
      <c r="OT447" t="s">
        <v>1576</v>
      </c>
      <c r="OV447">
        <v>2010</v>
      </c>
      <c r="PA447" t="s">
        <v>1169</v>
      </c>
      <c r="PB447" s="58">
        <v>46108</v>
      </c>
    </row>
    <row r="448" spans="1:418" ht="15.75" thickBot="1">
      <c r="A448" t="s">
        <v>36</v>
      </c>
      <c r="B448" t="s">
        <v>1739</v>
      </c>
      <c r="C448" t="s">
        <v>1740</v>
      </c>
      <c r="D448" s="4" t="s">
        <v>245</v>
      </c>
      <c r="E448" t="s">
        <v>1806</v>
      </c>
      <c r="F448" s="4" t="s">
        <v>1804</v>
      </c>
      <c r="G448" t="s">
        <v>254</v>
      </c>
      <c r="H448" t="s">
        <v>30</v>
      </c>
      <c r="I448">
        <v>-23.748532000000001</v>
      </c>
      <c r="J448">
        <v>-62.056702000000001</v>
      </c>
      <c r="K448" s="87" t="s">
        <v>29</v>
      </c>
      <c r="AV448" t="s">
        <v>1766</v>
      </c>
      <c r="AW448" t="s">
        <v>234</v>
      </c>
      <c r="AX448">
        <v>3600</v>
      </c>
      <c r="AY448" s="5">
        <v>5.5555555555555558E-3</v>
      </c>
      <c r="AZ448" t="s">
        <v>1803</v>
      </c>
      <c r="BA448">
        <v>2010</v>
      </c>
      <c r="BD448" t="s">
        <v>1759</v>
      </c>
      <c r="BE448" t="s">
        <v>1764</v>
      </c>
      <c r="BF448" t="s">
        <v>48</v>
      </c>
      <c r="BG448" t="s">
        <v>1779</v>
      </c>
      <c r="BH448" t="s">
        <v>1781</v>
      </c>
      <c r="BI448" t="s">
        <v>29</v>
      </c>
      <c r="BJ448" t="s">
        <v>29</v>
      </c>
      <c r="BK448" t="s">
        <v>29</v>
      </c>
      <c r="EE448" t="s">
        <v>1774</v>
      </c>
      <c r="EF448" t="s">
        <v>29</v>
      </c>
      <c r="EG448" t="s">
        <v>29</v>
      </c>
      <c r="EH448" t="s">
        <v>29</v>
      </c>
      <c r="EI448" t="s">
        <v>1773</v>
      </c>
      <c r="EJ448" t="s">
        <v>29</v>
      </c>
      <c r="EK448" t="s">
        <v>29</v>
      </c>
      <c r="EL448" t="s">
        <v>29</v>
      </c>
      <c r="EM448" t="s">
        <v>1768</v>
      </c>
      <c r="EN448" t="s">
        <v>29</v>
      </c>
      <c r="EO448" t="s">
        <v>29</v>
      </c>
      <c r="EP448" t="s">
        <v>29</v>
      </c>
      <c r="EQ448" t="s">
        <v>1769</v>
      </c>
      <c r="ER448" t="s">
        <v>29</v>
      </c>
      <c r="ES448" t="s">
        <v>29</v>
      </c>
      <c r="ET448" t="s">
        <v>29</v>
      </c>
      <c r="EU448" t="s">
        <v>1770</v>
      </c>
      <c r="EV448" t="s">
        <v>29</v>
      </c>
      <c r="EW448" t="s">
        <v>29</v>
      </c>
      <c r="EX448" t="s">
        <v>29</v>
      </c>
      <c r="EY448" t="s">
        <v>1771</v>
      </c>
      <c r="EZ448" t="s">
        <v>29</v>
      </c>
      <c r="FA448" t="s">
        <v>29</v>
      </c>
      <c r="FB448" t="s">
        <v>29</v>
      </c>
      <c r="FC448" t="s">
        <v>1772</v>
      </c>
      <c r="FD448" t="s">
        <v>29</v>
      </c>
      <c r="FE448" t="s">
        <v>29</v>
      </c>
      <c r="FF448" t="s">
        <v>29</v>
      </c>
      <c r="FG448" s="9"/>
      <c r="FH448" s="9"/>
      <c r="FI448" s="9"/>
      <c r="FJ448" s="9"/>
      <c r="FK448" s="9"/>
      <c r="FL448" s="9"/>
      <c r="FM448" s="9"/>
      <c r="FN448" s="9"/>
      <c r="FO448" s="9"/>
      <c r="FP448" s="9"/>
      <c r="FQ448" s="9"/>
      <c r="FR448" s="9"/>
      <c r="FS448" s="9"/>
      <c r="FT448" s="9"/>
      <c r="FU448" s="9"/>
      <c r="FV448" s="9"/>
      <c r="FW448" s="9"/>
      <c r="FX448" s="9"/>
      <c r="FY448" s="9"/>
      <c r="FZ448" s="9"/>
      <c r="GA448" s="9"/>
      <c r="GB448" s="9"/>
      <c r="GC448" s="9"/>
      <c r="GD448" s="9"/>
      <c r="GE448" s="9"/>
      <c r="GF448" s="9"/>
      <c r="GG448" s="9"/>
      <c r="GH448" s="9"/>
      <c r="GI448" s="9"/>
      <c r="GJ448" s="9"/>
      <c r="GK448" s="9"/>
      <c r="GL448" s="9"/>
      <c r="GM448" s="9" t="s">
        <v>1775</v>
      </c>
      <c r="GN448" s="9" t="s">
        <v>29</v>
      </c>
      <c r="GO448" s="9" t="s">
        <v>29</v>
      </c>
      <c r="GP448" s="9" t="s">
        <v>29</v>
      </c>
      <c r="GQ448" s="9"/>
      <c r="GR448" s="9"/>
      <c r="GS448" s="9"/>
      <c r="GT448" s="9"/>
      <c r="GU448" s="9"/>
      <c r="GV448" s="9"/>
      <c r="GW448" s="9"/>
      <c r="GX448" s="9"/>
      <c r="GY448" s="9"/>
      <c r="GZ448" s="9"/>
      <c r="HA448" s="9"/>
      <c r="HB448" s="9"/>
      <c r="HC448" s="9"/>
      <c r="HD448" s="9"/>
      <c r="HE448" s="9"/>
      <c r="HF448" s="9"/>
      <c r="HG448" s="9"/>
      <c r="HH448" s="9"/>
      <c r="HI448" s="9"/>
      <c r="HJ448" s="9"/>
      <c r="HK448" s="9"/>
      <c r="HL448" s="9"/>
      <c r="HY448" s="58"/>
      <c r="HZ448" t="s">
        <v>1764</v>
      </c>
      <c r="IA448" t="s">
        <v>1794</v>
      </c>
      <c r="IW448" t="s">
        <v>1764</v>
      </c>
      <c r="IX448" s="84" t="s">
        <v>1792</v>
      </c>
      <c r="IY448" s="12" t="s">
        <v>1767</v>
      </c>
      <c r="IZ448" s="54" t="s">
        <v>1778</v>
      </c>
      <c r="JA448">
        <v>7.5</v>
      </c>
      <c r="JB448">
        <v>37</v>
      </c>
      <c r="MZ448" t="s">
        <v>1805</v>
      </c>
      <c r="NA448">
        <v>1963</v>
      </c>
      <c r="NB448" t="s">
        <v>1756</v>
      </c>
      <c r="NC448" t="s">
        <v>1745</v>
      </c>
      <c r="NH448" t="s">
        <v>1790</v>
      </c>
      <c r="NI448" t="s">
        <v>711</v>
      </c>
      <c r="NK448" t="s">
        <v>1751</v>
      </c>
      <c r="NM448" t="s">
        <v>1751</v>
      </c>
      <c r="NW448" t="s">
        <v>6</v>
      </c>
      <c r="NX448">
        <v>4.5999999999999996</v>
      </c>
      <c r="NY448" t="s">
        <v>1446</v>
      </c>
      <c r="NZ448">
        <v>2.4</v>
      </c>
      <c r="OC448">
        <v>5</v>
      </c>
      <c r="OT448" t="s">
        <v>1576</v>
      </c>
      <c r="OV448">
        <v>2010</v>
      </c>
      <c r="PA448" t="s">
        <v>1169</v>
      </c>
      <c r="PB448" s="58">
        <v>46108</v>
      </c>
    </row>
    <row r="449" spans="1:418" ht="15.75" thickBot="1">
      <c r="A449" t="s">
        <v>36</v>
      </c>
      <c r="B449" t="s">
        <v>1739</v>
      </c>
      <c r="C449" t="s">
        <v>1740</v>
      </c>
      <c r="D449" s="4" t="s">
        <v>245</v>
      </c>
      <c r="E449" t="s">
        <v>1806</v>
      </c>
      <c r="F449" s="4" t="s">
        <v>1804</v>
      </c>
      <c r="G449" t="s">
        <v>254</v>
      </c>
      <c r="H449" t="s">
        <v>30</v>
      </c>
      <c r="I449">
        <v>-23.748532000000001</v>
      </c>
      <c r="J449">
        <v>-62.056702000000001</v>
      </c>
      <c r="K449" s="87" t="s">
        <v>29</v>
      </c>
      <c r="AV449" t="s">
        <v>1766</v>
      </c>
      <c r="AW449" t="s">
        <v>234</v>
      </c>
      <c r="AX449" t="s">
        <v>234</v>
      </c>
      <c r="AY449" s="5">
        <v>5.5555555555555558E-3</v>
      </c>
      <c r="AZ449" t="s">
        <v>1803</v>
      </c>
      <c r="BA449">
        <v>2010</v>
      </c>
      <c r="BD449" t="s">
        <v>1747</v>
      </c>
      <c r="BE449" t="s">
        <v>1748</v>
      </c>
      <c r="BF449" t="s">
        <v>24</v>
      </c>
      <c r="BG449" t="s">
        <v>1779</v>
      </c>
      <c r="BH449" t="s">
        <v>1781</v>
      </c>
      <c r="BI449" t="s">
        <v>29</v>
      </c>
      <c r="BJ449" t="s">
        <v>29</v>
      </c>
      <c r="BK449" t="s">
        <v>29</v>
      </c>
      <c r="GM449" t="s">
        <v>1775</v>
      </c>
      <c r="GN449" s="9" t="s">
        <v>29</v>
      </c>
      <c r="GO449" s="9" t="s">
        <v>29</v>
      </c>
      <c r="GP449" s="9" t="s">
        <v>29</v>
      </c>
      <c r="HZ449" t="s">
        <v>1748</v>
      </c>
      <c r="IA449" t="s">
        <v>1794</v>
      </c>
      <c r="IW449" t="s">
        <v>1748</v>
      </c>
      <c r="IX449" s="54" t="s">
        <v>1793</v>
      </c>
      <c r="IY449" s="54" t="s">
        <v>1793</v>
      </c>
      <c r="IZ449" s="54" t="s">
        <v>1780</v>
      </c>
      <c r="JA449">
        <v>1</v>
      </c>
      <c r="JB449">
        <v>6</v>
      </c>
      <c r="MZ449" t="s">
        <v>1805</v>
      </c>
      <c r="NA449">
        <v>1963</v>
      </c>
      <c r="NB449" t="s">
        <v>1756</v>
      </c>
      <c r="NC449" t="s">
        <v>1745</v>
      </c>
      <c r="NH449" t="s">
        <v>1790</v>
      </c>
      <c r="NI449" t="s">
        <v>711</v>
      </c>
      <c r="NK449" t="s">
        <v>1751</v>
      </c>
      <c r="NM449" t="s">
        <v>1751</v>
      </c>
      <c r="NV449" t="s">
        <v>1828</v>
      </c>
      <c r="NW449" t="s">
        <v>6</v>
      </c>
      <c r="NX449">
        <v>1.3</v>
      </c>
      <c r="NY449" t="s">
        <v>1446</v>
      </c>
      <c r="NZ449">
        <v>1.3</v>
      </c>
      <c r="OC449">
        <v>7</v>
      </c>
      <c r="OT449" t="s">
        <v>1576</v>
      </c>
      <c r="OV449">
        <v>2010</v>
      </c>
      <c r="PA449" t="s">
        <v>1169</v>
      </c>
      <c r="PB449" s="58">
        <v>46108</v>
      </c>
    </row>
    <row r="450" spans="1:418" ht="15.75" thickBot="1">
      <c r="A450" t="s">
        <v>36</v>
      </c>
      <c r="B450" t="s">
        <v>1739</v>
      </c>
      <c r="C450" t="s">
        <v>1740</v>
      </c>
      <c r="D450" s="4" t="s">
        <v>245</v>
      </c>
      <c r="E450" t="s">
        <v>1806</v>
      </c>
      <c r="F450" s="4" t="s">
        <v>1804</v>
      </c>
      <c r="G450" t="s">
        <v>254</v>
      </c>
      <c r="H450" t="s">
        <v>30</v>
      </c>
      <c r="I450">
        <v>-23.748532000000001</v>
      </c>
      <c r="J450">
        <v>-62.056702000000001</v>
      </c>
      <c r="K450" s="87" t="s">
        <v>29</v>
      </c>
      <c r="AV450" t="s">
        <v>1766</v>
      </c>
      <c r="AW450" t="s">
        <v>234</v>
      </c>
      <c r="AX450">
        <v>1000</v>
      </c>
      <c r="AY450" s="5">
        <v>5.5555555555555558E-3</v>
      </c>
      <c r="AZ450" t="s">
        <v>1803</v>
      </c>
      <c r="BA450">
        <v>2010</v>
      </c>
      <c r="BD450" t="s">
        <v>1825</v>
      </c>
      <c r="BE450" t="s">
        <v>1742</v>
      </c>
      <c r="BF450" t="s">
        <v>39</v>
      </c>
      <c r="BG450" t="s">
        <v>1743</v>
      </c>
      <c r="EE450" t="s">
        <v>1774</v>
      </c>
      <c r="EF450" t="s">
        <v>29</v>
      </c>
      <c r="EG450" t="s">
        <v>29</v>
      </c>
      <c r="EH450" t="s">
        <v>29</v>
      </c>
      <c r="EI450" t="s">
        <v>1773</v>
      </c>
      <c r="EJ450" t="s">
        <v>29</v>
      </c>
      <c r="EK450" t="s">
        <v>29</v>
      </c>
      <c r="EL450" t="s">
        <v>29</v>
      </c>
      <c r="EM450" t="s">
        <v>1768</v>
      </c>
      <c r="EN450" t="s">
        <v>29</v>
      </c>
      <c r="EO450" t="s">
        <v>29</v>
      </c>
      <c r="EP450" t="s">
        <v>29</v>
      </c>
      <c r="EQ450" t="s">
        <v>1769</v>
      </c>
      <c r="ER450" t="s">
        <v>29</v>
      </c>
      <c r="ES450" t="s">
        <v>29</v>
      </c>
      <c r="ET450" t="s">
        <v>29</v>
      </c>
      <c r="EU450" t="s">
        <v>1770</v>
      </c>
      <c r="EV450" t="s">
        <v>29</v>
      </c>
      <c r="EW450" t="s">
        <v>29</v>
      </c>
      <c r="EX450" t="s">
        <v>29</v>
      </c>
      <c r="EY450" t="s">
        <v>1771</v>
      </c>
      <c r="EZ450" t="s">
        <v>29</v>
      </c>
      <c r="FA450" t="s">
        <v>29</v>
      </c>
      <c r="FB450" t="s">
        <v>29</v>
      </c>
      <c r="FC450" t="s">
        <v>1772</v>
      </c>
      <c r="FD450" t="s">
        <v>29</v>
      </c>
      <c r="FE450" t="s">
        <v>29</v>
      </c>
      <c r="FF450" t="s">
        <v>29</v>
      </c>
      <c r="HZ450" t="s">
        <v>1742</v>
      </c>
      <c r="IW450" t="s">
        <v>1742</v>
      </c>
      <c r="IX450" t="s">
        <v>1791</v>
      </c>
      <c r="IY450" t="s">
        <v>1791</v>
      </c>
      <c r="IZ450" t="s">
        <v>1791</v>
      </c>
      <c r="JA450">
        <v>5</v>
      </c>
      <c r="JB450">
        <v>70</v>
      </c>
      <c r="MZ450" t="s">
        <v>1805</v>
      </c>
      <c r="NA450">
        <v>1963</v>
      </c>
      <c r="NB450" t="s">
        <v>1752</v>
      </c>
      <c r="NC450" t="s">
        <v>1745</v>
      </c>
      <c r="NH450" t="s">
        <v>1753</v>
      </c>
      <c r="NI450" t="s">
        <v>711</v>
      </c>
      <c r="NK450" t="s">
        <v>1751</v>
      </c>
      <c r="NM450" t="s">
        <v>1751</v>
      </c>
      <c r="NV450" t="s">
        <v>1827</v>
      </c>
      <c r="NW450" t="s">
        <v>6</v>
      </c>
      <c r="NX450">
        <v>1.7</v>
      </c>
      <c r="NY450" t="s">
        <v>1446</v>
      </c>
      <c r="NZ450">
        <v>1</v>
      </c>
      <c r="OC450">
        <v>6</v>
      </c>
      <c r="OT450" t="s">
        <v>1576</v>
      </c>
      <c r="OV450">
        <v>2010</v>
      </c>
      <c r="PA450" t="s">
        <v>1169</v>
      </c>
      <c r="PB450" s="58">
        <v>46108</v>
      </c>
    </row>
    <row r="451" spans="1:418" ht="15.75" thickBot="1">
      <c r="A451" t="s">
        <v>36</v>
      </c>
      <c r="B451" t="s">
        <v>1739</v>
      </c>
      <c r="C451" t="s">
        <v>1740</v>
      </c>
      <c r="D451" s="4" t="s">
        <v>245</v>
      </c>
      <c r="E451" t="s">
        <v>1806</v>
      </c>
      <c r="F451" s="4" t="s">
        <v>1804</v>
      </c>
      <c r="G451" t="s">
        <v>254</v>
      </c>
      <c r="H451" t="s">
        <v>30</v>
      </c>
      <c r="I451">
        <v>-23.748532000000001</v>
      </c>
      <c r="J451">
        <v>-62.056702000000001</v>
      </c>
      <c r="K451" s="87" t="s">
        <v>29</v>
      </c>
      <c r="AV451" t="s">
        <v>1766</v>
      </c>
      <c r="AW451" t="s">
        <v>234</v>
      </c>
      <c r="AX451" t="s">
        <v>234</v>
      </c>
      <c r="AY451" s="5">
        <v>5.5555555555555558E-3</v>
      </c>
      <c r="AZ451" t="s">
        <v>1803</v>
      </c>
      <c r="BA451">
        <v>2010</v>
      </c>
      <c r="BD451" t="s">
        <v>1759</v>
      </c>
      <c r="BE451" t="s">
        <v>1760</v>
      </c>
      <c r="BF451" t="s">
        <v>64</v>
      </c>
      <c r="BG451" t="s">
        <v>1779</v>
      </c>
      <c r="BH451" t="s">
        <v>1777</v>
      </c>
      <c r="BI451" t="s">
        <v>1782</v>
      </c>
      <c r="BJ451" t="s">
        <v>29</v>
      </c>
      <c r="BK451" t="s">
        <v>29</v>
      </c>
      <c r="EE451" t="s">
        <v>1774</v>
      </c>
      <c r="EF451" t="s">
        <v>29</v>
      </c>
      <c r="EG451" t="s">
        <v>29</v>
      </c>
      <c r="EH451" t="s">
        <v>29</v>
      </c>
      <c r="EI451" t="s">
        <v>1773</v>
      </c>
      <c r="EJ451" t="s">
        <v>29</v>
      </c>
      <c r="EK451" t="s">
        <v>29</v>
      </c>
      <c r="EL451" t="s">
        <v>29</v>
      </c>
      <c r="EM451" t="s">
        <v>1768</v>
      </c>
      <c r="EN451" t="s">
        <v>29</v>
      </c>
      <c r="EO451" t="s">
        <v>29</v>
      </c>
      <c r="EP451" t="s">
        <v>29</v>
      </c>
      <c r="EQ451" t="s">
        <v>1769</v>
      </c>
      <c r="ER451" t="s">
        <v>29</v>
      </c>
      <c r="ES451" t="s">
        <v>29</v>
      </c>
      <c r="ET451" t="s">
        <v>29</v>
      </c>
      <c r="EU451" t="s">
        <v>1770</v>
      </c>
      <c r="EV451" t="s">
        <v>29</v>
      </c>
      <c r="EW451" t="s">
        <v>29</v>
      </c>
      <c r="EX451" t="s">
        <v>29</v>
      </c>
      <c r="EY451" t="s">
        <v>1771</v>
      </c>
      <c r="EZ451" t="s">
        <v>29</v>
      </c>
      <c r="FA451" t="s">
        <v>29</v>
      </c>
      <c r="FB451" t="s">
        <v>29</v>
      </c>
      <c r="FC451" t="s">
        <v>1772</v>
      </c>
      <c r="FD451" t="s">
        <v>29</v>
      </c>
      <c r="FE451" t="s">
        <v>29</v>
      </c>
      <c r="FF451" t="s">
        <v>29</v>
      </c>
      <c r="GM451" t="s">
        <v>1775</v>
      </c>
      <c r="GN451" s="9" t="s">
        <v>29</v>
      </c>
      <c r="GO451" s="9" t="s">
        <v>29</v>
      </c>
      <c r="GP451" s="9" t="s">
        <v>29</v>
      </c>
      <c r="GQ451" s="9"/>
      <c r="GR451" s="9"/>
      <c r="GS451" s="9"/>
      <c r="GT451" s="9"/>
      <c r="GU451" s="9"/>
      <c r="GV451" s="9"/>
      <c r="GW451" s="9"/>
      <c r="GX451" s="9"/>
      <c r="GY451" s="9"/>
      <c r="GZ451" s="9"/>
      <c r="HA451" s="9"/>
      <c r="HB451" s="9"/>
      <c r="HC451" s="9"/>
      <c r="HD451" s="9"/>
      <c r="HE451" s="9"/>
      <c r="HF451" s="9"/>
      <c r="HG451" s="9"/>
      <c r="HH451" s="9"/>
      <c r="HI451" s="9"/>
      <c r="HJ451" s="9"/>
      <c r="HK451" s="9"/>
      <c r="HL451" s="9"/>
      <c r="HY451" s="58"/>
      <c r="HZ451" t="s">
        <v>1760</v>
      </c>
      <c r="IA451" t="s">
        <v>1795</v>
      </c>
      <c r="IW451" t="s">
        <v>1760</v>
      </c>
      <c r="IX451" s="84" t="s">
        <v>1792</v>
      </c>
      <c r="IY451" t="s">
        <v>1767</v>
      </c>
      <c r="IZ451" s="54" t="s">
        <v>1776</v>
      </c>
      <c r="JA451">
        <v>1</v>
      </c>
      <c r="JB451">
        <v>81</v>
      </c>
      <c r="MZ451" t="s">
        <v>1805</v>
      </c>
      <c r="NA451">
        <v>1963</v>
      </c>
      <c r="NB451" t="s">
        <v>1752</v>
      </c>
      <c r="NC451" t="s">
        <v>1745</v>
      </c>
      <c r="NH451" t="s">
        <v>1753</v>
      </c>
      <c r="NI451" t="s">
        <v>711</v>
      </c>
      <c r="NK451" t="s">
        <v>1751</v>
      </c>
      <c r="NM451" t="s">
        <v>1751</v>
      </c>
      <c r="NW451" t="s">
        <v>6</v>
      </c>
      <c r="NX451">
        <v>1</v>
      </c>
      <c r="NY451" t="s">
        <v>1446</v>
      </c>
      <c r="NZ451">
        <v>1</v>
      </c>
      <c r="OC451">
        <v>8</v>
      </c>
      <c r="OT451" t="s">
        <v>1576</v>
      </c>
      <c r="OV451">
        <v>2010</v>
      </c>
      <c r="PA451" t="s">
        <v>1169</v>
      </c>
      <c r="PB451" s="58">
        <v>46108</v>
      </c>
    </row>
    <row r="452" spans="1:418" ht="15.75" thickBot="1">
      <c r="A452" t="s">
        <v>36</v>
      </c>
      <c r="B452" t="s">
        <v>1739</v>
      </c>
      <c r="C452" t="s">
        <v>1740</v>
      </c>
      <c r="D452" s="4" t="s">
        <v>245</v>
      </c>
      <c r="E452" t="s">
        <v>1806</v>
      </c>
      <c r="F452" s="4" t="s">
        <v>1804</v>
      </c>
      <c r="G452" t="s">
        <v>254</v>
      </c>
      <c r="H452" t="s">
        <v>30</v>
      </c>
      <c r="I452">
        <v>-23.748532000000001</v>
      </c>
      <c r="J452">
        <v>-62.056702000000001</v>
      </c>
      <c r="K452" s="87" t="s">
        <v>29</v>
      </c>
      <c r="AV452" t="s">
        <v>1766</v>
      </c>
      <c r="AW452" t="s">
        <v>234</v>
      </c>
      <c r="AX452">
        <v>3600</v>
      </c>
      <c r="AY452" s="5">
        <v>5.5555555555555558E-3</v>
      </c>
      <c r="AZ452" t="s">
        <v>1803</v>
      </c>
      <c r="BA452">
        <v>2010</v>
      </c>
      <c r="BD452" t="s">
        <v>1759</v>
      </c>
      <c r="BE452" t="s">
        <v>1762</v>
      </c>
      <c r="BF452" t="s">
        <v>57</v>
      </c>
      <c r="BG452" t="s">
        <v>1779</v>
      </c>
      <c r="BH452" t="s">
        <v>1777</v>
      </c>
      <c r="BI452" t="s">
        <v>29</v>
      </c>
      <c r="BJ452" t="s">
        <v>29</v>
      </c>
      <c r="BK452" t="s">
        <v>29</v>
      </c>
      <c r="EE452" t="s">
        <v>1774</v>
      </c>
      <c r="EF452" t="s">
        <v>29</v>
      </c>
      <c r="EG452" t="s">
        <v>29</v>
      </c>
      <c r="EH452" t="s">
        <v>29</v>
      </c>
      <c r="EI452" t="s">
        <v>1773</v>
      </c>
      <c r="EJ452" t="s">
        <v>29</v>
      </c>
      <c r="EK452" t="s">
        <v>29</v>
      </c>
      <c r="EL452" t="s">
        <v>29</v>
      </c>
      <c r="EM452" t="s">
        <v>1768</v>
      </c>
      <c r="EN452" t="s">
        <v>29</v>
      </c>
      <c r="EO452" t="s">
        <v>29</v>
      </c>
      <c r="EP452" t="s">
        <v>29</v>
      </c>
      <c r="EQ452" t="s">
        <v>1769</v>
      </c>
      <c r="ER452" t="s">
        <v>29</v>
      </c>
      <c r="ES452" t="s">
        <v>29</v>
      </c>
      <c r="ET452" t="s">
        <v>29</v>
      </c>
      <c r="EU452" t="s">
        <v>1770</v>
      </c>
      <c r="EV452" t="s">
        <v>29</v>
      </c>
      <c r="EW452" t="s">
        <v>29</v>
      </c>
      <c r="EX452" t="s">
        <v>29</v>
      </c>
      <c r="EY452" t="s">
        <v>1771</v>
      </c>
      <c r="EZ452" t="s">
        <v>29</v>
      </c>
      <c r="FA452" t="s">
        <v>29</v>
      </c>
      <c r="FB452" t="s">
        <v>29</v>
      </c>
      <c r="FC452" t="s">
        <v>1772</v>
      </c>
      <c r="FD452" t="s">
        <v>29</v>
      </c>
      <c r="FE452" t="s">
        <v>29</v>
      </c>
      <c r="FF452" t="s">
        <v>29</v>
      </c>
      <c r="FG452" s="9"/>
      <c r="FH452" s="9"/>
      <c r="FI452" s="9"/>
      <c r="FJ452" s="9"/>
      <c r="FK452" s="9"/>
      <c r="FL452" s="9"/>
      <c r="FM452" s="9"/>
      <c r="FN452" s="9"/>
      <c r="FO452" s="9"/>
      <c r="FP452" s="9"/>
      <c r="FQ452" s="9"/>
      <c r="FR452" s="9"/>
      <c r="FS452" s="9"/>
      <c r="FT452" s="9"/>
      <c r="FU452" s="9"/>
      <c r="FV452" s="9"/>
      <c r="FW452" s="9"/>
      <c r="FX452" s="9"/>
      <c r="FY452" s="9"/>
      <c r="FZ452" s="9"/>
      <c r="GA452" s="9"/>
      <c r="GB452" s="9"/>
      <c r="GC452" s="9"/>
      <c r="GD452" s="9"/>
      <c r="GE452" s="9"/>
      <c r="GF452" s="9"/>
      <c r="GG452" s="9"/>
      <c r="GH452" s="9"/>
      <c r="GI452" s="9"/>
      <c r="GJ452" s="9"/>
      <c r="GK452" s="9"/>
      <c r="GL452" s="9"/>
      <c r="GM452" s="9" t="s">
        <v>1775</v>
      </c>
      <c r="GN452" s="9" t="s">
        <v>29</v>
      </c>
      <c r="GO452" s="9" t="s">
        <v>29</v>
      </c>
      <c r="GP452" s="9" t="s">
        <v>29</v>
      </c>
      <c r="GQ452" s="9"/>
      <c r="GR452" s="9"/>
      <c r="GS452" s="9"/>
      <c r="GT452" s="9"/>
      <c r="GU452" s="9"/>
      <c r="GV452" s="9"/>
      <c r="GW452" s="9"/>
      <c r="GX452" s="9"/>
      <c r="GY452" s="9"/>
      <c r="GZ452" s="9"/>
      <c r="HA452" s="9"/>
      <c r="HB452" s="9"/>
      <c r="HC452" s="9"/>
      <c r="HD452" s="9"/>
      <c r="HE452" s="9"/>
      <c r="HF452" s="9"/>
      <c r="HG452" s="9"/>
      <c r="HH452" s="9"/>
      <c r="HI452" s="9"/>
      <c r="HJ452" s="9"/>
      <c r="HK452" s="9"/>
      <c r="HL452" s="9"/>
      <c r="HY452" s="58"/>
      <c r="HZ452" t="s">
        <v>1762</v>
      </c>
      <c r="IA452" t="s">
        <v>1795</v>
      </c>
      <c r="IW452" t="s">
        <v>1762</v>
      </c>
      <c r="IX452" s="84" t="s">
        <v>1792</v>
      </c>
      <c r="IY452" s="12" t="s">
        <v>1767</v>
      </c>
      <c r="IZ452" s="54" t="s">
        <v>1778</v>
      </c>
      <c r="JA452">
        <v>7.5</v>
      </c>
      <c r="JB452">
        <v>56</v>
      </c>
      <c r="MZ452" t="s">
        <v>1805</v>
      </c>
      <c r="NA452">
        <v>1963</v>
      </c>
      <c r="NB452" t="s">
        <v>1752</v>
      </c>
      <c r="NC452" t="s">
        <v>1745</v>
      </c>
      <c r="NH452" t="s">
        <v>1753</v>
      </c>
      <c r="NI452" t="s">
        <v>711</v>
      </c>
      <c r="NK452" t="s">
        <v>1751</v>
      </c>
      <c r="NM452" t="s">
        <v>1751</v>
      </c>
      <c r="NW452" t="s">
        <v>6</v>
      </c>
      <c r="NX452">
        <v>0.4</v>
      </c>
      <c r="NY452" t="s">
        <v>1446</v>
      </c>
      <c r="NZ452">
        <v>0.5</v>
      </c>
      <c r="OC452">
        <v>7</v>
      </c>
      <c r="OT452" t="s">
        <v>1576</v>
      </c>
      <c r="OV452">
        <v>2010</v>
      </c>
      <c r="PA452" t="s">
        <v>1169</v>
      </c>
      <c r="PB452" s="58">
        <v>46108</v>
      </c>
    </row>
    <row r="453" spans="1:418" ht="15.75" thickBot="1">
      <c r="A453" t="s">
        <v>36</v>
      </c>
      <c r="B453" t="s">
        <v>1739</v>
      </c>
      <c r="C453" t="s">
        <v>1740</v>
      </c>
      <c r="D453" s="4" t="s">
        <v>245</v>
      </c>
      <c r="E453" t="s">
        <v>1806</v>
      </c>
      <c r="F453" s="4" t="s">
        <v>1804</v>
      </c>
      <c r="G453" t="s">
        <v>254</v>
      </c>
      <c r="H453" t="s">
        <v>30</v>
      </c>
      <c r="I453">
        <v>-23.748532000000001</v>
      </c>
      <c r="J453">
        <v>-62.056702000000001</v>
      </c>
      <c r="K453" s="87" t="s">
        <v>29</v>
      </c>
      <c r="AV453" t="s">
        <v>1766</v>
      </c>
      <c r="AW453" t="s">
        <v>234</v>
      </c>
      <c r="AX453">
        <v>3600</v>
      </c>
      <c r="AY453" s="5">
        <v>5.5555555555555558E-3</v>
      </c>
      <c r="AZ453" t="s">
        <v>1803</v>
      </c>
      <c r="BA453">
        <v>2010</v>
      </c>
      <c r="BD453" t="s">
        <v>1759</v>
      </c>
      <c r="BE453" t="s">
        <v>1764</v>
      </c>
      <c r="BF453" t="s">
        <v>48</v>
      </c>
      <c r="BG453" t="s">
        <v>1779</v>
      </c>
      <c r="BH453" t="s">
        <v>1781</v>
      </c>
      <c r="BI453" t="s">
        <v>29</v>
      </c>
      <c r="BJ453" t="s">
        <v>29</v>
      </c>
      <c r="BK453" t="s">
        <v>29</v>
      </c>
      <c r="EE453" t="s">
        <v>1774</v>
      </c>
      <c r="EF453" t="s">
        <v>29</v>
      </c>
      <c r="EG453" t="s">
        <v>29</v>
      </c>
      <c r="EH453" t="s">
        <v>29</v>
      </c>
      <c r="EI453" t="s">
        <v>1773</v>
      </c>
      <c r="EJ453" t="s">
        <v>29</v>
      </c>
      <c r="EK453" t="s">
        <v>29</v>
      </c>
      <c r="EL453" t="s">
        <v>29</v>
      </c>
      <c r="EM453" t="s">
        <v>1768</v>
      </c>
      <c r="EN453" t="s">
        <v>29</v>
      </c>
      <c r="EO453" t="s">
        <v>29</v>
      </c>
      <c r="EP453" t="s">
        <v>29</v>
      </c>
      <c r="EQ453" t="s">
        <v>1769</v>
      </c>
      <c r="ER453" t="s">
        <v>29</v>
      </c>
      <c r="ES453" t="s">
        <v>29</v>
      </c>
      <c r="ET453" t="s">
        <v>29</v>
      </c>
      <c r="EU453" t="s">
        <v>1770</v>
      </c>
      <c r="EV453" t="s">
        <v>29</v>
      </c>
      <c r="EW453" t="s">
        <v>29</v>
      </c>
      <c r="EX453" t="s">
        <v>29</v>
      </c>
      <c r="EY453" t="s">
        <v>1771</v>
      </c>
      <c r="EZ453" t="s">
        <v>29</v>
      </c>
      <c r="FA453" t="s">
        <v>29</v>
      </c>
      <c r="FB453" t="s">
        <v>29</v>
      </c>
      <c r="FC453" t="s">
        <v>1772</v>
      </c>
      <c r="FD453" t="s">
        <v>29</v>
      </c>
      <c r="FE453" t="s">
        <v>29</v>
      </c>
      <c r="FF453" t="s">
        <v>29</v>
      </c>
      <c r="FG453" s="9"/>
      <c r="FH453" s="9"/>
      <c r="FI453" s="9"/>
      <c r="FJ453" s="9"/>
      <c r="FK453" s="9"/>
      <c r="FL453" s="9"/>
      <c r="FM453" s="9"/>
      <c r="FN453" s="9"/>
      <c r="FO453" s="9"/>
      <c r="FP453" s="9"/>
      <c r="FQ453" s="9"/>
      <c r="FR453" s="9"/>
      <c r="FS453" s="9"/>
      <c r="FT453" s="9"/>
      <c r="FU453" s="9"/>
      <c r="FV453" s="9"/>
      <c r="FW453" s="9"/>
      <c r="FX453" s="9"/>
      <c r="FY453" s="9"/>
      <c r="FZ453" s="9"/>
      <c r="GA453" s="9"/>
      <c r="GB453" s="9"/>
      <c r="GC453" s="9"/>
      <c r="GD453" s="9"/>
      <c r="GE453" s="9"/>
      <c r="GF453" s="9"/>
      <c r="GG453" s="9"/>
      <c r="GH453" s="9"/>
      <c r="GI453" s="9"/>
      <c r="GJ453" s="9"/>
      <c r="GK453" s="9"/>
      <c r="GL453" s="9"/>
      <c r="GM453" s="9" t="s">
        <v>1775</v>
      </c>
      <c r="GN453" s="9" t="s">
        <v>29</v>
      </c>
      <c r="GO453" s="9" t="s">
        <v>29</v>
      </c>
      <c r="GP453" s="9" t="s">
        <v>29</v>
      </c>
      <c r="GQ453" s="9"/>
      <c r="GR453" s="9"/>
      <c r="GS453" s="9"/>
      <c r="GT453" s="9"/>
      <c r="GU453" s="9"/>
      <c r="GV453" s="9"/>
      <c r="GW453" s="9"/>
      <c r="GX453" s="9"/>
      <c r="GY453" s="9"/>
      <c r="GZ453" s="9"/>
      <c r="HA453" s="9"/>
      <c r="HB453" s="9"/>
      <c r="HC453" s="9"/>
      <c r="HD453" s="9"/>
      <c r="HE453" s="9"/>
      <c r="HF453" s="9"/>
      <c r="HG453" s="9"/>
      <c r="HH453" s="9"/>
      <c r="HI453" s="9"/>
      <c r="HJ453" s="9"/>
      <c r="HK453" s="9"/>
      <c r="HL453" s="9"/>
      <c r="HY453" s="58"/>
      <c r="HZ453" t="s">
        <v>1764</v>
      </c>
      <c r="IA453" t="s">
        <v>1794</v>
      </c>
      <c r="IW453" t="s">
        <v>1764</v>
      </c>
      <c r="IX453" s="84" t="s">
        <v>1792</v>
      </c>
      <c r="IY453" s="12" t="s">
        <v>1767</v>
      </c>
      <c r="IZ453" s="54" t="s">
        <v>1778</v>
      </c>
      <c r="JA453">
        <v>7.5</v>
      </c>
      <c r="JB453">
        <v>37</v>
      </c>
      <c r="MZ453" t="s">
        <v>1805</v>
      </c>
      <c r="NA453">
        <v>1963</v>
      </c>
      <c r="NB453" t="s">
        <v>1752</v>
      </c>
      <c r="NC453" t="s">
        <v>1745</v>
      </c>
      <c r="NH453" t="s">
        <v>1753</v>
      </c>
      <c r="NI453" t="s">
        <v>711</v>
      </c>
      <c r="NK453" t="s">
        <v>1751</v>
      </c>
      <c r="NM453" t="s">
        <v>1751</v>
      </c>
      <c r="NW453" t="s">
        <v>6</v>
      </c>
      <c r="NX453">
        <v>0.2</v>
      </c>
      <c r="NY453" t="s">
        <v>1446</v>
      </c>
      <c r="NZ453">
        <v>0.4</v>
      </c>
      <c r="OC453">
        <v>5</v>
      </c>
      <c r="OT453" t="s">
        <v>1576</v>
      </c>
      <c r="OV453">
        <v>2010</v>
      </c>
      <c r="PA453" t="s">
        <v>1169</v>
      </c>
      <c r="PB453" s="58">
        <v>46108</v>
      </c>
    </row>
    <row r="454" spans="1:418" ht="15.75" thickBot="1">
      <c r="A454" t="s">
        <v>36</v>
      </c>
      <c r="B454" t="s">
        <v>1739</v>
      </c>
      <c r="C454" t="s">
        <v>1740</v>
      </c>
      <c r="D454" s="4" t="s">
        <v>245</v>
      </c>
      <c r="E454" t="s">
        <v>1806</v>
      </c>
      <c r="F454" s="4" t="s">
        <v>1804</v>
      </c>
      <c r="G454" t="s">
        <v>254</v>
      </c>
      <c r="H454" t="s">
        <v>30</v>
      </c>
      <c r="I454">
        <v>-23.748532000000001</v>
      </c>
      <c r="J454">
        <v>-62.056702000000001</v>
      </c>
      <c r="K454" s="87" t="s">
        <v>29</v>
      </c>
      <c r="AV454" t="s">
        <v>1766</v>
      </c>
      <c r="AW454" t="s">
        <v>234</v>
      </c>
      <c r="AX454" t="s">
        <v>234</v>
      </c>
      <c r="AY454" s="5">
        <v>5.5555555555555558E-3</v>
      </c>
      <c r="AZ454" t="s">
        <v>1803</v>
      </c>
      <c r="BA454">
        <v>2010</v>
      </c>
      <c r="BD454" t="s">
        <v>1747</v>
      </c>
      <c r="BE454" t="s">
        <v>1748</v>
      </c>
      <c r="BF454" t="s">
        <v>24</v>
      </c>
      <c r="BG454" t="s">
        <v>1779</v>
      </c>
      <c r="BH454" t="s">
        <v>1781</v>
      </c>
      <c r="BI454" t="s">
        <v>29</v>
      </c>
      <c r="BJ454" t="s">
        <v>29</v>
      </c>
      <c r="BK454" t="s">
        <v>29</v>
      </c>
      <c r="GM454" t="s">
        <v>1775</v>
      </c>
      <c r="GN454" s="9" t="s">
        <v>29</v>
      </c>
      <c r="GO454" s="9" t="s">
        <v>29</v>
      </c>
      <c r="GP454" s="9" t="s">
        <v>29</v>
      </c>
      <c r="HZ454" t="s">
        <v>1748</v>
      </c>
      <c r="IA454" t="s">
        <v>1794</v>
      </c>
      <c r="IW454" t="s">
        <v>1748</v>
      </c>
      <c r="IX454" s="54" t="s">
        <v>1793</v>
      </c>
      <c r="IY454" s="54" t="s">
        <v>1793</v>
      </c>
      <c r="IZ454" s="54" t="s">
        <v>1780</v>
      </c>
      <c r="JA454">
        <v>1</v>
      </c>
      <c r="JB454">
        <v>6</v>
      </c>
      <c r="MZ454" t="s">
        <v>1805</v>
      </c>
      <c r="NA454">
        <v>1963</v>
      </c>
      <c r="NB454" t="s">
        <v>1752</v>
      </c>
      <c r="NC454" t="s">
        <v>1745</v>
      </c>
      <c r="NH454" t="s">
        <v>1753</v>
      </c>
      <c r="NI454" t="s">
        <v>711</v>
      </c>
      <c r="NK454" t="s">
        <v>1751</v>
      </c>
      <c r="NM454" t="s">
        <v>1751</v>
      </c>
      <c r="NV454" t="s">
        <v>1828</v>
      </c>
      <c r="NW454" t="s">
        <v>6</v>
      </c>
      <c r="NX454">
        <v>0</v>
      </c>
      <c r="NY454" t="s">
        <v>1446</v>
      </c>
      <c r="NZ454">
        <v>0</v>
      </c>
      <c r="OC454">
        <v>7</v>
      </c>
      <c r="OT454" t="s">
        <v>1576</v>
      </c>
      <c r="OV454">
        <v>2010</v>
      </c>
      <c r="PA454" t="s">
        <v>1169</v>
      </c>
      <c r="PB454" s="58">
        <v>46108</v>
      </c>
    </row>
    <row r="455" spans="1:418" ht="15.75" thickBot="1">
      <c r="A455" t="s">
        <v>36</v>
      </c>
      <c r="B455" t="s">
        <v>1739</v>
      </c>
      <c r="C455" t="s">
        <v>1740</v>
      </c>
      <c r="D455" s="4" t="s">
        <v>245</v>
      </c>
      <c r="E455" t="s">
        <v>1806</v>
      </c>
      <c r="F455" s="4" t="s">
        <v>1804</v>
      </c>
      <c r="G455" t="s">
        <v>254</v>
      </c>
      <c r="H455" t="s">
        <v>30</v>
      </c>
      <c r="I455">
        <v>-23.748532000000001</v>
      </c>
      <c r="J455">
        <v>-62.056702000000001</v>
      </c>
      <c r="K455" s="87" t="s">
        <v>29</v>
      </c>
      <c r="AV455" t="s">
        <v>1766</v>
      </c>
      <c r="AW455" t="s">
        <v>234</v>
      </c>
      <c r="AX455">
        <v>1000</v>
      </c>
      <c r="AY455" s="5">
        <v>5.5555555555555558E-3</v>
      </c>
      <c r="AZ455" t="s">
        <v>1803</v>
      </c>
      <c r="BA455">
        <v>2010</v>
      </c>
      <c r="BD455" t="s">
        <v>1825</v>
      </c>
      <c r="BE455" t="s">
        <v>1742</v>
      </c>
      <c r="BF455" t="s">
        <v>39</v>
      </c>
      <c r="BG455" t="s">
        <v>1743</v>
      </c>
      <c r="EE455" t="s">
        <v>1774</v>
      </c>
      <c r="EF455" t="s">
        <v>29</v>
      </c>
      <c r="EG455" t="s">
        <v>29</v>
      </c>
      <c r="EH455" t="s">
        <v>29</v>
      </c>
      <c r="EI455" t="s">
        <v>1773</v>
      </c>
      <c r="EJ455" t="s">
        <v>29</v>
      </c>
      <c r="EK455" t="s">
        <v>29</v>
      </c>
      <c r="EL455" t="s">
        <v>29</v>
      </c>
      <c r="EM455" t="s">
        <v>1768</v>
      </c>
      <c r="EN455" t="s">
        <v>29</v>
      </c>
      <c r="EO455" t="s">
        <v>29</v>
      </c>
      <c r="EP455" t="s">
        <v>29</v>
      </c>
      <c r="EQ455" t="s">
        <v>1769</v>
      </c>
      <c r="ER455" t="s">
        <v>29</v>
      </c>
      <c r="ES455" t="s">
        <v>29</v>
      </c>
      <c r="ET455" t="s">
        <v>29</v>
      </c>
      <c r="EU455" t="s">
        <v>1770</v>
      </c>
      <c r="EV455" t="s">
        <v>29</v>
      </c>
      <c r="EW455" t="s">
        <v>29</v>
      </c>
      <c r="EX455" t="s">
        <v>29</v>
      </c>
      <c r="EY455" t="s">
        <v>1771</v>
      </c>
      <c r="EZ455" t="s">
        <v>29</v>
      </c>
      <c r="FA455" t="s">
        <v>29</v>
      </c>
      <c r="FB455" t="s">
        <v>29</v>
      </c>
      <c r="FC455" t="s">
        <v>1772</v>
      </c>
      <c r="FD455" t="s">
        <v>29</v>
      </c>
      <c r="FE455" t="s">
        <v>29</v>
      </c>
      <c r="FF455" t="s">
        <v>29</v>
      </c>
      <c r="HZ455" t="s">
        <v>1742</v>
      </c>
      <c r="IW455" t="s">
        <v>1742</v>
      </c>
      <c r="IX455" t="s">
        <v>1791</v>
      </c>
      <c r="IY455" t="s">
        <v>1791</v>
      </c>
      <c r="IZ455" t="s">
        <v>1791</v>
      </c>
      <c r="JA455">
        <v>5</v>
      </c>
      <c r="JB455">
        <v>70</v>
      </c>
      <c r="MZ455" t="s">
        <v>1805</v>
      </c>
      <c r="NA455">
        <v>1963</v>
      </c>
      <c r="NB455" t="s">
        <v>1757</v>
      </c>
      <c r="NC455" t="s">
        <v>1745</v>
      </c>
      <c r="NH455" t="s">
        <v>1758</v>
      </c>
      <c r="NI455" t="s">
        <v>711</v>
      </c>
      <c r="NK455" t="s">
        <v>1751</v>
      </c>
      <c r="NM455" t="s">
        <v>1751</v>
      </c>
      <c r="NV455" t="s">
        <v>1827</v>
      </c>
      <c r="NW455" t="s">
        <v>6</v>
      </c>
      <c r="NX455">
        <v>0.6</v>
      </c>
      <c r="NY455" t="s">
        <v>1446</v>
      </c>
      <c r="NZ455">
        <v>0.6</v>
      </c>
      <c r="OC455">
        <v>6</v>
      </c>
      <c r="OT455" t="s">
        <v>1576</v>
      </c>
      <c r="OV455">
        <v>2010</v>
      </c>
      <c r="PA455" t="s">
        <v>1169</v>
      </c>
      <c r="PB455" s="58">
        <v>46108</v>
      </c>
    </row>
    <row r="456" spans="1:418" ht="15.75" thickBot="1">
      <c r="A456" t="s">
        <v>36</v>
      </c>
      <c r="B456" t="s">
        <v>1739</v>
      </c>
      <c r="C456" t="s">
        <v>1740</v>
      </c>
      <c r="D456" s="4" t="s">
        <v>245</v>
      </c>
      <c r="E456" t="s">
        <v>1806</v>
      </c>
      <c r="F456" s="4" t="s">
        <v>1804</v>
      </c>
      <c r="G456" t="s">
        <v>254</v>
      </c>
      <c r="H456" t="s">
        <v>30</v>
      </c>
      <c r="I456">
        <v>-23.748532000000001</v>
      </c>
      <c r="J456">
        <v>-62.056702000000001</v>
      </c>
      <c r="K456" s="87" t="s">
        <v>29</v>
      </c>
      <c r="AV456" t="s">
        <v>1766</v>
      </c>
      <c r="AW456" t="s">
        <v>234</v>
      </c>
      <c r="AX456" t="s">
        <v>234</v>
      </c>
      <c r="AY456" s="5">
        <v>5.5555555555555558E-3</v>
      </c>
      <c r="AZ456" t="s">
        <v>1803</v>
      </c>
      <c r="BA456">
        <v>2010</v>
      </c>
      <c r="BD456" t="s">
        <v>1759</v>
      </c>
      <c r="BE456" t="s">
        <v>1760</v>
      </c>
      <c r="BF456" t="s">
        <v>64</v>
      </c>
      <c r="BG456" t="s">
        <v>1779</v>
      </c>
      <c r="BH456" t="s">
        <v>1777</v>
      </c>
      <c r="BI456" t="s">
        <v>1782</v>
      </c>
      <c r="BJ456" t="s">
        <v>29</v>
      </c>
      <c r="BK456" t="s">
        <v>29</v>
      </c>
      <c r="EE456" t="s">
        <v>1774</v>
      </c>
      <c r="EF456" t="s">
        <v>29</v>
      </c>
      <c r="EG456" t="s">
        <v>29</v>
      </c>
      <c r="EH456" t="s">
        <v>29</v>
      </c>
      <c r="EI456" t="s">
        <v>1773</v>
      </c>
      <c r="EJ456" t="s">
        <v>29</v>
      </c>
      <c r="EK456" t="s">
        <v>29</v>
      </c>
      <c r="EL456" t="s">
        <v>29</v>
      </c>
      <c r="EM456" t="s">
        <v>1768</v>
      </c>
      <c r="EN456" t="s">
        <v>29</v>
      </c>
      <c r="EO456" t="s">
        <v>29</v>
      </c>
      <c r="EP456" t="s">
        <v>29</v>
      </c>
      <c r="EQ456" t="s">
        <v>1769</v>
      </c>
      <c r="ER456" t="s">
        <v>29</v>
      </c>
      <c r="ES456" t="s">
        <v>29</v>
      </c>
      <c r="ET456" t="s">
        <v>29</v>
      </c>
      <c r="EU456" t="s">
        <v>1770</v>
      </c>
      <c r="EV456" t="s">
        <v>29</v>
      </c>
      <c r="EW456" t="s">
        <v>29</v>
      </c>
      <c r="EX456" t="s">
        <v>29</v>
      </c>
      <c r="EY456" t="s">
        <v>1771</v>
      </c>
      <c r="EZ456" t="s">
        <v>29</v>
      </c>
      <c r="FA456" t="s">
        <v>29</v>
      </c>
      <c r="FB456" t="s">
        <v>29</v>
      </c>
      <c r="FC456" t="s">
        <v>1772</v>
      </c>
      <c r="FD456" t="s">
        <v>29</v>
      </c>
      <c r="FE456" t="s">
        <v>29</v>
      </c>
      <c r="FF456" t="s">
        <v>29</v>
      </c>
      <c r="GM456" t="s">
        <v>1775</v>
      </c>
      <c r="GN456" s="9" t="s">
        <v>29</v>
      </c>
      <c r="GO456" s="9" t="s">
        <v>29</v>
      </c>
      <c r="GP456" s="9" t="s">
        <v>29</v>
      </c>
      <c r="GQ456" s="9"/>
      <c r="GR456" s="9"/>
      <c r="GS456" s="9"/>
      <c r="GT456" s="9"/>
      <c r="GU456" s="9"/>
      <c r="GV456" s="9"/>
      <c r="GW456" s="9"/>
      <c r="GX456" s="9"/>
      <c r="GY456" s="9"/>
      <c r="GZ456" s="9"/>
      <c r="HA456" s="9"/>
      <c r="HB456" s="9"/>
      <c r="HC456" s="9"/>
      <c r="HD456" s="9"/>
      <c r="HE456" s="9"/>
      <c r="HF456" s="9"/>
      <c r="HG456" s="9"/>
      <c r="HH456" s="9"/>
      <c r="HI456" s="9"/>
      <c r="HJ456" s="9"/>
      <c r="HK456" s="9"/>
      <c r="HL456" s="9"/>
      <c r="HY456" s="58"/>
      <c r="HZ456" t="s">
        <v>1760</v>
      </c>
      <c r="IA456" t="s">
        <v>1795</v>
      </c>
      <c r="IW456" t="s">
        <v>1760</v>
      </c>
      <c r="IX456" s="84" t="s">
        <v>1792</v>
      </c>
      <c r="IY456" t="s">
        <v>1767</v>
      </c>
      <c r="IZ456" s="54" t="s">
        <v>1776</v>
      </c>
      <c r="JA456">
        <v>1</v>
      </c>
      <c r="JB456">
        <v>81</v>
      </c>
      <c r="MZ456" t="s">
        <v>1805</v>
      </c>
      <c r="NA456">
        <v>1963</v>
      </c>
      <c r="NB456" t="s">
        <v>1757</v>
      </c>
      <c r="NC456" t="s">
        <v>1745</v>
      </c>
      <c r="NH456" t="s">
        <v>1758</v>
      </c>
      <c r="NI456" t="s">
        <v>711</v>
      </c>
      <c r="NK456" t="s">
        <v>1751</v>
      </c>
      <c r="NM456" t="s">
        <v>1751</v>
      </c>
      <c r="NW456" t="s">
        <v>6</v>
      </c>
      <c r="NX456">
        <v>0.3</v>
      </c>
      <c r="NY456" t="s">
        <v>1446</v>
      </c>
      <c r="NZ456">
        <v>0.5</v>
      </c>
      <c r="OC456">
        <v>8</v>
      </c>
      <c r="OT456" t="s">
        <v>1576</v>
      </c>
      <c r="OV456">
        <v>2010</v>
      </c>
      <c r="PA456" t="s">
        <v>1169</v>
      </c>
      <c r="PB456" s="58">
        <v>46108</v>
      </c>
    </row>
    <row r="457" spans="1:418" ht="15.75" thickBot="1">
      <c r="A457" t="s">
        <v>36</v>
      </c>
      <c r="B457" t="s">
        <v>1739</v>
      </c>
      <c r="C457" t="s">
        <v>1740</v>
      </c>
      <c r="D457" s="4" t="s">
        <v>245</v>
      </c>
      <c r="E457" t="s">
        <v>1806</v>
      </c>
      <c r="F457" s="4" t="s">
        <v>1804</v>
      </c>
      <c r="G457" t="s">
        <v>254</v>
      </c>
      <c r="H457" t="s">
        <v>30</v>
      </c>
      <c r="I457">
        <v>-23.748532000000001</v>
      </c>
      <c r="J457">
        <v>-62.056702000000001</v>
      </c>
      <c r="K457" s="87" t="s">
        <v>29</v>
      </c>
      <c r="AV457" t="s">
        <v>1766</v>
      </c>
      <c r="AW457" t="s">
        <v>234</v>
      </c>
      <c r="AX457">
        <v>3600</v>
      </c>
      <c r="AY457" s="5">
        <v>5.5555555555555558E-3</v>
      </c>
      <c r="AZ457" t="s">
        <v>1803</v>
      </c>
      <c r="BA457">
        <v>2010</v>
      </c>
      <c r="BD457" t="s">
        <v>1759</v>
      </c>
      <c r="BE457" t="s">
        <v>1762</v>
      </c>
      <c r="BF457" t="s">
        <v>57</v>
      </c>
      <c r="BG457" t="s">
        <v>1779</v>
      </c>
      <c r="BH457" t="s">
        <v>1777</v>
      </c>
      <c r="BI457" t="s">
        <v>29</v>
      </c>
      <c r="BJ457" t="s">
        <v>29</v>
      </c>
      <c r="BK457" t="s">
        <v>29</v>
      </c>
      <c r="EE457" t="s">
        <v>1774</v>
      </c>
      <c r="EF457" t="s">
        <v>29</v>
      </c>
      <c r="EG457" t="s">
        <v>29</v>
      </c>
      <c r="EH457" t="s">
        <v>29</v>
      </c>
      <c r="EI457" t="s">
        <v>1773</v>
      </c>
      <c r="EJ457" t="s">
        <v>29</v>
      </c>
      <c r="EK457" t="s">
        <v>29</v>
      </c>
      <c r="EL457" t="s">
        <v>29</v>
      </c>
      <c r="EM457" t="s">
        <v>1768</v>
      </c>
      <c r="EN457" t="s">
        <v>29</v>
      </c>
      <c r="EO457" t="s">
        <v>29</v>
      </c>
      <c r="EP457" t="s">
        <v>29</v>
      </c>
      <c r="EQ457" t="s">
        <v>1769</v>
      </c>
      <c r="ER457" t="s">
        <v>29</v>
      </c>
      <c r="ES457" t="s">
        <v>29</v>
      </c>
      <c r="ET457" t="s">
        <v>29</v>
      </c>
      <c r="EU457" t="s">
        <v>1770</v>
      </c>
      <c r="EV457" t="s">
        <v>29</v>
      </c>
      <c r="EW457" t="s">
        <v>29</v>
      </c>
      <c r="EX457" t="s">
        <v>29</v>
      </c>
      <c r="EY457" t="s">
        <v>1771</v>
      </c>
      <c r="EZ457" t="s">
        <v>29</v>
      </c>
      <c r="FA457" t="s">
        <v>29</v>
      </c>
      <c r="FB457" t="s">
        <v>29</v>
      </c>
      <c r="FC457" t="s">
        <v>1772</v>
      </c>
      <c r="FD457" t="s">
        <v>29</v>
      </c>
      <c r="FE457" t="s">
        <v>29</v>
      </c>
      <c r="FF457" t="s">
        <v>29</v>
      </c>
      <c r="FG457" s="9"/>
      <c r="FH457" s="9"/>
      <c r="FI457" s="9"/>
      <c r="FJ457" s="9"/>
      <c r="FK457" s="9"/>
      <c r="FL457" s="9"/>
      <c r="FM457" s="9"/>
      <c r="FN457" s="9"/>
      <c r="FO457" s="9"/>
      <c r="FP457" s="9"/>
      <c r="FQ457" s="9"/>
      <c r="FR457" s="9"/>
      <c r="FS457" s="9"/>
      <c r="FT457" s="9"/>
      <c r="FU457" s="9"/>
      <c r="FV457" s="9"/>
      <c r="FW457" s="9"/>
      <c r="FX457" s="9"/>
      <c r="FY457" s="9"/>
      <c r="FZ457" s="9"/>
      <c r="GA457" s="9"/>
      <c r="GB457" s="9"/>
      <c r="GC457" s="9"/>
      <c r="GD457" s="9"/>
      <c r="GE457" s="9"/>
      <c r="GF457" s="9"/>
      <c r="GG457" s="9"/>
      <c r="GH457" s="9"/>
      <c r="GI457" s="9"/>
      <c r="GJ457" s="9"/>
      <c r="GK457" s="9"/>
      <c r="GL457" s="9"/>
      <c r="GM457" s="9" t="s">
        <v>1775</v>
      </c>
      <c r="GN457" s="9" t="s">
        <v>29</v>
      </c>
      <c r="GO457" s="9" t="s">
        <v>29</v>
      </c>
      <c r="GP457" s="9" t="s">
        <v>29</v>
      </c>
      <c r="GQ457" s="9"/>
      <c r="GR457" s="9"/>
      <c r="GS457" s="9"/>
      <c r="GT457" s="9"/>
      <c r="GU457" s="9"/>
      <c r="GV457" s="9"/>
      <c r="GW457" s="9"/>
      <c r="GX457" s="9"/>
      <c r="GY457" s="9"/>
      <c r="GZ457" s="9"/>
      <c r="HA457" s="9"/>
      <c r="HB457" s="9"/>
      <c r="HC457" s="9"/>
      <c r="HD457" s="9"/>
      <c r="HE457" s="9"/>
      <c r="HF457" s="9"/>
      <c r="HG457" s="9"/>
      <c r="HH457" s="9"/>
      <c r="HI457" s="9"/>
      <c r="HJ457" s="9"/>
      <c r="HK457" s="9"/>
      <c r="HL457" s="9"/>
      <c r="HY457" s="58"/>
      <c r="HZ457" t="s">
        <v>1762</v>
      </c>
      <c r="IA457" t="s">
        <v>1795</v>
      </c>
      <c r="IW457" t="s">
        <v>1762</v>
      </c>
      <c r="IX457" s="84" t="s">
        <v>1792</v>
      </c>
      <c r="IY457" s="12" t="s">
        <v>1767</v>
      </c>
      <c r="IZ457" s="54" t="s">
        <v>1778</v>
      </c>
      <c r="JA457">
        <v>7.5</v>
      </c>
      <c r="JB457">
        <v>56</v>
      </c>
      <c r="MZ457" t="s">
        <v>1805</v>
      </c>
      <c r="NA457">
        <v>1963</v>
      </c>
      <c r="NB457" t="s">
        <v>1757</v>
      </c>
      <c r="NC457" t="s">
        <v>1745</v>
      </c>
      <c r="NH457" t="s">
        <v>1758</v>
      </c>
      <c r="NI457" t="s">
        <v>711</v>
      </c>
      <c r="NK457" t="s">
        <v>1751</v>
      </c>
      <c r="NM457" t="s">
        <v>1751</v>
      </c>
      <c r="NW457" t="s">
        <v>6</v>
      </c>
      <c r="NX457">
        <v>0.3</v>
      </c>
      <c r="NY457" t="s">
        <v>1446</v>
      </c>
      <c r="NZ457">
        <v>0.6</v>
      </c>
      <c r="OC457">
        <v>7</v>
      </c>
      <c r="OT457" t="s">
        <v>1576</v>
      </c>
      <c r="OV457">
        <v>2010</v>
      </c>
      <c r="PA457" t="s">
        <v>1169</v>
      </c>
      <c r="PB457" s="58">
        <v>46108</v>
      </c>
    </row>
    <row r="458" spans="1:418" ht="15.75" thickBot="1">
      <c r="A458" t="s">
        <v>36</v>
      </c>
      <c r="B458" t="s">
        <v>1739</v>
      </c>
      <c r="C458" t="s">
        <v>1740</v>
      </c>
      <c r="D458" s="4" t="s">
        <v>245</v>
      </c>
      <c r="E458" t="s">
        <v>1806</v>
      </c>
      <c r="F458" s="4" t="s">
        <v>1804</v>
      </c>
      <c r="G458" t="s">
        <v>254</v>
      </c>
      <c r="H458" t="s">
        <v>30</v>
      </c>
      <c r="I458">
        <v>-23.748532000000001</v>
      </c>
      <c r="J458">
        <v>-62.056702000000001</v>
      </c>
      <c r="K458" s="87" t="s">
        <v>29</v>
      </c>
      <c r="AV458" t="s">
        <v>1766</v>
      </c>
      <c r="AW458" t="s">
        <v>234</v>
      </c>
      <c r="AX458">
        <v>3600</v>
      </c>
      <c r="AY458" s="5">
        <v>5.5555555555555558E-3</v>
      </c>
      <c r="AZ458" t="s">
        <v>1803</v>
      </c>
      <c r="BA458">
        <v>2010</v>
      </c>
      <c r="BD458" t="s">
        <v>1759</v>
      </c>
      <c r="BE458" t="s">
        <v>1764</v>
      </c>
      <c r="BF458" t="s">
        <v>48</v>
      </c>
      <c r="BG458" t="s">
        <v>1779</v>
      </c>
      <c r="BH458" t="s">
        <v>1781</v>
      </c>
      <c r="BI458" t="s">
        <v>29</v>
      </c>
      <c r="BJ458" t="s">
        <v>29</v>
      </c>
      <c r="BK458" t="s">
        <v>29</v>
      </c>
      <c r="EE458" t="s">
        <v>1774</v>
      </c>
      <c r="EF458" t="s">
        <v>29</v>
      </c>
      <c r="EG458" t="s">
        <v>29</v>
      </c>
      <c r="EH458" t="s">
        <v>29</v>
      </c>
      <c r="EI458" t="s">
        <v>1773</v>
      </c>
      <c r="EJ458" t="s">
        <v>29</v>
      </c>
      <c r="EK458" t="s">
        <v>29</v>
      </c>
      <c r="EL458" t="s">
        <v>29</v>
      </c>
      <c r="EM458" t="s">
        <v>1768</v>
      </c>
      <c r="EN458" t="s">
        <v>29</v>
      </c>
      <c r="EO458" t="s">
        <v>29</v>
      </c>
      <c r="EP458" t="s">
        <v>29</v>
      </c>
      <c r="EQ458" t="s">
        <v>1769</v>
      </c>
      <c r="ER458" t="s">
        <v>29</v>
      </c>
      <c r="ES458" t="s">
        <v>29</v>
      </c>
      <c r="ET458" t="s">
        <v>29</v>
      </c>
      <c r="EU458" t="s">
        <v>1770</v>
      </c>
      <c r="EV458" t="s">
        <v>29</v>
      </c>
      <c r="EW458" t="s">
        <v>29</v>
      </c>
      <c r="EX458" t="s">
        <v>29</v>
      </c>
      <c r="EY458" t="s">
        <v>1771</v>
      </c>
      <c r="EZ458" t="s">
        <v>29</v>
      </c>
      <c r="FA458" t="s">
        <v>29</v>
      </c>
      <c r="FB458" t="s">
        <v>29</v>
      </c>
      <c r="FC458" t="s">
        <v>1772</v>
      </c>
      <c r="FD458" t="s">
        <v>29</v>
      </c>
      <c r="FE458" t="s">
        <v>29</v>
      </c>
      <c r="FF458" t="s">
        <v>29</v>
      </c>
      <c r="FG458" s="9"/>
      <c r="FH458" s="9"/>
      <c r="FI458" s="9"/>
      <c r="FJ458" s="9"/>
      <c r="FK458" s="9"/>
      <c r="FL458" s="9"/>
      <c r="FM458" s="9"/>
      <c r="FN458" s="9"/>
      <c r="FO458" s="9"/>
      <c r="FP458" s="9"/>
      <c r="FQ458" s="9"/>
      <c r="FR458" s="9"/>
      <c r="FS458" s="9"/>
      <c r="FT458" s="9"/>
      <c r="FU458" s="9"/>
      <c r="FV458" s="9"/>
      <c r="FW458" s="9"/>
      <c r="FX458" s="9"/>
      <c r="FY458" s="9"/>
      <c r="FZ458" s="9"/>
      <c r="GA458" s="9"/>
      <c r="GB458" s="9"/>
      <c r="GC458" s="9"/>
      <c r="GD458" s="9"/>
      <c r="GE458" s="9"/>
      <c r="GF458" s="9"/>
      <c r="GG458" s="9"/>
      <c r="GH458" s="9"/>
      <c r="GI458" s="9"/>
      <c r="GJ458" s="9"/>
      <c r="GK458" s="9"/>
      <c r="GL458" s="9"/>
      <c r="GM458" s="9" t="s">
        <v>1775</v>
      </c>
      <c r="GN458" s="9" t="s">
        <v>29</v>
      </c>
      <c r="GO458" s="9" t="s">
        <v>29</v>
      </c>
      <c r="GP458" s="9" t="s">
        <v>29</v>
      </c>
      <c r="GQ458" s="9"/>
      <c r="GR458" s="9"/>
      <c r="GS458" s="9"/>
      <c r="GT458" s="9"/>
      <c r="GU458" s="9"/>
      <c r="GV458" s="9"/>
      <c r="GW458" s="9"/>
      <c r="GX458" s="9"/>
      <c r="GY458" s="9"/>
      <c r="GZ458" s="9"/>
      <c r="HA458" s="9"/>
      <c r="HB458" s="9"/>
      <c r="HC458" s="9"/>
      <c r="HD458" s="9"/>
      <c r="HE458" s="9"/>
      <c r="HF458" s="9"/>
      <c r="HG458" s="9"/>
      <c r="HH458" s="9"/>
      <c r="HI458" s="9"/>
      <c r="HJ458" s="9"/>
      <c r="HK458" s="9"/>
      <c r="HL458" s="9"/>
      <c r="HY458" s="58"/>
      <c r="HZ458" t="s">
        <v>1764</v>
      </c>
      <c r="IA458" t="s">
        <v>1794</v>
      </c>
      <c r="IW458" t="s">
        <v>1764</v>
      </c>
      <c r="IX458" s="84" t="s">
        <v>1792</v>
      </c>
      <c r="IY458" s="12" t="s">
        <v>1767</v>
      </c>
      <c r="IZ458" s="54" t="s">
        <v>1778</v>
      </c>
      <c r="JA458">
        <v>7.5</v>
      </c>
      <c r="JB458">
        <v>37</v>
      </c>
      <c r="MZ458" t="s">
        <v>1805</v>
      </c>
      <c r="NA458">
        <v>1963</v>
      </c>
      <c r="NB458" t="s">
        <v>1757</v>
      </c>
      <c r="NC458" t="s">
        <v>1745</v>
      </c>
      <c r="NH458" t="s">
        <v>1758</v>
      </c>
      <c r="NI458" t="s">
        <v>711</v>
      </c>
      <c r="NK458" t="s">
        <v>1751</v>
      </c>
      <c r="NM458" t="s">
        <v>1751</v>
      </c>
      <c r="NW458" t="s">
        <v>6</v>
      </c>
      <c r="NX458">
        <v>0.3</v>
      </c>
      <c r="NY458" t="s">
        <v>1446</v>
      </c>
      <c r="NZ458">
        <v>0.5</v>
      </c>
      <c r="OC458">
        <v>5</v>
      </c>
      <c r="OT458" t="s">
        <v>1576</v>
      </c>
      <c r="OV458">
        <v>2010</v>
      </c>
      <c r="PA458" t="s">
        <v>1169</v>
      </c>
      <c r="PB458" s="58">
        <v>46108</v>
      </c>
    </row>
    <row r="459" spans="1:418" ht="15.75" thickBot="1">
      <c r="A459" t="s">
        <v>36</v>
      </c>
      <c r="B459" t="s">
        <v>1739</v>
      </c>
      <c r="C459" t="s">
        <v>1740</v>
      </c>
      <c r="D459" s="4" t="s">
        <v>245</v>
      </c>
      <c r="E459" t="s">
        <v>1806</v>
      </c>
      <c r="F459" s="4" t="s">
        <v>1804</v>
      </c>
      <c r="G459" t="s">
        <v>254</v>
      </c>
      <c r="H459" t="s">
        <v>30</v>
      </c>
      <c r="I459">
        <v>-23.748532000000001</v>
      </c>
      <c r="J459">
        <v>-62.056702000000001</v>
      </c>
      <c r="K459" s="87" t="s">
        <v>29</v>
      </c>
      <c r="AV459" t="s">
        <v>1766</v>
      </c>
      <c r="AW459" t="s">
        <v>234</v>
      </c>
      <c r="AX459" t="s">
        <v>234</v>
      </c>
      <c r="AY459" s="5">
        <v>5.5555555555555558E-3</v>
      </c>
      <c r="AZ459" t="s">
        <v>1803</v>
      </c>
      <c r="BA459">
        <v>2010</v>
      </c>
      <c r="BD459" t="s">
        <v>1747</v>
      </c>
      <c r="BE459" t="s">
        <v>1748</v>
      </c>
      <c r="BF459" t="s">
        <v>24</v>
      </c>
      <c r="BG459" t="s">
        <v>1779</v>
      </c>
      <c r="BH459" t="s">
        <v>1781</v>
      </c>
      <c r="BI459" t="s">
        <v>29</v>
      </c>
      <c r="BJ459" t="s">
        <v>29</v>
      </c>
      <c r="BK459" t="s">
        <v>29</v>
      </c>
      <c r="GM459" t="s">
        <v>1775</v>
      </c>
      <c r="GN459" s="9" t="s">
        <v>29</v>
      </c>
      <c r="GO459" s="9" t="s">
        <v>29</v>
      </c>
      <c r="GP459" s="9" t="s">
        <v>29</v>
      </c>
      <c r="HZ459" t="s">
        <v>1748</v>
      </c>
      <c r="IA459" t="s">
        <v>1794</v>
      </c>
      <c r="IW459" t="s">
        <v>1748</v>
      </c>
      <c r="IX459" s="54" t="s">
        <v>1793</v>
      </c>
      <c r="IY459" s="54" t="s">
        <v>1793</v>
      </c>
      <c r="IZ459" s="54" t="s">
        <v>1780</v>
      </c>
      <c r="JA459">
        <v>1</v>
      </c>
      <c r="JB459">
        <v>6</v>
      </c>
      <c r="MZ459" t="s">
        <v>1805</v>
      </c>
      <c r="NA459">
        <v>1963</v>
      </c>
      <c r="NB459" t="s">
        <v>1757</v>
      </c>
      <c r="NC459" t="s">
        <v>1745</v>
      </c>
      <c r="NH459" t="s">
        <v>1758</v>
      </c>
      <c r="NI459" t="s">
        <v>711</v>
      </c>
      <c r="NK459" t="s">
        <v>1751</v>
      </c>
      <c r="NM459" t="s">
        <v>1751</v>
      </c>
      <c r="NV459" t="s">
        <v>1828</v>
      </c>
      <c r="NW459" t="s">
        <v>6</v>
      </c>
      <c r="NX459">
        <v>0.3</v>
      </c>
      <c r="NY459" t="s">
        <v>1446</v>
      </c>
      <c r="NZ459">
        <v>0.5</v>
      </c>
      <c r="OC459">
        <v>7</v>
      </c>
      <c r="OT459" t="s">
        <v>1576</v>
      </c>
      <c r="OV459">
        <v>2010</v>
      </c>
      <c r="PA459" t="s">
        <v>1169</v>
      </c>
      <c r="PB459" s="58">
        <v>46108</v>
      </c>
    </row>
    <row r="460" spans="1:418" ht="15.75" thickBot="1">
      <c r="A460" t="s">
        <v>36</v>
      </c>
      <c r="B460" t="s">
        <v>1739</v>
      </c>
      <c r="C460" t="s">
        <v>1740</v>
      </c>
      <c r="D460" s="4" t="s">
        <v>245</v>
      </c>
      <c r="E460" t="s">
        <v>1806</v>
      </c>
      <c r="F460" s="4" t="s">
        <v>1804</v>
      </c>
      <c r="G460" t="s">
        <v>254</v>
      </c>
      <c r="H460" t="s">
        <v>30</v>
      </c>
      <c r="I460">
        <v>-23.748532000000001</v>
      </c>
      <c r="J460">
        <v>-62.056702000000001</v>
      </c>
      <c r="K460" s="87" t="s">
        <v>29</v>
      </c>
      <c r="AV460" t="s">
        <v>1766</v>
      </c>
      <c r="AW460" t="s">
        <v>234</v>
      </c>
      <c r="AX460">
        <v>1000</v>
      </c>
      <c r="AY460" s="5">
        <v>5.5555555555555558E-3</v>
      </c>
      <c r="AZ460" t="s">
        <v>1803</v>
      </c>
      <c r="BA460">
        <v>2010</v>
      </c>
      <c r="BD460" t="s">
        <v>1825</v>
      </c>
      <c r="BE460" t="s">
        <v>1742</v>
      </c>
      <c r="BF460" t="s">
        <v>39</v>
      </c>
      <c r="BG460" t="s">
        <v>1743</v>
      </c>
      <c r="EE460" t="s">
        <v>1774</v>
      </c>
      <c r="EF460" t="s">
        <v>29</v>
      </c>
      <c r="EG460" t="s">
        <v>29</v>
      </c>
      <c r="EH460" t="s">
        <v>29</v>
      </c>
      <c r="EI460" t="s">
        <v>1773</v>
      </c>
      <c r="EJ460" t="s">
        <v>29</v>
      </c>
      <c r="EK460" t="s">
        <v>29</v>
      </c>
      <c r="EL460" t="s">
        <v>29</v>
      </c>
      <c r="EM460" t="s">
        <v>1768</v>
      </c>
      <c r="EN460" t="s">
        <v>29</v>
      </c>
      <c r="EO460" t="s">
        <v>29</v>
      </c>
      <c r="EP460" t="s">
        <v>29</v>
      </c>
      <c r="EQ460" t="s">
        <v>1769</v>
      </c>
      <c r="ER460" t="s">
        <v>29</v>
      </c>
      <c r="ES460" t="s">
        <v>29</v>
      </c>
      <c r="ET460" t="s">
        <v>29</v>
      </c>
      <c r="EU460" t="s">
        <v>1770</v>
      </c>
      <c r="EV460" t="s">
        <v>29</v>
      </c>
      <c r="EW460" t="s">
        <v>29</v>
      </c>
      <c r="EX460" t="s">
        <v>29</v>
      </c>
      <c r="EY460" t="s">
        <v>1771</v>
      </c>
      <c r="EZ460" t="s">
        <v>29</v>
      </c>
      <c r="FA460" t="s">
        <v>29</v>
      </c>
      <c r="FB460" t="s">
        <v>29</v>
      </c>
      <c r="FC460" t="s">
        <v>1772</v>
      </c>
      <c r="FD460" t="s">
        <v>29</v>
      </c>
      <c r="FE460" t="s">
        <v>29</v>
      </c>
      <c r="FF460" t="s">
        <v>29</v>
      </c>
      <c r="HZ460" t="s">
        <v>1742</v>
      </c>
      <c r="IW460" t="s">
        <v>1742</v>
      </c>
      <c r="IX460" t="s">
        <v>1791</v>
      </c>
      <c r="IY460" t="s">
        <v>1791</v>
      </c>
      <c r="IZ460" t="s">
        <v>1791</v>
      </c>
      <c r="JA460">
        <v>5</v>
      </c>
      <c r="JB460">
        <v>70</v>
      </c>
      <c r="MZ460" t="s">
        <v>1805</v>
      </c>
      <c r="NA460">
        <v>1963</v>
      </c>
      <c r="NB460" t="s">
        <v>1783</v>
      </c>
      <c r="NC460" t="s">
        <v>1745</v>
      </c>
      <c r="NH460" t="s">
        <v>1786</v>
      </c>
      <c r="NI460" t="s">
        <v>711</v>
      </c>
      <c r="NK460" t="s">
        <v>1751</v>
      </c>
      <c r="NM460" t="s">
        <v>1751</v>
      </c>
      <c r="NV460" t="s">
        <v>1827</v>
      </c>
      <c r="NW460" t="s">
        <v>6</v>
      </c>
      <c r="NX460">
        <v>6.7</v>
      </c>
      <c r="NY460" t="s">
        <v>1446</v>
      </c>
      <c r="NZ460">
        <v>2.2000000000000002</v>
      </c>
      <c r="OC460">
        <v>6</v>
      </c>
      <c r="OT460" t="s">
        <v>1576</v>
      </c>
      <c r="OV460">
        <v>2010</v>
      </c>
      <c r="PA460" t="s">
        <v>1169</v>
      </c>
      <c r="PB460" s="58">
        <v>46108</v>
      </c>
    </row>
    <row r="461" spans="1:418" ht="15.75" thickBot="1">
      <c r="A461" t="s">
        <v>36</v>
      </c>
      <c r="B461" t="s">
        <v>1739</v>
      </c>
      <c r="C461" t="s">
        <v>1740</v>
      </c>
      <c r="D461" s="4" t="s">
        <v>245</v>
      </c>
      <c r="E461" t="s">
        <v>1806</v>
      </c>
      <c r="F461" s="4" t="s">
        <v>1804</v>
      </c>
      <c r="G461" t="s">
        <v>254</v>
      </c>
      <c r="H461" t="s">
        <v>30</v>
      </c>
      <c r="I461">
        <v>-23.748532000000001</v>
      </c>
      <c r="J461">
        <v>-62.056702000000001</v>
      </c>
      <c r="K461" s="87" t="s">
        <v>29</v>
      </c>
      <c r="AV461" t="s">
        <v>1766</v>
      </c>
      <c r="AW461" t="s">
        <v>234</v>
      </c>
      <c r="AX461" t="s">
        <v>234</v>
      </c>
      <c r="AY461" s="5">
        <v>5.5555555555555558E-3</v>
      </c>
      <c r="AZ461" t="s">
        <v>1803</v>
      </c>
      <c r="BA461">
        <v>2010</v>
      </c>
      <c r="BD461" t="s">
        <v>1759</v>
      </c>
      <c r="BE461" t="s">
        <v>1760</v>
      </c>
      <c r="BF461" t="s">
        <v>64</v>
      </c>
      <c r="BG461" t="s">
        <v>1779</v>
      </c>
      <c r="BH461" t="s">
        <v>1777</v>
      </c>
      <c r="BI461" t="s">
        <v>1782</v>
      </c>
      <c r="BJ461" t="s">
        <v>29</v>
      </c>
      <c r="BK461" t="s">
        <v>29</v>
      </c>
      <c r="EE461" t="s">
        <v>1774</v>
      </c>
      <c r="EF461" t="s">
        <v>29</v>
      </c>
      <c r="EG461" t="s">
        <v>29</v>
      </c>
      <c r="EH461" t="s">
        <v>29</v>
      </c>
      <c r="EI461" t="s">
        <v>1773</v>
      </c>
      <c r="EJ461" t="s">
        <v>29</v>
      </c>
      <c r="EK461" t="s">
        <v>29</v>
      </c>
      <c r="EL461" t="s">
        <v>29</v>
      </c>
      <c r="EM461" t="s">
        <v>1768</v>
      </c>
      <c r="EN461" t="s">
        <v>29</v>
      </c>
      <c r="EO461" t="s">
        <v>29</v>
      </c>
      <c r="EP461" t="s">
        <v>29</v>
      </c>
      <c r="EQ461" t="s">
        <v>1769</v>
      </c>
      <c r="ER461" t="s">
        <v>29</v>
      </c>
      <c r="ES461" t="s">
        <v>29</v>
      </c>
      <c r="ET461" t="s">
        <v>29</v>
      </c>
      <c r="EU461" t="s">
        <v>1770</v>
      </c>
      <c r="EV461" t="s">
        <v>29</v>
      </c>
      <c r="EW461" t="s">
        <v>29</v>
      </c>
      <c r="EX461" t="s">
        <v>29</v>
      </c>
      <c r="EY461" t="s">
        <v>1771</v>
      </c>
      <c r="EZ461" t="s">
        <v>29</v>
      </c>
      <c r="FA461" t="s">
        <v>29</v>
      </c>
      <c r="FB461" t="s">
        <v>29</v>
      </c>
      <c r="FC461" t="s">
        <v>1772</v>
      </c>
      <c r="FD461" t="s">
        <v>29</v>
      </c>
      <c r="FE461" t="s">
        <v>29</v>
      </c>
      <c r="FF461" t="s">
        <v>29</v>
      </c>
      <c r="GM461" t="s">
        <v>1775</v>
      </c>
      <c r="GN461" s="9" t="s">
        <v>29</v>
      </c>
      <c r="GO461" s="9" t="s">
        <v>29</v>
      </c>
      <c r="GP461" s="9" t="s">
        <v>29</v>
      </c>
      <c r="GQ461" s="9"/>
      <c r="GR461" s="9"/>
      <c r="GS461" s="9"/>
      <c r="GT461" s="9"/>
      <c r="GU461" s="9"/>
      <c r="GV461" s="9"/>
      <c r="GW461" s="9"/>
      <c r="GX461" s="9"/>
      <c r="GY461" s="9"/>
      <c r="GZ461" s="9"/>
      <c r="HA461" s="9"/>
      <c r="HB461" s="9"/>
      <c r="HC461" s="9"/>
      <c r="HD461" s="9"/>
      <c r="HE461" s="9"/>
      <c r="HF461" s="9"/>
      <c r="HG461" s="9"/>
      <c r="HH461" s="9"/>
      <c r="HI461" s="9"/>
      <c r="HJ461" s="9"/>
      <c r="HK461" s="9"/>
      <c r="HL461" s="9"/>
      <c r="HY461" s="58"/>
      <c r="HZ461" t="s">
        <v>1760</v>
      </c>
      <c r="IA461" t="s">
        <v>1795</v>
      </c>
      <c r="IW461" t="s">
        <v>1760</v>
      </c>
      <c r="IX461" s="84" t="s">
        <v>1792</v>
      </c>
      <c r="IY461" t="s">
        <v>1767</v>
      </c>
      <c r="IZ461" s="54" t="s">
        <v>1776</v>
      </c>
      <c r="JA461">
        <v>1</v>
      </c>
      <c r="JB461">
        <v>81</v>
      </c>
      <c r="MZ461" t="s">
        <v>1805</v>
      </c>
      <c r="NA461">
        <v>1963</v>
      </c>
      <c r="NB461" t="s">
        <v>1783</v>
      </c>
      <c r="NC461" t="s">
        <v>1745</v>
      </c>
      <c r="NH461" t="s">
        <v>1786</v>
      </c>
      <c r="NI461" t="s">
        <v>711</v>
      </c>
      <c r="NK461" t="s">
        <v>1751</v>
      </c>
      <c r="NM461" t="s">
        <v>1751</v>
      </c>
      <c r="NW461" t="s">
        <v>6</v>
      </c>
      <c r="NX461">
        <v>5</v>
      </c>
      <c r="NY461" t="s">
        <v>1446</v>
      </c>
      <c r="NZ461">
        <v>2.2999999999999998</v>
      </c>
      <c r="OC461">
        <v>8</v>
      </c>
      <c r="OT461" t="s">
        <v>1576</v>
      </c>
      <c r="OV461">
        <v>2010</v>
      </c>
      <c r="PA461" t="s">
        <v>1169</v>
      </c>
      <c r="PB461" s="58">
        <v>46108</v>
      </c>
    </row>
    <row r="462" spans="1:418" ht="15.75" thickBot="1">
      <c r="A462" t="s">
        <v>36</v>
      </c>
      <c r="B462" t="s">
        <v>1739</v>
      </c>
      <c r="C462" t="s">
        <v>1740</v>
      </c>
      <c r="D462" s="4" t="s">
        <v>245</v>
      </c>
      <c r="E462" t="s">
        <v>1806</v>
      </c>
      <c r="F462" s="4" t="s">
        <v>1804</v>
      </c>
      <c r="G462" t="s">
        <v>254</v>
      </c>
      <c r="H462" t="s">
        <v>30</v>
      </c>
      <c r="I462">
        <v>-23.748532000000001</v>
      </c>
      <c r="J462">
        <v>-62.056702000000001</v>
      </c>
      <c r="K462" s="87" t="s">
        <v>29</v>
      </c>
      <c r="AV462" t="s">
        <v>1766</v>
      </c>
      <c r="AW462" t="s">
        <v>234</v>
      </c>
      <c r="AX462">
        <v>3600</v>
      </c>
      <c r="AY462" s="5">
        <v>5.5555555555555558E-3</v>
      </c>
      <c r="AZ462" t="s">
        <v>1803</v>
      </c>
      <c r="BA462">
        <v>2010</v>
      </c>
      <c r="BD462" t="s">
        <v>1759</v>
      </c>
      <c r="BE462" t="s">
        <v>1762</v>
      </c>
      <c r="BF462" t="s">
        <v>57</v>
      </c>
      <c r="BG462" t="s">
        <v>1779</v>
      </c>
      <c r="BH462" t="s">
        <v>1777</v>
      </c>
      <c r="BI462" t="s">
        <v>29</v>
      </c>
      <c r="BJ462" t="s">
        <v>29</v>
      </c>
      <c r="BK462" t="s">
        <v>29</v>
      </c>
      <c r="EE462" t="s">
        <v>1774</v>
      </c>
      <c r="EF462" t="s">
        <v>29</v>
      </c>
      <c r="EG462" t="s">
        <v>29</v>
      </c>
      <c r="EH462" t="s">
        <v>29</v>
      </c>
      <c r="EI462" t="s">
        <v>1773</v>
      </c>
      <c r="EJ462" t="s">
        <v>29</v>
      </c>
      <c r="EK462" t="s">
        <v>29</v>
      </c>
      <c r="EL462" t="s">
        <v>29</v>
      </c>
      <c r="EM462" t="s">
        <v>1768</v>
      </c>
      <c r="EN462" t="s">
        <v>29</v>
      </c>
      <c r="EO462" t="s">
        <v>29</v>
      </c>
      <c r="EP462" t="s">
        <v>29</v>
      </c>
      <c r="EQ462" t="s">
        <v>1769</v>
      </c>
      <c r="ER462" t="s">
        <v>29</v>
      </c>
      <c r="ES462" t="s">
        <v>29</v>
      </c>
      <c r="ET462" t="s">
        <v>29</v>
      </c>
      <c r="EU462" t="s">
        <v>1770</v>
      </c>
      <c r="EV462" t="s">
        <v>29</v>
      </c>
      <c r="EW462" t="s">
        <v>29</v>
      </c>
      <c r="EX462" t="s">
        <v>29</v>
      </c>
      <c r="EY462" t="s">
        <v>1771</v>
      </c>
      <c r="EZ462" t="s">
        <v>29</v>
      </c>
      <c r="FA462" t="s">
        <v>29</v>
      </c>
      <c r="FB462" t="s">
        <v>29</v>
      </c>
      <c r="FC462" t="s">
        <v>1772</v>
      </c>
      <c r="FD462" t="s">
        <v>29</v>
      </c>
      <c r="FE462" t="s">
        <v>29</v>
      </c>
      <c r="FF462" t="s">
        <v>29</v>
      </c>
      <c r="FG462" s="9"/>
      <c r="FH462" s="9"/>
      <c r="FI462" s="9"/>
      <c r="FJ462" s="9"/>
      <c r="FK462" s="9"/>
      <c r="FL462" s="9"/>
      <c r="FM462" s="9"/>
      <c r="FN462" s="9"/>
      <c r="FO462" s="9"/>
      <c r="FP462" s="9"/>
      <c r="FQ462" s="9"/>
      <c r="FR462" s="9"/>
      <c r="FS462" s="9"/>
      <c r="FT462" s="9"/>
      <c r="FU462" s="9"/>
      <c r="FV462" s="9"/>
      <c r="FW462" s="9"/>
      <c r="FX462" s="9"/>
      <c r="FY462" s="9"/>
      <c r="FZ462" s="9"/>
      <c r="GA462" s="9"/>
      <c r="GB462" s="9"/>
      <c r="GC462" s="9"/>
      <c r="GD462" s="9"/>
      <c r="GE462" s="9"/>
      <c r="GF462" s="9"/>
      <c r="GG462" s="9"/>
      <c r="GH462" s="9"/>
      <c r="GI462" s="9"/>
      <c r="GJ462" s="9"/>
      <c r="GK462" s="9"/>
      <c r="GL462" s="9"/>
      <c r="GM462" s="9" t="s">
        <v>1775</v>
      </c>
      <c r="GN462" s="9" t="s">
        <v>29</v>
      </c>
      <c r="GO462" s="9" t="s">
        <v>29</v>
      </c>
      <c r="GP462" s="9" t="s">
        <v>29</v>
      </c>
      <c r="GQ462" s="9"/>
      <c r="GR462" s="9"/>
      <c r="GS462" s="9"/>
      <c r="GT462" s="9"/>
      <c r="GU462" s="9"/>
      <c r="GV462" s="9"/>
      <c r="GW462" s="9"/>
      <c r="GX462" s="9"/>
      <c r="GY462" s="9"/>
      <c r="GZ462" s="9"/>
      <c r="HA462" s="9"/>
      <c r="HB462" s="9"/>
      <c r="HC462" s="9"/>
      <c r="HD462" s="9"/>
      <c r="HE462" s="9"/>
      <c r="HF462" s="9"/>
      <c r="HG462" s="9"/>
      <c r="HH462" s="9"/>
      <c r="HI462" s="9"/>
      <c r="HJ462" s="9"/>
      <c r="HK462" s="9"/>
      <c r="HL462" s="9"/>
      <c r="HY462" s="58"/>
      <c r="HZ462" t="s">
        <v>1762</v>
      </c>
      <c r="IA462" t="s">
        <v>1795</v>
      </c>
      <c r="IW462" t="s">
        <v>1762</v>
      </c>
      <c r="IX462" s="84" t="s">
        <v>1792</v>
      </c>
      <c r="IY462" s="12" t="s">
        <v>1767</v>
      </c>
      <c r="IZ462" s="54" t="s">
        <v>1778</v>
      </c>
      <c r="JA462">
        <v>7.5</v>
      </c>
      <c r="JB462">
        <v>56</v>
      </c>
      <c r="MZ462" t="s">
        <v>1805</v>
      </c>
      <c r="NA462">
        <v>1963</v>
      </c>
      <c r="NB462" t="s">
        <v>1783</v>
      </c>
      <c r="NC462" t="s">
        <v>1745</v>
      </c>
      <c r="NH462" t="s">
        <v>1786</v>
      </c>
      <c r="NI462" t="s">
        <v>711</v>
      </c>
      <c r="NK462" t="s">
        <v>1751</v>
      </c>
      <c r="NM462" t="s">
        <v>1751</v>
      </c>
      <c r="NW462" t="s">
        <v>6</v>
      </c>
      <c r="NX462">
        <v>3.9</v>
      </c>
      <c r="NY462" t="s">
        <v>1446</v>
      </c>
      <c r="NZ462">
        <v>1.2</v>
      </c>
      <c r="OC462">
        <v>7</v>
      </c>
      <c r="OT462" t="s">
        <v>1576</v>
      </c>
      <c r="OV462">
        <v>2010</v>
      </c>
      <c r="PA462" t="s">
        <v>1169</v>
      </c>
      <c r="PB462" s="58">
        <v>46108</v>
      </c>
    </row>
    <row r="463" spans="1:418" ht="15.75" thickBot="1">
      <c r="A463" t="s">
        <v>36</v>
      </c>
      <c r="B463" t="s">
        <v>1739</v>
      </c>
      <c r="C463" t="s">
        <v>1740</v>
      </c>
      <c r="D463" s="4" t="s">
        <v>245</v>
      </c>
      <c r="E463" t="s">
        <v>1806</v>
      </c>
      <c r="F463" s="4" t="s">
        <v>1804</v>
      </c>
      <c r="G463" t="s">
        <v>254</v>
      </c>
      <c r="H463" t="s">
        <v>30</v>
      </c>
      <c r="I463">
        <v>-23.748532000000001</v>
      </c>
      <c r="J463">
        <v>-62.056702000000001</v>
      </c>
      <c r="K463" s="87" t="s">
        <v>29</v>
      </c>
      <c r="AV463" t="s">
        <v>1766</v>
      </c>
      <c r="AW463" t="s">
        <v>234</v>
      </c>
      <c r="AX463">
        <v>3600</v>
      </c>
      <c r="AY463" s="5">
        <v>5.5555555555555558E-3</v>
      </c>
      <c r="AZ463" t="s">
        <v>1803</v>
      </c>
      <c r="BA463">
        <v>2010</v>
      </c>
      <c r="BD463" t="s">
        <v>1759</v>
      </c>
      <c r="BE463" t="s">
        <v>1764</v>
      </c>
      <c r="BF463" t="s">
        <v>48</v>
      </c>
      <c r="BG463" t="s">
        <v>1779</v>
      </c>
      <c r="BH463" t="s">
        <v>1781</v>
      </c>
      <c r="BI463" t="s">
        <v>29</v>
      </c>
      <c r="BJ463" t="s">
        <v>29</v>
      </c>
      <c r="BK463" t="s">
        <v>29</v>
      </c>
      <c r="EE463" t="s">
        <v>1774</v>
      </c>
      <c r="EF463" t="s">
        <v>29</v>
      </c>
      <c r="EG463" t="s">
        <v>29</v>
      </c>
      <c r="EH463" t="s">
        <v>29</v>
      </c>
      <c r="EI463" t="s">
        <v>1773</v>
      </c>
      <c r="EJ463" t="s">
        <v>29</v>
      </c>
      <c r="EK463" t="s">
        <v>29</v>
      </c>
      <c r="EL463" t="s">
        <v>29</v>
      </c>
      <c r="EM463" t="s">
        <v>1768</v>
      </c>
      <c r="EN463" t="s">
        <v>29</v>
      </c>
      <c r="EO463" t="s">
        <v>29</v>
      </c>
      <c r="EP463" t="s">
        <v>29</v>
      </c>
      <c r="EQ463" t="s">
        <v>1769</v>
      </c>
      <c r="ER463" t="s">
        <v>29</v>
      </c>
      <c r="ES463" t="s">
        <v>29</v>
      </c>
      <c r="ET463" t="s">
        <v>29</v>
      </c>
      <c r="EU463" t="s">
        <v>1770</v>
      </c>
      <c r="EV463" t="s">
        <v>29</v>
      </c>
      <c r="EW463" t="s">
        <v>29</v>
      </c>
      <c r="EX463" t="s">
        <v>29</v>
      </c>
      <c r="EY463" t="s">
        <v>1771</v>
      </c>
      <c r="EZ463" t="s">
        <v>29</v>
      </c>
      <c r="FA463" t="s">
        <v>29</v>
      </c>
      <c r="FB463" t="s">
        <v>29</v>
      </c>
      <c r="FC463" t="s">
        <v>1772</v>
      </c>
      <c r="FD463" t="s">
        <v>29</v>
      </c>
      <c r="FE463" t="s">
        <v>29</v>
      </c>
      <c r="FF463" t="s">
        <v>29</v>
      </c>
      <c r="FG463" s="9"/>
      <c r="FH463" s="9"/>
      <c r="FI463" s="9"/>
      <c r="FJ463" s="9"/>
      <c r="FK463" s="9"/>
      <c r="FL463" s="9"/>
      <c r="FM463" s="9"/>
      <c r="FN463" s="9"/>
      <c r="FO463" s="9"/>
      <c r="FP463" s="9"/>
      <c r="FQ463" s="9"/>
      <c r="FR463" s="9"/>
      <c r="FS463" s="9"/>
      <c r="FT463" s="9"/>
      <c r="FU463" s="9"/>
      <c r="FV463" s="9"/>
      <c r="FW463" s="9"/>
      <c r="FX463" s="9"/>
      <c r="FY463" s="9"/>
      <c r="FZ463" s="9"/>
      <c r="GA463" s="9"/>
      <c r="GB463" s="9"/>
      <c r="GC463" s="9"/>
      <c r="GD463" s="9"/>
      <c r="GE463" s="9"/>
      <c r="GF463" s="9"/>
      <c r="GG463" s="9"/>
      <c r="GH463" s="9"/>
      <c r="GI463" s="9"/>
      <c r="GJ463" s="9"/>
      <c r="GK463" s="9"/>
      <c r="GL463" s="9"/>
      <c r="GM463" s="9" t="s">
        <v>1775</v>
      </c>
      <c r="GN463" s="9" t="s">
        <v>29</v>
      </c>
      <c r="GO463" s="9" t="s">
        <v>29</v>
      </c>
      <c r="GP463" s="9" t="s">
        <v>29</v>
      </c>
      <c r="GQ463" s="9"/>
      <c r="GR463" s="9"/>
      <c r="GS463" s="9"/>
      <c r="GT463" s="9"/>
      <c r="GU463" s="9"/>
      <c r="GV463" s="9"/>
      <c r="GW463" s="9"/>
      <c r="GX463" s="9"/>
      <c r="GY463" s="9"/>
      <c r="GZ463" s="9"/>
      <c r="HA463" s="9"/>
      <c r="HB463" s="9"/>
      <c r="HC463" s="9"/>
      <c r="HD463" s="9"/>
      <c r="HE463" s="9"/>
      <c r="HF463" s="9"/>
      <c r="HG463" s="9"/>
      <c r="HH463" s="9"/>
      <c r="HI463" s="9"/>
      <c r="HJ463" s="9"/>
      <c r="HK463" s="9"/>
      <c r="HL463" s="9"/>
      <c r="HY463" s="58"/>
      <c r="HZ463" t="s">
        <v>1764</v>
      </c>
      <c r="IA463" t="s">
        <v>1794</v>
      </c>
      <c r="IW463" t="s">
        <v>1764</v>
      </c>
      <c r="IX463" s="84" t="s">
        <v>1792</v>
      </c>
      <c r="IY463" s="12" t="s">
        <v>1767</v>
      </c>
      <c r="IZ463" s="54" t="s">
        <v>1778</v>
      </c>
      <c r="JA463">
        <v>7.5</v>
      </c>
      <c r="JB463">
        <v>37</v>
      </c>
      <c r="MZ463" t="s">
        <v>1805</v>
      </c>
      <c r="NA463">
        <v>1963</v>
      </c>
      <c r="NB463" t="s">
        <v>1783</v>
      </c>
      <c r="NC463" t="s">
        <v>1745</v>
      </c>
      <c r="NH463" t="s">
        <v>1786</v>
      </c>
      <c r="NI463" t="s">
        <v>711</v>
      </c>
      <c r="NK463" t="s">
        <v>1751</v>
      </c>
      <c r="NM463" t="s">
        <v>1751</v>
      </c>
      <c r="NW463" t="s">
        <v>6</v>
      </c>
      <c r="NX463">
        <v>2.2999999999999998</v>
      </c>
      <c r="NY463" t="s">
        <v>1446</v>
      </c>
      <c r="NZ463">
        <v>1.4</v>
      </c>
      <c r="OC463">
        <v>5</v>
      </c>
      <c r="OT463" t="s">
        <v>1576</v>
      </c>
      <c r="OV463">
        <v>2010</v>
      </c>
      <c r="PA463" t="s">
        <v>1169</v>
      </c>
      <c r="PB463" s="58">
        <v>46108</v>
      </c>
    </row>
    <row r="464" spans="1:418" ht="15.75" thickBot="1">
      <c r="A464" t="s">
        <v>36</v>
      </c>
      <c r="B464" t="s">
        <v>1739</v>
      </c>
      <c r="C464" t="s">
        <v>1740</v>
      </c>
      <c r="D464" s="4" t="s">
        <v>245</v>
      </c>
      <c r="E464" t="s">
        <v>1806</v>
      </c>
      <c r="F464" s="4" t="s">
        <v>1804</v>
      </c>
      <c r="G464" t="s">
        <v>254</v>
      </c>
      <c r="H464" t="s">
        <v>30</v>
      </c>
      <c r="I464">
        <v>-23.748532000000001</v>
      </c>
      <c r="J464">
        <v>-62.056702000000001</v>
      </c>
      <c r="K464" s="87" t="s">
        <v>29</v>
      </c>
      <c r="AV464" t="s">
        <v>1766</v>
      </c>
      <c r="AW464" t="s">
        <v>234</v>
      </c>
      <c r="AX464" t="s">
        <v>234</v>
      </c>
      <c r="AY464" s="5">
        <v>5.5555555555555558E-3</v>
      </c>
      <c r="AZ464" t="s">
        <v>1803</v>
      </c>
      <c r="BA464">
        <v>2010</v>
      </c>
      <c r="BD464" t="s">
        <v>1747</v>
      </c>
      <c r="BE464" t="s">
        <v>1748</v>
      </c>
      <c r="BF464" t="s">
        <v>24</v>
      </c>
      <c r="BG464" t="s">
        <v>1779</v>
      </c>
      <c r="BH464" t="s">
        <v>1781</v>
      </c>
      <c r="BI464" t="s">
        <v>29</v>
      </c>
      <c r="BJ464" t="s">
        <v>29</v>
      </c>
      <c r="BK464" t="s">
        <v>29</v>
      </c>
      <c r="GM464" t="s">
        <v>1775</v>
      </c>
      <c r="GN464" s="9" t="s">
        <v>29</v>
      </c>
      <c r="GO464" s="9" t="s">
        <v>29</v>
      </c>
      <c r="GP464" s="9" t="s">
        <v>29</v>
      </c>
      <c r="HZ464" t="s">
        <v>1748</v>
      </c>
      <c r="IA464" t="s">
        <v>1794</v>
      </c>
      <c r="IW464" t="s">
        <v>1748</v>
      </c>
      <c r="IX464" s="54" t="s">
        <v>1793</v>
      </c>
      <c r="IY464" s="54" t="s">
        <v>1793</v>
      </c>
      <c r="IZ464" s="54" t="s">
        <v>1780</v>
      </c>
      <c r="JA464">
        <v>1</v>
      </c>
      <c r="JB464">
        <v>6</v>
      </c>
      <c r="MZ464" t="s">
        <v>1805</v>
      </c>
      <c r="NA464">
        <v>1963</v>
      </c>
      <c r="NB464" t="s">
        <v>1783</v>
      </c>
      <c r="NC464" t="s">
        <v>1745</v>
      </c>
      <c r="NH464" t="s">
        <v>1786</v>
      </c>
      <c r="NI464" t="s">
        <v>711</v>
      </c>
      <c r="NK464" t="s">
        <v>1751</v>
      </c>
      <c r="NM464" t="s">
        <v>1751</v>
      </c>
      <c r="NV464" t="s">
        <v>1828</v>
      </c>
      <c r="NW464" t="s">
        <v>6</v>
      </c>
      <c r="NX464">
        <v>0</v>
      </c>
      <c r="NY464" t="s">
        <v>1446</v>
      </c>
      <c r="NZ464">
        <v>0</v>
      </c>
      <c r="OC464">
        <v>7</v>
      </c>
      <c r="OT464" t="s">
        <v>1576</v>
      </c>
      <c r="OV464">
        <v>2010</v>
      </c>
      <c r="PA464" t="s">
        <v>1169</v>
      </c>
      <c r="PB464" s="58">
        <v>46108</v>
      </c>
    </row>
    <row r="465" spans="1:418" ht="15.75" thickBot="1">
      <c r="A465" t="s">
        <v>36</v>
      </c>
      <c r="B465" t="s">
        <v>1739</v>
      </c>
      <c r="C465" t="s">
        <v>1740</v>
      </c>
      <c r="D465" s="4" t="s">
        <v>245</v>
      </c>
      <c r="E465" t="s">
        <v>1806</v>
      </c>
      <c r="F465" s="4" t="s">
        <v>1804</v>
      </c>
      <c r="G465" t="s">
        <v>254</v>
      </c>
      <c r="H465" t="s">
        <v>30</v>
      </c>
      <c r="I465">
        <v>-23.748532000000001</v>
      </c>
      <c r="J465">
        <v>-62.056702000000001</v>
      </c>
      <c r="K465" s="87" t="s">
        <v>29</v>
      </c>
      <c r="AV465" t="s">
        <v>1766</v>
      </c>
      <c r="AW465" t="s">
        <v>234</v>
      </c>
      <c r="AX465">
        <v>1000</v>
      </c>
      <c r="AY465" s="5">
        <v>5.5555555555555558E-3</v>
      </c>
      <c r="AZ465" t="s">
        <v>1803</v>
      </c>
      <c r="BA465">
        <v>2010</v>
      </c>
      <c r="BD465" t="s">
        <v>1825</v>
      </c>
      <c r="BE465" t="s">
        <v>1742</v>
      </c>
      <c r="BF465" t="s">
        <v>39</v>
      </c>
      <c r="BG465" t="s">
        <v>1743</v>
      </c>
      <c r="EE465" t="s">
        <v>1774</v>
      </c>
      <c r="EF465" t="s">
        <v>29</v>
      </c>
      <c r="EG465" t="s">
        <v>29</v>
      </c>
      <c r="EH465" t="s">
        <v>29</v>
      </c>
      <c r="EI465" t="s">
        <v>1773</v>
      </c>
      <c r="EJ465" t="s">
        <v>29</v>
      </c>
      <c r="EK465" t="s">
        <v>29</v>
      </c>
      <c r="EL465" t="s">
        <v>29</v>
      </c>
      <c r="EM465" t="s">
        <v>1768</v>
      </c>
      <c r="EN465" t="s">
        <v>29</v>
      </c>
      <c r="EO465" t="s">
        <v>29</v>
      </c>
      <c r="EP465" t="s">
        <v>29</v>
      </c>
      <c r="EQ465" t="s">
        <v>1769</v>
      </c>
      <c r="ER465" t="s">
        <v>29</v>
      </c>
      <c r="ES465" t="s">
        <v>29</v>
      </c>
      <c r="ET465" t="s">
        <v>29</v>
      </c>
      <c r="EU465" t="s">
        <v>1770</v>
      </c>
      <c r="EV465" t="s">
        <v>29</v>
      </c>
      <c r="EW465" t="s">
        <v>29</v>
      </c>
      <c r="EX465" t="s">
        <v>29</v>
      </c>
      <c r="EY465" t="s">
        <v>1771</v>
      </c>
      <c r="EZ465" t="s">
        <v>29</v>
      </c>
      <c r="FA465" t="s">
        <v>29</v>
      </c>
      <c r="FB465" t="s">
        <v>29</v>
      </c>
      <c r="FC465" t="s">
        <v>1772</v>
      </c>
      <c r="FD465" t="s">
        <v>29</v>
      </c>
      <c r="FE465" t="s">
        <v>29</v>
      </c>
      <c r="FF465" t="s">
        <v>29</v>
      </c>
      <c r="HZ465" t="s">
        <v>1742</v>
      </c>
      <c r="IW465" t="s">
        <v>1742</v>
      </c>
      <c r="IX465" t="s">
        <v>1791</v>
      </c>
      <c r="IY465" t="s">
        <v>1791</v>
      </c>
      <c r="IZ465" t="s">
        <v>1791</v>
      </c>
      <c r="JA465">
        <v>5</v>
      </c>
      <c r="JB465">
        <v>70</v>
      </c>
      <c r="MZ465" t="s">
        <v>1805</v>
      </c>
      <c r="NA465">
        <v>1963</v>
      </c>
      <c r="NB465" t="s">
        <v>1784</v>
      </c>
      <c r="NC465" t="s">
        <v>1745</v>
      </c>
      <c r="NH465" t="s">
        <v>1787</v>
      </c>
      <c r="NI465" t="s">
        <v>711</v>
      </c>
      <c r="NK465" t="s">
        <v>1751</v>
      </c>
      <c r="NM465" t="s">
        <v>1751</v>
      </c>
      <c r="NV465" t="s">
        <v>1827</v>
      </c>
      <c r="NW465" t="s">
        <v>6</v>
      </c>
      <c r="NX465">
        <v>3.4</v>
      </c>
      <c r="NY465" t="s">
        <v>1446</v>
      </c>
      <c r="NZ465">
        <v>1.6</v>
      </c>
      <c r="OC465">
        <v>6</v>
      </c>
      <c r="OT465" t="s">
        <v>1576</v>
      </c>
      <c r="OV465">
        <v>2010</v>
      </c>
      <c r="PA465" t="s">
        <v>1169</v>
      </c>
      <c r="PB465" s="58">
        <v>46108</v>
      </c>
    </row>
    <row r="466" spans="1:418" ht="15.75" thickBot="1">
      <c r="A466" t="s">
        <v>36</v>
      </c>
      <c r="B466" t="s">
        <v>1739</v>
      </c>
      <c r="C466" t="s">
        <v>1740</v>
      </c>
      <c r="D466" s="4" t="s">
        <v>245</v>
      </c>
      <c r="E466" t="s">
        <v>1806</v>
      </c>
      <c r="F466" s="4" t="s">
        <v>1804</v>
      </c>
      <c r="G466" t="s">
        <v>254</v>
      </c>
      <c r="H466" t="s">
        <v>30</v>
      </c>
      <c r="I466">
        <v>-23.748532000000001</v>
      </c>
      <c r="J466">
        <v>-62.056702000000001</v>
      </c>
      <c r="K466" s="87" t="s">
        <v>29</v>
      </c>
      <c r="AV466" t="s">
        <v>1766</v>
      </c>
      <c r="AW466" t="s">
        <v>234</v>
      </c>
      <c r="AX466" t="s">
        <v>234</v>
      </c>
      <c r="AY466" s="5">
        <v>5.5555555555555558E-3</v>
      </c>
      <c r="AZ466" t="s">
        <v>1803</v>
      </c>
      <c r="BA466">
        <v>2010</v>
      </c>
      <c r="BD466" t="s">
        <v>1759</v>
      </c>
      <c r="BE466" t="s">
        <v>1760</v>
      </c>
      <c r="BF466" t="s">
        <v>64</v>
      </c>
      <c r="BG466" t="s">
        <v>1779</v>
      </c>
      <c r="BH466" t="s">
        <v>1777</v>
      </c>
      <c r="BI466" t="s">
        <v>1782</v>
      </c>
      <c r="BJ466" t="s">
        <v>29</v>
      </c>
      <c r="BK466" t="s">
        <v>29</v>
      </c>
      <c r="EE466" t="s">
        <v>1774</v>
      </c>
      <c r="EF466" t="s">
        <v>29</v>
      </c>
      <c r="EG466" t="s">
        <v>29</v>
      </c>
      <c r="EH466" t="s">
        <v>29</v>
      </c>
      <c r="EI466" t="s">
        <v>1773</v>
      </c>
      <c r="EJ466" t="s">
        <v>29</v>
      </c>
      <c r="EK466" t="s">
        <v>29</v>
      </c>
      <c r="EL466" t="s">
        <v>29</v>
      </c>
      <c r="EM466" t="s">
        <v>1768</v>
      </c>
      <c r="EN466" t="s">
        <v>29</v>
      </c>
      <c r="EO466" t="s">
        <v>29</v>
      </c>
      <c r="EP466" t="s">
        <v>29</v>
      </c>
      <c r="EQ466" t="s">
        <v>1769</v>
      </c>
      <c r="ER466" t="s">
        <v>29</v>
      </c>
      <c r="ES466" t="s">
        <v>29</v>
      </c>
      <c r="ET466" t="s">
        <v>29</v>
      </c>
      <c r="EU466" t="s">
        <v>1770</v>
      </c>
      <c r="EV466" t="s">
        <v>29</v>
      </c>
      <c r="EW466" t="s">
        <v>29</v>
      </c>
      <c r="EX466" t="s">
        <v>29</v>
      </c>
      <c r="EY466" t="s">
        <v>1771</v>
      </c>
      <c r="EZ466" t="s">
        <v>29</v>
      </c>
      <c r="FA466" t="s">
        <v>29</v>
      </c>
      <c r="FB466" t="s">
        <v>29</v>
      </c>
      <c r="FC466" t="s">
        <v>1772</v>
      </c>
      <c r="FD466" t="s">
        <v>29</v>
      </c>
      <c r="FE466" t="s">
        <v>29</v>
      </c>
      <c r="FF466" t="s">
        <v>29</v>
      </c>
      <c r="GM466" t="s">
        <v>1775</v>
      </c>
      <c r="GN466" s="9" t="s">
        <v>29</v>
      </c>
      <c r="GO466" s="9" t="s">
        <v>29</v>
      </c>
      <c r="GP466" s="9" t="s">
        <v>29</v>
      </c>
      <c r="GQ466" s="9"/>
      <c r="GR466" s="9"/>
      <c r="GS466" s="9"/>
      <c r="GT466" s="9"/>
      <c r="GU466" s="9"/>
      <c r="GV466" s="9"/>
      <c r="GW466" s="9"/>
      <c r="GX466" s="9"/>
      <c r="GY466" s="9"/>
      <c r="GZ466" s="9"/>
      <c r="HA466" s="9"/>
      <c r="HB466" s="9"/>
      <c r="HC466" s="9"/>
      <c r="HD466" s="9"/>
      <c r="HE466" s="9"/>
      <c r="HF466" s="9"/>
      <c r="HG466" s="9"/>
      <c r="HH466" s="9"/>
      <c r="HI466" s="9"/>
      <c r="HJ466" s="9"/>
      <c r="HK466" s="9"/>
      <c r="HL466" s="9"/>
      <c r="HY466" s="58"/>
      <c r="HZ466" t="s">
        <v>1760</v>
      </c>
      <c r="IA466" t="s">
        <v>1795</v>
      </c>
      <c r="IW466" t="s">
        <v>1760</v>
      </c>
      <c r="IX466" s="84" t="s">
        <v>1792</v>
      </c>
      <c r="IY466" t="s">
        <v>1767</v>
      </c>
      <c r="IZ466" s="54" t="s">
        <v>1776</v>
      </c>
      <c r="JA466">
        <v>1</v>
      </c>
      <c r="JB466">
        <v>81</v>
      </c>
      <c r="MZ466" t="s">
        <v>1805</v>
      </c>
      <c r="NA466">
        <v>1963</v>
      </c>
      <c r="NB466" t="s">
        <v>1784</v>
      </c>
      <c r="NC466" t="s">
        <v>1745</v>
      </c>
      <c r="NH466" t="s">
        <v>1787</v>
      </c>
      <c r="NI466" t="s">
        <v>711</v>
      </c>
      <c r="NK466" t="s">
        <v>1751</v>
      </c>
      <c r="NM466" t="s">
        <v>1751</v>
      </c>
      <c r="NW466" t="s">
        <v>6</v>
      </c>
      <c r="NX466">
        <v>3.6</v>
      </c>
      <c r="NY466" t="s">
        <v>1446</v>
      </c>
      <c r="NZ466">
        <v>1.9</v>
      </c>
      <c r="OC466">
        <v>8</v>
      </c>
      <c r="OT466" t="s">
        <v>1576</v>
      </c>
      <c r="OV466">
        <v>2010</v>
      </c>
      <c r="PA466" t="s">
        <v>1169</v>
      </c>
      <c r="PB466" s="58">
        <v>46108</v>
      </c>
    </row>
    <row r="467" spans="1:418" ht="15.75" thickBot="1">
      <c r="A467" t="s">
        <v>36</v>
      </c>
      <c r="B467" t="s">
        <v>1739</v>
      </c>
      <c r="C467" t="s">
        <v>1740</v>
      </c>
      <c r="D467" s="4" t="s">
        <v>245</v>
      </c>
      <c r="E467" t="s">
        <v>1806</v>
      </c>
      <c r="F467" s="4" t="s">
        <v>1804</v>
      </c>
      <c r="G467" t="s">
        <v>254</v>
      </c>
      <c r="H467" t="s">
        <v>30</v>
      </c>
      <c r="I467">
        <v>-23.748532000000001</v>
      </c>
      <c r="J467">
        <v>-62.056702000000001</v>
      </c>
      <c r="K467" s="87" t="s">
        <v>29</v>
      </c>
      <c r="AV467" t="s">
        <v>1766</v>
      </c>
      <c r="AW467" t="s">
        <v>234</v>
      </c>
      <c r="AX467">
        <v>3600</v>
      </c>
      <c r="AY467" s="5">
        <v>5.5555555555555558E-3</v>
      </c>
      <c r="AZ467" t="s">
        <v>1803</v>
      </c>
      <c r="BA467">
        <v>2010</v>
      </c>
      <c r="BD467" t="s">
        <v>1759</v>
      </c>
      <c r="BE467" t="s">
        <v>1762</v>
      </c>
      <c r="BF467" t="s">
        <v>57</v>
      </c>
      <c r="BG467" t="s">
        <v>1779</v>
      </c>
      <c r="BH467" t="s">
        <v>1777</v>
      </c>
      <c r="BI467" t="s">
        <v>29</v>
      </c>
      <c r="BJ467" t="s">
        <v>29</v>
      </c>
      <c r="BK467" t="s">
        <v>29</v>
      </c>
      <c r="EE467" t="s">
        <v>1774</v>
      </c>
      <c r="EF467" t="s">
        <v>29</v>
      </c>
      <c r="EG467" t="s">
        <v>29</v>
      </c>
      <c r="EH467" t="s">
        <v>29</v>
      </c>
      <c r="EI467" t="s">
        <v>1773</v>
      </c>
      <c r="EJ467" t="s">
        <v>29</v>
      </c>
      <c r="EK467" t="s">
        <v>29</v>
      </c>
      <c r="EL467" t="s">
        <v>29</v>
      </c>
      <c r="EM467" t="s">
        <v>1768</v>
      </c>
      <c r="EN467" t="s">
        <v>29</v>
      </c>
      <c r="EO467" t="s">
        <v>29</v>
      </c>
      <c r="EP467" t="s">
        <v>29</v>
      </c>
      <c r="EQ467" t="s">
        <v>1769</v>
      </c>
      <c r="ER467" t="s">
        <v>29</v>
      </c>
      <c r="ES467" t="s">
        <v>29</v>
      </c>
      <c r="ET467" t="s">
        <v>29</v>
      </c>
      <c r="EU467" t="s">
        <v>1770</v>
      </c>
      <c r="EV467" t="s">
        <v>29</v>
      </c>
      <c r="EW467" t="s">
        <v>29</v>
      </c>
      <c r="EX467" t="s">
        <v>29</v>
      </c>
      <c r="EY467" t="s">
        <v>1771</v>
      </c>
      <c r="EZ467" t="s">
        <v>29</v>
      </c>
      <c r="FA467" t="s">
        <v>29</v>
      </c>
      <c r="FB467" t="s">
        <v>29</v>
      </c>
      <c r="FC467" t="s">
        <v>1772</v>
      </c>
      <c r="FD467" t="s">
        <v>29</v>
      </c>
      <c r="FE467" t="s">
        <v>29</v>
      </c>
      <c r="FF467" t="s">
        <v>29</v>
      </c>
      <c r="FG467" s="9"/>
      <c r="FH467" s="9"/>
      <c r="FI467" s="9"/>
      <c r="FJ467" s="9"/>
      <c r="FK467" s="9"/>
      <c r="FL467" s="9"/>
      <c r="FM467" s="9"/>
      <c r="FN467" s="9"/>
      <c r="FO467" s="9"/>
      <c r="FP467" s="9"/>
      <c r="FQ467" s="9"/>
      <c r="FR467" s="9"/>
      <c r="FS467" s="9"/>
      <c r="FT467" s="9"/>
      <c r="FU467" s="9"/>
      <c r="FV467" s="9"/>
      <c r="FW467" s="9"/>
      <c r="FX467" s="9"/>
      <c r="FY467" s="9"/>
      <c r="FZ467" s="9"/>
      <c r="GA467" s="9"/>
      <c r="GB467" s="9"/>
      <c r="GC467" s="9"/>
      <c r="GD467" s="9"/>
      <c r="GE467" s="9"/>
      <c r="GF467" s="9"/>
      <c r="GG467" s="9"/>
      <c r="GH467" s="9"/>
      <c r="GI467" s="9"/>
      <c r="GJ467" s="9"/>
      <c r="GK467" s="9"/>
      <c r="GL467" s="9"/>
      <c r="GM467" s="9" t="s">
        <v>1775</v>
      </c>
      <c r="GN467" s="9" t="s">
        <v>29</v>
      </c>
      <c r="GO467" s="9" t="s">
        <v>29</v>
      </c>
      <c r="GP467" s="9" t="s">
        <v>29</v>
      </c>
      <c r="GQ467" s="9"/>
      <c r="GR467" s="9"/>
      <c r="GS467" s="9"/>
      <c r="GT467" s="9"/>
      <c r="GU467" s="9"/>
      <c r="GV467" s="9"/>
      <c r="GW467" s="9"/>
      <c r="GX467" s="9"/>
      <c r="GY467" s="9"/>
      <c r="GZ467" s="9"/>
      <c r="HA467" s="9"/>
      <c r="HB467" s="9"/>
      <c r="HC467" s="9"/>
      <c r="HD467" s="9"/>
      <c r="HE467" s="9"/>
      <c r="HF467" s="9"/>
      <c r="HG467" s="9"/>
      <c r="HH467" s="9"/>
      <c r="HI467" s="9"/>
      <c r="HJ467" s="9"/>
      <c r="HK467" s="9"/>
      <c r="HL467" s="9"/>
      <c r="HY467" s="58"/>
      <c r="HZ467" t="s">
        <v>1762</v>
      </c>
      <c r="IA467" t="s">
        <v>1795</v>
      </c>
      <c r="IW467" t="s">
        <v>1762</v>
      </c>
      <c r="IX467" s="84" t="s">
        <v>1792</v>
      </c>
      <c r="IY467" s="12" t="s">
        <v>1767</v>
      </c>
      <c r="IZ467" s="54" t="s">
        <v>1778</v>
      </c>
      <c r="JA467">
        <v>7.5</v>
      </c>
      <c r="JB467">
        <v>56</v>
      </c>
      <c r="MZ467" t="s">
        <v>1805</v>
      </c>
      <c r="NA467">
        <v>1963</v>
      </c>
      <c r="NB467" t="s">
        <v>1784</v>
      </c>
      <c r="NC467" t="s">
        <v>1745</v>
      </c>
      <c r="NH467" t="s">
        <v>1787</v>
      </c>
      <c r="NI467" t="s">
        <v>711</v>
      </c>
      <c r="NK467" t="s">
        <v>1751</v>
      </c>
      <c r="NM467" t="s">
        <v>1751</v>
      </c>
      <c r="NW467" t="s">
        <v>6</v>
      </c>
      <c r="NX467">
        <v>4.2</v>
      </c>
      <c r="NY467" t="s">
        <v>1446</v>
      </c>
      <c r="NZ467">
        <v>2.1</v>
      </c>
      <c r="OC467">
        <v>7</v>
      </c>
      <c r="OT467" t="s">
        <v>1576</v>
      </c>
      <c r="OV467">
        <v>2010</v>
      </c>
      <c r="PA467" t="s">
        <v>1169</v>
      </c>
      <c r="PB467" s="58">
        <v>46108</v>
      </c>
    </row>
    <row r="468" spans="1:418" ht="15.75" thickBot="1">
      <c r="A468" t="s">
        <v>36</v>
      </c>
      <c r="B468" t="s">
        <v>1739</v>
      </c>
      <c r="C468" t="s">
        <v>1740</v>
      </c>
      <c r="D468" s="4" t="s">
        <v>245</v>
      </c>
      <c r="E468" t="s">
        <v>1806</v>
      </c>
      <c r="F468" s="4" t="s">
        <v>1804</v>
      </c>
      <c r="G468" t="s">
        <v>254</v>
      </c>
      <c r="H468" t="s">
        <v>30</v>
      </c>
      <c r="I468">
        <v>-23.748532000000001</v>
      </c>
      <c r="J468">
        <v>-62.056702000000001</v>
      </c>
      <c r="K468" s="87" t="s">
        <v>29</v>
      </c>
      <c r="AV468" t="s">
        <v>1766</v>
      </c>
      <c r="AW468" t="s">
        <v>234</v>
      </c>
      <c r="AX468">
        <v>3600</v>
      </c>
      <c r="AY468" s="5">
        <v>5.5555555555555558E-3</v>
      </c>
      <c r="AZ468" t="s">
        <v>1803</v>
      </c>
      <c r="BA468">
        <v>2010</v>
      </c>
      <c r="BD468" t="s">
        <v>1759</v>
      </c>
      <c r="BE468" t="s">
        <v>1764</v>
      </c>
      <c r="BF468" t="s">
        <v>48</v>
      </c>
      <c r="BG468" t="s">
        <v>1779</v>
      </c>
      <c r="BH468" t="s">
        <v>1781</v>
      </c>
      <c r="BI468" t="s">
        <v>29</v>
      </c>
      <c r="BJ468" t="s">
        <v>29</v>
      </c>
      <c r="BK468" t="s">
        <v>29</v>
      </c>
      <c r="EE468" t="s">
        <v>1774</v>
      </c>
      <c r="EF468" t="s">
        <v>29</v>
      </c>
      <c r="EG468" t="s">
        <v>29</v>
      </c>
      <c r="EH468" t="s">
        <v>29</v>
      </c>
      <c r="EI468" t="s">
        <v>1773</v>
      </c>
      <c r="EJ468" t="s">
        <v>29</v>
      </c>
      <c r="EK468" t="s">
        <v>29</v>
      </c>
      <c r="EL468" t="s">
        <v>29</v>
      </c>
      <c r="EM468" t="s">
        <v>1768</v>
      </c>
      <c r="EN468" t="s">
        <v>29</v>
      </c>
      <c r="EO468" t="s">
        <v>29</v>
      </c>
      <c r="EP468" t="s">
        <v>29</v>
      </c>
      <c r="EQ468" t="s">
        <v>1769</v>
      </c>
      <c r="ER468" t="s">
        <v>29</v>
      </c>
      <c r="ES468" t="s">
        <v>29</v>
      </c>
      <c r="ET468" t="s">
        <v>29</v>
      </c>
      <c r="EU468" t="s">
        <v>1770</v>
      </c>
      <c r="EV468" t="s">
        <v>29</v>
      </c>
      <c r="EW468" t="s">
        <v>29</v>
      </c>
      <c r="EX468" t="s">
        <v>29</v>
      </c>
      <c r="EY468" t="s">
        <v>1771</v>
      </c>
      <c r="EZ468" t="s">
        <v>29</v>
      </c>
      <c r="FA468" t="s">
        <v>29</v>
      </c>
      <c r="FB468" t="s">
        <v>29</v>
      </c>
      <c r="FC468" t="s">
        <v>1772</v>
      </c>
      <c r="FD468" t="s">
        <v>29</v>
      </c>
      <c r="FE468" t="s">
        <v>29</v>
      </c>
      <c r="FF468" t="s">
        <v>29</v>
      </c>
      <c r="FG468" s="9"/>
      <c r="FH468" s="9"/>
      <c r="FI468" s="9"/>
      <c r="FJ468" s="9"/>
      <c r="FK468" s="9"/>
      <c r="FL468" s="9"/>
      <c r="FM468" s="9"/>
      <c r="FN468" s="9"/>
      <c r="FO468" s="9"/>
      <c r="FP468" s="9"/>
      <c r="FQ468" s="9"/>
      <c r="FR468" s="9"/>
      <c r="FS468" s="9"/>
      <c r="FT468" s="9"/>
      <c r="FU468" s="9"/>
      <c r="FV468" s="9"/>
      <c r="FW468" s="9"/>
      <c r="FX468" s="9"/>
      <c r="FY468" s="9"/>
      <c r="FZ468" s="9"/>
      <c r="GA468" s="9"/>
      <c r="GB468" s="9"/>
      <c r="GC468" s="9"/>
      <c r="GD468" s="9"/>
      <c r="GE468" s="9"/>
      <c r="GF468" s="9"/>
      <c r="GG468" s="9"/>
      <c r="GH468" s="9"/>
      <c r="GI468" s="9"/>
      <c r="GJ468" s="9"/>
      <c r="GK468" s="9"/>
      <c r="GL468" s="9"/>
      <c r="GM468" s="9" t="s">
        <v>1775</v>
      </c>
      <c r="GN468" s="9" t="s">
        <v>29</v>
      </c>
      <c r="GO468" s="9" t="s">
        <v>29</v>
      </c>
      <c r="GP468" s="9" t="s">
        <v>29</v>
      </c>
      <c r="GQ468" s="9"/>
      <c r="GR468" s="9"/>
      <c r="GS468" s="9"/>
      <c r="GT468" s="9"/>
      <c r="GU468" s="9"/>
      <c r="GV468" s="9"/>
      <c r="GW468" s="9"/>
      <c r="GX468" s="9"/>
      <c r="GY468" s="9"/>
      <c r="GZ468" s="9"/>
      <c r="HA468" s="9"/>
      <c r="HB468" s="9"/>
      <c r="HC468" s="9"/>
      <c r="HD468" s="9"/>
      <c r="HE468" s="9"/>
      <c r="HF468" s="9"/>
      <c r="HG468" s="9"/>
      <c r="HH468" s="9"/>
      <c r="HI468" s="9"/>
      <c r="HJ468" s="9"/>
      <c r="HK468" s="9"/>
      <c r="HL468" s="9"/>
      <c r="HY468" s="58"/>
      <c r="HZ468" t="s">
        <v>1764</v>
      </c>
      <c r="IA468" t="s">
        <v>1794</v>
      </c>
      <c r="IW468" t="s">
        <v>1764</v>
      </c>
      <c r="IX468" s="84" t="s">
        <v>1792</v>
      </c>
      <c r="IY468" s="12" t="s">
        <v>1767</v>
      </c>
      <c r="IZ468" s="54" t="s">
        <v>1778</v>
      </c>
      <c r="JA468">
        <v>7.5</v>
      </c>
      <c r="JB468">
        <v>37</v>
      </c>
      <c r="MZ468" t="s">
        <v>1805</v>
      </c>
      <c r="NA468">
        <v>1963</v>
      </c>
      <c r="NB468" t="s">
        <v>1784</v>
      </c>
      <c r="NC468" t="s">
        <v>1745</v>
      </c>
      <c r="NH468" t="s">
        <v>1787</v>
      </c>
      <c r="NI468" t="s">
        <v>711</v>
      </c>
      <c r="NK468" t="s">
        <v>1751</v>
      </c>
      <c r="NM468" t="s">
        <v>1751</v>
      </c>
      <c r="NW468" t="s">
        <v>6</v>
      </c>
      <c r="NX468">
        <v>5.2</v>
      </c>
      <c r="NY468" t="s">
        <v>1446</v>
      </c>
      <c r="NZ468">
        <v>2.1</v>
      </c>
      <c r="OC468">
        <v>5</v>
      </c>
      <c r="OT468" t="s">
        <v>1576</v>
      </c>
      <c r="OV468">
        <v>2010</v>
      </c>
      <c r="PA468" t="s">
        <v>1169</v>
      </c>
      <c r="PB468" s="58">
        <v>46108</v>
      </c>
    </row>
    <row r="469" spans="1:418" ht="15.75" thickBot="1">
      <c r="A469" t="s">
        <v>36</v>
      </c>
      <c r="B469" t="s">
        <v>1739</v>
      </c>
      <c r="C469" t="s">
        <v>1740</v>
      </c>
      <c r="D469" s="4" t="s">
        <v>245</v>
      </c>
      <c r="E469" t="s">
        <v>1806</v>
      </c>
      <c r="F469" s="4" t="s">
        <v>1804</v>
      </c>
      <c r="G469" t="s">
        <v>254</v>
      </c>
      <c r="H469" t="s">
        <v>30</v>
      </c>
      <c r="I469">
        <v>-23.748532000000001</v>
      </c>
      <c r="J469">
        <v>-62.056702000000001</v>
      </c>
      <c r="K469" s="87" t="s">
        <v>29</v>
      </c>
      <c r="AV469" t="s">
        <v>1766</v>
      </c>
      <c r="AW469" t="s">
        <v>234</v>
      </c>
      <c r="AX469" t="s">
        <v>234</v>
      </c>
      <c r="AY469" s="5">
        <v>5.5555555555555558E-3</v>
      </c>
      <c r="AZ469" t="s">
        <v>1803</v>
      </c>
      <c r="BA469">
        <v>2010</v>
      </c>
      <c r="BD469" t="s">
        <v>1747</v>
      </c>
      <c r="BE469" t="s">
        <v>1748</v>
      </c>
      <c r="BF469" t="s">
        <v>24</v>
      </c>
      <c r="BG469" t="s">
        <v>1779</v>
      </c>
      <c r="BH469" t="s">
        <v>1781</v>
      </c>
      <c r="BI469" t="s">
        <v>29</v>
      </c>
      <c r="BJ469" t="s">
        <v>29</v>
      </c>
      <c r="BK469" t="s">
        <v>29</v>
      </c>
      <c r="GM469" t="s">
        <v>1775</v>
      </c>
      <c r="GN469" s="9" t="s">
        <v>29</v>
      </c>
      <c r="GO469" s="9" t="s">
        <v>29</v>
      </c>
      <c r="GP469" s="9" t="s">
        <v>29</v>
      </c>
      <c r="HZ469" t="s">
        <v>1748</v>
      </c>
      <c r="IA469" t="s">
        <v>1794</v>
      </c>
      <c r="IW469" t="s">
        <v>1748</v>
      </c>
      <c r="IX469" s="54" t="s">
        <v>1793</v>
      </c>
      <c r="IY469" s="54" t="s">
        <v>1793</v>
      </c>
      <c r="IZ469" s="54" t="s">
        <v>1780</v>
      </c>
      <c r="JA469">
        <v>1</v>
      </c>
      <c r="JB469">
        <v>6</v>
      </c>
      <c r="MZ469" t="s">
        <v>1805</v>
      </c>
      <c r="NA469">
        <v>1963</v>
      </c>
      <c r="NB469" t="s">
        <v>1784</v>
      </c>
      <c r="NC469" t="s">
        <v>1745</v>
      </c>
      <c r="NH469" t="s">
        <v>1787</v>
      </c>
      <c r="NI469" t="s">
        <v>711</v>
      </c>
      <c r="NK469" t="s">
        <v>1751</v>
      </c>
      <c r="NM469" t="s">
        <v>1751</v>
      </c>
      <c r="NV469" t="s">
        <v>1828</v>
      </c>
      <c r="NW469" t="s">
        <v>6</v>
      </c>
      <c r="NX469">
        <v>2.7</v>
      </c>
      <c r="NY469" t="s">
        <v>1446</v>
      </c>
      <c r="NZ469">
        <v>1.8</v>
      </c>
      <c r="OC469">
        <v>7</v>
      </c>
      <c r="OT469" t="s">
        <v>1576</v>
      </c>
      <c r="OV469">
        <v>2010</v>
      </c>
      <c r="PA469" t="s">
        <v>1169</v>
      </c>
      <c r="PB469" s="58">
        <v>46108</v>
      </c>
    </row>
    <row r="470" spans="1:418" ht="15.75" thickBot="1">
      <c r="A470" t="s">
        <v>36</v>
      </c>
      <c r="B470" t="s">
        <v>1739</v>
      </c>
      <c r="C470" t="s">
        <v>1740</v>
      </c>
      <c r="D470" s="4" t="s">
        <v>245</v>
      </c>
      <c r="E470" t="s">
        <v>1806</v>
      </c>
      <c r="F470" s="4" t="s">
        <v>1804</v>
      </c>
      <c r="G470" t="s">
        <v>254</v>
      </c>
      <c r="H470" t="s">
        <v>30</v>
      </c>
      <c r="I470">
        <v>-23.748532000000001</v>
      </c>
      <c r="J470">
        <v>-62.056702000000001</v>
      </c>
      <c r="K470" s="87" t="s">
        <v>29</v>
      </c>
      <c r="AV470" t="s">
        <v>1766</v>
      </c>
      <c r="AW470" t="s">
        <v>234</v>
      </c>
      <c r="AX470">
        <v>1000</v>
      </c>
      <c r="AY470" s="5">
        <v>5.5555555555555558E-3</v>
      </c>
      <c r="AZ470" t="s">
        <v>1803</v>
      </c>
      <c r="BA470">
        <v>2010</v>
      </c>
      <c r="BD470" t="s">
        <v>1825</v>
      </c>
      <c r="BE470" t="s">
        <v>1742</v>
      </c>
      <c r="BF470" t="s">
        <v>39</v>
      </c>
      <c r="BG470" t="s">
        <v>1743</v>
      </c>
      <c r="EE470" t="s">
        <v>1774</v>
      </c>
      <c r="EF470" t="s">
        <v>29</v>
      </c>
      <c r="EG470" t="s">
        <v>29</v>
      </c>
      <c r="EH470" t="s">
        <v>29</v>
      </c>
      <c r="EI470" t="s">
        <v>1773</v>
      </c>
      <c r="EJ470" t="s">
        <v>29</v>
      </c>
      <c r="EK470" t="s">
        <v>29</v>
      </c>
      <c r="EL470" t="s">
        <v>29</v>
      </c>
      <c r="EM470" t="s">
        <v>1768</v>
      </c>
      <c r="EN470" t="s">
        <v>29</v>
      </c>
      <c r="EO470" t="s">
        <v>29</v>
      </c>
      <c r="EP470" t="s">
        <v>29</v>
      </c>
      <c r="EQ470" t="s">
        <v>1769</v>
      </c>
      <c r="ER470" t="s">
        <v>29</v>
      </c>
      <c r="ES470" t="s">
        <v>29</v>
      </c>
      <c r="ET470" t="s">
        <v>29</v>
      </c>
      <c r="EU470" t="s">
        <v>1770</v>
      </c>
      <c r="EV470" t="s">
        <v>29</v>
      </c>
      <c r="EW470" t="s">
        <v>29</v>
      </c>
      <c r="EX470" t="s">
        <v>29</v>
      </c>
      <c r="EY470" t="s">
        <v>1771</v>
      </c>
      <c r="EZ470" t="s">
        <v>29</v>
      </c>
      <c r="FA470" t="s">
        <v>29</v>
      </c>
      <c r="FB470" t="s">
        <v>29</v>
      </c>
      <c r="FC470" t="s">
        <v>1772</v>
      </c>
      <c r="FD470" t="s">
        <v>29</v>
      </c>
      <c r="FE470" t="s">
        <v>29</v>
      </c>
      <c r="FF470" t="s">
        <v>29</v>
      </c>
      <c r="HZ470" t="s">
        <v>1742</v>
      </c>
      <c r="IW470" t="s">
        <v>1742</v>
      </c>
      <c r="IX470" t="s">
        <v>1791</v>
      </c>
      <c r="IY470" t="s">
        <v>1791</v>
      </c>
      <c r="IZ470" t="s">
        <v>1791</v>
      </c>
      <c r="JA470">
        <v>5</v>
      </c>
      <c r="JB470">
        <v>70</v>
      </c>
      <c r="MZ470" t="s">
        <v>1805</v>
      </c>
      <c r="NA470">
        <v>1963</v>
      </c>
      <c r="NB470" t="s">
        <v>1785</v>
      </c>
      <c r="NC470" t="s">
        <v>1745</v>
      </c>
      <c r="NH470" t="s">
        <v>1788</v>
      </c>
      <c r="NI470" t="s">
        <v>711</v>
      </c>
      <c r="NK470" t="s">
        <v>1751</v>
      </c>
      <c r="NM470" t="s">
        <v>1751</v>
      </c>
      <c r="NV470" t="s">
        <v>1827</v>
      </c>
      <c r="NW470" t="s">
        <v>6</v>
      </c>
      <c r="NX470">
        <v>0.6</v>
      </c>
      <c r="NY470" t="s">
        <v>1446</v>
      </c>
      <c r="NZ470">
        <v>0.9</v>
      </c>
      <c r="OC470">
        <v>6</v>
      </c>
      <c r="OT470" t="s">
        <v>1576</v>
      </c>
      <c r="OV470">
        <v>2010</v>
      </c>
      <c r="PA470" t="s">
        <v>1169</v>
      </c>
      <c r="PB470" s="58">
        <v>46108</v>
      </c>
    </row>
    <row r="471" spans="1:418" ht="15.75" thickBot="1">
      <c r="A471" t="s">
        <v>36</v>
      </c>
      <c r="B471" t="s">
        <v>1739</v>
      </c>
      <c r="C471" t="s">
        <v>1740</v>
      </c>
      <c r="D471" s="4" t="s">
        <v>245</v>
      </c>
      <c r="E471" t="s">
        <v>1806</v>
      </c>
      <c r="F471" s="4" t="s">
        <v>1804</v>
      </c>
      <c r="G471" t="s">
        <v>254</v>
      </c>
      <c r="H471" t="s">
        <v>30</v>
      </c>
      <c r="I471">
        <v>-23.748532000000001</v>
      </c>
      <c r="J471">
        <v>-62.056702000000001</v>
      </c>
      <c r="K471" s="87" t="s">
        <v>29</v>
      </c>
      <c r="AV471" t="s">
        <v>1766</v>
      </c>
      <c r="AW471" t="s">
        <v>234</v>
      </c>
      <c r="AX471" t="s">
        <v>234</v>
      </c>
      <c r="AY471" s="5">
        <v>5.5555555555555558E-3</v>
      </c>
      <c r="AZ471" t="s">
        <v>1803</v>
      </c>
      <c r="BA471">
        <v>2010</v>
      </c>
      <c r="BD471" t="s">
        <v>1759</v>
      </c>
      <c r="BE471" t="s">
        <v>1760</v>
      </c>
      <c r="BF471" t="s">
        <v>64</v>
      </c>
      <c r="BG471" t="s">
        <v>1779</v>
      </c>
      <c r="BH471" t="s">
        <v>1777</v>
      </c>
      <c r="BI471" t="s">
        <v>1782</v>
      </c>
      <c r="BJ471" t="s">
        <v>29</v>
      </c>
      <c r="BK471" t="s">
        <v>29</v>
      </c>
      <c r="EE471" t="s">
        <v>1774</v>
      </c>
      <c r="EF471" t="s">
        <v>29</v>
      </c>
      <c r="EG471" t="s">
        <v>29</v>
      </c>
      <c r="EH471" t="s">
        <v>29</v>
      </c>
      <c r="EI471" t="s">
        <v>1773</v>
      </c>
      <c r="EJ471" t="s">
        <v>29</v>
      </c>
      <c r="EK471" t="s">
        <v>29</v>
      </c>
      <c r="EL471" t="s">
        <v>29</v>
      </c>
      <c r="EM471" t="s">
        <v>1768</v>
      </c>
      <c r="EN471" t="s">
        <v>29</v>
      </c>
      <c r="EO471" t="s">
        <v>29</v>
      </c>
      <c r="EP471" t="s">
        <v>29</v>
      </c>
      <c r="EQ471" t="s">
        <v>1769</v>
      </c>
      <c r="ER471" t="s">
        <v>29</v>
      </c>
      <c r="ES471" t="s">
        <v>29</v>
      </c>
      <c r="ET471" t="s">
        <v>29</v>
      </c>
      <c r="EU471" t="s">
        <v>1770</v>
      </c>
      <c r="EV471" t="s">
        <v>29</v>
      </c>
      <c r="EW471" t="s">
        <v>29</v>
      </c>
      <c r="EX471" t="s">
        <v>29</v>
      </c>
      <c r="EY471" t="s">
        <v>1771</v>
      </c>
      <c r="EZ471" t="s">
        <v>29</v>
      </c>
      <c r="FA471" t="s">
        <v>29</v>
      </c>
      <c r="FB471" t="s">
        <v>29</v>
      </c>
      <c r="FC471" t="s">
        <v>1772</v>
      </c>
      <c r="FD471" t="s">
        <v>29</v>
      </c>
      <c r="FE471" t="s">
        <v>29</v>
      </c>
      <c r="FF471" t="s">
        <v>29</v>
      </c>
      <c r="GM471" t="s">
        <v>1775</v>
      </c>
      <c r="GN471" s="9" t="s">
        <v>29</v>
      </c>
      <c r="GO471" s="9" t="s">
        <v>29</v>
      </c>
      <c r="GP471" s="9" t="s">
        <v>29</v>
      </c>
      <c r="GQ471" s="9"/>
      <c r="GR471" s="9"/>
      <c r="GS471" s="9"/>
      <c r="GT471" s="9"/>
      <c r="GU471" s="9"/>
      <c r="GV471" s="9"/>
      <c r="GW471" s="9"/>
      <c r="GX471" s="9"/>
      <c r="GY471" s="9"/>
      <c r="GZ471" s="9"/>
      <c r="HA471" s="9"/>
      <c r="HB471" s="9"/>
      <c r="HC471" s="9"/>
      <c r="HD471" s="9"/>
      <c r="HE471" s="9"/>
      <c r="HF471" s="9"/>
      <c r="HG471" s="9"/>
      <c r="HH471" s="9"/>
      <c r="HI471" s="9"/>
      <c r="HJ471" s="9"/>
      <c r="HK471" s="9"/>
      <c r="HL471" s="9"/>
      <c r="HY471" s="58"/>
      <c r="HZ471" t="s">
        <v>1760</v>
      </c>
      <c r="IA471" t="s">
        <v>1795</v>
      </c>
      <c r="IW471" t="s">
        <v>1760</v>
      </c>
      <c r="IX471" s="84" t="s">
        <v>1792</v>
      </c>
      <c r="IY471" t="s">
        <v>1767</v>
      </c>
      <c r="IZ471" s="54" t="s">
        <v>1776</v>
      </c>
      <c r="JA471">
        <v>1</v>
      </c>
      <c r="JB471">
        <v>81</v>
      </c>
      <c r="MZ471" t="s">
        <v>1805</v>
      </c>
      <c r="NA471">
        <v>1963</v>
      </c>
      <c r="NB471" t="s">
        <v>1785</v>
      </c>
      <c r="NC471" t="s">
        <v>1745</v>
      </c>
      <c r="NH471" t="s">
        <v>1788</v>
      </c>
      <c r="NI471" t="s">
        <v>711</v>
      </c>
      <c r="NK471" t="s">
        <v>1751</v>
      </c>
      <c r="NM471" t="s">
        <v>1751</v>
      </c>
      <c r="NW471" t="s">
        <v>6</v>
      </c>
      <c r="NX471">
        <v>0.5</v>
      </c>
      <c r="NY471" t="s">
        <v>1446</v>
      </c>
      <c r="NZ471">
        <v>0.8</v>
      </c>
      <c r="OC471">
        <v>8</v>
      </c>
      <c r="OT471" t="s">
        <v>1576</v>
      </c>
      <c r="OV471">
        <v>2010</v>
      </c>
      <c r="PA471" t="s">
        <v>1169</v>
      </c>
      <c r="PB471" s="58">
        <v>46108</v>
      </c>
    </row>
    <row r="472" spans="1:418" ht="15.75" thickBot="1">
      <c r="A472" t="s">
        <v>36</v>
      </c>
      <c r="B472" t="s">
        <v>1739</v>
      </c>
      <c r="C472" t="s">
        <v>1740</v>
      </c>
      <c r="D472" s="4" t="s">
        <v>245</v>
      </c>
      <c r="E472" t="s">
        <v>1806</v>
      </c>
      <c r="F472" s="4" t="s">
        <v>1804</v>
      </c>
      <c r="G472" t="s">
        <v>254</v>
      </c>
      <c r="H472" t="s">
        <v>30</v>
      </c>
      <c r="I472">
        <v>-23.748532000000001</v>
      </c>
      <c r="J472">
        <v>-62.056702000000001</v>
      </c>
      <c r="K472" s="87" t="s">
        <v>29</v>
      </c>
      <c r="AV472" t="s">
        <v>1766</v>
      </c>
      <c r="AW472" t="s">
        <v>234</v>
      </c>
      <c r="AX472">
        <v>3600</v>
      </c>
      <c r="AY472" s="5">
        <v>5.5555555555555558E-3</v>
      </c>
      <c r="AZ472" t="s">
        <v>1803</v>
      </c>
      <c r="BA472">
        <v>2010</v>
      </c>
      <c r="BD472" t="s">
        <v>1759</v>
      </c>
      <c r="BE472" t="s">
        <v>1762</v>
      </c>
      <c r="BF472" t="s">
        <v>57</v>
      </c>
      <c r="BG472" t="s">
        <v>1779</v>
      </c>
      <c r="BH472" t="s">
        <v>1777</v>
      </c>
      <c r="BI472" t="s">
        <v>29</v>
      </c>
      <c r="BJ472" t="s">
        <v>29</v>
      </c>
      <c r="BK472" t="s">
        <v>29</v>
      </c>
      <c r="EE472" t="s">
        <v>1774</v>
      </c>
      <c r="EF472" t="s">
        <v>29</v>
      </c>
      <c r="EG472" t="s">
        <v>29</v>
      </c>
      <c r="EH472" t="s">
        <v>29</v>
      </c>
      <c r="EI472" t="s">
        <v>1773</v>
      </c>
      <c r="EJ472" t="s">
        <v>29</v>
      </c>
      <c r="EK472" t="s">
        <v>29</v>
      </c>
      <c r="EL472" t="s">
        <v>29</v>
      </c>
      <c r="EM472" t="s">
        <v>1768</v>
      </c>
      <c r="EN472" t="s">
        <v>29</v>
      </c>
      <c r="EO472" t="s">
        <v>29</v>
      </c>
      <c r="EP472" t="s">
        <v>29</v>
      </c>
      <c r="EQ472" t="s">
        <v>1769</v>
      </c>
      <c r="ER472" t="s">
        <v>29</v>
      </c>
      <c r="ES472" t="s">
        <v>29</v>
      </c>
      <c r="ET472" t="s">
        <v>29</v>
      </c>
      <c r="EU472" t="s">
        <v>1770</v>
      </c>
      <c r="EV472" t="s">
        <v>29</v>
      </c>
      <c r="EW472" t="s">
        <v>29</v>
      </c>
      <c r="EX472" t="s">
        <v>29</v>
      </c>
      <c r="EY472" t="s">
        <v>1771</v>
      </c>
      <c r="EZ472" t="s">
        <v>29</v>
      </c>
      <c r="FA472" t="s">
        <v>29</v>
      </c>
      <c r="FB472" t="s">
        <v>29</v>
      </c>
      <c r="FC472" t="s">
        <v>1772</v>
      </c>
      <c r="FD472" t="s">
        <v>29</v>
      </c>
      <c r="FE472" t="s">
        <v>29</v>
      </c>
      <c r="FF472" t="s">
        <v>29</v>
      </c>
      <c r="FG472" s="9"/>
      <c r="FH472" s="9"/>
      <c r="FI472" s="9"/>
      <c r="FJ472" s="9"/>
      <c r="FK472" s="9"/>
      <c r="FL472" s="9"/>
      <c r="FM472" s="9"/>
      <c r="FN472" s="9"/>
      <c r="FO472" s="9"/>
      <c r="FP472" s="9"/>
      <c r="FQ472" s="9"/>
      <c r="FR472" s="9"/>
      <c r="FS472" s="9"/>
      <c r="FT472" s="9"/>
      <c r="FU472" s="9"/>
      <c r="FV472" s="9"/>
      <c r="FW472" s="9"/>
      <c r="FX472" s="9"/>
      <c r="FY472" s="9"/>
      <c r="FZ472" s="9"/>
      <c r="GA472" s="9"/>
      <c r="GB472" s="9"/>
      <c r="GC472" s="9"/>
      <c r="GD472" s="9"/>
      <c r="GE472" s="9"/>
      <c r="GF472" s="9"/>
      <c r="GG472" s="9"/>
      <c r="GH472" s="9"/>
      <c r="GI472" s="9"/>
      <c r="GJ472" s="9"/>
      <c r="GK472" s="9"/>
      <c r="GL472" s="9"/>
      <c r="GM472" s="9" t="s">
        <v>1775</v>
      </c>
      <c r="GN472" s="9" t="s">
        <v>29</v>
      </c>
      <c r="GO472" s="9" t="s">
        <v>29</v>
      </c>
      <c r="GP472" s="9" t="s">
        <v>29</v>
      </c>
      <c r="GQ472" s="9"/>
      <c r="GR472" s="9"/>
      <c r="GS472" s="9"/>
      <c r="GT472" s="9"/>
      <c r="GU472" s="9"/>
      <c r="GV472" s="9"/>
      <c r="GW472" s="9"/>
      <c r="GX472" s="9"/>
      <c r="GY472" s="9"/>
      <c r="GZ472" s="9"/>
      <c r="HA472" s="9"/>
      <c r="HB472" s="9"/>
      <c r="HC472" s="9"/>
      <c r="HD472" s="9"/>
      <c r="HE472" s="9"/>
      <c r="HF472" s="9"/>
      <c r="HG472" s="9"/>
      <c r="HH472" s="9"/>
      <c r="HI472" s="9"/>
      <c r="HJ472" s="9"/>
      <c r="HK472" s="9"/>
      <c r="HL472" s="9"/>
      <c r="HY472" s="58"/>
      <c r="HZ472" t="s">
        <v>1762</v>
      </c>
      <c r="IA472" t="s">
        <v>1795</v>
      </c>
      <c r="IW472" t="s">
        <v>1762</v>
      </c>
      <c r="IX472" s="84" t="s">
        <v>1792</v>
      </c>
      <c r="IY472" s="12" t="s">
        <v>1767</v>
      </c>
      <c r="IZ472" s="54" t="s">
        <v>1778</v>
      </c>
      <c r="JA472">
        <v>7.5</v>
      </c>
      <c r="JB472">
        <v>56</v>
      </c>
      <c r="MZ472" t="s">
        <v>1805</v>
      </c>
      <c r="NA472">
        <v>1963</v>
      </c>
      <c r="NB472" t="s">
        <v>1785</v>
      </c>
      <c r="NC472" t="s">
        <v>1745</v>
      </c>
      <c r="NH472" t="s">
        <v>1788</v>
      </c>
      <c r="NI472" t="s">
        <v>711</v>
      </c>
      <c r="NK472" t="s">
        <v>1751</v>
      </c>
      <c r="NM472" t="s">
        <v>1751</v>
      </c>
      <c r="NW472" t="s">
        <v>6</v>
      </c>
      <c r="NX472">
        <v>1.3</v>
      </c>
      <c r="NY472" t="s">
        <v>1446</v>
      </c>
      <c r="NZ472">
        <v>1.3</v>
      </c>
      <c r="OC472">
        <v>7</v>
      </c>
      <c r="OT472" t="s">
        <v>1576</v>
      </c>
      <c r="OV472">
        <v>2010</v>
      </c>
      <c r="PA472" t="s">
        <v>1169</v>
      </c>
      <c r="PB472" s="58">
        <v>46108</v>
      </c>
    </row>
    <row r="473" spans="1:418" ht="15.75" thickBot="1">
      <c r="A473" t="s">
        <v>36</v>
      </c>
      <c r="B473" t="s">
        <v>1739</v>
      </c>
      <c r="C473" t="s">
        <v>1740</v>
      </c>
      <c r="D473" s="4" t="s">
        <v>245</v>
      </c>
      <c r="E473" t="s">
        <v>1806</v>
      </c>
      <c r="F473" s="4" t="s">
        <v>1804</v>
      </c>
      <c r="G473" t="s">
        <v>254</v>
      </c>
      <c r="H473" t="s">
        <v>30</v>
      </c>
      <c r="I473">
        <v>-23.748532000000001</v>
      </c>
      <c r="J473">
        <v>-62.056702000000001</v>
      </c>
      <c r="K473" s="87" t="s">
        <v>29</v>
      </c>
      <c r="AV473" t="s">
        <v>1766</v>
      </c>
      <c r="AW473" t="s">
        <v>234</v>
      </c>
      <c r="AX473">
        <v>3600</v>
      </c>
      <c r="AY473" s="5">
        <v>5.5555555555555558E-3</v>
      </c>
      <c r="AZ473" t="s">
        <v>1803</v>
      </c>
      <c r="BA473">
        <v>2010</v>
      </c>
      <c r="BD473" t="s">
        <v>1759</v>
      </c>
      <c r="BE473" t="s">
        <v>1764</v>
      </c>
      <c r="BF473" t="s">
        <v>48</v>
      </c>
      <c r="BG473" t="s">
        <v>1779</v>
      </c>
      <c r="BH473" t="s">
        <v>1781</v>
      </c>
      <c r="BI473" t="s">
        <v>29</v>
      </c>
      <c r="BJ473" t="s">
        <v>29</v>
      </c>
      <c r="BK473" t="s">
        <v>29</v>
      </c>
      <c r="EE473" t="s">
        <v>1774</v>
      </c>
      <c r="EF473" t="s">
        <v>29</v>
      </c>
      <c r="EG473" t="s">
        <v>29</v>
      </c>
      <c r="EH473" t="s">
        <v>29</v>
      </c>
      <c r="EI473" t="s">
        <v>1773</v>
      </c>
      <c r="EJ473" t="s">
        <v>29</v>
      </c>
      <c r="EK473" t="s">
        <v>29</v>
      </c>
      <c r="EL473" t="s">
        <v>29</v>
      </c>
      <c r="EM473" t="s">
        <v>1768</v>
      </c>
      <c r="EN473" t="s">
        <v>29</v>
      </c>
      <c r="EO473" t="s">
        <v>29</v>
      </c>
      <c r="EP473" t="s">
        <v>29</v>
      </c>
      <c r="EQ473" t="s">
        <v>1769</v>
      </c>
      <c r="ER473" t="s">
        <v>29</v>
      </c>
      <c r="ES473" t="s">
        <v>29</v>
      </c>
      <c r="ET473" t="s">
        <v>29</v>
      </c>
      <c r="EU473" t="s">
        <v>1770</v>
      </c>
      <c r="EV473" t="s">
        <v>29</v>
      </c>
      <c r="EW473" t="s">
        <v>29</v>
      </c>
      <c r="EX473" t="s">
        <v>29</v>
      </c>
      <c r="EY473" t="s">
        <v>1771</v>
      </c>
      <c r="EZ473" t="s">
        <v>29</v>
      </c>
      <c r="FA473" t="s">
        <v>29</v>
      </c>
      <c r="FB473" t="s">
        <v>29</v>
      </c>
      <c r="FC473" t="s">
        <v>1772</v>
      </c>
      <c r="FD473" t="s">
        <v>29</v>
      </c>
      <c r="FE473" t="s">
        <v>29</v>
      </c>
      <c r="FF473" t="s">
        <v>29</v>
      </c>
      <c r="FG473" s="9"/>
      <c r="FH473" s="9"/>
      <c r="FI473" s="9"/>
      <c r="FJ473" s="9"/>
      <c r="FK473" s="9"/>
      <c r="FL473" s="9"/>
      <c r="FM473" s="9"/>
      <c r="FN473" s="9"/>
      <c r="FO473" s="9"/>
      <c r="FP473" s="9"/>
      <c r="FQ473" s="9"/>
      <c r="FR473" s="9"/>
      <c r="FS473" s="9"/>
      <c r="FT473" s="9"/>
      <c r="FU473" s="9"/>
      <c r="FV473" s="9"/>
      <c r="FW473" s="9"/>
      <c r="FX473" s="9"/>
      <c r="FY473" s="9"/>
      <c r="FZ473" s="9"/>
      <c r="GA473" s="9"/>
      <c r="GB473" s="9"/>
      <c r="GC473" s="9"/>
      <c r="GD473" s="9"/>
      <c r="GE473" s="9"/>
      <c r="GF473" s="9"/>
      <c r="GG473" s="9"/>
      <c r="GH473" s="9"/>
      <c r="GI473" s="9"/>
      <c r="GJ473" s="9"/>
      <c r="GK473" s="9"/>
      <c r="GL473" s="9"/>
      <c r="GM473" s="9" t="s">
        <v>1775</v>
      </c>
      <c r="GN473" s="9" t="s">
        <v>29</v>
      </c>
      <c r="GO473" s="9" t="s">
        <v>29</v>
      </c>
      <c r="GP473" s="9" t="s">
        <v>29</v>
      </c>
      <c r="GQ473" s="9"/>
      <c r="GR473" s="9"/>
      <c r="GS473" s="9"/>
      <c r="GT473" s="9"/>
      <c r="GU473" s="9"/>
      <c r="GV473" s="9"/>
      <c r="GW473" s="9"/>
      <c r="GX473" s="9"/>
      <c r="GY473" s="9"/>
      <c r="GZ473" s="9"/>
      <c r="HA473" s="9"/>
      <c r="HB473" s="9"/>
      <c r="HC473" s="9"/>
      <c r="HD473" s="9"/>
      <c r="HE473" s="9"/>
      <c r="HF473" s="9"/>
      <c r="HG473" s="9"/>
      <c r="HH473" s="9"/>
      <c r="HI473" s="9"/>
      <c r="HJ473" s="9"/>
      <c r="HK473" s="9"/>
      <c r="HL473" s="9"/>
      <c r="HY473" s="58"/>
      <c r="HZ473" t="s">
        <v>1764</v>
      </c>
      <c r="IA473" t="s">
        <v>1794</v>
      </c>
      <c r="IW473" t="s">
        <v>1764</v>
      </c>
      <c r="IX473" s="84" t="s">
        <v>1792</v>
      </c>
      <c r="IY473" s="12" t="s">
        <v>1767</v>
      </c>
      <c r="IZ473" s="54" t="s">
        <v>1778</v>
      </c>
      <c r="JA473">
        <v>7.5</v>
      </c>
      <c r="JB473">
        <v>37</v>
      </c>
      <c r="MZ473" t="s">
        <v>1805</v>
      </c>
      <c r="NA473">
        <v>1963</v>
      </c>
      <c r="NB473" t="s">
        <v>1785</v>
      </c>
      <c r="NC473" t="s">
        <v>1745</v>
      </c>
      <c r="NH473" t="s">
        <v>1788</v>
      </c>
      <c r="NI473" t="s">
        <v>711</v>
      </c>
      <c r="NK473" t="s">
        <v>1751</v>
      </c>
      <c r="NM473" t="s">
        <v>1751</v>
      </c>
      <c r="NW473" t="s">
        <v>6</v>
      </c>
      <c r="NX473">
        <v>2.4</v>
      </c>
      <c r="NY473" t="s">
        <v>1446</v>
      </c>
      <c r="NZ473">
        <v>1.4</v>
      </c>
      <c r="OC473">
        <v>5</v>
      </c>
      <c r="OT473" t="s">
        <v>1576</v>
      </c>
      <c r="OV473">
        <v>2010</v>
      </c>
      <c r="PA473" t="s">
        <v>1169</v>
      </c>
      <c r="PB473" s="58">
        <v>46108</v>
      </c>
    </row>
    <row r="474" spans="1:418" ht="15.75" thickBot="1">
      <c r="A474" t="s">
        <v>36</v>
      </c>
      <c r="B474" t="s">
        <v>1739</v>
      </c>
      <c r="C474" t="s">
        <v>1740</v>
      </c>
      <c r="D474" s="4" t="s">
        <v>245</v>
      </c>
      <c r="E474" t="s">
        <v>1806</v>
      </c>
      <c r="F474" s="4" t="s">
        <v>1804</v>
      </c>
      <c r="G474" t="s">
        <v>254</v>
      </c>
      <c r="H474" t="s">
        <v>30</v>
      </c>
      <c r="I474">
        <v>-23.748532000000001</v>
      </c>
      <c r="J474">
        <v>-62.056702000000001</v>
      </c>
      <c r="K474" s="87" t="s">
        <v>29</v>
      </c>
      <c r="AV474" t="s">
        <v>1766</v>
      </c>
      <c r="AW474" t="s">
        <v>234</v>
      </c>
      <c r="AX474" t="s">
        <v>234</v>
      </c>
      <c r="AY474" s="5">
        <v>5.5555555555555558E-3</v>
      </c>
      <c r="AZ474" t="s">
        <v>1803</v>
      </c>
      <c r="BA474">
        <v>2010</v>
      </c>
      <c r="BD474" t="s">
        <v>1747</v>
      </c>
      <c r="BE474" t="s">
        <v>1748</v>
      </c>
      <c r="BF474" t="s">
        <v>24</v>
      </c>
      <c r="BG474" t="s">
        <v>1779</v>
      </c>
      <c r="BH474" t="s">
        <v>1781</v>
      </c>
      <c r="BI474" t="s">
        <v>29</v>
      </c>
      <c r="BJ474" t="s">
        <v>29</v>
      </c>
      <c r="BK474" t="s">
        <v>29</v>
      </c>
      <c r="GM474" t="s">
        <v>1775</v>
      </c>
      <c r="GN474" s="9" t="s">
        <v>29</v>
      </c>
      <c r="GO474" s="9" t="s">
        <v>29</v>
      </c>
      <c r="GP474" s="9" t="s">
        <v>29</v>
      </c>
      <c r="HZ474" t="s">
        <v>1748</v>
      </c>
      <c r="IA474" t="s">
        <v>1794</v>
      </c>
      <c r="IW474" t="s">
        <v>1748</v>
      </c>
      <c r="IX474" s="54" t="s">
        <v>1793</v>
      </c>
      <c r="IY474" s="54" t="s">
        <v>1793</v>
      </c>
      <c r="IZ474" s="54" t="s">
        <v>1780</v>
      </c>
      <c r="JA474">
        <v>1</v>
      </c>
      <c r="JB474">
        <v>6</v>
      </c>
      <c r="MZ474" t="s">
        <v>1805</v>
      </c>
      <c r="NA474">
        <v>1963</v>
      </c>
      <c r="NB474" t="s">
        <v>1785</v>
      </c>
      <c r="NC474" t="s">
        <v>1745</v>
      </c>
      <c r="NH474" t="s">
        <v>1788</v>
      </c>
      <c r="NI474" t="s">
        <v>711</v>
      </c>
      <c r="NK474" t="s">
        <v>1751</v>
      </c>
      <c r="NM474" t="s">
        <v>1751</v>
      </c>
      <c r="NV474" t="s">
        <v>1828</v>
      </c>
      <c r="NW474" t="s">
        <v>6</v>
      </c>
      <c r="NX474">
        <v>2.8</v>
      </c>
      <c r="NY474" t="s">
        <v>1446</v>
      </c>
      <c r="NZ474">
        <v>1.3</v>
      </c>
      <c r="OC474">
        <v>7</v>
      </c>
      <c r="OT474" t="s">
        <v>1576</v>
      </c>
      <c r="OV474">
        <v>2010</v>
      </c>
      <c r="PA474" t="s">
        <v>1169</v>
      </c>
      <c r="PB474" s="58">
        <v>46108</v>
      </c>
    </row>
    <row r="475" spans="1:418" ht="15.75" thickBot="1">
      <c r="A475" t="s">
        <v>36</v>
      </c>
      <c r="B475" t="s">
        <v>1739</v>
      </c>
      <c r="C475" t="s">
        <v>1740</v>
      </c>
      <c r="D475" s="4" t="s">
        <v>245</v>
      </c>
      <c r="E475" t="s">
        <v>1806</v>
      </c>
      <c r="F475" s="4" t="s">
        <v>1804</v>
      </c>
      <c r="G475" t="s">
        <v>254</v>
      </c>
      <c r="H475" t="s">
        <v>30</v>
      </c>
      <c r="I475">
        <v>-23.748532000000001</v>
      </c>
      <c r="J475">
        <v>-62.056702000000001</v>
      </c>
      <c r="K475" s="87" t="s">
        <v>29</v>
      </c>
      <c r="AV475" t="s">
        <v>1766</v>
      </c>
      <c r="AW475" t="s">
        <v>234</v>
      </c>
      <c r="AX475">
        <v>1000</v>
      </c>
      <c r="AY475" s="5">
        <v>5.5555555555555558E-3</v>
      </c>
      <c r="AZ475" t="s">
        <v>1803</v>
      </c>
      <c r="BA475">
        <v>2010</v>
      </c>
      <c r="BD475" t="s">
        <v>1825</v>
      </c>
      <c r="BE475" t="s">
        <v>1742</v>
      </c>
      <c r="BF475" t="s">
        <v>39</v>
      </c>
      <c r="BG475" t="s">
        <v>1743</v>
      </c>
      <c r="EE475" t="s">
        <v>1774</v>
      </c>
      <c r="EF475" t="s">
        <v>29</v>
      </c>
      <c r="EG475" t="s">
        <v>29</v>
      </c>
      <c r="EH475" t="s">
        <v>29</v>
      </c>
      <c r="EI475" t="s">
        <v>1773</v>
      </c>
      <c r="EJ475" t="s">
        <v>29</v>
      </c>
      <c r="EK475" t="s">
        <v>29</v>
      </c>
      <c r="EL475" t="s">
        <v>29</v>
      </c>
      <c r="EM475" t="s">
        <v>1768</v>
      </c>
      <c r="EN475" t="s">
        <v>29</v>
      </c>
      <c r="EO475" t="s">
        <v>29</v>
      </c>
      <c r="EP475" t="s">
        <v>29</v>
      </c>
      <c r="EQ475" t="s">
        <v>1769</v>
      </c>
      <c r="ER475" t="s">
        <v>29</v>
      </c>
      <c r="ES475" t="s">
        <v>29</v>
      </c>
      <c r="ET475" t="s">
        <v>29</v>
      </c>
      <c r="EU475" t="s">
        <v>1770</v>
      </c>
      <c r="EV475" t="s">
        <v>29</v>
      </c>
      <c r="EW475" t="s">
        <v>29</v>
      </c>
      <c r="EX475" t="s">
        <v>29</v>
      </c>
      <c r="EY475" t="s">
        <v>1771</v>
      </c>
      <c r="EZ475" t="s">
        <v>29</v>
      </c>
      <c r="FA475" t="s">
        <v>29</v>
      </c>
      <c r="FB475" t="s">
        <v>29</v>
      </c>
      <c r="FC475" t="s">
        <v>1772</v>
      </c>
      <c r="FD475" t="s">
        <v>29</v>
      </c>
      <c r="FE475" t="s">
        <v>29</v>
      </c>
      <c r="FF475" t="s">
        <v>29</v>
      </c>
      <c r="HZ475" t="s">
        <v>1742</v>
      </c>
      <c r="IW475" t="s">
        <v>1742</v>
      </c>
      <c r="IX475" t="s">
        <v>1791</v>
      </c>
      <c r="IY475" t="s">
        <v>1791</v>
      </c>
      <c r="IZ475" t="s">
        <v>1791</v>
      </c>
      <c r="JA475">
        <v>5</v>
      </c>
      <c r="JB475">
        <v>70</v>
      </c>
      <c r="MZ475" t="s">
        <v>1805</v>
      </c>
      <c r="NA475">
        <v>1963</v>
      </c>
      <c r="NB475" t="s">
        <v>1750</v>
      </c>
      <c r="NC475" t="s">
        <v>1745</v>
      </c>
      <c r="NH475" t="s">
        <v>1789</v>
      </c>
      <c r="NI475" t="s">
        <v>711</v>
      </c>
      <c r="NK475" t="s">
        <v>203</v>
      </c>
      <c r="NM475" t="s">
        <v>203</v>
      </c>
      <c r="NN475" s="6" t="s">
        <v>1801</v>
      </c>
      <c r="NV475" t="s">
        <v>1827</v>
      </c>
      <c r="NW475" t="s">
        <v>6</v>
      </c>
      <c r="NX475">
        <v>0.8</v>
      </c>
      <c r="NY475" t="s">
        <v>1446</v>
      </c>
      <c r="NZ475">
        <v>1.2</v>
      </c>
      <c r="OC475">
        <v>6</v>
      </c>
      <c r="OT475" t="s">
        <v>1576</v>
      </c>
      <c r="OV475">
        <v>2010</v>
      </c>
      <c r="PA475" t="s">
        <v>1169</v>
      </c>
      <c r="PB475" s="58">
        <v>46108</v>
      </c>
    </row>
    <row r="476" spans="1:418" ht="15.75" thickBot="1">
      <c r="A476" t="s">
        <v>36</v>
      </c>
      <c r="B476" t="s">
        <v>1739</v>
      </c>
      <c r="C476" t="s">
        <v>1740</v>
      </c>
      <c r="D476" s="4" t="s">
        <v>245</v>
      </c>
      <c r="E476" t="s">
        <v>1806</v>
      </c>
      <c r="F476" s="4" t="s">
        <v>1804</v>
      </c>
      <c r="G476" t="s">
        <v>254</v>
      </c>
      <c r="H476" t="s">
        <v>30</v>
      </c>
      <c r="I476">
        <v>-23.748532000000001</v>
      </c>
      <c r="J476">
        <v>-62.056702000000001</v>
      </c>
      <c r="K476" s="87" t="s">
        <v>29</v>
      </c>
      <c r="AV476" t="s">
        <v>1766</v>
      </c>
      <c r="AW476" t="s">
        <v>234</v>
      </c>
      <c r="AX476" t="s">
        <v>234</v>
      </c>
      <c r="AY476" s="5">
        <v>5.5555555555555558E-3</v>
      </c>
      <c r="AZ476" t="s">
        <v>1803</v>
      </c>
      <c r="BA476">
        <v>2010</v>
      </c>
      <c r="BD476" t="s">
        <v>1759</v>
      </c>
      <c r="BE476" t="s">
        <v>1760</v>
      </c>
      <c r="BF476" t="s">
        <v>64</v>
      </c>
      <c r="BG476" t="s">
        <v>1779</v>
      </c>
      <c r="BH476" t="s">
        <v>1777</v>
      </c>
      <c r="BI476" t="s">
        <v>1782</v>
      </c>
      <c r="BJ476" t="s">
        <v>29</v>
      </c>
      <c r="BK476" t="s">
        <v>29</v>
      </c>
      <c r="EE476" t="s">
        <v>1774</v>
      </c>
      <c r="EF476" t="s">
        <v>29</v>
      </c>
      <c r="EG476" t="s">
        <v>29</v>
      </c>
      <c r="EH476" t="s">
        <v>29</v>
      </c>
      <c r="EI476" t="s">
        <v>1773</v>
      </c>
      <c r="EJ476" t="s">
        <v>29</v>
      </c>
      <c r="EK476" t="s">
        <v>29</v>
      </c>
      <c r="EL476" t="s">
        <v>29</v>
      </c>
      <c r="EM476" t="s">
        <v>1768</v>
      </c>
      <c r="EN476" t="s">
        <v>29</v>
      </c>
      <c r="EO476" t="s">
        <v>29</v>
      </c>
      <c r="EP476" t="s">
        <v>29</v>
      </c>
      <c r="EQ476" t="s">
        <v>1769</v>
      </c>
      <c r="ER476" t="s">
        <v>29</v>
      </c>
      <c r="ES476" t="s">
        <v>29</v>
      </c>
      <c r="ET476" t="s">
        <v>29</v>
      </c>
      <c r="EU476" t="s">
        <v>1770</v>
      </c>
      <c r="EV476" t="s">
        <v>29</v>
      </c>
      <c r="EW476" t="s">
        <v>29</v>
      </c>
      <c r="EX476" t="s">
        <v>29</v>
      </c>
      <c r="EY476" t="s">
        <v>1771</v>
      </c>
      <c r="EZ476" t="s">
        <v>29</v>
      </c>
      <c r="FA476" t="s">
        <v>29</v>
      </c>
      <c r="FB476" t="s">
        <v>29</v>
      </c>
      <c r="FC476" t="s">
        <v>1772</v>
      </c>
      <c r="FD476" t="s">
        <v>29</v>
      </c>
      <c r="FE476" t="s">
        <v>29</v>
      </c>
      <c r="FF476" t="s">
        <v>29</v>
      </c>
      <c r="GM476" t="s">
        <v>1775</v>
      </c>
      <c r="GN476" s="9" t="s">
        <v>29</v>
      </c>
      <c r="GO476" s="9" t="s">
        <v>29</v>
      </c>
      <c r="GP476" s="9" t="s">
        <v>29</v>
      </c>
      <c r="GQ476" s="9"/>
      <c r="GR476" s="9"/>
      <c r="GS476" s="9"/>
      <c r="GT476" s="9"/>
      <c r="GU476" s="9"/>
      <c r="GV476" s="9"/>
      <c r="GW476" s="9"/>
      <c r="GX476" s="9"/>
      <c r="GY476" s="9"/>
      <c r="GZ476" s="9"/>
      <c r="HA476" s="9"/>
      <c r="HB476" s="9"/>
      <c r="HC476" s="9"/>
      <c r="HD476" s="9"/>
      <c r="HE476" s="9"/>
      <c r="HF476" s="9"/>
      <c r="HG476" s="9"/>
      <c r="HH476" s="9"/>
      <c r="HI476" s="9"/>
      <c r="HJ476" s="9"/>
      <c r="HK476" s="9"/>
      <c r="HL476" s="9"/>
      <c r="HY476" s="58"/>
      <c r="HZ476" t="s">
        <v>1760</v>
      </c>
      <c r="IA476" t="s">
        <v>1795</v>
      </c>
      <c r="IW476" t="s">
        <v>1760</v>
      </c>
      <c r="IX476" s="84" t="s">
        <v>1792</v>
      </c>
      <c r="IY476" t="s">
        <v>1767</v>
      </c>
      <c r="IZ476" s="54" t="s">
        <v>1776</v>
      </c>
      <c r="JA476">
        <v>1</v>
      </c>
      <c r="JB476">
        <v>81</v>
      </c>
      <c r="MZ476" t="s">
        <v>1805</v>
      </c>
      <c r="NA476">
        <v>1963</v>
      </c>
      <c r="NB476" t="s">
        <v>1750</v>
      </c>
      <c r="NC476" t="s">
        <v>1745</v>
      </c>
      <c r="NH476" t="s">
        <v>1789</v>
      </c>
      <c r="NI476" t="s">
        <v>711</v>
      </c>
      <c r="NK476" t="s">
        <v>203</v>
      </c>
      <c r="NM476" t="s">
        <v>203</v>
      </c>
      <c r="NN476" s="6" t="s">
        <v>1801</v>
      </c>
      <c r="NW476" t="s">
        <v>6</v>
      </c>
      <c r="NX476">
        <v>0.3</v>
      </c>
      <c r="NY476" t="s">
        <v>1446</v>
      </c>
      <c r="NZ476">
        <v>0.5</v>
      </c>
      <c r="OC476">
        <v>8</v>
      </c>
      <c r="OT476" t="s">
        <v>1576</v>
      </c>
      <c r="OV476">
        <v>2010</v>
      </c>
      <c r="PA476" t="s">
        <v>1169</v>
      </c>
      <c r="PB476" s="58">
        <v>46108</v>
      </c>
    </row>
    <row r="477" spans="1:418" ht="15.75" thickBot="1">
      <c r="A477" t="s">
        <v>36</v>
      </c>
      <c r="B477" t="s">
        <v>1739</v>
      </c>
      <c r="C477" t="s">
        <v>1740</v>
      </c>
      <c r="D477" s="4" t="s">
        <v>245</v>
      </c>
      <c r="E477" t="s">
        <v>1806</v>
      </c>
      <c r="F477" s="4" t="s">
        <v>1804</v>
      </c>
      <c r="G477" t="s">
        <v>254</v>
      </c>
      <c r="H477" t="s">
        <v>30</v>
      </c>
      <c r="I477">
        <v>-23.748532000000001</v>
      </c>
      <c r="J477">
        <v>-62.056702000000001</v>
      </c>
      <c r="K477" s="87" t="s">
        <v>29</v>
      </c>
      <c r="AV477" t="s">
        <v>1766</v>
      </c>
      <c r="AW477" t="s">
        <v>234</v>
      </c>
      <c r="AX477">
        <v>3600</v>
      </c>
      <c r="AY477" s="5">
        <v>5.5555555555555558E-3</v>
      </c>
      <c r="AZ477" t="s">
        <v>1803</v>
      </c>
      <c r="BA477">
        <v>2010</v>
      </c>
      <c r="BD477" t="s">
        <v>1759</v>
      </c>
      <c r="BE477" t="s">
        <v>1762</v>
      </c>
      <c r="BF477" t="s">
        <v>57</v>
      </c>
      <c r="BG477" t="s">
        <v>1779</v>
      </c>
      <c r="BH477" t="s">
        <v>1777</v>
      </c>
      <c r="BI477" t="s">
        <v>29</v>
      </c>
      <c r="BJ477" t="s">
        <v>29</v>
      </c>
      <c r="BK477" t="s">
        <v>29</v>
      </c>
      <c r="EE477" t="s">
        <v>1774</v>
      </c>
      <c r="EF477" t="s">
        <v>29</v>
      </c>
      <c r="EG477" t="s">
        <v>29</v>
      </c>
      <c r="EH477" t="s">
        <v>29</v>
      </c>
      <c r="EI477" t="s">
        <v>1773</v>
      </c>
      <c r="EJ477" t="s">
        <v>29</v>
      </c>
      <c r="EK477" t="s">
        <v>29</v>
      </c>
      <c r="EL477" t="s">
        <v>29</v>
      </c>
      <c r="EM477" t="s">
        <v>1768</v>
      </c>
      <c r="EN477" t="s">
        <v>29</v>
      </c>
      <c r="EO477" t="s">
        <v>29</v>
      </c>
      <c r="EP477" t="s">
        <v>29</v>
      </c>
      <c r="EQ477" t="s">
        <v>1769</v>
      </c>
      <c r="ER477" t="s">
        <v>29</v>
      </c>
      <c r="ES477" t="s">
        <v>29</v>
      </c>
      <c r="ET477" t="s">
        <v>29</v>
      </c>
      <c r="EU477" t="s">
        <v>1770</v>
      </c>
      <c r="EV477" t="s">
        <v>29</v>
      </c>
      <c r="EW477" t="s">
        <v>29</v>
      </c>
      <c r="EX477" t="s">
        <v>29</v>
      </c>
      <c r="EY477" t="s">
        <v>1771</v>
      </c>
      <c r="EZ477" t="s">
        <v>29</v>
      </c>
      <c r="FA477" t="s">
        <v>29</v>
      </c>
      <c r="FB477" t="s">
        <v>29</v>
      </c>
      <c r="FC477" t="s">
        <v>1772</v>
      </c>
      <c r="FD477" t="s">
        <v>29</v>
      </c>
      <c r="FE477" t="s">
        <v>29</v>
      </c>
      <c r="FF477" t="s">
        <v>29</v>
      </c>
      <c r="FG477" s="9"/>
      <c r="FH477" s="9"/>
      <c r="FI477" s="9"/>
      <c r="FJ477" s="9"/>
      <c r="FK477" s="9"/>
      <c r="FL477" s="9"/>
      <c r="FM477" s="9"/>
      <c r="FN477" s="9"/>
      <c r="FO477" s="9"/>
      <c r="FP477" s="9"/>
      <c r="FQ477" s="9"/>
      <c r="FR477" s="9"/>
      <c r="FS477" s="9"/>
      <c r="FT477" s="9"/>
      <c r="FU477" s="9"/>
      <c r="FV477" s="9"/>
      <c r="FW477" s="9"/>
      <c r="FX477" s="9"/>
      <c r="FY477" s="9"/>
      <c r="FZ477" s="9"/>
      <c r="GA477" s="9"/>
      <c r="GB477" s="9"/>
      <c r="GC477" s="9"/>
      <c r="GD477" s="9"/>
      <c r="GE477" s="9"/>
      <c r="GF477" s="9"/>
      <c r="GG477" s="9"/>
      <c r="GH477" s="9"/>
      <c r="GI477" s="9"/>
      <c r="GJ477" s="9"/>
      <c r="GK477" s="9"/>
      <c r="GL477" s="9"/>
      <c r="GM477" s="9" t="s">
        <v>1775</v>
      </c>
      <c r="GN477" s="9" t="s">
        <v>29</v>
      </c>
      <c r="GO477" s="9" t="s">
        <v>29</v>
      </c>
      <c r="GP477" s="9" t="s">
        <v>29</v>
      </c>
      <c r="GQ477" s="9"/>
      <c r="GR477" s="9"/>
      <c r="GS477" s="9"/>
      <c r="GT477" s="9"/>
      <c r="GU477" s="9"/>
      <c r="GV477" s="9"/>
      <c r="GW477" s="9"/>
      <c r="GX477" s="9"/>
      <c r="GY477" s="9"/>
      <c r="GZ477" s="9"/>
      <c r="HA477" s="9"/>
      <c r="HB477" s="9"/>
      <c r="HC477" s="9"/>
      <c r="HD477" s="9"/>
      <c r="HE477" s="9"/>
      <c r="HF477" s="9"/>
      <c r="HG477" s="9"/>
      <c r="HH477" s="9"/>
      <c r="HI477" s="9"/>
      <c r="HJ477" s="9"/>
      <c r="HK477" s="9"/>
      <c r="HL477" s="9"/>
      <c r="HY477" s="58"/>
      <c r="HZ477" t="s">
        <v>1762</v>
      </c>
      <c r="IA477" t="s">
        <v>1795</v>
      </c>
      <c r="IW477" t="s">
        <v>1762</v>
      </c>
      <c r="IX477" s="84" t="s">
        <v>1792</v>
      </c>
      <c r="IY477" s="12" t="s">
        <v>1767</v>
      </c>
      <c r="IZ477" s="54" t="s">
        <v>1778</v>
      </c>
      <c r="JA477">
        <v>7.5</v>
      </c>
      <c r="JB477">
        <v>56</v>
      </c>
      <c r="MZ477" t="s">
        <v>1805</v>
      </c>
      <c r="NA477">
        <v>1963</v>
      </c>
      <c r="NB477" t="s">
        <v>1750</v>
      </c>
      <c r="NC477" t="s">
        <v>1745</v>
      </c>
      <c r="NH477" t="s">
        <v>1789</v>
      </c>
      <c r="NI477" t="s">
        <v>711</v>
      </c>
      <c r="NK477" t="s">
        <v>203</v>
      </c>
      <c r="NM477" t="s">
        <v>203</v>
      </c>
      <c r="NN477" s="6" t="s">
        <v>1801</v>
      </c>
      <c r="NW477" t="s">
        <v>6</v>
      </c>
      <c r="NX477">
        <v>0.9</v>
      </c>
      <c r="NY477" t="s">
        <v>1446</v>
      </c>
      <c r="NZ477">
        <v>1.4</v>
      </c>
      <c r="OC477">
        <v>7</v>
      </c>
      <c r="OT477" t="s">
        <v>1576</v>
      </c>
      <c r="OV477">
        <v>2010</v>
      </c>
      <c r="PA477" t="s">
        <v>1169</v>
      </c>
      <c r="PB477" s="58">
        <v>46108</v>
      </c>
    </row>
    <row r="478" spans="1:418" ht="15.75" thickBot="1">
      <c r="A478" t="s">
        <v>36</v>
      </c>
      <c r="B478" t="s">
        <v>1739</v>
      </c>
      <c r="C478" t="s">
        <v>1740</v>
      </c>
      <c r="D478" s="4" t="s">
        <v>245</v>
      </c>
      <c r="E478" t="s">
        <v>1806</v>
      </c>
      <c r="F478" s="4" t="s">
        <v>1804</v>
      </c>
      <c r="G478" t="s">
        <v>254</v>
      </c>
      <c r="H478" t="s">
        <v>30</v>
      </c>
      <c r="I478">
        <v>-23.748532000000001</v>
      </c>
      <c r="J478">
        <v>-62.056702000000001</v>
      </c>
      <c r="K478" s="87" t="s">
        <v>29</v>
      </c>
      <c r="AV478" t="s">
        <v>1766</v>
      </c>
      <c r="AW478" t="s">
        <v>234</v>
      </c>
      <c r="AX478">
        <v>3600</v>
      </c>
      <c r="AY478" s="5">
        <v>5.5555555555555558E-3</v>
      </c>
      <c r="AZ478" t="s">
        <v>1803</v>
      </c>
      <c r="BA478">
        <v>2010</v>
      </c>
      <c r="BD478" t="s">
        <v>1759</v>
      </c>
      <c r="BE478" t="s">
        <v>1764</v>
      </c>
      <c r="BF478" t="s">
        <v>48</v>
      </c>
      <c r="BG478" t="s">
        <v>1779</v>
      </c>
      <c r="BH478" t="s">
        <v>1781</v>
      </c>
      <c r="BI478" t="s">
        <v>29</v>
      </c>
      <c r="BJ478" t="s">
        <v>29</v>
      </c>
      <c r="BK478" t="s">
        <v>29</v>
      </c>
      <c r="EE478" t="s">
        <v>1774</v>
      </c>
      <c r="EF478" t="s">
        <v>29</v>
      </c>
      <c r="EG478" t="s">
        <v>29</v>
      </c>
      <c r="EH478" t="s">
        <v>29</v>
      </c>
      <c r="EI478" t="s">
        <v>1773</v>
      </c>
      <c r="EJ478" t="s">
        <v>29</v>
      </c>
      <c r="EK478" t="s">
        <v>29</v>
      </c>
      <c r="EL478" t="s">
        <v>29</v>
      </c>
      <c r="EM478" t="s">
        <v>1768</v>
      </c>
      <c r="EN478" t="s">
        <v>29</v>
      </c>
      <c r="EO478" t="s">
        <v>29</v>
      </c>
      <c r="EP478" t="s">
        <v>29</v>
      </c>
      <c r="EQ478" t="s">
        <v>1769</v>
      </c>
      <c r="ER478" t="s">
        <v>29</v>
      </c>
      <c r="ES478" t="s">
        <v>29</v>
      </c>
      <c r="ET478" t="s">
        <v>29</v>
      </c>
      <c r="EU478" t="s">
        <v>1770</v>
      </c>
      <c r="EV478" t="s">
        <v>29</v>
      </c>
      <c r="EW478" t="s">
        <v>29</v>
      </c>
      <c r="EX478" t="s">
        <v>29</v>
      </c>
      <c r="EY478" t="s">
        <v>1771</v>
      </c>
      <c r="EZ478" t="s">
        <v>29</v>
      </c>
      <c r="FA478" t="s">
        <v>29</v>
      </c>
      <c r="FB478" t="s">
        <v>29</v>
      </c>
      <c r="FC478" t="s">
        <v>1772</v>
      </c>
      <c r="FD478" t="s">
        <v>29</v>
      </c>
      <c r="FE478" t="s">
        <v>29</v>
      </c>
      <c r="FF478" t="s">
        <v>29</v>
      </c>
      <c r="FG478" s="9"/>
      <c r="FH478" s="9"/>
      <c r="FI478" s="9"/>
      <c r="FJ478" s="9"/>
      <c r="FK478" s="9"/>
      <c r="FL478" s="9"/>
      <c r="FM478" s="9"/>
      <c r="FN478" s="9"/>
      <c r="FO478" s="9"/>
      <c r="FP478" s="9"/>
      <c r="FQ478" s="9"/>
      <c r="FR478" s="9"/>
      <c r="FS478" s="9"/>
      <c r="FT478" s="9"/>
      <c r="FU478" s="9"/>
      <c r="FV478" s="9"/>
      <c r="FW478" s="9"/>
      <c r="FX478" s="9"/>
      <c r="FY478" s="9"/>
      <c r="FZ478" s="9"/>
      <c r="GA478" s="9"/>
      <c r="GB478" s="9"/>
      <c r="GC478" s="9"/>
      <c r="GD478" s="9"/>
      <c r="GE478" s="9"/>
      <c r="GF478" s="9"/>
      <c r="GG478" s="9"/>
      <c r="GH478" s="9"/>
      <c r="GI478" s="9"/>
      <c r="GJ478" s="9"/>
      <c r="GK478" s="9"/>
      <c r="GL478" s="9"/>
      <c r="GM478" s="9" t="s">
        <v>1775</v>
      </c>
      <c r="GN478" s="9" t="s">
        <v>29</v>
      </c>
      <c r="GO478" s="9" t="s">
        <v>29</v>
      </c>
      <c r="GP478" s="9" t="s">
        <v>29</v>
      </c>
      <c r="GQ478" s="9"/>
      <c r="GR478" s="9"/>
      <c r="GS478" s="9"/>
      <c r="GT478" s="9"/>
      <c r="GU478" s="9"/>
      <c r="GV478" s="9"/>
      <c r="GW478" s="9"/>
      <c r="GX478" s="9"/>
      <c r="GY478" s="9"/>
      <c r="GZ478" s="9"/>
      <c r="HA478" s="9"/>
      <c r="HB478" s="9"/>
      <c r="HC478" s="9"/>
      <c r="HD478" s="9"/>
      <c r="HE478" s="9"/>
      <c r="HF478" s="9"/>
      <c r="HG478" s="9"/>
      <c r="HH478" s="9"/>
      <c r="HI478" s="9"/>
      <c r="HJ478" s="9"/>
      <c r="HK478" s="9"/>
      <c r="HL478" s="9"/>
      <c r="HY478" s="58"/>
      <c r="HZ478" t="s">
        <v>1764</v>
      </c>
      <c r="IA478" t="s">
        <v>1794</v>
      </c>
      <c r="IW478" t="s">
        <v>1764</v>
      </c>
      <c r="IX478" s="84" t="s">
        <v>1792</v>
      </c>
      <c r="IY478" s="12" t="s">
        <v>1767</v>
      </c>
      <c r="IZ478" s="54" t="s">
        <v>1778</v>
      </c>
      <c r="JA478">
        <v>7.5</v>
      </c>
      <c r="JB478">
        <v>37</v>
      </c>
      <c r="MZ478" t="s">
        <v>1805</v>
      </c>
      <c r="NA478">
        <v>1963</v>
      </c>
      <c r="NB478" t="s">
        <v>1750</v>
      </c>
      <c r="NC478" t="s">
        <v>1745</v>
      </c>
      <c r="NH478" t="s">
        <v>1789</v>
      </c>
      <c r="NI478" t="s">
        <v>711</v>
      </c>
      <c r="NK478" t="s">
        <v>203</v>
      </c>
      <c r="NM478" t="s">
        <v>203</v>
      </c>
      <c r="NN478" s="6" t="s">
        <v>1801</v>
      </c>
      <c r="NW478" t="s">
        <v>6</v>
      </c>
      <c r="NX478">
        <v>1.1000000000000001</v>
      </c>
      <c r="NY478" t="s">
        <v>1446</v>
      </c>
      <c r="NZ478">
        <v>1.2</v>
      </c>
      <c r="OC478">
        <v>5</v>
      </c>
      <c r="OT478" t="s">
        <v>1576</v>
      </c>
      <c r="OV478">
        <v>2010</v>
      </c>
      <c r="PA478" t="s">
        <v>1169</v>
      </c>
      <c r="PB478" s="58">
        <v>46108</v>
      </c>
    </row>
    <row r="479" spans="1:418" ht="15.75" thickBot="1">
      <c r="A479" t="s">
        <v>36</v>
      </c>
      <c r="B479" t="s">
        <v>1739</v>
      </c>
      <c r="C479" t="s">
        <v>1740</v>
      </c>
      <c r="D479" s="4" t="s">
        <v>245</v>
      </c>
      <c r="E479" t="s">
        <v>1806</v>
      </c>
      <c r="F479" s="4" t="s">
        <v>1804</v>
      </c>
      <c r="G479" t="s">
        <v>254</v>
      </c>
      <c r="H479" t="s">
        <v>30</v>
      </c>
      <c r="I479">
        <v>-23.748532000000001</v>
      </c>
      <c r="J479">
        <v>-62.056702000000001</v>
      </c>
      <c r="K479" s="87" t="s">
        <v>29</v>
      </c>
      <c r="AV479" t="s">
        <v>1766</v>
      </c>
      <c r="AW479" t="s">
        <v>234</v>
      </c>
      <c r="AX479" t="s">
        <v>234</v>
      </c>
      <c r="AY479" s="5">
        <v>5.5555555555555558E-3</v>
      </c>
      <c r="AZ479" t="s">
        <v>1803</v>
      </c>
      <c r="BA479">
        <v>2010</v>
      </c>
      <c r="BD479" t="s">
        <v>1747</v>
      </c>
      <c r="BE479" t="s">
        <v>1748</v>
      </c>
      <c r="BF479" t="s">
        <v>24</v>
      </c>
      <c r="BG479" t="s">
        <v>1779</v>
      </c>
      <c r="BH479" t="s">
        <v>1781</v>
      </c>
      <c r="BI479" t="s">
        <v>29</v>
      </c>
      <c r="BJ479" t="s">
        <v>29</v>
      </c>
      <c r="BK479" t="s">
        <v>29</v>
      </c>
      <c r="GM479" t="s">
        <v>1775</v>
      </c>
      <c r="GN479" s="9" t="s">
        <v>29</v>
      </c>
      <c r="GO479" s="9" t="s">
        <v>29</v>
      </c>
      <c r="GP479" s="9" t="s">
        <v>29</v>
      </c>
      <c r="HZ479" t="s">
        <v>1748</v>
      </c>
      <c r="IA479" t="s">
        <v>1794</v>
      </c>
      <c r="IW479" t="s">
        <v>1748</v>
      </c>
      <c r="IX479" s="54" t="s">
        <v>1793</v>
      </c>
      <c r="IY479" s="54" t="s">
        <v>1793</v>
      </c>
      <c r="IZ479" s="54" t="s">
        <v>1780</v>
      </c>
      <c r="JA479">
        <v>1</v>
      </c>
      <c r="JB479">
        <v>6</v>
      </c>
      <c r="MZ479" t="s">
        <v>1805</v>
      </c>
      <c r="NA479">
        <v>1963</v>
      </c>
      <c r="NB479" t="s">
        <v>1750</v>
      </c>
      <c r="NC479" t="s">
        <v>1745</v>
      </c>
      <c r="NH479" t="s">
        <v>1789</v>
      </c>
      <c r="NI479" t="s">
        <v>711</v>
      </c>
      <c r="NK479" t="s">
        <v>203</v>
      </c>
      <c r="NM479" t="s">
        <v>203</v>
      </c>
      <c r="NN479" s="6" t="s">
        <v>1801</v>
      </c>
      <c r="NV479" t="s">
        <v>1828</v>
      </c>
      <c r="NW479" t="s">
        <v>6</v>
      </c>
      <c r="NX479">
        <v>1.2</v>
      </c>
      <c r="NY479" t="s">
        <v>1446</v>
      </c>
      <c r="NZ479">
        <v>1.4</v>
      </c>
      <c r="OC479">
        <v>7</v>
      </c>
      <c r="OT479" t="s">
        <v>1576</v>
      </c>
      <c r="OV479">
        <v>2010</v>
      </c>
      <c r="PA479" t="s">
        <v>1169</v>
      </c>
      <c r="PB479" s="58">
        <v>46108</v>
      </c>
    </row>
    <row r="480" spans="1:418" ht="15.75" thickBot="1">
      <c r="A480" t="s">
        <v>36</v>
      </c>
      <c r="B480" t="s">
        <v>1739</v>
      </c>
      <c r="C480" t="s">
        <v>1740</v>
      </c>
      <c r="D480" s="4" t="s">
        <v>245</v>
      </c>
      <c r="E480" t="s">
        <v>1806</v>
      </c>
      <c r="F480" s="4" t="s">
        <v>1804</v>
      </c>
      <c r="G480" t="s">
        <v>254</v>
      </c>
      <c r="H480" t="s">
        <v>30</v>
      </c>
      <c r="I480">
        <v>-23.748532000000001</v>
      </c>
      <c r="J480">
        <v>-62.056702000000001</v>
      </c>
      <c r="K480" s="87" t="s">
        <v>29</v>
      </c>
      <c r="AV480" t="s">
        <v>1766</v>
      </c>
      <c r="AW480" t="s">
        <v>234</v>
      </c>
      <c r="AX480">
        <v>1000</v>
      </c>
      <c r="AY480" s="5">
        <v>5.5555555555555558E-3</v>
      </c>
      <c r="AZ480" t="s">
        <v>1803</v>
      </c>
      <c r="BA480">
        <v>2010</v>
      </c>
      <c r="BD480" t="s">
        <v>1825</v>
      </c>
      <c r="BE480" t="s">
        <v>1742</v>
      </c>
      <c r="BF480" t="s">
        <v>39</v>
      </c>
      <c r="BG480" t="s">
        <v>1743</v>
      </c>
      <c r="EE480" t="s">
        <v>1774</v>
      </c>
      <c r="EF480" t="s">
        <v>29</v>
      </c>
      <c r="EG480" t="s">
        <v>29</v>
      </c>
      <c r="EH480" t="s">
        <v>29</v>
      </c>
      <c r="EI480" t="s">
        <v>1773</v>
      </c>
      <c r="EJ480" t="s">
        <v>29</v>
      </c>
      <c r="EK480" t="s">
        <v>29</v>
      </c>
      <c r="EL480" t="s">
        <v>29</v>
      </c>
      <c r="EM480" t="s">
        <v>1768</v>
      </c>
      <c r="EN480" t="s">
        <v>29</v>
      </c>
      <c r="EO480" t="s">
        <v>29</v>
      </c>
      <c r="EP480" t="s">
        <v>29</v>
      </c>
      <c r="EQ480" t="s">
        <v>1769</v>
      </c>
      <c r="ER480" t="s">
        <v>29</v>
      </c>
      <c r="ES480" t="s">
        <v>29</v>
      </c>
      <c r="ET480" t="s">
        <v>29</v>
      </c>
      <c r="EU480" t="s">
        <v>1770</v>
      </c>
      <c r="EV480" t="s">
        <v>29</v>
      </c>
      <c r="EW480" t="s">
        <v>29</v>
      </c>
      <c r="EX480" t="s">
        <v>29</v>
      </c>
      <c r="EY480" t="s">
        <v>1771</v>
      </c>
      <c r="EZ480" t="s">
        <v>29</v>
      </c>
      <c r="FA480" t="s">
        <v>29</v>
      </c>
      <c r="FB480" t="s">
        <v>29</v>
      </c>
      <c r="FC480" t="s">
        <v>1772</v>
      </c>
      <c r="FD480" t="s">
        <v>29</v>
      </c>
      <c r="FE480" t="s">
        <v>29</v>
      </c>
      <c r="FF480" t="s">
        <v>29</v>
      </c>
      <c r="HZ480" t="s">
        <v>1742</v>
      </c>
      <c r="IW480" t="s">
        <v>1742</v>
      </c>
      <c r="IX480" t="s">
        <v>1791</v>
      </c>
      <c r="IY480" t="s">
        <v>1791</v>
      </c>
      <c r="IZ480" t="s">
        <v>1791</v>
      </c>
      <c r="JA480">
        <v>5</v>
      </c>
      <c r="JB480">
        <v>70</v>
      </c>
      <c r="MZ480" t="s">
        <v>1805</v>
      </c>
      <c r="NA480">
        <v>1963</v>
      </c>
      <c r="NB480" t="s">
        <v>1752</v>
      </c>
      <c r="NC480" t="s">
        <v>1745</v>
      </c>
      <c r="NH480" t="s">
        <v>1753</v>
      </c>
      <c r="NI480" t="s">
        <v>711</v>
      </c>
      <c r="NK480" t="s">
        <v>203</v>
      </c>
      <c r="NM480" t="s">
        <v>203</v>
      </c>
      <c r="NN480" s="6" t="s">
        <v>1801</v>
      </c>
      <c r="NV480" t="s">
        <v>1827</v>
      </c>
      <c r="NW480" t="s">
        <v>6</v>
      </c>
      <c r="NX480">
        <v>2.7</v>
      </c>
      <c r="NY480" t="s">
        <v>1446</v>
      </c>
      <c r="NZ480">
        <v>1.8</v>
      </c>
      <c r="OC480">
        <v>6</v>
      </c>
      <c r="OT480" t="s">
        <v>1576</v>
      </c>
      <c r="OV480">
        <v>2010</v>
      </c>
      <c r="PA480" t="s">
        <v>1169</v>
      </c>
      <c r="PB480" s="58">
        <v>46108</v>
      </c>
    </row>
    <row r="481" spans="1:418" ht="15.75" thickBot="1">
      <c r="A481" t="s">
        <v>36</v>
      </c>
      <c r="B481" t="s">
        <v>1739</v>
      </c>
      <c r="C481" t="s">
        <v>1740</v>
      </c>
      <c r="D481" s="4" t="s">
        <v>245</v>
      </c>
      <c r="E481" t="s">
        <v>1806</v>
      </c>
      <c r="F481" s="4" t="s">
        <v>1804</v>
      </c>
      <c r="G481" t="s">
        <v>254</v>
      </c>
      <c r="H481" t="s">
        <v>30</v>
      </c>
      <c r="I481">
        <v>-23.748532000000001</v>
      </c>
      <c r="J481">
        <v>-62.056702000000001</v>
      </c>
      <c r="K481" s="87" t="s">
        <v>29</v>
      </c>
      <c r="AV481" t="s">
        <v>1766</v>
      </c>
      <c r="AW481" t="s">
        <v>234</v>
      </c>
      <c r="AX481" t="s">
        <v>234</v>
      </c>
      <c r="AY481" s="5">
        <v>5.5555555555555558E-3</v>
      </c>
      <c r="AZ481" t="s">
        <v>1803</v>
      </c>
      <c r="BA481">
        <v>2010</v>
      </c>
      <c r="BD481" t="s">
        <v>1759</v>
      </c>
      <c r="BE481" t="s">
        <v>1760</v>
      </c>
      <c r="BF481" t="s">
        <v>64</v>
      </c>
      <c r="BG481" t="s">
        <v>1779</v>
      </c>
      <c r="BH481" t="s">
        <v>1777</v>
      </c>
      <c r="BI481" t="s">
        <v>1782</v>
      </c>
      <c r="BJ481" t="s">
        <v>29</v>
      </c>
      <c r="BK481" t="s">
        <v>29</v>
      </c>
      <c r="EE481" t="s">
        <v>1774</v>
      </c>
      <c r="EF481" t="s">
        <v>29</v>
      </c>
      <c r="EG481" t="s">
        <v>29</v>
      </c>
      <c r="EH481" t="s">
        <v>29</v>
      </c>
      <c r="EI481" t="s">
        <v>1773</v>
      </c>
      <c r="EJ481" t="s">
        <v>29</v>
      </c>
      <c r="EK481" t="s">
        <v>29</v>
      </c>
      <c r="EL481" t="s">
        <v>29</v>
      </c>
      <c r="EM481" t="s">
        <v>1768</v>
      </c>
      <c r="EN481" t="s">
        <v>29</v>
      </c>
      <c r="EO481" t="s">
        <v>29</v>
      </c>
      <c r="EP481" t="s">
        <v>29</v>
      </c>
      <c r="EQ481" t="s">
        <v>1769</v>
      </c>
      <c r="ER481" t="s">
        <v>29</v>
      </c>
      <c r="ES481" t="s">
        <v>29</v>
      </c>
      <c r="ET481" t="s">
        <v>29</v>
      </c>
      <c r="EU481" t="s">
        <v>1770</v>
      </c>
      <c r="EV481" t="s">
        <v>29</v>
      </c>
      <c r="EW481" t="s">
        <v>29</v>
      </c>
      <c r="EX481" t="s">
        <v>29</v>
      </c>
      <c r="EY481" t="s">
        <v>1771</v>
      </c>
      <c r="EZ481" t="s">
        <v>29</v>
      </c>
      <c r="FA481" t="s">
        <v>29</v>
      </c>
      <c r="FB481" t="s">
        <v>29</v>
      </c>
      <c r="FC481" t="s">
        <v>1772</v>
      </c>
      <c r="FD481" t="s">
        <v>29</v>
      </c>
      <c r="FE481" t="s">
        <v>29</v>
      </c>
      <c r="FF481" t="s">
        <v>29</v>
      </c>
      <c r="GM481" t="s">
        <v>1775</v>
      </c>
      <c r="GN481" s="9" t="s">
        <v>29</v>
      </c>
      <c r="GO481" s="9" t="s">
        <v>29</v>
      </c>
      <c r="GP481" s="9" t="s">
        <v>29</v>
      </c>
      <c r="GQ481" s="9"/>
      <c r="GR481" s="9"/>
      <c r="GS481" s="9"/>
      <c r="GT481" s="9"/>
      <c r="GU481" s="9"/>
      <c r="GV481" s="9"/>
      <c r="GW481" s="9"/>
      <c r="GX481" s="9"/>
      <c r="GY481" s="9"/>
      <c r="GZ481" s="9"/>
      <c r="HA481" s="9"/>
      <c r="HB481" s="9"/>
      <c r="HC481" s="9"/>
      <c r="HD481" s="9"/>
      <c r="HE481" s="9"/>
      <c r="HF481" s="9"/>
      <c r="HG481" s="9"/>
      <c r="HH481" s="9"/>
      <c r="HI481" s="9"/>
      <c r="HJ481" s="9"/>
      <c r="HK481" s="9"/>
      <c r="HL481" s="9"/>
      <c r="HY481" s="58"/>
      <c r="HZ481" t="s">
        <v>1760</v>
      </c>
      <c r="IA481" t="s">
        <v>1795</v>
      </c>
      <c r="IW481" t="s">
        <v>1760</v>
      </c>
      <c r="IX481" s="84" t="s">
        <v>1792</v>
      </c>
      <c r="IY481" t="s">
        <v>1767</v>
      </c>
      <c r="IZ481" s="54" t="s">
        <v>1776</v>
      </c>
      <c r="JA481">
        <v>1</v>
      </c>
      <c r="JB481">
        <v>81</v>
      </c>
      <c r="MZ481" t="s">
        <v>1805</v>
      </c>
      <c r="NA481">
        <v>1963</v>
      </c>
      <c r="NB481" t="s">
        <v>1752</v>
      </c>
      <c r="NC481" t="s">
        <v>1745</v>
      </c>
      <c r="NH481" t="s">
        <v>1753</v>
      </c>
      <c r="NI481" t="s">
        <v>711</v>
      </c>
      <c r="NK481" t="s">
        <v>203</v>
      </c>
      <c r="NM481" t="s">
        <v>203</v>
      </c>
      <c r="NN481" s="6" t="s">
        <v>1801</v>
      </c>
      <c r="NW481" t="s">
        <v>6</v>
      </c>
      <c r="NX481">
        <v>2.2999999999999998</v>
      </c>
      <c r="NY481" t="s">
        <v>1446</v>
      </c>
      <c r="NZ481">
        <v>2.5</v>
      </c>
      <c r="OC481">
        <v>8</v>
      </c>
      <c r="OT481" t="s">
        <v>1576</v>
      </c>
      <c r="OV481">
        <v>2010</v>
      </c>
      <c r="PA481" t="s">
        <v>1169</v>
      </c>
      <c r="PB481" s="58">
        <v>46108</v>
      </c>
    </row>
    <row r="482" spans="1:418" ht="15.75" thickBot="1">
      <c r="A482" t="s">
        <v>36</v>
      </c>
      <c r="B482" t="s">
        <v>1739</v>
      </c>
      <c r="C482" t="s">
        <v>1740</v>
      </c>
      <c r="D482" s="4" t="s">
        <v>245</v>
      </c>
      <c r="E482" t="s">
        <v>1806</v>
      </c>
      <c r="F482" s="4" t="s">
        <v>1804</v>
      </c>
      <c r="G482" t="s">
        <v>254</v>
      </c>
      <c r="H482" t="s">
        <v>30</v>
      </c>
      <c r="I482">
        <v>-23.748532000000001</v>
      </c>
      <c r="J482">
        <v>-62.056702000000001</v>
      </c>
      <c r="K482" s="87" t="s">
        <v>29</v>
      </c>
      <c r="AV482" t="s">
        <v>1766</v>
      </c>
      <c r="AW482" t="s">
        <v>234</v>
      </c>
      <c r="AX482">
        <v>3600</v>
      </c>
      <c r="AY482" s="5">
        <v>5.5555555555555558E-3</v>
      </c>
      <c r="AZ482" t="s">
        <v>1803</v>
      </c>
      <c r="BA482">
        <v>2010</v>
      </c>
      <c r="BD482" t="s">
        <v>1759</v>
      </c>
      <c r="BE482" t="s">
        <v>1762</v>
      </c>
      <c r="BF482" t="s">
        <v>57</v>
      </c>
      <c r="BG482" t="s">
        <v>1779</v>
      </c>
      <c r="BH482" t="s">
        <v>1777</v>
      </c>
      <c r="BI482" t="s">
        <v>29</v>
      </c>
      <c r="BJ482" t="s">
        <v>29</v>
      </c>
      <c r="BK482" t="s">
        <v>29</v>
      </c>
      <c r="EE482" t="s">
        <v>1774</v>
      </c>
      <c r="EF482" t="s">
        <v>29</v>
      </c>
      <c r="EG482" t="s">
        <v>29</v>
      </c>
      <c r="EH482" t="s">
        <v>29</v>
      </c>
      <c r="EI482" t="s">
        <v>1773</v>
      </c>
      <c r="EJ482" t="s">
        <v>29</v>
      </c>
      <c r="EK482" t="s">
        <v>29</v>
      </c>
      <c r="EL482" t="s">
        <v>29</v>
      </c>
      <c r="EM482" t="s">
        <v>1768</v>
      </c>
      <c r="EN482" t="s">
        <v>29</v>
      </c>
      <c r="EO482" t="s">
        <v>29</v>
      </c>
      <c r="EP482" t="s">
        <v>29</v>
      </c>
      <c r="EQ482" t="s">
        <v>1769</v>
      </c>
      <c r="ER482" t="s">
        <v>29</v>
      </c>
      <c r="ES482" t="s">
        <v>29</v>
      </c>
      <c r="ET482" t="s">
        <v>29</v>
      </c>
      <c r="EU482" t="s">
        <v>1770</v>
      </c>
      <c r="EV482" t="s">
        <v>29</v>
      </c>
      <c r="EW482" t="s">
        <v>29</v>
      </c>
      <c r="EX482" t="s">
        <v>29</v>
      </c>
      <c r="EY482" t="s">
        <v>1771</v>
      </c>
      <c r="EZ482" t="s">
        <v>29</v>
      </c>
      <c r="FA482" t="s">
        <v>29</v>
      </c>
      <c r="FB482" t="s">
        <v>29</v>
      </c>
      <c r="FC482" t="s">
        <v>1772</v>
      </c>
      <c r="FD482" t="s">
        <v>29</v>
      </c>
      <c r="FE482" t="s">
        <v>29</v>
      </c>
      <c r="FF482" t="s">
        <v>29</v>
      </c>
      <c r="FG482" s="9"/>
      <c r="FH482" s="9"/>
      <c r="FI482" s="9"/>
      <c r="FJ482" s="9"/>
      <c r="FK482" s="9"/>
      <c r="FL482" s="9"/>
      <c r="FM482" s="9"/>
      <c r="FN482" s="9"/>
      <c r="FO482" s="9"/>
      <c r="FP482" s="9"/>
      <c r="FQ482" s="9"/>
      <c r="FR482" s="9"/>
      <c r="FS482" s="9"/>
      <c r="FT482" s="9"/>
      <c r="FU482" s="9"/>
      <c r="FV482" s="9"/>
      <c r="FW482" s="9"/>
      <c r="FX482" s="9"/>
      <c r="FY482" s="9"/>
      <c r="FZ482" s="9"/>
      <c r="GA482" s="9"/>
      <c r="GB482" s="9"/>
      <c r="GC482" s="9"/>
      <c r="GD482" s="9"/>
      <c r="GE482" s="9"/>
      <c r="GF482" s="9"/>
      <c r="GG482" s="9"/>
      <c r="GH482" s="9"/>
      <c r="GI482" s="9"/>
      <c r="GJ482" s="9"/>
      <c r="GK482" s="9"/>
      <c r="GL482" s="9"/>
      <c r="GM482" s="9" t="s">
        <v>1775</v>
      </c>
      <c r="GN482" s="9" t="s">
        <v>29</v>
      </c>
      <c r="GO482" s="9" t="s">
        <v>29</v>
      </c>
      <c r="GP482" s="9" t="s">
        <v>29</v>
      </c>
      <c r="GQ482" s="9"/>
      <c r="GR482" s="9"/>
      <c r="GS482" s="9"/>
      <c r="GT482" s="9"/>
      <c r="GU482" s="9"/>
      <c r="GV482" s="9"/>
      <c r="GW482" s="9"/>
      <c r="GX482" s="9"/>
      <c r="GY482" s="9"/>
      <c r="GZ482" s="9"/>
      <c r="HA482" s="9"/>
      <c r="HB482" s="9"/>
      <c r="HC482" s="9"/>
      <c r="HD482" s="9"/>
      <c r="HE482" s="9"/>
      <c r="HF482" s="9"/>
      <c r="HG482" s="9"/>
      <c r="HH482" s="9"/>
      <c r="HI482" s="9"/>
      <c r="HJ482" s="9"/>
      <c r="HK482" s="9"/>
      <c r="HL482" s="9"/>
      <c r="HY482" s="58"/>
      <c r="HZ482" t="s">
        <v>1762</v>
      </c>
      <c r="IA482" t="s">
        <v>1795</v>
      </c>
      <c r="IW482" t="s">
        <v>1762</v>
      </c>
      <c r="IX482" s="84" t="s">
        <v>1792</v>
      </c>
      <c r="IY482" s="12" t="s">
        <v>1767</v>
      </c>
      <c r="IZ482" s="54" t="s">
        <v>1778</v>
      </c>
      <c r="JA482">
        <v>7.5</v>
      </c>
      <c r="JB482">
        <v>56</v>
      </c>
      <c r="MZ482" t="s">
        <v>1805</v>
      </c>
      <c r="NA482">
        <v>1963</v>
      </c>
      <c r="NB482" t="s">
        <v>1752</v>
      </c>
      <c r="NC482" t="s">
        <v>1745</v>
      </c>
      <c r="NH482" t="s">
        <v>1753</v>
      </c>
      <c r="NI482" t="s">
        <v>711</v>
      </c>
      <c r="NK482" t="s">
        <v>203</v>
      </c>
      <c r="NM482" t="s">
        <v>203</v>
      </c>
      <c r="NN482" s="6" t="s">
        <v>1801</v>
      </c>
      <c r="NW482" t="s">
        <v>6</v>
      </c>
      <c r="NX482">
        <v>0.8</v>
      </c>
      <c r="NY482" t="s">
        <v>1446</v>
      </c>
      <c r="NZ482">
        <v>1.1000000000000001</v>
      </c>
      <c r="OC482">
        <v>7</v>
      </c>
      <c r="OT482" t="s">
        <v>1576</v>
      </c>
      <c r="OV482">
        <v>2010</v>
      </c>
      <c r="PA482" t="s">
        <v>1169</v>
      </c>
      <c r="PB482" s="58">
        <v>46108</v>
      </c>
    </row>
    <row r="483" spans="1:418" ht="15.75" thickBot="1">
      <c r="A483" t="s">
        <v>36</v>
      </c>
      <c r="B483" t="s">
        <v>1739</v>
      </c>
      <c r="C483" t="s">
        <v>1740</v>
      </c>
      <c r="D483" s="4" t="s">
        <v>245</v>
      </c>
      <c r="E483" t="s">
        <v>1806</v>
      </c>
      <c r="F483" s="4" t="s">
        <v>1804</v>
      </c>
      <c r="G483" t="s">
        <v>254</v>
      </c>
      <c r="H483" t="s">
        <v>30</v>
      </c>
      <c r="I483">
        <v>-23.748532000000001</v>
      </c>
      <c r="J483">
        <v>-62.056702000000001</v>
      </c>
      <c r="K483" s="87" t="s">
        <v>29</v>
      </c>
      <c r="AV483" t="s">
        <v>1766</v>
      </c>
      <c r="AW483" t="s">
        <v>234</v>
      </c>
      <c r="AX483">
        <v>3600</v>
      </c>
      <c r="AY483" s="5">
        <v>5.5555555555555558E-3</v>
      </c>
      <c r="AZ483" t="s">
        <v>1803</v>
      </c>
      <c r="BA483">
        <v>2010</v>
      </c>
      <c r="BD483" t="s">
        <v>1759</v>
      </c>
      <c r="BE483" t="s">
        <v>1764</v>
      </c>
      <c r="BF483" t="s">
        <v>48</v>
      </c>
      <c r="BG483" t="s">
        <v>1779</v>
      </c>
      <c r="BH483" t="s">
        <v>1781</v>
      </c>
      <c r="BI483" t="s">
        <v>29</v>
      </c>
      <c r="BJ483" t="s">
        <v>29</v>
      </c>
      <c r="BK483" t="s">
        <v>29</v>
      </c>
      <c r="EE483" t="s">
        <v>1774</v>
      </c>
      <c r="EF483" t="s">
        <v>29</v>
      </c>
      <c r="EG483" t="s">
        <v>29</v>
      </c>
      <c r="EH483" t="s">
        <v>29</v>
      </c>
      <c r="EI483" t="s">
        <v>1773</v>
      </c>
      <c r="EJ483" t="s">
        <v>29</v>
      </c>
      <c r="EK483" t="s">
        <v>29</v>
      </c>
      <c r="EL483" t="s">
        <v>29</v>
      </c>
      <c r="EM483" t="s">
        <v>1768</v>
      </c>
      <c r="EN483" t="s">
        <v>29</v>
      </c>
      <c r="EO483" t="s">
        <v>29</v>
      </c>
      <c r="EP483" t="s">
        <v>29</v>
      </c>
      <c r="EQ483" t="s">
        <v>1769</v>
      </c>
      <c r="ER483" t="s">
        <v>29</v>
      </c>
      <c r="ES483" t="s">
        <v>29</v>
      </c>
      <c r="ET483" t="s">
        <v>29</v>
      </c>
      <c r="EU483" t="s">
        <v>1770</v>
      </c>
      <c r="EV483" t="s">
        <v>29</v>
      </c>
      <c r="EW483" t="s">
        <v>29</v>
      </c>
      <c r="EX483" t="s">
        <v>29</v>
      </c>
      <c r="EY483" t="s">
        <v>1771</v>
      </c>
      <c r="EZ483" t="s">
        <v>29</v>
      </c>
      <c r="FA483" t="s">
        <v>29</v>
      </c>
      <c r="FB483" t="s">
        <v>29</v>
      </c>
      <c r="FC483" t="s">
        <v>1772</v>
      </c>
      <c r="FD483" t="s">
        <v>29</v>
      </c>
      <c r="FE483" t="s">
        <v>29</v>
      </c>
      <c r="FF483" t="s">
        <v>29</v>
      </c>
      <c r="FG483" s="9"/>
      <c r="FH483" s="9"/>
      <c r="FI483" s="9"/>
      <c r="FJ483" s="9"/>
      <c r="FK483" s="9"/>
      <c r="FL483" s="9"/>
      <c r="FM483" s="9"/>
      <c r="FN483" s="9"/>
      <c r="FO483" s="9"/>
      <c r="FP483" s="9"/>
      <c r="FQ483" s="9"/>
      <c r="FR483" s="9"/>
      <c r="FS483" s="9"/>
      <c r="FT483" s="9"/>
      <c r="FU483" s="9"/>
      <c r="FV483" s="9"/>
      <c r="FW483" s="9"/>
      <c r="FX483" s="9"/>
      <c r="FY483" s="9"/>
      <c r="FZ483" s="9"/>
      <c r="GA483" s="9"/>
      <c r="GB483" s="9"/>
      <c r="GC483" s="9"/>
      <c r="GD483" s="9"/>
      <c r="GE483" s="9"/>
      <c r="GF483" s="9"/>
      <c r="GG483" s="9"/>
      <c r="GH483" s="9"/>
      <c r="GI483" s="9"/>
      <c r="GJ483" s="9"/>
      <c r="GK483" s="9"/>
      <c r="GL483" s="9"/>
      <c r="GM483" s="9" t="s">
        <v>1775</v>
      </c>
      <c r="GN483" s="9" t="s">
        <v>29</v>
      </c>
      <c r="GO483" s="9" t="s">
        <v>29</v>
      </c>
      <c r="GP483" s="9" t="s">
        <v>29</v>
      </c>
      <c r="GQ483" s="9"/>
      <c r="GR483" s="9"/>
      <c r="GS483" s="9"/>
      <c r="GT483" s="9"/>
      <c r="GU483" s="9"/>
      <c r="GV483" s="9"/>
      <c r="GW483" s="9"/>
      <c r="GX483" s="9"/>
      <c r="GY483" s="9"/>
      <c r="GZ483" s="9"/>
      <c r="HA483" s="9"/>
      <c r="HB483" s="9"/>
      <c r="HC483" s="9"/>
      <c r="HD483" s="9"/>
      <c r="HE483" s="9"/>
      <c r="HF483" s="9"/>
      <c r="HG483" s="9"/>
      <c r="HH483" s="9"/>
      <c r="HI483" s="9"/>
      <c r="HJ483" s="9"/>
      <c r="HK483" s="9"/>
      <c r="HL483" s="9"/>
      <c r="HY483" s="58"/>
      <c r="HZ483" t="s">
        <v>1764</v>
      </c>
      <c r="IA483" t="s">
        <v>1794</v>
      </c>
      <c r="IW483" t="s">
        <v>1764</v>
      </c>
      <c r="IX483" s="84" t="s">
        <v>1792</v>
      </c>
      <c r="IY483" s="12" t="s">
        <v>1767</v>
      </c>
      <c r="IZ483" s="54" t="s">
        <v>1778</v>
      </c>
      <c r="JA483">
        <v>7.5</v>
      </c>
      <c r="JB483">
        <v>37</v>
      </c>
      <c r="MZ483" t="s">
        <v>1805</v>
      </c>
      <c r="NA483">
        <v>1963</v>
      </c>
      <c r="NB483" t="s">
        <v>1752</v>
      </c>
      <c r="NC483" t="s">
        <v>1745</v>
      </c>
      <c r="NH483" t="s">
        <v>1753</v>
      </c>
      <c r="NI483" t="s">
        <v>711</v>
      </c>
      <c r="NK483" t="s">
        <v>203</v>
      </c>
      <c r="NM483" t="s">
        <v>203</v>
      </c>
      <c r="NN483" s="6" t="s">
        <v>1801</v>
      </c>
      <c r="NW483" t="s">
        <v>6</v>
      </c>
      <c r="NX483">
        <v>0.5</v>
      </c>
      <c r="NY483" t="s">
        <v>1446</v>
      </c>
      <c r="NZ483">
        <v>0.9</v>
      </c>
      <c r="OC483">
        <v>5</v>
      </c>
      <c r="OT483" t="s">
        <v>1576</v>
      </c>
      <c r="OV483">
        <v>2010</v>
      </c>
      <c r="PA483" t="s">
        <v>1169</v>
      </c>
      <c r="PB483" s="58">
        <v>46108</v>
      </c>
    </row>
    <row r="484" spans="1:418" ht="15.75" thickBot="1">
      <c r="A484" t="s">
        <v>36</v>
      </c>
      <c r="B484" t="s">
        <v>1739</v>
      </c>
      <c r="C484" t="s">
        <v>1740</v>
      </c>
      <c r="D484" s="4" t="s">
        <v>245</v>
      </c>
      <c r="E484" t="s">
        <v>1806</v>
      </c>
      <c r="F484" s="4" t="s">
        <v>1804</v>
      </c>
      <c r="G484" t="s">
        <v>254</v>
      </c>
      <c r="H484" t="s">
        <v>30</v>
      </c>
      <c r="I484">
        <v>-23.748532000000001</v>
      </c>
      <c r="J484">
        <v>-62.056702000000001</v>
      </c>
      <c r="K484" s="87" t="s">
        <v>29</v>
      </c>
      <c r="AV484" t="s">
        <v>1766</v>
      </c>
      <c r="AW484" t="s">
        <v>234</v>
      </c>
      <c r="AX484" t="s">
        <v>234</v>
      </c>
      <c r="AY484" s="5">
        <v>5.5555555555555558E-3</v>
      </c>
      <c r="AZ484" t="s">
        <v>1803</v>
      </c>
      <c r="BA484">
        <v>2010</v>
      </c>
      <c r="BD484" t="s">
        <v>1747</v>
      </c>
      <c r="BE484" t="s">
        <v>1748</v>
      </c>
      <c r="BF484" t="s">
        <v>24</v>
      </c>
      <c r="BG484" t="s">
        <v>1779</v>
      </c>
      <c r="BH484" t="s">
        <v>1781</v>
      </c>
      <c r="BI484" t="s">
        <v>29</v>
      </c>
      <c r="BJ484" t="s">
        <v>29</v>
      </c>
      <c r="BK484" t="s">
        <v>29</v>
      </c>
      <c r="GM484" t="s">
        <v>1775</v>
      </c>
      <c r="GN484" s="9" t="s">
        <v>29</v>
      </c>
      <c r="GO484" s="9" t="s">
        <v>29</v>
      </c>
      <c r="GP484" s="9" t="s">
        <v>29</v>
      </c>
      <c r="HZ484" t="s">
        <v>1748</v>
      </c>
      <c r="IA484" t="s">
        <v>1794</v>
      </c>
      <c r="IW484" t="s">
        <v>1748</v>
      </c>
      <c r="IX484" s="54" t="s">
        <v>1793</v>
      </c>
      <c r="IY484" s="54" t="s">
        <v>1793</v>
      </c>
      <c r="IZ484" s="54" t="s">
        <v>1780</v>
      </c>
      <c r="JA484">
        <v>1</v>
      </c>
      <c r="JB484">
        <v>6</v>
      </c>
      <c r="MZ484" t="s">
        <v>1805</v>
      </c>
      <c r="NA484">
        <v>1963</v>
      </c>
      <c r="NB484" t="s">
        <v>1752</v>
      </c>
      <c r="NC484" t="s">
        <v>1745</v>
      </c>
      <c r="NH484" t="s">
        <v>1753</v>
      </c>
      <c r="NI484" t="s">
        <v>711</v>
      </c>
      <c r="NK484" t="s">
        <v>203</v>
      </c>
      <c r="NM484" t="s">
        <v>203</v>
      </c>
      <c r="NN484" s="6" t="s">
        <v>1801</v>
      </c>
      <c r="NV484" t="s">
        <v>1828</v>
      </c>
      <c r="NW484" t="s">
        <v>6</v>
      </c>
      <c r="NX484">
        <v>0</v>
      </c>
      <c r="NY484" t="s">
        <v>1446</v>
      </c>
      <c r="NZ484">
        <v>0</v>
      </c>
      <c r="OC484">
        <v>7</v>
      </c>
      <c r="OT484" t="s">
        <v>1576</v>
      </c>
      <c r="OV484">
        <v>2010</v>
      </c>
      <c r="PA484" t="s">
        <v>1169</v>
      </c>
      <c r="PB484" s="58">
        <v>46108</v>
      </c>
    </row>
    <row r="485" spans="1:418" ht="15.75" thickBot="1">
      <c r="A485" t="s">
        <v>36</v>
      </c>
      <c r="B485" t="s">
        <v>1739</v>
      </c>
      <c r="C485" t="s">
        <v>1740</v>
      </c>
      <c r="D485" s="4" t="s">
        <v>245</v>
      </c>
      <c r="E485" t="s">
        <v>1806</v>
      </c>
      <c r="F485" s="4" t="s">
        <v>1804</v>
      </c>
      <c r="G485" t="s">
        <v>254</v>
      </c>
      <c r="H485" t="s">
        <v>30</v>
      </c>
      <c r="I485">
        <v>-23.748532000000001</v>
      </c>
      <c r="J485">
        <v>-62.056702000000001</v>
      </c>
      <c r="K485" s="87" t="s">
        <v>29</v>
      </c>
      <c r="AV485" t="s">
        <v>1766</v>
      </c>
      <c r="AW485" t="s">
        <v>234</v>
      </c>
      <c r="AX485">
        <v>1000</v>
      </c>
      <c r="AY485" s="5">
        <v>5.5555555555555558E-3</v>
      </c>
      <c r="AZ485" t="s">
        <v>1803</v>
      </c>
      <c r="BA485">
        <v>2010</v>
      </c>
      <c r="BD485" t="s">
        <v>1825</v>
      </c>
      <c r="BE485" t="s">
        <v>1742</v>
      </c>
      <c r="BF485" t="s">
        <v>39</v>
      </c>
      <c r="BG485" t="s">
        <v>1743</v>
      </c>
      <c r="EE485" t="s">
        <v>1774</v>
      </c>
      <c r="EF485" t="s">
        <v>29</v>
      </c>
      <c r="EG485" t="s">
        <v>29</v>
      </c>
      <c r="EH485" t="s">
        <v>29</v>
      </c>
      <c r="EI485" t="s">
        <v>1773</v>
      </c>
      <c r="EJ485" t="s">
        <v>29</v>
      </c>
      <c r="EK485" t="s">
        <v>29</v>
      </c>
      <c r="EL485" t="s">
        <v>29</v>
      </c>
      <c r="EM485" t="s">
        <v>1768</v>
      </c>
      <c r="EN485" t="s">
        <v>29</v>
      </c>
      <c r="EO485" t="s">
        <v>29</v>
      </c>
      <c r="EP485" t="s">
        <v>29</v>
      </c>
      <c r="EQ485" t="s">
        <v>1769</v>
      </c>
      <c r="ER485" t="s">
        <v>29</v>
      </c>
      <c r="ES485" t="s">
        <v>29</v>
      </c>
      <c r="ET485" t="s">
        <v>29</v>
      </c>
      <c r="EU485" t="s">
        <v>1770</v>
      </c>
      <c r="EV485" t="s">
        <v>29</v>
      </c>
      <c r="EW485" t="s">
        <v>29</v>
      </c>
      <c r="EX485" t="s">
        <v>29</v>
      </c>
      <c r="EY485" t="s">
        <v>1771</v>
      </c>
      <c r="EZ485" t="s">
        <v>29</v>
      </c>
      <c r="FA485" t="s">
        <v>29</v>
      </c>
      <c r="FB485" t="s">
        <v>29</v>
      </c>
      <c r="FC485" t="s">
        <v>1772</v>
      </c>
      <c r="FD485" t="s">
        <v>29</v>
      </c>
      <c r="FE485" t="s">
        <v>29</v>
      </c>
      <c r="FF485" t="s">
        <v>29</v>
      </c>
      <c r="HZ485" t="s">
        <v>1742</v>
      </c>
      <c r="IW485" t="s">
        <v>1742</v>
      </c>
      <c r="IX485" t="s">
        <v>1791</v>
      </c>
      <c r="IY485" t="s">
        <v>1791</v>
      </c>
      <c r="IZ485" t="s">
        <v>1791</v>
      </c>
      <c r="JA485">
        <v>5</v>
      </c>
      <c r="JB485">
        <v>70</v>
      </c>
      <c r="MZ485" t="s">
        <v>1805</v>
      </c>
      <c r="NA485">
        <v>1963</v>
      </c>
      <c r="NB485" t="s">
        <v>1754</v>
      </c>
      <c r="NC485" t="s">
        <v>1745</v>
      </c>
      <c r="NH485" t="s">
        <v>1755</v>
      </c>
      <c r="NI485" t="s">
        <v>711</v>
      </c>
      <c r="NK485" t="s">
        <v>203</v>
      </c>
      <c r="NM485" t="s">
        <v>203</v>
      </c>
      <c r="NN485" s="6" t="s">
        <v>1801</v>
      </c>
      <c r="NV485" t="s">
        <v>1827</v>
      </c>
      <c r="NW485" t="s">
        <v>6</v>
      </c>
      <c r="NX485">
        <v>5.2</v>
      </c>
      <c r="NY485" t="s">
        <v>1446</v>
      </c>
      <c r="NZ485">
        <v>5.2</v>
      </c>
      <c r="OC485">
        <v>6</v>
      </c>
      <c r="OT485" t="s">
        <v>1576</v>
      </c>
      <c r="OV485">
        <v>2010</v>
      </c>
      <c r="PA485" t="s">
        <v>1169</v>
      </c>
      <c r="PB485" s="58">
        <v>46108</v>
      </c>
    </row>
    <row r="486" spans="1:418" ht="15.75" thickBot="1">
      <c r="A486" t="s">
        <v>36</v>
      </c>
      <c r="B486" t="s">
        <v>1739</v>
      </c>
      <c r="C486" t="s">
        <v>1740</v>
      </c>
      <c r="D486" s="4" t="s">
        <v>245</v>
      </c>
      <c r="E486" t="s">
        <v>1806</v>
      </c>
      <c r="F486" s="4" t="s">
        <v>1804</v>
      </c>
      <c r="G486" t="s">
        <v>254</v>
      </c>
      <c r="H486" t="s">
        <v>30</v>
      </c>
      <c r="I486">
        <v>-23.748532000000001</v>
      </c>
      <c r="J486">
        <v>-62.056702000000001</v>
      </c>
      <c r="K486" s="87" t="s">
        <v>29</v>
      </c>
      <c r="AV486" t="s">
        <v>1766</v>
      </c>
      <c r="AW486" t="s">
        <v>234</v>
      </c>
      <c r="AX486" t="s">
        <v>234</v>
      </c>
      <c r="AY486" s="5">
        <v>5.5555555555555558E-3</v>
      </c>
      <c r="AZ486" t="s">
        <v>1803</v>
      </c>
      <c r="BA486">
        <v>2010</v>
      </c>
      <c r="BD486" t="s">
        <v>1759</v>
      </c>
      <c r="BE486" t="s">
        <v>1760</v>
      </c>
      <c r="BF486" t="s">
        <v>64</v>
      </c>
      <c r="BG486" t="s">
        <v>1779</v>
      </c>
      <c r="BH486" t="s">
        <v>1777</v>
      </c>
      <c r="BI486" t="s">
        <v>1782</v>
      </c>
      <c r="BJ486" t="s">
        <v>29</v>
      </c>
      <c r="BK486" t="s">
        <v>29</v>
      </c>
      <c r="EE486" t="s">
        <v>1774</v>
      </c>
      <c r="EF486" t="s">
        <v>29</v>
      </c>
      <c r="EG486" t="s">
        <v>29</v>
      </c>
      <c r="EH486" t="s">
        <v>29</v>
      </c>
      <c r="EI486" t="s">
        <v>1773</v>
      </c>
      <c r="EJ486" t="s">
        <v>29</v>
      </c>
      <c r="EK486" t="s">
        <v>29</v>
      </c>
      <c r="EL486" t="s">
        <v>29</v>
      </c>
      <c r="EM486" t="s">
        <v>1768</v>
      </c>
      <c r="EN486" t="s">
        <v>29</v>
      </c>
      <c r="EO486" t="s">
        <v>29</v>
      </c>
      <c r="EP486" t="s">
        <v>29</v>
      </c>
      <c r="EQ486" t="s">
        <v>1769</v>
      </c>
      <c r="ER486" t="s">
        <v>29</v>
      </c>
      <c r="ES486" t="s">
        <v>29</v>
      </c>
      <c r="ET486" t="s">
        <v>29</v>
      </c>
      <c r="EU486" t="s">
        <v>1770</v>
      </c>
      <c r="EV486" t="s">
        <v>29</v>
      </c>
      <c r="EW486" t="s">
        <v>29</v>
      </c>
      <c r="EX486" t="s">
        <v>29</v>
      </c>
      <c r="EY486" t="s">
        <v>1771</v>
      </c>
      <c r="EZ486" t="s">
        <v>29</v>
      </c>
      <c r="FA486" t="s">
        <v>29</v>
      </c>
      <c r="FB486" t="s">
        <v>29</v>
      </c>
      <c r="FC486" t="s">
        <v>1772</v>
      </c>
      <c r="FD486" t="s">
        <v>29</v>
      </c>
      <c r="FE486" t="s">
        <v>29</v>
      </c>
      <c r="FF486" t="s">
        <v>29</v>
      </c>
      <c r="GM486" t="s">
        <v>1775</v>
      </c>
      <c r="GN486" s="9" t="s">
        <v>29</v>
      </c>
      <c r="GO486" s="9" t="s">
        <v>29</v>
      </c>
      <c r="GP486" s="9" t="s">
        <v>29</v>
      </c>
      <c r="GQ486" s="9"/>
      <c r="GR486" s="9"/>
      <c r="GS486" s="9"/>
      <c r="GT486" s="9"/>
      <c r="GU486" s="9"/>
      <c r="GV486" s="9"/>
      <c r="GW486" s="9"/>
      <c r="GX486" s="9"/>
      <c r="GY486" s="9"/>
      <c r="GZ486" s="9"/>
      <c r="HA486" s="9"/>
      <c r="HB486" s="9"/>
      <c r="HC486" s="9"/>
      <c r="HD486" s="9"/>
      <c r="HE486" s="9"/>
      <c r="HF486" s="9"/>
      <c r="HG486" s="9"/>
      <c r="HH486" s="9"/>
      <c r="HI486" s="9"/>
      <c r="HJ486" s="9"/>
      <c r="HK486" s="9"/>
      <c r="HL486" s="9"/>
      <c r="HY486" s="58"/>
      <c r="HZ486" t="s">
        <v>1760</v>
      </c>
      <c r="IA486" t="s">
        <v>1795</v>
      </c>
      <c r="IW486" t="s">
        <v>1760</v>
      </c>
      <c r="IX486" s="84" t="s">
        <v>1792</v>
      </c>
      <c r="IY486" t="s">
        <v>1767</v>
      </c>
      <c r="IZ486" s="54" t="s">
        <v>1776</v>
      </c>
      <c r="JA486">
        <v>1</v>
      </c>
      <c r="JB486">
        <v>81</v>
      </c>
      <c r="MZ486" t="s">
        <v>1805</v>
      </c>
      <c r="NA486">
        <v>1963</v>
      </c>
      <c r="NB486" t="s">
        <v>1754</v>
      </c>
      <c r="NC486" t="s">
        <v>1745</v>
      </c>
      <c r="NH486" t="s">
        <v>1755</v>
      </c>
      <c r="NI486" t="s">
        <v>711</v>
      </c>
      <c r="NK486" t="s">
        <v>203</v>
      </c>
      <c r="NM486" t="s">
        <v>203</v>
      </c>
      <c r="NN486" s="6" t="s">
        <v>1801</v>
      </c>
      <c r="NW486" t="s">
        <v>6</v>
      </c>
      <c r="NX486">
        <v>9.4</v>
      </c>
      <c r="NY486" t="s">
        <v>1446</v>
      </c>
      <c r="NZ486">
        <v>15.7</v>
      </c>
      <c r="OC486">
        <v>8</v>
      </c>
      <c r="OT486" t="s">
        <v>1576</v>
      </c>
      <c r="OV486">
        <v>2010</v>
      </c>
      <c r="PA486" t="s">
        <v>1169</v>
      </c>
      <c r="PB486" s="58">
        <v>46108</v>
      </c>
    </row>
    <row r="487" spans="1:418" ht="15.75" thickBot="1">
      <c r="A487" t="s">
        <v>36</v>
      </c>
      <c r="B487" t="s">
        <v>1739</v>
      </c>
      <c r="C487" t="s">
        <v>1740</v>
      </c>
      <c r="D487" s="4" t="s">
        <v>245</v>
      </c>
      <c r="E487" t="s">
        <v>1806</v>
      </c>
      <c r="F487" s="4" t="s">
        <v>1804</v>
      </c>
      <c r="G487" t="s">
        <v>254</v>
      </c>
      <c r="H487" t="s">
        <v>30</v>
      </c>
      <c r="I487">
        <v>-23.748532000000001</v>
      </c>
      <c r="J487">
        <v>-62.056702000000001</v>
      </c>
      <c r="K487" s="87" t="s">
        <v>29</v>
      </c>
      <c r="AV487" t="s">
        <v>1766</v>
      </c>
      <c r="AW487" t="s">
        <v>234</v>
      </c>
      <c r="AX487">
        <v>3600</v>
      </c>
      <c r="AY487" s="5">
        <v>5.5555555555555558E-3</v>
      </c>
      <c r="AZ487" t="s">
        <v>1803</v>
      </c>
      <c r="BA487">
        <v>2010</v>
      </c>
      <c r="BD487" t="s">
        <v>1759</v>
      </c>
      <c r="BE487" t="s">
        <v>1762</v>
      </c>
      <c r="BF487" t="s">
        <v>57</v>
      </c>
      <c r="BG487" t="s">
        <v>1779</v>
      </c>
      <c r="BH487" t="s">
        <v>1777</v>
      </c>
      <c r="BI487" t="s">
        <v>29</v>
      </c>
      <c r="BJ487" t="s">
        <v>29</v>
      </c>
      <c r="BK487" t="s">
        <v>29</v>
      </c>
      <c r="EE487" t="s">
        <v>1774</v>
      </c>
      <c r="EF487" t="s">
        <v>29</v>
      </c>
      <c r="EG487" t="s">
        <v>29</v>
      </c>
      <c r="EH487" t="s">
        <v>29</v>
      </c>
      <c r="EI487" t="s">
        <v>1773</v>
      </c>
      <c r="EJ487" t="s">
        <v>29</v>
      </c>
      <c r="EK487" t="s">
        <v>29</v>
      </c>
      <c r="EL487" t="s">
        <v>29</v>
      </c>
      <c r="EM487" t="s">
        <v>1768</v>
      </c>
      <c r="EN487" t="s">
        <v>29</v>
      </c>
      <c r="EO487" t="s">
        <v>29</v>
      </c>
      <c r="EP487" t="s">
        <v>29</v>
      </c>
      <c r="EQ487" t="s">
        <v>1769</v>
      </c>
      <c r="ER487" t="s">
        <v>29</v>
      </c>
      <c r="ES487" t="s">
        <v>29</v>
      </c>
      <c r="ET487" t="s">
        <v>29</v>
      </c>
      <c r="EU487" t="s">
        <v>1770</v>
      </c>
      <c r="EV487" t="s">
        <v>29</v>
      </c>
      <c r="EW487" t="s">
        <v>29</v>
      </c>
      <c r="EX487" t="s">
        <v>29</v>
      </c>
      <c r="EY487" t="s">
        <v>1771</v>
      </c>
      <c r="EZ487" t="s">
        <v>29</v>
      </c>
      <c r="FA487" t="s">
        <v>29</v>
      </c>
      <c r="FB487" t="s">
        <v>29</v>
      </c>
      <c r="FC487" t="s">
        <v>1772</v>
      </c>
      <c r="FD487" t="s">
        <v>29</v>
      </c>
      <c r="FE487" t="s">
        <v>29</v>
      </c>
      <c r="FF487" t="s">
        <v>29</v>
      </c>
      <c r="FG487" s="9"/>
      <c r="FH487" s="9"/>
      <c r="FI487" s="9"/>
      <c r="FJ487" s="9"/>
      <c r="FK487" s="9"/>
      <c r="FL487" s="9"/>
      <c r="FM487" s="9"/>
      <c r="FN487" s="9"/>
      <c r="FO487" s="9"/>
      <c r="FP487" s="9"/>
      <c r="FQ487" s="9"/>
      <c r="FR487" s="9"/>
      <c r="FS487" s="9"/>
      <c r="FT487" s="9"/>
      <c r="FU487" s="9"/>
      <c r="FV487" s="9"/>
      <c r="FW487" s="9"/>
      <c r="FX487" s="9"/>
      <c r="FY487" s="9"/>
      <c r="FZ487" s="9"/>
      <c r="GA487" s="9"/>
      <c r="GB487" s="9"/>
      <c r="GC487" s="9"/>
      <c r="GD487" s="9"/>
      <c r="GE487" s="9"/>
      <c r="GF487" s="9"/>
      <c r="GG487" s="9"/>
      <c r="GH487" s="9"/>
      <c r="GI487" s="9"/>
      <c r="GJ487" s="9"/>
      <c r="GK487" s="9"/>
      <c r="GL487" s="9"/>
      <c r="GM487" s="9" t="s">
        <v>1775</v>
      </c>
      <c r="GN487" s="9" t="s">
        <v>29</v>
      </c>
      <c r="GO487" s="9" t="s">
        <v>29</v>
      </c>
      <c r="GP487" s="9" t="s">
        <v>29</v>
      </c>
      <c r="GQ487" s="9"/>
      <c r="GR487" s="9"/>
      <c r="GS487" s="9"/>
      <c r="GT487" s="9"/>
      <c r="GU487" s="9"/>
      <c r="GV487" s="9"/>
      <c r="GW487" s="9"/>
      <c r="GX487" s="9"/>
      <c r="GY487" s="9"/>
      <c r="GZ487" s="9"/>
      <c r="HA487" s="9"/>
      <c r="HB487" s="9"/>
      <c r="HC487" s="9"/>
      <c r="HD487" s="9"/>
      <c r="HE487" s="9"/>
      <c r="HF487" s="9"/>
      <c r="HG487" s="9"/>
      <c r="HH487" s="9"/>
      <c r="HI487" s="9"/>
      <c r="HJ487" s="9"/>
      <c r="HK487" s="9"/>
      <c r="HL487" s="9"/>
      <c r="HY487" s="58"/>
      <c r="HZ487" t="s">
        <v>1762</v>
      </c>
      <c r="IA487" t="s">
        <v>1795</v>
      </c>
      <c r="IW487" t="s">
        <v>1762</v>
      </c>
      <c r="IX487" s="84" t="s">
        <v>1792</v>
      </c>
      <c r="IY487" s="12" t="s">
        <v>1767</v>
      </c>
      <c r="IZ487" s="54" t="s">
        <v>1778</v>
      </c>
      <c r="JA487">
        <v>7.5</v>
      </c>
      <c r="JB487">
        <v>56</v>
      </c>
      <c r="MZ487" t="s">
        <v>1805</v>
      </c>
      <c r="NA487">
        <v>1963</v>
      </c>
      <c r="NB487" t="s">
        <v>1754</v>
      </c>
      <c r="NC487" t="s">
        <v>1745</v>
      </c>
      <c r="NH487" t="s">
        <v>1755</v>
      </c>
      <c r="NI487" t="s">
        <v>711</v>
      </c>
      <c r="NK487" t="s">
        <v>203</v>
      </c>
      <c r="NM487" t="s">
        <v>203</v>
      </c>
      <c r="NN487" s="6" t="s">
        <v>1801</v>
      </c>
      <c r="NW487" t="s">
        <v>6</v>
      </c>
      <c r="NX487">
        <v>10.1</v>
      </c>
      <c r="NY487" t="s">
        <v>1446</v>
      </c>
      <c r="NZ487">
        <v>9</v>
      </c>
      <c r="OC487">
        <v>7</v>
      </c>
      <c r="OT487" t="s">
        <v>1576</v>
      </c>
      <c r="OV487">
        <v>2010</v>
      </c>
      <c r="PA487" t="s">
        <v>1169</v>
      </c>
      <c r="PB487" s="58">
        <v>46108</v>
      </c>
    </row>
    <row r="488" spans="1:418" ht="15.75" thickBot="1">
      <c r="A488" t="s">
        <v>36</v>
      </c>
      <c r="B488" t="s">
        <v>1739</v>
      </c>
      <c r="C488" t="s">
        <v>1740</v>
      </c>
      <c r="D488" s="4" t="s">
        <v>245</v>
      </c>
      <c r="E488" t="s">
        <v>1806</v>
      </c>
      <c r="F488" s="4" t="s">
        <v>1804</v>
      </c>
      <c r="G488" t="s">
        <v>254</v>
      </c>
      <c r="H488" t="s">
        <v>30</v>
      </c>
      <c r="I488">
        <v>-23.748532000000001</v>
      </c>
      <c r="J488">
        <v>-62.056702000000001</v>
      </c>
      <c r="K488" s="87" t="s">
        <v>29</v>
      </c>
      <c r="AV488" t="s">
        <v>1766</v>
      </c>
      <c r="AW488" t="s">
        <v>234</v>
      </c>
      <c r="AX488">
        <v>3600</v>
      </c>
      <c r="AY488" s="5">
        <v>5.5555555555555558E-3</v>
      </c>
      <c r="AZ488" t="s">
        <v>1803</v>
      </c>
      <c r="BA488">
        <v>2010</v>
      </c>
      <c r="BD488" t="s">
        <v>1759</v>
      </c>
      <c r="BE488" t="s">
        <v>1764</v>
      </c>
      <c r="BF488" t="s">
        <v>48</v>
      </c>
      <c r="BG488" t="s">
        <v>1779</v>
      </c>
      <c r="BH488" t="s">
        <v>1781</v>
      </c>
      <c r="BI488" t="s">
        <v>29</v>
      </c>
      <c r="BJ488" t="s">
        <v>29</v>
      </c>
      <c r="BK488" t="s">
        <v>29</v>
      </c>
      <c r="EE488" t="s">
        <v>1774</v>
      </c>
      <c r="EF488" t="s">
        <v>29</v>
      </c>
      <c r="EG488" t="s">
        <v>29</v>
      </c>
      <c r="EH488" t="s">
        <v>29</v>
      </c>
      <c r="EI488" t="s">
        <v>1773</v>
      </c>
      <c r="EJ488" t="s">
        <v>29</v>
      </c>
      <c r="EK488" t="s">
        <v>29</v>
      </c>
      <c r="EL488" t="s">
        <v>29</v>
      </c>
      <c r="EM488" t="s">
        <v>1768</v>
      </c>
      <c r="EN488" t="s">
        <v>29</v>
      </c>
      <c r="EO488" t="s">
        <v>29</v>
      </c>
      <c r="EP488" t="s">
        <v>29</v>
      </c>
      <c r="EQ488" t="s">
        <v>1769</v>
      </c>
      <c r="ER488" t="s">
        <v>29</v>
      </c>
      <c r="ES488" t="s">
        <v>29</v>
      </c>
      <c r="ET488" t="s">
        <v>29</v>
      </c>
      <c r="EU488" t="s">
        <v>1770</v>
      </c>
      <c r="EV488" t="s">
        <v>29</v>
      </c>
      <c r="EW488" t="s">
        <v>29</v>
      </c>
      <c r="EX488" t="s">
        <v>29</v>
      </c>
      <c r="EY488" t="s">
        <v>1771</v>
      </c>
      <c r="EZ488" t="s">
        <v>29</v>
      </c>
      <c r="FA488" t="s">
        <v>29</v>
      </c>
      <c r="FB488" t="s">
        <v>29</v>
      </c>
      <c r="FC488" t="s">
        <v>1772</v>
      </c>
      <c r="FD488" t="s">
        <v>29</v>
      </c>
      <c r="FE488" t="s">
        <v>29</v>
      </c>
      <c r="FF488" t="s">
        <v>29</v>
      </c>
      <c r="FG488" s="9"/>
      <c r="FH488" s="9"/>
      <c r="FI488" s="9"/>
      <c r="FJ488" s="9"/>
      <c r="FK488" s="9"/>
      <c r="FL488" s="9"/>
      <c r="FM488" s="9"/>
      <c r="FN488" s="9"/>
      <c r="FO488" s="9"/>
      <c r="FP488" s="9"/>
      <c r="FQ488" s="9"/>
      <c r="FR488" s="9"/>
      <c r="FS488" s="9"/>
      <c r="FT488" s="9"/>
      <c r="FU488" s="9"/>
      <c r="FV488" s="9"/>
      <c r="FW488" s="9"/>
      <c r="FX488" s="9"/>
      <c r="FY488" s="9"/>
      <c r="FZ488" s="9"/>
      <c r="GA488" s="9"/>
      <c r="GB488" s="9"/>
      <c r="GC488" s="9"/>
      <c r="GD488" s="9"/>
      <c r="GE488" s="9"/>
      <c r="GF488" s="9"/>
      <c r="GG488" s="9"/>
      <c r="GH488" s="9"/>
      <c r="GI488" s="9"/>
      <c r="GJ488" s="9"/>
      <c r="GK488" s="9"/>
      <c r="GL488" s="9"/>
      <c r="GM488" s="9" t="s">
        <v>1775</v>
      </c>
      <c r="GN488" s="9" t="s">
        <v>29</v>
      </c>
      <c r="GO488" s="9" t="s">
        <v>29</v>
      </c>
      <c r="GP488" s="9" t="s">
        <v>29</v>
      </c>
      <c r="GQ488" s="9"/>
      <c r="GR488" s="9"/>
      <c r="GS488" s="9"/>
      <c r="GT488" s="9"/>
      <c r="GU488" s="9"/>
      <c r="GV488" s="9"/>
      <c r="GW488" s="9"/>
      <c r="GX488" s="9"/>
      <c r="GY488" s="9"/>
      <c r="GZ488" s="9"/>
      <c r="HA488" s="9"/>
      <c r="HB488" s="9"/>
      <c r="HC488" s="9"/>
      <c r="HD488" s="9"/>
      <c r="HE488" s="9"/>
      <c r="HF488" s="9"/>
      <c r="HG488" s="9"/>
      <c r="HH488" s="9"/>
      <c r="HI488" s="9"/>
      <c r="HJ488" s="9"/>
      <c r="HK488" s="9"/>
      <c r="HL488" s="9"/>
      <c r="HY488" s="58"/>
      <c r="HZ488" t="s">
        <v>1764</v>
      </c>
      <c r="IA488" t="s">
        <v>1794</v>
      </c>
      <c r="IW488" t="s">
        <v>1764</v>
      </c>
      <c r="IX488" s="84" t="s">
        <v>1792</v>
      </c>
      <c r="IY488" s="12" t="s">
        <v>1767</v>
      </c>
      <c r="IZ488" s="54" t="s">
        <v>1778</v>
      </c>
      <c r="JA488">
        <v>7.5</v>
      </c>
      <c r="JB488">
        <v>37</v>
      </c>
      <c r="MZ488" t="s">
        <v>1805</v>
      </c>
      <c r="NA488">
        <v>1963</v>
      </c>
      <c r="NB488" t="s">
        <v>1754</v>
      </c>
      <c r="NC488" t="s">
        <v>1745</v>
      </c>
      <c r="NH488" t="s">
        <v>1755</v>
      </c>
      <c r="NI488" t="s">
        <v>711</v>
      </c>
      <c r="NK488" t="s">
        <v>203</v>
      </c>
      <c r="NM488" t="s">
        <v>203</v>
      </c>
      <c r="NN488" s="6" t="s">
        <v>1801</v>
      </c>
      <c r="NW488" t="s">
        <v>6</v>
      </c>
      <c r="NX488">
        <v>19.3</v>
      </c>
      <c r="NY488" t="s">
        <v>1446</v>
      </c>
      <c r="NZ488">
        <v>16.399999999999999</v>
      </c>
      <c r="OC488">
        <v>5</v>
      </c>
      <c r="OT488" t="s">
        <v>1576</v>
      </c>
      <c r="OV488">
        <v>2010</v>
      </c>
      <c r="PA488" t="s">
        <v>1169</v>
      </c>
      <c r="PB488" s="58">
        <v>46108</v>
      </c>
    </row>
    <row r="489" spans="1:418" ht="15.75" thickBot="1">
      <c r="A489" t="s">
        <v>36</v>
      </c>
      <c r="B489" t="s">
        <v>1739</v>
      </c>
      <c r="C489" t="s">
        <v>1740</v>
      </c>
      <c r="D489" s="4" t="s">
        <v>245</v>
      </c>
      <c r="E489" t="s">
        <v>1806</v>
      </c>
      <c r="F489" s="4" t="s">
        <v>1804</v>
      </c>
      <c r="G489" t="s">
        <v>254</v>
      </c>
      <c r="H489" t="s">
        <v>30</v>
      </c>
      <c r="I489">
        <v>-23.748532000000001</v>
      </c>
      <c r="J489">
        <v>-62.056702000000001</v>
      </c>
      <c r="K489" s="87" t="s">
        <v>29</v>
      </c>
      <c r="AV489" t="s">
        <v>1766</v>
      </c>
      <c r="AW489" t="s">
        <v>234</v>
      </c>
      <c r="AX489" t="s">
        <v>234</v>
      </c>
      <c r="AY489" s="5">
        <v>5.5555555555555558E-3</v>
      </c>
      <c r="AZ489" t="s">
        <v>1803</v>
      </c>
      <c r="BA489">
        <v>2010</v>
      </c>
      <c r="BD489" t="s">
        <v>1747</v>
      </c>
      <c r="BE489" t="s">
        <v>1748</v>
      </c>
      <c r="BF489" t="s">
        <v>24</v>
      </c>
      <c r="BG489" t="s">
        <v>1779</v>
      </c>
      <c r="BH489" t="s">
        <v>1781</v>
      </c>
      <c r="BI489" t="s">
        <v>29</v>
      </c>
      <c r="BJ489" t="s">
        <v>29</v>
      </c>
      <c r="BK489" t="s">
        <v>29</v>
      </c>
      <c r="GM489" t="s">
        <v>1775</v>
      </c>
      <c r="GN489" s="9" t="s">
        <v>29</v>
      </c>
      <c r="GO489" s="9" t="s">
        <v>29</v>
      </c>
      <c r="GP489" s="9" t="s">
        <v>29</v>
      </c>
      <c r="HZ489" t="s">
        <v>1748</v>
      </c>
      <c r="IA489" t="s">
        <v>1794</v>
      </c>
      <c r="IW489" t="s">
        <v>1748</v>
      </c>
      <c r="IX489" s="54" t="s">
        <v>1793</v>
      </c>
      <c r="IY489" s="54" t="s">
        <v>1793</v>
      </c>
      <c r="IZ489" s="54" t="s">
        <v>1780</v>
      </c>
      <c r="JA489">
        <v>1</v>
      </c>
      <c r="JB489">
        <v>6</v>
      </c>
      <c r="MZ489" t="s">
        <v>1805</v>
      </c>
      <c r="NA489">
        <v>1963</v>
      </c>
      <c r="NB489" t="s">
        <v>1754</v>
      </c>
      <c r="NC489" t="s">
        <v>1745</v>
      </c>
      <c r="NH489" t="s">
        <v>1755</v>
      </c>
      <c r="NI489" t="s">
        <v>711</v>
      </c>
      <c r="NK489" t="s">
        <v>203</v>
      </c>
      <c r="NM489" t="s">
        <v>203</v>
      </c>
      <c r="NN489" s="6" t="s">
        <v>1801</v>
      </c>
      <c r="NV489" t="s">
        <v>1828</v>
      </c>
      <c r="NW489" t="s">
        <v>6</v>
      </c>
      <c r="NX489">
        <v>41.1</v>
      </c>
      <c r="NY489" t="s">
        <v>1446</v>
      </c>
      <c r="NZ489">
        <v>66.7</v>
      </c>
      <c r="OC489">
        <v>7</v>
      </c>
      <c r="OT489" t="s">
        <v>1576</v>
      </c>
      <c r="OV489">
        <v>2010</v>
      </c>
      <c r="PA489" t="s">
        <v>1169</v>
      </c>
      <c r="PB489" s="58">
        <v>46108</v>
      </c>
    </row>
    <row r="490" spans="1:418" ht="15.75" thickBot="1">
      <c r="A490" t="s">
        <v>36</v>
      </c>
      <c r="B490" t="s">
        <v>1739</v>
      </c>
      <c r="C490" t="s">
        <v>1740</v>
      </c>
      <c r="D490" s="4" t="s">
        <v>245</v>
      </c>
      <c r="E490" t="s">
        <v>1806</v>
      </c>
      <c r="F490" s="4" t="s">
        <v>1804</v>
      </c>
      <c r="G490" t="s">
        <v>254</v>
      </c>
      <c r="H490" t="s">
        <v>30</v>
      </c>
      <c r="I490">
        <v>-23.748532000000001</v>
      </c>
      <c r="J490">
        <v>-62.056702000000001</v>
      </c>
      <c r="K490" s="87" t="s">
        <v>29</v>
      </c>
      <c r="AV490" t="s">
        <v>1766</v>
      </c>
      <c r="AW490" t="s">
        <v>234</v>
      </c>
      <c r="AX490">
        <v>1000</v>
      </c>
      <c r="AY490" s="5">
        <v>5.5555555555555558E-3</v>
      </c>
      <c r="AZ490" t="s">
        <v>1803</v>
      </c>
      <c r="BA490">
        <v>2010</v>
      </c>
      <c r="BD490" t="s">
        <v>1825</v>
      </c>
      <c r="BE490" t="s">
        <v>1742</v>
      </c>
      <c r="BF490" t="s">
        <v>39</v>
      </c>
      <c r="BG490" t="s">
        <v>1743</v>
      </c>
      <c r="EE490" t="s">
        <v>1774</v>
      </c>
      <c r="EF490" t="s">
        <v>29</v>
      </c>
      <c r="EG490" t="s">
        <v>29</v>
      </c>
      <c r="EH490" t="s">
        <v>29</v>
      </c>
      <c r="EI490" t="s">
        <v>1773</v>
      </c>
      <c r="EJ490" t="s">
        <v>29</v>
      </c>
      <c r="EK490" t="s">
        <v>29</v>
      </c>
      <c r="EL490" t="s">
        <v>29</v>
      </c>
      <c r="EM490" t="s">
        <v>1768</v>
      </c>
      <c r="EN490" t="s">
        <v>29</v>
      </c>
      <c r="EO490" t="s">
        <v>29</v>
      </c>
      <c r="EP490" t="s">
        <v>29</v>
      </c>
      <c r="EQ490" t="s">
        <v>1769</v>
      </c>
      <c r="ER490" t="s">
        <v>29</v>
      </c>
      <c r="ES490" t="s">
        <v>29</v>
      </c>
      <c r="ET490" t="s">
        <v>29</v>
      </c>
      <c r="EU490" t="s">
        <v>1770</v>
      </c>
      <c r="EV490" t="s">
        <v>29</v>
      </c>
      <c r="EW490" t="s">
        <v>29</v>
      </c>
      <c r="EX490" t="s">
        <v>29</v>
      </c>
      <c r="EY490" t="s">
        <v>1771</v>
      </c>
      <c r="EZ490" t="s">
        <v>29</v>
      </c>
      <c r="FA490" t="s">
        <v>29</v>
      </c>
      <c r="FB490" t="s">
        <v>29</v>
      </c>
      <c r="FC490" t="s">
        <v>1772</v>
      </c>
      <c r="FD490" t="s">
        <v>29</v>
      </c>
      <c r="FE490" t="s">
        <v>29</v>
      </c>
      <c r="FF490" t="s">
        <v>29</v>
      </c>
      <c r="HZ490" t="s">
        <v>1742</v>
      </c>
      <c r="IW490" t="s">
        <v>1742</v>
      </c>
      <c r="IX490" t="s">
        <v>1791</v>
      </c>
      <c r="IY490" t="s">
        <v>1791</v>
      </c>
      <c r="IZ490" t="s">
        <v>1791</v>
      </c>
      <c r="JA490">
        <v>5</v>
      </c>
      <c r="JB490">
        <v>70</v>
      </c>
      <c r="MZ490" t="s">
        <v>1805</v>
      </c>
      <c r="NA490">
        <v>1963</v>
      </c>
      <c r="NB490" t="s">
        <v>1757</v>
      </c>
      <c r="NC490" t="s">
        <v>1745</v>
      </c>
      <c r="NH490" t="s">
        <v>1758</v>
      </c>
      <c r="NI490" t="s">
        <v>711</v>
      </c>
      <c r="NK490" t="s">
        <v>203</v>
      </c>
      <c r="NM490" t="s">
        <v>203</v>
      </c>
      <c r="NN490" s="6" t="s">
        <v>1801</v>
      </c>
      <c r="NV490" t="s">
        <v>1827</v>
      </c>
      <c r="NW490" t="s">
        <v>6</v>
      </c>
      <c r="NX490">
        <v>1.7</v>
      </c>
      <c r="NY490" t="s">
        <v>1446</v>
      </c>
      <c r="NZ490">
        <v>1.9</v>
      </c>
      <c r="OC490">
        <v>6</v>
      </c>
      <c r="OT490" t="s">
        <v>1576</v>
      </c>
      <c r="OV490">
        <v>2010</v>
      </c>
      <c r="PA490" t="s">
        <v>1169</v>
      </c>
      <c r="PB490" s="58">
        <v>46108</v>
      </c>
    </row>
    <row r="491" spans="1:418" ht="15.75" thickBot="1">
      <c r="A491" t="s">
        <v>36</v>
      </c>
      <c r="B491" t="s">
        <v>1739</v>
      </c>
      <c r="C491" t="s">
        <v>1740</v>
      </c>
      <c r="D491" s="4" t="s">
        <v>245</v>
      </c>
      <c r="E491" t="s">
        <v>1806</v>
      </c>
      <c r="F491" s="4" t="s">
        <v>1804</v>
      </c>
      <c r="G491" t="s">
        <v>254</v>
      </c>
      <c r="H491" t="s">
        <v>30</v>
      </c>
      <c r="I491">
        <v>-23.748532000000001</v>
      </c>
      <c r="J491">
        <v>-62.056702000000001</v>
      </c>
      <c r="K491" s="87" t="s">
        <v>29</v>
      </c>
      <c r="AV491" t="s">
        <v>1766</v>
      </c>
      <c r="AW491" t="s">
        <v>234</v>
      </c>
      <c r="AX491" t="s">
        <v>234</v>
      </c>
      <c r="AY491" s="5">
        <v>5.5555555555555558E-3</v>
      </c>
      <c r="AZ491" t="s">
        <v>1803</v>
      </c>
      <c r="BA491">
        <v>2010</v>
      </c>
      <c r="BD491" t="s">
        <v>1759</v>
      </c>
      <c r="BE491" t="s">
        <v>1760</v>
      </c>
      <c r="BF491" t="s">
        <v>64</v>
      </c>
      <c r="BG491" t="s">
        <v>1779</v>
      </c>
      <c r="BH491" t="s">
        <v>1777</v>
      </c>
      <c r="BI491" t="s">
        <v>1782</v>
      </c>
      <c r="BJ491" t="s">
        <v>29</v>
      </c>
      <c r="BK491" t="s">
        <v>29</v>
      </c>
      <c r="EE491" t="s">
        <v>1774</v>
      </c>
      <c r="EF491" t="s">
        <v>29</v>
      </c>
      <c r="EG491" t="s">
        <v>29</v>
      </c>
      <c r="EH491" t="s">
        <v>29</v>
      </c>
      <c r="EI491" t="s">
        <v>1773</v>
      </c>
      <c r="EJ491" t="s">
        <v>29</v>
      </c>
      <c r="EK491" t="s">
        <v>29</v>
      </c>
      <c r="EL491" t="s">
        <v>29</v>
      </c>
      <c r="EM491" t="s">
        <v>1768</v>
      </c>
      <c r="EN491" t="s">
        <v>29</v>
      </c>
      <c r="EO491" t="s">
        <v>29</v>
      </c>
      <c r="EP491" t="s">
        <v>29</v>
      </c>
      <c r="EQ491" t="s">
        <v>1769</v>
      </c>
      <c r="ER491" t="s">
        <v>29</v>
      </c>
      <c r="ES491" t="s">
        <v>29</v>
      </c>
      <c r="ET491" t="s">
        <v>29</v>
      </c>
      <c r="EU491" t="s">
        <v>1770</v>
      </c>
      <c r="EV491" t="s">
        <v>29</v>
      </c>
      <c r="EW491" t="s">
        <v>29</v>
      </c>
      <c r="EX491" t="s">
        <v>29</v>
      </c>
      <c r="EY491" t="s">
        <v>1771</v>
      </c>
      <c r="EZ491" t="s">
        <v>29</v>
      </c>
      <c r="FA491" t="s">
        <v>29</v>
      </c>
      <c r="FB491" t="s">
        <v>29</v>
      </c>
      <c r="FC491" t="s">
        <v>1772</v>
      </c>
      <c r="FD491" t="s">
        <v>29</v>
      </c>
      <c r="FE491" t="s">
        <v>29</v>
      </c>
      <c r="FF491" t="s">
        <v>29</v>
      </c>
      <c r="GM491" t="s">
        <v>1775</v>
      </c>
      <c r="GN491" s="9" t="s">
        <v>29</v>
      </c>
      <c r="GO491" s="9" t="s">
        <v>29</v>
      </c>
      <c r="GP491" s="9" t="s">
        <v>29</v>
      </c>
      <c r="GQ491" s="9"/>
      <c r="GR491" s="9"/>
      <c r="GS491" s="9"/>
      <c r="GT491" s="9"/>
      <c r="GU491" s="9"/>
      <c r="GV491" s="9"/>
      <c r="GW491" s="9"/>
      <c r="GX491" s="9"/>
      <c r="GY491" s="9"/>
      <c r="GZ491" s="9"/>
      <c r="HA491" s="9"/>
      <c r="HB491" s="9"/>
      <c r="HC491" s="9"/>
      <c r="HD491" s="9"/>
      <c r="HE491" s="9"/>
      <c r="HF491" s="9"/>
      <c r="HG491" s="9"/>
      <c r="HH491" s="9"/>
      <c r="HI491" s="9"/>
      <c r="HJ491" s="9"/>
      <c r="HK491" s="9"/>
      <c r="HL491" s="9"/>
      <c r="HY491" s="58"/>
      <c r="HZ491" t="s">
        <v>1760</v>
      </c>
      <c r="IA491" t="s">
        <v>1795</v>
      </c>
      <c r="IW491" t="s">
        <v>1760</v>
      </c>
      <c r="IX491" s="84" t="s">
        <v>1792</v>
      </c>
      <c r="IY491" t="s">
        <v>1767</v>
      </c>
      <c r="IZ491" s="54" t="s">
        <v>1776</v>
      </c>
      <c r="JA491">
        <v>1</v>
      </c>
      <c r="JB491">
        <v>81</v>
      </c>
      <c r="MZ491" t="s">
        <v>1805</v>
      </c>
      <c r="NA491">
        <v>1963</v>
      </c>
      <c r="NB491" t="s">
        <v>1757</v>
      </c>
      <c r="NC491" t="s">
        <v>1745</v>
      </c>
      <c r="NH491" t="s">
        <v>1758</v>
      </c>
      <c r="NI491" t="s">
        <v>711</v>
      </c>
      <c r="NK491" t="s">
        <v>203</v>
      </c>
      <c r="NM491" t="s">
        <v>203</v>
      </c>
      <c r="NN491" s="6" t="s">
        <v>1801</v>
      </c>
      <c r="NW491" t="s">
        <v>6</v>
      </c>
      <c r="NX491">
        <v>0.8</v>
      </c>
      <c r="NY491" t="s">
        <v>1446</v>
      </c>
      <c r="NZ491">
        <v>1.3</v>
      </c>
      <c r="OC491">
        <v>8</v>
      </c>
      <c r="OT491" t="s">
        <v>1576</v>
      </c>
      <c r="OV491">
        <v>2010</v>
      </c>
      <c r="PA491" t="s">
        <v>1169</v>
      </c>
      <c r="PB491" s="58">
        <v>46108</v>
      </c>
    </row>
    <row r="492" spans="1:418" ht="15.75" thickBot="1">
      <c r="A492" t="s">
        <v>36</v>
      </c>
      <c r="B492" t="s">
        <v>1739</v>
      </c>
      <c r="C492" t="s">
        <v>1740</v>
      </c>
      <c r="D492" s="4" t="s">
        <v>245</v>
      </c>
      <c r="E492" t="s">
        <v>1806</v>
      </c>
      <c r="F492" s="4" t="s">
        <v>1804</v>
      </c>
      <c r="G492" t="s">
        <v>254</v>
      </c>
      <c r="H492" t="s">
        <v>30</v>
      </c>
      <c r="I492">
        <v>-23.748532000000001</v>
      </c>
      <c r="J492">
        <v>-62.056702000000001</v>
      </c>
      <c r="K492" s="87" t="s">
        <v>29</v>
      </c>
      <c r="AV492" t="s">
        <v>1766</v>
      </c>
      <c r="AW492" t="s">
        <v>234</v>
      </c>
      <c r="AX492">
        <v>3600</v>
      </c>
      <c r="AY492" s="5">
        <v>5.5555555555555558E-3</v>
      </c>
      <c r="AZ492" t="s">
        <v>1803</v>
      </c>
      <c r="BA492">
        <v>2010</v>
      </c>
      <c r="BD492" t="s">
        <v>1759</v>
      </c>
      <c r="BE492" t="s">
        <v>1762</v>
      </c>
      <c r="BF492" t="s">
        <v>57</v>
      </c>
      <c r="BG492" t="s">
        <v>1779</v>
      </c>
      <c r="BH492" t="s">
        <v>1777</v>
      </c>
      <c r="BI492" t="s">
        <v>29</v>
      </c>
      <c r="BJ492" t="s">
        <v>29</v>
      </c>
      <c r="BK492" t="s">
        <v>29</v>
      </c>
      <c r="EE492" t="s">
        <v>1774</v>
      </c>
      <c r="EF492" t="s">
        <v>29</v>
      </c>
      <c r="EG492" t="s">
        <v>29</v>
      </c>
      <c r="EH492" t="s">
        <v>29</v>
      </c>
      <c r="EI492" t="s">
        <v>1773</v>
      </c>
      <c r="EJ492" t="s">
        <v>29</v>
      </c>
      <c r="EK492" t="s">
        <v>29</v>
      </c>
      <c r="EL492" t="s">
        <v>29</v>
      </c>
      <c r="EM492" t="s">
        <v>1768</v>
      </c>
      <c r="EN492" t="s">
        <v>29</v>
      </c>
      <c r="EO492" t="s">
        <v>29</v>
      </c>
      <c r="EP492" t="s">
        <v>29</v>
      </c>
      <c r="EQ492" t="s">
        <v>1769</v>
      </c>
      <c r="ER492" t="s">
        <v>29</v>
      </c>
      <c r="ES492" t="s">
        <v>29</v>
      </c>
      <c r="ET492" t="s">
        <v>29</v>
      </c>
      <c r="EU492" t="s">
        <v>1770</v>
      </c>
      <c r="EV492" t="s">
        <v>29</v>
      </c>
      <c r="EW492" t="s">
        <v>29</v>
      </c>
      <c r="EX492" t="s">
        <v>29</v>
      </c>
      <c r="EY492" t="s">
        <v>1771</v>
      </c>
      <c r="EZ492" t="s">
        <v>29</v>
      </c>
      <c r="FA492" t="s">
        <v>29</v>
      </c>
      <c r="FB492" t="s">
        <v>29</v>
      </c>
      <c r="FC492" t="s">
        <v>1772</v>
      </c>
      <c r="FD492" t="s">
        <v>29</v>
      </c>
      <c r="FE492" t="s">
        <v>29</v>
      </c>
      <c r="FF492" t="s">
        <v>29</v>
      </c>
      <c r="FG492" s="9"/>
      <c r="FH492" s="9"/>
      <c r="FI492" s="9"/>
      <c r="FJ492" s="9"/>
      <c r="FK492" s="9"/>
      <c r="FL492" s="9"/>
      <c r="FM492" s="9"/>
      <c r="FN492" s="9"/>
      <c r="FO492" s="9"/>
      <c r="FP492" s="9"/>
      <c r="FQ492" s="9"/>
      <c r="FR492" s="9"/>
      <c r="FS492" s="9"/>
      <c r="FT492" s="9"/>
      <c r="FU492" s="9"/>
      <c r="FV492" s="9"/>
      <c r="FW492" s="9"/>
      <c r="FX492" s="9"/>
      <c r="FY492" s="9"/>
      <c r="FZ492" s="9"/>
      <c r="GA492" s="9"/>
      <c r="GB492" s="9"/>
      <c r="GC492" s="9"/>
      <c r="GD492" s="9"/>
      <c r="GE492" s="9"/>
      <c r="GF492" s="9"/>
      <c r="GG492" s="9"/>
      <c r="GH492" s="9"/>
      <c r="GI492" s="9"/>
      <c r="GJ492" s="9"/>
      <c r="GK492" s="9"/>
      <c r="GL492" s="9"/>
      <c r="GM492" s="9" t="s">
        <v>1775</v>
      </c>
      <c r="GN492" s="9" t="s">
        <v>29</v>
      </c>
      <c r="GO492" s="9" t="s">
        <v>29</v>
      </c>
      <c r="GP492" s="9" t="s">
        <v>29</v>
      </c>
      <c r="GQ492" s="9"/>
      <c r="GR492" s="9"/>
      <c r="GS492" s="9"/>
      <c r="GT492" s="9"/>
      <c r="GU492" s="9"/>
      <c r="GV492" s="9"/>
      <c r="GW492" s="9"/>
      <c r="GX492" s="9"/>
      <c r="GY492" s="9"/>
      <c r="GZ492" s="9"/>
      <c r="HA492" s="9"/>
      <c r="HB492" s="9"/>
      <c r="HC492" s="9"/>
      <c r="HD492" s="9"/>
      <c r="HE492" s="9"/>
      <c r="HF492" s="9"/>
      <c r="HG492" s="9"/>
      <c r="HH492" s="9"/>
      <c r="HI492" s="9"/>
      <c r="HJ492" s="9"/>
      <c r="HK492" s="9"/>
      <c r="HL492" s="9"/>
      <c r="HY492" s="58"/>
      <c r="HZ492" t="s">
        <v>1762</v>
      </c>
      <c r="IA492" t="s">
        <v>1795</v>
      </c>
      <c r="IW492" t="s">
        <v>1762</v>
      </c>
      <c r="IX492" s="84" t="s">
        <v>1792</v>
      </c>
      <c r="IY492" s="12" t="s">
        <v>1767</v>
      </c>
      <c r="IZ492" s="54" t="s">
        <v>1778</v>
      </c>
      <c r="JA492">
        <v>7.5</v>
      </c>
      <c r="JB492">
        <v>56</v>
      </c>
      <c r="MZ492" t="s">
        <v>1805</v>
      </c>
      <c r="NA492">
        <v>1963</v>
      </c>
      <c r="NB492" t="s">
        <v>1757</v>
      </c>
      <c r="NC492" t="s">
        <v>1745</v>
      </c>
      <c r="NH492" t="s">
        <v>1758</v>
      </c>
      <c r="NI492" t="s">
        <v>711</v>
      </c>
      <c r="NK492" t="s">
        <v>203</v>
      </c>
      <c r="NM492" t="s">
        <v>203</v>
      </c>
      <c r="NN492" s="6" t="s">
        <v>1801</v>
      </c>
      <c r="NW492" t="s">
        <v>6</v>
      </c>
      <c r="NX492">
        <v>0.9</v>
      </c>
      <c r="NY492" t="s">
        <v>1446</v>
      </c>
      <c r="NZ492">
        <v>2</v>
      </c>
      <c r="OC492">
        <v>7</v>
      </c>
      <c r="OT492" t="s">
        <v>1576</v>
      </c>
      <c r="OV492">
        <v>2010</v>
      </c>
      <c r="PA492" t="s">
        <v>1169</v>
      </c>
      <c r="PB492" s="58">
        <v>46108</v>
      </c>
    </row>
    <row r="493" spans="1:418" ht="15.75" thickBot="1">
      <c r="A493" t="s">
        <v>36</v>
      </c>
      <c r="B493" t="s">
        <v>1739</v>
      </c>
      <c r="C493" t="s">
        <v>1740</v>
      </c>
      <c r="D493" s="4" t="s">
        <v>245</v>
      </c>
      <c r="E493" t="s">
        <v>1806</v>
      </c>
      <c r="F493" s="4" t="s">
        <v>1804</v>
      </c>
      <c r="G493" t="s">
        <v>254</v>
      </c>
      <c r="H493" t="s">
        <v>30</v>
      </c>
      <c r="I493">
        <v>-23.748532000000001</v>
      </c>
      <c r="J493">
        <v>-62.056702000000001</v>
      </c>
      <c r="K493" s="87" t="s">
        <v>29</v>
      </c>
      <c r="AV493" t="s">
        <v>1766</v>
      </c>
      <c r="AW493" t="s">
        <v>234</v>
      </c>
      <c r="AX493">
        <v>3600</v>
      </c>
      <c r="AY493" s="5">
        <v>5.5555555555555558E-3</v>
      </c>
      <c r="AZ493" t="s">
        <v>1803</v>
      </c>
      <c r="BA493">
        <v>2010</v>
      </c>
      <c r="BD493" t="s">
        <v>1759</v>
      </c>
      <c r="BE493" t="s">
        <v>1764</v>
      </c>
      <c r="BF493" t="s">
        <v>48</v>
      </c>
      <c r="BG493" t="s">
        <v>1779</v>
      </c>
      <c r="BH493" t="s">
        <v>1781</v>
      </c>
      <c r="BI493" t="s">
        <v>29</v>
      </c>
      <c r="BJ493" t="s">
        <v>29</v>
      </c>
      <c r="BK493" t="s">
        <v>29</v>
      </c>
      <c r="EE493" t="s">
        <v>1774</v>
      </c>
      <c r="EF493" t="s">
        <v>29</v>
      </c>
      <c r="EG493" t="s">
        <v>29</v>
      </c>
      <c r="EH493" t="s">
        <v>29</v>
      </c>
      <c r="EI493" t="s">
        <v>1773</v>
      </c>
      <c r="EJ493" t="s">
        <v>29</v>
      </c>
      <c r="EK493" t="s">
        <v>29</v>
      </c>
      <c r="EL493" t="s">
        <v>29</v>
      </c>
      <c r="EM493" t="s">
        <v>1768</v>
      </c>
      <c r="EN493" t="s">
        <v>29</v>
      </c>
      <c r="EO493" t="s">
        <v>29</v>
      </c>
      <c r="EP493" t="s">
        <v>29</v>
      </c>
      <c r="EQ493" t="s">
        <v>1769</v>
      </c>
      <c r="ER493" t="s">
        <v>29</v>
      </c>
      <c r="ES493" t="s">
        <v>29</v>
      </c>
      <c r="ET493" t="s">
        <v>29</v>
      </c>
      <c r="EU493" t="s">
        <v>1770</v>
      </c>
      <c r="EV493" t="s">
        <v>29</v>
      </c>
      <c r="EW493" t="s">
        <v>29</v>
      </c>
      <c r="EX493" t="s">
        <v>29</v>
      </c>
      <c r="EY493" t="s">
        <v>1771</v>
      </c>
      <c r="EZ493" t="s">
        <v>29</v>
      </c>
      <c r="FA493" t="s">
        <v>29</v>
      </c>
      <c r="FB493" t="s">
        <v>29</v>
      </c>
      <c r="FC493" t="s">
        <v>1772</v>
      </c>
      <c r="FD493" t="s">
        <v>29</v>
      </c>
      <c r="FE493" t="s">
        <v>29</v>
      </c>
      <c r="FF493" t="s">
        <v>29</v>
      </c>
      <c r="FG493" s="9"/>
      <c r="FH493" s="9"/>
      <c r="FI493" s="9"/>
      <c r="FJ493" s="9"/>
      <c r="FK493" s="9"/>
      <c r="FL493" s="9"/>
      <c r="FM493" s="9"/>
      <c r="FN493" s="9"/>
      <c r="FO493" s="9"/>
      <c r="FP493" s="9"/>
      <c r="FQ493" s="9"/>
      <c r="FR493" s="9"/>
      <c r="FS493" s="9"/>
      <c r="FT493" s="9"/>
      <c r="FU493" s="9"/>
      <c r="FV493" s="9"/>
      <c r="FW493" s="9"/>
      <c r="FX493" s="9"/>
      <c r="FY493" s="9"/>
      <c r="FZ493" s="9"/>
      <c r="GA493" s="9"/>
      <c r="GB493" s="9"/>
      <c r="GC493" s="9"/>
      <c r="GD493" s="9"/>
      <c r="GE493" s="9"/>
      <c r="GF493" s="9"/>
      <c r="GG493" s="9"/>
      <c r="GH493" s="9"/>
      <c r="GI493" s="9"/>
      <c r="GJ493" s="9"/>
      <c r="GK493" s="9"/>
      <c r="GL493" s="9"/>
      <c r="GM493" s="9" t="s">
        <v>1775</v>
      </c>
      <c r="GN493" s="9" t="s">
        <v>29</v>
      </c>
      <c r="GO493" s="9" t="s">
        <v>29</v>
      </c>
      <c r="GP493" s="9" t="s">
        <v>29</v>
      </c>
      <c r="GQ493" s="9"/>
      <c r="GR493" s="9"/>
      <c r="GS493" s="9"/>
      <c r="GT493" s="9"/>
      <c r="GU493" s="9"/>
      <c r="GV493" s="9"/>
      <c r="GW493" s="9"/>
      <c r="GX493" s="9"/>
      <c r="GY493" s="9"/>
      <c r="GZ493" s="9"/>
      <c r="HA493" s="9"/>
      <c r="HB493" s="9"/>
      <c r="HC493" s="9"/>
      <c r="HD493" s="9"/>
      <c r="HE493" s="9"/>
      <c r="HF493" s="9"/>
      <c r="HG493" s="9"/>
      <c r="HH493" s="9"/>
      <c r="HI493" s="9"/>
      <c r="HJ493" s="9"/>
      <c r="HK493" s="9"/>
      <c r="HL493" s="9"/>
      <c r="HY493" s="58"/>
      <c r="HZ493" t="s">
        <v>1764</v>
      </c>
      <c r="IA493" t="s">
        <v>1794</v>
      </c>
      <c r="IW493" t="s">
        <v>1764</v>
      </c>
      <c r="IX493" s="84" t="s">
        <v>1792</v>
      </c>
      <c r="IY493" s="12" t="s">
        <v>1767</v>
      </c>
      <c r="IZ493" s="54" t="s">
        <v>1778</v>
      </c>
      <c r="JA493">
        <v>7.5</v>
      </c>
      <c r="JB493">
        <v>37</v>
      </c>
      <c r="MZ493" t="s">
        <v>1805</v>
      </c>
      <c r="NA493">
        <v>1963</v>
      </c>
      <c r="NB493" t="s">
        <v>1757</v>
      </c>
      <c r="NC493" t="s">
        <v>1745</v>
      </c>
      <c r="NH493" t="s">
        <v>1758</v>
      </c>
      <c r="NI493" t="s">
        <v>711</v>
      </c>
      <c r="NK493" t="s">
        <v>203</v>
      </c>
      <c r="NM493" t="s">
        <v>203</v>
      </c>
      <c r="NN493" s="6" t="s">
        <v>1801</v>
      </c>
      <c r="NW493" t="s">
        <v>6</v>
      </c>
      <c r="NX493">
        <v>0.7</v>
      </c>
      <c r="NY493" t="s">
        <v>1446</v>
      </c>
      <c r="NZ493">
        <v>1.5</v>
      </c>
      <c r="OC493">
        <v>5</v>
      </c>
      <c r="OT493" t="s">
        <v>1576</v>
      </c>
      <c r="OV493">
        <v>2010</v>
      </c>
      <c r="PA493" t="s">
        <v>1169</v>
      </c>
      <c r="PB493" s="58">
        <v>46108</v>
      </c>
    </row>
    <row r="494" spans="1:418" ht="15.75" thickBot="1">
      <c r="A494" t="s">
        <v>36</v>
      </c>
      <c r="B494" t="s">
        <v>1739</v>
      </c>
      <c r="C494" t="s">
        <v>1740</v>
      </c>
      <c r="D494" s="4" t="s">
        <v>245</v>
      </c>
      <c r="E494" t="s">
        <v>1806</v>
      </c>
      <c r="F494" s="4" t="s">
        <v>1804</v>
      </c>
      <c r="G494" t="s">
        <v>254</v>
      </c>
      <c r="H494" t="s">
        <v>30</v>
      </c>
      <c r="I494">
        <v>-23.748532000000001</v>
      </c>
      <c r="J494">
        <v>-62.056702000000001</v>
      </c>
      <c r="K494" s="87" t="s">
        <v>29</v>
      </c>
      <c r="AV494" t="s">
        <v>1766</v>
      </c>
      <c r="AW494" t="s">
        <v>234</v>
      </c>
      <c r="AX494" t="s">
        <v>234</v>
      </c>
      <c r="AY494" s="5">
        <v>5.5555555555555558E-3</v>
      </c>
      <c r="AZ494" t="s">
        <v>1803</v>
      </c>
      <c r="BA494">
        <v>2010</v>
      </c>
      <c r="BD494" t="s">
        <v>1747</v>
      </c>
      <c r="BE494" t="s">
        <v>1748</v>
      </c>
      <c r="BF494" t="s">
        <v>24</v>
      </c>
      <c r="BG494" t="s">
        <v>1779</v>
      </c>
      <c r="BH494" t="s">
        <v>1781</v>
      </c>
      <c r="BI494" t="s">
        <v>29</v>
      </c>
      <c r="BJ494" t="s">
        <v>29</v>
      </c>
      <c r="BK494" t="s">
        <v>29</v>
      </c>
      <c r="GM494" t="s">
        <v>1775</v>
      </c>
      <c r="GN494" s="9" t="s">
        <v>29</v>
      </c>
      <c r="GO494" s="9" t="s">
        <v>29</v>
      </c>
      <c r="GP494" s="9" t="s">
        <v>29</v>
      </c>
      <c r="HZ494" t="s">
        <v>1748</v>
      </c>
      <c r="IA494" t="s">
        <v>1794</v>
      </c>
      <c r="IW494" t="s">
        <v>1748</v>
      </c>
      <c r="IX494" s="54" t="s">
        <v>1793</v>
      </c>
      <c r="IY494" s="54" t="s">
        <v>1793</v>
      </c>
      <c r="IZ494" s="54" t="s">
        <v>1780</v>
      </c>
      <c r="JA494">
        <v>1</v>
      </c>
      <c r="JB494">
        <v>6</v>
      </c>
      <c r="MZ494" t="s">
        <v>1805</v>
      </c>
      <c r="NA494">
        <v>1963</v>
      </c>
      <c r="NB494" t="s">
        <v>1757</v>
      </c>
      <c r="NC494" t="s">
        <v>1745</v>
      </c>
      <c r="NH494" t="s">
        <v>1758</v>
      </c>
      <c r="NI494" t="s">
        <v>711</v>
      </c>
      <c r="NK494" t="s">
        <v>203</v>
      </c>
      <c r="NM494" t="s">
        <v>203</v>
      </c>
      <c r="NN494" s="6" t="s">
        <v>1801</v>
      </c>
      <c r="NV494" t="s">
        <v>1828</v>
      </c>
      <c r="NW494" t="s">
        <v>6</v>
      </c>
      <c r="NX494">
        <v>1.4</v>
      </c>
      <c r="NY494" t="s">
        <v>1446</v>
      </c>
      <c r="NZ494">
        <v>3.4</v>
      </c>
      <c r="OC494">
        <v>7</v>
      </c>
      <c r="OT494" t="s">
        <v>1576</v>
      </c>
      <c r="OV494">
        <v>2010</v>
      </c>
      <c r="PA494" t="s">
        <v>1169</v>
      </c>
      <c r="PB494" s="58">
        <v>46108</v>
      </c>
    </row>
    <row r="495" spans="1:418" ht="15.75" thickBot="1">
      <c r="A495" t="s">
        <v>36</v>
      </c>
      <c r="B495" t="s">
        <v>1739</v>
      </c>
      <c r="C495" t="s">
        <v>1740</v>
      </c>
      <c r="D495" s="4" t="s">
        <v>245</v>
      </c>
      <c r="E495" t="s">
        <v>1806</v>
      </c>
      <c r="F495" s="4" t="s">
        <v>1804</v>
      </c>
      <c r="G495" t="s">
        <v>254</v>
      </c>
      <c r="H495" t="s">
        <v>30</v>
      </c>
      <c r="I495">
        <v>-23.748532000000001</v>
      </c>
      <c r="J495">
        <v>-62.056702000000001</v>
      </c>
      <c r="K495" s="87" t="s">
        <v>29</v>
      </c>
      <c r="AV495" t="s">
        <v>1766</v>
      </c>
      <c r="AW495" t="s">
        <v>234</v>
      </c>
      <c r="AX495">
        <v>1000</v>
      </c>
      <c r="AY495" s="5">
        <v>5.5555555555555558E-3</v>
      </c>
      <c r="AZ495" t="s">
        <v>1803</v>
      </c>
      <c r="BA495">
        <v>2010</v>
      </c>
      <c r="BD495" t="s">
        <v>1825</v>
      </c>
      <c r="BE495" t="s">
        <v>1742</v>
      </c>
      <c r="BF495" t="s">
        <v>39</v>
      </c>
      <c r="BG495" t="s">
        <v>1743</v>
      </c>
      <c r="EE495" t="s">
        <v>1774</v>
      </c>
      <c r="EF495" t="s">
        <v>29</v>
      </c>
      <c r="EG495" t="s">
        <v>29</v>
      </c>
      <c r="EH495" t="s">
        <v>29</v>
      </c>
      <c r="EI495" t="s">
        <v>1773</v>
      </c>
      <c r="EJ495" t="s">
        <v>29</v>
      </c>
      <c r="EK495" t="s">
        <v>29</v>
      </c>
      <c r="EL495" t="s">
        <v>29</v>
      </c>
      <c r="EM495" t="s">
        <v>1768</v>
      </c>
      <c r="EN495" t="s">
        <v>29</v>
      </c>
      <c r="EO495" t="s">
        <v>29</v>
      </c>
      <c r="EP495" t="s">
        <v>29</v>
      </c>
      <c r="EQ495" t="s">
        <v>1769</v>
      </c>
      <c r="ER495" t="s">
        <v>29</v>
      </c>
      <c r="ES495" t="s">
        <v>29</v>
      </c>
      <c r="ET495" t="s">
        <v>29</v>
      </c>
      <c r="EU495" t="s">
        <v>1770</v>
      </c>
      <c r="EV495" t="s">
        <v>29</v>
      </c>
      <c r="EW495" t="s">
        <v>29</v>
      </c>
      <c r="EX495" t="s">
        <v>29</v>
      </c>
      <c r="EY495" t="s">
        <v>1771</v>
      </c>
      <c r="EZ495" t="s">
        <v>29</v>
      </c>
      <c r="FA495" t="s">
        <v>29</v>
      </c>
      <c r="FB495" t="s">
        <v>29</v>
      </c>
      <c r="FC495" t="s">
        <v>1772</v>
      </c>
      <c r="FD495" t="s">
        <v>29</v>
      </c>
      <c r="FE495" t="s">
        <v>29</v>
      </c>
      <c r="FF495" t="s">
        <v>29</v>
      </c>
      <c r="HZ495" t="s">
        <v>1742</v>
      </c>
      <c r="IW495" t="s">
        <v>1742</v>
      </c>
      <c r="IX495" t="s">
        <v>1791</v>
      </c>
      <c r="IY495" t="s">
        <v>1791</v>
      </c>
      <c r="IZ495" t="s">
        <v>1791</v>
      </c>
      <c r="JA495">
        <v>5</v>
      </c>
      <c r="JB495">
        <v>70</v>
      </c>
      <c r="MZ495" t="s">
        <v>1805</v>
      </c>
      <c r="NA495">
        <v>1963</v>
      </c>
      <c r="NB495" t="s">
        <v>1756</v>
      </c>
      <c r="NC495" t="s">
        <v>1745</v>
      </c>
      <c r="NH495" t="s">
        <v>1790</v>
      </c>
      <c r="NI495" t="s">
        <v>711</v>
      </c>
      <c r="NK495" t="s">
        <v>203</v>
      </c>
      <c r="NM495" t="s">
        <v>203</v>
      </c>
      <c r="NN495" s="6" t="s">
        <v>1801</v>
      </c>
      <c r="NV495" t="s">
        <v>1827</v>
      </c>
      <c r="NW495" t="s">
        <v>6</v>
      </c>
      <c r="NX495">
        <v>9.3000000000000007</v>
      </c>
      <c r="NY495" t="s">
        <v>1446</v>
      </c>
      <c r="NZ495">
        <v>4.7</v>
      </c>
      <c r="OC495">
        <v>6</v>
      </c>
      <c r="OT495" t="s">
        <v>1576</v>
      </c>
      <c r="OV495">
        <v>2010</v>
      </c>
      <c r="PA495" t="s">
        <v>1169</v>
      </c>
      <c r="PB495" s="58">
        <v>46108</v>
      </c>
    </row>
    <row r="496" spans="1:418" ht="15.75" thickBot="1">
      <c r="A496" t="s">
        <v>36</v>
      </c>
      <c r="B496" t="s">
        <v>1739</v>
      </c>
      <c r="C496" t="s">
        <v>1740</v>
      </c>
      <c r="D496" s="4" t="s">
        <v>245</v>
      </c>
      <c r="E496" t="s">
        <v>1806</v>
      </c>
      <c r="F496" s="4" t="s">
        <v>1804</v>
      </c>
      <c r="G496" t="s">
        <v>254</v>
      </c>
      <c r="H496" t="s">
        <v>30</v>
      </c>
      <c r="I496">
        <v>-23.748532000000001</v>
      </c>
      <c r="J496">
        <v>-62.056702000000001</v>
      </c>
      <c r="K496" s="87" t="s">
        <v>29</v>
      </c>
      <c r="AV496" t="s">
        <v>1766</v>
      </c>
      <c r="AW496" t="s">
        <v>234</v>
      </c>
      <c r="AX496" t="s">
        <v>234</v>
      </c>
      <c r="AY496" s="5">
        <v>5.5555555555555558E-3</v>
      </c>
      <c r="AZ496" t="s">
        <v>1803</v>
      </c>
      <c r="BA496">
        <v>2010</v>
      </c>
      <c r="BD496" t="s">
        <v>1759</v>
      </c>
      <c r="BE496" t="s">
        <v>1760</v>
      </c>
      <c r="BF496" t="s">
        <v>64</v>
      </c>
      <c r="BG496" t="s">
        <v>1779</v>
      </c>
      <c r="BH496" t="s">
        <v>1777</v>
      </c>
      <c r="BI496" t="s">
        <v>1782</v>
      </c>
      <c r="BJ496" t="s">
        <v>29</v>
      </c>
      <c r="BK496" t="s">
        <v>29</v>
      </c>
      <c r="EE496" t="s">
        <v>1774</v>
      </c>
      <c r="EF496" t="s">
        <v>29</v>
      </c>
      <c r="EG496" t="s">
        <v>29</v>
      </c>
      <c r="EH496" t="s">
        <v>29</v>
      </c>
      <c r="EI496" t="s">
        <v>1773</v>
      </c>
      <c r="EJ496" t="s">
        <v>29</v>
      </c>
      <c r="EK496" t="s">
        <v>29</v>
      </c>
      <c r="EL496" t="s">
        <v>29</v>
      </c>
      <c r="EM496" t="s">
        <v>1768</v>
      </c>
      <c r="EN496" t="s">
        <v>29</v>
      </c>
      <c r="EO496" t="s">
        <v>29</v>
      </c>
      <c r="EP496" t="s">
        <v>29</v>
      </c>
      <c r="EQ496" t="s">
        <v>1769</v>
      </c>
      <c r="ER496" t="s">
        <v>29</v>
      </c>
      <c r="ES496" t="s">
        <v>29</v>
      </c>
      <c r="ET496" t="s">
        <v>29</v>
      </c>
      <c r="EU496" t="s">
        <v>1770</v>
      </c>
      <c r="EV496" t="s">
        <v>29</v>
      </c>
      <c r="EW496" t="s">
        <v>29</v>
      </c>
      <c r="EX496" t="s">
        <v>29</v>
      </c>
      <c r="EY496" t="s">
        <v>1771</v>
      </c>
      <c r="EZ496" t="s">
        <v>29</v>
      </c>
      <c r="FA496" t="s">
        <v>29</v>
      </c>
      <c r="FB496" t="s">
        <v>29</v>
      </c>
      <c r="FC496" t="s">
        <v>1772</v>
      </c>
      <c r="FD496" t="s">
        <v>29</v>
      </c>
      <c r="FE496" t="s">
        <v>29</v>
      </c>
      <c r="FF496" t="s">
        <v>29</v>
      </c>
      <c r="GM496" t="s">
        <v>1775</v>
      </c>
      <c r="GN496" s="9" t="s">
        <v>29</v>
      </c>
      <c r="GO496" s="9" t="s">
        <v>29</v>
      </c>
      <c r="GP496" s="9" t="s">
        <v>29</v>
      </c>
      <c r="GQ496" s="9"/>
      <c r="GR496" s="9"/>
      <c r="GS496" s="9"/>
      <c r="GT496" s="9"/>
      <c r="GU496" s="9"/>
      <c r="GV496" s="9"/>
      <c r="GW496" s="9"/>
      <c r="GX496" s="9"/>
      <c r="GY496" s="9"/>
      <c r="GZ496" s="9"/>
      <c r="HA496" s="9"/>
      <c r="HB496" s="9"/>
      <c r="HC496" s="9"/>
      <c r="HD496" s="9"/>
      <c r="HE496" s="9"/>
      <c r="HF496" s="9"/>
      <c r="HG496" s="9"/>
      <c r="HH496" s="9"/>
      <c r="HI496" s="9"/>
      <c r="HJ496" s="9"/>
      <c r="HK496" s="9"/>
      <c r="HL496" s="9"/>
      <c r="HY496" s="58"/>
      <c r="HZ496" t="s">
        <v>1760</v>
      </c>
      <c r="IA496" t="s">
        <v>1795</v>
      </c>
      <c r="IW496" t="s">
        <v>1760</v>
      </c>
      <c r="IX496" s="84" t="s">
        <v>1792</v>
      </c>
      <c r="IY496" t="s">
        <v>1767</v>
      </c>
      <c r="IZ496" s="54" t="s">
        <v>1776</v>
      </c>
      <c r="JA496">
        <v>1</v>
      </c>
      <c r="JB496">
        <v>81</v>
      </c>
      <c r="MZ496" t="s">
        <v>1805</v>
      </c>
      <c r="NA496">
        <v>1963</v>
      </c>
      <c r="NB496" t="s">
        <v>1756</v>
      </c>
      <c r="NC496" t="s">
        <v>1745</v>
      </c>
      <c r="NH496" t="s">
        <v>1790</v>
      </c>
      <c r="NI496" t="s">
        <v>711</v>
      </c>
      <c r="NK496" t="s">
        <v>203</v>
      </c>
      <c r="NM496" t="s">
        <v>203</v>
      </c>
      <c r="NN496" s="6" t="s">
        <v>1801</v>
      </c>
      <c r="NW496" t="s">
        <v>6</v>
      </c>
      <c r="NX496">
        <v>8.9</v>
      </c>
      <c r="NY496" t="s">
        <v>1446</v>
      </c>
      <c r="NZ496">
        <v>5</v>
      </c>
      <c r="OC496">
        <v>8</v>
      </c>
      <c r="OT496" t="s">
        <v>1576</v>
      </c>
      <c r="OV496">
        <v>2010</v>
      </c>
      <c r="PA496" t="s">
        <v>1169</v>
      </c>
      <c r="PB496" s="58">
        <v>46108</v>
      </c>
    </row>
    <row r="497" spans="1:418" ht="15.75" thickBot="1">
      <c r="A497" t="s">
        <v>36</v>
      </c>
      <c r="B497" t="s">
        <v>1739</v>
      </c>
      <c r="C497" t="s">
        <v>1740</v>
      </c>
      <c r="D497" s="4" t="s">
        <v>245</v>
      </c>
      <c r="E497" t="s">
        <v>1806</v>
      </c>
      <c r="F497" s="4" t="s">
        <v>1804</v>
      </c>
      <c r="G497" t="s">
        <v>254</v>
      </c>
      <c r="H497" t="s">
        <v>30</v>
      </c>
      <c r="I497">
        <v>-23.748532000000001</v>
      </c>
      <c r="J497">
        <v>-62.056702000000001</v>
      </c>
      <c r="K497" s="87" t="s">
        <v>29</v>
      </c>
      <c r="AV497" t="s">
        <v>1766</v>
      </c>
      <c r="AW497" t="s">
        <v>234</v>
      </c>
      <c r="AX497">
        <v>3600</v>
      </c>
      <c r="AY497" s="5">
        <v>5.5555555555555558E-3</v>
      </c>
      <c r="AZ497" t="s">
        <v>1803</v>
      </c>
      <c r="BA497">
        <v>2010</v>
      </c>
      <c r="BD497" t="s">
        <v>1759</v>
      </c>
      <c r="BE497" t="s">
        <v>1762</v>
      </c>
      <c r="BF497" t="s">
        <v>57</v>
      </c>
      <c r="BG497" t="s">
        <v>1779</v>
      </c>
      <c r="BH497" t="s">
        <v>1777</v>
      </c>
      <c r="BI497" t="s">
        <v>29</v>
      </c>
      <c r="BJ497" t="s">
        <v>29</v>
      </c>
      <c r="BK497" t="s">
        <v>29</v>
      </c>
      <c r="EE497" t="s">
        <v>1774</v>
      </c>
      <c r="EF497" t="s">
        <v>29</v>
      </c>
      <c r="EG497" t="s">
        <v>29</v>
      </c>
      <c r="EH497" t="s">
        <v>29</v>
      </c>
      <c r="EI497" t="s">
        <v>1773</v>
      </c>
      <c r="EJ497" t="s">
        <v>29</v>
      </c>
      <c r="EK497" t="s">
        <v>29</v>
      </c>
      <c r="EL497" t="s">
        <v>29</v>
      </c>
      <c r="EM497" t="s">
        <v>1768</v>
      </c>
      <c r="EN497" t="s">
        <v>29</v>
      </c>
      <c r="EO497" t="s">
        <v>29</v>
      </c>
      <c r="EP497" t="s">
        <v>29</v>
      </c>
      <c r="EQ497" t="s">
        <v>1769</v>
      </c>
      <c r="ER497" t="s">
        <v>29</v>
      </c>
      <c r="ES497" t="s">
        <v>29</v>
      </c>
      <c r="ET497" t="s">
        <v>29</v>
      </c>
      <c r="EU497" t="s">
        <v>1770</v>
      </c>
      <c r="EV497" t="s">
        <v>29</v>
      </c>
      <c r="EW497" t="s">
        <v>29</v>
      </c>
      <c r="EX497" t="s">
        <v>29</v>
      </c>
      <c r="EY497" t="s">
        <v>1771</v>
      </c>
      <c r="EZ497" t="s">
        <v>29</v>
      </c>
      <c r="FA497" t="s">
        <v>29</v>
      </c>
      <c r="FB497" t="s">
        <v>29</v>
      </c>
      <c r="FC497" t="s">
        <v>1772</v>
      </c>
      <c r="FD497" t="s">
        <v>29</v>
      </c>
      <c r="FE497" t="s">
        <v>29</v>
      </c>
      <c r="FF497" t="s">
        <v>29</v>
      </c>
      <c r="FG497" s="9"/>
      <c r="FH497" s="9"/>
      <c r="FI497" s="9"/>
      <c r="FJ497" s="9"/>
      <c r="FK497" s="9"/>
      <c r="FL497" s="9"/>
      <c r="FM497" s="9"/>
      <c r="FN497" s="9"/>
      <c r="FO497" s="9"/>
      <c r="FP497" s="9"/>
      <c r="FQ497" s="9"/>
      <c r="FR497" s="9"/>
      <c r="FS497" s="9"/>
      <c r="FT497" s="9"/>
      <c r="FU497" s="9"/>
      <c r="FV497" s="9"/>
      <c r="FW497" s="9"/>
      <c r="FX497" s="9"/>
      <c r="FY497" s="9"/>
      <c r="FZ497" s="9"/>
      <c r="GA497" s="9"/>
      <c r="GB497" s="9"/>
      <c r="GC497" s="9"/>
      <c r="GD497" s="9"/>
      <c r="GE497" s="9"/>
      <c r="GF497" s="9"/>
      <c r="GG497" s="9"/>
      <c r="GH497" s="9"/>
      <c r="GI497" s="9"/>
      <c r="GJ497" s="9"/>
      <c r="GK497" s="9"/>
      <c r="GL497" s="9"/>
      <c r="GM497" s="9" t="s">
        <v>1775</v>
      </c>
      <c r="GN497" s="9" t="s">
        <v>29</v>
      </c>
      <c r="GO497" s="9" t="s">
        <v>29</v>
      </c>
      <c r="GP497" s="9" t="s">
        <v>29</v>
      </c>
      <c r="GQ497" s="9"/>
      <c r="GR497" s="9"/>
      <c r="GS497" s="9"/>
      <c r="GT497" s="9"/>
      <c r="GU497" s="9"/>
      <c r="GV497" s="9"/>
      <c r="GW497" s="9"/>
      <c r="GX497" s="9"/>
      <c r="GY497" s="9"/>
      <c r="GZ497" s="9"/>
      <c r="HA497" s="9"/>
      <c r="HB497" s="9"/>
      <c r="HC497" s="9"/>
      <c r="HD497" s="9"/>
      <c r="HE497" s="9"/>
      <c r="HF497" s="9"/>
      <c r="HG497" s="9"/>
      <c r="HH497" s="9"/>
      <c r="HI497" s="9"/>
      <c r="HJ497" s="9"/>
      <c r="HK497" s="9"/>
      <c r="HL497" s="9"/>
      <c r="HY497" s="58"/>
      <c r="HZ497" t="s">
        <v>1762</v>
      </c>
      <c r="IA497" t="s">
        <v>1795</v>
      </c>
      <c r="IW497" t="s">
        <v>1762</v>
      </c>
      <c r="IX497" s="84" t="s">
        <v>1792</v>
      </c>
      <c r="IY497" s="12" t="s">
        <v>1767</v>
      </c>
      <c r="IZ497" s="54" t="s">
        <v>1778</v>
      </c>
      <c r="JA497">
        <v>7.5</v>
      </c>
      <c r="JB497">
        <v>56</v>
      </c>
      <c r="MZ497" t="s">
        <v>1805</v>
      </c>
      <c r="NA497">
        <v>1963</v>
      </c>
      <c r="NB497" t="s">
        <v>1756</v>
      </c>
      <c r="NC497" t="s">
        <v>1745</v>
      </c>
      <c r="NH497" t="s">
        <v>1790</v>
      </c>
      <c r="NI497" t="s">
        <v>711</v>
      </c>
      <c r="NK497" t="s">
        <v>203</v>
      </c>
      <c r="NM497" t="s">
        <v>203</v>
      </c>
      <c r="NN497" s="6" t="s">
        <v>1801</v>
      </c>
      <c r="NW497" t="s">
        <v>6</v>
      </c>
      <c r="NX497">
        <v>10</v>
      </c>
      <c r="NY497" t="s">
        <v>1446</v>
      </c>
      <c r="NZ497">
        <v>6.2</v>
      </c>
      <c r="OC497">
        <v>7</v>
      </c>
      <c r="OT497" t="s">
        <v>1576</v>
      </c>
      <c r="OV497">
        <v>2010</v>
      </c>
      <c r="PA497" t="s">
        <v>1169</v>
      </c>
      <c r="PB497" s="58">
        <v>46108</v>
      </c>
    </row>
    <row r="498" spans="1:418" ht="15.75" thickBot="1">
      <c r="A498" t="s">
        <v>36</v>
      </c>
      <c r="B498" t="s">
        <v>1739</v>
      </c>
      <c r="C498" t="s">
        <v>1740</v>
      </c>
      <c r="D498" s="4" t="s">
        <v>245</v>
      </c>
      <c r="E498" t="s">
        <v>1806</v>
      </c>
      <c r="F498" s="4" t="s">
        <v>1804</v>
      </c>
      <c r="G498" t="s">
        <v>254</v>
      </c>
      <c r="H498" t="s">
        <v>30</v>
      </c>
      <c r="I498">
        <v>-23.748532000000001</v>
      </c>
      <c r="J498">
        <v>-62.056702000000001</v>
      </c>
      <c r="K498" s="87" t="s">
        <v>29</v>
      </c>
      <c r="AV498" t="s">
        <v>1766</v>
      </c>
      <c r="AW498" t="s">
        <v>234</v>
      </c>
      <c r="AX498">
        <v>3600</v>
      </c>
      <c r="AY498" s="5">
        <v>5.5555555555555558E-3</v>
      </c>
      <c r="AZ498" t="s">
        <v>1803</v>
      </c>
      <c r="BA498">
        <v>2010</v>
      </c>
      <c r="BD498" t="s">
        <v>1759</v>
      </c>
      <c r="BE498" t="s">
        <v>1764</v>
      </c>
      <c r="BF498" t="s">
        <v>48</v>
      </c>
      <c r="BG498" t="s">
        <v>1779</v>
      </c>
      <c r="BH498" t="s">
        <v>1781</v>
      </c>
      <c r="BI498" t="s">
        <v>29</v>
      </c>
      <c r="BJ498" t="s">
        <v>29</v>
      </c>
      <c r="BK498" t="s">
        <v>29</v>
      </c>
      <c r="EE498" t="s">
        <v>1774</v>
      </c>
      <c r="EF498" t="s">
        <v>29</v>
      </c>
      <c r="EG498" t="s">
        <v>29</v>
      </c>
      <c r="EH498" t="s">
        <v>29</v>
      </c>
      <c r="EI498" t="s">
        <v>1773</v>
      </c>
      <c r="EJ498" t="s">
        <v>29</v>
      </c>
      <c r="EK498" t="s">
        <v>29</v>
      </c>
      <c r="EL498" t="s">
        <v>29</v>
      </c>
      <c r="EM498" t="s">
        <v>1768</v>
      </c>
      <c r="EN498" t="s">
        <v>29</v>
      </c>
      <c r="EO498" t="s">
        <v>29</v>
      </c>
      <c r="EP498" t="s">
        <v>29</v>
      </c>
      <c r="EQ498" t="s">
        <v>1769</v>
      </c>
      <c r="ER498" t="s">
        <v>29</v>
      </c>
      <c r="ES498" t="s">
        <v>29</v>
      </c>
      <c r="ET498" t="s">
        <v>29</v>
      </c>
      <c r="EU498" t="s">
        <v>1770</v>
      </c>
      <c r="EV498" t="s">
        <v>29</v>
      </c>
      <c r="EW498" t="s">
        <v>29</v>
      </c>
      <c r="EX498" t="s">
        <v>29</v>
      </c>
      <c r="EY498" t="s">
        <v>1771</v>
      </c>
      <c r="EZ498" t="s">
        <v>29</v>
      </c>
      <c r="FA498" t="s">
        <v>29</v>
      </c>
      <c r="FB498" t="s">
        <v>29</v>
      </c>
      <c r="FC498" t="s">
        <v>1772</v>
      </c>
      <c r="FD498" t="s">
        <v>29</v>
      </c>
      <c r="FE498" t="s">
        <v>29</v>
      </c>
      <c r="FF498" t="s">
        <v>29</v>
      </c>
      <c r="FG498" s="9"/>
      <c r="FH498" s="9"/>
      <c r="FI498" s="9"/>
      <c r="FJ498" s="9"/>
      <c r="FK498" s="9"/>
      <c r="FL498" s="9"/>
      <c r="FM498" s="9"/>
      <c r="FN498" s="9"/>
      <c r="FO498" s="9"/>
      <c r="FP498" s="9"/>
      <c r="FQ498" s="9"/>
      <c r="FR498" s="9"/>
      <c r="FS498" s="9"/>
      <c r="FT498" s="9"/>
      <c r="FU498" s="9"/>
      <c r="FV498" s="9"/>
      <c r="FW498" s="9"/>
      <c r="FX498" s="9"/>
      <c r="FY498" s="9"/>
      <c r="FZ498" s="9"/>
      <c r="GA498" s="9"/>
      <c r="GB498" s="9"/>
      <c r="GC498" s="9"/>
      <c r="GD498" s="9"/>
      <c r="GE498" s="9"/>
      <c r="GF498" s="9"/>
      <c r="GG498" s="9"/>
      <c r="GH498" s="9"/>
      <c r="GI498" s="9"/>
      <c r="GJ498" s="9"/>
      <c r="GK498" s="9"/>
      <c r="GL498" s="9"/>
      <c r="GM498" s="9" t="s">
        <v>1775</v>
      </c>
      <c r="GN498" s="9" t="s">
        <v>29</v>
      </c>
      <c r="GO498" s="9" t="s">
        <v>29</v>
      </c>
      <c r="GP498" s="9" t="s">
        <v>29</v>
      </c>
      <c r="GQ498" s="9"/>
      <c r="GR498" s="9"/>
      <c r="GS498" s="9"/>
      <c r="GT498" s="9"/>
      <c r="GU498" s="9"/>
      <c r="GV498" s="9"/>
      <c r="GW498" s="9"/>
      <c r="GX498" s="9"/>
      <c r="GY498" s="9"/>
      <c r="GZ498" s="9"/>
      <c r="HA498" s="9"/>
      <c r="HB498" s="9"/>
      <c r="HC498" s="9"/>
      <c r="HD498" s="9"/>
      <c r="HE498" s="9"/>
      <c r="HF498" s="9"/>
      <c r="HG498" s="9"/>
      <c r="HH498" s="9"/>
      <c r="HI498" s="9"/>
      <c r="HJ498" s="9"/>
      <c r="HK498" s="9"/>
      <c r="HL498" s="9"/>
      <c r="HY498" s="58"/>
      <c r="HZ498" t="s">
        <v>1764</v>
      </c>
      <c r="IA498" t="s">
        <v>1794</v>
      </c>
      <c r="IW498" t="s">
        <v>1764</v>
      </c>
      <c r="IX498" s="84" t="s">
        <v>1792</v>
      </c>
      <c r="IY498" s="12" t="s">
        <v>1767</v>
      </c>
      <c r="IZ498" s="54" t="s">
        <v>1778</v>
      </c>
      <c r="JA498">
        <v>7.5</v>
      </c>
      <c r="JB498">
        <v>37</v>
      </c>
      <c r="MZ498" t="s">
        <v>1805</v>
      </c>
      <c r="NA498">
        <v>1963</v>
      </c>
      <c r="NB498" t="s">
        <v>1756</v>
      </c>
      <c r="NC498" t="s">
        <v>1745</v>
      </c>
      <c r="NH498" t="s">
        <v>1790</v>
      </c>
      <c r="NI498" t="s">
        <v>711</v>
      </c>
      <c r="NK498" t="s">
        <v>203</v>
      </c>
      <c r="NM498" t="s">
        <v>203</v>
      </c>
      <c r="NN498" s="6" t="s">
        <v>1801</v>
      </c>
      <c r="NW498" t="s">
        <v>6</v>
      </c>
      <c r="NX498">
        <v>8.6999999999999993</v>
      </c>
      <c r="NY498" t="s">
        <v>1446</v>
      </c>
      <c r="NZ498">
        <v>6.6</v>
      </c>
      <c r="OC498">
        <v>5</v>
      </c>
      <c r="OT498" t="s">
        <v>1576</v>
      </c>
      <c r="OV498">
        <v>2010</v>
      </c>
      <c r="PA498" t="s">
        <v>1169</v>
      </c>
      <c r="PB498" s="58">
        <v>46108</v>
      </c>
    </row>
    <row r="499" spans="1:418" ht="15.75" thickBot="1">
      <c r="A499" t="s">
        <v>36</v>
      </c>
      <c r="B499" t="s">
        <v>1739</v>
      </c>
      <c r="C499" t="s">
        <v>1740</v>
      </c>
      <c r="D499" s="4" t="s">
        <v>245</v>
      </c>
      <c r="E499" t="s">
        <v>1806</v>
      </c>
      <c r="F499" s="4" t="s">
        <v>1804</v>
      </c>
      <c r="G499" t="s">
        <v>254</v>
      </c>
      <c r="H499" t="s">
        <v>30</v>
      </c>
      <c r="I499">
        <v>-23.748532000000001</v>
      </c>
      <c r="J499">
        <v>-62.056702000000001</v>
      </c>
      <c r="K499" s="87" t="s">
        <v>29</v>
      </c>
      <c r="AV499" t="s">
        <v>1766</v>
      </c>
      <c r="AW499" t="s">
        <v>234</v>
      </c>
      <c r="AX499" t="s">
        <v>234</v>
      </c>
      <c r="AY499" s="5">
        <v>5.5555555555555558E-3</v>
      </c>
      <c r="AZ499" t="s">
        <v>1803</v>
      </c>
      <c r="BA499">
        <v>2010</v>
      </c>
      <c r="BD499" t="s">
        <v>1747</v>
      </c>
      <c r="BE499" t="s">
        <v>1748</v>
      </c>
      <c r="BF499" t="s">
        <v>24</v>
      </c>
      <c r="BG499" t="s">
        <v>1779</v>
      </c>
      <c r="BH499" t="s">
        <v>1781</v>
      </c>
      <c r="BI499" t="s">
        <v>29</v>
      </c>
      <c r="BJ499" t="s">
        <v>29</v>
      </c>
      <c r="BK499" t="s">
        <v>29</v>
      </c>
      <c r="GM499" t="s">
        <v>1775</v>
      </c>
      <c r="GN499" s="9" t="s">
        <v>29</v>
      </c>
      <c r="GO499" s="9" t="s">
        <v>29</v>
      </c>
      <c r="GP499" s="9" t="s">
        <v>29</v>
      </c>
      <c r="HZ499" t="s">
        <v>1748</v>
      </c>
      <c r="IA499" t="s">
        <v>1794</v>
      </c>
      <c r="IW499" t="s">
        <v>1748</v>
      </c>
      <c r="IX499" s="54" t="s">
        <v>1793</v>
      </c>
      <c r="IY499" s="54" t="s">
        <v>1793</v>
      </c>
      <c r="IZ499" s="54" t="s">
        <v>1780</v>
      </c>
      <c r="JA499">
        <v>1</v>
      </c>
      <c r="JB499">
        <v>6</v>
      </c>
      <c r="MZ499" t="s">
        <v>1805</v>
      </c>
      <c r="NA499">
        <v>1963</v>
      </c>
      <c r="NB499" t="s">
        <v>1756</v>
      </c>
      <c r="NC499" t="s">
        <v>1745</v>
      </c>
      <c r="NH499" t="s">
        <v>1790</v>
      </c>
      <c r="NI499" t="s">
        <v>711</v>
      </c>
      <c r="NK499" t="s">
        <v>203</v>
      </c>
      <c r="NM499" t="s">
        <v>203</v>
      </c>
      <c r="NN499" s="6" t="s">
        <v>1801</v>
      </c>
      <c r="NV499" t="s">
        <v>1828</v>
      </c>
      <c r="NW499" t="s">
        <v>6</v>
      </c>
      <c r="NX499">
        <v>4.5999999999999996</v>
      </c>
      <c r="NY499" t="s">
        <v>1446</v>
      </c>
      <c r="NZ499">
        <v>3.4</v>
      </c>
      <c r="OC499">
        <v>7</v>
      </c>
      <c r="OT499" t="s">
        <v>1576</v>
      </c>
      <c r="OV499">
        <v>2010</v>
      </c>
      <c r="PA499" t="s">
        <v>1169</v>
      </c>
      <c r="PB499" s="58">
        <v>46108</v>
      </c>
    </row>
    <row r="500" spans="1:418" ht="15.75" thickBot="1">
      <c r="A500" t="s">
        <v>36</v>
      </c>
      <c r="B500" t="s">
        <v>1739</v>
      </c>
      <c r="C500" t="s">
        <v>1740</v>
      </c>
      <c r="D500" s="4" t="s">
        <v>245</v>
      </c>
      <c r="E500" t="s">
        <v>1806</v>
      </c>
      <c r="F500" s="4" t="s">
        <v>1804</v>
      </c>
      <c r="G500" t="s">
        <v>254</v>
      </c>
      <c r="H500" t="s">
        <v>30</v>
      </c>
      <c r="I500">
        <v>-23.748532000000001</v>
      </c>
      <c r="J500">
        <v>-62.056702000000001</v>
      </c>
      <c r="K500" s="87" t="s">
        <v>29</v>
      </c>
      <c r="AV500" t="s">
        <v>1766</v>
      </c>
      <c r="AW500" t="s">
        <v>234</v>
      </c>
      <c r="AX500">
        <v>1000</v>
      </c>
      <c r="AY500" s="5">
        <v>5.5555555555555558E-3</v>
      </c>
      <c r="AZ500" t="s">
        <v>1803</v>
      </c>
      <c r="BA500">
        <v>2010</v>
      </c>
      <c r="BD500" t="s">
        <v>1825</v>
      </c>
      <c r="BE500" t="s">
        <v>1742</v>
      </c>
      <c r="BF500" t="s">
        <v>39</v>
      </c>
      <c r="BG500" t="s">
        <v>1743</v>
      </c>
      <c r="EE500" t="s">
        <v>1774</v>
      </c>
      <c r="EF500" t="s">
        <v>29</v>
      </c>
      <c r="EG500" t="s">
        <v>29</v>
      </c>
      <c r="EH500" t="s">
        <v>29</v>
      </c>
      <c r="EI500" t="s">
        <v>1773</v>
      </c>
      <c r="EJ500" t="s">
        <v>29</v>
      </c>
      <c r="EK500" t="s">
        <v>29</v>
      </c>
      <c r="EL500" t="s">
        <v>29</v>
      </c>
      <c r="EM500" t="s">
        <v>1768</v>
      </c>
      <c r="EN500" t="s">
        <v>29</v>
      </c>
      <c r="EO500" t="s">
        <v>29</v>
      </c>
      <c r="EP500" t="s">
        <v>29</v>
      </c>
      <c r="EQ500" t="s">
        <v>1769</v>
      </c>
      <c r="ER500" t="s">
        <v>29</v>
      </c>
      <c r="ES500" t="s">
        <v>29</v>
      </c>
      <c r="ET500" t="s">
        <v>29</v>
      </c>
      <c r="EU500" t="s">
        <v>1770</v>
      </c>
      <c r="EV500" t="s">
        <v>29</v>
      </c>
      <c r="EW500" t="s">
        <v>29</v>
      </c>
      <c r="EX500" t="s">
        <v>29</v>
      </c>
      <c r="EY500" t="s">
        <v>1771</v>
      </c>
      <c r="EZ500" t="s">
        <v>29</v>
      </c>
      <c r="FA500" t="s">
        <v>29</v>
      </c>
      <c r="FB500" t="s">
        <v>29</v>
      </c>
      <c r="FC500" t="s">
        <v>1772</v>
      </c>
      <c r="FD500" t="s">
        <v>29</v>
      </c>
      <c r="FE500" t="s">
        <v>29</v>
      </c>
      <c r="FF500" t="s">
        <v>29</v>
      </c>
      <c r="HZ500" t="s">
        <v>1742</v>
      </c>
      <c r="IW500" t="s">
        <v>1742</v>
      </c>
      <c r="IX500" t="s">
        <v>1791</v>
      </c>
      <c r="IY500" t="s">
        <v>1791</v>
      </c>
      <c r="IZ500" t="s">
        <v>1791</v>
      </c>
      <c r="JA500">
        <v>5</v>
      </c>
      <c r="JB500">
        <v>70</v>
      </c>
      <c r="MZ500" t="s">
        <v>1805</v>
      </c>
      <c r="NA500">
        <v>1963</v>
      </c>
      <c r="NB500" t="s">
        <v>1783</v>
      </c>
      <c r="NC500" t="s">
        <v>1745</v>
      </c>
      <c r="NH500" t="s">
        <v>1786</v>
      </c>
      <c r="NI500" t="s">
        <v>711</v>
      </c>
      <c r="NK500" t="s">
        <v>203</v>
      </c>
      <c r="NM500" t="s">
        <v>203</v>
      </c>
      <c r="NN500" s="6" t="s">
        <v>1801</v>
      </c>
      <c r="NV500" t="s">
        <v>1827</v>
      </c>
      <c r="NW500" t="s">
        <v>6</v>
      </c>
      <c r="NX500">
        <v>12.3</v>
      </c>
      <c r="NY500" t="s">
        <v>1446</v>
      </c>
      <c r="NZ500">
        <v>5.0999999999999996</v>
      </c>
      <c r="OC500">
        <v>6</v>
      </c>
      <c r="OT500" t="s">
        <v>1576</v>
      </c>
      <c r="OV500">
        <v>2010</v>
      </c>
      <c r="PA500" t="s">
        <v>1169</v>
      </c>
      <c r="PB500" s="58">
        <v>46108</v>
      </c>
    </row>
    <row r="501" spans="1:418" ht="15.75" thickBot="1">
      <c r="A501" t="s">
        <v>36</v>
      </c>
      <c r="B501" t="s">
        <v>1739</v>
      </c>
      <c r="C501" t="s">
        <v>1740</v>
      </c>
      <c r="D501" s="4" t="s">
        <v>245</v>
      </c>
      <c r="E501" t="s">
        <v>1806</v>
      </c>
      <c r="F501" s="4" t="s">
        <v>1804</v>
      </c>
      <c r="G501" t="s">
        <v>254</v>
      </c>
      <c r="H501" t="s">
        <v>30</v>
      </c>
      <c r="I501">
        <v>-23.748532000000001</v>
      </c>
      <c r="J501">
        <v>-62.056702000000001</v>
      </c>
      <c r="K501" s="87" t="s">
        <v>29</v>
      </c>
      <c r="AV501" t="s">
        <v>1766</v>
      </c>
      <c r="AW501" t="s">
        <v>234</v>
      </c>
      <c r="AX501" t="s">
        <v>234</v>
      </c>
      <c r="AY501" s="5">
        <v>5.5555555555555558E-3</v>
      </c>
      <c r="AZ501" t="s">
        <v>1803</v>
      </c>
      <c r="BA501">
        <v>2010</v>
      </c>
      <c r="BD501" t="s">
        <v>1759</v>
      </c>
      <c r="BE501" t="s">
        <v>1760</v>
      </c>
      <c r="BF501" t="s">
        <v>64</v>
      </c>
      <c r="BG501" t="s">
        <v>1779</v>
      </c>
      <c r="BH501" t="s">
        <v>1777</v>
      </c>
      <c r="BI501" t="s">
        <v>1782</v>
      </c>
      <c r="BJ501" t="s">
        <v>29</v>
      </c>
      <c r="BK501" t="s">
        <v>29</v>
      </c>
      <c r="EE501" t="s">
        <v>1774</v>
      </c>
      <c r="EF501" t="s">
        <v>29</v>
      </c>
      <c r="EG501" t="s">
        <v>29</v>
      </c>
      <c r="EH501" t="s">
        <v>29</v>
      </c>
      <c r="EI501" t="s">
        <v>1773</v>
      </c>
      <c r="EJ501" t="s">
        <v>29</v>
      </c>
      <c r="EK501" t="s">
        <v>29</v>
      </c>
      <c r="EL501" t="s">
        <v>29</v>
      </c>
      <c r="EM501" t="s">
        <v>1768</v>
      </c>
      <c r="EN501" t="s">
        <v>29</v>
      </c>
      <c r="EO501" t="s">
        <v>29</v>
      </c>
      <c r="EP501" t="s">
        <v>29</v>
      </c>
      <c r="EQ501" t="s">
        <v>1769</v>
      </c>
      <c r="ER501" t="s">
        <v>29</v>
      </c>
      <c r="ES501" t="s">
        <v>29</v>
      </c>
      <c r="ET501" t="s">
        <v>29</v>
      </c>
      <c r="EU501" t="s">
        <v>1770</v>
      </c>
      <c r="EV501" t="s">
        <v>29</v>
      </c>
      <c r="EW501" t="s">
        <v>29</v>
      </c>
      <c r="EX501" t="s">
        <v>29</v>
      </c>
      <c r="EY501" t="s">
        <v>1771</v>
      </c>
      <c r="EZ501" t="s">
        <v>29</v>
      </c>
      <c r="FA501" t="s">
        <v>29</v>
      </c>
      <c r="FB501" t="s">
        <v>29</v>
      </c>
      <c r="FC501" t="s">
        <v>1772</v>
      </c>
      <c r="FD501" t="s">
        <v>29</v>
      </c>
      <c r="FE501" t="s">
        <v>29</v>
      </c>
      <c r="FF501" t="s">
        <v>29</v>
      </c>
      <c r="GM501" t="s">
        <v>1775</v>
      </c>
      <c r="GN501" s="9" t="s">
        <v>29</v>
      </c>
      <c r="GO501" s="9" t="s">
        <v>29</v>
      </c>
      <c r="GP501" s="9" t="s">
        <v>29</v>
      </c>
      <c r="GQ501" s="9"/>
      <c r="GR501" s="9"/>
      <c r="GS501" s="9"/>
      <c r="GT501" s="9"/>
      <c r="GU501" s="9"/>
      <c r="GV501" s="9"/>
      <c r="GW501" s="9"/>
      <c r="GX501" s="9"/>
      <c r="GY501" s="9"/>
      <c r="GZ501" s="9"/>
      <c r="HA501" s="9"/>
      <c r="HB501" s="9"/>
      <c r="HC501" s="9"/>
      <c r="HD501" s="9"/>
      <c r="HE501" s="9"/>
      <c r="HF501" s="9"/>
      <c r="HG501" s="9"/>
      <c r="HH501" s="9"/>
      <c r="HI501" s="9"/>
      <c r="HJ501" s="9"/>
      <c r="HK501" s="9"/>
      <c r="HL501" s="9"/>
      <c r="HY501" s="58"/>
      <c r="HZ501" t="s">
        <v>1760</v>
      </c>
      <c r="IA501" t="s">
        <v>1795</v>
      </c>
      <c r="IW501" t="s">
        <v>1760</v>
      </c>
      <c r="IX501" s="84" t="s">
        <v>1792</v>
      </c>
      <c r="IY501" t="s">
        <v>1767</v>
      </c>
      <c r="IZ501" s="54" t="s">
        <v>1776</v>
      </c>
      <c r="JA501">
        <v>1</v>
      </c>
      <c r="JB501">
        <v>81</v>
      </c>
      <c r="MZ501" t="s">
        <v>1805</v>
      </c>
      <c r="NA501">
        <v>1963</v>
      </c>
      <c r="NB501" t="s">
        <v>1783</v>
      </c>
      <c r="NC501" t="s">
        <v>1745</v>
      </c>
      <c r="NH501" t="s">
        <v>1786</v>
      </c>
      <c r="NI501" t="s">
        <v>711</v>
      </c>
      <c r="NK501" t="s">
        <v>203</v>
      </c>
      <c r="NM501" t="s">
        <v>203</v>
      </c>
      <c r="NN501" s="6" t="s">
        <v>1801</v>
      </c>
      <c r="NW501" t="s">
        <v>6</v>
      </c>
      <c r="NX501">
        <v>12.3</v>
      </c>
      <c r="NY501" t="s">
        <v>1446</v>
      </c>
      <c r="NZ501">
        <v>11.4</v>
      </c>
      <c r="OC501">
        <v>8</v>
      </c>
      <c r="OT501" t="s">
        <v>1576</v>
      </c>
      <c r="OV501">
        <v>2010</v>
      </c>
      <c r="PA501" t="s">
        <v>1169</v>
      </c>
      <c r="PB501" s="58">
        <v>46108</v>
      </c>
    </row>
    <row r="502" spans="1:418" ht="15.75" thickBot="1">
      <c r="A502" t="s">
        <v>36</v>
      </c>
      <c r="B502" t="s">
        <v>1739</v>
      </c>
      <c r="C502" t="s">
        <v>1740</v>
      </c>
      <c r="D502" s="4" t="s">
        <v>245</v>
      </c>
      <c r="E502" t="s">
        <v>1806</v>
      </c>
      <c r="F502" s="4" t="s">
        <v>1804</v>
      </c>
      <c r="G502" t="s">
        <v>254</v>
      </c>
      <c r="H502" t="s">
        <v>30</v>
      </c>
      <c r="I502">
        <v>-23.748532000000001</v>
      </c>
      <c r="J502">
        <v>-62.056702000000001</v>
      </c>
      <c r="K502" s="87" t="s">
        <v>29</v>
      </c>
      <c r="AV502" t="s">
        <v>1766</v>
      </c>
      <c r="AW502" t="s">
        <v>234</v>
      </c>
      <c r="AX502">
        <v>3600</v>
      </c>
      <c r="AY502" s="5">
        <v>5.5555555555555558E-3</v>
      </c>
      <c r="AZ502" t="s">
        <v>1803</v>
      </c>
      <c r="BA502">
        <v>2010</v>
      </c>
      <c r="BD502" t="s">
        <v>1759</v>
      </c>
      <c r="BE502" t="s">
        <v>1762</v>
      </c>
      <c r="BF502" t="s">
        <v>57</v>
      </c>
      <c r="BG502" t="s">
        <v>1779</v>
      </c>
      <c r="BH502" t="s">
        <v>1777</v>
      </c>
      <c r="BI502" t="s">
        <v>29</v>
      </c>
      <c r="BJ502" t="s">
        <v>29</v>
      </c>
      <c r="BK502" t="s">
        <v>29</v>
      </c>
      <c r="EE502" t="s">
        <v>1774</v>
      </c>
      <c r="EF502" t="s">
        <v>29</v>
      </c>
      <c r="EG502" t="s">
        <v>29</v>
      </c>
      <c r="EH502" t="s">
        <v>29</v>
      </c>
      <c r="EI502" t="s">
        <v>1773</v>
      </c>
      <c r="EJ502" t="s">
        <v>29</v>
      </c>
      <c r="EK502" t="s">
        <v>29</v>
      </c>
      <c r="EL502" t="s">
        <v>29</v>
      </c>
      <c r="EM502" t="s">
        <v>1768</v>
      </c>
      <c r="EN502" t="s">
        <v>29</v>
      </c>
      <c r="EO502" t="s">
        <v>29</v>
      </c>
      <c r="EP502" t="s">
        <v>29</v>
      </c>
      <c r="EQ502" t="s">
        <v>1769</v>
      </c>
      <c r="ER502" t="s">
        <v>29</v>
      </c>
      <c r="ES502" t="s">
        <v>29</v>
      </c>
      <c r="ET502" t="s">
        <v>29</v>
      </c>
      <c r="EU502" t="s">
        <v>1770</v>
      </c>
      <c r="EV502" t="s">
        <v>29</v>
      </c>
      <c r="EW502" t="s">
        <v>29</v>
      </c>
      <c r="EX502" t="s">
        <v>29</v>
      </c>
      <c r="EY502" t="s">
        <v>1771</v>
      </c>
      <c r="EZ502" t="s">
        <v>29</v>
      </c>
      <c r="FA502" t="s">
        <v>29</v>
      </c>
      <c r="FB502" t="s">
        <v>29</v>
      </c>
      <c r="FC502" t="s">
        <v>1772</v>
      </c>
      <c r="FD502" t="s">
        <v>29</v>
      </c>
      <c r="FE502" t="s">
        <v>29</v>
      </c>
      <c r="FF502" t="s">
        <v>29</v>
      </c>
      <c r="FG502" s="9"/>
      <c r="FH502" s="9"/>
      <c r="FI502" s="9"/>
      <c r="FJ502" s="9"/>
      <c r="FK502" s="9"/>
      <c r="FL502" s="9"/>
      <c r="FM502" s="9"/>
      <c r="FN502" s="9"/>
      <c r="FO502" s="9"/>
      <c r="FP502" s="9"/>
      <c r="FQ502" s="9"/>
      <c r="FR502" s="9"/>
      <c r="FS502" s="9"/>
      <c r="FT502" s="9"/>
      <c r="FU502" s="9"/>
      <c r="FV502" s="9"/>
      <c r="FW502" s="9"/>
      <c r="FX502" s="9"/>
      <c r="FY502" s="9"/>
      <c r="FZ502" s="9"/>
      <c r="GA502" s="9"/>
      <c r="GB502" s="9"/>
      <c r="GC502" s="9"/>
      <c r="GD502" s="9"/>
      <c r="GE502" s="9"/>
      <c r="GF502" s="9"/>
      <c r="GG502" s="9"/>
      <c r="GH502" s="9"/>
      <c r="GI502" s="9"/>
      <c r="GJ502" s="9"/>
      <c r="GK502" s="9"/>
      <c r="GL502" s="9"/>
      <c r="GM502" s="9" t="s">
        <v>1775</v>
      </c>
      <c r="GN502" s="9" t="s">
        <v>29</v>
      </c>
      <c r="GO502" s="9" t="s">
        <v>29</v>
      </c>
      <c r="GP502" s="9" t="s">
        <v>29</v>
      </c>
      <c r="GQ502" s="9"/>
      <c r="GR502" s="9"/>
      <c r="GS502" s="9"/>
      <c r="GT502" s="9"/>
      <c r="GU502" s="9"/>
      <c r="GV502" s="9"/>
      <c r="GW502" s="9"/>
      <c r="GX502" s="9"/>
      <c r="GY502" s="9"/>
      <c r="GZ502" s="9"/>
      <c r="HA502" s="9"/>
      <c r="HB502" s="9"/>
      <c r="HC502" s="9"/>
      <c r="HD502" s="9"/>
      <c r="HE502" s="9"/>
      <c r="HF502" s="9"/>
      <c r="HG502" s="9"/>
      <c r="HH502" s="9"/>
      <c r="HI502" s="9"/>
      <c r="HJ502" s="9"/>
      <c r="HK502" s="9"/>
      <c r="HL502" s="9"/>
      <c r="HY502" s="58"/>
      <c r="HZ502" t="s">
        <v>1762</v>
      </c>
      <c r="IA502" t="s">
        <v>1795</v>
      </c>
      <c r="IW502" t="s">
        <v>1762</v>
      </c>
      <c r="IX502" s="84" t="s">
        <v>1792</v>
      </c>
      <c r="IY502" s="12" t="s">
        <v>1767</v>
      </c>
      <c r="IZ502" s="54" t="s">
        <v>1778</v>
      </c>
      <c r="JA502">
        <v>7.5</v>
      </c>
      <c r="JB502">
        <v>56</v>
      </c>
      <c r="MZ502" t="s">
        <v>1805</v>
      </c>
      <c r="NA502">
        <v>1963</v>
      </c>
      <c r="NB502" t="s">
        <v>1783</v>
      </c>
      <c r="NC502" t="s">
        <v>1745</v>
      </c>
      <c r="NH502" t="s">
        <v>1786</v>
      </c>
      <c r="NI502" t="s">
        <v>711</v>
      </c>
      <c r="NK502" t="s">
        <v>203</v>
      </c>
      <c r="NM502" t="s">
        <v>203</v>
      </c>
      <c r="NN502" s="6" t="s">
        <v>1801</v>
      </c>
      <c r="NW502" t="s">
        <v>6</v>
      </c>
      <c r="NX502">
        <v>7.8</v>
      </c>
      <c r="NY502" t="s">
        <v>1446</v>
      </c>
      <c r="NZ502">
        <v>5.0999999999999996</v>
      </c>
      <c r="OC502">
        <v>7</v>
      </c>
      <c r="OT502" t="s">
        <v>1576</v>
      </c>
      <c r="OV502">
        <v>2010</v>
      </c>
      <c r="PA502" t="s">
        <v>1169</v>
      </c>
      <c r="PB502" s="58">
        <v>46108</v>
      </c>
    </row>
    <row r="503" spans="1:418" ht="15.75" thickBot="1">
      <c r="A503" t="s">
        <v>36</v>
      </c>
      <c r="B503" t="s">
        <v>1739</v>
      </c>
      <c r="C503" t="s">
        <v>1740</v>
      </c>
      <c r="D503" s="4" t="s">
        <v>245</v>
      </c>
      <c r="E503" t="s">
        <v>1806</v>
      </c>
      <c r="F503" s="4" t="s">
        <v>1804</v>
      </c>
      <c r="G503" t="s">
        <v>254</v>
      </c>
      <c r="H503" t="s">
        <v>30</v>
      </c>
      <c r="I503">
        <v>-23.748532000000001</v>
      </c>
      <c r="J503">
        <v>-62.056702000000001</v>
      </c>
      <c r="K503" s="87" t="s">
        <v>29</v>
      </c>
      <c r="AV503" t="s">
        <v>1766</v>
      </c>
      <c r="AW503" t="s">
        <v>234</v>
      </c>
      <c r="AX503">
        <v>3600</v>
      </c>
      <c r="AY503" s="5">
        <v>5.5555555555555558E-3</v>
      </c>
      <c r="AZ503" t="s">
        <v>1803</v>
      </c>
      <c r="BA503">
        <v>2010</v>
      </c>
      <c r="BD503" t="s">
        <v>1759</v>
      </c>
      <c r="BE503" t="s">
        <v>1764</v>
      </c>
      <c r="BF503" t="s">
        <v>48</v>
      </c>
      <c r="BG503" t="s">
        <v>1779</v>
      </c>
      <c r="BH503" t="s">
        <v>1781</v>
      </c>
      <c r="BI503" t="s">
        <v>29</v>
      </c>
      <c r="BJ503" t="s">
        <v>29</v>
      </c>
      <c r="BK503" t="s">
        <v>29</v>
      </c>
      <c r="EE503" t="s">
        <v>1774</v>
      </c>
      <c r="EF503" t="s">
        <v>29</v>
      </c>
      <c r="EG503" t="s">
        <v>29</v>
      </c>
      <c r="EH503" t="s">
        <v>29</v>
      </c>
      <c r="EI503" t="s">
        <v>1773</v>
      </c>
      <c r="EJ503" t="s">
        <v>29</v>
      </c>
      <c r="EK503" t="s">
        <v>29</v>
      </c>
      <c r="EL503" t="s">
        <v>29</v>
      </c>
      <c r="EM503" t="s">
        <v>1768</v>
      </c>
      <c r="EN503" t="s">
        <v>29</v>
      </c>
      <c r="EO503" t="s">
        <v>29</v>
      </c>
      <c r="EP503" t="s">
        <v>29</v>
      </c>
      <c r="EQ503" t="s">
        <v>1769</v>
      </c>
      <c r="ER503" t="s">
        <v>29</v>
      </c>
      <c r="ES503" t="s">
        <v>29</v>
      </c>
      <c r="ET503" t="s">
        <v>29</v>
      </c>
      <c r="EU503" t="s">
        <v>1770</v>
      </c>
      <c r="EV503" t="s">
        <v>29</v>
      </c>
      <c r="EW503" t="s">
        <v>29</v>
      </c>
      <c r="EX503" t="s">
        <v>29</v>
      </c>
      <c r="EY503" t="s">
        <v>1771</v>
      </c>
      <c r="EZ503" t="s">
        <v>29</v>
      </c>
      <c r="FA503" t="s">
        <v>29</v>
      </c>
      <c r="FB503" t="s">
        <v>29</v>
      </c>
      <c r="FC503" t="s">
        <v>1772</v>
      </c>
      <c r="FD503" t="s">
        <v>29</v>
      </c>
      <c r="FE503" t="s">
        <v>29</v>
      </c>
      <c r="FF503" t="s">
        <v>29</v>
      </c>
      <c r="FG503" s="9"/>
      <c r="FH503" s="9"/>
      <c r="FI503" s="9"/>
      <c r="FJ503" s="9"/>
      <c r="FK503" s="9"/>
      <c r="FL503" s="9"/>
      <c r="FM503" s="9"/>
      <c r="FN503" s="9"/>
      <c r="FO503" s="9"/>
      <c r="FP503" s="9"/>
      <c r="FQ503" s="9"/>
      <c r="FR503" s="9"/>
      <c r="FS503" s="9"/>
      <c r="FT503" s="9"/>
      <c r="FU503" s="9"/>
      <c r="FV503" s="9"/>
      <c r="FW503" s="9"/>
      <c r="FX503" s="9"/>
      <c r="FY503" s="9"/>
      <c r="FZ503" s="9"/>
      <c r="GA503" s="9"/>
      <c r="GB503" s="9"/>
      <c r="GC503" s="9"/>
      <c r="GD503" s="9"/>
      <c r="GE503" s="9"/>
      <c r="GF503" s="9"/>
      <c r="GG503" s="9"/>
      <c r="GH503" s="9"/>
      <c r="GI503" s="9"/>
      <c r="GJ503" s="9"/>
      <c r="GK503" s="9"/>
      <c r="GL503" s="9"/>
      <c r="GM503" s="9" t="s">
        <v>1775</v>
      </c>
      <c r="GN503" s="9" t="s">
        <v>29</v>
      </c>
      <c r="GO503" s="9" t="s">
        <v>29</v>
      </c>
      <c r="GP503" s="9" t="s">
        <v>29</v>
      </c>
      <c r="GQ503" s="9"/>
      <c r="GR503" s="9"/>
      <c r="GS503" s="9"/>
      <c r="GT503" s="9"/>
      <c r="GU503" s="9"/>
      <c r="GV503" s="9"/>
      <c r="GW503" s="9"/>
      <c r="GX503" s="9"/>
      <c r="GY503" s="9"/>
      <c r="GZ503" s="9"/>
      <c r="HA503" s="9"/>
      <c r="HB503" s="9"/>
      <c r="HC503" s="9"/>
      <c r="HD503" s="9"/>
      <c r="HE503" s="9"/>
      <c r="HF503" s="9"/>
      <c r="HG503" s="9"/>
      <c r="HH503" s="9"/>
      <c r="HI503" s="9"/>
      <c r="HJ503" s="9"/>
      <c r="HK503" s="9"/>
      <c r="HL503" s="9"/>
      <c r="HY503" s="58"/>
      <c r="HZ503" t="s">
        <v>1764</v>
      </c>
      <c r="IA503" t="s">
        <v>1794</v>
      </c>
      <c r="IW503" t="s">
        <v>1764</v>
      </c>
      <c r="IX503" s="84" t="s">
        <v>1792</v>
      </c>
      <c r="IY503" s="12" t="s">
        <v>1767</v>
      </c>
      <c r="IZ503" s="54" t="s">
        <v>1778</v>
      </c>
      <c r="JA503">
        <v>7.5</v>
      </c>
      <c r="JB503">
        <v>37</v>
      </c>
      <c r="MZ503" t="s">
        <v>1805</v>
      </c>
      <c r="NA503">
        <v>1963</v>
      </c>
      <c r="NB503" t="s">
        <v>1783</v>
      </c>
      <c r="NC503" t="s">
        <v>1745</v>
      </c>
      <c r="NH503" t="s">
        <v>1786</v>
      </c>
      <c r="NI503" t="s">
        <v>711</v>
      </c>
      <c r="NK503" t="s">
        <v>203</v>
      </c>
      <c r="NM503" t="s">
        <v>203</v>
      </c>
      <c r="NN503" s="6" t="s">
        <v>1801</v>
      </c>
      <c r="NW503" t="s">
        <v>6</v>
      </c>
      <c r="NX503">
        <v>5.2</v>
      </c>
      <c r="NY503" t="s">
        <v>1446</v>
      </c>
      <c r="NZ503">
        <v>4.7</v>
      </c>
      <c r="OC503">
        <v>5</v>
      </c>
      <c r="OT503" t="s">
        <v>1576</v>
      </c>
      <c r="OV503">
        <v>2010</v>
      </c>
      <c r="PA503" t="s">
        <v>1169</v>
      </c>
      <c r="PB503" s="58">
        <v>46108</v>
      </c>
    </row>
    <row r="504" spans="1:418" ht="15.75" thickBot="1">
      <c r="A504" t="s">
        <v>36</v>
      </c>
      <c r="B504" t="s">
        <v>1739</v>
      </c>
      <c r="C504" t="s">
        <v>1740</v>
      </c>
      <c r="D504" s="4" t="s">
        <v>245</v>
      </c>
      <c r="E504" t="s">
        <v>1806</v>
      </c>
      <c r="F504" s="4" t="s">
        <v>1804</v>
      </c>
      <c r="G504" t="s">
        <v>254</v>
      </c>
      <c r="H504" t="s">
        <v>30</v>
      </c>
      <c r="I504">
        <v>-23.748532000000001</v>
      </c>
      <c r="J504">
        <v>-62.056702000000001</v>
      </c>
      <c r="K504" s="87" t="s">
        <v>29</v>
      </c>
      <c r="AV504" t="s">
        <v>1766</v>
      </c>
      <c r="AW504" t="s">
        <v>234</v>
      </c>
      <c r="AX504" t="s">
        <v>234</v>
      </c>
      <c r="AY504" s="5">
        <v>5.5555555555555558E-3</v>
      </c>
      <c r="AZ504" t="s">
        <v>1803</v>
      </c>
      <c r="BA504">
        <v>2010</v>
      </c>
      <c r="BD504" t="s">
        <v>1747</v>
      </c>
      <c r="BE504" t="s">
        <v>1748</v>
      </c>
      <c r="BF504" t="s">
        <v>24</v>
      </c>
      <c r="BG504" t="s">
        <v>1779</v>
      </c>
      <c r="BH504" t="s">
        <v>1781</v>
      </c>
      <c r="BI504" t="s">
        <v>29</v>
      </c>
      <c r="BJ504" t="s">
        <v>29</v>
      </c>
      <c r="BK504" t="s">
        <v>29</v>
      </c>
      <c r="GM504" t="s">
        <v>1775</v>
      </c>
      <c r="GN504" s="9" t="s">
        <v>29</v>
      </c>
      <c r="GO504" s="9" t="s">
        <v>29</v>
      </c>
      <c r="GP504" s="9" t="s">
        <v>29</v>
      </c>
      <c r="HZ504" t="s">
        <v>1748</v>
      </c>
      <c r="IA504" t="s">
        <v>1794</v>
      </c>
      <c r="IW504" t="s">
        <v>1748</v>
      </c>
      <c r="IX504" s="54" t="s">
        <v>1793</v>
      </c>
      <c r="IY504" s="54" t="s">
        <v>1793</v>
      </c>
      <c r="IZ504" s="54" t="s">
        <v>1780</v>
      </c>
      <c r="JA504">
        <v>1</v>
      </c>
      <c r="JB504">
        <v>6</v>
      </c>
      <c r="MZ504" t="s">
        <v>1805</v>
      </c>
      <c r="NA504">
        <v>1963</v>
      </c>
      <c r="NB504" t="s">
        <v>1783</v>
      </c>
      <c r="NC504" t="s">
        <v>1745</v>
      </c>
      <c r="NH504" t="s">
        <v>1786</v>
      </c>
      <c r="NI504" t="s">
        <v>711</v>
      </c>
      <c r="NK504" t="s">
        <v>203</v>
      </c>
      <c r="NM504" t="s">
        <v>203</v>
      </c>
      <c r="NN504" s="6" t="s">
        <v>1801</v>
      </c>
      <c r="NV504" t="s">
        <v>1828</v>
      </c>
      <c r="NW504" t="s">
        <v>6</v>
      </c>
      <c r="NX504">
        <v>0</v>
      </c>
      <c r="NY504" t="s">
        <v>1446</v>
      </c>
      <c r="NZ504">
        <v>0</v>
      </c>
      <c r="OC504">
        <v>7</v>
      </c>
      <c r="OT504" t="s">
        <v>1576</v>
      </c>
      <c r="OV504">
        <v>2010</v>
      </c>
      <c r="PA504" t="s">
        <v>1169</v>
      </c>
      <c r="PB504" s="58">
        <v>46108</v>
      </c>
    </row>
    <row r="505" spans="1:418" ht="15.75" thickBot="1">
      <c r="A505" t="s">
        <v>36</v>
      </c>
      <c r="B505" t="s">
        <v>1739</v>
      </c>
      <c r="C505" t="s">
        <v>1740</v>
      </c>
      <c r="D505" s="4" t="s">
        <v>245</v>
      </c>
      <c r="E505" t="s">
        <v>1806</v>
      </c>
      <c r="F505" s="4" t="s">
        <v>1804</v>
      </c>
      <c r="G505" t="s">
        <v>254</v>
      </c>
      <c r="H505" t="s">
        <v>30</v>
      </c>
      <c r="I505">
        <v>-23.748532000000001</v>
      </c>
      <c r="J505">
        <v>-62.056702000000001</v>
      </c>
      <c r="K505" s="87" t="s">
        <v>29</v>
      </c>
      <c r="AV505" t="s">
        <v>1766</v>
      </c>
      <c r="AW505" t="s">
        <v>234</v>
      </c>
      <c r="AX505">
        <v>1000</v>
      </c>
      <c r="AY505" s="5">
        <v>5.5555555555555558E-3</v>
      </c>
      <c r="AZ505" t="s">
        <v>1803</v>
      </c>
      <c r="BA505">
        <v>2010</v>
      </c>
      <c r="BD505" t="s">
        <v>1825</v>
      </c>
      <c r="BE505" t="s">
        <v>1742</v>
      </c>
      <c r="BF505" t="s">
        <v>39</v>
      </c>
      <c r="BG505" t="s">
        <v>1743</v>
      </c>
      <c r="EE505" t="s">
        <v>1774</v>
      </c>
      <c r="EF505" t="s">
        <v>29</v>
      </c>
      <c r="EG505" t="s">
        <v>29</v>
      </c>
      <c r="EH505" t="s">
        <v>29</v>
      </c>
      <c r="EI505" t="s">
        <v>1773</v>
      </c>
      <c r="EJ505" t="s">
        <v>29</v>
      </c>
      <c r="EK505" t="s">
        <v>29</v>
      </c>
      <c r="EL505" t="s">
        <v>29</v>
      </c>
      <c r="EM505" t="s">
        <v>1768</v>
      </c>
      <c r="EN505" t="s">
        <v>29</v>
      </c>
      <c r="EO505" t="s">
        <v>29</v>
      </c>
      <c r="EP505" t="s">
        <v>29</v>
      </c>
      <c r="EQ505" t="s">
        <v>1769</v>
      </c>
      <c r="ER505" t="s">
        <v>29</v>
      </c>
      <c r="ES505" t="s">
        <v>29</v>
      </c>
      <c r="ET505" t="s">
        <v>29</v>
      </c>
      <c r="EU505" t="s">
        <v>1770</v>
      </c>
      <c r="EV505" t="s">
        <v>29</v>
      </c>
      <c r="EW505" t="s">
        <v>29</v>
      </c>
      <c r="EX505" t="s">
        <v>29</v>
      </c>
      <c r="EY505" t="s">
        <v>1771</v>
      </c>
      <c r="EZ505" t="s">
        <v>29</v>
      </c>
      <c r="FA505" t="s">
        <v>29</v>
      </c>
      <c r="FB505" t="s">
        <v>29</v>
      </c>
      <c r="FC505" t="s">
        <v>1772</v>
      </c>
      <c r="FD505" t="s">
        <v>29</v>
      </c>
      <c r="FE505" t="s">
        <v>29</v>
      </c>
      <c r="FF505" t="s">
        <v>29</v>
      </c>
      <c r="HZ505" t="s">
        <v>1742</v>
      </c>
      <c r="IW505" t="s">
        <v>1742</v>
      </c>
      <c r="IX505" t="s">
        <v>1791</v>
      </c>
      <c r="IY505" t="s">
        <v>1791</v>
      </c>
      <c r="IZ505" t="s">
        <v>1791</v>
      </c>
      <c r="JA505">
        <v>5</v>
      </c>
      <c r="JB505">
        <v>70</v>
      </c>
      <c r="MZ505" t="s">
        <v>1805</v>
      </c>
      <c r="NA505">
        <v>1963</v>
      </c>
      <c r="NB505" t="s">
        <v>1784</v>
      </c>
      <c r="NC505" t="s">
        <v>1745</v>
      </c>
      <c r="NH505" t="s">
        <v>1787</v>
      </c>
      <c r="NI505" t="s">
        <v>711</v>
      </c>
      <c r="NK505" t="s">
        <v>203</v>
      </c>
      <c r="NM505" t="s">
        <v>203</v>
      </c>
      <c r="NN505" s="6" t="s">
        <v>1801</v>
      </c>
      <c r="NV505" t="s">
        <v>1827</v>
      </c>
      <c r="NW505" t="s">
        <v>6</v>
      </c>
      <c r="NX505">
        <v>6.2</v>
      </c>
      <c r="NY505" t="s">
        <v>1446</v>
      </c>
      <c r="NZ505">
        <v>4.8</v>
      </c>
      <c r="OC505">
        <v>6</v>
      </c>
      <c r="OT505" t="s">
        <v>1576</v>
      </c>
      <c r="OV505">
        <v>2010</v>
      </c>
      <c r="PA505" t="s">
        <v>1169</v>
      </c>
      <c r="PB505" s="58">
        <v>46108</v>
      </c>
    </row>
    <row r="506" spans="1:418" ht="15.75" thickBot="1">
      <c r="A506" t="s">
        <v>36</v>
      </c>
      <c r="B506" t="s">
        <v>1739</v>
      </c>
      <c r="C506" t="s">
        <v>1740</v>
      </c>
      <c r="D506" s="4" t="s">
        <v>245</v>
      </c>
      <c r="E506" t="s">
        <v>1806</v>
      </c>
      <c r="F506" s="4" t="s">
        <v>1804</v>
      </c>
      <c r="G506" t="s">
        <v>254</v>
      </c>
      <c r="H506" t="s">
        <v>30</v>
      </c>
      <c r="I506">
        <v>-23.748532000000001</v>
      </c>
      <c r="J506">
        <v>-62.056702000000001</v>
      </c>
      <c r="K506" s="87" t="s">
        <v>29</v>
      </c>
      <c r="AV506" t="s">
        <v>1766</v>
      </c>
      <c r="AW506" t="s">
        <v>234</v>
      </c>
      <c r="AX506" t="s">
        <v>234</v>
      </c>
      <c r="AY506" s="5">
        <v>5.5555555555555558E-3</v>
      </c>
      <c r="AZ506" t="s">
        <v>1803</v>
      </c>
      <c r="BA506">
        <v>2010</v>
      </c>
      <c r="BD506" t="s">
        <v>1759</v>
      </c>
      <c r="BE506" t="s">
        <v>1760</v>
      </c>
      <c r="BF506" t="s">
        <v>64</v>
      </c>
      <c r="BG506" t="s">
        <v>1779</v>
      </c>
      <c r="BH506" t="s">
        <v>1777</v>
      </c>
      <c r="BI506" t="s">
        <v>1782</v>
      </c>
      <c r="BJ506" t="s">
        <v>29</v>
      </c>
      <c r="BK506" t="s">
        <v>29</v>
      </c>
      <c r="EE506" t="s">
        <v>1774</v>
      </c>
      <c r="EF506" t="s">
        <v>29</v>
      </c>
      <c r="EG506" t="s">
        <v>29</v>
      </c>
      <c r="EH506" t="s">
        <v>29</v>
      </c>
      <c r="EI506" t="s">
        <v>1773</v>
      </c>
      <c r="EJ506" t="s">
        <v>29</v>
      </c>
      <c r="EK506" t="s">
        <v>29</v>
      </c>
      <c r="EL506" t="s">
        <v>29</v>
      </c>
      <c r="EM506" t="s">
        <v>1768</v>
      </c>
      <c r="EN506" t="s">
        <v>29</v>
      </c>
      <c r="EO506" t="s">
        <v>29</v>
      </c>
      <c r="EP506" t="s">
        <v>29</v>
      </c>
      <c r="EQ506" t="s">
        <v>1769</v>
      </c>
      <c r="ER506" t="s">
        <v>29</v>
      </c>
      <c r="ES506" t="s">
        <v>29</v>
      </c>
      <c r="ET506" t="s">
        <v>29</v>
      </c>
      <c r="EU506" t="s">
        <v>1770</v>
      </c>
      <c r="EV506" t="s">
        <v>29</v>
      </c>
      <c r="EW506" t="s">
        <v>29</v>
      </c>
      <c r="EX506" t="s">
        <v>29</v>
      </c>
      <c r="EY506" t="s">
        <v>1771</v>
      </c>
      <c r="EZ506" t="s">
        <v>29</v>
      </c>
      <c r="FA506" t="s">
        <v>29</v>
      </c>
      <c r="FB506" t="s">
        <v>29</v>
      </c>
      <c r="FC506" t="s">
        <v>1772</v>
      </c>
      <c r="FD506" t="s">
        <v>29</v>
      </c>
      <c r="FE506" t="s">
        <v>29</v>
      </c>
      <c r="FF506" t="s">
        <v>29</v>
      </c>
      <c r="GM506" t="s">
        <v>1775</v>
      </c>
      <c r="GN506" s="9" t="s">
        <v>29</v>
      </c>
      <c r="GO506" s="9" t="s">
        <v>29</v>
      </c>
      <c r="GP506" s="9" t="s">
        <v>29</v>
      </c>
      <c r="GQ506" s="9"/>
      <c r="GR506" s="9"/>
      <c r="GS506" s="9"/>
      <c r="GT506" s="9"/>
      <c r="GU506" s="9"/>
      <c r="GV506" s="9"/>
      <c r="GW506" s="9"/>
      <c r="GX506" s="9"/>
      <c r="GY506" s="9"/>
      <c r="GZ506" s="9"/>
      <c r="HA506" s="9"/>
      <c r="HB506" s="9"/>
      <c r="HC506" s="9"/>
      <c r="HD506" s="9"/>
      <c r="HE506" s="9"/>
      <c r="HF506" s="9"/>
      <c r="HG506" s="9"/>
      <c r="HH506" s="9"/>
      <c r="HI506" s="9"/>
      <c r="HJ506" s="9"/>
      <c r="HK506" s="9"/>
      <c r="HL506" s="9"/>
      <c r="HY506" s="58"/>
      <c r="HZ506" t="s">
        <v>1760</v>
      </c>
      <c r="IA506" t="s">
        <v>1795</v>
      </c>
      <c r="IW506" t="s">
        <v>1760</v>
      </c>
      <c r="IX506" s="84" t="s">
        <v>1792</v>
      </c>
      <c r="IY506" t="s">
        <v>1767</v>
      </c>
      <c r="IZ506" s="54" t="s">
        <v>1776</v>
      </c>
      <c r="JA506">
        <v>1</v>
      </c>
      <c r="JB506">
        <v>81</v>
      </c>
      <c r="MZ506" t="s">
        <v>1805</v>
      </c>
      <c r="NA506">
        <v>1963</v>
      </c>
      <c r="NB506" t="s">
        <v>1784</v>
      </c>
      <c r="NC506" t="s">
        <v>1745</v>
      </c>
      <c r="NH506" t="s">
        <v>1787</v>
      </c>
      <c r="NI506" t="s">
        <v>711</v>
      </c>
      <c r="NK506" t="s">
        <v>203</v>
      </c>
      <c r="NM506" t="s">
        <v>203</v>
      </c>
      <c r="NN506" s="6" t="s">
        <v>1801</v>
      </c>
      <c r="NW506" t="s">
        <v>6</v>
      </c>
      <c r="NX506">
        <v>8.5</v>
      </c>
      <c r="NY506" t="s">
        <v>1446</v>
      </c>
      <c r="NZ506">
        <v>8.1</v>
      </c>
      <c r="OC506">
        <v>8</v>
      </c>
      <c r="OT506" t="s">
        <v>1576</v>
      </c>
      <c r="OV506">
        <v>2010</v>
      </c>
      <c r="PA506" t="s">
        <v>1169</v>
      </c>
      <c r="PB506" s="58">
        <v>46108</v>
      </c>
    </row>
    <row r="507" spans="1:418" ht="15.75" thickBot="1">
      <c r="A507" t="s">
        <v>36</v>
      </c>
      <c r="B507" t="s">
        <v>1739</v>
      </c>
      <c r="C507" t="s">
        <v>1740</v>
      </c>
      <c r="D507" s="4" t="s">
        <v>245</v>
      </c>
      <c r="E507" t="s">
        <v>1806</v>
      </c>
      <c r="F507" s="4" t="s">
        <v>1804</v>
      </c>
      <c r="G507" t="s">
        <v>254</v>
      </c>
      <c r="H507" t="s">
        <v>30</v>
      </c>
      <c r="I507">
        <v>-23.748532000000001</v>
      </c>
      <c r="J507">
        <v>-62.056702000000001</v>
      </c>
      <c r="K507" s="87" t="s">
        <v>29</v>
      </c>
      <c r="AV507" t="s">
        <v>1766</v>
      </c>
      <c r="AW507" t="s">
        <v>234</v>
      </c>
      <c r="AX507">
        <v>3600</v>
      </c>
      <c r="AY507" s="5">
        <v>5.5555555555555558E-3</v>
      </c>
      <c r="AZ507" t="s">
        <v>1803</v>
      </c>
      <c r="BA507">
        <v>2010</v>
      </c>
      <c r="BD507" t="s">
        <v>1759</v>
      </c>
      <c r="BE507" t="s">
        <v>1762</v>
      </c>
      <c r="BF507" t="s">
        <v>57</v>
      </c>
      <c r="BG507" t="s">
        <v>1779</v>
      </c>
      <c r="BH507" t="s">
        <v>1777</v>
      </c>
      <c r="BI507" t="s">
        <v>29</v>
      </c>
      <c r="BJ507" t="s">
        <v>29</v>
      </c>
      <c r="BK507" t="s">
        <v>29</v>
      </c>
      <c r="EE507" t="s">
        <v>1774</v>
      </c>
      <c r="EF507" t="s">
        <v>29</v>
      </c>
      <c r="EG507" t="s">
        <v>29</v>
      </c>
      <c r="EH507" t="s">
        <v>29</v>
      </c>
      <c r="EI507" t="s">
        <v>1773</v>
      </c>
      <c r="EJ507" t="s">
        <v>29</v>
      </c>
      <c r="EK507" t="s">
        <v>29</v>
      </c>
      <c r="EL507" t="s">
        <v>29</v>
      </c>
      <c r="EM507" t="s">
        <v>1768</v>
      </c>
      <c r="EN507" t="s">
        <v>29</v>
      </c>
      <c r="EO507" t="s">
        <v>29</v>
      </c>
      <c r="EP507" t="s">
        <v>29</v>
      </c>
      <c r="EQ507" t="s">
        <v>1769</v>
      </c>
      <c r="ER507" t="s">
        <v>29</v>
      </c>
      <c r="ES507" t="s">
        <v>29</v>
      </c>
      <c r="ET507" t="s">
        <v>29</v>
      </c>
      <c r="EU507" t="s">
        <v>1770</v>
      </c>
      <c r="EV507" t="s">
        <v>29</v>
      </c>
      <c r="EW507" t="s">
        <v>29</v>
      </c>
      <c r="EX507" t="s">
        <v>29</v>
      </c>
      <c r="EY507" t="s">
        <v>1771</v>
      </c>
      <c r="EZ507" t="s">
        <v>29</v>
      </c>
      <c r="FA507" t="s">
        <v>29</v>
      </c>
      <c r="FB507" t="s">
        <v>29</v>
      </c>
      <c r="FC507" t="s">
        <v>1772</v>
      </c>
      <c r="FD507" t="s">
        <v>29</v>
      </c>
      <c r="FE507" t="s">
        <v>29</v>
      </c>
      <c r="FF507" t="s">
        <v>29</v>
      </c>
      <c r="FG507" s="9"/>
      <c r="FH507" s="9"/>
      <c r="FI507" s="9"/>
      <c r="FJ507" s="9"/>
      <c r="FK507" s="9"/>
      <c r="FL507" s="9"/>
      <c r="FM507" s="9"/>
      <c r="FN507" s="9"/>
      <c r="FO507" s="9"/>
      <c r="FP507" s="9"/>
      <c r="FQ507" s="9"/>
      <c r="FR507" s="9"/>
      <c r="FS507" s="9"/>
      <c r="FT507" s="9"/>
      <c r="FU507" s="9"/>
      <c r="FV507" s="9"/>
      <c r="FW507" s="9"/>
      <c r="FX507" s="9"/>
      <c r="FY507" s="9"/>
      <c r="FZ507" s="9"/>
      <c r="GA507" s="9"/>
      <c r="GB507" s="9"/>
      <c r="GC507" s="9"/>
      <c r="GD507" s="9"/>
      <c r="GE507" s="9"/>
      <c r="GF507" s="9"/>
      <c r="GG507" s="9"/>
      <c r="GH507" s="9"/>
      <c r="GI507" s="9"/>
      <c r="GJ507" s="9"/>
      <c r="GK507" s="9"/>
      <c r="GL507" s="9"/>
      <c r="GM507" s="9" t="s">
        <v>1775</v>
      </c>
      <c r="GN507" s="9" t="s">
        <v>29</v>
      </c>
      <c r="GO507" s="9" t="s">
        <v>29</v>
      </c>
      <c r="GP507" s="9" t="s">
        <v>29</v>
      </c>
      <c r="GQ507" s="9"/>
      <c r="GR507" s="9"/>
      <c r="GS507" s="9"/>
      <c r="GT507" s="9"/>
      <c r="GU507" s="9"/>
      <c r="GV507" s="9"/>
      <c r="GW507" s="9"/>
      <c r="GX507" s="9"/>
      <c r="GY507" s="9"/>
      <c r="GZ507" s="9"/>
      <c r="HA507" s="9"/>
      <c r="HB507" s="9"/>
      <c r="HC507" s="9"/>
      <c r="HD507" s="9"/>
      <c r="HE507" s="9"/>
      <c r="HF507" s="9"/>
      <c r="HG507" s="9"/>
      <c r="HH507" s="9"/>
      <c r="HI507" s="9"/>
      <c r="HJ507" s="9"/>
      <c r="HK507" s="9"/>
      <c r="HL507" s="9"/>
      <c r="HY507" s="58"/>
      <c r="HZ507" t="s">
        <v>1762</v>
      </c>
      <c r="IA507" t="s">
        <v>1795</v>
      </c>
      <c r="IW507" t="s">
        <v>1762</v>
      </c>
      <c r="IX507" s="84" t="s">
        <v>1792</v>
      </c>
      <c r="IY507" s="12" t="s">
        <v>1767</v>
      </c>
      <c r="IZ507" s="54" t="s">
        <v>1778</v>
      </c>
      <c r="JA507">
        <v>7.5</v>
      </c>
      <c r="JB507">
        <v>56</v>
      </c>
      <c r="MZ507" t="s">
        <v>1805</v>
      </c>
      <c r="NA507">
        <v>1963</v>
      </c>
      <c r="NB507" t="s">
        <v>1784</v>
      </c>
      <c r="NC507" t="s">
        <v>1745</v>
      </c>
      <c r="NH507" t="s">
        <v>1787</v>
      </c>
      <c r="NI507" t="s">
        <v>711</v>
      </c>
      <c r="NK507" t="s">
        <v>203</v>
      </c>
      <c r="NM507" t="s">
        <v>203</v>
      </c>
      <c r="NN507" s="6" t="s">
        <v>1801</v>
      </c>
      <c r="NW507" t="s">
        <v>6</v>
      </c>
      <c r="NX507">
        <v>11.3</v>
      </c>
      <c r="NY507" t="s">
        <v>1446</v>
      </c>
      <c r="NZ507">
        <v>9.3000000000000007</v>
      </c>
      <c r="OC507">
        <v>7</v>
      </c>
      <c r="OT507" t="s">
        <v>1576</v>
      </c>
      <c r="OV507">
        <v>2010</v>
      </c>
      <c r="PA507" t="s">
        <v>1169</v>
      </c>
      <c r="PB507" s="58">
        <v>46108</v>
      </c>
    </row>
    <row r="508" spans="1:418" ht="15.75" thickBot="1">
      <c r="A508" t="s">
        <v>36</v>
      </c>
      <c r="B508" t="s">
        <v>1739</v>
      </c>
      <c r="C508" t="s">
        <v>1740</v>
      </c>
      <c r="D508" s="4" t="s">
        <v>245</v>
      </c>
      <c r="E508" t="s">
        <v>1806</v>
      </c>
      <c r="F508" s="4" t="s">
        <v>1804</v>
      </c>
      <c r="G508" t="s">
        <v>254</v>
      </c>
      <c r="H508" t="s">
        <v>30</v>
      </c>
      <c r="I508">
        <v>-23.748532000000001</v>
      </c>
      <c r="J508">
        <v>-62.056702000000001</v>
      </c>
      <c r="K508" s="87" t="s">
        <v>29</v>
      </c>
      <c r="AV508" t="s">
        <v>1766</v>
      </c>
      <c r="AW508" t="s">
        <v>234</v>
      </c>
      <c r="AX508">
        <v>3600</v>
      </c>
      <c r="AY508" s="5">
        <v>5.5555555555555558E-3</v>
      </c>
      <c r="AZ508" t="s">
        <v>1803</v>
      </c>
      <c r="BA508">
        <v>2010</v>
      </c>
      <c r="BD508" t="s">
        <v>1759</v>
      </c>
      <c r="BE508" t="s">
        <v>1764</v>
      </c>
      <c r="BF508" t="s">
        <v>48</v>
      </c>
      <c r="BG508" t="s">
        <v>1779</v>
      </c>
      <c r="BH508" t="s">
        <v>1781</v>
      </c>
      <c r="BI508" t="s">
        <v>29</v>
      </c>
      <c r="BJ508" t="s">
        <v>29</v>
      </c>
      <c r="BK508" t="s">
        <v>29</v>
      </c>
      <c r="EE508" t="s">
        <v>1774</v>
      </c>
      <c r="EF508" t="s">
        <v>29</v>
      </c>
      <c r="EG508" t="s">
        <v>29</v>
      </c>
      <c r="EH508" t="s">
        <v>29</v>
      </c>
      <c r="EI508" t="s">
        <v>1773</v>
      </c>
      <c r="EJ508" t="s">
        <v>29</v>
      </c>
      <c r="EK508" t="s">
        <v>29</v>
      </c>
      <c r="EL508" t="s">
        <v>29</v>
      </c>
      <c r="EM508" t="s">
        <v>1768</v>
      </c>
      <c r="EN508" t="s">
        <v>29</v>
      </c>
      <c r="EO508" t="s">
        <v>29</v>
      </c>
      <c r="EP508" t="s">
        <v>29</v>
      </c>
      <c r="EQ508" t="s">
        <v>1769</v>
      </c>
      <c r="ER508" t="s">
        <v>29</v>
      </c>
      <c r="ES508" t="s">
        <v>29</v>
      </c>
      <c r="ET508" t="s">
        <v>29</v>
      </c>
      <c r="EU508" t="s">
        <v>1770</v>
      </c>
      <c r="EV508" t="s">
        <v>29</v>
      </c>
      <c r="EW508" t="s">
        <v>29</v>
      </c>
      <c r="EX508" t="s">
        <v>29</v>
      </c>
      <c r="EY508" t="s">
        <v>1771</v>
      </c>
      <c r="EZ508" t="s">
        <v>29</v>
      </c>
      <c r="FA508" t="s">
        <v>29</v>
      </c>
      <c r="FB508" t="s">
        <v>29</v>
      </c>
      <c r="FC508" t="s">
        <v>1772</v>
      </c>
      <c r="FD508" t="s">
        <v>29</v>
      </c>
      <c r="FE508" t="s">
        <v>29</v>
      </c>
      <c r="FF508" t="s">
        <v>29</v>
      </c>
      <c r="FG508" s="9"/>
      <c r="FH508" s="9"/>
      <c r="FI508" s="9"/>
      <c r="FJ508" s="9"/>
      <c r="FK508" s="9"/>
      <c r="FL508" s="9"/>
      <c r="FM508" s="9"/>
      <c r="FN508" s="9"/>
      <c r="FO508" s="9"/>
      <c r="FP508" s="9"/>
      <c r="FQ508" s="9"/>
      <c r="FR508" s="9"/>
      <c r="FS508" s="9"/>
      <c r="FT508" s="9"/>
      <c r="FU508" s="9"/>
      <c r="FV508" s="9"/>
      <c r="FW508" s="9"/>
      <c r="FX508" s="9"/>
      <c r="FY508" s="9"/>
      <c r="FZ508" s="9"/>
      <c r="GA508" s="9"/>
      <c r="GB508" s="9"/>
      <c r="GC508" s="9"/>
      <c r="GD508" s="9"/>
      <c r="GE508" s="9"/>
      <c r="GF508" s="9"/>
      <c r="GG508" s="9"/>
      <c r="GH508" s="9"/>
      <c r="GI508" s="9"/>
      <c r="GJ508" s="9"/>
      <c r="GK508" s="9"/>
      <c r="GL508" s="9"/>
      <c r="GM508" s="9" t="s">
        <v>1775</v>
      </c>
      <c r="GN508" s="9" t="s">
        <v>29</v>
      </c>
      <c r="GO508" s="9" t="s">
        <v>29</v>
      </c>
      <c r="GP508" s="9" t="s">
        <v>29</v>
      </c>
      <c r="GQ508" s="9"/>
      <c r="GR508" s="9"/>
      <c r="GS508" s="9"/>
      <c r="GT508" s="9"/>
      <c r="GU508" s="9"/>
      <c r="GV508" s="9"/>
      <c r="GW508" s="9"/>
      <c r="GX508" s="9"/>
      <c r="GY508" s="9"/>
      <c r="GZ508" s="9"/>
      <c r="HA508" s="9"/>
      <c r="HB508" s="9"/>
      <c r="HC508" s="9"/>
      <c r="HD508" s="9"/>
      <c r="HE508" s="9"/>
      <c r="HF508" s="9"/>
      <c r="HG508" s="9"/>
      <c r="HH508" s="9"/>
      <c r="HI508" s="9"/>
      <c r="HJ508" s="9"/>
      <c r="HK508" s="9"/>
      <c r="HL508" s="9"/>
      <c r="HY508" s="58"/>
      <c r="HZ508" t="s">
        <v>1764</v>
      </c>
      <c r="IA508" t="s">
        <v>1794</v>
      </c>
      <c r="IW508" t="s">
        <v>1764</v>
      </c>
      <c r="IX508" s="84" t="s">
        <v>1792</v>
      </c>
      <c r="IY508" s="12" t="s">
        <v>1767</v>
      </c>
      <c r="IZ508" s="54" t="s">
        <v>1778</v>
      </c>
      <c r="JA508">
        <v>7.5</v>
      </c>
      <c r="JB508">
        <v>37</v>
      </c>
      <c r="MZ508" t="s">
        <v>1805</v>
      </c>
      <c r="NA508">
        <v>1963</v>
      </c>
      <c r="NB508" t="s">
        <v>1784</v>
      </c>
      <c r="NC508" t="s">
        <v>1745</v>
      </c>
      <c r="NH508" t="s">
        <v>1787</v>
      </c>
      <c r="NI508" t="s">
        <v>711</v>
      </c>
      <c r="NK508" t="s">
        <v>203</v>
      </c>
      <c r="NM508" t="s">
        <v>203</v>
      </c>
      <c r="NN508" s="6" t="s">
        <v>1801</v>
      </c>
      <c r="NW508" t="s">
        <v>6</v>
      </c>
      <c r="NX508">
        <v>16.8</v>
      </c>
      <c r="NY508" t="s">
        <v>1446</v>
      </c>
      <c r="NZ508">
        <v>13</v>
      </c>
      <c r="OC508">
        <v>5</v>
      </c>
      <c r="OT508" t="s">
        <v>1576</v>
      </c>
      <c r="OV508">
        <v>2010</v>
      </c>
      <c r="PA508" t="s">
        <v>1169</v>
      </c>
      <c r="PB508" s="58">
        <v>46108</v>
      </c>
    </row>
    <row r="509" spans="1:418" ht="15.75" thickBot="1">
      <c r="A509" t="s">
        <v>36</v>
      </c>
      <c r="B509" t="s">
        <v>1739</v>
      </c>
      <c r="C509" t="s">
        <v>1740</v>
      </c>
      <c r="D509" s="4" t="s">
        <v>245</v>
      </c>
      <c r="E509" t="s">
        <v>1806</v>
      </c>
      <c r="F509" s="4" t="s">
        <v>1804</v>
      </c>
      <c r="G509" t="s">
        <v>254</v>
      </c>
      <c r="H509" t="s">
        <v>30</v>
      </c>
      <c r="I509">
        <v>-23.748532000000001</v>
      </c>
      <c r="J509">
        <v>-62.056702000000001</v>
      </c>
      <c r="K509" s="87" t="s">
        <v>29</v>
      </c>
      <c r="AV509" t="s">
        <v>1766</v>
      </c>
      <c r="AW509" t="s">
        <v>234</v>
      </c>
      <c r="AX509" t="s">
        <v>234</v>
      </c>
      <c r="AY509" s="5">
        <v>5.5555555555555558E-3</v>
      </c>
      <c r="AZ509" t="s">
        <v>1803</v>
      </c>
      <c r="BA509">
        <v>2010</v>
      </c>
      <c r="BD509" t="s">
        <v>1747</v>
      </c>
      <c r="BE509" t="s">
        <v>1748</v>
      </c>
      <c r="BF509" t="s">
        <v>24</v>
      </c>
      <c r="BG509" t="s">
        <v>1779</v>
      </c>
      <c r="BH509" t="s">
        <v>1781</v>
      </c>
      <c r="BI509" t="s">
        <v>29</v>
      </c>
      <c r="BJ509" t="s">
        <v>29</v>
      </c>
      <c r="BK509" t="s">
        <v>29</v>
      </c>
      <c r="GM509" t="s">
        <v>1775</v>
      </c>
      <c r="GN509" s="9" t="s">
        <v>29</v>
      </c>
      <c r="GO509" s="9" t="s">
        <v>29</v>
      </c>
      <c r="GP509" s="9" t="s">
        <v>29</v>
      </c>
      <c r="HZ509" t="s">
        <v>1748</v>
      </c>
      <c r="IA509" t="s">
        <v>1794</v>
      </c>
      <c r="IW509" t="s">
        <v>1748</v>
      </c>
      <c r="IX509" s="54" t="s">
        <v>1793</v>
      </c>
      <c r="IY509" s="54" t="s">
        <v>1793</v>
      </c>
      <c r="IZ509" s="54" t="s">
        <v>1780</v>
      </c>
      <c r="JA509">
        <v>1</v>
      </c>
      <c r="JB509">
        <v>6</v>
      </c>
      <c r="MZ509" t="s">
        <v>1805</v>
      </c>
      <c r="NA509">
        <v>1963</v>
      </c>
      <c r="NB509" t="s">
        <v>1784</v>
      </c>
      <c r="NC509" t="s">
        <v>1745</v>
      </c>
      <c r="NH509" t="s">
        <v>1787</v>
      </c>
      <c r="NI509" t="s">
        <v>711</v>
      </c>
      <c r="NK509" t="s">
        <v>203</v>
      </c>
      <c r="NM509" t="s">
        <v>203</v>
      </c>
      <c r="NN509" s="6" t="s">
        <v>1801</v>
      </c>
      <c r="NV509" t="s">
        <v>1828</v>
      </c>
      <c r="NW509" t="s">
        <v>6</v>
      </c>
      <c r="NX509">
        <v>8.6999999999999993</v>
      </c>
      <c r="NY509" t="s">
        <v>1446</v>
      </c>
      <c r="NZ509">
        <v>7.6</v>
      </c>
      <c r="OC509">
        <v>7</v>
      </c>
      <c r="OT509" t="s">
        <v>1576</v>
      </c>
      <c r="OV509">
        <v>2010</v>
      </c>
      <c r="PA509" t="s">
        <v>1169</v>
      </c>
      <c r="PB509" s="58">
        <v>46108</v>
      </c>
    </row>
    <row r="510" spans="1:418" ht="15.75" thickBot="1">
      <c r="A510" t="s">
        <v>36</v>
      </c>
      <c r="B510" t="s">
        <v>1739</v>
      </c>
      <c r="C510" t="s">
        <v>1740</v>
      </c>
      <c r="D510" s="4" t="s">
        <v>245</v>
      </c>
      <c r="E510" t="s">
        <v>1806</v>
      </c>
      <c r="F510" s="4" t="s">
        <v>1804</v>
      </c>
      <c r="G510" t="s">
        <v>254</v>
      </c>
      <c r="H510" t="s">
        <v>30</v>
      </c>
      <c r="I510">
        <v>-23.748532000000001</v>
      </c>
      <c r="J510">
        <v>-62.056702000000001</v>
      </c>
      <c r="K510" s="87" t="s">
        <v>29</v>
      </c>
      <c r="AV510" t="s">
        <v>1766</v>
      </c>
      <c r="AW510" t="s">
        <v>234</v>
      </c>
      <c r="AX510">
        <v>1000</v>
      </c>
      <c r="AY510" s="5">
        <v>5.5555555555555558E-3</v>
      </c>
      <c r="AZ510" t="s">
        <v>1803</v>
      </c>
      <c r="BA510">
        <v>2010</v>
      </c>
      <c r="BD510" t="s">
        <v>1825</v>
      </c>
      <c r="BE510" t="s">
        <v>1742</v>
      </c>
      <c r="BF510" t="s">
        <v>39</v>
      </c>
      <c r="BG510" t="s">
        <v>1743</v>
      </c>
      <c r="EE510" t="s">
        <v>1774</v>
      </c>
      <c r="EF510" t="s">
        <v>29</v>
      </c>
      <c r="EG510" t="s">
        <v>29</v>
      </c>
      <c r="EH510" t="s">
        <v>29</v>
      </c>
      <c r="EI510" t="s">
        <v>1773</v>
      </c>
      <c r="EJ510" t="s">
        <v>29</v>
      </c>
      <c r="EK510" t="s">
        <v>29</v>
      </c>
      <c r="EL510" t="s">
        <v>29</v>
      </c>
      <c r="EM510" t="s">
        <v>1768</v>
      </c>
      <c r="EN510" t="s">
        <v>29</v>
      </c>
      <c r="EO510" t="s">
        <v>29</v>
      </c>
      <c r="EP510" t="s">
        <v>29</v>
      </c>
      <c r="EQ510" t="s">
        <v>1769</v>
      </c>
      <c r="ER510" t="s">
        <v>29</v>
      </c>
      <c r="ES510" t="s">
        <v>29</v>
      </c>
      <c r="ET510" t="s">
        <v>29</v>
      </c>
      <c r="EU510" t="s">
        <v>1770</v>
      </c>
      <c r="EV510" t="s">
        <v>29</v>
      </c>
      <c r="EW510" t="s">
        <v>29</v>
      </c>
      <c r="EX510" t="s">
        <v>29</v>
      </c>
      <c r="EY510" t="s">
        <v>1771</v>
      </c>
      <c r="EZ510" t="s">
        <v>29</v>
      </c>
      <c r="FA510" t="s">
        <v>29</v>
      </c>
      <c r="FB510" t="s">
        <v>29</v>
      </c>
      <c r="FC510" t="s">
        <v>1772</v>
      </c>
      <c r="FD510" t="s">
        <v>29</v>
      </c>
      <c r="FE510" t="s">
        <v>29</v>
      </c>
      <c r="FF510" t="s">
        <v>29</v>
      </c>
      <c r="HZ510" t="s">
        <v>1742</v>
      </c>
      <c r="IW510" t="s">
        <v>1742</v>
      </c>
      <c r="IX510" t="s">
        <v>1791</v>
      </c>
      <c r="IY510" t="s">
        <v>1791</v>
      </c>
      <c r="IZ510" t="s">
        <v>1791</v>
      </c>
      <c r="JA510">
        <v>5</v>
      </c>
      <c r="JB510">
        <v>70</v>
      </c>
      <c r="MZ510" t="s">
        <v>1805</v>
      </c>
      <c r="NA510">
        <v>1963</v>
      </c>
      <c r="NB510" t="s">
        <v>1785</v>
      </c>
      <c r="NC510" t="s">
        <v>1745</v>
      </c>
      <c r="NH510" t="s">
        <v>1788</v>
      </c>
      <c r="NI510" t="s">
        <v>711</v>
      </c>
      <c r="NK510" t="s">
        <v>203</v>
      </c>
      <c r="NM510" t="s">
        <v>203</v>
      </c>
      <c r="NN510" s="6" t="s">
        <v>1801</v>
      </c>
      <c r="NV510" t="s">
        <v>1827</v>
      </c>
      <c r="NW510" t="s">
        <v>6</v>
      </c>
      <c r="NX510">
        <v>1.5</v>
      </c>
      <c r="NY510" t="s">
        <v>1446</v>
      </c>
      <c r="NZ510">
        <v>2</v>
      </c>
      <c r="OC510">
        <v>6</v>
      </c>
      <c r="OT510" t="s">
        <v>1576</v>
      </c>
      <c r="OV510">
        <v>2010</v>
      </c>
      <c r="PA510" t="s">
        <v>1169</v>
      </c>
      <c r="PB510" s="58">
        <v>46108</v>
      </c>
    </row>
    <row r="511" spans="1:418" ht="15.75" thickBot="1">
      <c r="A511" t="s">
        <v>36</v>
      </c>
      <c r="B511" t="s">
        <v>1739</v>
      </c>
      <c r="C511" t="s">
        <v>1740</v>
      </c>
      <c r="D511" s="4" t="s">
        <v>245</v>
      </c>
      <c r="E511" t="s">
        <v>1806</v>
      </c>
      <c r="F511" s="4" t="s">
        <v>1804</v>
      </c>
      <c r="G511" t="s">
        <v>254</v>
      </c>
      <c r="H511" t="s">
        <v>30</v>
      </c>
      <c r="I511">
        <v>-23.748532000000001</v>
      </c>
      <c r="J511">
        <v>-62.056702000000001</v>
      </c>
      <c r="K511" s="87" t="s">
        <v>29</v>
      </c>
      <c r="AV511" t="s">
        <v>1766</v>
      </c>
      <c r="AW511" t="s">
        <v>234</v>
      </c>
      <c r="AX511" t="s">
        <v>234</v>
      </c>
      <c r="AY511" s="5">
        <v>5.5555555555555558E-3</v>
      </c>
      <c r="AZ511" t="s">
        <v>1803</v>
      </c>
      <c r="BA511">
        <v>2010</v>
      </c>
      <c r="BD511" t="s">
        <v>1759</v>
      </c>
      <c r="BE511" t="s">
        <v>1760</v>
      </c>
      <c r="BF511" t="s">
        <v>64</v>
      </c>
      <c r="BG511" t="s">
        <v>1779</v>
      </c>
      <c r="BH511" t="s">
        <v>1777</v>
      </c>
      <c r="BI511" t="s">
        <v>1782</v>
      </c>
      <c r="BJ511" t="s">
        <v>29</v>
      </c>
      <c r="BK511" t="s">
        <v>29</v>
      </c>
      <c r="EE511" t="s">
        <v>1774</v>
      </c>
      <c r="EF511" t="s">
        <v>29</v>
      </c>
      <c r="EG511" t="s">
        <v>29</v>
      </c>
      <c r="EH511" t="s">
        <v>29</v>
      </c>
      <c r="EI511" t="s">
        <v>1773</v>
      </c>
      <c r="EJ511" t="s">
        <v>29</v>
      </c>
      <c r="EK511" t="s">
        <v>29</v>
      </c>
      <c r="EL511" t="s">
        <v>29</v>
      </c>
      <c r="EM511" t="s">
        <v>1768</v>
      </c>
      <c r="EN511" t="s">
        <v>29</v>
      </c>
      <c r="EO511" t="s">
        <v>29</v>
      </c>
      <c r="EP511" t="s">
        <v>29</v>
      </c>
      <c r="EQ511" t="s">
        <v>1769</v>
      </c>
      <c r="ER511" t="s">
        <v>29</v>
      </c>
      <c r="ES511" t="s">
        <v>29</v>
      </c>
      <c r="ET511" t="s">
        <v>29</v>
      </c>
      <c r="EU511" t="s">
        <v>1770</v>
      </c>
      <c r="EV511" t="s">
        <v>29</v>
      </c>
      <c r="EW511" t="s">
        <v>29</v>
      </c>
      <c r="EX511" t="s">
        <v>29</v>
      </c>
      <c r="EY511" t="s">
        <v>1771</v>
      </c>
      <c r="EZ511" t="s">
        <v>29</v>
      </c>
      <c r="FA511" t="s">
        <v>29</v>
      </c>
      <c r="FB511" t="s">
        <v>29</v>
      </c>
      <c r="FC511" t="s">
        <v>1772</v>
      </c>
      <c r="FD511" t="s">
        <v>29</v>
      </c>
      <c r="FE511" t="s">
        <v>29</v>
      </c>
      <c r="FF511" t="s">
        <v>29</v>
      </c>
      <c r="GM511" t="s">
        <v>1775</v>
      </c>
      <c r="GN511" s="9" t="s">
        <v>29</v>
      </c>
      <c r="GO511" s="9" t="s">
        <v>29</v>
      </c>
      <c r="GP511" s="9" t="s">
        <v>29</v>
      </c>
      <c r="GQ511" s="9"/>
      <c r="GR511" s="9"/>
      <c r="GS511" s="9"/>
      <c r="GT511" s="9"/>
      <c r="GU511" s="9"/>
      <c r="GV511" s="9"/>
      <c r="GW511" s="9"/>
      <c r="GX511" s="9"/>
      <c r="GY511" s="9"/>
      <c r="GZ511" s="9"/>
      <c r="HA511" s="9"/>
      <c r="HB511" s="9"/>
      <c r="HC511" s="9"/>
      <c r="HD511" s="9"/>
      <c r="HE511" s="9"/>
      <c r="HF511" s="9"/>
      <c r="HG511" s="9"/>
      <c r="HH511" s="9"/>
      <c r="HI511" s="9"/>
      <c r="HJ511" s="9"/>
      <c r="HK511" s="9"/>
      <c r="HL511" s="9"/>
      <c r="HY511" s="58"/>
      <c r="HZ511" t="s">
        <v>1760</v>
      </c>
      <c r="IA511" t="s">
        <v>1795</v>
      </c>
      <c r="IW511" t="s">
        <v>1760</v>
      </c>
      <c r="IX511" s="84" t="s">
        <v>1792</v>
      </c>
      <c r="IY511" t="s">
        <v>1767</v>
      </c>
      <c r="IZ511" s="54" t="s">
        <v>1776</v>
      </c>
      <c r="JA511">
        <v>1</v>
      </c>
      <c r="JB511">
        <v>81</v>
      </c>
      <c r="MZ511" t="s">
        <v>1805</v>
      </c>
      <c r="NA511">
        <v>1963</v>
      </c>
      <c r="NB511" t="s">
        <v>1785</v>
      </c>
      <c r="NC511" t="s">
        <v>1745</v>
      </c>
      <c r="NH511" t="s">
        <v>1788</v>
      </c>
      <c r="NI511" t="s">
        <v>711</v>
      </c>
      <c r="NK511" t="s">
        <v>203</v>
      </c>
      <c r="NM511" t="s">
        <v>203</v>
      </c>
      <c r="NN511" s="6" t="s">
        <v>1801</v>
      </c>
      <c r="NW511" t="s">
        <v>6</v>
      </c>
      <c r="NX511">
        <v>1.1000000000000001</v>
      </c>
      <c r="NY511" t="s">
        <v>1446</v>
      </c>
      <c r="NZ511">
        <v>1.8</v>
      </c>
      <c r="OC511">
        <v>8</v>
      </c>
      <c r="OT511" t="s">
        <v>1576</v>
      </c>
      <c r="OV511">
        <v>2010</v>
      </c>
      <c r="PA511" t="s">
        <v>1169</v>
      </c>
      <c r="PB511" s="58">
        <v>46108</v>
      </c>
    </row>
    <row r="512" spans="1:418" ht="15.75" thickBot="1">
      <c r="A512" t="s">
        <v>36</v>
      </c>
      <c r="B512" t="s">
        <v>1739</v>
      </c>
      <c r="C512" t="s">
        <v>1740</v>
      </c>
      <c r="D512" s="4" t="s">
        <v>245</v>
      </c>
      <c r="E512" t="s">
        <v>1806</v>
      </c>
      <c r="F512" s="4" t="s">
        <v>1804</v>
      </c>
      <c r="G512" t="s">
        <v>254</v>
      </c>
      <c r="H512" t="s">
        <v>30</v>
      </c>
      <c r="I512">
        <v>-23.748532000000001</v>
      </c>
      <c r="J512">
        <v>-62.056702000000001</v>
      </c>
      <c r="K512" s="87" t="s">
        <v>29</v>
      </c>
      <c r="AV512" t="s">
        <v>1766</v>
      </c>
      <c r="AW512" t="s">
        <v>234</v>
      </c>
      <c r="AX512">
        <v>3600</v>
      </c>
      <c r="AY512" s="5">
        <v>5.5555555555555558E-3</v>
      </c>
      <c r="AZ512" t="s">
        <v>1803</v>
      </c>
      <c r="BA512">
        <v>2010</v>
      </c>
      <c r="BD512" t="s">
        <v>1759</v>
      </c>
      <c r="BE512" t="s">
        <v>1762</v>
      </c>
      <c r="BF512" t="s">
        <v>57</v>
      </c>
      <c r="BG512" t="s">
        <v>1779</v>
      </c>
      <c r="BH512" t="s">
        <v>1777</v>
      </c>
      <c r="BI512" t="s">
        <v>29</v>
      </c>
      <c r="BJ512" t="s">
        <v>29</v>
      </c>
      <c r="BK512" t="s">
        <v>29</v>
      </c>
      <c r="EE512" t="s">
        <v>1774</v>
      </c>
      <c r="EF512" t="s">
        <v>29</v>
      </c>
      <c r="EG512" t="s">
        <v>29</v>
      </c>
      <c r="EH512" t="s">
        <v>29</v>
      </c>
      <c r="EI512" t="s">
        <v>1773</v>
      </c>
      <c r="EJ512" t="s">
        <v>29</v>
      </c>
      <c r="EK512" t="s">
        <v>29</v>
      </c>
      <c r="EL512" t="s">
        <v>29</v>
      </c>
      <c r="EM512" t="s">
        <v>1768</v>
      </c>
      <c r="EN512" t="s">
        <v>29</v>
      </c>
      <c r="EO512" t="s">
        <v>29</v>
      </c>
      <c r="EP512" t="s">
        <v>29</v>
      </c>
      <c r="EQ512" t="s">
        <v>1769</v>
      </c>
      <c r="ER512" t="s">
        <v>29</v>
      </c>
      <c r="ES512" t="s">
        <v>29</v>
      </c>
      <c r="ET512" t="s">
        <v>29</v>
      </c>
      <c r="EU512" t="s">
        <v>1770</v>
      </c>
      <c r="EV512" t="s">
        <v>29</v>
      </c>
      <c r="EW512" t="s">
        <v>29</v>
      </c>
      <c r="EX512" t="s">
        <v>29</v>
      </c>
      <c r="EY512" t="s">
        <v>1771</v>
      </c>
      <c r="EZ512" t="s">
        <v>29</v>
      </c>
      <c r="FA512" t="s">
        <v>29</v>
      </c>
      <c r="FB512" t="s">
        <v>29</v>
      </c>
      <c r="FC512" t="s">
        <v>1772</v>
      </c>
      <c r="FD512" t="s">
        <v>29</v>
      </c>
      <c r="FE512" t="s">
        <v>29</v>
      </c>
      <c r="FF512" t="s">
        <v>29</v>
      </c>
      <c r="FG512" s="9"/>
      <c r="FH512" s="9"/>
      <c r="FI512" s="9"/>
      <c r="FJ512" s="9"/>
      <c r="FK512" s="9"/>
      <c r="FL512" s="9"/>
      <c r="FM512" s="9"/>
      <c r="FN512" s="9"/>
      <c r="FO512" s="9"/>
      <c r="FP512" s="9"/>
      <c r="FQ512" s="9"/>
      <c r="FR512" s="9"/>
      <c r="FS512" s="9"/>
      <c r="FT512" s="9"/>
      <c r="FU512" s="9"/>
      <c r="FV512" s="9"/>
      <c r="FW512" s="9"/>
      <c r="FX512" s="9"/>
      <c r="FY512" s="9"/>
      <c r="FZ512" s="9"/>
      <c r="GA512" s="9"/>
      <c r="GB512" s="9"/>
      <c r="GC512" s="9"/>
      <c r="GD512" s="9"/>
      <c r="GE512" s="9"/>
      <c r="GF512" s="9"/>
      <c r="GG512" s="9"/>
      <c r="GH512" s="9"/>
      <c r="GI512" s="9"/>
      <c r="GJ512" s="9"/>
      <c r="GK512" s="9"/>
      <c r="GL512" s="9"/>
      <c r="GM512" s="9" t="s">
        <v>1775</v>
      </c>
      <c r="GN512" s="9" t="s">
        <v>29</v>
      </c>
      <c r="GO512" s="9" t="s">
        <v>29</v>
      </c>
      <c r="GP512" s="9" t="s">
        <v>29</v>
      </c>
      <c r="GQ512" s="9"/>
      <c r="GR512" s="9"/>
      <c r="GS512" s="9"/>
      <c r="GT512" s="9"/>
      <c r="GU512" s="9"/>
      <c r="GV512" s="9"/>
      <c r="GW512" s="9"/>
      <c r="GX512" s="9"/>
      <c r="GY512" s="9"/>
      <c r="GZ512" s="9"/>
      <c r="HA512" s="9"/>
      <c r="HB512" s="9"/>
      <c r="HC512" s="9"/>
      <c r="HD512" s="9"/>
      <c r="HE512" s="9"/>
      <c r="HF512" s="9"/>
      <c r="HG512" s="9"/>
      <c r="HH512" s="9"/>
      <c r="HI512" s="9"/>
      <c r="HJ512" s="9"/>
      <c r="HK512" s="9"/>
      <c r="HL512" s="9"/>
      <c r="HY512" s="58"/>
      <c r="HZ512" t="s">
        <v>1762</v>
      </c>
      <c r="IA512" t="s">
        <v>1795</v>
      </c>
      <c r="IW512" t="s">
        <v>1762</v>
      </c>
      <c r="IX512" s="84" t="s">
        <v>1792</v>
      </c>
      <c r="IY512" s="12" t="s">
        <v>1767</v>
      </c>
      <c r="IZ512" s="54" t="s">
        <v>1778</v>
      </c>
      <c r="JA512">
        <v>7.5</v>
      </c>
      <c r="JB512">
        <v>56</v>
      </c>
      <c r="MZ512" t="s">
        <v>1805</v>
      </c>
      <c r="NA512">
        <v>1963</v>
      </c>
      <c r="NB512" t="s">
        <v>1785</v>
      </c>
      <c r="NC512" t="s">
        <v>1745</v>
      </c>
      <c r="NH512" t="s">
        <v>1788</v>
      </c>
      <c r="NI512" t="s">
        <v>711</v>
      </c>
      <c r="NK512" t="s">
        <v>203</v>
      </c>
      <c r="NM512" t="s">
        <v>203</v>
      </c>
      <c r="NN512" s="6" t="s">
        <v>1801</v>
      </c>
      <c r="NW512" t="s">
        <v>6</v>
      </c>
      <c r="NX512">
        <v>3.6</v>
      </c>
      <c r="NY512" t="s">
        <v>1446</v>
      </c>
      <c r="NZ512">
        <v>4.3</v>
      </c>
      <c r="OC512">
        <v>7</v>
      </c>
      <c r="OT512" t="s">
        <v>1576</v>
      </c>
      <c r="OV512">
        <v>2010</v>
      </c>
      <c r="PA512" t="s">
        <v>1169</v>
      </c>
      <c r="PB512" s="58">
        <v>46108</v>
      </c>
    </row>
    <row r="513" spans="1:418" ht="15.75" thickBot="1">
      <c r="A513" t="s">
        <v>36</v>
      </c>
      <c r="B513" t="s">
        <v>1739</v>
      </c>
      <c r="C513" t="s">
        <v>1740</v>
      </c>
      <c r="D513" s="4" t="s">
        <v>245</v>
      </c>
      <c r="E513" t="s">
        <v>1806</v>
      </c>
      <c r="F513" s="4" t="s">
        <v>1804</v>
      </c>
      <c r="G513" t="s">
        <v>254</v>
      </c>
      <c r="H513" t="s">
        <v>30</v>
      </c>
      <c r="I513">
        <v>-23.748532000000001</v>
      </c>
      <c r="J513">
        <v>-62.056702000000001</v>
      </c>
      <c r="K513" s="87" t="s">
        <v>29</v>
      </c>
      <c r="AV513" t="s">
        <v>1766</v>
      </c>
      <c r="AW513" t="s">
        <v>234</v>
      </c>
      <c r="AX513">
        <v>3600</v>
      </c>
      <c r="AY513" s="5">
        <v>5.5555555555555558E-3</v>
      </c>
      <c r="AZ513" t="s">
        <v>1803</v>
      </c>
      <c r="BA513">
        <v>2010</v>
      </c>
      <c r="BD513" t="s">
        <v>1759</v>
      </c>
      <c r="BE513" t="s">
        <v>1764</v>
      </c>
      <c r="BF513" t="s">
        <v>48</v>
      </c>
      <c r="BG513" t="s">
        <v>1779</v>
      </c>
      <c r="BH513" t="s">
        <v>1781</v>
      </c>
      <c r="BI513" t="s">
        <v>29</v>
      </c>
      <c r="BJ513" t="s">
        <v>29</v>
      </c>
      <c r="BK513" t="s">
        <v>29</v>
      </c>
      <c r="EE513" t="s">
        <v>1774</v>
      </c>
      <c r="EF513" t="s">
        <v>29</v>
      </c>
      <c r="EG513" t="s">
        <v>29</v>
      </c>
      <c r="EH513" t="s">
        <v>29</v>
      </c>
      <c r="EI513" t="s">
        <v>1773</v>
      </c>
      <c r="EJ513" t="s">
        <v>29</v>
      </c>
      <c r="EK513" t="s">
        <v>29</v>
      </c>
      <c r="EL513" t="s">
        <v>29</v>
      </c>
      <c r="EM513" t="s">
        <v>1768</v>
      </c>
      <c r="EN513" t="s">
        <v>29</v>
      </c>
      <c r="EO513" t="s">
        <v>29</v>
      </c>
      <c r="EP513" t="s">
        <v>29</v>
      </c>
      <c r="EQ513" t="s">
        <v>1769</v>
      </c>
      <c r="ER513" t="s">
        <v>29</v>
      </c>
      <c r="ES513" t="s">
        <v>29</v>
      </c>
      <c r="ET513" t="s">
        <v>29</v>
      </c>
      <c r="EU513" t="s">
        <v>1770</v>
      </c>
      <c r="EV513" t="s">
        <v>29</v>
      </c>
      <c r="EW513" t="s">
        <v>29</v>
      </c>
      <c r="EX513" t="s">
        <v>29</v>
      </c>
      <c r="EY513" t="s">
        <v>1771</v>
      </c>
      <c r="EZ513" t="s">
        <v>29</v>
      </c>
      <c r="FA513" t="s">
        <v>29</v>
      </c>
      <c r="FB513" t="s">
        <v>29</v>
      </c>
      <c r="FC513" t="s">
        <v>1772</v>
      </c>
      <c r="FD513" t="s">
        <v>29</v>
      </c>
      <c r="FE513" t="s">
        <v>29</v>
      </c>
      <c r="FF513" t="s">
        <v>29</v>
      </c>
      <c r="FG513" s="9"/>
      <c r="FH513" s="9"/>
      <c r="FI513" s="9"/>
      <c r="FJ513" s="9"/>
      <c r="FK513" s="9"/>
      <c r="FL513" s="9"/>
      <c r="FM513" s="9"/>
      <c r="FN513" s="9"/>
      <c r="FO513" s="9"/>
      <c r="FP513" s="9"/>
      <c r="FQ513" s="9"/>
      <c r="FR513" s="9"/>
      <c r="FS513" s="9"/>
      <c r="FT513" s="9"/>
      <c r="FU513" s="9"/>
      <c r="FV513" s="9"/>
      <c r="FW513" s="9"/>
      <c r="FX513" s="9"/>
      <c r="FY513" s="9"/>
      <c r="FZ513" s="9"/>
      <c r="GA513" s="9"/>
      <c r="GB513" s="9"/>
      <c r="GC513" s="9"/>
      <c r="GD513" s="9"/>
      <c r="GE513" s="9"/>
      <c r="GF513" s="9"/>
      <c r="GG513" s="9"/>
      <c r="GH513" s="9"/>
      <c r="GI513" s="9"/>
      <c r="GJ513" s="9"/>
      <c r="GK513" s="9"/>
      <c r="GL513" s="9"/>
      <c r="GM513" s="9" t="s">
        <v>1775</v>
      </c>
      <c r="GN513" s="9" t="s">
        <v>29</v>
      </c>
      <c r="GO513" s="9" t="s">
        <v>29</v>
      </c>
      <c r="GP513" s="9" t="s">
        <v>29</v>
      </c>
      <c r="GQ513" s="9"/>
      <c r="GR513" s="9"/>
      <c r="GS513" s="9"/>
      <c r="GT513" s="9"/>
      <c r="GU513" s="9"/>
      <c r="GV513" s="9"/>
      <c r="GW513" s="9"/>
      <c r="GX513" s="9"/>
      <c r="GY513" s="9"/>
      <c r="GZ513" s="9"/>
      <c r="HA513" s="9"/>
      <c r="HB513" s="9"/>
      <c r="HC513" s="9"/>
      <c r="HD513" s="9"/>
      <c r="HE513" s="9"/>
      <c r="HF513" s="9"/>
      <c r="HG513" s="9"/>
      <c r="HH513" s="9"/>
      <c r="HI513" s="9"/>
      <c r="HJ513" s="9"/>
      <c r="HK513" s="9"/>
      <c r="HL513" s="9"/>
      <c r="HY513" s="58"/>
      <c r="HZ513" t="s">
        <v>1764</v>
      </c>
      <c r="IA513" t="s">
        <v>1794</v>
      </c>
      <c r="IW513" t="s">
        <v>1764</v>
      </c>
      <c r="IX513" s="84" t="s">
        <v>1792</v>
      </c>
      <c r="IY513" s="12" t="s">
        <v>1767</v>
      </c>
      <c r="IZ513" s="54" t="s">
        <v>1778</v>
      </c>
      <c r="JA513">
        <v>7.5</v>
      </c>
      <c r="JB513">
        <v>37</v>
      </c>
      <c r="MZ513" t="s">
        <v>1805</v>
      </c>
      <c r="NA513">
        <v>1963</v>
      </c>
      <c r="NB513" t="s">
        <v>1785</v>
      </c>
      <c r="NC513" t="s">
        <v>1745</v>
      </c>
      <c r="NH513" t="s">
        <v>1788</v>
      </c>
      <c r="NI513" t="s">
        <v>711</v>
      </c>
      <c r="NK513" t="s">
        <v>203</v>
      </c>
      <c r="NM513" t="s">
        <v>203</v>
      </c>
      <c r="NN513" s="6" t="s">
        <v>1801</v>
      </c>
      <c r="NW513" t="s">
        <v>6</v>
      </c>
      <c r="NX513">
        <v>8.1999999999999993</v>
      </c>
      <c r="NY513" t="s">
        <v>1446</v>
      </c>
      <c r="NZ513">
        <v>9.1999999999999993</v>
      </c>
      <c r="OC513">
        <v>5</v>
      </c>
      <c r="OT513" t="s">
        <v>1576</v>
      </c>
      <c r="OV513">
        <v>2010</v>
      </c>
      <c r="PA513" t="s">
        <v>1169</v>
      </c>
      <c r="PB513" s="58">
        <v>46108</v>
      </c>
    </row>
    <row r="514" spans="1:418" ht="15.75" thickBot="1">
      <c r="A514" t="s">
        <v>36</v>
      </c>
      <c r="B514" t="s">
        <v>1739</v>
      </c>
      <c r="C514" t="s">
        <v>1740</v>
      </c>
      <c r="D514" s="4" t="s">
        <v>245</v>
      </c>
      <c r="E514" t="s">
        <v>1806</v>
      </c>
      <c r="F514" s="4" t="s">
        <v>1804</v>
      </c>
      <c r="G514" t="s">
        <v>254</v>
      </c>
      <c r="H514" t="s">
        <v>30</v>
      </c>
      <c r="I514">
        <v>-23.748532000000001</v>
      </c>
      <c r="J514">
        <v>-62.056702000000001</v>
      </c>
      <c r="K514" s="87" t="s">
        <v>29</v>
      </c>
      <c r="AV514" t="s">
        <v>1766</v>
      </c>
      <c r="AW514" t="s">
        <v>234</v>
      </c>
      <c r="AX514" t="s">
        <v>234</v>
      </c>
      <c r="AY514" s="5">
        <v>5.5555555555555558E-3</v>
      </c>
      <c r="AZ514" t="s">
        <v>1803</v>
      </c>
      <c r="BA514">
        <v>2010</v>
      </c>
      <c r="BD514" t="s">
        <v>1747</v>
      </c>
      <c r="BE514" t="s">
        <v>1748</v>
      </c>
      <c r="BF514" t="s">
        <v>24</v>
      </c>
      <c r="BG514" t="s">
        <v>1779</v>
      </c>
      <c r="BH514" t="s">
        <v>1781</v>
      </c>
      <c r="BI514" t="s">
        <v>29</v>
      </c>
      <c r="BJ514" t="s">
        <v>29</v>
      </c>
      <c r="BK514" t="s">
        <v>29</v>
      </c>
      <c r="GM514" t="s">
        <v>1775</v>
      </c>
      <c r="GN514" s="9" t="s">
        <v>29</v>
      </c>
      <c r="GO514" s="9" t="s">
        <v>29</v>
      </c>
      <c r="GP514" s="9" t="s">
        <v>29</v>
      </c>
      <c r="HZ514" t="s">
        <v>1748</v>
      </c>
      <c r="IA514" t="s">
        <v>1794</v>
      </c>
      <c r="IW514" t="s">
        <v>1748</v>
      </c>
      <c r="IX514" s="54" t="s">
        <v>1793</v>
      </c>
      <c r="IY514" s="54" t="s">
        <v>1793</v>
      </c>
      <c r="IZ514" s="54" t="s">
        <v>1780</v>
      </c>
      <c r="JA514">
        <v>1</v>
      </c>
      <c r="JB514">
        <v>6</v>
      </c>
      <c r="MZ514" t="s">
        <v>1805</v>
      </c>
      <c r="NA514">
        <v>1963</v>
      </c>
      <c r="NB514" t="s">
        <v>1785</v>
      </c>
      <c r="NC514" t="s">
        <v>1745</v>
      </c>
      <c r="NH514" t="s">
        <v>1788</v>
      </c>
      <c r="NI514" t="s">
        <v>711</v>
      </c>
      <c r="NK514" t="s">
        <v>203</v>
      </c>
      <c r="NM514" t="s">
        <v>203</v>
      </c>
      <c r="NN514" s="6" t="s">
        <v>1801</v>
      </c>
      <c r="NV514" t="s">
        <v>1828</v>
      </c>
      <c r="NW514" t="s">
        <v>6</v>
      </c>
      <c r="NX514">
        <v>39.6</v>
      </c>
      <c r="NY514" t="s">
        <v>1446</v>
      </c>
      <c r="NZ514">
        <v>67.2</v>
      </c>
      <c r="OC514">
        <v>7</v>
      </c>
      <c r="OT514" t="s">
        <v>1576</v>
      </c>
      <c r="OV514">
        <v>2010</v>
      </c>
      <c r="PA514" t="s">
        <v>1169</v>
      </c>
      <c r="PB514" s="58">
        <v>46108</v>
      </c>
    </row>
    <row r="515" spans="1:418" ht="15.75" thickBot="1">
      <c r="A515" t="s">
        <v>36</v>
      </c>
      <c r="B515" t="s">
        <v>1739</v>
      </c>
      <c r="C515" t="s">
        <v>1740</v>
      </c>
      <c r="D515" s="4" t="s">
        <v>245</v>
      </c>
      <c r="E515" t="s">
        <v>1806</v>
      </c>
      <c r="F515" s="4" t="s">
        <v>1804</v>
      </c>
      <c r="G515" t="s">
        <v>254</v>
      </c>
      <c r="H515" t="s">
        <v>30</v>
      </c>
      <c r="I515">
        <v>-23.748532000000001</v>
      </c>
      <c r="J515">
        <v>-62.056702000000001</v>
      </c>
      <c r="K515" s="87" t="s">
        <v>29</v>
      </c>
      <c r="AV515" t="s">
        <v>1766</v>
      </c>
      <c r="AW515" t="s">
        <v>234</v>
      </c>
      <c r="AX515">
        <v>1000</v>
      </c>
      <c r="AY515" s="5">
        <v>5.5555555555555558E-3</v>
      </c>
      <c r="AZ515" t="s">
        <v>1803</v>
      </c>
      <c r="BA515">
        <v>2010</v>
      </c>
      <c r="BD515" t="s">
        <v>1825</v>
      </c>
      <c r="BE515" t="s">
        <v>1742</v>
      </c>
      <c r="BF515" t="s">
        <v>39</v>
      </c>
      <c r="BG515" t="s">
        <v>1743</v>
      </c>
      <c r="EE515" t="s">
        <v>1774</v>
      </c>
      <c r="EF515" t="s">
        <v>29</v>
      </c>
      <c r="EG515" t="s">
        <v>29</v>
      </c>
      <c r="EH515" t="s">
        <v>29</v>
      </c>
      <c r="EI515" t="s">
        <v>1773</v>
      </c>
      <c r="EJ515" t="s">
        <v>29</v>
      </c>
      <c r="EK515" t="s">
        <v>29</v>
      </c>
      <c r="EL515" t="s">
        <v>29</v>
      </c>
      <c r="EM515" t="s">
        <v>1768</v>
      </c>
      <c r="EN515" t="s">
        <v>29</v>
      </c>
      <c r="EO515" t="s">
        <v>29</v>
      </c>
      <c r="EP515" t="s">
        <v>29</v>
      </c>
      <c r="EQ515" t="s">
        <v>1769</v>
      </c>
      <c r="ER515" t="s">
        <v>29</v>
      </c>
      <c r="ES515" t="s">
        <v>29</v>
      </c>
      <c r="ET515" t="s">
        <v>29</v>
      </c>
      <c r="EU515" t="s">
        <v>1770</v>
      </c>
      <c r="EV515" t="s">
        <v>29</v>
      </c>
      <c r="EW515" t="s">
        <v>29</v>
      </c>
      <c r="EX515" t="s">
        <v>29</v>
      </c>
      <c r="EY515" t="s">
        <v>1771</v>
      </c>
      <c r="EZ515" t="s">
        <v>29</v>
      </c>
      <c r="FA515" t="s">
        <v>29</v>
      </c>
      <c r="FB515" t="s">
        <v>29</v>
      </c>
      <c r="FC515" t="s">
        <v>1772</v>
      </c>
      <c r="FD515" t="s">
        <v>29</v>
      </c>
      <c r="FE515" t="s">
        <v>29</v>
      </c>
      <c r="FF515" t="s">
        <v>29</v>
      </c>
      <c r="HZ515" t="s">
        <v>1742</v>
      </c>
      <c r="IW515" t="s">
        <v>1742</v>
      </c>
      <c r="IX515" t="s">
        <v>1791</v>
      </c>
      <c r="IY515" t="s">
        <v>1791</v>
      </c>
      <c r="IZ515" t="s">
        <v>1791</v>
      </c>
      <c r="JA515">
        <v>5</v>
      </c>
      <c r="JB515">
        <v>70</v>
      </c>
      <c r="MZ515" t="s">
        <v>1805</v>
      </c>
      <c r="NA515">
        <v>1963</v>
      </c>
      <c r="NB515" t="s">
        <v>1744</v>
      </c>
      <c r="NC515" t="s">
        <v>1745</v>
      </c>
      <c r="NI515" t="s">
        <v>711</v>
      </c>
      <c r="NK515" t="s">
        <v>1746</v>
      </c>
      <c r="NM515" t="s">
        <v>1746</v>
      </c>
      <c r="NV515" t="s">
        <v>1827</v>
      </c>
      <c r="NW515" t="s">
        <v>6</v>
      </c>
      <c r="NX515">
        <v>2.2000000000000002</v>
      </c>
      <c r="NY515" t="s">
        <v>1446</v>
      </c>
      <c r="NZ515">
        <v>0.3</v>
      </c>
      <c r="OC515">
        <v>6</v>
      </c>
      <c r="OT515" t="s">
        <v>1576</v>
      </c>
      <c r="OV515">
        <v>2010</v>
      </c>
      <c r="PA515" t="s">
        <v>1169</v>
      </c>
      <c r="PB515" s="58">
        <v>46108</v>
      </c>
    </row>
    <row r="516" spans="1:418" ht="15.75" thickBot="1">
      <c r="A516" t="s">
        <v>36</v>
      </c>
      <c r="B516" t="s">
        <v>1739</v>
      </c>
      <c r="C516" t="s">
        <v>1740</v>
      </c>
      <c r="D516" s="4" t="s">
        <v>245</v>
      </c>
      <c r="E516" t="s">
        <v>1806</v>
      </c>
      <c r="F516" s="4" t="s">
        <v>1804</v>
      </c>
      <c r="G516" t="s">
        <v>254</v>
      </c>
      <c r="H516" t="s">
        <v>30</v>
      </c>
      <c r="I516">
        <v>-23.748532000000001</v>
      </c>
      <c r="J516">
        <v>-62.056702000000001</v>
      </c>
      <c r="K516" s="87" t="s">
        <v>29</v>
      </c>
      <c r="AV516" t="s">
        <v>1766</v>
      </c>
      <c r="AW516" t="s">
        <v>234</v>
      </c>
      <c r="AX516" t="s">
        <v>234</v>
      </c>
      <c r="AY516" s="5">
        <v>5.5555555555555558E-3</v>
      </c>
      <c r="AZ516" t="s">
        <v>1803</v>
      </c>
      <c r="BA516">
        <v>2010</v>
      </c>
      <c r="BD516" t="s">
        <v>1759</v>
      </c>
      <c r="BE516" t="s">
        <v>1760</v>
      </c>
      <c r="BF516" t="s">
        <v>64</v>
      </c>
      <c r="BG516" t="s">
        <v>1779</v>
      </c>
      <c r="BH516" t="s">
        <v>1777</v>
      </c>
      <c r="BI516" t="s">
        <v>1782</v>
      </c>
      <c r="BJ516" t="s">
        <v>29</v>
      </c>
      <c r="BK516" t="s">
        <v>29</v>
      </c>
      <c r="EE516" t="s">
        <v>1774</v>
      </c>
      <c r="EF516" t="s">
        <v>29</v>
      </c>
      <c r="EG516" t="s">
        <v>29</v>
      </c>
      <c r="EH516" t="s">
        <v>29</v>
      </c>
      <c r="EI516" t="s">
        <v>1773</v>
      </c>
      <c r="EJ516" t="s">
        <v>29</v>
      </c>
      <c r="EK516" t="s">
        <v>29</v>
      </c>
      <c r="EL516" t="s">
        <v>29</v>
      </c>
      <c r="EM516" t="s">
        <v>1768</v>
      </c>
      <c r="EN516" t="s">
        <v>29</v>
      </c>
      <c r="EO516" t="s">
        <v>29</v>
      </c>
      <c r="EP516" t="s">
        <v>29</v>
      </c>
      <c r="EQ516" t="s">
        <v>1769</v>
      </c>
      <c r="ER516" t="s">
        <v>29</v>
      </c>
      <c r="ES516" t="s">
        <v>29</v>
      </c>
      <c r="ET516" t="s">
        <v>29</v>
      </c>
      <c r="EU516" t="s">
        <v>1770</v>
      </c>
      <c r="EV516" t="s">
        <v>29</v>
      </c>
      <c r="EW516" t="s">
        <v>29</v>
      </c>
      <c r="EX516" t="s">
        <v>29</v>
      </c>
      <c r="EY516" t="s">
        <v>1771</v>
      </c>
      <c r="EZ516" t="s">
        <v>29</v>
      </c>
      <c r="FA516" t="s">
        <v>29</v>
      </c>
      <c r="FB516" t="s">
        <v>29</v>
      </c>
      <c r="FC516" t="s">
        <v>1772</v>
      </c>
      <c r="FD516" t="s">
        <v>29</v>
      </c>
      <c r="FE516" t="s">
        <v>29</v>
      </c>
      <c r="FF516" t="s">
        <v>29</v>
      </c>
      <c r="GM516" t="s">
        <v>1775</v>
      </c>
      <c r="GN516" s="9" t="s">
        <v>29</v>
      </c>
      <c r="GO516" s="9" t="s">
        <v>29</v>
      </c>
      <c r="GP516" s="9" t="s">
        <v>29</v>
      </c>
      <c r="GQ516" s="9"/>
      <c r="GR516" s="9"/>
      <c r="GS516" s="9"/>
      <c r="GT516" s="9"/>
      <c r="GU516" s="9"/>
      <c r="GV516" s="9"/>
      <c r="GW516" s="9"/>
      <c r="GX516" s="9"/>
      <c r="GY516" s="9"/>
      <c r="GZ516" s="9"/>
      <c r="HA516" s="9"/>
      <c r="HB516" s="9"/>
      <c r="HC516" s="9"/>
      <c r="HD516" s="9"/>
      <c r="HE516" s="9"/>
      <c r="HF516" s="9"/>
      <c r="HG516" s="9"/>
      <c r="HH516" s="9"/>
      <c r="HI516" s="9"/>
      <c r="HJ516" s="9"/>
      <c r="HK516" s="9"/>
      <c r="HL516" s="9"/>
      <c r="HY516" s="58"/>
      <c r="HZ516" t="s">
        <v>1760</v>
      </c>
      <c r="IA516" t="s">
        <v>1795</v>
      </c>
      <c r="IW516" t="s">
        <v>1760</v>
      </c>
      <c r="IX516" s="84" t="s">
        <v>1792</v>
      </c>
      <c r="IY516" t="s">
        <v>1767</v>
      </c>
      <c r="IZ516" s="54" t="s">
        <v>1776</v>
      </c>
      <c r="JA516">
        <v>1</v>
      </c>
      <c r="JB516">
        <v>81</v>
      </c>
      <c r="MZ516" t="s">
        <v>1805</v>
      </c>
      <c r="NA516">
        <v>1963</v>
      </c>
      <c r="NB516" t="s">
        <v>1744</v>
      </c>
      <c r="NC516" t="s">
        <v>1745</v>
      </c>
      <c r="NI516" t="s">
        <v>711</v>
      </c>
      <c r="NK516" t="s">
        <v>1746</v>
      </c>
      <c r="NM516" t="s">
        <v>1746</v>
      </c>
      <c r="NW516" t="s">
        <v>6</v>
      </c>
      <c r="NX516">
        <v>2</v>
      </c>
      <c r="NY516" t="s">
        <v>1446</v>
      </c>
      <c r="NZ516">
        <v>0.3</v>
      </c>
      <c r="OC516">
        <v>8</v>
      </c>
      <c r="OT516" t="s">
        <v>1576</v>
      </c>
      <c r="OV516">
        <v>2010</v>
      </c>
      <c r="PA516" t="s">
        <v>1169</v>
      </c>
      <c r="PB516" s="58">
        <v>46108</v>
      </c>
    </row>
    <row r="517" spans="1:418" ht="15.75" thickBot="1">
      <c r="A517" t="s">
        <v>36</v>
      </c>
      <c r="B517" t="s">
        <v>1739</v>
      </c>
      <c r="C517" t="s">
        <v>1740</v>
      </c>
      <c r="D517" s="4" t="s">
        <v>245</v>
      </c>
      <c r="E517" t="s">
        <v>1806</v>
      </c>
      <c r="F517" s="4" t="s">
        <v>1804</v>
      </c>
      <c r="G517" t="s">
        <v>254</v>
      </c>
      <c r="H517" t="s">
        <v>30</v>
      </c>
      <c r="I517">
        <v>-23.748532000000001</v>
      </c>
      <c r="J517">
        <v>-62.056702000000001</v>
      </c>
      <c r="K517" s="87" t="s">
        <v>29</v>
      </c>
      <c r="AV517" t="s">
        <v>1766</v>
      </c>
      <c r="AW517" t="s">
        <v>234</v>
      </c>
      <c r="AX517">
        <v>3600</v>
      </c>
      <c r="AY517" s="5">
        <v>5.5555555555555558E-3</v>
      </c>
      <c r="AZ517" t="s">
        <v>1803</v>
      </c>
      <c r="BA517">
        <v>2010</v>
      </c>
      <c r="BD517" t="s">
        <v>1759</v>
      </c>
      <c r="BE517" t="s">
        <v>1762</v>
      </c>
      <c r="BF517" t="s">
        <v>57</v>
      </c>
      <c r="BG517" t="s">
        <v>1779</v>
      </c>
      <c r="BH517" t="s">
        <v>1777</v>
      </c>
      <c r="BI517" t="s">
        <v>29</v>
      </c>
      <c r="BJ517" t="s">
        <v>29</v>
      </c>
      <c r="BK517" t="s">
        <v>29</v>
      </c>
      <c r="EE517" t="s">
        <v>1774</v>
      </c>
      <c r="EF517" t="s">
        <v>29</v>
      </c>
      <c r="EG517" t="s">
        <v>29</v>
      </c>
      <c r="EH517" t="s">
        <v>29</v>
      </c>
      <c r="EI517" t="s">
        <v>1773</v>
      </c>
      <c r="EJ517" t="s">
        <v>29</v>
      </c>
      <c r="EK517" t="s">
        <v>29</v>
      </c>
      <c r="EL517" t="s">
        <v>29</v>
      </c>
      <c r="EM517" t="s">
        <v>1768</v>
      </c>
      <c r="EN517" t="s">
        <v>29</v>
      </c>
      <c r="EO517" t="s">
        <v>29</v>
      </c>
      <c r="EP517" t="s">
        <v>29</v>
      </c>
      <c r="EQ517" t="s">
        <v>1769</v>
      </c>
      <c r="ER517" t="s">
        <v>29</v>
      </c>
      <c r="ES517" t="s">
        <v>29</v>
      </c>
      <c r="ET517" t="s">
        <v>29</v>
      </c>
      <c r="EU517" t="s">
        <v>1770</v>
      </c>
      <c r="EV517" t="s">
        <v>29</v>
      </c>
      <c r="EW517" t="s">
        <v>29</v>
      </c>
      <c r="EX517" t="s">
        <v>29</v>
      </c>
      <c r="EY517" t="s">
        <v>1771</v>
      </c>
      <c r="EZ517" t="s">
        <v>29</v>
      </c>
      <c r="FA517" t="s">
        <v>29</v>
      </c>
      <c r="FB517" t="s">
        <v>29</v>
      </c>
      <c r="FC517" t="s">
        <v>1772</v>
      </c>
      <c r="FD517" t="s">
        <v>29</v>
      </c>
      <c r="FE517" t="s">
        <v>29</v>
      </c>
      <c r="FF517" t="s">
        <v>29</v>
      </c>
      <c r="FG517" s="9"/>
      <c r="FH517" s="9"/>
      <c r="FI517" s="9"/>
      <c r="FJ517" s="9"/>
      <c r="FK517" s="9"/>
      <c r="FL517" s="9"/>
      <c r="FM517" s="9"/>
      <c r="FN517" s="9"/>
      <c r="FO517" s="9"/>
      <c r="FP517" s="9"/>
      <c r="FQ517" s="9"/>
      <c r="FR517" s="9"/>
      <c r="FS517" s="9"/>
      <c r="FT517" s="9"/>
      <c r="FU517" s="9"/>
      <c r="FV517" s="9"/>
      <c r="FW517" s="9"/>
      <c r="FX517" s="9"/>
      <c r="FY517" s="9"/>
      <c r="FZ517" s="9"/>
      <c r="GA517" s="9"/>
      <c r="GB517" s="9"/>
      <c r="GC517" s="9"/>
      <c r="GD517" s="9"/>
      <c r="GE517" s="9"/>
      <c r="GF517" s="9"/>
      <c r="GG517" s="9"/>
      <c r="GH517" s="9"/>
      <c r="GI517" s="9"/>
      <c r="GJ517" s="9"/>
      <c r="GK517" s="9"/>
      <c r="GL517" s="9"/>
      <c r="GM517" s="9" t="s">
        <v>1775</v>
      </c>
      <c r="GN517" s="9" t="s">
        <v>29</v>
      </c>
      <c r="GO517" s="9" t="s">
        <v>29</v>
      </c>
      <c r="GP517" s="9" t="s">
        <v>29</v>
      </c>
      <c r="GQ517" s="9"/>
      <c r="GR517" s="9"/>
      <c r="GS517" s="9"/>
      <c r="GT517" s="9"/>
      <c r="GU517" s="9"/>
      <c r="GV517" s="9"/>
      <c r="GW517" s="9"/>
      <c r="GX517" s="9"/>
      <c r="GY517" s="9"/>
      <c r="GZ517" s="9"/>
      <c r="HA517" s="9"/>
      <c r="HB517" s="9"/>
      <c r="HC517" s="9"/>
      <c r="HD517" s="9"/>
      <c r="HE517" s="9"/>
      <c r="HF517" s="9"/>
      <c r="HG517" s="9"/>
      <c r="HH517" s="9"/>
      <c r="HI517" s="9"/>
      <c r="HJ517" s="9"/>
      <c r="HK517" s="9"/>
      <c r="HL517" s="9"/>
      <c r="HY517" s="58"/>
      <c r="HZ517" t="s">
        <v>1762</v>
      </c>
      <c r="IA517" t="s">
        <v>1795</v>
      </c>
      <c r="IW517" t="s">
        <v>1762</v>
      </c>
      <c r="IX517" s="84" t="s">
        <v>1792</v>
      </c>
      <c r="IY517" s="12" t="s">
        <v>1767</v>
      </c>
      <c r="IZ517" s="54" t="s">
        <v>1778</v>
      </c>
      <c r="JA517">
        <v>7.5</v>
      </c>
      <c r="JB517">
        <v>56</v>
      </c>
      <c r="MZ517" t="s">
        <v>1805</v>
      </c>
      <c r="NA517">
        <v>1963</v>
      </c>
      <c r="NB517" t="s">
        <v>1744</v>
      </c>
      <c r="NC517" t="s">
        <v>1745</v>
      </c>
      <c r="NI517" t="s">
        <v>711</v>
      </c>
      <c r="NK517" t="s">
        <v>1746</v>
      </c>
      <c r="NM517" t="s">
        <v>1746</v>
      </c>
      <c r="NW517" t="s">
        <v>6</v>
      </c>
      <c r="NX517">
        <v>2</v>
      </c>
      <c r="NY517" t="s">
        <v>1446</v>
      </c>
      <c r="NZ517">
        <v>0.3</v>
      </c>
      <c r="OC517">
        <v>7</v>
      </c>
      <c r="OT517" t="s">
        <v>1576</v>
      </c>
      <c r="OV517">
        <v>2010</v>
      </c>
      <c r="PA517" t="s">
        <v>1169</v>
      </c>
      <c r="PB517" s="58">
        <v>46108</v>
      </c>
    </row>
    <row r="518" spans="1:418" ht="15.75" thickBot="1">
      <c r="A518" t="s">
        <v>36</v>
      </c>
      <c r="B518" t="s">
        <v>1739</v>
      </c>
      <c r="C518" t="s">
        <v>1740</v>
      </c>
      <c r="D518" s="4" t="s">
        <v>245</v>
      </c>
      <c r="E518" t="s">
        <v>1806</v>
      </c>
      <c r="F518" s="4" t="s">
        <v>1804</v>
      </c>
      <c r="G518" t="s">
        <v>254</v>
      </c>
      <c r="H518" t="s">
        <v>30</v>
      </c>
      <c r="I518">
        <v>-23.748532000000001</v>
      </c>
      <c r="J518">
        <v>-62.056702000000001</v>
      </c>
      <c r="K518" s="87" t="s">
        <v>29</v>
      </c>
      <c r="AV518" t="s">
        <v>1766</v>
      </c>
      <c r="AW518" t="s">
        <v>234</v>
      </c>
      <c r="AX518">
        <v>3600</v>
      </c>
      <c r="AY518" s="5">
        <v>5.5555555555555558E-3</v>
      </c>
      <c r="AZ518" t="s">
        <v>1803</v>
      </c>
      <c r="BA518">
        <v>2010</v>
      </c>
      <c r="BD518" t="s">
        <v>1759</v>
      </c>
      <c r="BE518" t="s">
        <v>1764</v>
      </c>
      <c r="BF518" t="s">
        <v>48</v>
      </c>
      <c r="BG518" t="s">
        <v>1779</v>
      </c>
      <c r="BH518" t="s">
        <v>1781</v>
      </c>
      <c r="BI518" t="s">
        <v>29</v>
      </c>
      <c r="BJ518" t="s">
        <v>29</v>
      </c>
      <c r="BK518" t="s">
        <v>29</v>
      </c>
      <c r="EE518" t="s">
        <v>1774</v>
      </c>
      <c r="EF518" t="s">
        <v>29</v>
      </c>
      <c r="EG518" t="s">
        <v>29</v>
      </c>
      <c r="EH518" t="s">
        <v>29</v>
      </c>
      <c r="EI518" t="s">
        <v>1773</v>
      </c>
      <c r="EJ518" t="s">
        <v>29</v>
      </c>
      <c r="EK518" t="s">
        <v>29</v>
      </c>
      <c r="EL518" t="s">
        <v>29</v>
      </c>
      <c r="EM518" t="s">
        <v>1768</v>
      </c>
      <c r="EN518" t="s">
        <v>29</v>
      </c>
      <c r="EO518" t="s">
        <v>29</v>
      </c>
      <c r="EP518" t="s">
        <v>29</v>
      </c>
      <c r="EQ518" t="s">
        <v>1769</v>
      </c>
      <c r="ER518" t="s">
        <v>29</v>
      </c>
      <c r="ES518" t="s">
        <v>29</v>
      </c>
      <c r="ET518" t="s">
        <v>29</v>
      </c>
      <c r="EU518" t="s">
        <v>1770</v>
      </c>
      <c r="EV518" t="s">
        <v>29</v>
      </c>
      <c r="EW518" t="s">
        <v>29</v>
      </c>
      <c r="EX518" t="s">
        <v>29</v>
      </c>
      <c r="EY518" t="s">
        <v>1771</v>
      </c>
      <c r="EZ518" t="s">
        <v>29</v>
      </c>
      <c r="FA518" t="s">
        <v>29</v>
      </c>
      <c r="FB518" t="s">
        <v>29</v>
      </c>
      <c r="FC518" t="s">
        <v>1772</v>
      </c>
      <c r="FD518" t="s">
        <v>29</v>
      </c>
      <c r="FE518" t="s">
        <v>29</v>
      </c>
      <c r="FF518" t="s">
        <v>29</v>
      </c>
      <c r="FG518" s="9"/>
      <c r="FH518" s="9"/>
      <c r="FI518" s="9"/>
      <c r="FJ518" s="9"/>
      <c r="FK518" s="9"/>
      <c r="FL518" s="9"/>
      <c r="FM518" s="9"/>
      <c r="FN518" s="9"/>
      <c r="FO518" s="9"/>
      <c r="FP518" s="9"/>
      <c r="FQ518" s="9"/>
      <c r="FR518" s="9"/>
      <c r="FS518" s="9"/>
      <c r="FT518" s="9"/>
      <c r="FU518" s="9"/>
      <c r="FV518" s="9"/>
      <c r="FW518" s="9"/>
      <c r="FX518" s="9"/>
      <c r="FY518" s="9"/>
      <c r="FZ518" s="9"/>
      <c r="GA518" s="9"/>
      <c r="GB518" s="9"/>
      <c r="GC518" s="9"/>
      <c r="GD518" s="9"/>
      <c r="GE518" s="9"/>
      <c r="GF518" s="9"/>
      <c r="GG518" s="9"/>
      <c r="GH518" s="9"/>
      <c r="GI518" s="9"/>
      <c r="GJ518" s="9"/>
      <c r="GK518" s="9"/>
      <c r="GL518" s="9"/>
      <c r="GM518" s="9" t="s">
        <v>1775</v>
      </c>
      <c r="GN518" s="9" t="s">
        <v>29</v>
      </c>
      <c r="GO518" s="9" t="s">
        <v>29</v>
      </c>
      <c r="GP518" s="9" t="s">
        <v>29</v>
      </c>
      <c r="GQ518" s="9"/>
      <c r="GR518" s="9"/>
      <c r="GS518" s="9"/>
      <c r="GT518" s="9"/>
      <c r="GU518" s="9"/>
      <c r="GV518" s="9"/>
      <c r="GW518" s="9"/>
      <c r="GX518" s="9"/>
      <c r="GY518" s="9"/>
      <c r="GZ518" s="9"/>
      <c r="HA518" s="9"/>
      <c r="HB518" s="9"/>
      <c r="HC518" s="9"/>
      <c r="HD518" s="9"/>
      <c r="HE518" s="9"/>
      <c r="HF518" s="9"/>
      <c r="HG518" s="9"/>
      <c r="HH518" s="9"/>
      <c r="HI518" s="9"/>
      <c r="HJ518" s="9"/>
      <c r="HK518" s="9"/>
      <c r="HL518" s="9"/>
      <c r="HY518" s="58"/>
      <c r="HZ518" t="s">
        <v>1764</v>
      </c>
      <c r="IA518" t="s">
        <v>1794</v>
      </c>
      <c r="IW518" t="s">
        <v>1764</v>
      </c>
      <c r="IX518" s="84" t="s">
        <v>1792</v>
      </c>
      <c r="IY518" s="12" t="s">
        <v>1767</v>
      </c>
      <c r="IZ518" s="54" t="s">
        <v>1778</v>
      </c>
      <c r="JA518">
        <v>7.5</v>
      </c>
      <c r="JB518">
        <v>37</v>
      </c>
      <c r="MZ518" t="s">
        <v>1805</v>
      </c>
      <c r="NA518">
        <v>1963</v>
      </c>
      <c r="NB518" t="s">
        <v>1744</v>
      </c>
      <c r="NC518" t="s">
        <v>1745</v>
      </c>
      <c r="NI518" t="s">
        <v>711</v>
      </c>
      <c r="NK518" t="s">
        <v>1746</v>
      </c>
      <c r="NM518" t="s">
        <v>1746</v>
      </c>
      <c r="NW518" t="s">
        <v>6</v>
      </c>
      <c r="NX518">
        <v>2</v>
      </c>
      <c r="NY518" t="s">
        <v>1446</v>
      </c>
      <c r="NZ518">
        <v>0.3</v>
      </c>
      <c r="OC518">
        <v>5</v>
      </c>
      <c r="OT518" t="s">
        <v>1576</v>
      </c>
      <c r="OV518">
        <v>2010</v>
      </c>
      <c r="PA518" t="s">
        <v>1169</v>
      </c>
      <c r="PB518" s="58">
        <v>46108</v>
      </c>
    </row>
    <row r="519" spans="1:418" ht="15.75" thickBot="1">
      <c r="A519" t="s">
        <v>36</v>
      </c>
      <c r="B519" t="s">
        <v>1739</v>
      </c>
      <c r="C519" t="s">
        <v>1740</v>
      </c>
      <c r="D519" s="4" t="s">
        <v>245</v>
      </c>
      <c r="E519" t="s">
        <v>1806</v>
      </c>
      <c r="F519" s="4" t="s">
        <v>1804</v>
      </c>
      <c r="G519" t="s">
        <v>254</v>
      </c>
      <c r="H519" t="s">
        <v>30</v>
      </c>
      <c r="I519">
        <v>-23.748532000000001</v>
      </c>
      <c r="J519">
        <v>-62.056702000000001</v>
      </c>
      <c r="K519" s="87" t="s">
        <v>29</v>
      </c>
      <c r="AV519" t="s">
        <v>1766</v>
      </c>
      <c r="AW519" t="s">
        <v>234</v>
      </c>
      <c r="AX519" t="s">
        <v>234</v>
      </c>
      <c r="AY519" s="5">
        <v>5.5555555555555558E-3</v>
      </c>
      <c r="AZ519" t="s">
        <v>1803</v>
      </c>
      <c r="BA519">
        <v>2010</v>
      </c>
      <c r="BD519" t="s">
        <v>1747</v>
      </c>
      <c r="BE519" t="s">
        <v>1748</v>
      </c>
      <c r="BF519" t="s">
        <v>24</v>
      </c>
      <c r="BG519" t="s">
        <v>1779</v>
      </c>
      <c r="BH519" t="s">
        <v>1781</v>
      </c>
      <c r="BI519" t="s">
        <v>29</v>
      </c>
      <c r="BJ519" t="s">
        <v>29</v>
      </c>
      <c r="BK519" t="s">
        <v>29</v>
      </c>
      <c r="GM519" t="s">
        <v>1775</v>
      </c>
      <c r="GN519" s="9" t="s">
        <v>29</v>
      </c>
      <c r="GO519" s="9" t="s">
        <v>29</v>
      </c>
      <c r="GP519" s="9" t="s">
        <v>29</v>
      </c>
      <c r="HZ519" t="s">
        <v>1748</v>
      </c>
      <c r="IA519" t="s">
        <v>1794</v>
      </c>
      <c r="IW519" t="s">
        <v>1748</v>
      </c>
      <c r="IX519" s="54" t="s">
        <v>1793</v>
      </c>
      <c r="IY519" s="54" t="s">
        <v>1793</v>
      </c>
      <c r="IZ519" s="54" t="s">
        <v>1780</v>
      </c>
      <c r="JA519">
        <v>1</v>
      </c>
      <c r="JB519">
        <v>6</v>
      </c>
      <c r="MZ519" t="s">
        <v>1805</v>
      </c>
      <c r="NA519">
        <v>1963</v>
      </c>
      <c r="NB519" t="s">
        <v>1744</v>
      </c>
      <c r="NC519" t="s">
        <v>1745</v>
      </c>
      <c r="NI519" t="s">
        <v>711</v>
      </c>
      <c r="NK519" t="s">
        <v>1746</v>
      </c>
      <c r="NM519" t="s">
        <v>1746</v>
      </c>
      <c r="NV519" t="s">
        <v>1828</v>
      </c>
      <c r="NW519" t="s">
        <v>6</v>
      </c>
      <c r="NX519">
        <v>1.3</v>
      </c>
      <c r="NY519" t="s">
        <v>1446</v>
      </c>
      <c r="NZ519">
        <v>0.5</v>
      </c>
      <c r="OC519">
        <v>7</v>
      </c>
      <c r="OT519" t="s">
        <v>1576</v>
      </c>
      <c r="OV519">
        <v>2010</v>
      </c>
      <c r="PA519" t="s">
        <v>1169</v>
      </c>
      <c r="PB519" s="58">
        <v>46108</v>
      </c>
    </row>
    <row r="520" spans="1:418" ht="15.75" thickBot="1">
      <c r="A520" t="s">
        <v>36</v>
      </c>
      <c r="B520" t="s">
        <v>1739</v>
      </c>
      <c r="C520" t="s">
        <v>1740</v>
      </c>
      <c r="D520" s="4" t="s">
        <v>245</v>
      </c>
      <c r="E520" t="s">
        <v>1806</v>
      </c>
      <c r="F520" s="4" t="s">
        <v>1804</v>
      </c>
      <c r="G520" t="s">
        <v>254</v>
      </c>
      <c r="H520" t="s">
        <v>30</v>
      </c>
      <c r="I520">
        <v>-23.748532000000001</v>
      </c>
      <c r="J520">
        <v>-62.056702000000001</v>
      </c>
      <c r="K520" s="87" t="s">
        <v>29</v>
      </c>
      <c r="AV520" t="s">
        <v>1766</v>
      </c>
      <c r="AW520" t="s">
        <v>234</v>
      </c>
      <c r="AX520" t="s">
        <v>234</v>
      </c>
      <c r="AY520" s="5" t="s">
        <v>1741</v>
      </c>
      <c r="AZ520" t="s">
        <v>1829</v>
      </c>
      <c r="BA520">
        <v>2011</v>
      </c>
      <c r="BD520" t="s">
        <v>1759</v>
      </c>
      <c r="BE520" t="s">
        <v>1760</v>
      </c>
      <c r="BF520" t="s">
        <v>64</v>
      </c>
      <c r="BG520" t="s">
        <v>1779</v>
      </c>
      <c r="BH520" t="s">
        <v>1777</v>
      </c>
      <c r="BI520" t="s">
        <v>1782</v>
      </c>
      <c r="BJ520" t="s">
        <v>29</v>
      </c>
      <c r="BK520" t="s">
        <v>29</v>
      </c>
      <c r="EE520" t="s">
        <v>1774</v>
      </c>
      <c r="EF520" t="s">
        <v>29</v>
      </c>
      <c r="EG520" t="s">
        <v>29</v>
      </c>
      <c r="EH520" t="s">
        <v>29</v>
      </c>
      <c r="EI520" t="s">
        <v>1773</v>
      </c>
      <c r="EJ520" t="s">
        <v>29</v>
      </c>
      <c r="EK520" t="s">
        <v>29</v>
      </c>
      <c r="EL520" t="s">
        <v>29</v>
      </c>
      <c r="EM520" t="s">
        <v>1768</v>
      </c>
      <c r="EN520" t="s">
        <v>29</v>
      </c>
      <c r="EO520" t="s">
        <v>29</v>
      </c>
      <c r="EP520" t="s">
        <v>29</v>
      </c>
      <c r="EQ520" t="s">
        <v>1769</v>
      </c>
      <c r="ER520" t="s">
        <v>29</v>
      </c>
      <c r="ES520" t="s">
        <v>29</v>
      </c>
      <c r="ET520" t="s">
        <v>29</v>
      </c>
      <c r="EU520" t="s">
        <v>1770</v>
      </c>
      <c r="EV520" t="s">
        <v>29</v>
      </c>
      <c r="EW520" t="s">
        <v>29</v>
      </c>
      <c r="EX520" t="s">
        <v>29</v>
      </c>
      <c r="EY520" t="s">
        <v>1771</v>
      </c>
      <c r="EZ520" t="s">
        <v>29</v>
      </c>
      <c r="FA520" t="s">
        <v>29</v>
      </c>
      <c r="FB520" t="s">
        <v>29</v>
      </c>
      <c r="FC520" t="s">
        <v>1772</v>
      </c>
      <c r="FD520" t="s">
        <v>29</v>
      </c>
      <c r="FE520" t="s">
        <v>29</v>
      </c>
      <c r="FF520" t="s">
        <v>29</v>
      </c>
      <c r="GM520" t="s">
        <v>1775</v>
      </c>
      <c r="GN520" s="9" t="s">
        <v>29</v>
      </c>
      <c r="GO520" s="9" t="s">
        <v>29</v>
      </c>
      <c r="GP520" s="9" t="s">
        <v>29</v>
      </c>
      <c r="GQ520" s="9"/>
      <c r="GR520" s="9"/>
      <c r="GS520" s="9"/>
      <c r="GT520" s="9"/>
      <c r="GU520" s="9"/>
      <c r="GV520" s="9"/>
      <c r="GW520" s="9"/>
      <c r="GX520" s="9"/>
      <c r="GY520" s="9"/>
      <c r="GZ520" s="9"/>
      <c r="HA520" s="9"/>
      <c r="HB520" s="9"/>
      <c r="HC520" s="9"/>
      <c r="HD520" s="9"/>
      <c r="HE520" s="9"/>
      <c r="HF520" s="9"/>
      <c r="HG520" s="9"/>
      <c r="HH520" s="9"/>
      <c r="HI520" s="9"/>
      <c r="HJ520" s="9"/>
      <c r="HK520" s="9"/>
      <c r="HL520" s="9"/>
      <c r="HY520" s="58"/>
      <c r="HZ520" t="s">
        <v>1760</v>
      </c>
      <c r="IA520" t="s">
        <v>1795</v>
      </c>
      <c r="IW520" t="s">
        <v>1760</v>
      </c>
      <c r="IX520" s="84" t="s">
        <v>1792</v>
      </c>
      <c r="IY520" t="s">
        <v>1767</v>
      </c>
      <c r="IZ520" s="54" t="s">
        <v>1776</v>
      </c>
      <c r="JA520">
        <v>1</v>
      </c>
      <c r="JB520">
        <v>81</v>
      </c>
      <c r="MZ520" t="s">
        <v>1761</v>
      </c>
      <c r="NB520" t="s">
        <v>1800</v>
      </c>
      <c r="NC520" s="4" t="s">
        <v>1775</v>
      </c>
      <c r="NK520" t="s">
        <v>1797</v>
      </c>
      <c r="NL520" t="s">
        <v>1799</v>
      </c>
      <c r="NM520" s="4" t="s">
        <v>1798</v>
      </c>
      <c r="NN520" s="6" t="s">
        <v>1796</v>
      </c>
      <c r="NW520" t="s">
        <v>6</v>
      </c>
      <c r="NX520">
        <v>7</v>
      </c>
      <c r="NY520" t="s">
        <v>1446</v>
      </c>
      <c r="NZ520">
        <v>2.7</v>
      </c>
      <c r="OC520">
        <v>8</v>
      </c>
      <c r="OT520" t="s">
        <v>1802</v>
      </c>
      <c r="OV520">
        <v>2010</v>
      </c>
      <c r="PA520" t="s">
        <v>1169</v>
      </c>
      <c r="PB520" s="58">
        <v>46108</v>
      </c>
    </row>
    <row r="521" spans="1:418" ht="15.75" thickBot="1">
      <c r="A521" t="s">
        <v>36</v>
      </c>
      <c r="B521" t="s">
        <v>1739</v>
      </c>
      <c r="C521" t="s">
        <v>1740</v>
      </c>
      <c r="D521" s="4" t="s">
        <v>245</v>
      </c>
      <c r="E521" t="s">
        <v>1806</v>
      </c>
      <c r="F521" s="4" t="s">
        <v>1804</v>
      </c>
      <c r="G521" t="s">
        <v>254</v>
      </c>
      <c r="H521" t="s">
        <v>30</v>
      </c>
      <c r="I521">
        <v>-23.748532000000001</v>
      </c>
      <c r="J521">
        <v>-62.056702000000001</v>
      </c>
      <c r="K521" s="87" t="s">
        <v>29</v>
      </c>
      <c r="AV521" t="s">
        <v>1766</v>
      </c>
      <c r="AW521" t="s">
        <v>234</v>
      </c>
      <c r="AX521">
        <v>3600</v>
      </c>
      <c r="AY521" s="5" t="s">
        <v>1741</v>
      </c>
      <c r="AZ521" t="s">
        <v>1830</v>
      </c>
      <c r="BA521">
        <v>2012</v>
      </c>
      <c r="BD521" t="s">
        <v>1759</v>
      </c>
      <c r="BE521" t="s">
        <v>1762</v>
      </c>
      <c r="BF521" t="s">
        <v>57</v>
      </c>
      <c r="BG521" t="s">
        <v>1779</v>
      </c>
      <c r="BH521" t="s">
        <v>1777</v>
      </c>
      <c r="BI521" t="s">
        <v>29</v>
      </c>
      <c r="BJ521" t="s">
        <v>29</v>
      </c>
      <c r="BK521" t="s">
        <v>29</v>
      </c>
      <c r="EE521" t="s">
        <v>1774</v>
      </c>
      <c r="EF521" t="s">
        <v>29</v>
      </c>
      <c r="EG521" t="s">
        <v>29</v>
      </c>
      <c r="EH521" t="s">
        <v>29</v>
      </c>
      <c r="EI521" t="s">
        <v>1773</v>
      </c>
      <c r="EJ521" t="s">
        <v>29</v>
      </c>
      <c r="EK521" t="s">
        <v>29</v>
      </c>
      <c r="EL521" t="s">
        <v>29</v>
      </c>
      <c r="EM521" t="s">
        <v>1768</v>
      </c>
      <c r="EN521" t="s">
        <v>29</v>
      </c>
      <c r="EO521" t="s">
        <v>29</v>
      </c>
      <c r="EP521" t="s">
        <v>29</v>
      </c>
      <c r="EQ521" t="s">
        <v>1769</v>
      </c>
      <c r="ER521" t="s">
        <v>29</v>
      </c>
      <c r="ES521" t="s">
        <v>29</v>
      </c>
      <c r="ET521" t="s">
        <v>29</v>
      </c>
      <c r="EU521" t="s">
        <v>1770</v>
      </c>
      <c r="EV521" t="s">
        <v>29</v>
      </c>
      <c r="EW521" t="s">
        <v>29</v>
      </c>
      <c r="EX521" t="s">
        <v>29</v>
      </c>
      <c r="EY521" t="s">
        <v>1771</v>
      </c>
      <c r="EZ521" t="s">
        <v>29</v>
      </c>
      <c r="FA521" t="s">
        <v>29</v>
      </c>
      <c r="FB521" t="s">
        <v>29</v>
      </c>
      <c r="FC521" t="s">
        <v>1772</v>
      </c>
      <c r="FD521" t="s">
        <v>29</v>
      </c>
      <c r="FE521" t="s">
        <v>29</v>
      </c>
      <c r="FF521" t="s">
        <v>29</v>
      </c>
      <c r="FG521" s="9"/>
      <c r="FH521" s="9"/>
      <c r="FI521" s="9"/>
      <c r="FJ521" s="9"/>
      <c r="FK521" s="9"/>
      <c r="FL521" s="9"/>
      <c r="FM521" s="9"/>
      <c r="FN521" s="9"/>
      <c r="FO521" s="9"/>
      <c r="FP521" s="9"/>
      <c r="FQ521" s="9"/>
      <c r="FR521" s="9"/>
      <c r="FS521" s="9"/>
      <c r="FT521" s="9"/>
      <c r="FU521" s="9"/>
      <c r="FV521" s="9"/>
      <c r="FW521" s="9"/>
      <c r="FX521" s="9"/>
      <c r="FY521" s="9"/>
      <c r="FZ521" s="9"/>
      <c r="GA521" s="9"/>
      <c r="GB521" s="9"/>
      <c r="GC521" s="9"/>
      <c r="GD521" s="9"/>
      <c r="GE521" s="9"/>
      <c r="GF521" s="9"/>
      <c r="GG521" s="9"/>
      <c r="GH521" s="9"/>
      <c r="GI521" s="9"/>
      <c r="GJ521" s="9"/>
      <c r="GK521" s="9"/>
      <c r="GL521" s="9"/>
      <c r="GM521" s="9" t="s">
        <v>1775</v>
      </c>
      <c r="GN521" s="9" t="s">
        <v>29</v>
      </c>
      <c r="GO521" s="9" t="s">
        <v>29</v>
      </c>
      <c r="GP521" s="9" t="s">
        <v>29</v>
      </c>
      <c r="GQ521" s="9"/>
      <c r="GR521" s="9"/>
      <c r="GS521" s="9"/>
      <c r="GT521" s="9"/>
      <c r="GU521" s="9"/>
      <c r="GV521" s="9"/>
      <c r="GW521" s="9"/>
      <c r="GX521" s="9"/>
      <c r="GY521" s="9"/>
      <c r="GZ521" s="9"/>
      <c r="HA521" s="9"/>
      <c r="HB521" s="9"/>
      <c r="HC521" s="9"/>
      <c r="HD521" s="9"/>
      <c r="HE521" s="9"/>
      <c r="HF521" s="9"/>
      <c r="HG521" s="9"/>
      <c r="HH521" s="9"/>
      <c r="HI521" s="9"/>
      <c r="HJ521" s="9"/>
      <c r="HK521" s="9"/>
      <c r="HL521" s="9"/>
      <c r="HY521" s="58"/>
      <c r="HZ521" t="s">
        <v>1762</v>
      </c>
      <c r="IA521" t="s">
        <v>1795</v>
      </c>
      <c r="IW521" t="s">
        <v>1762</v>
      </c>
      <c r="IX521" s="84" t="s">
        <v>1792</v>
      </c>
      <c r="IY521" s="12" t="s">
        <v>1767</v>
      </c>
      <c r="IZ521" s="54" t="s">
        <v>1778</v>
      </c>
      <c r="JA521">
        <v>7.5</v>
      </c>
      <c r="JB521">
        <v>56</v>
      </c>
      <c r="MZ521" t="s">
        <v>1763</v>
      </c>
      <c r="NB521" t="s">
        <v>1800</v>
      </c>
      <c r="NC521" s="4" t="s">
        <v>1775</v>
      </c>
      <c r="NK521" t="s">
        <v>1797</v>
      </c>
      <c r="NL521" t="s">
        <v>1799</v>
      </c>
      <c r="NM521" s="4" t="s">
        <v>1798</v>
      </c>
      <c r="NN521" s="6" t="s">
        <v>1796</v>
      </c>
      <c r="NW521" t="s">
        <v>6</v>
      </c>
      <c r="NX521">
        <v>20</v>
      </c>
      <c r="NY521" t="s">
        <v>1446</v>
      </c>
      <c r="NZ521">
        <v>6.6</v>
      </c>
      <c r="OC521">
        <v>7</v>
      </c>
      <c r="OT521" t="s">
        <v>1802</v>
      </c>
      <c r="OV521">
        <v>2010</v>
      </c>
      <c r="PA521" t="s">
        <v>1169</v>
      </c>
      <c r="PB521" s="58">
        <v>46108</v>
      </c>
    </row>
    <row r="522" spans="1:418" ht="15.75" thickBot="1">
      <c r="A522" t="s">
        <v>36</v>
      </c>
      <c r="B522" t="s">
        <v>1739</v>
      </c>
      <c r="C522" t="s">
        <v>1740</v>
      </c>
      <c r="D522" s="4" t="s">
        <v>245</v>
      </c>
      <c r="E522" t="s">
        <v>1806</v>
      </c>
      <c r="F522" s="4" t="s">
        <v>1804</v>
      </c>
      <c r="G522" t="s">
        <v>254</v>
      </c>
      <c r="H522" t="s">
        <v>30</v>
      </c>
      <c r="I522">
        <v>-23.748532000000001</v>
      </c>
      <c r="J522">
        <v>-62.056702000000001</v>
      </c>
      <c r="K522" s="87" t="s">
        <v>29</v>
      </c>
      <c r="AV522" t="s">
        <v>1766</v>
      </c>
      <c r="AW522" t="s">
        <v>234</v>
      </c>
      <c r="AX522">
        <v>3600</v>
      </c>
      <c r="AY522" s="5" t="s">
        <v>1741</v>
      </c>
      <c r="AZ522" t="s">
        <v>1831</v>
      </c>
      <c r="BA522">
        <v>2013</v>
      </c>
      <c r="BD522" t="s">
        <v>1759</v>
      </c>
      <c r="BE522" t="s">
        <v>1764</v>
      </c>
      <c r="BF522" t="s">
        <v>48</v>
      </c>
      <c r="BG522" t="s">
        <v>1779</v>
      </c>
      <c r="BH522" t="s">
        <v>1781</v>
      </c>
      <c r="BI522" t="s">
        <v>29</v>
      </c>
      <c r="BJ522" t="s">
        <v>29</v>
      </c>
      <c r="BK522" t="s">
        <v>29</v>
      </c>
      <c r="EE522" t="s">
        <v>1774</v>
      </c>
      <c r="EF522" t="s">
        <v>29</v>
      </c>
      <c r="EG522" t="s">
        <v>29</v>
      </c>
      <c r="EH522" t="s">
        <v>29</v>
      </c>
      <c r="EI522" t="s">
        <v>1773</v>
      </c>
      <c r="EJ522" t="s">
        <v>29</v>
      </c>
      <c r="EK522" t="s">
        <v>29</v>
      </c>
      <c r="EL522" t="s">
        <v>29</v>
      </c>
      <c r="EM522" t="s">
        <v>1768</v>
      </c>
      <c r="EN522" t="s">
        <v>29</v>
      </c>
      <c r="EO522" t="s">
        <v>29</v>
      </c>
      <c r="EP522" t="s">
        <v>29</v>
      </c>
      <c r="EQ522" t="s">
        <v>1769</v>
      </c>
      <c r="ER522" t="s">
        <v>29</v>
      </c>
      <c r="ES522" t="s">
        <v>29</v>
      </c>
      <c r="ET522" t="s">
        <v>29</v>
      </c>
      <c r="EU522" t="s">
        <v>1770</v>
      </c>
      <c r="EV522" t="s">
        <v>29</v>
      </c>
      <c r="EW522" t="s">
        <v>29</v>
      </c>
      <c r="EX522" t="s">
        <v>29</v>
      </c>
      <c r="EY522" t="s">
        <v>1771</v>
      </c>
      <c r="EZ522" t="s">
        <v>29</v>
      </c>
      <c r="FA522" t="s">
        <v>29</v>
      </c>
      <c r="FB522" t="s">
        <v>29</v>
      </c>
      <c r="FC522" t="s">
        <v>1772</v>
      </c>
      <c r="FD522" t="s">
        <v>29</v>
      </c>
      <c r="FE522" t="s">
        <v>29</v>
      </c>
      <c r="FF522" t="s">
        <v>29</v>
      </c>
      <c r="FG522" s="9"/>
      <c r="FH522" s="9"/>
      <c r="FI522" s="9"/>
      <c r="FJ522" s="9"/>
      <c r="FK522" s="9"/>
      <c r="FL522" s="9"/>
      <c r="FM522" s="9"/>
      <c r="FN522" s="9"/>
      <c r="FO522" s="9"/>
      <c r="FP522" s="9"/>
      <c r="FQ522" s="9"/>
      <c r="FR522" s="9"/>
      <c r="FS522" s="9"/>
      <c r="FT522" s="9"/>
      <c r="FU522" s="9"/>
      <c r="FV522" s="9"/>
      <c r="FW522" s="9"/>
      <c r="FX522" s="9"/>
      <c r="FY522" s="9"/>
      <c r="FZ522" s="9"/>
      <c r="GA522" s="9"/>
      <c r="GB522" s="9"/>
      <c r="GC522" s="9"/>
      <c r="GD522" s="9"/>
      <c r="GE522" s="9"/>
      <c r="GF522" s="9"/>
      <c r="GG522" s="9"/>
      <c r="GH522" s="9"/>
      <c r="GI522" s="9"/>
      <c r="GJ522" s="9"/>
      <c r="GK522" s="9"/>
      <c r="GL522" s="9"/>
      <c r="GM522" s="9" t="s">
        <v>1775</v>
      </c>
      <c r="GN522" s="9" t="s">
        <v>29</v>
      </c>
      <c r="GO522" s="9" t="s">
        <v>29</v>
      </c>
      <c r="GP522" s="9" t="s">
        <v>29</v>
      </c>
      <c r="GQ522" s="9"/>
      <c r="GR522" s="9"/>
      <c r="GS522" s="9"/>
      <c r="GT522" s="9"/>
      <c r="GU522" s="9"/>
      <c r="GV522" s="9"/>
      <c r="GW522" s="9"/>
      <c r="GX522" s="9"/>
      <c r="GY522" s="9"/>
      <c r="GZ522" s="9"/>
      <c r="HA522" s="9"/>
      <c r="HB522" s="9"/>
      <c r="HC522" s="9"/>
      <c r="HD522" s="9"/>
      <c r="HE522" s="9"/>
      <c r="HF522" s="9"/>
      <c r="HG522" s="9"/>
      <c r="HH522" s="9"/>
      <c r="HI522" s="9"/>
      <c r="HJ522" s="9"/>
      <c r="HK522" s="9"/>
      <c r="HL522" s="9"/>
      <c r="HY522" s="58"/>
      <c r="HZ522" t="s">
        <v>1764</v>
      </c>
      <c r="IA522" t="s">
        <v>1794</v>
      </c>
      <c r="IW522" t="s">
        <v>1764</v>
      </c>
      <c r="IX522" s="84" t="s">
        <v>1792</v>
      </c>
      <c r="IY522" s="12" t="s">
        <v>1767</v>
      </c>
      <c r="IZ522" s="54" t="s">
        <v>1778</v>
      </c>
      <c r="JA522">
        <v>7.5</v>
      </c>
      <c r="JB522">
        <v>37</v>
      </c>
      <c r="MZ522" t="s">
        <v>1765</v>
      </c>
      <c r="NB522" t="s">
        <v>1800</v>
      </c>
      <c r="NC522" s="4" t="s">
        <v>1775</v>
      </c>
      <c r="NK522" t="s">
        <v>1797</v>
      </c>
      <c r="NL522" t="s">
        <v>1799</v>
      </c>
      <c r="NM522" s="4" t="s">
        <v>1798</v>
      </c>
      <c r="NN522" s="6" t="s">
        <v>1796</v>
      </c>
      <c r="NW522" t="s">
        <v>6</v>
      </c>
      <c r="NX522">
        <v>105</v>
      </c>
      <c r="NY522" t="s">
        <v>1446</v>
      </c>
      <c r="NZ522">
        <v>16.7</v>
      </c>
      <c r="OC522">
        <v>5</v>
      </c>
      <c r="OT522" t="s">
        <v>1802</v>
      </c>
      <c r="OV522">
        <v>2010</v>
      </c>
      <c r="PA522" t="s">
        <v>1169</v>
      </c>
      <c r="PB522" s="58">
        <v>46108</v>
      </c>
    </row>
    <row r="523" spans="1:418" ht="15.75" thickBot="1">
      <c r="A523" t="s">
        <v>36</v>
      </c>
      <c r="B523" t="s">
        <v>1739</v>
      </c>
      <c r="C523" t="s">
        <v>1740</v>
      </c>
      <c r="D523" s="4" t="s">
        <v>245</v>
      </c>
      <c r="E523" t="s">
        <v>1806</v>
      </c>
      <c r="F523" s="4" t="s">
        <v>1804</v>
      </c>
      <c r="G523" t="s">
        <v>254</v>
      </c>
      <c r="H523" t="s">
        <v>30</v>
      </c>
      <c r="I523">
        <v>-23.748532000000001</v>
      </c>
      <c r="J523">
        <v>-62.056702000000001</v>
      </c>
      <c r="K523" s="87" t="s">
        <v>29</v>
      </c>
      <c r="AV523" t="s">
        <v>1766</v>
      </c>
      <c r="AW523" t="s">
        <v>234</v>
      </c>
      <c r="AX523" t="s">
        <v>234</v>
      </c>
      <c r="AY523" s="5" t="s">
        <v>1741</v>
      </c>
      <c r="AZ523" t="s">
        <v>1832</v>
      </c>
      <c r="BA523">
        <v>2014</v>
      </c>
      <c r="BD523" t="s">
        <v>1747</v>
      </c>
      <c r="BE523" t="s">
        <v>1748</v>
      </c>
      <c r="BF523" t="s">
        <v>24</v>
      </c>
      <c r="BG523" t="s">
        <v>1779</v>
      </c>
      <c r="BH523" t="s">
        <v>1781</v>
      </c>
      <c r="BI523" t="s">
        <v>29</v>
      </c>
      <c r="BJ523" t="s">
        <v>29</v>
      </c>
      <c r="BK523" t="s">
        <v>29</v>
      </c>
      <c r="EI523" s="9"/>
      <c r="EJ523" s="9"/>
      <c r="EK523" s="9"/>
      <c r="EL523" s="9"/>
      <c r="EM523" s="9"/>
      <c r="EN523" s="9"/>
      <c r="EO523" s="9"/>
      <c r="EP523" s="9"/>
      <c r="EQ523" s="9"/>
      <c r="ER523" s="9"/>
      <c r="ES523" s="9"/>
      <c r="ET523" s="9"/>
      <c r="EU523" s="9"/>
      <c r="EV523" s="9"/>
      <c r="EW523" s="9"/>
      <c r="EX523" s="9"/>
      <c r="EY523" s="9"/>
      <c r="EZ523" s="9"/>
      <c r="FA523" s="9"/>
      <c r="FB523" s="9"/>
      <c r="FC523" s="9"/>
      <c r="FD523" s="9"/>
      <c r="FE523" s="9"/>
      <c r="FF523" s="9"/>
      <c r="FG523" s="9"/>
      <c r="FH523" s="9"/>
      <c r="FI523" s="9"/>
      <c r="FJ523" s="9"/>
      <c r="FK523" s="9"/>
      <c r="FL523" s="9"/>
      <c r="FM523" s="9"/>
      <c r="FN523" s="9"/>
      <c r="FO523" s="9"/>
      <c r="FP523" s="9"/>
      <c r="FQ523" s="9"/>
      <c r="FR523" s="9"/>
      <c r="FS523" s="9"/>
      <c r="FT523" s="9"/>
      <c r="FU523" s="9"/>
      <c r="FV523" s="9"/>
      <c r="FW523" s="9"/>
      <c r="FX523" s="9"/>
      <c r="FY523" s="9"/>
      <c r="FZ523" s="9"/>
      <c r="GA523" s="9"/>
      <c r="GB523" s="9"/>
      <c r="GC523" s="9"/>
      <c r="GD523" s="9"/>
      <c r="GE523" s="9"/>
      <c r="GF523" s="9"/>
      <c r="GG523" s="9"/>
      <c r="GH523" s="9"/>
      <c r="GI523" s="9"/>
      <c r="GJ523" s="9"/>
      <c r="GK523" s="9"/>
      <c r="GL523" s="9"/>
      <c r="GM523" s="9" t="s">
        <v>1775</v>
      </c>
      <c r="GN523" s="9" t="s">
        <v>29</v>
      </c>
      <c r="GO523" s="9" t="s">
        <v>29</v>
      </c>
      <c r="GP523" s="9" t="s">
        <v>29</v>
      </c>
      <c r="GQ523" s="9"/>
      <c r="GR523" s="9"/>
      <c r="GS523" s="9"/>
      <c r="GT523" s="9"/>
      <c r="GU523" s="9"/>
      <c r="GV523" s="9"/>
      <c r="GW523" s="9"/>
      <c r="GX523" s="9"/>
      <c r="GY523" s="9"/>
      <c r="GZ523" s="9"/>
      <c r="HA523" s="9"/>
      <c r="HB523" s="9"/>
      <c r="HC523" s="9"/>
      <c r="HD523" s="9"/>
      <c r="HE523" s="9"/>
      <c r="HF523" s="9"/>
      <c r="HG523" s="9"/>
      <c r="HH523" s="9"/>
      <c r="HI523" s="9"/>
      <c r="HJ523" s="9"/>
      <c r="HK523" s="9"/>
      <c r="HL523" s="9"/>
      <c r="HY523" s="58"/>
      <c r="HZ523" t="s">
        <v>1748</v>
      </c>
      <c r="IA523" t="s">
        <v>1794</v>
      </c>
      <c r="IW523" t="s">
        <v>1748</v>
      </c>
      <c r="IX523" s="54" t="s">
        <v>1793</v>
      </c>
      <c r="IY523" s="54" t="s">
        <v>1793</v>
      </c>
      <c r="IZ523" s="54" t="s">
        <v>1780</v>
      </c>
      <c r="JA523">
        <v>1</v>
      </c>
      <c r="JB523">
        <v>6</v>
      </c>
      <c r="MZ523" t="s">
        <v>1749</v>
      </c>
      <c r="NB523" t="s">
        <v>1800</v>
      </c>
      <c r="NC523" s="4" t="s">
        <v>1775</v>
      </c>
      <c r="NK523" t="s">
        <v>1797</v>
      </c>
      <c r="NL523" t="s">
        <v>1799</v>
      </c>
      <c r="NM523" s="4" t="s">
        <v>1798</v>
      </c>
      <c r="NN523" s="6" t="s">
        <v>1796</v>
      </c>
      <c r="NV523" t="s">
        <v>1828</v>
      </c>
      <c r="NW523" t="s">
        <v>6</v>
      </c>
      <c r="NX523">
        <v>130</v>
      </c>
      <c r="NY523" t="s">
        <v>1446</v>
      </c>
      <c r="NZ523">
        <v>32.6</v>
      </c>
      <c r="OC523">
        <v>7</v>
      </c>
      <c r="OT523" t="s">
        <v>1802</v>
      </c>
      <c r="OV523">
        <v>2010</v>
      </c>
      <c r="PA523" t="s">
        <v>1169</v>
      </c>
      <c r="PB523" s="58">
        <v>46108</v>
      </c>
    </row>
    <row r="524" spans="1:418" ht="15.75" thickBot="1">
      <c r="A524" t="s">
        <v>36</v>
      </c>
      <c r="B524" t="s">
        <v>1807</v>
      </c>
      <c r="C524" t="s">
        <v>1404</v>
      </c>
      <c r="D524" s="4" t="s">
        <v>245</v>
      </c>
      <c r="E524" t="s">
        <v>1834</v>
      </c>
      <c r="F524" t="s">
        <v>1833</v>
      </c>
      <c r="G524" t="s">
        <v>2</v>
      </c>
      <c r="H524" t="s">
        <v>30</v>
      </c>
      <c r="I524">
        <v>7.45</v>
      </c>
      <c r="J524">
        <v>36.450000000000003</v>
      </c>
      <c r="K524">
        <v>50000</v>
      </c>
      <c r="AV524" t="s">
        <v>1835</v>
      </c>
      <c r="AW524">
        <v>200</v>
      </c>
      <c r="AX524" t="s">
        <v>234</v>
      </c>
      <c r="AY524">
        <v>2.7397260273972599E-3</v>
      </c>
      <c r="AZ524" t="s">
        <v>1842</v>
      </c>
      <c r="BA524">
        <v>1996</v>
      </c>
      <c r="BC524" t="s">
        <v>64</v>
      </c>
      <c r="BD524" t="s">
        <v>1826</v>
      </c>
      <c r="BE524" t="s">
        <v>1808</v>
      </c>
      <c r="BF524" t="s">
        <v>24</v>
      </c>
      <c r="BG524" t="s">
        <v>1743</v>
      </c>
      <c r="EE524" t="s">
        <v>1811</v>
      </c>
      <c r="EF524" t="s">
        <v>29</v>
      </c>
      <c r="EG524" t="s">
        <v>29</v>
      </c>
      <c r="EH524" t="s">
        <v>29</v>
      </c>
      <c r="EI524" t="s">
        <v>1812</v>
      </c>
      <c r="EJ524" t="s">
        <v>29</v>
      </c>
      <c r="EK524" t="s">
        <v>29</v>
      </c>
      <c r="EL524" t="s">
        <v>29</v>
      </c>
      <c r="EM524" s="9" t="s">
        <v>1809</v>
      </c>
      <c r="EN524" t="s">
        <v>29</v>
      </c>
      <c r="EO524" t="s">
        <v>29</v>
      </c>
      <c r="EP524" t="s">
        <v>29</v>
      </c>
      <c r="EQ524" s="9" t="s">
        <v>1813</v>
      </c>
      <c r="ER524" t="s">
        <v>29</v>
      </c>
      <c r="ES524" t="s">
        <v>29</v>
      </c>
      <c r="ET524" t="s">
        <v>29</v>
      </c>
      <c r="EU524" s="9" t="s">
        <v>1810</v>
      </c>
      <c r="EV524" t="s">
        <v>29</v>
      </c>
      <c r="EW524" t="s">
        <v>29</v>
      </c>
      <c r="EX524" t="s">
        <v>29</v>
      </c>
      <c r="EY524" s="9"/>
      <c r="EZ524" s="9"/>
      <c r="FA524" s="9"/>
      <c r="FB524" s="9"/>
      <c r="FC524" s="9"/>
      <c r="FD524" s="9"/>
      <c r="FE524" s="9"/>
      <c r="FF524" s="9"/>
      <c r="FG524" s="9"/>
      <c r="FH524" s="9"/>
      <c r="FI524" s="9"/>
      <c r="FJ524" s="9"/>
      <c r="FK524" s="9"/>
      <c r="FL524" s="9"/>
      <c r="FM524" s="9"/>
      <c r="FN524" s="9"/>
      <c r="FO524" s="9"/>
      <c r="FP524" s="9"/>
      <c r="FQ524" s="9"/>
      <c r="FR524" s="9"/>
      <c r="FS524" s="9"/>
      <c r="FT524" s="9"/>
      <c r="FU524" s="9"/>
      <c r="FV524" s="9"/>
      <c r="FW524" s="9"/>
      <c r="FX524" s="9"/>
      <c r="FY524" s="9"/>
      <c r="FZ524" s="9"/>
      <c r="GA524" s="9"/>
      <c r="GB524" s="9"/>
      <c r="GC524" s="9"/>
      <c r="GD524" s="9"/>
      <c r="GE524" s="9"/>
      <c r="GF524" s="9"/>
      <c r="GG524" s="9"/>
      <c r="GH524" s="9"/>
      <c r="GI524" s="9"/>
      <c r="GJ524" s="9"/>
      <c r="GK524" s="9"/>
      <c r="GL524" s="9"/>
      <c r="GM524" s="9"/>
      <c r="GN524" s="9"/>
      <c r="GO524" s="9"/>
      <c r="GP524" s="9"/>
      <c r="GQ524" s="9"/>
      <c r="GR524" s="9"/>
      <c r="GS524" s="9"/>
      <c r="GT524" s="9"/>
      <c r="GU524" s="9"/>
      <c r="GV524" s="9"/>
      <c r="GW524" s="9"/>
      <c r="GX524" s="9"/>
      <c r="GY524" s="9"/>
      <c r="GZ524" s="9"/>
      <c r="HA524" s="9"/>
      <c r="HB524" s="9"/>
      <c r="HC524" s="9"/>
      <c r="HD524" s="9"/>
      <c r="HE524" s="9"/>
      <c r="HF524" s="9"/>
      <c r="HG524" s="9"/>
      <c r="HH524" s="9"/>
      <c r="HI524" s="9"/>
      <c r="HJ524" s="9"/>
      <c r="HK524" s="9"/>
      <c r="HL524" s="9"/>
      <c r="HM524" s="9"/>
      <c r="HZ524" s="58"/>
      <c r="IW524" t="s">
        <v>1808</v>
      </c>
      <c r="IX524" s="123" t="s">
        <v>1836</v>
      </c>
      <c r="JA524">
        <v>18</v>
      </c>
      <c r="JB524">
        <v>88</v>
      </c>
      <c r="JC524">
        <v>65</v>
      </c>
      <c r="JD524">
        <v>100</v>
      </c>
      <c r="JE524">
        <v>21.3</v>
      </c>
      <c r="JF524">
        <v>17</v>
      </c>
      <c r="JG524">
        <v>26</v>
      </c>
      <c r="JH524">
        <v>0.85</v>
      </c>
      <c r="JI524">
        <v>0.25</v>
      </c>
      <c r="JJ524">
        <v>3.2</v>
      </c>
      <c r="MZ524" t="s">
        <v>1814</v>
      </c>
      <c r="NA524">
        <v>200</v>
      </c>
      <c r="NB524" t="s">
        <v>1819</v>
      </c>
      <c r="NC524" t="s">
        <v>1837</v>
      </c>
      <c r="NI524" t="s">
        <v>711</v>
      </c>
      <c r="NK524" t="s">
        <v>1839</v>
      </c>
      <c r="NM524" t="s">
        <v>1751</v>
      </c>
      <c r="NV524" t="s">
        <v>64</v>
      </c>
      <c r="NW524" t="s">
        <v>6</v>
      </c>
      <c r="NX524">
        <v>8.1999999999999993</v>
      </c>
      <c r="NY524" t="s">
        <v>1816</v>
      </c>
      <c r="NZ524">
        <v>1.8</v>
      </c>
      <c r="OC524">
        <v>15</v>
      </c>
      <c r="OT524" t="s">
        <v>1817</v>
      </c>
      <c r="PA524" t="s">
        <v>1169</v>
      </c>
      <c r="PB524" s="58">
        <v>46108</v>
      </c>
    </row>
    <row r="525" spans="1:418" ht="15.75" thickBot="1">
      <c r="A525" t="s">
        <v>36</v>
      </c>
      <c r="B525" t="s">
        <v>1807</v>
      </c>
      <c r="C525" t="s">
        <v>1404</v>
      </c>
      <c r="D525" s="4" t="s">
        <v>245</v>
      </c>
      <c r="E525" t="s">
        <v>1834</v>
      </c>
      <c r="F525" t="s">
        <v>1833</v>
      </c>
      <c r="G525" t="s">
        <v>2</v>
      </c>
      <c r="H525" t="s">
        <v>30</v>
      </c>
      <c r="I525">
        <v>7.45</v>
      </c>
      <c r="J525">
        <v>36.450000000000003</v>
      </c>
      <c r="K525">
        <v>50000</v>
      </c>
      <c r="AV525" t="s">
        <v>1835</v>
      </c>
      <c r="AW525">
        <v>200</v>
      </c>
      <c r="AX525" t="s">
        <v>234</v>
      </c>
      <c r="AY525">
        <v>2.7397260273972599E-3</v>
      </c>
      <c r="AZ525" t="s">
        <v>1842</v>
      </c>
      <c r="BA525">
        <v>1996</v>
      </c>
      <c r="BD525" t="s">
        <v>1822</v>
      </c>
      <c r="BE525" t="s">
        <v>1823</v>
      </c>
      <c r="BF525" t="s">
        <v>64</v>
      </c>
      <c r="BG525" t="s">
        <v>1233</v>
      </c>
      <c r="BH525" t="s">
        <v>1821</v>
      </c>
      <c r="BI525" t="s">
        <v>29</v>
      </c>
      <c r="BJ525" t="s">
        <v>29</v>
      </c>
      <c r="BK525" t="s">
        <v>29</v>
      </c>
      <c r="EE525" t="s">
        <v>1811</v>
      </c>
      <c r="EF525" t="s">
        <v>29</v>
      </c>
      <c r="EG525" t="s">
        <v>29</v>
      </c>
      <c r="EH525" t="s">
        <v>29</v>
      </c>
      <c r="EI525" t="s">
        <v>1812</v>
      </c>
      <c r="EJ525" t="s">
        <v>29</v>
      </c>
      <c r="EK525" t="s">
        <v>29</v>
      </c>
      <c r="EL525" t="s">
        <v>29</v>
      </c>
      <c r="EM525" s="9" t="s">
        <v>1809</v>
      </c>
      <c r="EN525" t="s">
        <v>29</v>
      </c>
      <c r="EO525" t="s">
        <v>29</v>
      </c>
      <c r="EP525" t="s">
        <v>29</v>
      </c>
      <c r="EQ525" s="9" t="s">
        <v>1813</v>
      </c>
      <c r="ER525" t="s">
        <v>29</v>
      </c>
      <c r="ES525" t="s">
        <v>29</v>
      </c>
      <c r="ET525" t="s">
        <v>29</v>
      </c>
      <c r="EU525" s="9" t="s">
        <v>1810</v>
      </c>
      <c r="EV525" t="s">
        <v>29</v>
      </c>
      <c r="EW525" t="s">
        <v>29</v>
      </c>
      <c r="EX525" t="s">
        <v>29</v>
      </c>
      <c r="EY525" s="9"/>
      <c r="EZ525" s="9"/>
      <c r="FA525" s="9"/>
      <c r="FB525" s="9"/>
      <c r="FC525" s="9"/>
      <c r="FD525" s="9"/>
      <c r="FE525" s="9"/>
      <c r="FF525" s="9"/>
      <c r="FG525" s="9"/>
      <c r="FH525" s="9"/>
      <c r="FI525" s="9"/>
      <c r="FJ525" s="9"/>
      <c r="FK525" s="9"/>
      <c r="FL525" s="9"/>
      <c r="FM525" s="9"/>
      <c r="FN525" s="9"/>
      <c r="FO525" s="9"/>
      <c r="FP525" s="9"/>
      <c r="FQ525" s="9"/>
      <c r="FR525" s="9"/>
      <c r="FS525" s="9"/>
      <c r="FT525" s="9"/>
      <c r="FU525" s="9"/>
      <c r="FV525" s="9"/>
      <c r="FW525" s="9"/>
      <c r="FX525" s="9"/>
      <c r="FY525" s="9"/>
      <c r="FZ525" s="9"/>
      <c r="GA525" s="9"/>
      <c r="GB525" s="9"/>
      <c r="GC525" s="9"/>
      <c r="GD525" s="9"/>
      <c r="GE525" s="9"/>
      <c r="GF525" s="9"/>
      <c r="GG525" s="9"/>
      <c r="GH525" s="9"/>
      <c r="GI525" s="9"/>
      <c r="GJ525" s="9"/>
      <c r="GK525" s="9"/>
      <c r="GL525" s="9"/>
      <c r="GM525" s="9"/>
      <c r="GN525" s="9"/>
      <c r="GO525" s="9"/>
      <c r="GP525" s="9"/>
      <c r="GQ525" s="9"/>
      <c r="GR525" s="9"/>
      <c r="GS525" s="9"/>
      <c r="GT525" s="9"/>
      <c r="GU525" s="9"/>
      <c r="GV525" s="9"/>
      <c r="GW525" s="9"/>
      <c r="GX525" s="9"/>
      <c r="GY525" s="9"/>
      <c r="GZ525" s="9"/>
      <c r="HA525" s="9"/>
      <c r="HB525" s="9"/>
      <c r="HC525" s="9"/>
      <c r="HD525" s="9"/>
      <c r="HE525" s="9"/>
      <c r="HF525" s="9"/>
      <c r="HG525" s="9"/>
      <c r="HH525" s="9"/>
      <c r="HI525" s="9"/>
      <c r="HJ525" s="9"/>
      <c r="HK525" s="9"/>
      <c r="HL525" s="9"/>
      <c r="HM525" s="9"/>
      <c r="HZ525" s="58"/>
      <c r="IW525" t="s">
        <v>1823</v>
      </c>
      <c r="IX525" s="54" t="s">
        <v>1824</v>
      </c>
      <c r="JA525">
        <v>18</v>
      </c>
      <c r="JB525">
        <v>65</v>
      </c>
      <c r="JC525">
        <v>10</v>
      </c>
      <c r="JD525">
        <v>100</v>
      </c>
      <c r="JE525">
        <v>17.7</v>
      </c>
      <c r="JF525">
        <v>7</v>
      </c>
      <c r="JG525">
        <v>25</v>
      </c>
      <c r="JH525">
        <v>92</v>
      </c>
      <c r="JI525">
        <v>22</v>
      </c>
      <c r="JJ525">
        <v>212</v>
      </c>
      <c r="MZ525" t="s">
        <v>1814</v>
      </c>
      <c r="NA525">
        <v>200</v>
      </c>
      <c r="NB525" t="s">
        <v>1819</v>
      </c>
      <c r="NC525" t="s">
        <v>1837</v>
      </c>
      <c r="NI525" t="s">
        <v>711</v>
      </c>
      <c r="NK525" t="s">
        <v>1839</v>
      </c>
      <c r="NM525" t="s">
        <v>1751</v>
      </c>
      <c r="NW525" t="s">
        <v>6</v>
      </c>
      <c r="NX525">
        <v>5.8</v>
      </c>
      <c r="NY525" t="s">
        <v>1816</v>
      </c>
      <c r="NZ525">
        <v>1.3</v>
      </c>
      <c r="OC525">
        <v>14</v>
      </c>
      <c r="OT525" t="s">
        <v>1817</v>
      </c>
      <c r="PA525" t="s">
        <v>1169</v>
      </c>
      <c r="PB525" s="58">
        <v>46108</v>
      </c>
    </row>
    <row r="526" spans="1:418" ht="15.75" thickBot="1">
      <c r="A526" t="s">
        <v>36</v>
      </c>
      <c r="B526" t="s">
        <v>1807</v>
      </c>
      <c r="C526" t="s">
        <v>1404</v>
      </c>
      <c r="D526" s="4" t="s">
        <v>245</v>
      </c>
      <c r="E526" t="s">
        <v>1834</v>
      </c>
      <c r="F526" t="s">
        <v>1833</v>
      </c>
      <c r="G526" t="s">
        <v>2</v>
      </c>
      <c r="H526" t="s">
        <v>30</v>
      </c>
      <c r="I526">
        <v>7.45</v>
      </c>
      <c r="J526">
        <v>36.450000000000003</v>
      </c>
      <c r="K526">
        <v>50000</v>
      </c>
      <c r="AV526" t="s">
        <v>1835</v>
      </c>
      <c r="AW526">
        <v>200</v>
      </c>
      <c r="AX526" t="s">
        <v>234</v>
      </c>
      <c r="AY526">
        <v>2.7397260273972599E-3</v>
      </c>
      <c r="AZ526" t="s">
        <v>1842</v>
      </c>
      <c r="BA526">
        <v>1996</v>
      </c>
      <c r="BC526" t="s">
        <v>64</v>
      </c>
      <c r="BD526" t="s">
        <v>1826</v>
      </c>
      <c r="BE526" t="s">
        <v>1808</v>
      </c>
      <c r="BF526" t="s">
        <v>24</v>
      </c>
      <c r="BG526" t="s">
        <v>1743</v>
      </c>
      <c r="EE526" t="s">
        <v>1811</v>
      </c>
      <c r="EF526" t="s">
        <v>29</v>
      </c>
      <c r="EG526" t="s">
        <v>29</v>
      </c>
      <c r="EH526" t="s">
        <v>29</v>
      </c>
      <c r="EI526" t="s">
        <v>1812</v>
      </c>
      <c r="EJ526" t="s">
        <v>29</v>
      </c>
      <c r="EK526" t="s">
        <v>29</v>
      </c>
      <c r="EL526" t="s">
        <v>29</v>
      </c>
      <c r="EM526" s="9" t="s">
        <v>1809</v>
      </c>
      <c r="EN526" t="s">
        <v>29</v>
      </c>
      <c r="EO526" t="s">
        <v>29</v>
      </c>
      <c r="EP526" t="s">
        <v>29</v>
      </c>
      <c r="EQ526" s="9" t="s">
        <v>1813</v>
      </c>
      <c r="ER526" t="s">
        <v>29</v>
      </c>
      <c r="ES526" t="s">
        <v>29</v>
      </c>
      <c r="ET526" t="s">
        <v>29</v>
      </c>
      <c r="EU526" s="9" t="s">
        <v>1810</v>
      </c>
      <c r="EV526" t="s">
        <v>29</v>
      </c>
      <c r="EW526" t="s">
        <v>29</v>
      </c>
      <c r="EX526" t="s">
        <v>29</v>
      </c>
      <c r="EY526" s="9"/>
      <c r="EZ526" s="9"/>
      <c r="FA526" s="9"/>
      <c r="FB526" s="9"/>
      <c r="FC526" s="9"/>
      <c r="FD526" s="9"/>
      <c r="FE526" s="9"/>
      <c r="FF526" s="9"/>
      <c r="FG526" s="9"/>
      <c r="FH526" s="9"/>
      <c r="FI526" s="9"/>
      <c r="FJ526" s="9"/>
      <c r="FK526" s="9"/>
      <c r="FL526" s="9"/>
      <c r="FM526" s="9"/>
      <c r="FN526" s="9"/>
      <c r="FO526" s="9"/>
      <c r="FP526" s="9"/>
      <c r="FQ526" s="9"/>
      <c r="FR526" s="9"/>
      <c r="FS526" s="9"/>
      <c r="FT526" s="9"/>
      <c r="FU526" s="9"/>
      <c r="FV526" s="9"/>
      <c r="FW526" s="9"/>
      <c r="FX526" s="9"/>
      <c r="FY526" s="9"/>
      <c r="FZ526" s="9"/>
      <c r="GA526" s="9"/>
      <c r="GB526" s="9"/>
      <c r="GC526" s="9"/>
      <c r="GD526" s="9"/>
      <c r="GE526" s="9"/>
      <c r="GF526" s="9"/>
      <c r="GG526" s="9"/>
      <c r="GH526" s="9"/>
      <c r="GI526" s="9"/>
      <c r="GJ526" s="9"/>
      <c r="GK526" s="9"/>
      <c r="GL526" s="9"/>
      <c r="GM526" s="9"/>
      <c r="GN526" s="9"/>
      <c r="GO526" s="9"/>
      <c r="GP526" s="9"/>
      <c r="GQ526" s="9"/>
      <c r="GR526" s="9"/>
      <c r="GS526" s="9"/>
      <c r="GT526" s="9"/>
      <c r="GU526" s="9"/>
      <c r="GV526" s="9"/>
      <c r="GW526" s="9"/>
      <c r="GX526" s="9"/>
      <c r="GY526" s="9"/>
      <c r="GZ526" s="9"/>
      <c r="HA526" s="9"/>
      <c r="HB526" s="9"/>
      <c r="HC526" s="9"/>
      <c r="HD526" s="9"/>
      <c r="HE526" s="9"/>
      <c r="HF526" s="9"/>
      <c r="HG526" s="9"/>
      <c r="HH526" s="9"/>
      <c r="HI526" s="9"/>
      <c r="HJ526" s="9"/>
      <c r="HK526" s="9"/>
      <c r="HL526" s="9"/>
      <c r="HM526" s="9"/>
      <c r="HZ526" s="58"/>
      <c r="IW526" t="s">
        <v>1808</v>
      </c>
      <c r="IX526" s="123" t="s">
        <v>1836</v>
      </c>
      <c r="JA526">
        <v>18</v>
      </c>
      <c r="JB526">
        <v>88</v>
      </c>
      <c r="JC526">
        <v>65</v>
      </c>
      <c r="JD526">
        <v>100</v>
      </c>
      <c r="JE526">
        <v>21.3</v>
      </c>
      <c r="JF526">
        <v>17</v>
      </c>
      <c r="JG526">
        <v>26</v>
      </c>
      <c r="JH526">
        <v>0.85</v>
      </c>
      <c r="JI526">
        <v>0.25</v>
      </c>
      <c r="JJ526">
        <v>3.2</v>
      </c>
      <c r="MZ526" t="s">
        <v>1814</v>
      </c>
      <c r="NA526">
        <v>200</v>
      </c>
      <c r="NB526" t="s">
        <v>1820</v>
      </c>
      <c r="NC526" t="s">
        <v>1838</v>
      </c>
      <c r="NI526" t="s">
        <v>711</v>
      </c>
      <c r="NK526" t="s">
        <v>1839</v>
      </c>
      <c r="NM526" t="s">
        <v>1751</v>
      </c>
      <c r="NV526" t="s">
        <v>64</v>
      </c>
      <c r="NW526" t="s">
        <v>6</v>
      </c>
      <c r="NX526">
        <v>8.3000000000000007</v>
      </c>
      <c r="NY526" t="s">
        <v>1816</v>
      </c>
      <c r="NZ526">
        <v>1.9</v>
      </c>
      <c r="OC526">
        <v>15</v>
      </c>
      <c r="OT526" t="s">
        <v>1817</v>
      </c>
      <c r="PA526" t="s">
        <v>1169</v>
      </c>
      <c r="PB526" s="58">
        <v>46108</v>
      </c>
    </row>
    <row r="527" spans="1:418" ht="15.75" thickBot="1">
      <c r="A527" t="s">
        <v>36</v>
      </c>
      <c r="B527" t="s">
        <v>1807</v>
      </c>
      <c r="C527" t="s">
        <v>1404</v>
      </c>
      <c r="D527" s="4" t="s">
        <v>245</v>
      </c>
      <c r="E527" t="s">
        <v>1834</v>
      </c>
      <c r="F527" t="s">
        <v>1833</v>
      </c>
      <c r="G527" t="s">
        <v>2</v>
      </c>
      <c r="H527" t="s">
        <v>30</v>
      </c>
      <c r="I527">
        <v>7.45</v>
      </c>
      <c r="J527">
        <v>36.450000000000003</v>
      </c>
      <c r="K527">
        <v>50000</v>
      </c>
      <c r="AV527" t="s">
        <v>1835</v>
      </c>
      <c r="AW527">
        <v>200</v>
      </c>
      <c r="AX527" t="s">
        <v>234</v>
      </c>
      <c r="AY527">
        <v>2.7397260273972599E-3</v>
      </c>
      <c r="AZ527" t="s">
        <v>1842</v>
      </c>
      <c r="BA527">
        <v>1996</v>
      </c>
      <c r="BD527" t="s">
        <v>1822</v>
      </c>
      <c r="BE527" t="s">
        <v>1823</v>
      </c>
      <c r="BF527" t="s">
        <v>64</v>
      </c>
      <c r="BG527" t="s">
        <v>1233</v>
      </c>
      <c r="BH527" t="s">
        <v>1821</v>
      </c>
      <c r="BI527" t="s">
        <v>29</v>
      </c>
      <c r="BJ527" t="s">
        <v>29</v>
      </c>
      <c r="BK527" t="s">
        <v>29</v>
      </c>
      <c r="EE527" t="s">
        <v>1811</v>
      </c>
      <c r="EF527" t="s">
        <v>29</v>
      </c>
      <c r="EG527" t="s">
        <v>29</v>
      </c>
      <c r="EH527" t="s">
        <v>29</v>
      </c>
      <c r="EI527" t="s">
        <v>1812</v>
      </c>
      <c r="EJ527" t="s">
        <v>29</v>
      </c>
      <c r="EK527" t="s">
        <v>29</v>
      </c>
      <c r="EL527" t="s">
        <v>29</v>
      </c>
      <c r="EM527" s="9" t="s">
        <v>1809</v>
      </c>
      <c r="EN527" t="s">
        <v>29</v>
      </c>
      <c r="EO527" t="s">
        <v>29</v>
      </c>
      <c r="EP527" t="s">
        <v>29</v>
      </c>
      <c r="EQ527" s="9" t="s">
        <v>1813</v>
      </c>
      <c r="ER527" t="s">
        <v>29</v>
      </c>
      <c r="ES527" t="s">
        <v>29</v>
      </c>
      <c r="ET527" t="s">
        <v>29</v>
      </c>
      <c r="EU527" s="9" t="s">
        <v>1810</v>
      </c>
      <c r="EV527" t="s">
        <v>29</v>
      </c>
      <c r="EW527" t="s">
        <v>29</v>
      </c>
      <c r="EX527" t="s">
        <v>29</v>
      </c>
      <c r="EY527" s="9"/>
      <c r="EZ527" s="9"/>
      <c r="FA527" s="9"/>
      <c r="FB527" s="9"/>
      <c r="FC527" s="9"/>
      <c r="FD527" s="9"/>
      <c r="FE527" s="9"/>
      <c r="FF527" s="9"/>
      <c r="FG527" s="9"/>
      <c r="FH527" s="9"/>
      <c r="FI527" s="9"/>
      <c r="FJ527" s="9"/>
      <c r="FK527" s="9"/>
      <c r="FL527" s="9"/>
      <c r="FM527" s="9"/>
      <c r="FN527" s="9"/>
      <c r="FO527" s="9"/>
      <c r="FP527" s="9"/>
      <c r="FQ527" s="9"/>
      <c r="FR527" s="9"/>
      <c r="FS527" s="9"/>
      <c r="FT527" s="9"/>
      <c r="FU527" s="9"/>
      <c r="FV527" s="9"/>
      <c r="FW527" s="9"/>
      <c r="FX527" s="9"/>
      <c r="FY527" s="9"/>
      <c r="FZ527" s="9"/>
      <c r="GA527" s="9"/>
      <c r="GB527" s="9"/>
      <c r="GC527" s="9"/>
      <c r="GD527" s="9"/>
      <c r="GE527" s="9"/>
      <c r="GF527" s="9"/>
      <c r="GG527" s="9"/>
      <c r="GH527" s="9"/>
      <c r="GI527" s="9"/>
      <c r="GJ527" s="9"/>
      <c r="GK527" s="9"/>
      <c r="GL527" s="9"/>
      <c r="GM527" s="9"/>
      <c r="GN527" s="9"/>
      <c r="GO527" s="9"/>
      <c r="GP527" s="9"/>
      <c r="GQ527" s="9"/>
      <c r="GR527" s="9"/>
      <c r="GS527" s="9"/>
      <c r="GT527" s="9"/>
      <c r="GU527" s="9"/>
      <c r="GV527" s="9"/>
      <c r="GW527" s="9"/>
      <c r="GX527" s="9"/>
      <c r="GY527" s="9"/>
      <c r="GZ527" s="9"/>
      <c r="HA527" s="9"/>
      <c r="HB527" s="9"/>
      <c r="HC527" s="9"/>
      <c r="HD527" s="9"/>
      <c r="HE527" s="9"/>
      <c r="HF527" s="9"/>
      <c r="HG527" s="9"/>
      <c r="HH527" s="9"/>
      <c r="HI527" s="9"/>
      <c r="HJ527" s="9"/>
      <c r="HK527" s="9"/>
      <c r="HL527" s="9"/>
      <c r="HM527" s="9"/>
      <c r="HZ527" s="58"/>
      <c r="IW527" t="s">
        <v>1823</v>
      </c>
      <c r="IX527" s="54" t="s">
        <v>1824</v>
      </c>
      <c r="JA527">
        <v>18</v>
      </c>
      <c r="JB527">
        <v>65</v>
      </c>
      <c r="JC527">
        <v>10</v>
      </c>
      <c r="JD527">
        <v>100</v>
      </c>
      <c r="JE527">
        <v>17.7</v>
      </c>
      <c r="JF527">
        <v>7</v>
      </c>
      <c r="JG527">
        <v>25</v>
      </c>
      <c r="JH527">
        <v>92</v>
      </c>
      <c r="JI527">
        <v>22</v>
      </c>
      <c r="JJ527">
        <v>212</v>
      </c>
      <c r="MZ527" t="s">
        <v>1814</v>
      </c>
      <c r="NA527">
        <v>200</v>
      </c>
      <c r="NB527" t="s">
        <v>1820</v>
      </c>
      <c r="NC527" t="s">
        <v>1838</v>
      </c>
      <c r="NI527" t="s">
        <v>711</v>
      </c>
      <c r="NK527" t="s">
        <v>1839</v>
      </c>
      <c r="NM527" t="s">
        <v>1751</v>
      </c>
      <c r="NW527" t="s">
        <v>6</v>
      </c>
      <c r="NX527">
        <v>6</v>
      </c>
      <c r="NY527" t="s">
        <v>1816</v>
      </c>
      <c r="NZ527">
        <v>1.8</v>
      </c>
      <c r="OC527">
        <v>14</v>
      </c>
      <c r="OT527" t="s">
        <v>1817</v>
      </c>
      <c r="PA527" t="s">
        <v>1169</v>
      </c>
      <c r="PB527" s="58">
        <v>46108</v>
      </c>
    </row>
    <row r="528" spans="1:418" ht="15.75" thickBot="1">
      <c r="A528" t="s">
        <v>36</v>
      </c>
      <c r="B528" t="s">
        <v>1807</v>
      </c>
      <c r="C528" t="s">
        <v>1404</v>
      </c>
      <c r="D528" s="4" t="s">
        <v>245</v>
      </c>
      <c r="E528" t="s">
        <v>1834</v>
      </c>
      <c r="F528" t="s">
        <v>1833</v>
      </c>
      <c r="G528" t="s">
        <v>2</v>
      </c>
      <c r="H528" t="s">
        <v>30</v>
      </c>
      <c r="I528">
        <v>7.45</v>
      </c>
      <c r="J528">
        <v>36.450000000000003</v>
      </c>
      <c r="K528">
        <v>50000</v>
      </c>
      <c r="AV528" t="s">
        <v>1835</v>
      </c>
      <c r="AW528">
        <v>200</v>
      </c>
      <c r="AX528" t="s">
        <v>234</v>
      </c>
      <c r="AY528">
        <v>2.7397260273972599E-3</v>
      </c>
      <c r="AZ528" t="s">
        <v>1842</v>
      </c>
      <c r="BA528">
        <v>1996</v>
      </c>
      <c r="BC528" t="s">
        <v>64</v>
      </c>
      <c r="BD528" t="s">
        <v>1826</v>
      </c>
      <c r="BE528" t="s">
        <v>1808</v>
      </c>
      <c r="BF528" t="s">
        <v>24</v>
      </c>
      <c r="BG528" t="s">
        <v>1743</v>
      </c>
      <c r="EE528" t="s">
        <v>1811</v>
      </c>
      <c r="EF528" t="s">
        <v>29</v>
      </c>
      <c r="EG528" t="s">
        <v>29</v>
      </c>
      <c r="EH528" t="s">
        <v>29</v>
      </c>
      <c r="EI528" t="s">
        <v>1812</v>
      </c>
      <c r="EJ528" t="s">
        <v>29</v>
      </c>
      <c r="EK528" t="s">
        <v>29</v>
      </c>
      <c r="EL528" t="s">
        <v>29</v>
      </c>
      <c r="EM528" s="9" t="s">
        <v>1809</v>
      </c>
      <c r="EN528" t="s">
        <v>29</v>
      </c>
      <c r="EO528" t="s">
        <v>29</v>
      </c>
      <c r="EP528" t="s">
        <v>29</v>
      </c>
      <c r="EQ528" s="9" t="s">
        <v>1813</v>
      </c>
      <c r="ER528" t="s">
        <v>29</v>
      </c>
      <c r="ES528" t="s">
        <v>29</v>
      </c>
      <c r="ET528" t="s">
        <v>29</v>
      </c>
      <c r="EU528" s="9" t="s">
        <v>1810</v>
      </c>
      <c r="EV528" t="s">
        <v>29</v>
      </c>
      <c r="EW528" t="s">
        <v>29</v>
      </c>
      <c r="EX528" t="s">
        <v>29</v>
      </c>
      <c r="EY528" s="9"/>
      <c r="EZ528" s="9"/>
      <c r="FA528" s="9"/>
      <c r="FB528" s="9"/>
      <c r="FC528" s="9"/>
      <c r="FD528" s="9"/>
      <c r="FE528" s="9"/>
      <c r="FF528" s="9"/>
      <c r="FG528" s="9"/>
      <c r="FH528" s="9"/>
      <c r="FI528" s="9"/>
      <c r="FJ528" s="9"/>
      <c r="FK528" s="9"/>
      <c r="FL528" s="9"/>
      <c r="FM528" s="9"/>
      <c r="FN528" s="9"/>
      <c r="FO528" s="9"/>
      <c r="FP528" s="9"/>
      <c r="FQ528" s="9"/>
      <c r="FR528" s="9"/>
      <c r="FS528" s="9"/>
      <c r="FT528" s="9"/>
      <c r="FU528" s="9"/>
      <c r="FV528" s="9"/>
      <c r="FW528" s="9"/>
      <c r="FX528" s="9"/>
      <c r="FY528" s="9"/>
      <c r="FZ528" s="9"/>
      <c r="GA528" s="9"/>
      <c r="GB528" s="9"/>
      <c r="GC528" s="9"/>
      <c r="GD528" s="9"/>
      <c r="GE528" s="9"/>
      <c r="GF528" s="9"/>
      <c r="GG528" s="9"/>
      <c r="GH528" s="9"/>
      <c r="GI528" s="9"/>
      <c r="GJ528" s="9"/>
      <c r="GK528" s="9"/>
      <c r="GL528" s="9"/>
      <c r="GM528" s="9"/>
      <c r="GN528" s="9"/>
      <c r="GO528" s="9"/>
      <c r="GP528" s="9"/>
      <c r="GQ528" s="9"/>
      <c r="GR528" s="9"/>
      <c r="GS528" s="9"/>
      <c r="GT528" s="9"/>
      <c r="GU528" s="9"/>
      <c r="GV528" s="9"/>
      <c r="GW528" s="9"/>
      <c r="GX528" s="9"/>
      <c r="GY528" s="9"/>
      <c r="GZ528" s="9"/>
      <c r="HA528" s="9"/>
      <c r="HB528" s="9"/>
      <c r="HC528" s="9"/>
      <c r="HD528" s="9"/>
      <c r="HE528" s="9"/>
      <c r="HF528" s="9"/>
      <c r="HG528" s="9"/>
      <c r="HH528" s="9"/>
      <c r="HI528" s="9"/>
      <c r="HJ528" s="9"/>
      <c r="HK528" s="9"/>
      <c r="HL528" s="9"/>
      <c r="HM528" s="9"/>
      <c r="HZ528" s="58"/>
      <c r="IW528" t="s">
        <v>1808</v>
      </c>
      <c r="IX528" s="123" t="s">
        <v>1836</v>
      </c>
      <c r="JA528">
        <v>18</v>
      </c>
      <c r="JB528">
        <v>88</v>
      </c>
      <c r="JC528">
        <v>65</v>
      </c>
      <c r="JD528">
        <v>100</v>
      </c>
      <c r="JE528">
        <v>21.3</v>
      </c>
      <c r="JF528">
        <v>17</v>
      </c>
      <c r="JG528">
        <v>26</v>
      </c>
      <c r="JH528">
        <v>0.85</v>
      </c>
      <c r="JI528">
        <v>0.25</v>
      </c>
      <c r="JJ528">
        <v>3.2</v>
      </c>
      <c r="MZ528" t="s">
        <v>1814</v>
      </c>
      <c r="NA528">
        <v>200</v>
      </c>
      <c r="NB528" t="s">
        <v>1818</v>
      </c>
      <c r="NC528" t="s">
        <v>1840</v>
      </c>
      <c r="NI528" t="s">
        <v>711</v>
      </c>
      <c r="NK528" t="s">
        <v>1839</v>
      </c>
      <c r="NM528" t="s">
        <v>1751</v>
      </c>
      <c r="NV528" t="s">
        <v>64</v>
      </c>
      <c r="NW528" t="s">
        <v>6</v>
      </c>
      <c r="NX528">
        <v>30</v>
      </c>
      <c r="NY528" t="s">
        <v>1816</v>
      </c>
      <c r="NZ528">
        <v>2</v>
      </c>
      <c r="OC528">
        <v>15</v>
      </c>
      <c r="OT528" t="s">
        <v>1817</v>
      </c>
      <c r="PA528" t="s">
        <v>1169</v>
      </c>
      <c r="PB528" s="58">
        <v>46108</v>
      </c>
    </row>
    <row r="529" spans="1:418" ht="15.75" thickBot="1">
      <c r="A529" t="s">
        <v>36</v>
      </c>
      <c r="B529" t="s">
        <v>1807</v>
      </c>
      <c r="C529" t="s">
        <v>1404</v>
      </c>
      <c r="D529" s="4" t="s">
        <v>245</v>
      </c>
      <c r="E529" t="s">
        <v>1834</v>
      </c>
      <c r="F529" t="s">
        <v>1833</v>
      </c>
      <c r="G529" t="s">
        <v>2</v>
      </c>
      <c r="H529" t="s">
        <v>30</v>
      </c>
      <c r="I529">
        <v>7.45</v>
      </c>
      <c r="J529">
        <v>36.450000000000003</v>
      </c>
      <c r="K529">
        <v>50000</v>
      </c>
      <c r="AV529" t="s">
        <v>1835</v>
      </c>
      <c r="AW529">
        <v>200</v>
      </c>
      <c r="AX529" t="s">
        <v>234</v>
      </c>
      <c r="AY529">
        <v>2.7397260273972599E-3</v>
      </c>
      <c r="AZ529" t="s">
        <v>1842</v>
      </c>
      <c r="BA529">
        <v>1996</v>
      </c>
      <c r="BD529" t="s">
        <v>1822</v>
      </c>
      <c r="BE529" t="s">
        <v>1823</v>
      </c>
      <c r="BF529" t="s">
        <v>64</v>
      </c>
      <c r="BG529" t="s">
        <v>1233</v>
      </c>
      <c r="BH529" t="s">
        <v>1821</v>
      </c>
      <c r="BI529" t="s">
        <v>29</v>
      </c>
      <c r="BJ529" t="s">
        <v>29</v>
      </c>
      <c r="BK529" t="s">
        <v>29</v>
      </c>
      <c r="EE529" t="s">
        <v>1811</v>
      </c>
      <c r="EF529" t="s">
        <v>29</v>
      </c>
      <c r="EG529" t="s">
        <v>29</v>
      </c>
      <c r="EH529" t="s">
        <v>29</v>
      </c>
      <c r="EI529" t="s">
        <v>1812</v>
      </c>
      <c r="EJ529" t="s">
        <v>29</v>
      </c>
      <c r="EK529" t="s">
        <v>29</v>
      </c>
      <c r="EL529" t="s">
        <v>29</v>
      </c>
      <c r="EM529" s="9" t="s">
        <v>1809</v>
      </c>
      <c r="EN529" t="s">
        <v>29</v>
      </c>
      <c r="EO529" t="s">
        <v>29</v>
      </c>
      <c r="EP529" t="s">
        <v>29</v>
      </c>
      <c r="EQ529" s="9" t="s">
        <v>1813</v>
      </c>
      <c r="ER529" t="s">
        <v>29</v>
      </c>
      <c r="ES529" t="s">
        <v>29</v>
      </c>
      <c r="ET529" t="s">
        <v>29</v>
      </c>
      <c r="EU529" s="9" t="s">
        <v>1810</v>
      </c>
      <c r="EV529" t="s">
        <v>29</v>
      </c>
      <c r="EW529" t="s">
        <v>29</v>
      </c>
      <c r="EX529" t="s">
        <v>29</v>
      </c>
      <c r="EY529" s="9"/>
      <c r="EZ529" s="9"/>
      <c r="FA529" s="9"/>
      <c r="FB529" s="9"/>
      <c r="FC529" s="9"/>
      <c r="FD529" s="9"/>
      <c r="FE529" s="9"/>
      <c r="FF529" s="9"/>
      <c r="FG529" s="9"/>
      <c r="FH529" s="9"/>
      <c r="FI529" s="9"/>
      <c r="FJ529" s="9"/>
      <c r="FK529" s="9"/>
      <c r="FL529" s="9"/>
      <c r="FM529" s="9"/>
      <c r="FN529" s="9"/>
      <c r="FO529" s="9"/>
      <c r="FP529" s="9"/>
      <c r="FQ529" s="9"/>
      <c r="FR529" s="9"/>
      <c r="FS529" s="9"/>
      <c r="FT529" s="9"/>
      <c r="FU529" s="9"/>
      <c r="FV529" s="9"/>
      <c r="FW529" s="9"/>
      <c r="FX529" s="9"/>
      <c r="FY529" s="9"/>
      <c r="FZ529" s="9"/>
      <c r="GA529" s="9"/>
      <c r="GB529" s="9"/>
      <c r="GC529" s="9"/>
      <c r="GD529" s="9"/>
      <c r="GE529" s="9"/>
      <c r="GF529" s="9"/>
      <c r="GG529" s="9"/>
      <c r="GH529" s="9"/>
      <c r="GI529" s="9"/>
      <c r="GJ529" s="9"/>
      <c r="GK529" s="9"/>
      <c r="GL529" s="9"/>
      <c r="GM529" s="9"/>
      <c r="GN529" s="9"/>
      <c r="GO529" s="9"/>
      <c r="GP529" s="9"/>
      <c r="GQ529" s="9"/>
      <c r="GR529" s="9"/>
      <c r="GS529" s="9"/>
      <c r="GT529" s="9"/>
      <c r="GU529" s="9"/>
      <c r="GV529" s="9"/>
      <c r="GW529" s="9"/>
      <c r="GX529" s="9"/>
      <c r="GY529" s="9"/>
      <c r="GZ529" s="9"/>
      <c r="HA529" s="9"/>
      <c r="HB529" s="9"/>
      <c r="HC529" s="9"/>
      <c r="HD529" s="9"/>
      <c r="HE529" s="9"/>
      <c r="HF529" s="9"/>
      <c r="HG529" s="9"/>
      <c r="HH529" s="9"/>
      <c r="HI529" s="9"/>
      <c r="HJ529" s="9"/>
      <c r="HK529" s="9"/>
      <c r="HL529" s="9"/>
      <c r="HM529" s="9"/>
      <c r="HZ529" s="58"/>
      <c r="IW529" t="s">
        <v>1823</v>
      </c>
      <c r="IX529" s="54" t="s">
        <v>1824</v>
      </c>
      <c r="JA529">
        <v>18</v>
      </c>
      <c r="JB529">
        <v>65</v>
      </c>
      <c r="JC529">
        <v>10</v>
      </c>
      <c r="JD529">
        <v>100</v>
      </c>
      <c r="JE529">
        <v>17.7</v>
      </c>
      <c r="JF529">
        <v>7</v>
      </c>
      <c r="JG529">
        <v>25</v>
      </c>
      <c r="JH529">
        <v>92</v>
      </c>
      <c r="JI529">
        <v>22</v>
      </c>
      <c r="JJ529">
        <v>212</v>
      </c>
      <c r="MZ529" t="s">
        <v>1814</v>
      </c>
      <c r="NA529">
        <v>200</v>
      </c>
      <c r="NB529" t="s">
        <v>1818</v>
      </c>
      <c r="NC529" t="s">
        <v>1840</v>
      </c>
      <c r="NI529" t="s">
        <v>711</v>
      </c>
      <c r="NK529" t="s">
        <v>1839</v>
      </c>
      <c r="NM529" t="s">
        <v>1751</v>
      </c>
      <c r="NW529" t="s">
        <v>6</v>
      </c>
      <c r="NX529">
        <v>21</v>
      </c>
      <c r="NY529" t="s">
        <v>1816</v>
      </c>
      <c r="NZ529">
        <v>1</v>
      </c>
      <c r="OC529">
        <v>14</v>
      </c>
      <c r="OT529" t="s">
        <v>1817</v>
      </c>
      <c r="PA529" t="s">
        <v>1169</v>
      </c>
      <c r="PB529" s="58">
        <v>46108</v>
      </c>
    </row>
    <row r="530" spans="1:418" ht="15.75" thickBot="1">
      <c r="A530" t="s">
        <v>36</v>
      </c>
      <c r="B530" t="s">
        <v>1807</v>
      </c>
      <c r="C530" t="s">
        <v>1404</v>
      </c>
      <c r="D530" s="4" t="s">
        <v>245</v>
      </c>
      <c r="E530" t="s">
        <v>1834</v>
      </c>
      <c r="F530" t="s">
        <v>1833</v>
      </c>
      <c r="G530" t="s">
        <v>2</v>
      </c>
      <c r="H530" t="s">
        <v>30</v>
      </c>
      <c r="I530">
        <v>7.45</v>
      </c>
      <c r="J530">
        <v>36.450000000000003</v>
      </c>
      <c r="K530">
        <v>50000</v>
      </c>
      <c r="AV530" t="s">
        <v>1835</v>
      </c>
      <c r="AW530">
        <v>200</v>
      </c>
      <c r="AX530" t="s">
        <v>234</v>
      </c>
      <c r="AY530">
        <v>2.7397260273972599E-3</v>
      </c>
      <c r="AZ530" t="s">
        <v>1842</v>
      </c>
      <c r="BA530">
        <v>1996</v>
      </c>
      <c r="BC530" t="s">
        <v>64</v>
      </c>
      <c r="BD530" t="s">
        <v>1826</v>
      </c>
      <c r="BE530" t="s">
        <v>1808</v>
      </c>
      <c r="BF530" t="s">
        <v>24</v>
      </c>
      <c r="BG530" t="s">
        <v>1743</v>
      </c>
      <c r="EE530" t="s">
        <v>1811</v>
      </c>
      <c r="EF530" t="s">
        <v>29</v>
      </c>
      <c r="EG530" t="s">
        <v>29</v>
      </c>
      <c r="EH530" t="s">
        <v>29</v>
      </c>
      <c r="EI530" t="s">
        <v>1812</v>
      </c>
      <c r="EJ530" t="s">
        <v>29</v>
      </c>
      <c r="EK530" t="s">
        <v>29</v>
      </c>
      <c r="EL530" t="s">
        <v>29</v>
      </c>
      <c r="EM530" s="9" t="s">
        <v>1809</v>
      </c>
      <c r="EN530" t="s">
        <v>29</v>
      </c>
      <c r="EO530" t="s">
        <v>29</v>
      </c>
      <c r="EP530" t="s">
        <v>29</v>
      </c>
      <c r="EQ530" s="9" t="s">
        <v>1813</v>
      </c>
      <c r="ER530" t="s">
        <v>29</v>
      </c>
      <c r="ES530" t="s">
        <v>29</v>
      </c>
      <c r="ET530" t="s">
        <v>29</v>
      </c>
      <c r="EU530" s="9" t="s">
        <v>1810</v>
      </c>
      <c r="EV530" t="s">
        <v>29</v>
      </c>
      <c r="EW530" t="s">
        <v>29</v>
      </c>
      <c r="EX530" t="s">
        <v>29</v>
      </c>
      <c r="EY530" s="9"/>
      <c r="EZ530" s="9"/>
      <c r="FA530" s="9"/>
      <c r="FB530" s="9"/>
      <c r="FC530" s="9"/>
      <c r="FD530" s="9"/>
      <c r="FE530" s="9"/>
      <c r="FF530" s="9"/>
      <c r="FG530" s="9"/>
      <c r="FH530" s="9"/>
      <c r="FI530" s="9"/>
      <c r="FJ530" s="9"/>
      <c r="FK530" s="9"/>
      <c r="FL530" s="9"/>
      <c r="FM530" s="9"/>
      <c r="FN530" s="9"/>
      <c r="FO530" s="9"/>
      <c r="FP530" s="9"/>
      <c r="FQ530" s="9"/>
      <c r="FR530" s="9"/>
      <c r="FS530" s="9"/>
      <c r="FT530" s="9"/>
      <c r="FU530" s="9"/>
      <c r="FV530" s="9"/>
      <c r="FW530" s="9"/>
      <c r="FX530" s="9"/>
      <c r="FY530" s="9"/>
      <c r="FZ530" s="9"/>
      <c r="GA530" s="9"/>
      <c r="GB530" s="9"/>
      <c r="GC530" s="9"/>
      <c r="GD530" s="9"/>
      <c r="GE530" s="9"/>
      <c r="GF530" s="9"/>
      <c r="GG530" s="9"/>
      <c r="GH530" s="9"/>
      <c r="GI530" s="9"/>
      <c r="GJ530" s="9"/>
      <c r="GK530" s="9"/>
      <c r="GL530" s="9"/>
      <c r="GM530" s="9"/>
      <c r="GN530" s="9"/>
      <c r="GO530" s="9"/>
      <c r="GP530" s="9"/>
      <c r="GQ530" s="9"/>
      <c r="GR530" s="9"/>
      <c r="GS530" s="9"/>
      <c r="GT530" s="9"/>
      <c r="GU530" s="9"/>
      <c r="GV530" s="9"/>
      <c r="GW530" s="9"/>
      <c r="GX530" s="9"/>
      <c r="GY530" s="9"/>
      <c r="GZ530" s="9"/>
      <c r="HA530" s="9"/>
      <c r="HB530" s="9"/>
      <c r="HC530" s="9"/>
      <c r="HD530" s="9"/>
      <c r="HE530" s="9"/>
      <c r="HF530" s="9"/>
      <c r="HG530" s="9"/>
      <c r="HH530" s="9"/>
      <c r="HI530" s="9"/>
      <c r="HJ530" s="9"/>
      <c r="HK530" s="9"/>
      <c r="HL530" s="9"/>
      <c r="HM530" s="9"/>
      <c r="HZ530" s="58"/>
      <c r="IW530" t="s">
        <v>1808</v>
      </c>
      <c r="IX530" s="123" t="s">
        <v>1836</v>
      </c>
      <c r="JA530">
        <v>18</v>
      </c>
      <c r="JB530">
        <v>88</v>
      </c>
      <c r="JC530">
        <v>65</v>
      </c>
      <c r="JD530">
        <v>100</v>
      </c>
      <c r="JE530">
        <v>21.3</v>
      </c>
      <c r="JF530">
        <v>17</v>
      </c>
      <c r="JG530">
        <v>26</v>
      </c>
      <c r="JH530">
        <v>0.85</v>
      </c>
      <c r="JI530">
        <v>0.25</v>
      </c>
      <c r="JJ530">
        <v>3.2</v>
      </c>
      <c r="MZ530" t="s">
        <v>1814</v>
      </c>
      <c r="NA530">
        <v>200</v>
      </c>
      <c r="NB530" t="s">
        <v>1815</v>
      </c>
      <c r="NC530" t="s">
        <v>1841</v>
      </c>
      <c r="NI530" t="s">
        <v>711</v>
      </c>
      <c r="NK530" t="s">
        <v>1839</v>
      </c>
      <c r="NM530" t="s">
        <v>1751</v>
      </c>
      <c r="NV530" t="s">
        <v>64</v>
      </c>
      <c r="NW530" t="s">
        <v>6</v>
      </c>
      <c r="NX530">
        <v>34</v>
      </c>
      <c r="NY530" t="s">
        <v>1816</v>
      </c>
      <c r="NZ530">
        <v>5</v>
      </c>
      <c r="OC530">
        <v>15</v>
      </c>
      <c r="OT530" t="s">
        <v>1817</v>
      </c>
      <c r="PA530" t="s">
        <v>1169</v>
      </c>
      <c r="PB530" s="58">
        <v>46108</v>
      </c>
    </row>
    <row r="531" spans="1:418" ht="15.75" thickBot="1">
      <c r="A531" t="s">
        <v>36</v>
      </c>
      <c r="B531" t="s">
        <v>1807</v>
      </c>
      <c r="C531" t="s">
        <v>1404</v>
      </c>
      <c r="D531" s="4" t="s">
        <v>245</v>
      </c>
      <c r="E531" t="s">
        <v>1834</v>
      </c>
      <c r="F531" t="s">
        <v>1833</v>
      </c>
      <c r="G531" t="s">
        <v>2</v>
      </c>
      <c r="H531" t="s">
        <v>30</v>
      </c>
      <c r="I531">
        <v>7.45</v>
      </c>
      <c r="J531">
        <v>36.450000000000003</v>
      </c>
      <c r="K531">
        <v>50000</v>
      </c>
      <c r="AV531" t="s">
        <v>1835</v>
      </c>
      <c r="AW531">
        <v>200</v>
      </c>
      <c r="AX531" t="s">
        <v>234</v>
      </c>
      <c r="AY531">
        <v>2.7397260273972599E-3</v>
      </c>
      <c r="AZ531" t="s">
        <v>1842</v>
      </c>
      <c r="BA531">
        <v>1996</v>
      </c>
      <c r="BD531" t="s">
        <v>1822</v>
      </c>
      <c r="BE531" t="s">
        <v>1823</v>
      </c>
      <c r="BF531" t="s">
        <v>64</v>
      </c>
      <c r="BG531" t="s">
        <v>1233</v>
      </c>
      <c r="BH531" t="s">
        <v>1821</v>
      </c>
      <c r="BI531" t="s">
        <v>29</v>
      </c>
      <c r="BJ531" t="s">
        <v>29</v>
      </c>
      <c r="BK531" t="s">
        <v>29</v>
      </c>
      <c r="EE531" t="s">
        <v>1811</v>
      </c>
      <c r="EF531" t="s">
        <v>29</v>
      </c>
      <c r="EG531" t="s">
        <v>29</v>
      </c>
      <c r="EH531" t="s">
        <v>29</v>
      </c>
      <c r="EI531" t="s">
        <v>1812</v>
      </c>
      <c r="EJ531" t="s">
        <v>29</v>
      </c>
      <c r="EK531" t="s">
        <v>29</v>
      </c>
      <c r="EL531" t="s">
        <v>29</v>
      </c>
      <c r="EM531" s="9" t="s">
        <v>1809</v>
      </c>
      <c r="EN531" t="s">
        <v>29</v>
      </c>
      <c r="EO531" t="s">
        <v>29</v>
      </c>
      <c r="EP531" t="s">
        <v>29</v>
      </c>
      <c r="EQ531" s="9" t="s">
        <v>1813</v>
      </c>
      <c r="ER531" t="s">
        <v>29</v>
      </c>
      <c r="ES531" t="s">
        <v>29</v>
      </c>
      <c r="ET531" t="s">
        <v>29</v>
      </c>
      <c r="EU531" s="9" t="s">
        <v>1810</v>
      </c>
      <c r="EV531" t="s">
        <v>29</v>
      </c>
      <c r="EW531" t="s">
        <v>29</v>
      </c>
      <c r="EX531" t="s">
        <v>29</v>
      </c>
      <c r="EY531" s="9"/>
      <c r="EZ531" s="9"/>
      <c r="FA531" s="9"/>
      <c r="FB531" s="9"/>
      <c r="FC531" s="9"/>
      <c r="FD531" s="9"/>
      <c r="FE531" s="9"/>
      <c r="FF531" s="9"/>
      <c r="FG531" s="9"/>
      <c r="FH531" s="9"/>
      <c r="FI531" s="9"/>
      <c r="FJ531" s="9"/>
      <c r="FK531" s="9"/>
      <c r="FL531" s="9"/>
      <c r="FM531" s="9"/>
      <c r="FN531" s="9"/>
      <c r="FO531" s="9"/>
      <c r="FP531" s="9"/>
      <c r="FQ531" s="9"/>
      <c r="FR531" s="9"/>
      <c r="FS531" s="9"/>
      <c r="FT531" s="9"/>
      <c r="FU531" s="9"/>
      <c r="FV531" s="9"/>
      <c r="FW531" s="9"/>
      <c r="FX531" s="9"/>
      <c r="FY531" s="9"/>
      <c r="FZ531" s="9"/>
      <c r="GA531" s="9"/>
      <c r="GB531" s="9"/>
      <c r="GC531" s="9"/>
      <c r="GD531" s="9"/>
      <c r="GE531" s="9"/>
      <c r="GF531" s="9"/>
      <c r="GG531" s="9"/>
      <c r="GH531" s="9"/>
      <c r="GI531" s="9"/>
      <c r="GJ531" s="9"/>
      <c r="GK531" s="9"/>
      <c r="GL531" s="9"/>
      <c r="GM531" s="9"/>
      <c r="GN531" s="9"/>
      <c r="GO531" s="9"/>
      <c r="GP531" s="9"/>
      <c r="GQ531" s="9"/>
      <c r="GR531" s="9"/>
      <c r="GS531" s="9"/>
      <c r="GT531" s="9"/>
      <c r="GU531" s="9"/>
      <c r="GV531" s="9"/>
      <c r="GW531" s="9"/>
      <c r="GX531" s="9"/>
      <c r="GY531" s="9"/>
      <c r="GZ531" s="9"/>
      <c r="HA531" s="9"/>
      <c r="HB531" s="9"/>
      <c r="HC531" s="9"/>
      <c r="HD531" s="9"/>
      <c r="HE531" s="9"/>
      <c r="HF531" s="9"/>
      <c r="HG531" s="9"/>
      <c r="HH531" s="9"/>
      <c r="HI531" s="9"/>
      <c r="HJ531" s="9"/>
      <c r="HK531" s="9"/>
      <c r="HL531" s="9"/>
      <c r="HM531" s="9"/>
      <c r="HZ531" s="58"/>
      <c r="IW531" t="s">
        <v>1823</v>
      </c>
      <c r="IX531" s="54" t="s">
        <v>1824</v>
      </c>
      <c r="JA531">
        <v>18</v>
      </c>
      <c r="JB531">
        <v>65</v>
      </c>
      <c r="JC531">
        <v>10</v>
      </c>
      <c r="JD531">
        <v>100</v>
      </c>
      <c r="JE531">
        <v>17.7</v>
      </c>
      <c r="JF531">
        <v>7</v>
      </c>
      <c r="JG531">
        <v>25</v>
      </c>
      <c r="JH531">
        <v>92</v>
      </c>
      <c r="JI531">
        <v>22</v>
      </c>
      <c r="JJ531">
        <v>212</v>
      </c>
      <c r="MZ531" t="s">
        <v>1814</v>
      </c>
      <c r="NA531">
        <v>200</v>
      </c>
      <c r="NB531" t="s">
        <v>1815</v>
      </c>
      <c r="NC531" t="s">
        <v>1841</v>
      </c>
      <c r="NI531" t="s">
        <v>711</v>
      </c>
      <c r="NK531" t="s">
        <v>1839</v>
      </c>
      <c r="NM531" t="s">
        <v>1751</v>
      </c>
      <c r="NW531" t="s">
        <v>6</v>
      </c>
      <c r="NX531">
        <v>17</v>
      </c>
      <c r="NY531" t="s">
        <v>1816</v>
      </c>
      <c r="NZ531">
        <v>3</v>
      </c>
      <c r="OC531">
        <v>14</v>
      </c>
      <c r="OT531" t="s">
        <v>1817</v>
      </c>
      <c r="PA531" t="s">
        <v>1169</v>
      </c>
      <c r="PB531" s="58">
        <v>46108</v>
      </c>
    </row>
    <row r="532" spans="1:418" ht="15.75" thickBot="1">
      <c r="A532" t="s">
        <v>36</v>
      </c>
      <c r="B532" t="s">
        <v>1843</v>
      </c>
      <c r="C532" t="s">
        <v>1844</v>
      </c>
      <c r="D532" s="4" t="s">
        <v>1936</v>
      </c>
      <c r="E532" t="s">
        <v>1856</v>
      </c>
      <c r="F532" t="s">
        <v>31</v>
      </c>
      <c r="G532" t="s">
        <v>2</v>
      </c>
      <c r="H532" t="s">
        <v>30</v>
      </c>
      <c r="I532">
        <v>-13.65</v>
      </c>
      <c r="J532">
        <v>32.566666669999996</v>
      </c>
      <c r="K532" t="s">
        <v>29</v>
      </c>
      <c r="AV532" t="s">
        <v>1862</v>
      </c>
      <c r="AW532">
        <v>100</v>
      </c>
      <c r="AX532" t="s">
        <v>234</v>
      </c>
      <c r="AY532" s="5">
        <v>8</v>
      </c>
      <c r="AZ532" t="s">
        <v>1857</v>
      </c>
      <c r="BA532">
        <v>1999</v>
      </c>
      <c r="BB532">
        <v>2007</v>
      </c>
      <c r="BD532" t="s">
        <v>1848</v>
      </c>
      <c r="BE532" t="s">
        <v>1871</v>
      </c>
      <c r="BF532" t="s">
        <v>64</v>
      </c>
      <c r="BG532" t="s">
        <v>1233</v>
      </c>
      <c r="BH532" t="s">
        <v>23</v>
      </c>
      <c r="BI532" t="s">
        <v>1858</v>
      </c>
      <c r="BJ532" t="s">
        <v>22</v>
      </c>
      <c r="BK532">
        <v>44440</v>
      </c>
      <c r="BL532" t="s">
        <v>275</v>
      </c>
      <c r="BM532" t="s">
        <v>1849</v>
      </c>
      <c r="BN532" t="s">
        <v>29</v>
      </c>
      <c r="BO532" t="s">
        <v>22</v>
      </c>
      <c r="BP532">
        <v>10000</v>
      </c>
      <c r="IP532" t="s">
        <v>1871</v>
      </c>
      <c r="IQ532" s="54" t="s">
        <v>1880</v>
      </c>
      <c r="IT532">
        <v>1999</v>
      </c>
      <c r="IV532" s="4" t="s">
        <v>1879</v>
      </c>
      <c r="IX532" s="54"/>
      <c r="JM532" s="8" t="s">
        <v>1630</v>
      </c>
      <c r="KF532" t="s">
        <v>1864</v>
      </c>
      <c r="KG532" s="84" t="s">
        <v>1548</v>
      </c>
      <c r="MZ532" t="s">
        <v>1845</v>
      </c>
      <c r="NA532">
        <v>6.25E-2</v>
      </c>
      <c r="NB532" t="s">
        <v>1846</v>
      </c>
      <c r="NC532" t="s">
        <v>1865</v>
      </c>
      <c r="NI532" t="s">
        <v>712</v>
      </c>
      <c r="NK532" t="s">
        <v>203</v>
      </c>
      <c r="NM532" t="s">
        <v>203</v>
      </c>
      <c r="NW532" t="s">
        <v>6</v>
      </c>
      <c r="NX532">
        <v>2.2176000899999999</v>
      </c>
      <c r="NY532" s="4" t="s">
        <v>4</v>
      </c>
      <c r="NZ532">
        <v>1.23</v>
      </c>
      <c r="OC532">
        <v>9</v>
      </c>
      <c r="OT532" t="s">
        <v>1847</v>
      </c>
      <c r="OW532">
        <v>2006</v>
      </c>
      <c r="OY532" t="s">
        <v>1883</v>
      </c>
      <c r="PA532" t="s">
        <v>1169</v>
      </c>
      <c r="PB532" s="58">
        <v>46120</v>
      </c>
    </row>
    <row r="533" spans="1:418" ht="15.75" thickBot="1">
      <c r="A533" t="s">
        <v>36</v>
      </c>
      <c r="B533" t="s">
        <v>1843</v>
      </c>
      <c r="C533" t="s">
        <v>1844</v>
      </c>
      <c r="D533" s="4" t="s">
        <v>1936</v>
      </c>
      <c r="E533" t="s">
        <v>1856</v>
      </c>
      <c r="F533" t="s">
        <v>31</v>
      </c>
      <c r="G533" t="s">
        <v>2</v>
      </c>
      <c r="H533" t="s">
        <v>30</v>
      </c>
      <c r="I533">
        <v>-13.65</v>
      </c>
      <c r="J533">
        <v>32.566666669999996</v>
      </c>
      <c r="K533" t="s">
        <v>29</v>
      </c>
      <c r="AV533" t="s">
        <v>1862</v>
      </c>
      <c r="AW533">
        <v>100</v>
      </c>
      <c r="AX533" t="s">
        <v>234</v>
      </c>
      <c r="AY533" s="5">
        <v>8</v>
      </c>
      <c r="AZ533" t="s">
        <v>1857</v>
      </c>
      <c r="BA533">
        <v>1999</v>
      </c>
      <c r="BB533">
        <v>2007</v>
      </c>
      <c r="BD533" t="s">
        <v>1848</v>
      </c>
      <c r="BE533" t="s">
        <v>1874</v>
      </c>
      <c r="BF533" t="s">
        <v>57</v>
      </c>
      <c r="BG533" t="s">
        <v>1233</v>
      </c>
      <c r="BH533" t="s">
        <v>23</v>
      </c>
      <c r="BI533" t="s">
        <v>1858</v>
      </c>
      <c r="BJ533" t="s">
        <v>22</v>
      </c>
      <c r="BK533">
        <v>44440</v>
      </c>
      <c r="BL533" t="s">
        <v>275</v>
      </c>
      <c r="BM533" t="s">
        <v>1849</v>
      </c>
      <c r="BN533" t="s">
        <v>29</v>
      </c>
      <c r="BO533" t="s">
        <v>22</v>
      </c>
      <c r="BP533">
        <v>5000</v>
      </c>
      <c r="BQ533" t="s">
        <v>56</v>
      </c>
      <c r="EE533" t="s">
        <v>55</v>
      </c>
      <c r="EF533" t="s">
        <v>22</v>
      </c>
      <c r="EG533">
        <v>5000</v>
      </c>
      <c r="HU533" s="58">
        <v>36495</v>
      </c>
      <c r="IP533" t="s">
        <v>1874</v>
      </c>
      <c r="IQ533" s="84" t="s">
        <v>1718</v>
      </c>
      <c r="IT533">
        <v>1999</v>
      </c>
      <c r="IV533" s="4" t="s">
        <v>1879</v>
      </c>
      <c r="IX533" s="84"/>
      <c r="JM533" s="8" t="s">
        <v>1630</v>
      </c>
      <c r="KF533" t="s">
        <v>1864</v>
      </c>
      <c r="KG533" s="84" t="s">
        <v>1548</v>
      </c>
      <c r="MZ533" t="s">
        <v>1845</v>
      </c>
      <c r="NA533">
        <v>6.25E-2</v>
      </c>
      <c r="NB533" t="s">
        <v>1846</v>
      </c>
      <c r="NC533" t="s">
        <v>1865</v>
      </c>
      <c r="NI533" t="s">
        <v>712</v>
      </c>
      <c r="NK533" t="s">
        <v>203</v>
      </c>
      <c r="NM533" t="s">
        <v>203</v>
      </c>
      <c r="NW533" t="s">
        <v>6</v>
      </c>
      <c r="NX533">
        <v>1.5630169899999999</v>
      </c>
      <c r="NY533" s="4" t="s">
        <v>4</v>
      </c>
      <c r="NZ533">
        <v>0.47</v>
      </c>
      <c r="OC533">
        <v>9</v>
      </c>
      <c r="OT533" t="s">
        <v>1847</v>
      </c>
      <c r="OW533">
        <v>2006</v>
      </c>
      <c r="OY533" t="s">
        <v>1883</v>
      </c>
      <c r="PA533" t="s">
        <v>1169</v>
      </c>
      <c r="PB533" s="58">
        <v>46120</v>
      </c>
    </row>
    <row r="534" spans="1:418" ht="15.75" thickBot="1">
      <c r="A534" t="s">
        <v>36</v>
      </c>
      <c r="B534" t="s">
        <v>1843</v>
      </c>
      <c r="C534" t="s">
        <v>1844</v>
      </c>
      <c r="D534" s="4" t="s">
        <v>1936</v>
      </c>
      <c r="E534" t="s">
        <v>1856</v>
      </c>
      <c r="F534" t="s">
        <v>31</v>
      </c>
      <c r="G534" t="s">
        <v>2</v>
      </c>
      <c r="H534" t="s">
        <v>30</v>
      </c>
      <c r="I534">
        <v>-13.65</v>
      </c>
      <c r="J534">
        <v>32.566666669999996</v>
      </c>
      <c r="K534" t="s">
        <v>29</v>
      </c>
      <c r="AV534" t="s">
        <v>1862</v>
      </c>
      <c r="AW534">
        <v>100</v>
      </c>
      <c r="AX534" t="s">
        <v>234</v>
      </c>
      <c r="AY534" s="5">
        <v>8</v>
      </c>
      <c r="AZ534" t="s">
        <v>1857</v>
      </c>
      <c r="BA534">
        <v>1999</v>
      </c>
      <c r="BB534">
        <v>2007</v>
      </c>
      <c r="BD534" t="s">
        <v>1848</v>
      </c>
      <c r="BE534" t="s">
        <v>1872</v>
      </c>
      <c r="BF534" t="s">
        <v>48</v>
      </c>
      <c r="BG534" t="s">
        <v>1233</v>
      </c>
      <c r="BH534" t="s">
        <v>23</v>
      </c>
      <c r="BI534" t="s">
        <v>1858</v>
      </c>
      <c r="BJ534" t="s">
        <v>22</v>
      </c>
      <c r="BK534">
        <v>44440</v>
      </c>
      <c r="BL534" t="s">
        <v>275</v>
      </c>
      <c r="EE534" t="s">
        <v>1877</v>
      </c>
      <c r="EF534" t="s">
        <v>22</v>
      </c>
      <c r="EG534">
        <v>10000</v>
      </c>
      <c r="HU534" s="58">
        <v>36495</v>
      </c>
      <c r="IP534" t="s">
        <v>1872</v>
      </c>
      <c r="IQ534" s="84" t="s">
        <v>1718</v>
      </c>
      <c r="IT534">
        <v>1999</v>
      </c>
      <c r="IV534" s="4" t="s">
        <v>1879</v>
      </c>
      <c r="JM534" s="8" t="s">
        <v>1630</v>
      </c>
      <c r="KF534" t="s">
        <v>1864</v>
      </c>
      <c r="KG534" s="84" t="s">
        <v>1548</v>
      </c>
      <c r="MZ534" t="s">
        <v>1845</v>
      </c>
      <c r="NA534">
        <v>6.25E-2</v>
      </c>
      <c r="NB534" t="s">
        <v>1846</v>
      </c>
      <c r="NC534" t="s">
        <v>1865</v>
      </c>
      <c r="NI534" t="s">
        <v>712</v>
      </c>
      <c r="NK534" t="s">
        <v>203</v>
      </c>
      <c r="NM534" t="s">
        <v>203</v>
      </c>
      <c r="NW534" t="s">
        <v>6</v>
      </c>
      <c r="NX534">
        <v>1.50286114</v>
      </c>
      <c r="NY534" s="4" t="s">
        <v>4</v>
      </c>
      <c r="NZ534">
        <v>0.61</v>
      </c>
      <c r="OC534">
        <v>9</v>
      </c>
      <c r="OT534" t="s">
        <v>1847</v>
      </c>
      <c r="OW534">
        <v>2006</v>
      </c>
      <c r="OY534" t="s">
        <v>1883</v>
      </c>
      <c r="PA534" t="s">
        <v>1169</v>
      </c>
      <c r="PB534" s="58">
        <v>46120</v>
      </c>
    </row>
    <row r="535" spans="1:418" ht="15.75" thickBot="1">
      <c r="A535" t="s">
        <v>36</v>
      </c>
      <c r="B535" t="s">
        <v>1843</v>
      </c>
      <c r="C535" t="s">
        <v>1844</v>
      </c>
      <c r="D535" s="4" t="s">
        <v>1936</v>
      </c>
      <c r="E535" t="s">
        <v>1856</v>
      </c>
      <c r="F535" t="s">
        <v>31</v>
      </c>
      <c r="G535" t="s">
        <v>2</v>
      </c>
      <c r="H535" t="s">
        <v>30</v>
      </c>
      <c r="I535">
        <v>-13.65</v>
      </c>
      <c r="J535">
        <v>32.566666669999996</v>
      </c>
      <c r="K535" t="s">
        <v>29</v>
      </c>
      <c r="AV535" t="s">
        <v>1862</v>
      </c>
      <c r="AW535">
        <v>100</v>
      </c>
      <c r="AX535" t="s">
        <v>234</v>
      </c>
      <c r="AY535" s="5">
        <v>8</v>
      </c>
      <c r="AZ535" t="s">
        <v>1857</v>
      </c>
      <c r="BA535">
        <v>1999</v>
      </c>
      <c r="BB535">
        <v>2007</v>
      </c>
      <c r="BD535" t="s">
        <v>1848</v>
      </c>
      <c r="BE535" t="s">
        <v>1873</v>
      </c>
      <c r="BF535" t="s">
        <v>43</v>
      </c>
      <c r="BG535" t="s">
        <v>1233</v>
      </c>
      <c r="BH535" t="s">
        <v>23</v>
      </c>
      <c r="BI535" t="s">
        <v>1858</v>
      </c>
      <c r="BJ535" t="s">
        <v>22</v>
      </c>
      <c r="BK535">
        <v>44440</v>
      </c>
      <c r="BL535" t="s">
        <v>275</v>
      </c>
      <c r="EE535" t="s">
        <v>55</v>
      </c>
      <c r="EF535" t="s">
        <v>22</v>
      </c>
      <c r="EG535">
        <v>5000</v>
      </c>
      <c r="EH535" t="s">
        <v>56</v>
      </c>
      <c r="EI535" t="s">
        <v>1877</v>
      </c>
      <c r="EJ535" t="s">
        <v>22</v>
      </c>
      <c r="EK535">
        <v>5000</v>
      </c>
      <c r="HU535" s="58">
        <v>36495</v>
      </c>
      <c r="IP535" t="s">
        <v>1873</v>
      </c>
      <c r="IQ535" s="84" t="s">
        <v>1718</v>
      </c>
      <c r="IT535">
        <v>1999</v>
      </c>
      <c r="IV535" s="4" t="s">
        <v>1879</v>
      </c>
      <c r="JM535" s="8" t="s">
        <v>1630</v>
      </c>
      <c r="KF535" t="s">
        <v>1864</v>
      </c>
      <c r="KG535" s="84" t="s">
        <v>1548</v>
      </c>
      <c r="MZ535" t="s">
        <v>1845</v>
      </c>
      <c r="NA535">
        <v>6.25E-2</v>
      </c>
      <c r="NB535" t="s">
        <v>1846</v>
      </c>
      <c r="NC535" t="s">
        <v>1865</v>
      </c>
      <c r="NI535" t="s">
        <v>712</v>
      </c>
      <c r="NK535" t="s">
        <v>203</v>
      </c>
      <c r="NM535" t="s">
        <v>203</v>
      </c>
      <c r="NW535" t="s">
        <v>6</v>
      </c>
      <c r="NX535">
        <v>1.1083399599999999</v>
      </c>
      <c r="NY535" s="4" t="s">
        <v>4</v>
      </c>
      <c r="NZ535">
        <v>0.5</v>
      </c>
      <c r="OC535">
        <v>9</v>
      </c>
      <c r="OT535" t="s">
        <v>1847</v>
      </c>
      <c r="OW535">
        <v>2006</v>
      </c>
      <c r="OY535" t="s">
        <v>1883</v>
      </c>
      <c r="PA535" t="s">
        <v>1169</v>
      </c>
      <c r="PB535" s="58">
        <v>46120</v>
      </c>
    </row>
    <row r="536" spans="1:418" ht="15.75" thickBot="1">
      <c r="A536" t="s">
        <v>36</v>
      </c>
      <c r="B536" t="s">
        <v>1843</v>
      </c>
      <c r="C536" t="s">
        <v>1844</v>
      </c>
      <c r="D536" s="4" t="s">
        <v>1936</v>
      </c>
      <c r="E536" t="s">
        <v>1856</v>
      </c>
      <c r="F536" t="s">
        <v>31</v>
      </c>
      <c r="G536" t="s">
        <v>2</v>
      </c>
      <c r="H536" t="s">
        <v>30</v>
      </c>
      <c r="I536">
        <v>-13.65</v>
      </c>
      <c r="J536">
        <v>32.566666669999996</v>
      </c>
      <c r="K536" t="s">
        <v>29</v>
      </c>
      <c r="AV536" t="s">
        <v>1862</v>
      </c>
      <c r="AW536">
        <v>100</v>
      </c>
      <c r="AX536" t="s">
        <v>234</v>
      </c>
      <c r="AY536" s="5">
        <v>8</v>
      </c>
      <c r="AZ536" t="s">
        <v>1857</v>
      </c>
      <c r="BA536">
        <v>1999</v>
      </c>
      <c r="BB536">
        <v>2007</v>
      </c>
      <c r="BD536" t="s">
        <v>1848</v>
      </c>
      <c r="BE536" t="s">
        <v>1875</v>
      </c>
      <c r="BF536" t="s">
        <v>252</v>
      </c>
      <c r="BG536" t="s">
        <v>1233</v>
      </c>
      <c r="BH536" t="s">
        <v>23</v>
      </c>
      <c r="BI536" t="s">
        <v>1858</v>
      </c>
      <c r="BJ536" t="s">
        <v>22</v>
      </c>
      <c r="BK536">
        <v>44440</v>
      </c>
      <c r="BL536" t="s">
        <v>275</v>
      </c>
      <c r="EE536" t="s">
        <v>55</v>
      </c>
      <c r="EF536" t="s">
        <v>22</v>
      </c>
      <c r="EG536">
        <v>10000</v>
      </c>
      <c r="HU536" s="58">
        <v>36495</v>
      </c>
      <c r="IP536" t="s">
        <v>1875</v>
      </c>
      <c r="IQ536" s="84" t="s">
        <v>1718</v>
      </c>
      <c r="IT536">
        <v>1999</v>
      </c>
      <c r="IV536" s="4" t="s">
        <v>1879</v>
      </c>
      <c r="JM536" s="8" t="s">
        <v>1630</v>
      </c>
      <c r="KF536" t="s">
        <v>1864</v>
      </c>
      <c r="KG536" s="84" t="s">
        <v>1548</v>
      </c>
      <c r="MZ536" t="s">
        <v>1845</v>
      </c>
      <c r="NA536">
        <v>6.25E-2</v>
      </c>
      <c r="NB536" t="s">
        <v>1846</v>
      </c>
      <c r="NC536" t="s">
        <v>1865</v>
      </c>
      <c r="NI536" t="s">
        <v>712</v>
      </c>
      <c r="NK536" t="s">
        <v>203</v>
      </c>
      <c r="NM536" t="s">
        <v>203</v>
      </c>
      <c r="NW536" t="s">
        <v>6</v>
      </c>
      <c r="NX536">
        <v>0.78816052999999997</v>
      </c>
      <c r="NY536" s="4" t="s">
        <v>4</v>
      </c>
      <c r="NZ536">
        <v>0.27</v>
      </c>
      <c r="OC536">
        <v>9</v>
      </c>
      <c r="OT536" t="s">
        <v>1847</v>
      </c>
      <c r="OW536">
        <v>2006</v>
      </c>
      <c r="OY536" t="s">
        <v>1883</v>
      </c>
      <c r="PA536" t="s">
        <v>1169</v>
      </c>
      <c r="PB536" s="58">
        <v>46120</v>
      </c>
    </row>
    <row r="537" spans="1:418" ht="15.75" thickBot="1">
      <c r="A537" t="s">
        <v>36</v>
      </c>
      <c r="B537" t="s">
        <v>1843</v>
      </c>
      <c r="C537" t="s">
        <v>1844</v>
      </c>
      <c r="D537" s="4" t="s">
        <v>1936</v>
      </c>
      <c r="E537" t="s">
        <v>1856</v>
      </c>
      <c r="F537" t="s">
        <v>31</v>
      </c>
      <c r="G537" t="s">
        <v>2</v>
      </c>
      <c r="H537" t="s">
        <v>30</v>
      </c>
      <c r="I537">
        <v>-13.65</v>
      </c>
      <c r="J537">
        <v>32.566666669999996</v>
      </c>
      <c r="K537" t="s">
        <v>29</v>
      </c>
      <c r="AV537" t="s">
        <v>1862</v>
      </c>
      <c r="AW537">
        <v>100</v>
      </c>
      <c r="AX537" t="s">
        <v>234</v>
      </c>
      <c r="AY537" s="5">
        <v>8</v>
      </c>
      <c r="AZ537" t="s">
        <v>1857</v>
      </c>
      <c r="BA537">
        <v>1999</v>
      </c>
      <c r="BB537">
        <v>2007</v>
      </c>
      <c r="BD537" t="s">
        <v>1848</v>
      </c>
      <c r="BE537" t="s">
        <v>1878</v>
      </c>
      <c r="BF537" t="s">
        <v>236</v>
      </c>
      <c r="BG537" t="s">
        <v>1233</v>
      </c>
      <c r="BH537" t="s">
        <v>23</v>
      </c>
      <c r="BI537" t="s">
        <v>1858</v>
      </c>
      <c r="BJ537" t="s">
        <v>22</v>
      </c>
      <c r="BK537">
        <v>44440</v>
      </c>
      <c r="BL537" t="s">
        <v>275</v>
      </c>
      <c r="HU537" s="58">
        <v>36495</v>
      </c>
      <c r="IP537" t="s">
        <v>1881</v>
      </c>
      <c r="IQ537" s="54" t="s">
        <v>1880</v>
      </c>
      <c r="IT537">
        <v>1999</v>
      </c>
      <c r="IV537" s="4" t="s">
        <v>1879</v>
      </c>
      <c r="JM537" s="8" t="s">
        <v>1630</v>
      </c>
      <c r="KF537" t="s">
        <v>1864</v>
      </c>
      <c r="KG537" s="84" t="s">
        <v>1548</v>
      </c>
      <c r="MZ537" t="s">
        <v>1845</v>
      </c>
      <c r="NA537">
        <v>6.25E-2</v>
      </c>
      <c r="NB537" t="s">
        <v>1846</v>
      </c>
      <c r="NC537" t="s">
        <v>1865</v>
      </c>
      <c r="NI537" t="s">
        <v>712</v>
      </c>
      <c r="NK537" t="s">
        <v>203</v>
      </c>
      <c r="NM537" t="s">
        <v>203</v>
      </c>
      <c r="NW537" t="s">
        <v>6</v>
      </c>
      <c r="NX537">
        <v>0.69081462999999999</v>
      </c>
      <c r="NY537" s="4" t="s">
        <v>4</v>
      </c>
      <c r="NZ537">
        <v>0.31</v>
      </c>
      <c r="OC537">
        <v>9</v>
      </c>
      <c r="OT537" t="s">
        <v>1847</v>
      </c>
      <c r="OW537">
        <v>2006</v>
      </c>
      <c r="OY537" t="s">
        <v>1883</v>
      </c>
      <c r="PA537" t="s">
        <v>1169</v>
      </c>
      <c r="PB537" s="58">
        <v>46120</v>
      </c>
    </row>
    <row r="538" spans="1:418" ht="15.75" thickBot="1">
      <c r="A538" t="s">
        <v>36</v>
      </c>
      <c r="B538" t="s">
        <v>1843</v>
      </c>
      <c r="C538" t="s">
        <v>1844</v>
      </c>
      <c r="D538" s="4" t="s">
        <v>1936</v>
      </c>
      <c r="E538" t="s">
        <v>1856</v>
      </c>
      <c r="F538" t="s">
        <v>31</v>
      </c>
      <c r="G538" t="s">
        <v>2</v>
      </c>
      <c r="H538" t="s">
        <v>30</v>
      </c>
      <c r="I538">
        <v>-13.65</v>
      </c>
      <c r="J538">
        <v>32.566666669999996</v>
      </c>
      <c r="K538" t="s">
        <v>29</v>
      </c>
      <c r="AV538" t="s">
        <v>1862</v>
      </c>
      <c r="AW538">
        <v>100</v>
      </c>
      <c r="AX538" t="s">
        <v>234</v>
      </c>
      <c r="AY538" s="5">
        <v>8</v>
      </c>
      <c r="AZ538" t="s">
        <v>1857</v>
      </c>
      <c r="BA538">
        <v>1999</v>
      </c>
      <c r="BB538">
        <v>2007</v>
      </c>
      <c r="BD538" t="s">
        <v>19</v>
      </c>
      <c r="BE538" t="s">
        <v>1876</v>
      </c>
      <c r="BF538" t="s">
        <v>39</v>
      </c>
      <c r="BG538" t="s">
        <v>1233</v>
      </c>
      <c r="BH538" t="s">
        <v>23</v>
      </c>
      <c r="BI538" t="s">
        <v>1858</v>
      </c>
      <c r="BJ538" t="s">
        <v>22</v>
      </c>
      <c r="BK538">
        <v>44440</v>
      </c>
      <c r="HU538" s="58">
        <v>36495</v>
      </c>
      <c r="IP538" t="s">
        <v>1882</v>
      </c>
      <c r="IQ538" t="s">
        <v>19</v>
      </c>
      <c r="IT538">
        <v>1999</v>
      </c>
      <c r="JM538" t="s">
        <v>14</v>
      </c>
      <c r="JN538" t="s">
        <v>1859</v>
      </c>
      <c r="JO538" t="s">
        <v>13</v>
      </c>
      <c r="JP538" t="s">
        <v>1860</v>
      </c>
      <c r="JQ538" t="s">
        <v>13</v>
      </c>
      <c r="JR538" t="s">
        <v>1861</v>
      </c>
      <c r="JS538">
        <v>90</v>
      </c>
      <c r="JT538">
        <v>80</v>
      </c>
      <c r="KF538" t="s">
        <v>1864</v>
      </c>
      <c r="KG538" s="84" t="s">
        <v>1548</v>
      </c>
      <c r="MZ538" t="s">
        <v>1845</v>
      </c>
      <c r="NA538">
        <v>6.25E-2</v>
      </c>
      <c r="NB538" t="s">
        <v>1846</v>
      </c>
      <c r="NC538" t="s">
        <v>1865</v>
      </c>
      <c r="NI538" t="s">
        <v>712</v>
      </c>
      <c r="NK538" t="s">
        <v>203</v>
      </c>
      <c r="NM538" t="s">
        <v>203</v>
      </c>
      <c r="NV538" t="s">
        <v>1558</v>
      </c>
      <c r="NW538" t="s">
        <v>6</v>
      </c>
      <c r="NX538">
        <v>0.23445062999999999</v>
      </c>
      <c r="NY538" s="4" t="s">
        <v>4</v>
      </c>
      <c r="NZ538">
        <v>0.15</v>
      </c>
      <c r="OC538">
        <v>9</v>
      </c>
      <c r="OT538" t="s">
        <v>1847</v>
      </c>
      <c r="OW538">
        <v>2006</v>
      </c>
      <c r="OY538" t="s">
        <v>1883</v>
      </c>
      <c r="PA538" t="s">
        <v>1169</v>
      </c>
      <c r="PB538" s="58">
        <v>46120</v>
      </c>
    </row>
    <row r="539" spans="1:418" ht="15.75" thickBot="1">
      <c r="A539" t="s">
        <v>36</v>
      </c>
      <c r="B539" t="s">
        <v>1843</v>
      </c>
      <c r="C539" t="s">
        <v>1844</v>
      </c>
      <c r="D539" s="4" t="s">
        <v>1936</v>
      </c>
      <c r="E539" t="s">
        <v>1856</v>
      </c>
      <c r="F539" t="s">
        <v>31</v>
      </c>
      <c r="G539" t="s">
        <v>2</v>
      </c>
      <c r="H539" t="s">
        <v>30</v>
      </c>
      <c r="I539">
        <v>-13.65</v>
      </c>
      <c r="J539">
        <v>32.566666669999996</v>
      </c>
      <c r="K539" t="s">
        <v>29</v>
      </c>
      <c r="AV539" t="s">
        <v>1862</v>
      </c>
      <c r="AW539">
        <v>100</v>
      </c>
      <c r="AX539" t="s">
        <v>234</v>
      </c>
      <c r="AY539" s="5">
        <v>8</v>
      </c>
      <c r="AZ539" t="s">
        <v>1857</v>
      </c>
      <c r="BA539">
        <v>1999</v>
      </c>
      <c r="BB539">
        <v>2007</v>
      </c>
      <c r="BD539" t="s">
        <v>1848</v>
      </c>
      <c r="BE539" t="s">
        <v>1871</v>
      </c>
      <c r="BF539" t="s">
        <v>64</v>
      </c>
      <c r="BG539" t="s">
        <v>1233</v>
      </c>
      <c r="BH539" t="s">
        <v>23</v>
      </c>
      <c r="BI539" t="s">
        <v>1858</v>
      </c>
      <c r="BJ539" t="s">
        <v>22</v>
      </c>
      <c r="BK539">
        <v>44440</v>
      </c>
      <c r="BL539" t="s">
        <v>275</v>
      </c>
      <c r="BM539" t="s">
        <v>1849</v>
      </c>
      <c r="BN539" t="s">
        <v>29</v>
      </c>
      <c r="BO539" t="s">
        <v>22</v>
      </c>
      <c r="BP539">
        <v>10000</v>
      </c>
      <c r="FR539" s="9"/>
      <c r="FS539" s="9"/>
      <c r="FT539" s="9"/>
      <c r="FU539" s="9"/>
      <c r="FV539" s="9"/>
      <c r="FW539" s="9"/>
      <c r="FX539" s="9"/>
      <c r="FY539" s="9"/>
      <c r="FZ539" s="9"/>
      <c r="GA539" s="9"/>
      <c r="GB539" s="9"/>
      <c r="GC539" s="9"/>
      <c r="GD539" s="9"/>
      <c r="GE539" s="9"/>
      <c r="GF539" s="9"/>
      <c r="GG539" s="9"/>
      <c r="GH539" s="9"/>
      <c r="GI539" s="9"/>
      <c r="GJ539" s="9"/>
      <c r="GK539" s="9"/>
      <c r="GL539" s="9"/>
      <c r="GM539" s="9"/>
      <c r="GN539" s="9"/>
      <c r="GO539" s="9"/>
      <c r="GP539" s="9"/>
      <c r="GQ539" s="9"/>
      <c r="GR539" s="9"/>
      <c r="GS539" s="9"/>
      <c r="GT539" s="9"/>
      <c r="GU539" s="9"/>
      <c r="GV539" s="9"/>
      <c r="GW539" s="9"/>
      <c r="GX539" s="9"/>
      <c r="GY539" s="9"/>
      <c r="GZ539" s="9"/>
      <c r="HA539" s="9"/>
      <c r="HB539" s="9"/>
      <c r="HC539" s="9"/>
      <c r="HD539" s="9"/>
      <c r="HE539" s="9"/>
      <c r="HF539" s="9"/>
      <c r="HG539" s="9"/>
      <c r="HH539" s="9"/>
      <c r="HI539" s="9"/>
      <c r="HJ539" s="9"/>
      <c r="HK539" s="9"/>
      <c r="HL539" s="9"/>
      <c r="HM539" s="9"/>
      <c r="HU539" s="58">
        <v>36495</v>
      </c>
      <c r="IP539" t="s">
        <v>1871</v>
      </c>
      <c r="IQ539" s="54" t="s">
        <v>1880</v>
      </c>
      <c r="IT539">
        <v>1999</v>
      </c>
      <c r="IV539" s="4" t="s">
        <v>1879</v>
      </c>
      <c r="JM539" s="8" t="s">
        <v>1630</v>
      </c>
      <c r="KF539" t="s">
        <v>1864</v>
      </c>
      <c r="KG539" s="84" t="s">
        <v>1548</v>
      </c>
      <c r="MZ539" t="s">
        <v>1845</v>
      </c>
      <c r="NA539">
        <v>6.25E-2</v>
      </c>
      <c r="NB539" t="s">
        <v>1850</v>
      </c>
      <c r="NC539" t="s">
        <v>1866</v>
      </c>
      <c r="NI539" t="s">
        <v>712</v>
      </c>
      <c r="NK539" t="s">
        <v>203</v>
      </c>
      <c r="NM539" t="s">
        <v>203</v>
      </c>
      <c r="NW539" t="s">
        <v>6</v>
      </c>
      <c r="NX539">
        <v>2.2263313600000001</v>
      </c>
      <c r="NY539" s="4" t="s">
        <v>4</v>
      </c>
      <c r="NZ539">
        <v>1.06</v>
      </c>
      <c r="OC539">
        <v>9</v>
      </c>
      <c r="OT539" t="s">
        <v>1851</v>
      </c>
      <c r="OW539">
        <v>2006</v>
      </c>
      <c r="OY539" t="s">
        <v>1883</v>
      </c>
      <c r="PA539" t="s">
        <v>1169</v>
      </c>
      <c r="PB539" s="58">
        <v>46120</v>
      </c>
    </row>
    <row r="540" spans="1:418" ht="15.75" thickBot="1">
      <c r="A540" t="s">
        <v>36</v>
      </c>
      <c r="B540" t="s">
        <v>1843</v>
      </c>
      <c r="C540" t="s">
        <v>1844</v>
      </c>
      <c r="D540" s="4" t="s">
        <v>1936</v>
      </c>
      <c r="E540" t="s">
        <v>1856</v>
      </c>
      <c r="F540" t="s">
        <v>31</v>
      </c>
      <c r="G540" t="s">
        <v>2</v>
      </c>
      <c r="H540" t="s">
        <v>30</v>
      </c>
      <c r="I540">
        <v>-13.65</v>
      </c>
      <c r="J540">
        <v>32.566666669999996</v>
      </c>
      <c r="K540" t="s">
        <v>29</v>
      </c>
      <c r="AV540" t="s">
        <v>1862</v>
      </c>
      <c r="AW540">
        <v>100</v>
      </c>
      <c r="AX540" t="s">
        <v>234</v>
      </c>
      <c r="AY540" s="5">
        <v>8</v>
      </c>
      <c r="AZ540" t="s">
        <v>1857</v>
      </c>
      <c r="BA540">
        <v>1999</v>
      </c>
      <c r="BB540">
        <v>2007</v>
      </c>
      <c r="BD540" t="s">
        <v>1848</v>
      </c>
      <c r="BE540" t="s">
        <v>1874</v>
      </c>
      <c r="BF540" t="s">
        <v>57</v>
      </c>
      <c r="BG540" t="s">
        <v>1233</v>
      </c>
      <c r="BH540" t="s">
        <v>23</v>
      </c>
      <c r="BI540" t="s">
        <v>1858</v>
      </c>
      <c r="BJ540" t="s">
        <v>22</v>
      </c>
      <c r="BK540">
        <v>44440</v>
      </c>
      <c r="BL540" t="s">
        <v>275</v>
      </c>
      <c r="BM540" t="s">
        <v>1849</v>
      </c>
      <c r="BN540" t="s">
        <v>29</v>
      </c>
      <c r="BO540" t="s">
        <v>22</v>
      </c>
      <c r="BP540">
        <v>5000</v>
      </c>
      <c r="BQ540" t="s">
        <v>56</v>
      </c>
      <c r="EE540" t="s">
        <v>55</v>
      </c>
      <c r="EF540" t="s">
        <v>22</v>
      </c>
      <c r="EG540">
        <v>5000</v>
      </c>
      <c r="FR540" s="9"/>
      <c r="FS540" s="9"/>
      <c r="FT540" s="9"/>
      <c r="FU540" s="9"/>
      <c r="FV540" s="9"/>
      <c r="FW540" s="9"/>
      <c r="FX540" s="9"/>
      <c r="FY540" s="9"/>
      <c r="FZ540" s="9"/>
      <c r="GA540" s="9"/>
      <c r="GB540" s="9"/>
      <c r="GC540" s="9"/>
      <c r="GD540" s="9"/>
      <c r="GE540" s="9"/>
      <c r="GF540" s="9"/>
      <c r="GG540" s="9"/>
      <c r="GH540" s="9"/>
      <c r="GI540" s="9"/>
      <c r="GJ540" s="9"/>
      <c r="GK540" s="9"/>
      <c r="GL540" s="9"/>
      <c r="GM540" s="9"/>
      <c r="GN540" s="9"/>
      <c r="GO540" s="9"/>
      <c r="GP540" s="9"/>
      <c r="GQ540" s="9"/>
      <c r="GR540" s="9"/>
      <c r="GS540" s="9"/>
      <c r="GT540" s="9"/>
      <c r="GU540" s="9"/>
      <c r="GV540" s="9"/>
      <c r="GW540" s="9"/>
      <c r="GX540" s="9"/>
      <c r="GY540" s="9"/>
      <c r="GZ540" s="9"/>
      <c r="HA540" s="9"/>
      <c r="HB540" s="9"/>
      <c r="HC540" s="9"/>
      <c r="HD540" s="9"/>
      <c r="HE540" s="9"/>
      <c r="HF540" s="9"/>
      <c r="HG540" s="9"/>
      <c r="HH540" s="9"/>
      <c r="HI540" s="9"/>
      <c r="HJ540" s="9"/>
      <c r="HK540" s="9"/>
      <c r="HL540" s="9"/>
      <c r="HM540" s="9"/>
      <c r="HU540" s="58">
        <v>36495</v>
      </c>
      <c r="IP540" t="s">
        <v>1874</v>
      </c>
      <c r="IQ540" s="84" t="s">
        <v>1718</v>
      </c>
      <c r="IT540">
        <v>1999</v>
      </c>
      <c r="IV540" s="4" t="s">
        <v>1879</v>
      </c>
      <c r="JM540" s="8" t="s">
        <v>1630</v>
      </c>
      <c r="KF540" t="s">
        <v>1864</v>
      </c>
      <c r="KG540" s="84" t="s">
        <v>1548</v>
      </c>
      <c r="MZ540" t="s">
        <v>1845</v>
      </c>
      <c r="NA540">
        <v>6.25E-2</v>
      </c>
      <c r="NB540" t="s">
        <v>1850</v>
      </c>
      <c r="NC540" t="s">
        <v>1866</v>
      </c>
      <c r="NI540" t="s">
        <v>712</v>
      </c>
      <c r="NK540" t="s">
        <v>203</v>
      </c>
      <c r="NM540" t="s">
        <v>203</v>
      </c>
      <c r="NW540" t="s">
        <v>6</v>
      </c>
      <c r="NX540">
        <v>0.55917159999999999</v>
      </c>
      <c r="NY540" s="4" t="s">
        <v>4</v>
      </c>
      <c r="NZ540">
        <v>0.33</v>
      </c>
      <c r="OC540">
        <v>9</v>
      </c>
      <c r="OT540" t="s">
        <v>1851</v>
      </c>
      <c r="OW540">
        <v>2006</v>
      </c>
      <c r="OY540" t="s">
        <v>1883</v>
      </c>
      <c r="PA540" t="s">
        <v>1169</v>
      </c>
      <c r="PB540" s="58">
        <v>46120</v>
      </c>
    </row>
    <row r="541" spans="1:418" ht="15.75" thickBot="1">
      <c r="A541" t="s">
        <v>36</v>
      </c>
      <c r="B541" t="s">
        <v>1843</v>
      </c>
      <c r="C541" t="s">
        <v>1844</v>
      </c>
      <c r="D541" s="4" t="s">
        <v>1936</v>
      </c>
      <c r="E541" t="s">
        <v>1856</v>
      </c>
      <c r="F541" t="s">
        <v>31</v>
      </c>
      <c r="G541" t="s">
        <v>2</v>
      </c>
      <c r="H541" t="s">
        <v>30</v>
      </c>
      <c r="I541">
        <v>-13.65</v>
      </c>
      <c r="J541">
        <v>32.566666669999996</v>
      </c>
      <c r="K541" t="s">
        <v>29</v>
      </c>
      <c r="AV541" t="s">
        <v>1862</v>
      </c>
      <c r="AW541">
        <v>100</v>
      </c>
      <c r="AX541" t="s">
        <v>234</v>
      </c>
      <c r="AY541" s="5">
        <v>8</v>
      </c>
      <c r="AZ541" t="s">
        <v>1857</v>
      </c>
      <c r="BA541">
        <v>1999</v>
      </c>
      <c r="BB541">
        <v>2007</v>
      </c>
      <c r="BD541" t="s">
        <v>1848</v>
      </c>
      <c r="BE541" t="s">
        <v>1872</v>
      </c>
      <c r="BF541" t="s">
        <v>48</v>
      </c>
      <c r="BG541" t="s">
        <v>1233</v>
      </c>
      <c r="BH541" t="s">
        <v>23</v>
      </c>
      <c r="BI541" t="s">
        <v>1858</v>
      </c>
      <c r="BJ541" t="s">
        <v>22</v>
      </c>
      <c r="BK541">
        <v>44440</v>
      </c>
      <c r="BL541" t="s">
        <v>275</v>
      </c>
      <c r="EE541" t="s">
        <v>1877</v>
      </c>
      <c r="EF541" t="s">
        <v>22</v>
      </c>
      <c r="EG541">
        <v>10000</v>
      </c>
      <c r="FR541" s="9"/>
      <c r="FS541" s="9"/>
      <c r="FT541" s="9"/>
      <c r="FU541" s="9"/>
      <c r="FV541" s="9"/>
      <c r="FW541" s="9"/>
      <c r="FX541" s="9"/>
      <c r="FY541" s="9"/>
      <c r="FZ541" s="9"/>
      <c r="GA541" s="9"/>
      <c r="GB541" s="9"/>
      <c r="GC541" s="9"/>
      <c r="GD541" s="9"/>
      <c r="GE541" s="9"/>
      <c r="GF541" s="9"/>
      <c r="GG541" s="9"/>
      <c r="GH541" s="9"/>
      <c r="GI541" s="9"/>
      <c r="GJ541" s="9"/>
      <c r="GK541" s="9"/>
      <c r="GL541" s="9"/>
      <c r="GM541" s="9"/>
      <c r="GN541" s="9"/>
      <c r="GO541" s="9"/>
      <c r="GP541" s="9"/>
      <c r="GQ541" s="9"/>
      <c r="GR541" s="9"/>
      <c r="GS541" s="9"/>
      <c r="GT541" s="9"/>
      <c r="GU541" s="9"/>
      <c r="GV541" s="9"/>
      <c r="GW541" s="9"/>
      <c r="GX541" s="9"/>
      <c r="GY541" s="9"/>
      <c r="GZ541" s="9"/>
      <c r="HA541" s="9"/>
      <c r="HB541" s="9"/>
      <c r="HC541" s="9"/>
      <c r="HD541" s="9"/>
      <c r="HE541" s="9"/>
      <c r="HF541" s="9"/>
      <c r="HG541" s="9"/>
      <c r="HH541" s="9"/>
      <c r="HI541" s="9"/>
      <c r="HJ541" s="9"/>
      <c r="HK541" s="9"/>
      <c r="HL541" s="9"/>
      <c r="HM541" s="9"/>
      <c r="HU541" s="58">
        <v>36495</v>
      </c>
      <c r="IP541" t="s">
        <v>1872</v>
      </c>
      <c r="IQ541" s="84" t="s">
        <v>1718</v>
      </c>
      <c r="IT541">
        <v>1999</v>
      </c>
      <c r="IV541" s="4" t="s">
        <v>1879</v>
      </c>
      <c r="JM541" s="8" t="s">
        <v>1630</v>
      </c>
      <c r="KF541" t="s">
        <v>1864</v>
      </c>
      <c r="KG541" s="84" t="s">
        <v>1548</v>
      </c>
      <c r="MZ541" t="s">
        <v>1845</v>
      </c>
      <c r="NA541">
        <v>6.25E-2</v>
      </c>
      <c r="NB541" t="s">
        <v>1850</v>
      </c>
      <c r="NC541" t="s">
        <v>1866</v>
      </c>
      <c r="NI541" t="s">
        <v>712</v>
      </c>
      <c r="NK541" t="s">
        <v>203</v>
      </c>
      <c r="NM541" t="s">
        <v>203</v>
      </c>
      <c r="NW541" t="s">
        <v>6</v>
      </c>
      <c r="NX541">
        <v>0.48668639000000002</v>
      </c>
      <c r="NY541" s="4" t="s">
        <v>4</v>
      </c>
      <c r="NZ541">
        <v>0.31</v>
      </c>
      <c r="OC541">
        <v>9</v>
      </c>
      <c r="OT541" t="s">
        <v>1851</v>
      </c>
      <c r="OW541">
        <v>2006</v>
      </c>
      <c r="OY541" t="s">
        <v>1883</v>
      </c>
      <c r="PA541" t="s">
        <v>1169</v>
      </c>
      <c r="PB541" s="58">
        <v>46120</v>
      </c>
    </row>
    <row r="542" spans="1:418" ht="15.75" thickBot="1">
      <c r="A542" t="s">
        <v>36</v>
      </c>
      <c r="B542" t="s">
        <v>1843</v>
      </c>
      <c r="C542" t="s">
        <v>1844</v>
      </c>
      <c r="D542" s="4" t="s">
        <v>1936</v>
      </c>
      <c r="E542" t="s">
        <v>1856</v>
      </c>
      <c r="F542" t="s">
        <v>31</v>
      </c>
      <c r="G542" t="s">
        <v>2</v>
      </c>
      <c r="H542" t="s">
        <v>30</v>
      </c>
      <c r="I542">
        <v>-13.65</v>
      </c>
      <c r="J542">
        <v>32.566666669999996</v>
      </c>
      <c r="K542" t="s">
        <v>29</v>
      </c>
      <c r="AV542" t="s">
        <v>1862</v>
      </c>
      <c r="AW542">
        <v>100</v>
      </c>
      <c r="AX542" t="s">
        <v>234</v>
      </c>
      <c r="AY542" s="5">
        <v>8</v>
      </c>
      <c r="AZ542" t="s">
        <v>1857</v>
      </c>
      <c r="BA542">
        <v>1999</v>
      </c>
      <c r="BB542">
        <v>2007</v>
      </c>
      <c r="BD542" t="s">
        <v>1848</v>
      </c>
      <c r="BE542" t="s">
        <v>1873</v>
      </c>
      <c r="BF542" t="s">
        <v>43</v>
      </c>
      <c r="BG542" t="s">
        <v>1233</v>
      </c>
      <c r="BH542" t="s">
        <v>23</v>
      </c>
      <c r="BI542" t="s">
        <v>1858</v>
      </c>
      <c r="BJ542" t="s">
        <v>22</v>
      </c>
      <c r="BK542">
        <v>44440</v>
      </c>
      <c r="BL542" t="s">
        <v>275</v>
      </c>
      <c r="EE542" t="s">
        <v>55</v>
      </c>
      <c r="EF542" t="s">
        <v>22</v>
      </c>
      <c r="EG542">
        <v>5000</v>
      </c>
      <c r="EH542" t="s">
        <v>56</v>
      </c>
      <c r="EI542" t="s">
        <v>1877</v>
      </c>
      <c r="EJ542" t="s">
        <v>22</v>
      </c>
      <c r="EK542">
        <v>5000</v>
      </c>
      <c r="FR542" s="9"/>
      <c r="FS542" s="9"/>
      <c r="FT542" s="9"/>
      <c r="FU542" s="9"/>
      <c r="FV542" s="9"/>
      <c r="FW542" s="9"/>
      <c r="FX542" s="9"/>
      <c r="FY542" s="9"/>
      <c r="FZ542" s="9"/>
      <c r="GA542" s="9"/>
      <c r="GB542" s="9"/>
      <c r="GC542" s="9"/>
      <c r="GD542" s="9"/>
      <c r="GE542" s="9"/>
      <c r="GF542" s="9"/>
      <c r="GG542" s="9"/>
      <c r="GH542" s="9"/>
      <c r="GI542" s="9"/>
      <c r="GJ542" s="9"/>
      <c r="GK542" s="9"/>
      <c r="GL542" s="9"/>
      <c r="GM542" s="9"/>
      <c r="GN542" s="9"/>
      <c r="GO542" s="9"/>
      <c r="GP542" s="9"/>
      <c r="GQ542" s="9"/>
      <c r="GR542" s="9"/>
      <c r="GS542" s="9"/>
      <c r="GT542" s="9"/>
      <c r="GU542" s="9"/>
      <c r="GV542" s="9"/>
      <c r="GW542" s="9"/>
      <c r="GX542" s="9"/>
      <c r="GY542" s="9"/>
      <c r="GZ542" s="9"/>
      <c r="HA542" s="9"/>
      <c r="HB542" s="9"/>
      <c r="HC542" s="9"/>
      <c r="HD542" s="9"/>
      <c r="HE542" s="9"/>
      <c r="HF542" s="9"/>
      <c r="HG542" s="9"/>
      <c r="HH542" s="9"/>
      <c r="HI542" s="9"/>
      <c r="HJ542" s="9"/>
      <c r="HK542" s="9"/>
      <c r="HL542" s="9"/>
      <c r="HM542" s="9"/>
      <c r="HU542" s="58">
        <v>36495</v>
      </c>
      <c r="IP542" t="s">
        <v>1873</v>
      </c>
      <c r="IQ542" s="84" t="s">
        <v>1718</v>
      </c>
      <c r="IT542">
        <v>1999</v>
      </c>
      <c r="IV542" s="4" t="s">
        <v>1879</v>
      </c>
      <c r="JM542" s="8" t="s">
        <v>1630</v>
      </c>
      <c r="KF542" t="s">
        <v>1864</v>
      </c>
      <c r="KG542" s="84" t="s">
        <v>1548</v>
      </c>
      <c r="MZ542" t="s">
        <v>1845</v>
      </c>
      <c r="NA542">
        <v>6.25E-2</v>
      </c>
      <c r="NB542" t="s">
        <v>1850</v>
      </c>
      <c r="NC542" t="s">
        <v>1866</v>
      </c>
      <c r="NI542" t="s">
        <v>712</v>
      </c>
      <c r="NK542" t="s">
        <v>203</v>
      </c>
      <c r="NM542" t="s">
        <v>203</v>
      </c>
      <c r="NW542" t="s">
        <v>6</v>
      </c>
      <c r="NX542">
        <v>0.69378698000000005</v>
      </c>
      <c r="NY542" s="4" t="s">
        <v>4</v>
      </c>
      <c r="NZ542">
        <v>0.31</v>
      </c>
      <c r="OC542">
        <v>9</v>
      </c>
      <c r="OT542" t="s">
        <v>1851</v>
      </c>
      <c r="OW542">
        <v>2006</v>
      </c>
      <c r="OY542" t="s">
        <v>1883</v>
      </c>
      <c r="PA542" t="s">
        <v>1169</v>
      </c>
      <c r="PB542" s="58">
        <v>46120</v>
      </c>
    </row>
    <row r="543" spans="1:418" ht="15.75" thickBot="1">
      <c r="A543" t="s">
        <v>36</v>
      </c>
      <c r="B543" t="s">
        <v>1843</v>
      </c>
      <c r="C543" t="s">
        <v>1844</v>
      </c>
      <c r="D543" s="4" t="s">
        <v>1936</v>
      </c>
      <c r="E543" t="s">
        <v>1856</v>
      </c>
      <c r="F543" t="s">
        <v>31</v>
      </c>
      <c r="G543" t="s">
        <v>2</v>
      </c>
      <c r="H543" t="s">
        <v>30</v>
      </c>
      <c r="I543">
        <v>-13.65</v>
      </c>
      <c r="J543">
        <v>32.566666669999996</v>
      </c>
      <c r="K543" t="s">
        <v>29</v>
      </c>
      <c r="AV543" t="s">
        <v>1862</v>
      </c>
      <c r="AW543">
        <v>100</v>
      </c>
      <c r="AX543" t="s">
        <v>234</v>
      </c>
      <c r="AY543" s="5">
        <v>8</v>
      </c>
      <c r="AZ543" t="s">
        <v>1857</v>
      </c>
      <c r="BA543">
        <v>1999</v>
      </c>
      <c r="BB543">
        <v>2007</v>
      </c>
      <c r="BD543" t="s">
        <v>1848</v>
      </c>
      <c r="BE543" t="s">
        <v>1875</v>
      </c>
      <c r="BF543" t="s">
        <v>252</v>
      </c>
      <c r="BG543" t="s">
        <v>1233</v>
      </c>
      <c r="BH543" t="s">
        <v>23</v>
      </c>
      <c r="BI543" t="s">
        <v>1858</v>
      </c>
      <c r="BJ543" t="s">
        <v>22</v>
      </c>
      <c r="BK543">
        <v>44440</v>
      </c>
      <c r="BL543" t="s">
        <v>275</v>
      </c>
      <c r="EE543" t="s">
        <v>55</v>
      </c>
      <c r="EF543" t="s">
        <v>22</v>
      </c>
      <c r="EG543">
        <v>10000</v>
      </c>
      <c r="FR543" s="9"/>
      <c r="FS543" s="9"/>
      <c r="FT543" s="9"/>
      <c r="FU543" s="9"/>
      <c r="FV543" s="9"/>
      <c r="FW543" s="9"/>
      <c r="FX543" s="9"/>
      <c r="FY543" s="9"/>
      <c r="FZ543" s="9"/>
      <c r="GA543" s="9"/>
      <c r="GB543" s="9"/>
      <c r="GC543" s="9"/>
      <c r="GD543" s="9"/>
      <c r="GE543" s="9"/>
      <c r="GF543" s="9"/>
      <c r="GG543" s="9"/>
      <c r="GH543" s="9"/>
      <c r="GI543" s="9"/>
      <c r="GJ543" s="9"/>
      <c r="GK543" s="9"/>
      <c r="GL543" s="9"/>
      <c r="GM543" s="9"/>
      <c r="GN543" s="9"/>
      <c r="GO543" s="9"/>
      <c r="GP543" s="9"/>
      <c r="GQ543" s="9"/>
      <c r="GR543" s="9"/>
      <c r="GS543" s="9"/>
      <c r="GT543" s="9"/>
      <c r="GU543" s="9"/>
      <c r="GV543" s="9"/>
      <c r="GW543" s="9"/>
      <c r="GX543" s="9"/>
      <c r="GY543" s="9"/>
      <c r="GZ543" s="9"/>
      <c r="HA543" s="9"/>
      <c r="HB543" s="9"/>
      <c r="HC543" s="9"/>
      <c r="HD543" s="9"/>
      <c r="HE543" s="9"/>
      <c r="HF543" s="9"/>
      <c r="HG543" s="9"/>
      <c r="HH543" s="9"/>
      <c r="HI543" s="9"/>
      <c r="HJ543" s="9"/>
      <c r="HK543" s="9"/>
      <c r="HL543" s="9"/>
      <c r="HM543" s="9"/>
      <c r="HU543" s="58">
        <v>36495</v>
      </c>
      <c r="IP543" t="s">
        <v>1875</v>
      </c>
      <c r="IQ543" s="84" t="s">
        <v>1718</v>
      </c>
      <c r="IT543">
        <v>1999</v>
      </c>
      <c r="IV543" s="4" t="s">
        <v>1879</v>
      </c>
      <c r="JM543" s="8" t="s">
        <v>1630</v>
      </c>
      <c r="KF543" t="s">
        <v>1864</v>
      </c>
      <c r="KG543" s="84" t="s">
        <v>1548</v>
      </c>
      <c r="MZ543" t="s">
        <v>1845</v>
      </c>
      <c r="NA543">
        <v>6.25E-2</v>
      </c>
      <c r="NB543" t="s">
        <v>1850</v>
      </c>
      <c r="NC543" t="s">
        <v>1866</v>
      </c>
      <c r="NI543" t="s">
        <v>712</v>
      </c>
      <c r="NK543" t="s">
        <v>203</v>
      </c>
      <c r="NM543" t="s">
        <v>203</v>
      </c>
      <c r="NW543" t="s">
        <v>6</v>
      </c>
      <c r="NX543">
        <v>0.77662721999999995</v>
      </c>
      <c r="NY543" s="4" t="s">
        <v>4</v>
      </c>
      <c r="NZ543">
        <v>0.47</v>
      </c>
      <c r="OC543">
        <v>9</v>
      </c>
      <c r="OT543" t="s">
        <v>1851</v>
      </c>
      <c r="OW543">
        <v>2006</v>
      </c>
      <c r="OY543" t="s">
        <v>1883</v>
      </c>
      <c r="PA543" t="s">
        <v>1169</v>
      </c>
      <c r="PB543" s="58">
        <v>46120</v>
      </c>
    </row>
    <row r="544" spans="1:418" ht="15.75" thickBot="1">
      <c r="A544" t="s">
        <v>36</v>
      </c>
      <c r="B544" t="s">
        <v>1843</v>
      </c>
      <c r="C544" t="s">
        <v>1844</v>
      </c>
      <c r="D544" s="4" t="s">
        <v>1936</v>
      </c>
      <c r="E544" t="s">
        <v>1856</v>
      </c>
      <c r="F544" t="s">
        <v>31</v>
      </c>
      <c r="G544" t="s">
        <v>2</v>
      </c>
      <c r="H544" t="s">
        <v>30</v>
      </c>
      <c r="I544">
        <v>-13.65</v>
      </c>
      <c r="J544">
        <v>32.566666669999996</v>
      </c>
      <c r="K544" t="s">
        <v>29</v>
      </c>
      <c r="AV544" t="s">
        <v>1862</v>
      </c>
      <c r="AW544">
        <v>100</v>
      </c>
      <c r="AX544" t="s">
        <v>234</v>
      </c>
      <c r="AY544" s="5">
        <v>8</v>
      </c>
      <c r="AZ544" t="s">
        <v>1857</v>
      </c>
      <c r="BA544">
        <v>1999</v>
      </c>
      <c r="BB544">
        <v>2007</v>
      </c>
      <c r="BD544" t="s">
        <v>1848</v>
      </c>
      <c r="BE544" t="s">
        <v>1878</v>
      </c>
      <c r="BF544" t="s">
        <v>236</v>
      </c>
      <c r="BG544" t="s">
        <v>1233</v>
      </c>
      <c r="BH544" t="s">
        <v>23</v>
      </c>
      <c r="BI544" t="s">
        <v>1858</v>
      </c>
      <c r="BJ544" t="s">
        <v>22</v>
      </c>
      <c r="BK544">
        <v>44440</v>
      </c>
      <c r="BL544" t="s">
        <v>275</v>
      </c>
      <c r="FR544" s="9"/>
      <c r="FS544" s="9"/>
      <c r="FT544" s="9"/>
      <c r="FU544" s="9"/>
      <c r="FV544" s="9"/>
      <c r="FW544" s="9"/>
      <c r="FX544" s="9"/>
      <c r="FY544" s="9"/>
      <c r="FZ544" s="9"/>
      <c r="GA544" s="9"/>
      <c r="GB544" s="9"/>
      <c r="GC544" s="9"/>
      <c r="GD544" s="9"/>
      <c r="GE544" s="9"/>
      <c r="GF544" s="9"/>
      <c r="GG544" s="9"/>
      <c r="GH544" s="9"/>
      <c r="GI544" s="9"/>
      <c r="GJ544" s="9"/>
      <c r="GK544" s="9"/>
      <c r="GL544" s="9"/>
      <c r="GM544" s="9"/>
      <c r="GN544" s="9"/>
      <c r="GO544" s="9"/>
      <c r="GP544" s="9"/>
      <c r="GQ544" s="9"/>
      <c r="GR544" s="9"/>
      <c r="GS544" s="9"/>
      <c r="GT544" s="9"/>
      <c r="GU544" s="9"/>
      <c r="GV544" s="9"/>
      <c r="GW544" s="9"/>
      <c r="GX544" s="9"/>
      <c r="GY544" s="9"/>
      <c r="GZ544" s="9"/>
      <c r="HA544" s="9"/>
      <c r="HB544" s="9"/>
      <c r="HC544" s="9"/>
      <c r="HD544" s="9"/>
      <c r="HE544" s="9"/>
      <c r="HF544" s="9"/>
      <c r="HG544" s="9"/>
      <c r="HH544" s="9"/>
      <c r="HI544" s="9"/>
      <c r="HJ544" s="9"/>
      <c r="HK544" s="9"/>
      <c r="HL544" s="9"/>
      <c r="HM544" s="9"/>
      <c r="HU544" s="58">
        <v>36495</v>
      </c>
      <c r="IP544" t="s">
        <v>1881</v>
      </c>
      <c r="IQ544" s="54" t="s">
        <v>1880</v>
      </c>
      <c r="IT544">
        <v>1999</v>
      </c>
      <c r="IV544" s="4" t="s">
        <v>1879</v>
      </c>
      <c r="JM544" s="8" t="s">
        <v>1630</v>
      </c>
      <c r="KF544" t="s">
        <v>1864</v>
      </c>
      <c r="KG544" s="84" t="s">
        <v>1548</v>
      </c>
      <c r="MZ544" t="s">
        <v>1845</v>
      </c>
      <c r="NA544">
        <v>6.25E-2</v>
      </c>
      <c r="NB544" t="s">
        <v>1850</v>
      </c>
      <c r="NC544" t="s">
        <v>1866</v>
      </c>
      <c r="NI544" t="s">
        <v>712</v>
      </c>
      <c r="NK544" t="s">
        <v>203</v>
      </c>
      <c r="NM544" t="s">
        <v>203</v>
      </c>
      <c r="NW544" t="s">
        <v>6</v>
      </c>
      <c r="NX544">
        <v>0.11390533</v>
      </c>
      <c r="NY544" s="4" t="s">
        <v>4</v>
      </c>
      <c r="NZ544">
        <v>0.09</v>
      </c>
      <c r="OC544">
        <v>9</v>
      </c>
      <c r="OT544" t="s">
        <v>1851</v>
      </c>
      <c r="OW544">
        <v>2006</v>
      </c>
      <c r="OY544" t="s">
        <v>1883</v>
      </c>
      <c r="PA544" t="s">
        <v>1169</v>
      </c>
      <c r="PB544" s="58">
        <v>46120</v>
      </c>
    </row>
    <row r="545" spans="1:418" ht="15.75" thickBot="1">
      <c r="A545" t="s">
        <v>36</v>
      </c>
      <c r="B545" t="s">
        <v>1843</v>
      </c>
      <c r="C545" t="s">
        <v>1844</v>
      </c>
      <c r="D545" s="4" t="s">
        <v>1936</v>
      </c>
      <c r="E545" t="s">
        <v>1856</v>
      </c>
      <c r="F545" t="s">
        <v>31</v>
      </c>
      <c r="G545" t="s">
        <v>2</v>
      </c>
      <c r="H545" t="s">
        <v>30</v>
      </c>
      <c r="I545">
        <v>-13.65</v>
      </c>
      <c r="J545">
        <v>32.566666669999996</v>
      </c>
      <c r="K545" t="s">
        <v>29</v>
      </c>
      <c r="AV545" t="s">
        <v>1862</v>
      </c>
      <c r="AW545">
        <v>100</v>
      </c>
      <c r="AX545" t="s">
        <v>234</v>
      </c>
      <c r="AY545" s="5">
        <v>8</v>
      </c>
      <c r="AZ545" t="s">
        <v>1857</v>
      </c>
      <c r="BA545">
        <v>1999</v>
      </c>
      <c r="BB545">
        <v>2007</v>
      </c>
      <c r="BD545" t="s">
        <v>19</v>
      </c>
      <c r="BE545" t="s">
        <v>1876</v>
      </c>
      <c r="BF545" t="s">
        <v>39</v>
      </c>
      <c r="BG545" t="s">
        <v>1233</v>
      </c>
      <c r="BH545" t="s">
        <v>23</v>
      </c>
      <c r="BI545" t="s">
        <v>1858</v>
      </c>
      <c r="BJ545" t="s">
        <v>22</v>
      </c>
      <c r="BK545">
        <v>44440</v>
      </c>
      <c r="FR545" s="9"/>
      <c r="FS545" s="9"/>
      <c r="FT545" s="9"/>
      <c r="FU545" s="9"/>
      <c r="FV545" s="9"/>
      <c r="FW545" s="9"/>
      <c r="FX545" s="9"/>
      <c r="FY545" s="9"/>
      <c r="FZ545" s="9"/>
      <c r="GA545" s="9"/>
      <c r="GB545" s="9"/>
      <c r="GC545" s="9"/>
      <c r="GD545" s="9"/>
      <c r="GE545" s="9"/>
      <c r="GF545" s="9"/>
      <c r="GG545" s="9"/>
      <c r="GH545" s="9"/>
      <c r="GI545" s="9"/>
      <c r="GJ545" s="9"/>
      <c r="GK545" s="9"/>
      <c r="GL545" s="9"/>
      <c r="GM545" s="9"/>
      <c r="GN545" s="9"/>
      <c r="GO545" s="9"/>
      <c r="GP545" s="9"/>
      <c r="GQ545" s="9"/>
      <c r="GR545" s="9"/>
      <c r="GS545" s="9"/>
      <c r="GT545" s="9"/>
      <c r="GU545" s="9"/>
      <c r="GV545" s="9"/>
      <c r="GW545" s="9"/>
      <c r="GX545" s="9"/>
      <c r="GY545" s="9"/>
      <c r="GZ545" s="9"/>
      <c r="HA545" s="9"/>
      <c r="HB545" s="9"/>
      <c r="HC545" s="9"/>
      <c r="HD545" s="9"/>
      <c r="HE545" s="9"/>
      <c r="HF545" s="9"/>
      <c r="HG545" s="9"/>
      <c r="HH545" s="9"/>
      <c r="HI545" s="9"/>
      <c r="HJ545" s="9"/>
      <c r="HK545" s="9"/>
      <c r="HL545" s="9"/>
      <c r="HM545" s="9"/>
      <c r="HU545" s="58">
        <v>36495</v>
      </c>
      <c r="IP545" t="s">
        <v>1882</v>
      </c>
      <c r="IQ545" t="s">
        <v>19</v>
      </c>
      <c r="IT545">
        <v>1999</v>
      </c>
      <c r="JM545" t="s">
        <v>14</v>
      </c>
      <c r="JN545" t="s">
        <v>1859</v>
      </c>
      <c r="JO545" t="s">
        <v>13</v>
      </c>
      <c r="JP545" t="s">
        <v>1860</v>
      </c>
      <c r="JQ545" t="s">
        <v>13</v>
      </c>
      <c r="JR545" t="s">
        <v>1861</v>
      </c>
      <c r="JS545">
        <v>90</v>
      </c>
      <c r="JT545">
        <v>80</v>
      </c>
      <c r="KF545" t="s">
        <v>1864</v>
      </c>
      <c r="KG545" s="84" t="s">
        <v>1548</v>
      </c>
      <c r="MZ545" t="s">
        <v>1845</v>
      </c>
      <c r="NA545">
        <v>6.25E-2</v>
      </c>
      <c r="NB545" t="s">
        <v>1850</v>
      </c>
      <c r="NC545" t="s">
        <v>1866</v>
      </c>
      <c r="NI545" t="s">
        <v>712</v>
      </c>
      <c r="NK545" t="s">
        <v>203</v>
      </c>
      <c r="NM545" t="s">
        <v>203</v>
      </c>
      <c r="NV545" t="s">
        <v>1558</v>
      </c>
      <c r="NW545" t="s">
        <v>6</v>
      </c>
      <c r="NX545">
        <v>0.20710059</v>
      </c>
      <c r="NY545" s="4" t="s">
        <v>4</v>
      </c>
      <c r="NZ545">
        <v>0.23</v>
      </c>
      <c r="OC545">
        <v>9</v>
      </c>
      <c r="OT545" t="s">
        <v>1851</v>
      </c>
      <c r="OW545">
        <v>2006</v>
      </c>
      <c r="OY545" t="s">
        <v>1883</v>
      </c>
      <c r="PA545" t="s">
        <v>1169</v>
      </c>
      <c r="PB545" s="58">
        <v>46120</v>
      </c>
    </row>
    <row r="546" spans="1:418" ht="15.75" thickBot="1">
      <c r="A546" t="s">
        <v>36</v>
      </c>
      <c r="B546" t="s">
        <v>1843</v>
      </c>
      <c r="C546" t="s">
        <v>1844</v>
      </c>
      <c r="D546" s="4" t="s">
        <v>1936</v>
      </c>
      <c r="E546" t="s">
        <v>1856</v>
      </c>
      <c r="F546" t="s">
        <v>31</v>
      </c>
      <c r="G546" t="s">
        <v>2</v>
      </c>
      <c r="H546" t="s">
        <v>30</v>
      </c>
      <c r="I546">
        <v>-13.65</v>
      </c>
      <c r="J546">
        <v>32.566666669999996</v>
      </c>
      <c r="K546" t="s">
        <v>29</v>
      </c>
      <c r="AV546" t="s">
        <v>1862</v>
      </c>
      <c r="AW546">
        <v>100</v>
      </c>
      <c r="AX546" t="s">
        <v>234</v>
      </c>
      <c r="AY546" s="5">
        <v>8</v>
      </c>
      <c r="AZ546" t="s">
        <v>1857</v>
      </c>
      <c r="BA546">
        <v>1999</v>
      </c>
      <c r="BB546">
        <v>2007</v>
      </c>
      <c r="BD546" t="s">
        <v>1848</v>
      </c>
      <c r="BE546" t="s">
        <v>1871</v>
      </c>
      <c r="BF546" t="s">
        <v>64</v>
      </c>
      <c r="BG546" t="s">
        <v>1233</v>
      </c>
      <c r="BH546" t="s">
        <v>23</v>
      </c>
      <c r="BI546" t="s">
        <v>1858</v>
      </c>
      <c r="BJ546" t="s">
        <v>22</v>
      </c>
      <c r="BK546">
        <v>44440</v>
      </c>
      <c r="BL546" t="s">
        <v>275</v>
      </c>
      <c r="BM546" t="s">
        <v>1849</v>
      </c>
      <c r="BN546" t="s">
        <v>29</v>
      </c>
      <c r="BO546" t="s">
        <v>22</v>
      </c>
      <c r="BP546">
        <v>10000</v>
      </c>
      <c r="FR546" s="9"/>
      <c r="FS546" s="9"/>
      <c r="FT546" s="9"/>
      <c r="FU546" s="9"/>
      <c r="FV546" s="9"/>
      <c r="FW546" s="9"/>
      <c r="FX546" s="9"/>
      <c r="FY546" s="9"/>
      <c r="FZ546" s="9"/>
      <c r="GA546" s="9"/>
      <c r="GB546" s="9"/>
      <c r="GC546" s="9"/>
      <c r="GD546" s="9"/>
      <c r="GE546" s="9"/>
      <c r="GF546" s="9"/>
      <c r="GG546" s="9"/>
      <c r="GH546" s="9"/>
      <c r="GI546" s="9"/>
      <c r="GJ546" s="9"/>
      <c r="GK546" s="9"/>
      <c r="GL546" s="9"/>
      <c r="GM546" s="9"/>
      <c r="GN546" s="9"/>
      <c r="GO546" s="9"/>
      <c r="GP546" s="9"/>
      <c r="GQ546" s="9"/>
      <c r="GR546" s="9"/>
      <c r="GS546" s="9"/>
      <c r="GT546" s="9"/>
      <c r="GU546" s="9"/>
      <c r="GV546" s="9"/>
      <c r="GW546" s="9"/>
      <c r="GX546" s="9"/>
      <c r="GY546" s="9"/>
      <c r="GZ546" s="9"/>
      <c r="HA546" s="9"/>
      <c r="HB546" s="9"/>
      <c r="HC546" s="9"/>
      <c r="HD546" s="9"/>
      <c r="HE546" s="9"/>
      <c r="HF546" s="9"/>
      <c r="HG546" s="9"/>
      <c r="HH546" s="9"/>
      <c r="HI546" s="9"/>
      <c r="HJ546" s="9"/>
      <c r="HK546" s="9"/>
      <c r="HL546" s="9"/>
      <c r="HM546" s="9"/>
      <c r="HU546" s="58">
        <v>36495</v>
      </c>
      <c r="IP546" t="s">
        <v>1871</v>
      </c>
      <c r="IQ546" s="54" t="s">
        <v>1880</v>
      </c>
      <c r="IT546">
        <v>1999</v>
      </c>
      <c r="IV546" s="4" t="s">
        <v>1879</v>
      </c>
      <c r="JM546" s="8" t="s">
        <v>1630</v>
      </c>
      <c r="KF546" t="s">
        <v>1864</v>
      </c>
      <c r="KG546" s="84" t="s">
        <v>1548</v>
      </c>
      <c r="MZ546" t="s">
        <v>1845</v>
      </c>
      <c r="NA546">
        <v>6.25E-2</v>
      </c>
      <c r="NB546" t="s">
        <v>1852</v>
      </c>
      <c r="NC546" t="s">
        <v>1867</v>
      </c>
      <c r="NI546" t="s">
        <v>712</v>
      </c>
      <c r="NK546" t="s">
        <v>203</v>
      </c>
      <c r="NM546" t="s">
        <v>203</v>
      </c>
      <c r="NW546" t="s">
        <v>6</v>
      </c>
      <c r="NX546">
        <v>1.6519174000000001</v>
      </c>
      <c r="NY546" s="4" t="s">
        <v>4</v>
      </c>
      <c r="NZ546">
        <v>1.06</v>
      </c>
      <c r="OC546">
        <v>9</v>
      </c>
      <c r="OT546" t="s">
        <v>1853</v>
      </c>
      <c r="OW546">
        <v>2006</v>
      </c>
      <c r="OY546" t="s">
        <v>1883</v>
      </c>
      <c r="PA546" t="s">
        <v>1169</v>
      </c>
      <c r="PB546" s="58">
        <v>46120</v>
      </c>
    </row>
    <row r="547" spans="1:418" ht="15.75" thickBot="1">
      <c r="A547" t="s">
        <v>36</v>
      </c>
      <c r="B547" t="s">
        <v>1843</v>
      </c>
      <c r="C547" t="s">
        <v>1844</v>
      </c>
      <c r="D547" s="4" t="s">
        <v>1936</v>
      </c>
      <c r="E547" t="s">
        <v>1856</v>
      </c>
      <c r="F547" t="s">
        <v>31</v>
      </c>
      <c r="G547" t="s">
        <v>2</v>
      </c>
      <c r="H547" t="s">
        <v>30</v>
      </c>
      <c r="I547">
        <v>-13.65</v>
      </c>
      <c r="J547">
        <v>32.566666669999996</v>
      </c>
      <c r="K547" t="s">
        <v>29</v>
      </c>
      <c r="AV547" t="s">
        <v>1862</v>
      </c>
      <c r="AW547">
        <v>100</v>
      </c>
      <c r="AX547" t="s">
        <v>234</v>
      </c>
      <c r="AY547" s="5">
        <v>8</v>
      </c>
      <c r="AZ547" t="s">
        <v>1857</v>
      </c>
      <c r="BA547">
        <v>1999</v>
      </c>
      <c r="BB547">
        <v>2007</v>
      </c>
      <c r="BD547" t="s">
        <v>1848</v>
      </c>
      <c r="BE547" t="s">
        <v>1874</v>
      </c>
      <c r="BF547" t="s">
        <v>57</v>
      </c>
      <c r="BG547" t="s">
        <v>1233</v>
      </c>
      <c r="BH547" t="s">
        <v>23</v>
      </c>
      <c r="BI547" t="s">
        <v>1858</v>
      </c>
      <c r="BJ547" t="s">
        <v>22</v>
      </c>
      <c r="BK547">
        <v>44440</v>
      </c>
      <c r="BL547" t="s">
        <v>275</v>
      </c>
      <c r="BM547" t="s">
        <v>1849</v>
      </c>
      <c r="BN547" t="s">
        <v>29</v>
      </c>
      <c r="BO547" t="s">
        <v>22</v>
      </c>
      <c r="BP547">
        <v>5000</v>
      </c>
      <c r="BQ547" t="s">
        <v>56</v>
      </c>
      <c r="EE547" t="s">
        <v>55</v>
      </c>
      <c r="EF547" t="s">
        <v>22</v>
      </c>
      <c r="EG547">
        <v>5000</v>
      </c>
      <c r="FR547" s="9"/>
      <c r="FS547" s="9"/>
      <c r="FT547" s="9"/>
      <c r="FU547" s="9"/>
      <c r="FV547" s="9"/>
      <c r="FW547" s="9"/>
      <c r="FX547" s="9"/>
      <c r="FY547" s="9"/>
      <c r="FZ547" s="9"/>
      <c r="GA547" s="9"/>
      <c r="GB547" s="9"/>
      <c r="GC547" s="9"/>
      <c r="GD547" s="9"/>
      <c r="GE547" s="9"/>
      <c r="GF547" s="9"/>
      <c r="GG547" s="9"/>
      <c r="GH547" s="9"/>
      <c r="GI547" s="9"/>
      <c r="GJ547" s="9"/>
      <c r="GK547" s="9"/>
      <c r="GL547" s="9"/>
      <c r="GM547" s="9"/>
      <c r="GN547" s="9"/>
      <c r="GO547" s="9"/>
      <c r="GP547" s="9"/>
      <c r="GQ547" s="9"/>
      <c r="GR547" s="9"/>
      <c r="GS547" s="9"/>
      <c r="GT547" s="9"/>
      <c r="GU547" s="9"/>
      <c r="GV547" s="9"/>
      <c r="GW547" s="9"/>
      <c r="GX547" s="9"/>
      <c r="GY547" s="9"/>
      <c r="GZ547" s="9"/>
      <c r="HA547" s="9"/>
      <c r="HB547" s="9"/>
      <c r="HC547" s="9"/>
      <c r="HD547" s="9"/>
      <c r="HE547" s="9"/>
      <c r="HF547" s="9"/>
      <c r="HG547" s="9"/>
      <c r="HH547" s="9"/>
      <c r="HI547" s="9"/>
      <c r="HJ547" s="9"/>
      <c r="HK547" s="9"/>
      <c r="HL547" s="9"/>
      <c r="HM547" s="9"/>
      <c r="HU547" s="58">
        <v>36495</v>
      </c>
      <c r="IP547" t="s">
        <v>1874</v>
      </c>
      <c r="IQ547" s="84" t="s">
        <v>1718</v>
      </c>
      <c r="IT547">
        <v>1999</v>
      </c>
      <c r="IV547" s="4" t="s">
        <v>1879</v>
      </c>
      <c r="JM547" s="8" t="s">
        <v>1630</v>
      </c>
      <c r="KF547" t="s">
        <v>1864</v>
      </c>
      <c r="KG547" s="84" t="s">
        <v>1548</v>
      </c>
      <c r="MZ547" t="s">
        <v>1845</v>
      </c>
      <c r="NA547">
        <v>6.25E-2</v>
      </c>
      <c r="NB547" t="s">
        <v>1852</v>
      </c>
      <c r="NC547" t="s">
        <v>1867</v>
      </c>
      <c r="NI547" t="s">
        <v>712</v>
      </c>
      <c r="NK547" t="s">
        <v>203</v>
      </c>
      <c r="NM547" t="s">
        <v>203</v>
      </c>
      <c r="NW547" t="s">
        <v>6</v>
      </c>
      <c r="NX547">
        <v>13.569321499999999</v>
      </c>
      <c r="NY547" s="4" t="s">
        <v>4</v>
      </c>
      <c r="NZ547">
        <v>5.13</v>
      </c>
      <c r="OC547">
        <v>9</v>
      </c>
      <c r="OT547" t="s">
        <v>1853</v>
      </c>
      <c r="OW547">
        <v>2006</v>
      </c>
      <c r="OY547" t="s">
        <v>1883</v>
      </c>
      <c r="PA547" t="s">
        <v>1169</v>
      </c>
      <c r="PB547" s="58">
        <v>46120</v>
      </c>
    </row>
    <row r="548" spans="1:418" ht="15.75" thickBot="1">
      <c r="A548" t="s">
        <v>36</v>
      </c>
      <c r="B548" t="s">
        <v>1843</v>
      </c>
      <c r="C548" t="s">
        <v>1844</v>
      </c>
      <c r="D548" s="4" t="s">
        <v>1936</v>
      </c>
      <c r="E548" t="s">
        <v>1856</v>
      </c>
      <c r="F548" t="s">
        <v>31</v>
      </c>
      <c r="G548" t="s">
        <v>2</v>
      </c>
      <c r="H548" t="s">
        <v>30</v>
      </c>
      <c r="I548">
        <v>-13.65</v>
      </c>
      <c r="J548">
        <v>32.566666669999996</v>
      </c>
      <c r="K548" t="s">
        <v>29</v>
      </c>
      <c r="AV548" t="s">
        <v>1862</v>
      </c>
      <c r="AW548">
        <v>100</v>
      </c>
      <c r="AX548" t="s">
        <v>234</v>
      </c>
      <c r="AY548" s="5">
        <v>8</v>
      </c>
      <c r="AZ548" t="s">
        <v>1857</v>
      </c>
      <c r="BA548">
        <v>1999</v>
      </c>
      <c r="BB548">
        <v>2007</v>
      </c>
      <c r="BD548" t="s">
        <v>1848</v>
      </c>
      <c r="BE548" t="s">
        <v>1872</v>
      </c>
      <c r="BF548" t="s">
        <v>48</v>
      </c>
      <c r="BG548" t="s">
        <v>1233</v>
      </c>
      <c r="BH548" t="s">
        <v>23</v>
      </c>
      <c r="BI548" t="s">
        <v>1858</v>
      </c>
      <c r="BJ548" t="s">
        <v>22</v>
      </c>
      <c r="BK548">
        <v>44440</v>
      </c>
      <c r="BL548" t="s">
        <v>275</v>
      </c>
      <c r="EE548" t="s">
        <v>1877</v>
      </c>
      <c r="EF548" t="s">
        <v>22</v>
      </c>
      <c r="EG548">
        <v>10000</v>
      </c>
      <c r="FR548" s="9"/>
      <c r="FS548" s="9"/>
      <c r="FT548" s="9"/>
      <c r="FU548" s="9"/>
      <c r="FV548" s="9"/>
      <c r="FW548" s="9"/>
      <c r="FX548" s="9"/>
      <c r="FY548" s="9"/>
      <c r="FZ548" s="9"/>
      <c r="GA548" s="9"/>
      <c r="GB548" s="9"/>
      <c r="GC548" s="9"/>
      <c r="GD548" s="9"/>
      <c r="GE548" s="9"/>
      <c r="GF548" s="9"/>
      <c r="GG548" s="9"/>
      <c r="GH548" s="9"/>
      <c r="GI548" s="9"/>
      <c r="GJ548" s="9"/>
      <c r="GK548" s="9"/>
      <c r="GL548" s="9"/>
      <c r="GM548" s="9"/>
      <c r="GN548" s="9"/>
      <c r="GO548" s="9"/>
      <c r="GP548" s="9"/>
      <c r="GQ548" s="9"/>
      <c r="GR548" s="9"/>
      <c r="GS548" s="9"/>
      <c r="GT548" s="9"/>
      <c r="GU548" s="9"/>
      <c r="GV548" s="9"/>
      <c r="GW548" s="9"/>
      <c r="GX548" s="9"/>
      <c r="GY548" s="9"/>
      <c r="GZ548" s="9"/>
      <c r="HA548" s="9"/>
      <c r="HB548" s="9"/>
      <c r="HC548" s="9"/>
      <c r="HD548" s="9"/>
      <c r="HE548" s="9"/>
      <c r="HF548" s="9"/>
      <c r="HG548" s="9"/>
      <c r="HH548" s="9"/>
      <c r="HI548" s="9"/>
      <c r="HJ548" s="9"/>
      <c r="HK548" s="9"/>
      <c r="HL548" s="9"/>
      <c r="HM548" s="9"/>
      <c r="HU548" s="58">
        <v>36495</v>
      </c>
      <c r="IP548" t="s">
        <v>1872</v>
      </c>
      <c r="IQ548" s="84" t="s">
        <v>1718</v>
      </c>
      <c r="IT548">
        <v>1999</v>
      </c>
      <c r="IV548" s="4" t="s">
        <v>1879</v>
      </c>
      <c r="JM548" s="8" t="s">
        <v>1630</v>
      </c>
      <c r="KF548" t="s">
        <v>1864</v>
      </c>
      <c r="KG548" s="84" t="s">
        <v>1548</v>
      </c>
      <c r="MZ548" t="s">
        <v>1845</v>
      </c>
      <c r="NA548">
        <v>6.25E-2</v>
      </c>
      <c r="NB548" t="s">
        <v>1852</v>
      </c>
      <c r="NC548" t="s">
        <v>1867</v>
      </c>
      <c r="NI548" t="s">
        <v>712</v>
      </c>
      <c r="NK548" t="s">
        <v>203</v>
      </c>
      <c r="NM548" t="s">
        <v>203</v>
      </c>
      <c r="NW548" t="s">
        <v>6</v>
      </c>
      <c r="NX548">
        <v>7.0206489699999999</v>
      </c>
      <c r="NY548" s="4" t="s">
        <v>4</v>
      </c>
      <c r="NZ548">
        <v>2.0099999999999998</v>
      </c>
      <c r="OC548">
        <v>9</v>
      </c>
      <c r="OT548" t="s">
        <v>1853</v>
      </c>
      <c r="OW548">
        <v>2006</v>
      </c>
      <c r="OY548" t="s">
        <v>1883</v>
      </c>
      <c r="PA548" t="s">
        <v>1169</v>
      </c>
      <c r="PB548" s="58">
        <v>46120</v>
      </c>
    </row>
    <row r="549" spans="1:418" ht="15.75" thickBot="1">
      <c r="A549" t="s">
        <v>36</v>
      </c>
      <c r="B549" t="s">
        <v>1843</v>
      </c>
      <c r="C549" t="s">
        <v>1844</v>
      </c>
      <c r="D549" s="4" t="s">
        <v>1936</v>
      </c>
      <c r="E549" t="s">
        <v>1856</v>
      </c>
      <c r="F549" t="s">
        <v>31</v>
      </c>
      <c r="G549" t="s">
        <v>2</v>
      </c>
      <c r="H549" t="s">
        <v>30</v>
      </c>
      <c r="I549">
        <v>-13.65</v>
      </c>
      <c r="J549">
        <v>32.566666669999996</v>
      </c>
      <c r="K549" t="s">
        <v>29</v>
      </c>
      <c r="AV549" t="s">
        <v>1862</v>
      </c>
      <c r="AW549">
        <v>100</v>
      </c>
      <c r="AX549" t="s">
        <v>234</v>
      </c>
      <c r="AY549" s="5">
        <v>8</v>
      </c>
      <c r="AZ549" t="s">
        <v>1857</v>
      </c>
      <c r="BA549">
        <v>1999</v>
      </c>
      <c r="BB549">
        <v>2007</v>
      </c>
      <c r="BD549" t="s">
        <v>1848</v>
      </c>
      <c r="BE549" t="s">
        <v>1873</v>
      </c>
      <c r="BF549" t="s">
        <v>43</v>
      </c>
      <c r="BG549" t="s">
        <v>1233</v>
      </c>
      <c r="BH549" t="s">
        <v>23</v>
      </c>
      <c r="BI549" t="s">
        <v>1858</v>
      </c>
      <c r="BJ549" t="s">
        <v>22</v>
      </c>
      <c r="BK549">
        <v>44440</v>
      </c>
      <c r="BL549" t="s">
        <v>275</v>
      </c>
      <c r="EE549" t="s">
        <v>55</v>
      </c>
      <c r="EF549" t="s">
        <v>22</v>
      </c>
      <c r="EG549">
        <v>5000</v>
      </c>
      <c r="EH549" t="s">
        <v>56</v>
      </c>
      <c r="EI549" t="s">
        <v>1877</v>
      </c>
      <c r="EJ549" t="s">
        <v>22</v>
      </c>
      <c r="EK549">
        <v>5000</v>
      </c>
      <c r="FR549" s="9"/>
      <c r="FS549" s="9"/>
      <c r="FT549" s="9"/>
      <c r="FU549" s="9"/>
      <c r="FV549" s="9"/>
      <c r="FW549" s="9"/>
      <c r="FX549" s="9"/>
      <c r="FY549" s="9"/>
      <c r="FZ549" s="9"/>
      <c r="GA549" s="9"/>
      <c r="GB549" s="9"/>
      <c r="GC549" s="9"/>
      <c r="GD549" s="9"/>
      <c r="GE549" s="9"/>
      <c r="GF549" s="9"/>
      <c r="GG549" s="9"/>
      <c r="GH549" s="9"/>
      <c r="GI549" s="9"/>
      <c r="GJ549" s="9"/>
      <c r="GK549" s="9"/>
      <c r="GL549" s="9"/>
      <c r="GM549" s="9"/>
      <c r="GN549" s="9"/>
      <c r="GO549" s="9"/>
      <c r="GP549" s="9"/>
      <c r="GQ549" s="9"/>
      <c r="GR549" s="9"/>
      <c r="GS549" s="9"/>
      <c r="GT549" s="9"/>
      <c r="GU549" s="9"/>
      <c r="GV549" s="9"/>
      <c r="GW549" s="9"/>
      <c r="GX549" s="9"/>
      <c r="GY549" s="9"/>
      <c r="GZ549" s="9"/>
      <c r="HA549" s="9"/>
      <c r="HB549" s="9"/>
      <c r="HC549" s="9"/>
      <c r="HD549" s="9"/>
      <c r="HE549" s="9"/>
      <c r="HF549" s="9"/>
      <c r="HG549" s="9"/>
      <c r="HH549" s="9"/>
      <c r="HI549" s="9"/>
      <c r="HJ549" s="9"/>
      <c r="HK549" s="9"/>
      <c r="HL549" s="9"/>
      <c r="HM549" s="9"/>
      <c r="HU549" s="58">
        <v>36495</v>
      </c>
      <c r="IP549" t="s">
        <v>1873</v>
      </c>
      <c r="IQ549" s="84" t="s">
        <v>1718</v>
      </c>
      <c r="IT549">
        <v>1999</v>
      </c>
      <c r="IV549" s="4" t="s">
        <v>1879</v>
      </c>
      <c r="JM549" s="8" t="s">
        <v>1630</v>
      </c>
      <c r="KF549" t="s">
        <v>1864</v>
      </c>
      <c r="KG549" s="84" t="s">
        <v>1548</v>
      </c>
      <c r="MZ549" t="s">
        <v>1845</v>
      </c>
      <c r="NA549">
        <v>6.25E-2</v>
      </c>
      <c r="NB549" t="s">
        <v>1852</v>
      </c>
      <c r="NC549" t="s">
        <v>1867</v>
      </c>
      <c r="NI549" t="s">
        <v>712</v>
      </c>
      <c r="NK549" t="s">
        <v>203</v>
      </c>
      <c r="NM549" t="s">
        <v>203</v>
      </c>
      <c r="NW549" t="s">
        <v>6</v>
      </c>
      <c r="NX549">
        <v>5.0147492600000003</v>
      </c>
      <c r="NY549" s="4" t="s">
        <v>4</v>
      </c>
      <c r="NZ549">
        <v>1.65</v>
      </c>
      <c r="OC549">
        <v>9</v>
      </c>
      <c r="OT549" t="s">
        <v>1853</v>
      </c>
      <c r="OW549">
        <v>2006</v>
      </c>
      <c r="OY549" t="s">
        <v>1883</v>
      </c>
      <c r="PA549" t="s">
        <v>1169</v>
      </c>
      <c r="PB549" s="58">
        <v>46120</v>
      </c>
    </row>
    <row r="550" spans="1:418" ht="15.75" thickBot="1">
      <c r="A550" t="s">
        <v>36</v>
      </c>
      <c r="B550" t="s">
        <v>1843</v>
      </c>
      <c r="C550" t="s">
        <v>1844</v>
      </c>
      <c r="D550" s="4" t="s">
        <v>1936</v>
      </c>
      <c r="E550" t="s">
        <v>1856</v>
      </c>
      <c r="F550" t="s">
        <v>31</v>
      </c>
      <c r="G550" t="s">
        <v>2</v>
      </c>
      <c r="H550" t="s">
        <v>30</v>
      </c>
      <c r="I550">
        <v>-13.65</v>
      </c>
      <c r="J550">
        <v>32.566666669999996</v>
      </c>
      <c r="K550" t="s">
        <v>29</v>
      </c>
      <c r="AV550" t="s">
        <v>1862</v>
      </c>
      <c r="AW550">
        <v>100</v>
      </c>
      <c r="AX550" t="s">
        <v>234</v>
      </c>
      <c r="AY550" s="5">
        <v>8</v>
      </c>
      <c r="AZ550" t="s">
        <v>1857</v>
      </c>
      <c r="BA550">
        <v>1999</v>
      </c>
      <c r="BB550">
        <v>2007</v>
      </c>
      <c r="BD550" t="s">
        <v>1848</v>
      </c>
      <c r="BE550" t="s">
        <v>1875</v>
      </c>
      <c r="BF550" t="s">
        <v>252</v>
      </c>
      <c r="BG550" t="s">
        <v>1233</v>
      </c>
      <c r="BH550" t="s">
        <v>23</v>
      </c>
      <c r="BI550" t="s">
        <v>1858</v>
      </c>
      <c r="BJ550" t="s">
        <v>22</v>
      </c>
      <c r="BK550">
        <v>44440</v>
      </c>
      <c r="BL550" t="s">
        <v>275</v>
      </c>
      <c r="EE550" t="s">
        <v>55</v>
      </c>
      <c r="EF550" t="s">
        <v>22</v>
      </c>
      <c r="EG550">
        <v>10000</v>
      </c>
      <c r="FR550" s="9"/>
      <c r="FS550" s="9"/>
      <c r="FT550" s="9"/>
      <c r="FU550" s="9"/>
      <c r="FV550" s="9"/>
      <c r="FW550" s="9"/>
      <c r="FX550" s="9"/>
      <c r="FY550" s="9"/>
      <c r="FZ550" s="9"/>
      <c r="GA550" s="9"/>
      <c r="GB550" s="9"/>
      <c r="GC550" s="9"/>
      <c r="GD550" s="9"/>
      <c r="GE550" s="9"/>
      <c r="GF550" s="9"/>
      <c r="GG550" s="9"/>
      <c r="GH550" s="9"/>
      <c r="GI550" s="9"/>
      <c r="GJ550" s="9"/>
      <c r="GK550" s="9"/>
      <c r="GL550" s="9"/>
      <c r="GM550" s="9"/>
      <c r="GN550" s="9"/>
      <c r="GO550" s="9"/>
      <c r="GP550" s="9"/>
      <c r="GQ550" s="9"/>
      <c r="GR550" s="9"/>
      <c r="GS550" s="9"/>
      <c r="GT550" s="9"/>
      <c r="GU550" s="9"/>
      <c r="GV550" s="9"/>
      <c r="GW550" s="9"/>
      <c r="GX550" s="9"/>
      <c r="GY550" s="9"/>
      <c r="GZ550" s="9"/>
      <c r="HA550" s="9"/>
      <c r="HB550" s="9"/>
      <c r="HC550" s="9"/>
      <c r="HD550" s="9"/>
      <c r="HE550" s="9"/>
      <c r="HF550" s="9"/>
      <c r="HG550" s="9"/>
      <c r="HH550" s="9"/>
      <c r="HI550" s="9"/>
      <c r="HJ550" s="9"/>
      <c r="HK550" s="9"/>
      <c r="HL550" s="9"/>
      <c r="HM550" s="9"/>
      <c r="HU550" s="58">
        <v>36495</v>
      </c>
      <c r="IP550" t="s">
        <v>1875</v>
      </c>
      <c r="IQ550" s="84" t="s">
        <v>1718</v>
      </c>
      <c r="IT550">
        <v>1999</v>
      </c>
      <c r="IV550" s="4" t="s">
        <v>1879</v>
      </c>
      <c r="JM550" s="8" t="s">
        <v>1630</v>
      </c>
      <c r="KF550" t="s">
        <v>1864</v>
      </c>
      <c r="KG550" s="84" t="s">
        <v>1548</v>
      </c>
      <c r="MZ550" t="s">
        <v>1845</v>
      </c>
      <c r="NA550">
        <v>6.25E-2</v>
      </c>
      <c r="NB550" t="s">
        <v>1852</v>
      </c>
      <c r="NC550" t="s">
        <v>1867</v>
      </c>
      <c r="NI550" t="s">
        <v>712</v>
      </c>
      <c r="NK550" t="s">
        <v>203</v>
      </c>
      <c r="NM550" t="s">
        <v>203</v>
      </c>
      <c r="NW550" t="s">
        <v>6</v>
      </c>
      <c r="NX550">
        <v>2.4188790600000001</v>
      </c>
      <c r="NY550" s="4" t="s">
        <v>4</v>
      </c>
      <c r="NZ550">
        <v>1.59</v>
      </c>
      <c r="OC550">
        <v>9</v>
      </c>
      <c r="OT550" t="s">
        <v>1853</v>
      </c>
      <c r="OW550">
        <v>2006</v>
      </c>
      <c r="OY550" t="s">
        <v>1883</v>
      </c>
      <c r="PA550" t="s">
        <v>1169</v>
      </c>
      <c r="PB550" s="58">
        <v>46120</v>
      </c>
    </row>
    <row r="551" spans="1:418" ht="15.75" thickBot="1">
      <c r="A551" t="s">
        <v>36</v>
      </c>
      <c r="B551" t="s">
        <v>1843</v>
      </c>
      <c r="C551" t="s">
        <v>1844</v>
      </c>
      <c r="D551" s="4" t="s">
        <v>1936</v>
      </c>
      <c r="E551" t="s">
        <v>1856</v>
      </c>
      <c r="F551" t="s">
        <v>31</v>
      </c>
      <c r="G551" t="s">
        <v>2</v>
      </c>
      <c r="H551" t="s">
        <v>30</v>
      </c>
      <c r="I551">
        <v>-13.65</v>
      </c>
      <c r="J551">
        <v>32.566666669999996</v>
      </c>
      <c r="K551" t="s">
        <v>29</v>
      </c>
      <c r="AV551" t="s">
        <v>1862</v>
      </c>
      <c r="AW551">
        <v>100</v>
      </c>
      <c r="AX551" t="s">
        <v>234</v>
      </c>
      <c r="AY551" s="5">
        <v>8</v>
      </c>
      <c r="AZ551" t="s">
        <v>1857</v>
      </c>
      <c r="BA551">
        <v>1999</v>
      </c>
      <c r="BB551">
        <v>2007</v>
      </c>
      <c r="BD551" t="s">
        <v>1848</v>
      </c>
      <c r="BE551" t="s">
        <v>1878</v>
      </c>
      <c r="BF551" t="s">
        <v>236</v>
      </c>
      <c r="BG551" t="s">
        <v>1233</v>
      </c>
      <c r="BH551" t="s">
        <v>23</v>
      </c>
      <c r="BI551" t="s">
        <v>1858</v>
      </c>
      <c r="BJ551" t="s">
        <v>22</v>
      </c>
      <c r="BK551">
        <v>44440</v>
      </c>
      <c r="BL551" t="s">
        <v>275</v>
      </c>
      <c r="FR551" s="9"/>
      <c r="FS551" s="9"/>
      <c r="FT551" s="9"/>
      <c r="FU551" s="9"/>
      <c r="FV551" s="9"/>
      <c r="FW551" s="9"/>
      <c r="FX551" s="9"/>
      <c r="FY551" s="9"/>
      <c r="FZ551" s="9"/>
      <c r="GA551" s="9"/>
      <c r="GB551" s="9"/>
      <c r="GC551" s="9"/>
      <c r="GD551" s="9"/>
      <c r="GE551" s="9"/>
      <c r="GF551" s="9"/>
      <c r="GG551" s="9"/>
      <c r="GH551" s="9"/>
      <c r="GI551" s="9"/>
      <c r="GJ551" s="9"/>
      <c r="GK551" s="9"/>
      <c r="GL551" s="9"/>
      <c r="GM551" s="9"/>
      <c r="GN551" s="9"/>
      <c r="GO551" s="9"/>
      <c r="GP551" s="9"/>
      <c r="GQ551" s="9"/>
      <c r="GR551" s="9"/>
      <c r="GS551" s="9"/>
      <c r="GT551" s="9"/>
      <c r="GU551" s="9"/>
      <c r="GV551" s="9"/>
      <c r="GW551" s="9"/>
      <c r="GX551" s="9"/>
      <c r="GY551" s="9"/>
      <c r="GZ551" s="9"/>
      <c r="HA551" s="9"/>
      <c r="HB551" s="9"/>
      <c r="HC551" s="9"/>
      <c r="HD551" s="9"/>
      <c r="HE551" s="9"/>
      <c r="HF551" s="9"/>
      <c r="HG551" s="9"/>
      <c r="HH551" s="9"/>
      <c r="HI551" s="9"/>
      <c r="HJ551" s="9"/>
      <c r="HK551" s="9"/>
      <c r="HL551" s="9"/>
      <c r="HM551" s="9"/>
      <c r="HU551" s="58">
        <v>36495</v>
      </c>
      <c r="IP551" t="s">
        <v>1881</v>
      </c>
      <c r="IQ551" s="54" t="s">
        <v>1880</v>
      </c>
      <c r="IT551">
        <v>1999</v>
      </c>
      <c r="IV551" s="4" t="s">
        <v>1879</v>
      </c>
      <c r="JM551" s="8" t="s">
        <v>1630</v>
      </c>
      <c r="KF551" t="s">
        <v>1864</v>
      </c>
      <c r="KG551" s="84" t="s">
        <v>1548</v>
      </c>
      <c r="MZ551" t="s">
        <v>1845</v>
      </c>
      <c r="NA551">
        <v>6.25E-2</v>
      </c>
      <c r="NB551" t="s">
        <v>1852</v>
      </c>
      <c r="NC551" t="s">
        <v>1867</v>
      </c>
      <c r="NI551" t="s">
        <v>712</v>
      </c>
      <c r="NK551" t="s">
        <v>203</v>
      </c>
      <c r="NM551" t="s">
        <v>203</v>
      </c>
      <c r="NW551" t="s">
        <v>6</v>
      </c>
      <c r="NX551">
        <v>12.0943953</v>
      </c>
      <c r="NY551" s="4" t="s">
        <v>4</v>
      </c>
      <c r="NZ551">
        <v>5.66</v>
      </c>
      <c r="OC551">
        <v>9</v>
      </c>
      <c r="OT551" t="s">
        <v>1853</v>
      </c>
      <c r="OW551">
        <v>2006</v>
      </c>
      <c r="OY551" t="s">
        <v>1883</v>
      </c>
      <c r="PA551" t="s">
        <v>1169</v>
      </c>
      <c r="PB551" s="58">
        <v>46120</v>
      </c>
    </row>
    <row r="552" spans="1:418" ht="15.75" thickBot="1">
      <c r="A552" t="s">
        <v>36</v>
      </c>
      <c r="B552" t="s">
        <v>1843</v>
      </c>
      <c r="C552" t="s">
        <v>1844</v>
      </c>
      <c r="D552" s="4" t="s">
        <v>1936</v>
      </c>
      <c r="E552" t="s">
        <v>1856</v>
      </c>
      <c r="F552" t="s">
        <v>31</v>
      </c>
      <c r="G552" t="s">
        <v>2</v>
      </c>
      <c r="H552" t="s">
        <v>30</v>
      </c>
      <c r="I552">
        <v>-13.65</v>
      </c>
      <c r="J552">
        <v>32.566666669999996</v>
      </c>
      <c r="K552" t="s">
        <v>29</v>
      </c>
      <c r="AV552" t="s">
        <v>1862</v>
      </c>
      <c r="AW552">
        <v>100</v>
      </c>
      <c r="AX552" t="s">
        <v>234</v>
      </c>
      <c r="AY552" s="5">
        <v>8</v>
      </c>
      <c r="AZ552" t="s">
        <v>1857</v>
      </c>
      <c r="BA552">
        <v>1999</v>
      </c>
      <c r="BB552">
        <v>2007</v>
      </c>
      <c r="BD552" t="s">
        <v>19</v>
      </c>
      <c r="BE552" t="s">
        <v>1876</v>
      </c>
      <c r="BF552" t="s">
        <v>39</v>
      </c>
      <c r="BG552" t="s">
        <v>1233</v>
      </c>
      <c r="BH552" t="s">
        <v>23</v>
      </c>
      <c r="BI552" t="s">
        <v>1858</v>
      </c>
      <c r="BJ552" t="s">
        <v>22</v>
      </c>
      <c r="BK552">
        <v>44440</v>
      </c>
      <c r="FR552" s="9"/>
      <c r="FS552" s="9"/>
      <c r="FT552" s="9"/>
      <c r="FU552" s="9"/>
      <c r="FV552" s="9"/>
      <c r="FW552" s="9"/>
      <c r="FX552" s="9"/>
      <c r="FY552" s="9"/>
      <c r="FZ552" s="9"/>
      <c r="GA552" s="9"/>
      <c r="GB552" s="9"/>
      <c r="GC552" s="9"/>
      <c r="GD552" s="9"/>
      <c r="GE552" s="9"/>
      <c r="GF552" s="9"/>
      <c r="GG552" s="9"/>
      <c r="GH552" s="9"/>
      <c r="GI552" s="9"/>
      <c r="GJ552" s="9"/>
      <c r="GK552" s="9"/>
      <c r="GL552" s="9"/>
      <c r="GM552" s="9"/>
      <c r="GN552" s="9"/>
      <c r="GO552" s="9"/>
      <c r="GP552" s="9"/>
      <c r="GQ552" s="9"/>
      <c r="GR552" s="9"/>
      <c r="GS552" s="9"/>
      <c r="GT552" s="9"/>
      <c r="GU552" s="9"/>
      <c r="GV552" s="9"/>
      <c r="GW552" s="9"/>
      <c r="GX552" s="9"/>
      <c r="GY552" s="9"/>
      <c r="GZ552" s="9"/>
      <c r="HA552" s="9"/>
      <c r="HB552" s="9"/>
      <c r="HC552" s="9"/>
      <c r="HD552" s="9"/>
      <c r="HE552" s="9"/>
      <c r="HF552" s="9"/>
      <c r="HG552" s="9"/>
      <c r="HH552" s="9"/>
      <c r="HI552" s="9"/>
      <c r="HJ552" s="9"/>
      <c r="HK552" s="9"/>
      <c r="HL552" s="9"/>
      <c r="HM552" s="9"/>
      <c r="HU552" s="58">
        <v>36495</v>
      </c>
      <c r="IP552" t="s">
        <v>1882</v>
      </c>
      <c r="IQ552" t="s">
        <v>19</v>
      </c>
      <c r="IT552">
        <v>1999</v>
      </c>
      <c r="JM552" t="s">
        <v>14</v>
      </c>
      <c r="JN552" t="s">
        <v>1859</v>
      </c>
      <c r="JO552" t="s">
        <v>13</v>
      </c>
      <c r="JP552" t="s">
        <v>1860</v>
      </c>
      <c r="JQ552" t="s">
        <v>13</v>
      </c>
      <c r="JR552" t="s">
        <v>1861</v>
      </c>
      <c r="JS552">
        <v>90</v>
      </c>
      <c r="JT552">
        <v>80</v>
      </c>
      <c r="KF552" t="s">
        <v>1864</v>
      </c>
      <c r="KG552" s="84" t="s">
        <v>1548</v>
      </c>
      <c r="MZ552" t="s">
        <v>1845</v>
      </c>
      <c r="NA552">
        <v>6.25E-2</v>
      </c>
      <c r="NB552" t="s">
        <v>1852</v>
      </c>
      <c r="NC552" t="s">
        <v>1867</v>
      </c>
      <c r="NI552" t="s">
        <v>712</v>
      </c>
      <c r="NK552" t="s">
        <v>203</v>
      </c>
      <c r="NM552" t="s">
        <v>203</v>
      </c>
      <c r="NV552" t="s">
        <v>1558</v>
      </c>
      <c r="NW552" t="s">
        <v>6</v>
      </c>
      <c r="NX552">
        <v>3.59882006</v>
      </c>
      <c r="NY552" s="4" t="s">
        <v>4</v>
      </c>
      <c r="NZ552">
        <v>1.53</v>
      </c>
      <c r="OC552">
        <v>9</v>
      </c>
      <c r="OT552" t="s">
        <v>1853</v>
      </c>
      <c r="OW552">
        <v>2006</v>
      </c>
      <c r="OY552" t="s">
        <v>1883</v>
      </c>
      <c r="PA552" t="s">
        <v>1169</v>
      </c>
      <c r="PB552" s="58">
        <v>46120</v>
      </c>
    </row>
    <row r="553" spans="1:418" ht="15.75" thickBot="1">
      <c r="A553" t="s">
        <v>36</v>
      </c>
      <c r="B553" t="s">
        <v>1843</v>
      </c>
      <c r="C553" t="s">
        <v>1844</v>
      </c>
      <c r="D553" s="4" t="s">
        <v>1936</v>
      </c>
      <c r="E553" t="s">
        <v>1856</v>
      </c>
      <c r="F553" t="s">
        <v>31</v>
      </c>
      <c r="G553" t="s">
        <v>2</v>
      </c>
      <c r="H553" t="s">
        <v>30</v>
      </c>
      <c r="I553">
        <v>-13.65</v>
      </c>
      <c r="J553">
        <v>32.566666669999996</v>
      </c>
      <c r="K553" t="s">
        <v>29</v>
      </c>
      <c r="AV553" t="s">
        <v>1862</v>
      </c>
      <c r="AW553">
        <v>100</v>
      </c>
      <c r="AX553" t="s">
        <v>234</v>
      </c>
      <c r="AY553" s="5">
        <v>8</v>
      </c>
      <c r="AZ553" t="s">
        <v>1857</v>
      </c>
      <c r="BA553">
        <v>1999</v>
      </c>
      <c r="BB553">
        <v>2007</v>
      </c>
      <c r="BD553" t="s">
        <v>1848</v>
      </c>
      <c r="BE553" t="s">
        <v>1871</v>
      </c>
      <c r="BF553" t="s">
        <v>64</v>
      </c>
      <c r="BG553" t="s">
        <v>1233</v>
      </c>
      <c r="BH553" t="s">
        <v>23</v>
      </c>
      <c r="BI553" t="s">
        <v>1858</v>
      </c>
      <c r="BJ553" t="s">
        <v>22</v>
      </c>
      <c r="BK553">
        <v>44440</v>
      </c>
      <c r="BL553" t="s">
        <v>275</v>
      </c>
      <c r="BM553" t="s">
        <v>1849</v>
      </c>
      <c r="BN553" t="s">
        <v>29</v>
      </c>
      <c r="BO553" t="s">
        <v>22</v>
      </c>
      <c r="BP553">
        <v>10000</v>
      </c>
      <c r="FN553" s="9"/>
      <c r="FO553" s="9"/>
      <c r="FP553" s="9"/>
      <c r="FQ553" s="9"/>
      <c r="FR553" s="9"/>
      <c r="FS553" s="9"/>
      <c r="FT553" s="9"/>
      <c r="FU553" s="9"/>
      <c r="FV553" s="9"/>
      <c r="FW553" s="9"/>
      <c r="FX553" s="9"/>
      <c r="FY553" s="9"/>
      <c r="FZ553" s="9"/>
      <c r="GA553" s="9"/>
      <c r="GB553" s="9"/>
      <c r="GC553" s="9"/>
      <c r="GD553" s="9"/>
      <c r="GE553" s="9"/>
      <c r="GF553" s="9"/>
      <c r="GG553" s="9"/>
      <c r="GH553" s="9"/>
      <c r="GI553" s="9"/>
      <c r="GJ553" s="9"/>
      <c r="GK553" s="9"/>
      <c r="GL553" s="9"/>
      <c r="GM553" s="9"/>
      <c r="GN553" s="9"/>
      <c r="GO553" s="9"/>
      <c r="GP553" s="9"/>
      <c r="GQ553" s="9"/>
      <c r="GR553" s="9"/>
      <c r="GS553" s="9"/>
      <c r="GT553" s="9"/>
      <c r="GU553" s="9"/>
      <c r="GV553" s="9"/>
      <c r="GW553" s="9"/>
      <c r="GX553" s="9"/>
      <c r="GY553" s="9"/>
      <c r="GZ553" s="9"/>
      <c r="HA553" s="9"/>
      <c r="HB553" s="9"/>
      <c r="HC553" s="9"/>
      <c r="HD553" s="9"/>
      <c r="HE553" s="9"/>
      <c r="HF553" s="9"/>
      <c r="HG553" s="9"/>
      <c r="HH553" s="9"/>
      <c r="HI553" s="9"/>
      <c r="HJ553" s="9"/>
      <c r="HK553" s="9"/>
      <c r="HL553" s="9"/>
      <c r="HM553" s="9"/>
      <c r="HU553" s="58">
        <v>36495</v>
      </c>
      <c r="IP553" t="s">
        <v>1871</v>
      </c>
      <c r="IQ553" s="54" t="s">
        <v>1880</v>
      </c>
      <c r="IT553">
        <v>1999</v>
      </c>
      <c r="IV553" s="4" t="s">
        <v>1879</v>
      </c>
      <c r="JM553" s="8" t="s">
        <v>1630</v>
      </c>
      <c r="KF553" t="s">
        <v>1864</v>
      </c>
      <c r="KG553" s="84" t="s">
        <v>1548</v>
      </c>
      <c r="MZ553" t="s">
        <v>1845</v>
      </c>
      <c r="NA553">
        <v>6.25E-2</v>
      </c>
      <c r="NB553" t="s">
        <v>1868</v>
      </c>
      <c r="NC553" t="s">
        <v>1868</v>
      </c>
      <c r="NI553" t="s">
        <v>712</v>
      </c>
      <c r="NK553" t="s">
        <v>203</v>
      </c>
      <c r="NM553" t="s">
        <v>203</v>
      </c>
      <c r="NW553" t="s">
        <v>6</v>
      </c>
      <c r="NX553">
        <v>1.22891566</v>
      </c>
      <c r="NY553" s="4" t="s">
        <v>4</v>
      </c>
      <c r="NZ553">
        <v>0.35</v>
      </c>
      <c r="OC553">
        <v>9</v>
      </c>
      <c r="OT553" t="s">
        <v>1854</v>
      </c>
      <c r="OW553">
        <v>2006</v>
      </c>
      <c r="OY553" t="s">
        <v>1883</v>
      </c>
      <c r="PA553" t="s">
        <v>1169</v>
      </c>
      <c r="PB553" s="58">
        <v>46120</v>
      </c>
    </row>
    <row r="554" spans="1:418" ht="15.75" thickBot="1">
      <c r="A554" t="s">
        <v>36</v>
      </c>
      <c r="B554" t="s">
        <v>1843</v>
      </c>
      <c r="C554" t="s">
        <v>1844</v>
      </c>
      <c r="D554" s="4" t="s">
        <v>1936</v>
      </c>
      <c r="E554" t="s">
        <v>1856</v>
      </c>
      <c r="F554" t="s">
        <v>31</v>
      </c>
      <c r="G554" t="s">
        <v>2</v>
      </c>
      <c r="H554" t="s">
        <v>30</v>
      </c>
      <c r="I554">
        <v>-13.65</v>
      </c>
      <c r="J554">
        <v>32.566666669999996</v>
      </c>
      <c r="K554" t="s">
        <v>29</v>
      </c>
      <c r="AV554" t="s">
        <v>1862</v>
      </c>
      <c r="AW554">
        <v>100</v>
      </c>
      <c r="AX554" t="s">
        <v>234</v>
      </c>
      <c r="AY554" s="5">
        <v>8</v>
      </c>
      <c r="AZ554" t="s">
        <v>1857</v>
      </c>
      <c r="BA554">
        <v>1999</v>
      </c>
      <c r="BB554">
        <v>2007</v>
      </c>
      <c r="BD554" t="s">
        <v>1848</v>
      </c>
      <c r="BE554" t="s">
        <v>1874</v>
      </c>
      <c r="BF554" t="s">
        <v>57</v>
      </c>
      <c r="BG554" t="s">
        <v>1233</v>
      </c>
      <c r="BH554" t="s">
        <v>23</v>
      </c>
      <c r="BI554" t="s">
        <v>1858</v>
      </c>
      <c r="BJ554" t="s">
        <v>22</v>
      </c>
      <c r="BK554">
        <v>44440</v>
      </c>
      <c r="BL554" t="s">
        <v>275</v>
      </c>
      <c r="BM554" t="s">
        <v>1849</v>
      </c>
      <c r="BN554" t="s">
        <v>29</v>
      </c>
      <c r="BO554" t="s">
        <v>22</v>
      </c>
      <c r="BP554">
        <v>5000</v>
      </c>
      <c r="BQ554" t="s">
        <v>56</v>
      </c>
      <c r="EE554" t="s">
        <v>55</v>
      </c>
      <c r="EF554" t="s">
        <v>22</v>
      </c>
      <c r="EG554">
        <v>5000</v>
      </c>
      <c r="FN554" s="9"/>
      <c r="FO554" s="9"/>
      <c r="FP554" s="9"/>
      <c r="FQ554" s="9"/>
      <c r="FR554" s="9"/>
      <c r="FS554" s="9"/>
      <c r="FT554" s="9"/>
      <c r="FU554" s="9"/>
      <c r="FV554" s="9"/>
      <c r="FW554" s="9"/>
      <c r="FX554" s="9"/>
      <c r="FY554" s="9"/>
      <c r="FZ554" s="9"/>
      <c r="GA554" s="9"/>
      <c r="GB554" s="9"/>
      <c r="GC554" s="9"/>
      <c r="GD554" s="9"/>
      <c r="GE554" s="9"/>
      <c r="GF554" s="9"/>
      <c r="GG554" s="9"/>
      <c r="GH554" s="9"/>
      <c r="GI554" s="9"/>
      <c r="GJ554" s="9"/>
      <c r="GK554" s="9"/>
      <c r="GL554" s="9"/>
      <c r="GM554" s="9"/>
      <c r="GN554" s="9"/>
      <c r="GO554" s="9"/>
      <c r="GP554" s="9"/>
      <c r="GQ554" s="9"/>
      <c r="GR554" s="9"/>
      <c r="GS554" s="9"/>
      <c r="GT554" s="9"/>
      <c r="GU554" s="9"/>
      <c r="GV554" s="9"/>
      <c r="GW554" s="9"/>
      <c r="GX554" s="9"/>
      <c r="GY554" s="9"/>
      <c r="GZ554" s="9"/>
      <c r="HA554" s="9"/>
      <c r="HB554" s="9"/>
      <c r="HC554" s="9"/>
      <c r="HD554" s="9"/>
      <c r="HE554" s="9"/>
      <c r="HF554" s="9"/>
      <c r="HG554" s="9"/>
      <c r="HH554" s="9"/>
      <c r="HI554" s="9"/>
      <c r="HJ554" s="9"/>
      <c r="HK554" s="9"/>
      <c r="HL554" s="9"/>
      <c r="HM554" s="9"/>
      <c r="HU554" s="58">
        <v>36495</v>
      </c>
      <c r="IP554" t="s">
        <v>1874</v>
      </c>
      <c r="IQ554" s="84" t="s">
        <v>1718</v>
      </c>
      <c r="IT554">
        <v>1999</v>
      </c>
      <c r="IV554" s="4" t="s">
        <v>1879</v>
      </c>
      <c r="JM554" s="8" t="s">
        <v>1630</v>
      </c>
      <c r="KF554" t="s">
        <v>1864</v>
      </c>
      <c r="KG554" s="84" t="s">
        <v>1548</v>
      </c>
      <c r="MZ554" t="s">
        <v>1845</v>
      </c>
      <c r="NA554">
        <v>6.25E-2</v>
      </c>
      <c r="NB554" t="s">
        <v>1868</v>
      </c>
      <c r="NC554" t="s">
        <v>1868</v>
      </c>
      <c r="NI554" t="s">
        <v>712</v>
      </c>
      <c r="NK554" t="s">
        <v>203</v>
      </c>
      <c r="NM554" t="s">
        <v>203</v>
      </c>
      <c r="NW554" t="s">
        <v>6</v>
      </c>
      <c r="NX554">
        <v>1.1114457799999999</v>
      </c>
      <c r="NY554" s="4" t="s">
        <v>4</v>
      </c>
      <c r="NZ554">
        <v>0.34</v>
      </c>
      <c r="OC554">
        <v>9</v>
      </c>
      <c r="OT554" t="s">
        <v>1854</v>
      </c>
      <c r="OW554">
        <v>2006</v>
      </c>
      <c r="OY554" t="s">
        <v>1883</v>
      </c>
      <c r="PA554" t="s">
        <v>1169</v>
      </c>
      <c r="PB554" s="58">
        <v>46120</v>
      </c>
    </row>
    <row r="555" spans="1:418" ht="15.75" thickBot="1">
      <c r="A555" t="s">
        <v>36</v>
      </c>
      <c r="B555" t="s">
        <v>1843</v>
      </c>
      <c r="C555" t="s">
        <v>1844</v>
      </c>
      <c r="D555" s="4" t="s">
        <v>1936</v>
      </c>
      <c r="E555" t="s">
        <v>1856</v>
      </c>
      <c r="F555" t="s">
        <v>31</v>
      </c>
      <c r="G555" t="s">
        <v>2</v>
      </c>
      <c r="H555" t="s">
        <v>30</v>
      </c>
      <c r="I555">
        <v>-13.65</v>
      </c>
      <c r="J555">
        <v>32.566666669999996</v>
      </c>
      <c r="K555" t="s">
        <v>29</v>
      </c>
      <c r="AV555" t="s">
        <v>1862</v>
      </c>
      <c r="AW555">
        <v>100</v>
      </c>
      <c r="AX555" t="s">
        <v>234</v>
      </c>
      <c r="AY555" s="5">
        <v>8</v>
      </c>
      <c r="AZ555" t="s">
        <v>1857</v>
      </c>
      <c r="BA555">
        <v>1999</v>
      </c>
      <c r="BB555">
        <v>2007</v>
      </c>
      <c r="BD555" t="s">
        <v>1848</v>
      </c>
      <c r="BE555" t="s">
        <v>1872</v>
      </c>
      <c r="BF555" t="s">
        <v>48</v>
      </c>
      <c r="BG555" t="s">
        <v>1233</v>
      </c>
      <c r="BH555" t="s">
        <v>23</v>
      </c>
      <c r="BI555" t="s">
        <v>1858</v>
      </c>
      <c r="BJ555" t="s">
        <v>22</v>
      </c>
      <c r="BK555">
        <v>44440</v>
      </c>
      <c r="BL555" t="s">
        <v>275</v>
      </c>
      <c r="EE555" t="s">
        <v>1877</v>
      </c>
      <c r="EF555" t="s">
        <v>22</v>
      </c>
      <c r="EG555">
        <v>10000</v>
      </c>
      <c r="FN555" s="9"/>
      <c r="FO555" s="9"/>
      <c r="FP555" s="9"/>
      <c r="FQ555" s="9"/>
      <c r="FR555" s="9"/>
      <c r="FS555" s="9"/>
      <c r="FT555" s="9"/>
      <c r="FU555" s="9"/>
      <c r="FV555" s="9"/>
      <c r="FW555" s="9"/>
      <c r="FX555" s="9"/>
      <c r="FY555" s="9"/>
      <c r="FZ555" s="9"/>
      <c r="GA555" s="9"/>
      <c r="GB555" s="9"/>
      <c r="GC555" s="9"/>
      <c r="GD555" s="9"/>
      <c r="GE555" s="9"/>
      <c r="GF555" s="9"/>
      <c r="GG555" s="9"/>
      <c r="GH555" s="9"/>
      <c r="GI555" s="9"/>
      <c r="GJ555" s="9"/>
      <c r="GK555" s="9"/>
      <c r="GL555" s="9"/>
      <c r="GM555" s="9"/>
      <c r="GN555" s="9"/>
      <c r="GO555" s="9"/>
      <c r="GP555" s="9"/>
      <c r="GQ555" s="9"/>
      <c r="GR555" s="9"/>
      <c r="GS555" s="9"/>
      <c r="GT555" s="9"/>
      <c r="GU555" s="9"/>
      <c r="GV555" s="9"/>
      <c r="GW555" s="9"/>
      <c r="GX555" s="9"/>
      <c r="GY555" s="9"/>
      <c r="GZ555" s="9"/>
      <c r="HA555" s="9"/>
      <c r="HB555" s="9"/>
      <c r="HC555" s="9"/>
      <c r="HD555" s="9"/>
      <c r="HE555" s="9"/>
      <c r="HF555" s="9"/>
      <c r="HG555" s="9"/>
      <c r="HH555" s="9"/>
      <c r="HI555" s="9"/>
      <c r="HJ555" s="9"/>
      <c r="HK555" s="9"/>
      <c r="HL555" s="9"/>
      <c r="HM555" s="9"/>
      <c r="HU555" s="58">
        <v>36495</v>
      </c>
      <c r="IP555" t="s">
        <v>1872</v>
      </c>
      <c r="IQ555" s="84" t="s">
        <v>1718</v>
      </c>
      <c r="IT555">
        <v>1999</v>
      </c>
      <c r="IV555" s="4" t="s">
        <v>1879</v>
      </c>
      <c r="JM555" s="8" t="s">
        <v>1630</v>
      </c>
      <c r="KF555" t="s">
        <v>1864</v>
      </c>
      <c r="KG555" s="84" t="s">
        <v>1548</v>
      </c>
      <c r="MZ555" t="s">
        <v>1845</v>
      </c>
      <c r="NA555">
        <v>6.25E-2</v>
      </c>
      <c r="NB555" t="s">
        <v>1868</v>
      </c>
      <c r="NC555" t="s">
        <v>1868</v>
      </c>
      <c r="NI555" t="s">
        <v>712</v>
      </c>
      <c r="NK555" t="s">
        <v>203</v>
      </c>
      <c r="NM555" t="s">
        <v>203</v>
      </c>
      <c r="NW555" t="s">
        <v>6</v>
      </c>
      <c r="NX555">
        <v>1.9969879500000001</v>
      </c>
      <c r="NY555" s="4" t="s">
        <v>4</v>
      </c>
      <c r="NZ555">
        <v>0.49</v>
      </c>
      <c r="OC555">
        <v>9</v>
      </c>
      <c r="OT555" t="s">
        <v>1854</v>
      </c>
      <c r="OW555">
        <v>2006</v>
      </c>
      <c r="OY555" t="s">
        <v>1883</v>
      </c>
      <c r="PA555" t="s">
        <v>1169</v>
      </c>
      <c r="PB555" s="58">
        <v>46120</v>
      </c>
    </row>
    <row r="556" spans="1:418" ht="15.75" thickBot="1">
      <c r="A556" t="s">
        <v>36</v>
      </c>
      <c r="B556" t="s">
        <v>1843</v>
      </c>
      <c r="C556" t="s">
        <v>1844</v>
      </c>
      <c r="D556" s="4" t="s">
        <v>1936</v>
      </c>
      <c r="E556" t="s">
        <v>1856</v>
      </c>
      <c r="F556" t="s">
        <v>31</v>
      </c>
      <c r="G556" t="s">
        <v>2</v>
      </c>
      <c r="H556" t="s">
        <v>30</v>
      </c>
      <c r="I556">
        <v>-13.65</v>
      </c>
      <c r="J556">
        <v>32.566666669999996</v>
      </c>
      <c r="K556" t="s">
        <v>29</v>
      </c>
      <c r="AV556" t="s">
        <v>1862</v>
      </c>
      <c r="AW556">
        <v>100</v>
      </c>
      <c r="AX556" t="s">
        <v>234</v>
      </c>
      <c r="AY556" s="5">
        <v>8</v>
      </c>
      <c r="AZ556" t="s">
        <v>1857</v>
      </c>
      <c r="BA556">
        <v>1999</v>
      </c>
      <c r="BB556">
        <v>2007</v>
      </c>
      <c r="BD556" t="s">
        <v>1848</v>
      </c>
      <c r="BE556" t="s">
        <v>1873</v>
      </c>
      <c r="BF556" t="s">
        <v>43</v>
      </c>
      <c r="BG556" t="s">
        <v>1233</v>
      </c>
      <c r="BH556" t="s">
        <v>23</v>
      </c>
      <c r="BI556" t="s">
        <v>1858</v>
      </c>
      <c r="BJ556" t="s">
        <v>22</v>
      </c>
      <c r="BK556">
        <v>44440</v>
      </c>
      <c r="BL556" t="s">
        <v>275</v>
      </c>
      <c r="EE556" t="s">
        <v>55</v>
      </c>
      <c r="EF556" t="s">
        <v>22</v>
      </c>
      <c r="EG556">
        <v>5000</v>
      </c>
      <c r="EH556" t="s">
        <v>56</v>
      </c>
      <c r="EI556" t="s">
        <v>1877</v>
      </c>
      <c r="EJ556" t="s">
        <v>22</v>
      </c>
      <c r="EK556">
        <v>5000</v>
      </c>
      <c r="FN556" s="9"/>
      <c r="FO556" s="9"/>
      <c r="FP556" s="9"/>
      <c r="FQ556" s="9"/>
      <c r="FR556" s="9"/>
      <c r="FS556" s="9"/>
      <c r="FT556" s="9"/>
      <c r="FU556" s="9"/>
      <c r="FV556" s="9"/>
      <c r="FW556" s="9"/>
      <c r="FX556" s="9"/>
      <c r="FY556" s="9"/>
      <c r="FZ556" s="9"/>
      <c r="GA556" s="9"/>
      <c r="GB556" s="9"/>
      <c r="GC556" s="9"/>
      <c r="GD556" s="9"/>
      <c r="GE556" s="9"/>
      <c r="GF556" s="9"/>
      <c r="GG556" s="9"/>
      <c r="GH556" s="9"/>
      <c r="GI556" s="9"/>
      <c r="GJ556" s="9"/>
      <c r="GK556" s="9"/>
      <c r="GL556" s="9"/>
      <c r="GM556" s="9"/>
      <c r="GN556" s="9"/>
      <c r="GO556" s="9"/>
      <c r="GP556" s="9"/>
      <c r="GQ556" s="9"/>
      <c r="GR556" s="9"/>
      <c r="GS556" s="9"/>
      <c r="GT556" s="9"/>
      <c r="GU556" s="9"/>
      <c r="GV556" s="9"/>
      <c r="GW556" s="9"/>
      <c r="GX556" s="9"/>
      <c r="GY556" s="9"/>
      <c r="GZ556" s="9"/>
      <c r="HA556" s="9"/>
      <c r="HB556" s="9"/>
      <c r="HC556" s="9"/>
      <c r="HD556" s="9"/>
      <c r="HE556" s="9"/>
      <c r="HF556" s="9"/>
      <c r="HG556" s="9"/>
      <c r="HH556" s="9"/>
      <c r="HI556" s="9"/>
      <c r="HJ556" s="9"/>
      <c r="HK556" s="9"/>
      <c r="HL556" s="9"/>
      <c r="HM556" s="9"/>
      <c r="HU556" s="58">
        <v>36495</v>
      </c>
      <c r="IP556" t="s">
        <v>1873</v>
      </c>
      <c r="IQ556" s="84" t="s">
        <v>1718</v>
      </c>
      <c r="IT556">
        <v>1999</v>
      </c>
      <c r="IV556" s="4" t="s">
        <v>1879</v>
      </c>
      <c r="JM556" s="8" t="s">
        <v>1630</v>
      </c>
      <c r="KF556" t="s">
        <v>1864</v>
      </c>
      <c r="KG556" s="84" t="s">
        <v>1548</v>
      </c>
      <c r="MZ556" t="s">
        <v>1845</v>
      </c>
      <c r="NA556">
        <v>6.25E-2</v>
      </c>
      <c r="NB556" t="s">
        <v>1868</v>
      </c>
      <c r="NC556" t="s">
        <v>1868</v>
      </c>
      <c r="NI556" t="s">
        <v>712</v>
      </c>
      <c r="NK556" t="s">
        <v>203</v>
      </c>
      <c r="NM556" t="s">
        <v>203</v>
      </c>
      <c r="NW556" t="s">
        <v>6</v>
      </c>
      <c r="NX556">
        <v>0.99397590000000002</v>
      </c>
      <c r="NY556" s="4" t="s">
        <v>4</v>
      </c>
      <c r="NZ556">
        <v>0.21</v>
      </c>
      <c r="OC556">
        <v>9</v>
      </c>
      <c r="OT556" t="s">
        <v>1854</v>
      </c>
      <c r="OW556">
        <v>2006</v>
      </c>
      <c r="OY556" t="s">
        <v>1883</v>
      </c>
      <c r="PA556" t="s">
        <v>1169</v>
      </c>
      <c r="PB556" s="58">
        <v>46120</v>
      </c>
    </row>
    <row r="557" spans="1:418" ht="15.75" thickBot="1">
      <c r="A557" t="s">
        <v>36</v>
      </c>
      <c r="B557" t="s">
        <v>1843</v>
      </c>
      <c r="C557" t="s">
        <v>1844</v>
      </c>
      <c r="D557" s="4" t="s">
        <v>1936</v>
      </c>
      <c r="E557" t="s">
        <v>1856</v>
      </c>
      <c r="F557" t="s">
        <v>31</v>
      </c>
      <c r="G557" t="s">
        <v>2</v>
      </c>
      <c r="H557" t="s">
        <v>30</v>
      </c>
      <c r="I557">
        <v>-13.65</v>
      </c>
      <c r="J557">
        <v>32.566666669999996</v>
      </c>
      <c r="K557" t="s">
        <v>29</v>
      </c>
      <c r="AV557" t="s">
        <v>1862</v>
      </c>
      <c r="AW557">
        <v>100</v>
      </c>
      <c r="AX557" t="s">
        <v>234</v>
      </c>
      <c r="AY557" s="5">
        <v>8</v>
      </c>
      <c r="AZ557" t="s">
        <v>1857</v>
      </c>
      <c r="BA557">
        <v>1999</v>
      </c>
      <c r="BB557">
        <v>2007</v>
      </c>
      <c r="BD557" t="s">
        <v>1848</v>
      </c>
      <c r="BE557" t="s">
        <v>1875</v>
      </c>
      <c r="BF557" t="s">
        <v>252</v>
      </c>
      <c r="BG557" t="s">
        <v>1233</v>
      </c>
      <c r="BH557" t="s">
        <v>23</v>
      </c>
      <c r="BI557" t="s">
        <v>1858</v>
      </c>
      <c r="BJ557" t="s">
        <v>22</v>
      </c>
      <c r="BK557">
        <v>44440</v>
      </c>
      <c r="BL557" t="s">
        <v>275</v>
      </c>
      <c r="EE557" t="s">
        <v>55</v>
      </c>
      <c r="EF557" t="s">
        <v>22</v>
      </c>
      <c r="EG557">
        <v>10000</v>
      </c>
      <c r="FN557" s="9"/>
      <c r="FO557" s="9"/>
      <c r="FP557" s="9"/>
      <c r="FQ557" s="9"/>
      <c r="FR557" s="9"/>
      <c r="FS557" s="9"/>
      <c r="FT557" s="9"/>
      <c r="FU557" s="9"/>
      <c r="FV557" s="9"/>
      <c r="FW557" s="9"/>
      <c r="FX557" s="9"/>
      <c r="FY557" s="9"/>
      <c r="FZ557" s="9"/>
      <c r="GA557" s="9"/>
      <c r="GB557" s="9"/>
      <c r="GC557" s="9"/>
      <c r="GD557" s="9"/>
      <c r="GE557" s="9"/>
      <c r="GF557" s="9"/>
      <c r="GG557" s="9"/>
      <c r="GH557" s="9"/>
      <c r="GI557" s="9"/>
      <c r="GJ557" s="9"/>
      <c r="GK557" s="9"/>
      <c r="GL557" s="9"/>
      <c r="GM557" s="9"/>
      <c r="GN557" s="9"/>
      <c r="GO557" s="9"/>
      <c r="GP557" s="9"/>
      <c r="GQ557" s="9"/>
      <c r="GR557" s="9"/>
      <c r="GS557" s="9"/>
      <c r="GT557" s="9"/>
      <c r="GU557" s="9"/>
      <c r="GV557" s="9"/>
      <c r="GW557" s="9"/>
      <c r="GX557" s="9"/>
      <c r="GY557" s="9"/>
      <c r="GZ557" s="9"/>
      <c r="HA557" s="9"/>
      <c r="HB557" s="9"/>
      <c r="HC557" s="9"/>
      <c r="HD557" s="9"/>
      <c r="HE557" s="9"/>
      <c r="HF557" s="9"/>
      <c r="HG557" s="9"/>
      <c r="HH557" s="9"/>
      <c r="HI557" s="9"/>
      <c r="HJ557" s="9"/>
      <c r="HK557" s="9"/>
      <c r="HL557" s="9"/>
      <c r="HM557" s="9"/>
      <c r="HU557" s="58">
        <v>36495</v>
      </c>
      <c r="IP557" t="s">
        <v>1875</v>
      </c>
      <c r="IQ557" s="84" t="s">
        <v>1718</v>
      </c>
      <c r="IT557">
        <v>1999</v>
      </c>
      <c r="IV557" s="4" t="s">
        <v>1879</v>
      </c>
      <c r="JM557" s="8" t="s">
        <v>1630</v>
      </c>
      <c r="KF557" t="s">
        <v>1864</v>
      </c>
      <c r="KG557" s="84" t="s">
        <v>1548</v>
      </c>
      <c r="MZ557" t="s">
        <v>1845</v>
      </c>
      <c r="NA557">
        <v>6.25E-2</v>
      </c>
      <c r="NB557" t="s">
        <v>1868</v>
      </c>
      <c r="NC557" t="s">
        <v>1868</v>
      </c>
      <c r="NI557" t="s">
        <v>712</v>
      </c>
      <c r="NK557" t="s">
        <v>203</v>
      </c>
      <c r="NM557" t="s">
        <v>203</v>
      </c>
      <c r="NW557" t="s">
        <v>6</v>
      </c>
      <c r="NX557">
        <v>1.77108434</v>
      </c>
      <c r="NY557" s="4" t="s">
        <v>4</v>
      </c>
      <c r="NZ557">
        <v>0.56999999999999995</v>
      </c>
      <c r="OC557">
        <v>9</v>
      </c>
      <c r="OT557" t="s">
        <v>1854</v>
      </c>
      <c r="OW557">
        <v>2006</v>
      </c>
      <c r="OY557" t="s">
        <v>1883</v>
      </c>
      <c r="PA557" t="s">
        <v>1169</v>
      </c>
      <c r="PB557" s="58">
        <v>46120</v>
      </c>
    </row>
    <row r="558" spans="1:418" ht="15.75" thickBot="1">
      <c r="A558" t="s">
        <v>36</v>
      </c>
      <c r="B558" t="s">
        <v>1843</v>
      </c>
      <c r="C558" t="s">
        <v>1844</v>
      </c>
      <c r="D558" s="4" t="s">
        <v>1936</v>
      </c>
      <c r="E558" t="s">
        <v>1856</v>
      </c>
      <c r="F558" t="s">
        <v>31</v>
      </c>
      <c r="G558" t="s">
        <v>2</v>
      </c>
      <c r="H558" t="s">
        <v>30</v>
      </c>
      <c r="I558">
        <v>-13.65</v>
      </c>
      <c r="J558">
        <v>32.566666669999996</v>
      </c>
      <c r="K558" t="s">
        <v>29</v>
      </c>
      <c r="AV558" t="s">
        <v>1862</v>
      </c>
      <c r="AW558">
        <v>100</v>
      </c>
      <c r="AX558" t="s">
        <v>234</v>
      </c>
      <c r="AY558" s="5">
        <v>8</v>
      </c>
      <c r="AZ558" t="s">
        <v>1857</v>
      </c>
      <c r="BA558">
        <v>1999</v>
      </c>
      <c r="BB558">
        <v>2007</v>
      </c>
      <c r="BD558" t="s">
        <v>1848</v>
      </c>
      <c r="BE558" t="s">
        <v>1878</v>
      </c>
      <c r="BF558" t="s">
        <v>236</v>
      </c>
      <c r="BG558" t="s">
        <v>1233</v>
      </c>
      <c r="BH558" t="s">
        <v>23</v>
      </c>
      <c r="BI558" t="s">
        <v>1858</v>
      </c>
      <c r="BJ558" t="s">
        <v>22</v>
      </c>
      <c r="BK558">
        <v>44440</v>
      </c>
      <c r="BL558" t="s">
        <v>275</v>
      </c>
      <c r="FN558" s="9"/>
      <c r="FO558" s="9"/>
      <c r="FP558" s="9"/>
      <c r="FQ558" s="9"/>
      <c r="FR558" s="9"/>
      <c r="FS558" s="9"/>
      <c r="FT558" s="9"/>
      <c r="FU558" s="9"/>
      <c r="FV558" s="9"/>
      <c r="FW558" s="9"/>
      <c r="FX558" s="9"/>
      <c r="FY558" s="9"/>
      <c r="FZ558" s="9"/>
      <c r="GA558" s="9"/>
      <c r="GB558" s="9"/>
      <c r="GC558" s="9"/>
      <c r="GD558" s="9"/>
      <c r="GE558" s="9"/>
      <c r="GF558" s="9"/>
      <c r="GG558" s="9"/>
      <c r="GH558" s="9"/>
      <c r="GI558" s="9"/>
      <c r="GJ558" s="9"/>
      <c r="GK558" s="9"/>
      <c r="GL558" s="9"/>
      <c r="GM558" s="9"/>
      <c r="GN558" s="9"/>
      <c r="GO558" s="9"/>
      <c r="GP558" s="9"/>
      <c r="GQ558" s="9"/>
      <c r="GR558" s="9"/>
      <c r="GS558" s="9"/>
      <c r="GT558" s="9"/>
      <c r="GU558" s="9"/>
      <c r="GV558" s="9"/>
      <c r="GW558" s="9"/>
      <c r="GX558" s="9"/>
      <c r="GY558" s="9"/>
      <c r="GZ558" s="9"/>
      <c r="HA558" s="9"/>
      <c r="HB558" s="9"/>
      <c r="HC558" s="9"/>
      <c r="HD558" s="9"/>
      <c r="HE558" s="9"/>
      <c r="HF558" s="9"/>
      <c r="HG558" s="9"/>
      <c r="HH558" s="9"/>
      <c r="HI558" s="9"/>
      <c r="HJ558" s="9"/>
      <c r="HK558" s="9"/>
      <c r="HL558" s="9"/>
      <c r="HM558" s="9"/>
      <c r="HU558" s="58">
        <v>36495</v>
      </c>
      <c r="IP558" t="s">
        <v>1881</v>
      </c>
      <c r="IQ558" s="54" t="s">
        <v>1880</v>
      </c>
      <c r="IT558">
        <v>1999</v>
      </c>
      <c r="IV558" s="4" t="s">
        <v>1879</v>
      </c>
      <c r="JM558" s="8" t="s">
        <v>1630</v>
      </c>
      <c r="KF558" t="s">
        <v>1864</v>
      </c>
      <c r="KG558" s="84" t="s">
        <v>1548</v>
      </c>
      <c r="MZ558" t="s">
        <v>1845</v>
      </c>
      <c r="NA558">
        <v>6.25E-2</v>
      </c>
      <c r="NB558" t="s">
        <v>1868</v>
      </c>
      <c r="NC558" t="s">
        <v>1868</v>
      </c>
      <c r="NI558" t="s">
        <v>712</v>
      </c>
      <c r="NK558" t="s">
        <v>203</v>
      </c>
      <c r="NM558" t="s">
        <v>203</v>
      </c>
      <c r="NW558" t="s">
        <v>6</v>
      </c>
      <c r="NX558">
        <v>0.10843373000000001</v>
      </c>
      <c r="NY558" s="4" t="s">
        <v>4</v>
      </c>
      <c r="NZ558">
        <v>0.12</v>
      </c>
      <c r="OC558">
        <v>9</v>
      </c>
      <c r="OT558" t="s">
        <v>1854</v>
      </c>
      <c r="OW558">
        <v>2006</v>
      </c>
      <c r="OY558" t="s">
        <v>1883</v>
      </c>
      <c r="PA558" t="s">
        <v>1169</v>
      </c>
      <c r="PB558" s="58">
        <v>46120</v>
      </c>
    </row>
    <row r="559" spans="1:418" ht="15.75" thickBot="1">
      <c r="A559" t="s">
        <v>36</v>
      </c>
      <c r="B559" t="s">
        <v>1843</v>
      </c>
      <c r="C559" t="s">
        <v>1844</v>
      </c>
      <c r="D559" s="4" t="s">
        <v>1936</v>
      </c>
      <c r="E559" t="s">
        <v>1856</v>
      </c>
      <c r="F559" t="s">
        <v>31</v>
      </c>
      <c r="G559" t="s">
        <v>2</v>
      </c>
      <c r="H559" t="s">
        <v>30</v>
      </c>
      <c r="I559">
        <v>-13.65</v>
      </c>
      <c r="J559">
        <v>32.566666669999996</v>
      </c>
      <c r="K559" t="s">
        <v>29</v>
      </c>
      <c r="AV559" t="s">
        <v>1862</v>
      </c>
      <c r="AW559">
        <v>100</v>
      </c>
      <c r="AX559" t="s">
        <v>234</v>
      </c>
      <c r="AY559" s="5">
        <v>8</v>
      </c>
      <c r="AZ559" t="s">
        <v>1857</v>
      </c>
      <c r="BA559">
        <v>1999</v>
      </c>
      <c r="BB559">
        <v>2007</v>
      </c>
      <c r="BD559" t="s">
        <v>19</v>
      </c>
      <c r="BE559" t="s">
        <v>1876</v>
      </c>
      <c r="BF559" t="s">
        <v>39</v>
      </c>
      <c r="BG559" t="s">
        <v>1233</v>
      </c>
      <c r="BH559" t="s">
        <v>23</v>
      </c>
      <c r="BI559" t="s">
        <v>1858</v>
      </c>
      <c r="BJ559" t="s">
        <v>22</v>
      </c>
      <c r="BK559">
        <v>44440</v>
      </c>
      <c r="FN559" s="9"/>
      <c r="FO559" s="9"/>
      <c r="FP559" s="9"/>
      <c r="FQ559" s="9"/>
      <c r="FR559" s="9"/>
      <c r="FS559" s="9"/>
      <c r="FT559" s="9"/>
      <c r="FU559" s="9"/>
      <c r="FV559" s="9"/>
      <c r="FW559" s="9"/>
      <c r="FX559" s="9"/>
      <c r="FY559" s="9"/>
      <c r="FZ559" s="9"/>
      <c r="GA559" s="9"/>
      <c r="GB559" s="9"/>
      <c r="GC559" s="9"/>
      <c r="GD559" s="9"/>
      <c r="GE559" s="9"/>
      <c r="GF559" s="9"/>
      <c r="GG559" s="9"/>
      <c r="GH559" s="9"/>
      <c r="GI559" s="9"/>
      <c r="GJ559" s="9"/>
      <c r="GK559" s="9"/>
      <c r="GL559" s="9"/>
      <c r="GM559" s="9"/>
      <c r="GN559" s="9"/>
      <c r="GO559" s="9"/>
      <c r="GP559" s="9"/>
      <c r="GQ559" s="9"/>
      <c r="GR559" s="9"/>
      <c r="GS559" s="9"/>
      <c r="GT559" s="9"/>
      <c r="GU559" s="9"/>
      <c r="GV559" s="9"/>
      <c r="GW559" s="9"/>
      <c r="GX559" s="9"/>
      <c r="GY559" s="9"/>
      <c r="GZ559" s="9"/>
      <c r="HA559" s="9"/>
      <c r="HB559" s="9"/>
      <c r="HC559" s="9"/>
      <c r="HD559" s="9"/>
      <c r="HE559" s="9"/>
      <c r="HF559" s="9"/>
      <c r="HG559" s="9"/>
      <c r="HH559" s="9"/>
      <c r="HI559" s="9"/>
      <c r="HJ559" s="9"/>
      <c r="HK559" s="9"/>
      <c r="HL559" s="9"/>
      <c r="HM559" s="9"/>
      <c r="HU559" s="58">
        <v>36495</v>
      </c>
      <c r="IP559" t="s">
        <v>1882</v>
      </c>
      <c r="IQ559" t="s">
        <v>19</v>
      </c>
      <c r="IT559">
        <v>1999</v>
      </c>
      <c r="JM559" t="s">
        <v>14</v>
      </c>
      <c r="JN559" t="s">
        <v>1859</v>
      </c>
      <c r="JO559" t="s">
        <v>13</v>
      </c>
      <c r="JP559" t="s">
        <v>1860</v>
      </c>
      <c r="JQ559" t="s">
        <v>13</v>
      </c>
      <c r="JR559" t="s">
        <v>1861</v>
      </c>
      <c r="JS559">
        <v>90</v>
      </c>
      <c r="JT559">
        <v>80</v>
      </c>
      <c r="KF559" t="s">
        <v>1864</v>
      </c>
      <c r="KG559" s="84" t="s">
        <v>1548</v>
      </c>
      <c r="MZ559" t="s">
        <v>1845</v>
      </c>
      <c r="NA559">
        <v>6.25E-2</v>
      </c>
      <c r="NB559" t="s">
        <v>1868</v>
      </c>
      <c r="NC559" t="s">
        <v>1868</v>
      </c>
      <c r="NI559" t="s">
        <v>712</v>
      </c>
      <c r="NK559" t="s">
        <v>203</v>
      </c>
      <c r="NM559" t="s">
        <v>203</v>
      </c>
      <c r="NV559" t="s">
        <v>1558</v>
      </c>
      <c r="NW559" t="s">
        <v>6</v>
      </c>
      <c r="NX559">
        <v>0.77710842999999996</v>
      </c>
      <c r="NY559" s="4" t="s">
        <v>4</v>
      </c>
      <c r="NZ559">
        <v>0.36</v>
      </c>
      <c r="OC559">
        <v>9</v>
      </c>
      <c r="OT559" t="s">
        <v>1854</v>
      </c>
      <c r="OW559">
        <v>2006</v>
      </c>
      <c r="OY559" t="s">
        <v>1883</v>
      </c>
      <c r="PA559" t="s">
        <v>1169</v>
      </c>
      <c r="PB559" s="58">
        <v>46120</v>
      </c>
    </row>
    <row r="560" spans="1:418" ht="15.75" thickBot="1">
      <c r="A560" t="s">
        <v>36</v>
      </c>
      <c r="B560" t="s">
        <v>1843</v>
      </c>
      <c r="C560" t="s">
        <v>1844</v>
      </c>
      <c r="D560" s="4" t="s">
        <v>1936</v>
      </c>
      <c r="E560" t="s">
        <v>1856</v>
      </c>
      <c r="F560" t="s">
        <v>31</v>
      </c>
      <c r="G560" t="s">
        <v>2</v>
      </c>
      <c r="H560" t="s">
        <v>30</v>
      </c>
      <c r="I560">
        <v>-13.65</v>
      </c>
      <c r="J560">
        <v>32.566666669999996</v>
      </c>
      <c r="K560" t="s">
        <v>29</v>
      </c>
      <c r="AV560" t="s">
        <v>1862</v>
      </c>
      <c r="AW560">
        <v>100</v>
      </c>
      <c r="AX560" t="s">
        <v>234</v>
      </c>
      <c r="AY560" s="5">
        <v>8</v>
      </c>
      <c r="AZ560" t="s">
        <v>1857</v>
      </c>
      <c r="BA560">
        <v>1999</v>
      </c>
      <c r="BB560">
        <v>2007</v>
      </c>
      <c r="BD560" t="s">
        <v>1848</v>
      </c>
      <c r="BE560" t="s">
        <v>1871</v>
      </c>
      <c r="BF560" t="s">
        <v>64</v>
      </c>
      <c r="BG560" t="s">
        <v>1233</v>
      </c>
      <c r="BH560" t="s">
        <v>23</v>
      </c>
      <c r="BI560" t="s">
        <v>1858</v>
      </c>
      <c r="BJ560" t="s">
        <v>22</v>
      </c>
      <c r="BK560">
        <v>44440</v>
      </c>
      <c r="BL560" t="s">
        <v>275</v>
      </c>
      <c r="BM560" t="s">
        <v>1849</v>
      </c>
      <c r="BN560" t="s">
        <v>29</v>
      </c>
      <c r="BO560" t="s">
        <v>22</v>
      </c>
      <c r="BP560">
        <v>10000</v>
      </c>
      <c r="FN560" s="9"/>
      <c r="FO560" s="9"/>
      <c r="FP560" s="9"/>
      <c r="FQ560" s="9"/>
      <c r="FR560" s="9"/>
      <c r="FS560" s="9"/>
      <c r="FT560" s="9"/>
      <c r="FU560" s="9"/>
      <c r="FV560" s="9"/>
      <c r="FW560" s="9"/>
      <c r="FX560" s="9"/>
      <c r="FY560" s="9"/>
      <c r="FZ560" s="9"/>
      <c r="GA560" s="9"/>
      <c r="GB560" s="9"/>
      <c r="GC560" s="9"/>
      <c r="GD560" s="9"/>
      <c r="GE560" s="9"/>
      <c r="GF560" s="9"/>
      <c r="GG560" s="9"/>
      <c r="GH560" s="9"/>
      <c r="GI560" s="9"/>
      <c r="GJ560" s="9"/>
      <c r="GK560" s="9"/>
      <c r="GL560" s="9"/>
      <c r="GM560" s="9"/>
      <c r="GN560" s="9"/>
      <c r="GO560" s="9"/>
      <c r="GP560" s="9"/>
      <c r="GQ560" s="9"/>
      <c r="GR560" s="9"/>
      <c r="GS560" s="9"/>
      <c r="GT560" s="9"/>
      <c r="GU560" s="9"/>
      <c r="GV560" s="9"/>
      <c r="GW560" s="9"/>
      <c r="GX560" s="9"/>
      <c r="GY560" s="9"/>
      <c r="GZ560" s="9"/>
      <c r="HA560" s="9"/>
      <c r="HB560" s="9"/>
      <c r="HC560" s="9"/>
      <c r="HD560" s="9"/>
      <c r="HE560" s="9"/>
      <c r="HF560" s="9"/>
      <c r="HG560" s="9"/>
      <c r="HH560" s="9"/>
      <c r="HI560" s="9"/>
      <c r="HJ560" s="9"/>
      <c r="HK560" s="9"/>
      <c r="HL560" s="9"/>
      <c r="HM560" s="9"/>
      <c r="HU560" s="58">
        <v>36495</v>
      </c>
      <c r="IP560" t="s">
        <v>1871</v>
      </c>
      <c r="IQ560" s="54" t="s">
        <v>1880</v>
      </c>
      <c r="IT560">
        <v>1999</v>
      </c>
      <c r="IV560" s="4" t="s">
        <v>1879</v>
      </c>
      <c r="JM560" t="s">
        <v>1630</v>
      </c>
      <c r="KF560" t="s">
        <v>1864</v>
      </c>
      <c r="KG560" s="84" t="s">
        <v>1548</v>
      </c>
      <c r="MZ560" t="s">
        <v>1845</v>
      </c>
      <c r="NA560">
        <v>6.25E-2</v>
      </c>
      <c r="NB560" t="s">
        <v>1869</v>
      </c>
      <c r="NC560" t="s">
        <v>1869</v>
      </c>
      <c r="NI560" t="s">
        <v>712</v>
      </c>
      <c r="NK560" t="s">
        <v>203</v>
      </c>
      <c r="NM560" t="s">
        <v>203</v>
      </c>
      <c r="NW560" t="s">
        <v>6</v>
      </c>
      <c r="NX560">
        <v>0</v>
      </c>
      <c r="NY560" s="4" t="s">
        <v>4</v>
      </c>
      <c r="NZ560">
        <v>0</v>
      </c>
      <c r="OC560">
        <v>9</v>
      </c>
      <c r="OT560" t="s">
        <v>1855</v>
      </c>
      <c r="OW560">
        <v>2006</v>
      </c>
      <c r="OY560" t="s">
        <v>1883</v>
      </c>
      <c r="PA560" t="s">
        <v>1169</v>
      </c>
      <c r="PB560" s="58">
        <v>46120</v>
      </c>
    </row>
    <row r="561" spans="1:418" ht="15.75" thickBot="1">
      <c r="A561" t="s">
        <v>36</v>
      </c>
      <c r="B561" t="s">
        <v>1843</v>
      </c>
      <c r="C561" t="s">
        <v>1844</v>
      </c>
      <c r="D561" s="4" t="s">
        <v>1936</v>
      </c>
      <c r="E561" t="s">
        <v>1856</v>
      </c>
      <c r="F561" t="s">
        <v>31</v>
      </c>
      <c r="G561" t="s">
        <v>2</v>
      </c>
      <c r="H561" t="s">
        <v>30</v>
      </c>
      <c r="I561">
        <v>-13.65</v>
      </c>
      <c r="J561">
        <v>32.566666669999996</v>
      </c>
      <c r="K561" t="s">
        <v>29</v>
      </c>
      <c r="AV561" t="s">
        <v>1862</v>
      </c>
      <c r="AW561">
        <v>100</v>
      </c>
      <c r="AX561" t="s">
        <v>234</v>
      </c>
      <c r="AY561" s="5">
        <v>8</v>
      </c>
      <c r="AZ561" t="s">
        <v>1857</v>
      </c>
      <c r="BA561">
        <v>1999</v>
      </c>
      <c r="BB561">
        <v>2007</v>
      </c>
      <c r="BD561" t="s">
        <v>1848</v>
      </c>
      <c r="BE561" t="s">
        <v>1874</v>
      </c>
      <c r="BF561" t="s">
        <v>57</v>
      </c>
      <c r="BG561" t="s">
        <v>1233</v>
      </c>
      <c r="BH561" t="s">
        <v>23</v>
      </c>
      <c r="BI561" t="s">
        <v>1858</v>
      </c>
      <c r="BJ561" t="s">
        <v>22</v>
      </c>
      <c r="BK561">
        <v>44440</v>
      </c>
      <c r="BL561" t="s">
        <v>275</v>
      </c>
      <c r="BM561" t="s">
        <v>1849</v>
      </c>
      <c r="BN561" t="s">
        <v>29</v>
      </c>
      <c r="BO561" t="s">
        <v>22</v>
      </c>
      <c r="BP561">
        <v>5000</v>
      </c>
      <c r="BQ561" t="s">
        <v>56</v>
      </c>
      <c r="EE561" t="s">
        <v>55</v>
      </c>
      <c r="EF561" t="s">
        <v>22</v>
      </c>
      <c r="EG561">
        <v>5000</v>
      </c>
      <c r="FN561" s="9"/>
      <c r="FO561" s="9"/>
      <c r="FP561" s="9"/>
      <c r="FQ561" s="9"/>
      <c r="FR561" s="9"/>
      <c r="FS561" s="9"/>
      <c r="FT561" s="9"/>
      <c r="FU561" s="9"/>
      <c r="FV561" s="9"/>
      <c r="FW561" s="9"/>
      <c r="FX561" s="9"/>
      <c r="FY561" s="9"/>
      <c r="FZ561" s="9"/>
      <c r="GA561" s="9"/>
      <c r="GB561" s="9"/>
      <c r="GC561" s="9"/>
      <c r="GD561" s="9"/>
      <c r="GE561" s="9"/>
      <c r="GF561" s="9"/>
      <c r="GG561" s="9"/>
      <c r="GH561" s="9"/>
      <c r="GI561" s="9"/>
      <c r="GJ561" s="9"/>
      <c r="GK561" s="9"/>
      <c r="GL561" s="9"/>
      <c r="GM561" s="9"/>
      <c r="GN561" s="9"/>
      <c r="GO561" s="9"/>
      <c r="GP561" s="9"/>
      <c r="GQ561" s="9"/>
      <c r="GR561" s="9"/>
      <c r="GS561" s="9"/>
      <c r="GT561" s="9"/>
      <c r="GU561" s="9"/>
      <c r="GV561" s="9"/>
      <c r="GW561" s="9"/>
      <c r="GX561" s="9"/>
      <c r="GY561" s="9"/>
      <c r="GZ561" s="9"/>
      <c r="HA561" s="9"/>
      <c r="HB561" s="9"/>
      <c r="HC561" s="9"/>
      <c r="HD561" s="9"/>
      <c r="HE561" s="9"/>
      <c r="HF561" s="9"/>
      <c r="HG561" s="9"/>
      <c r="HH561" s="9"/>
      <c r="HI561" s="9"/>
      <c r="HJ561" s="9"/>
      <c r="HK561" s="9"/>
      <c r="HL561" s="9"/>
      <c r="HM561" s="9"/>
      <c r="HU561" s="58">
        <v>36495</v>
      </c>
      <c r="IP561" t="s">
        <v>1874</v>
      </c>
      <c r="IQ561" s="84" t="s">
        <v>1718</v>
      </c>
      <c r="IT561">
        <v>1999</v>
      </c>
      <c r="IV561" s="4" t="s">
        <v>1879</v>
      </c>
      <c r="JM561" t="s">
        <v>1630</v>
      </c>
      <c r="KF561" t="s">
        <v>1864</v>
      </c>
      <c r="KG561" s="84" t="s">
        <v>1548</v>
      </c>
      <c r="MZ561" t="s">
        <v>1845</v>
      </c>
      <c r="NA561">
        <v>6.25E-2</v>
      </c>
      <c r="NB561" t="s">
        <v>1869</v>
      </c>
      <c r="NC561" t="s">
        <v>1869</v>
      </c>
      <c r="NI561" t="s">
        <v>712</v>
      </c>
      <c r="NK561" t="s">
        <v>203</v>
      </c>
      <c r="NM561" t="s">
        <v>203</v>
      </c>
      <c r="NW561" t="s">
        <v>6</v>
      </c>
      <c r="NX561">
        <v>0</v>
      </c>
      <c r="NY561" s="4" t="s">
        <v>4</v>
      </c>
      <c r="NZ561">
        <v>0</v>
      </c>
      <c r="OC561">
        <v>9</v>
      </c>
      <c r="OT561" t="s">
        <v>1855</v>
      </c>
      <c r="OW561">
        <v>2006</v>
      </c>
      <c r="OY561" t="s">
        <v>1883</v>
      </c>
      <c r="PA561" t="s">
        <v>1169</v>
      </c>
      <c r="PB561" s="58">
        <v>46120</v>
      </c>
    </row>
    <row r="562" spans="1:418" ht="15.75" thickBot="1">
      <c r="A562" t="s">
        <v>36</v>
      </c>
      <c r="B562" t="s">
        <v>1843</v>
      </c>
      <c r="C562" t="s">
        <v>1844</v>
      </c>
      <c r="D562" s="4" t="s">
        <v>1936</v>
      </c>
      <c r="E562" t="s">
        <v>1856</v>
      </c>
      <c r="F562" t="s">
        <v>31</v>
      </c>
      <c r="G562" t="s">
        <v>2</v>
      </c>
      <c r="H562" t="s">
        <v>30</v>
      </c>
      <c r="I562">
        <v>-13.65</v>
      </c>
      <c r="J562">
        <v>32.566666669999996</v>
      </c>
      <c r="K562" t="s">
        <v>29</v>
      </c>
      <c r="AV562" t="s">
        <v>1862</v>
      </c>
      <c r="AW562">
        <v>100</v>
      </c>
      <c r="AX562" t="s">
        <v>234</v>
      </c>
      <c r="AY562" s="5">
        <v>8</v>
      </c>
      <c r="AZ562" t="s">
        <v>1857</v>
      </c>
      <c r="BA562">
        <v>1999</v>
      </c>
      <c r="BB562">
        <v>2007</v>
      </c>
      <c r="BD562" t="s">
        <v>1848</v>
      </c>
      <c r="BE562" t="s">
        <v>1872</v>
      </c>
      <c r="BF562" t="s">
        <v>48</v>
      </c>
      <c r="BG562" t="s">
        <v>1233</v>
      </c>
      <c r="BH562" t="s">
        <v>23</v>
      </c>
      <c r="BI562" t="s">
        <v>1858</v>
      </c>
      <c r="BJ562" t="s">
        <v>22</v>
      </c>
      <c r="BK562">
        <v>44440</v>
      </c>
      <c r="BL562" t="s">
        <v>275</v>
      </c>
      <c r="EE562" t="s">
        <v>1877</v>
      </c>
      <c r="EF562" t="s">
        <v>22</v>
      </c>
      <c r="EG562">
        <v>10000</v>
      </c>
      <c r="FN562" s="9"/>
      <c r="FO562" s="9"/>
      <c r="FP562" s="9"/>
      <c r="FQ562" s="9"/>
      <c r="FR562" s="9"/>
      <c r="FS562" s="9"/>
      <c r="FT562" s="9"/>
      <c r="FU562" s="9"/>
      <c r="FV562" s="9"/>
      <c r="FW562" s="9"/>
      <c r="FX562" s="9"/>
      <c r="FY562" s="9"/>
      <c r="FZ562" s="9"/>
      <c r="GA562" s="9"/>
      <c r="GB562" s="9"/>
      <c r="GC562" s="9"/>
      <c r="GD562" s="9"/>
      <c r="GE562" s="9"/>
      <c r="GF562" s="9"/>
      <c r="GG562" s="9"/>
      <c r="GH562" s="9"/>
      <c r="GI562" s="9"/>
      <c r="GJ562" s="9"/>
      <c r="GK562" s="9"/>
      <c r="GL562" s="9"/>
      <c r="GM562" s="9"/>
      <c r="GN562" s="9"/>
      <c r="GO562" s="9"/>
      <c r="GP562" s="9"/>
      <c r="GQ562" s="9"/>
      <c r="GR562" s="9"/>
      <c r="GS562" s="9"/>
      <c r="GT562" s="9"/>
      <c r="GU562" s="9"/>
      <c r="GV562" s="9"/>
      <c r="GW562" s="9"/>
      <c r="GX562" s="9"/>
      <c r="GY562" s="9"/>
      <c r="GZ562" s="9"/>
      <c r="HA562" s="9"/>
      <c r="HB562" s="9"/>
      <c r="HC562" s="9"/>
      <c r="HD562" s="9"/>
      <c r="HE562" s="9"/>
      <c r="HF562" s="9"/>
      <c r="HG562" s="9"/>
      <c r="HH562" s="9"/>
      <c r="HI562" s="9"/>
      <c r="HJ562" s="9"/>
      <c r="HK562" s="9"/>
      <c r="HL562" s="9"/>
      <c r="HM562" s="9"/>
      <c r="HU562" s="58">
        <v>36495</v>
      </c>
      <c r="IP562" t="s">
        <v>1872</v>
      </c>
      <c r="IQ562" s="84" t="s">
        <v>1718</v>
      </c>
      <c r="IT562">
        <v>1999</v>
      </c>
      <c r="IV562" s="4" t="s">
        <v>1879</v>
      </c>
      <c r="JM562" t="s">
        <v>1630</v>
      </c>
      <c r="KF562" t="s">
        <v>1864</v>
      </c>
      <c r="KG562" s="84" t="s">
        <v>1548</v>
      </c>
      <c r="MZ562" t="s">
        <v>1845</v>
      </c>
      <c r="NA562">
        <v>6.25E-2</v>
      </c>
      <c r="NB562" t="s">
        <v>1869</v>
      </c>
      <c r="NC562" t="s">
        <v>1869</v>
      </c>
      <c r="NI562" t="s">
        <v>712</v>
      </c>
      <c r="NK562" t="s">
        <v>203</v>
      </c>
      <c r="NM562" t="s">
        <v>203</v>
      </c>
      <c r="NW562" t="s">
        <v>6</v>
      </c>
      <c r="NX562">
        <v>0.1</v>
      </c>
      <c r="NY562" s="4" t="s">
        <v>4</v>
      </c>
      <c r="NZ562">
        <v>0.1</v>
      </c>
      <c r="OC562">
        <v>9</v>
      </c>
      <c r="OT562" t="s">
        <v>1855</v>
      </c>
      <c r="OW562">
        <v>2006</v>
      </c>
      <c r="OY562" t="s">
        <v>1883</v>
      </c>
      <c r="PA562" t="s">
        <v>1169</v>
      </c>
      <c r="PB562" s="58">
        <v>46120</v>
      </c>
    </row>
    <row r="563" spans="1:418" ht="15.75" thickBot="1">
      <c r="A563" t="s">
        <v>36</v>
      </c>
      <c r="B563" t="s">
        <v>1843</v>
      </c>
      <c r="C563" t="s">
        <v>1844</v>
      </c>
      <c r="D563" s="4" t="s">
        <v>1936</v>
      </c>
      <c r="E563" t="s">
        <v>1856</v>
      </c>
      <c r="F563" t="s">
        <v>31</v>
      </c>
      <c r="G563" t="s">
        <v>2</v>
      </c>
      <c r="H563" t="s">
        <v>30</v>
      </c>
      <c r="I563">
        <v>-13.65</v>
      </c>
      <c r="J563">
        <v>32.566666669999996</v>
      </c>
      <c r="K563" t="s">
        <v>29</v>
      </c>
      <c r="AV563" t="s">
        <v>1862</v>
      </c>
      <c r="AW563">
        <v>100</v>
      </c>
      <c r="AX563" t="s">
        <v>234</v>
      </c>
      <c r="AY563" s="5">
        <v>8</v>
      </c>
      <c r="AZ563" t="s">
        <v>1857</v>
      </c>
      <c r="BA563">
        <v>1999</v>
      </c>
      <c r="BB563">
        <v>2007</v>
      </c>
      <c r="BD563" t="s">
        <v>1848</v>
      </c>
      <c r="BE563" t="s">
        <v>1873</v>
      </c>
      <c r="BF563" t="s">
        <v>43</v>
      </c>
      <c r="BG563" t="s">
        <v>1233</v>
      </c>
      <c r="BH563" t="s">
        <v>23</v>
      </c>
      <c r="BI563" t="s">
        <v>1858</v>
      </c>
      <c r="BJ563" t="s">
        <v>22</v>
      </c>
      <c r="BK563">
        <v>44440</v>
      </c>
      <c r="BL563" t="s">
        <v>275</v>
      </c>
      <c r="EE563" t="s">
        <v>55</v>
      </c>
      <c r="EF563" t="s">
        <v>22</v>
      </c>
      <c r="EG563">
        <v>5000</v>
      </c>
      <c r="EH563" t="s">
        <v>56</v>
      </c>
      <c r="EI563" t="s">
        <v>1877</v>
      </c>
      <c r="EJ563" t="s">
        <v>22</v>
      </c>
      <c r="EK563">
        <v>5000</v>
      </c>
      <c r="FN563" s="9"/>
      <c r="FO563" s="9"/>
      <c r="FP563" s="9"/>
      <c r="FQ563" s="9"/>
      <c r="FR563" s="9"/>
      <c r="FS563" s="9"/>
      <c r="FT563" s="9"/>
      <c r="FU563" s="9"/>
      <c r="FV563" s="9"/>
      <c r="FW563" s="9"/>
      <c r="FX563" s="9"/>
      <c r="FY563" s="9"/>
      <c r="FZ563" s="9"/>
      <c r="GA563" s="9"/>
      <c r="GB563" s="9"/>
      <c r="GC563" s="9"/>
      <c r="GD563" s="9"/>
      <c r="GE563" s="9"/>
      <c r="GF563" s="9"/>
      <c r="GG563" s="9"/>
      <c r="GH563" s="9"/>
      <c r="GI563" s="9"/>
      <c r="GJ563" s="9"/>
      <c r="GK563" s="9"/>
      <c r="GL563" s="9"/>
      <c r="GM563" s="9"/>
      <c r="GN563" s="9"/>
      <c r="GO563" s="9"/>
      <c r="GP563" s="9"/>
      <c r="GQ563" s="9"/>
      <c r="GR563" s="9"/>
      <c r="GS563" s="9"/>
      <c r="GT563" s="9"/>
      <c r="GU563" s="9"/>
      <c r="GV563" s="9"/>
      <c r="GW563" s="9"/>
      <c r="GX563" s="9"/>
      <c r="GY563" s="9"/>
      <c r="GZ563" s="9"/>
      <c r="HA563" s="9"/>
      <c r="HB563" s="9"/>
      <c r="HC563" s="9"/>
      <c r="HD563" s="9"/>
      <c r="HE563" s="9"/>
      <c r="HF563" s="9"/>
      <c r="HG563" s="9"/>
      <c r="HH563" s="9"/>
      <c r="HI563" s="9"/>
      <c r="HJ563" s="9"/>
      <c r="HK563" s="9"/>
      <c r="HL563" s="9"/>
      <c r="HM563" s="9"/>
      <c r="HU563" s="58">
        <v>36495</v>
      </c>
      <c r="IP563" t="s">
        <v>1873</v>
      </c>
      <c r="IQ563" s="84" t="s">
        <v>1718</v>
      </c>
      <c r="IT563">
        <v>1999</v>
      </c>
      <c r="IV563" s="4" t="s">
        <v>1879</v>
      </c>
      <c r="JM563" t="s">
        <v>1630</v>
      </c>
      <c r="KF563" t="s">
        <v>1864</v>
      </c>
      <c r="KG563" s="84" t="s">
        <v>1548</v>
      </c>
      <c r="MZ563" t="s">
        <v>1845</v>
      </c>
      <c r="NA563">
        <v>6.25E-2</v>
      </c>
      <c r="NB563" t="s">
        <v>1869</v>
      </c>
      <c r="NC563" t="s">
        <v>1869</v>
      </c>
      <c r="NI563" t="s">
        <v>712</v>
      </c>
      <c r="NK563" t="s">
        <v>203</v>
      </c>
      <c r="NM563" t="s">
        <v>203</v>
      </c>
      <c r="NW563" t="s">
        <v>6</v>
      </c>
      <c r="NX563">
        <v>0.1</v>
      </c>
      <c r="NY563" s="4" t="s">
        <v>4</v>
      </c>
      <c r="NZ563">
        <v>0.1</v>
      </c>
      <c r="OC563">
        <v>9</v>
      </c>
      <c r="OT563" t="s">
        <v>1855</v>
      </c>
      <c r="OW563">
        <v>2006</v>
      </c>
      <c r="OY563" t="s">
        <v>1883</v>
      </c>
      <c r="PA563" t="s">
        <v>1169</v>
      </c>
      <c r="PB563" s="58">
        <v>46120</v>
      </c>
    </row>
    <row r="564" spans="1:418" ht="15.75" thickBot="1">
      <c r="A564" t="s">
        <v>36</v>
      </c>
      <c r="B564" t="s">
        <v>1843</v>
      </c>
      <c r="C564" t="s">
        <v>1844</v>
      </c>
      <c r="D564" s="4" t="s">
        <v>1936</v>
      </c>
      <c r="E564" t="s">
        <v>1856</v>
      </c>
      <c r="F564" t="s">
        <v>31</v>
      </c>
      <c r="G564" t="s">
        <v>2</v>
      </c>
      <c r="H564" t="s">
        <v>30</v>
      </c>
      <c r="I564">
        <v>-13.65</v>
      </c>
      <c r="J564">
        <v>32.566666669999996</v>
      </c>
      <c r="K564" t="s">
        <v>29</v>
      </c>
      <c r="AV564" t="s">
        <v>1862</v>
      </c>
      <c r="AW564">
        <v>100</v>
      </c>
      <c r="AX564" t="s">
        <v>234</v>
      </c>
      <c r="AY564" s="5">
        <v>8</v>
      </c>
      <c r="AZ564" t="s">
        <v>1857</v>
      </c>
      <c r="BA564">
        <v>1999</v>
      </c>
      <c r="BB564">
        <v>2007</v>
      </c>
      <c r="BD564" t="s">
        <v>1848</v>
      </c>
      <c r="BE564" t="s">
        <v>1875</v>
      </c>
      <c r="BF564" t="s">
        <v>252</v>
      </c>
      <c r="BG564" t="s">
        <v>1233</v>
      </c>
      <c r="BH564" t="s">
        <v>23</v>
      </c>
      <c r="BI564" t="s">
        <v>1858</v>
      </c>
      <c r="BJ564" t="s">
        <v>22</v>
      </c>
      <c r="BK564">
        <v>44440</v>
      </c>
      <c r="BL564" t="s">
        <v>275</v>
      </c>
      <c r="EE564" t="s">
        <v>55</v>
      </c>
      <c r="EF564" t="s">
        <v>22</v>
      </c>
      <c r="EG564">
        <v>10000</v>
      </c>
      <c r="FN564" s="9"/>
      <c r="FO564" s="9"/>
      <c r="FP564" s="9"/>
      <c r="FQ564" s="9"/>
      <c r="FR564" s="9"/>
      <c r="FS564" s="9"/>
      <c r="FT564" s="9"/>
      <c r="FU564" s="9"/>
      <c r="FV564" s="9"/>
      <c r="FW564" s="9"/>
      <c r="FX564" s="9"/>
      <c r="FY564" s="9"/>
      <c r="FZ564" s="9"/>
      <c r="GA564" s="9"/>
      <c r="GB564" s="9"/>
      <c r="GC564" s="9"/>
      <c r="GD564" s="9"/>
      <c r="GE564" s="9"/>
      <c r="GF564" s="9"/>
      <c r="GG564" s="9"/>
      <c r="GH564" s="9"/>
      <c r="GI564" s="9"/>
      <c r="GJ564" s="9"/>
      <c r="GK564" s="9"/>
      <c r="GL564" s="9"/>
      <c r="GM564" s="9"/>
      <c r="GN564" s="9"/>
      <c r="GO564" s="9"/>
      <c r="GP564" s="9"/>
      <c r="GQ564" s="9"/>
      <c r="GR564" s="9"/>
      <c r="GS564" s="9"/>
      <c r="GT564" s="9"/>
      <c r="GU564" s="9"/>
      <c r="GV564" s="9"/>
      <c r="GW564" s="9"/>
      <c r="GX564" s="9"/>
      <c r="GY564" s="9"/>
      <c r="GZ564" s="9"/>
      <c r="HA564" s="9"/>
      <c r="HB564" s="9"/>
      <c r="HC564" s="9"/>
      <c r="HD564" s="9"/>
      <c r="HE564" s="9"/>
      <c r="HF564" s="9"/>
      <c r="HG564" s="9"/>
      <c r="HH564" s="9"/>
      <c r="HI564" s="9"/>
      <c r="HJ564" s="9"/>
      <c r="HK564" s="9"/>
      <c r="HL564" s="9"/>
      <c r="HM564" s="9"/>
      <c r="HU564" s="58">
        <v>36495</v>
      </c>
      <c r="IP564" t="s">
        <v>1875</v>
      </c>
      <c r="IQ564" s="84" t="s">
        <v>1718</v>
      </c>
      <c r="IT564">
        <v>1999</v>
      </c>
      <c r="IV564" s="4" t="s">
        <v>1879</v>
      </c>
      <c r="JM564" t="s">
        <v>1630</v>
      </c>
      <c r="KF564" t="s">
        <v>1864</v>
      </c>
      <c r="KG564" s="84" t="s">
        <v>1548</v>
      </c>
      <c r="MZ564" t="s">
        <v>1845</v>
      </c>
      <c r="NA564">
        <v>6.25E-2</v>
      </c>
      <c r="NB564" t="s">
        <v>1869</v>
      </c>
      <c r="NC564" t="s">
        <v>1869</v>
      </c>
      <c r="NI564" t="s">
        <v>712</v>
      </c>
      <c r="NK564" t="s">
        <v>203</v>
      </c>
      <c r="NM564" t="s">
        <v>203</v>
      </c>
      <c r="NW564" t="s">
        <v>6</v>
      </c>
      <c r="NX564">
        <v>0.22424242</v>
      </c>
      <c r="NY564" s="4" t="s">
        <v>4</v>
      </c>
      <c r="NZ564">
        <v>0.15</v>
      </c>
      <c r="OC564">
        <v>9</v>
      </c>
      <c r="OT564" t="s">
        <v>1855</v>
      </c>
      <c r="OW564">
        <v>2006</v>
      </c>
      <c r="OY564" t="s">
        <v>1883</v>
      </c>
      <c r="PA564" t="s">
        <v>1169</v>
      </c>
      <c r="PB564" s="58">
        <v>46120</v>
      </c>
    </row>
    <row r="565" spans="1:418" ht="15.75" thickBot="1">
      <c r="A565" t="s">
        <v>36</v>
      </c>
      <c r="B565" t="s">
        <v>1843</v>
      </c>
      <c r="C565" t="s">
        <v>1844</v>
      </c>
      <c r="D565" s="4" t="s">
        <v>1936</v>
      </c>
      <c r="E565" t="s">
        <v>1856</v>
      </c>
      <c r="F565" t="s">
        <v>31</v>
      </c>
      <c r="G565" t="s">
        <v>2</v>
      </c>
      <c r="H565" t="s">
        <v>30</v>
      </c>
      <c r="I565">
        <v>-13.65</v>
      </c>
      <c r="J565">
        <v>32.566666669999996</v>
      </c>
      <c r="K565" t="s">
        <v>29</v>
      </c>
      <c r="AV565" t="s">
        <v>1862</v>
      </c>
      <c r="AW565">
        <v>100</v>
      </c>
      <c r="AX565" t="s">
        <v>234</v>
      </c>
      <c r="AY565" s="5">
        <v>8</v>
      </c>
      <c r="AZ565" t="s">
        <v>1857</v>
      </c>
      <c r="BA565">
        <v>1999</v>
      </c>
      <c r="BB565">
        <v>2007</v>
      </c>
      <c r="BD565" t="s">
        <v>1848</v>
      </c>
      <c r="BE565" t="s">
        <v>1878</v>
      </c>
      <c r="BF565" t="s">
        <v>236</v>
      </c>
      <c r="BG565" t="s">
        <v>1233</v>
      </c>
      <c r="BH565" t="s">
        <v>23</v>
      </c>
      <c r="BI565" t="s">
        <v>1858</v>
      </c>
      <c r="BJ565" t="s">
        <v>22</v>
      </c>
      <c r="BK565">
        <v>44440</v>
      </c>
      <c r="BL565" t="s">
        <v>275</v>
      </c>
      <c r="FN565" s="9"/>
      <c r="FO565" s="9"/>
      <c r="FP565" s="9"/>
      <c r="FQ565" s="9"/>
      <c r="FR565" s="9"/>
      <c r="FS565" s="9"/>
      <c r="FT565" s="9"/>
      <c r="FU565" s="9"/>
      <c r="FV565" s="9"/>
      <c r="FW565" s="9"/>
      <c r="FX565" s="9"/>
      <c r="FY565" s="9"/>
      <c r="FZ565" s="9"/>
      <c r="GA565" s="9"/>
      <c r="GB565" s="9"/>
      <c r="GC565" s="9"/>
      <c r="GD565" s="9"/>
      <c r="GE565" s="9"/>
      <c r="GF565" s="9"/>
      <c r="GG565" s="9"/>
      <c r="GH565" s="9"/>
      <c r="GI565" s="9"/>
      <c r="GJ565" s="9"/>
      <c r="GK565" s="9"/>
      <c r="GL565" s="9"/>
      <c r="GM565" s="9"/>
      <c r="GN565" s="9"/>
      <c r="GO565" s="9"/>
      <c r="GP565" s="9"/>
      <c r="GQ565" s="9"/>
      <c r="GR565" s="9"/>
      <c r="GS565" s="9"/>
      <c r="GT565" s="9"/>
      <c r="GU565" s="9"/>
      <c r="GV565" s="9"/>
      <c r="GW565" s="9"/>
      <c r="GX565" s="9"/>
      <c r="GY565" s="9"/>
      <c r="GZ565" s="9"/>
      <c r="HA565" s="9"/>
      <c r="HB565" s="9"/>
      <c r="HC565" s="9"/>
      <c r="HD565" s="9"/>
      <c r="HE565" s="9"/>
      <c r="HF565" s="9"/>
      <c r="HG565" s="9"/>
      <c r="HH565" s="9"/>
      <c r="HI565" s="9"/>
      <c r="HJ565" s="9"/>
      <c r="HK565" s="9"/>
      <c r="HL565" s="9"/>
      <c r="HM565" s="9"/>
      <c r="HU565" s="58">
        <v>36495</v>
      </c>
      <c r="IP565" t="s">
        <v>1881</v>
      </c>
      <c r="IQ565" s="54" t="s">
        <v>1880</v>
      </c>
      <c r="IT565">
        <v>1999</v>
      </c>
      <c r="IV565" s="4" t="s">
        <v>1879</v>
      </c>
      <c r="JM565" t="s">
        <v>1630</v>
      </c>
      <c r="KF565" t="s">
        <v>1864</v>
      </c>
      <c r="KG565" s="84" t="s">
        <v>1548</v>
      </c>
      <c r="MZ565" t="s">
        <v>1845</v>
      </c>
      <c r="NA565">
        <v>6.25E-2</v>
      </c>
      <c r="NB565" t="s">
        <v>1869</v>
      </c>
      <c r="NC565" t="s">
        <v>1869</v>
      </c>
      <c r="NI565" t="s">
        <v>712</v>
      </c>
      <c r="NK565" t="s">
        <v>203</v>
      </c>
      <c r="NM565" t="s">
        <v>203</v>
      </c>
      <c r="NW565" t="s">
        <v>6</v>
      </c>
      <c r="NX565">
        <v>0.22424242</v>
      </c>
      <c r="NY565" s="4" t="s">
        <v>4</v>
      </c>
      <c r="NZ565">
        <v>0.15</v>
      </c>
      <c r="OC565">
        <v>9</v>
      </c>
      <c r="OT565" t="s">
        <v>1855</v>
      </c>
      <c r="OW565">
        <v>2006</v>
      </c>
      <c r="OY565" t="s">
        <v>1883</v>
      </c>
      <c r="PA565" t="s">
        <v>1169</v>
      </c>
      <c r="PB565" s="58">
        <v>46120</v>
      </c>
    </row>
    <row r="566" spans="1:418" ht="15.75" thickBot="1">
      <c r="A566" t="s">
        <v>36</v>
      </c>
      <c r="B566" t="s">
        <v>1843</v>
      </c>
      <c r="C566" t="s">
        <v>1844</v>
      </c>
      <c r="D566" s="4" t="s">
        <v>1936</v>
      </c>
      <c r="E566" t="s">
        <v>1856</v>
      </c>
      <c r="F566" t="s">
        <v>31</v>
      </c>
      <c r="G566" t="s">
        <v>2</v>
      </c>
      <c r="H566" t="s">
        <v>30</v>
      </c>
      <c r="I566">
        <v>-13.65</v>
      </c>
      <c r="J566">
        <v>32.566666669999996</v>
      </c>
      <c r="K566" t="s">
        <v>29</v>
      </c>
      <c r="AV566" t="s">
        <v>1862</v>
      </c>
      <c r="AW566">
        <v>100</v>
      </c>
      <c r="AX566" t="s">
        <v>234</v>
      </c>
      <c r="AY566" s="5">
        <v>8</v>
      </c>
      <c r="AZ566" t="s">
        <v>1857</v>
      </c>
      <c r="BA566">
        <v>1999</v>
      </c>
      <c r="BB566">
        <v>2007</v>
      </c>
      <c r="BD566" t="s">
        <v>19</v>
      </c>
      <c r="BE566" t="s">
        <v>1876</v>
      </c>
      <c r="BF566" t="s">
        <v>39</v>
      </c>
      <c r="BG566" t="s">
        <v>1233</v>
      </c>
      <c r="BH566" t="s">
        <v>23</v>
      </c>
      <c r="BI566" t="s">
        <v>1858</v>
      </c>
      <c r="BJ566" t="s">
        <v>22</v>
      </c>
      <c r="BK566">
        <v>44440</v>
      </c>
      <c r="FN566" s="9"/>
      <c r="FO566" s="9"/>
      <c r="FP566" s="9"/>
      <c r="FQ566" s="9"/>
      <c r="FR566" s="9"/>
      <c r="FS566" s="9"/>
      <c r="FT566" s="9"/>
      <c r="FU566" s="9"/>
      <c r="FV566" s="9"/>
      <c r="FW566" s="9"/>
      <c r="FX566" s="9"/>
      <c r="FY566" s="9"/>
      <c r="FZ566" s="9"/>
      <c r="GA566" s="9"/>
      <c r="GB566" s="9"/>
      <c r="GC566" s="9"/>
      <c r="GD566" s="9"/>
      <c r="GE566" s="9"/>
      <c r="GF566" s="9"/>
      <c r="GG566" s="9"/>
      <c r="GH566" s="9"/>
      <c r="GI566" s="9"/>
      <c r="GJ566" s="9"/>
      <c r="GK566" s="9"/>
      <c r="GL566" s="9"/>
      <c r="GM566" s="9"/>
      <c r="GN566" s="9"/>
      <c r="GO566" s="9"/>
      <c r="GP566" s="9"/>
      <c r="GQ566" s="9"/>
      <c r="GR566" s="9"/>
      <c r="GS566" s="9"/>
      <c r="GT566" s="9"/>
      <c r="GU566" s="9"/>
      <c r="GV566" s="9"/>
      <c r="GW566" s="9"/>
      <c r="GX566" s="9"/>
      <c r="GY566" s="9"/>
      <c r="GZ566" s="9"/>
      <c r="HA566" s="9"/>
      <c r="HB566" s="9"/>
      <c r="HC566" s="9"/>
      <c r="HD566" s="9"/>
      <c r="HE566" s="9"/>
      <c r="HF566" s="9"/>
      <c r="HG566" s="9"/>
      <c r="HH566" s="9"/>
      <c r="HI566" s="9"/>
      <c r="HJ566" s="9"/>
      <c r="HK566" s="9"/>
      <c r="HL566" s="9"/>
      <c r="HM566" s="9"/>
      <c r="HU566" s="58">
        <v>36495</v>
      </c>
      <c r="IP566" t="s">
        <v>1882</v>
      </c>
      <c r="IQ566" t="s">
        <v>19</v>
      </c>
      <c r="IT566">
        <v>1999</v>
      </c>
      <c r="JM566" t="s">
        <v>14</v>
      </c>
      <c r="JN566" t="s">
        <v>1859</v>
      </c>
      <c r="JO566" t="s">
        <v>13</v>
      </c>
      <c r="JP566" t="s">
        <v>1860</v>
      </c>
      <c r="JQ566" t="s">
        <v>13</v>
      </c>
      <c r="JR566" t="s">
        <v>1861</v>
      </c>
      <c r="JS566">
        <v>90</v>
      </c>
      <c r="JT566">
        <v>80</v>
      </c>
      <c r="KF566" t="s">
        <v>1864</v>
      </c>
      <c r="KG566" s="84" t="s">
        <v>1548</v>
      </c>
      <c r="MZ566" t="s">
        <v>1845</v>
      </c>
      <c r="NA566">
        <v>6.25E-2</v>
      </c>
      <c r="NB566" t="s">
        <v>1869</v>
      </c>
      <c r="NC566" t="s">
        <v>1869</v>
      </c>
      <c r="NI566" t="s">
        <v>712</v>
      </c>
      <c r="NK566" t="s">
        <v>203</v>
      </c>
      <c r="NM566" t="s">
        <v>203</v>
      </c>
      <c r="NV566" t="s">
        <v>1558</v>
      </c>
      <c r="NW566" t="s">
        <v>6</v>
      </c>
      <c r="NX566">
        <v>0.22272727</v>
      </c>
      <c r="NY566" s="4" t="s">
        <v>4</v>
      </c>
      <c r="NZ566">
        <v>0.15</v>
      </c>
      <c r="OC566">
        <v>9</v>
      </c>
      <c r="OT566" t="s">
        <v>1855</v>
      </c>
      <c r="OW566">
        <v>2006</v>
      </c>
      <c r="OY566" t="s">
        <v>1883</v>
      </c>
      <c r="PA566" t="s">
        <v>1169</v>
      </c>
      <c r="PB566" s="58">
        <v>46120</v>
      </c>
    </row>
    <row r="567" spans="1:418" ht="15.75" thickBot="1">
      <c r="A567" t="s">
        <v>248</v>
      </c>
      <c r="B567" t="s">
        <v>1884</v>
      </c>
      <c r="C567" t="s">
        <v>1885</v>
      </c>
      <c r="D567" s="4" t="s">
        <v>1936</v>
      </c>
      <c r="E567" s="90" t="s">
        <v>1955</v>
      </c>
      <c r="F567" t="s">
        <v>31</v>
      </c>
      <c r="G567" t="s">
        <v>2</v>
      </c>
      <c r="H567" t="s">
        <v>30</v>
      </c>
      <c r="I567">
        <v>30.9</v>
      </c>
      <c r="J567">
        <v>75.75</v>
      </c>
      <c r="K567" t="s">
        <v>29</v>
      </c>
      <c r="AV567" t="s">
        <v>1938</v>
      </c>
      <c r="AW567" t="s">
        <v>234</v>
      </c>
      <c r="AX567" t="s">
        <v>234</v>
      </c>
      <c r="AY567">
        <v>2</v>
      </c>
      <c r="AZ567" t="s">
        <v>1937</v>
      </c>
      <c r="BA567">
        <v>2016</v>
      </c>
      <c r="BB567">
        <v>2018</v>
      </c>
      <c r="BD567" t="s">
        <v>1886</v>
      </c>
      <c r="BE567" t="s">
        <v>1887</v>
      </c>
      <c r="BF567" t="s">
        <v>39</v>
      </c>
      <c r="BG567" t="s">
        <v>1233</v>
      </c>
      <c r="BH567" t="s">
        <v>23</v>
      </c>
      <c r="BI567" t="s">
        <v>1914</v>
      </c>
      <c r="BJ567" t="s">
        <v>13</v>
      </c>
      <c r="BK567">
        <v>20</v>
      </c>
      <c r="BL567" t="s">
        <v>275</v>
      </c>
      <c r="BM567" t="s">
        <v>1888</v>
      </c>
      <c r="BN567" t="s">
        <v>29</v>
      </c>
      <c r="BO567" t="s">
        <v>29</v>
      </c>
      <c r="BP567" t="s">
        <v>29</v>
      </c>
      <c r="HU567" s="58">
        <v>42539</v>
      </c>
      <c r="IP567" t="s">
        <v>1887</v>
      </c>
      <c r="IQ567" s="54" t="s">
        <v>1920</v>
      </c>
      <c r="IT567">
        <v>2016</v>
      </c>
      <c r="JK567" t="s">
        <v>1939</v>
      </c>
      <c r="JM567" t="s">
        <v>14</v>
      </c>
      <c r="JQ567" t="s">
        <v>13</v>
      </c>
      <c r="JR567">
        <v>125</v>
      </c>
      <c r="JU567">
        <v>60</v>
      </c>
      <c r="JV567">
        <v>30</v>
      </c>
      <c r="KF567" t="s">
        <v>1921</v>
      </c>
      <c r="KG567" s="84" t="s">
        <v>1548</v>
      </c>
      <c r="KH567" t="s">
        <v>1941</v>
      </c>
      <c r="KI567">
        <v>2</v>
      </c>
      <c r="KJ567" t="s">
        <v>1940</v>
      </c>
      <c r="KL567" s="8" t="s">
        <v>1943</v>
      </c>
      <c r="KM567" t="s">
        <v>1944</v>
      </c>
      <c r="KN567">
        <v>3</v>
      </c>
      <c r="KP567" s="8" t="s">
        <v>1922</v>
      </c>
      <c r="KQ567" t="s">
        <v>234</v>
      </c>
      <c r="KR567" t="s">
        <v>234</v>
      </c>
      <c r="KT567" t="s">
        <v>1923</v>
      </c>
      <c r="KU567" t="s">
        <v>234</v>
      </c>
      <c r="KV567" t="s">
        <v>234</v>
      </c>
      <c r="LU567" t="s">
        <v>1945</v>
      </c>
      <c r="LZ567" t="s">
        <v>1925</v>
      </c>
      <c r="MA567">
        <v>206.25</v>
      </c>
      <c r="MB567" s="4" t="s">
        <v>29</v>
      </c>
      <c r="MJ567" s="58">
        <v>42997</v>
      </c>
      <c r="MK567" s="58">
        <v>42997</v>
      </c>
      <c r="MZ567" t="s">
        <v>1926</v>
      </c>
      <c r="NA567" t="s">
        <v>234</v>
      </c>
      <c r="NB567" t="s">
        <v>1889</v>
      </c>
      <c r="NC567" t="s">
        <v>168</v>
      </c>
      <c r="NJ567" t="s">
        <v>1950</v>
      </c>
      <c r="NK567" t="s">
        <v>1890</v>
      </c>
      <c r="NL567" t="s">
        <v>1909</v>
      </c>
      <c r="NM567" s="4" t="s">
        <v>266</v>
      </c>
      <c r="NN567" s="6" t="s">
        <v>1913</v>
      </c>
      <c r="NV567" t="s">
        <v>1558</v>
      </c>
      <c r="NW567" t="s">
        <v>6</v>
      </c>
      <c r="NX567">
        <v>36580</v>
      </c>
      <c r="NY567" t="s">
        <v>234</v>
      </c>
      <c r="NZ567" t="s">
        <v>234</v>
      </c>
      <c r="OC567" s="15">
        <v>3</v>
      </c>
      <c r="OT567" t="s">
        <v>1924</v>
      </c>
      <c r="OU567" t="s">
        <v>6</v>
      </c>
      <c r="OW567">
        <v>2016</v>
      </c>
      <c r="OX567">
        <v>2017</v>
      </c>
      <c r="PA567" t="s">
        <v>1169</v>
      </c>
      <c r="PB567" s="58">
        <v>46129</v>
      </c>
    </row>
    <row r="568" spans="1:418" ht="15.75" thickBot="1">
      <c r="A568" t="s">
        <v>248</v>
      </c>
      <c r="B568" t="s">
        <v>1884</v>
      </c>
      <c r="C568" t="s">
        <v>1885</v>
      </c>
      <c r="D568" s="4" t="s">
        <v>1936</v>
      </c>
      <c r="E568" s="90" t="s">
        <v>1955</v>
      </c>
      <c r="F568" t="s">
        <v>31</v>
      </c>
      <c r="G568" t="s">
        <v>2</v>
      </c>
      <c r="H568" t="s">
        <v>30</v>
      </c>
      <c r="I568">
        <v>30.9</v>
      </c>
      <c r="J568">
        <v>75.75</v>
      </c>
      <c r="K568" t="s">
        <v>29</v>
      </c>
      <c r="AV568" t="s">
        <v>1938</v>
      </c>
      <c r="AW568" t="s">
        <v>234</v>
      </c>
      <c r="AX568" t="s">
        <v>234</v>
      </c>
      <c r="AY568">
        <v>2</v>
      </c>
      <c r="AZ568" t="s">
        <v>1937</v>
      </c>
      <c r="BA568">
        <v>2016</v>
      </c>
      <c r="BB568">
        <v>2018</v>
      </c>
      <c r="BD568" t="s">
        <v>1891</v>
      </c>
      <c r="BE568" t="s">
        <v>1906</v>
      </c>
      <c r="BF568" t="s">
        <v>64</v>
      </c>
      <c r="BG568" t="s">
        <v>1233</v>
      </c>
      <c r="BH568" t="s">
        <v>23</v>
      </c>
      <c r="BI568" t="s">
        <v>1914</v>
      </c>
      <c r="BJ568" t="s">
        <v>13</v>
      </c>
      <c r="BK568">
        <v>20</v>
      </c>
      <c r="BL568" t="s">
        <v>275</v>
      </c>
      <c r="BM568" t="s">
        <v>1894</v>
      </c>
      <c r="BN568" t="s">
        <v>29</v>
      </c>
      <c r="BO568" t="s">
        <v>29</v>
      </c>
      <c r="BP568" t="s">
        <v>29</v>
      </c>
      <c r="BQ568" t="s">
        <v>275</v>
      </c>
      <c r="BR568" t="s">
        <v>1893</v>
      </c>
      <c r="BS568" t="s">
        <v>29</v>
      </c>
      <c r="BT568" t="s">
        <v>29</v>
      </c>
      <c r="BU568" t="s">
        <v>29</v>
      </c>
      <c r="BV568" t="s">
        <v>56</v>
      </c>
      <c r="BW568" t="s">
        <v>1174</v>
      </c>
      <c r="BX568" t="s">
        <v>29</v>
      </c>
      <c r="BY568" t="s">
        <v>29</v>
      </c>
      <c r="BZ568" t="s">
        <v>29</v>
      </c>
      <c r="HU568" s="58">
        <v>42539</v>
      </c>
      <c r="IP568" t="s">
        <v>1906</v>
      </c>
      <c r="IQ568" s="54" t="s">
        <v>1919</v>
      </c>
      <c r="IT568">
        <v>2016</v>
      </c>
      <c r="JK568" t="s">
        <v>1939</v>
      </c>
      <c r="JM568" t="s">
        <v>14</v>
      </c>
      <c r="JQ568" t="s">
        <v>13</v>
      </c>
      <c r="JR568">
        <v>125</v>
      </c>
      <c r="JU568">
        <v>60</v>
      </c>
      <c r="JV568">
        <v>30</v>
      </c>
      <c r="KF568" t="s">
        <v>1921</v>
      </c>
      <c r="KG568" s="84" t="s">
        <v>1548</v>
      </c>
      <c r="KH568" t="s">
        <v>1941</v>
      </c>
      <c r="KI568">
        <v>2</v>
      </c>
      <c r="KJ568" t="s">
        <v>1940</v>
      </c>
      <c r="KL568" s="8" t="s">
        <v>1943</v>
      </c>
      <c r="KM568" t="s">
        <v>1944</v>
      </c>
      <c r="KN568">
        <v>3</v>
      </c>
      <c r="KP568" s="8" t="s">
        <v>1922</v>
      </c>
      <c r="KQ568" t="s">
        <v>234</v>
      </c>
      <c r="KR568" t="s">
        <v>234</v>
      </c>
      <c r="KT568" t="s">
        <v>1923</v>
      </c>
      <c r="KU568" t="s">
        <v>234</v>
      </c>
      <c r="KV568" t="s">
        <v>234</v>
      </c>
      <c r="LU568" t="s">
        <v>1945</v>
      </c>
      <c r="LZ568" t="s">
        <v>1925</v>
      </c>
      <c r="MA568">
        <v>206.25</v>
      </c>
      <c r="MB568" s="4" t="s">
        <v>29</v>
      </c>
      <c r="MJ568" s="58">
        <v>42997</v>
      </c>
      <c r="MK568" s="58">
        <v>42997</v>
      </c>
      <c r="MZ568" t="s">
        <v>1926</v>
      </c>
      <c r="NA568" t="s">
        <v>234</v>
      </c>
      <c r="NB568" t="s">
        <v>1895</v>
      </c>
      <c r="NC568" t="s">
        <v>168</v>
      </c>
      <c r="NJ568" t="s">
        <v>1950</v>
      </c>
      <c r="NK568" t="s">
        <v>1890</v>
      </c>
      <c r="NL568" t="s">
        <v>1909</v>
      </c>
      <c r="NM568" s="4" t="s">
        <v>266</v>
      </c>
      <c r="NN568" s="6" t="s">
        <v>1913</v>
      </c>
      <c r="NW568" t="s">
        <v>6</v>
      </c>
      <c r="NX568">
        <v>36700</v>
      </c>
      <c r="NY568" t="s">
        <v>234</v>
      </c>
      <c r="NZ568" t="s">
        <v>234</v>
      </c>
      <c r="OC568" s="15">
        <v>3</v>
      </c>
      <c r="OT568" t="s">
        <v>1924</v>
      </c>
      <c r="OU568" t="s">
        <v>6</v>
      </c>
      <c r="OW568">
        <v>2016</v>
      </c>
      <c r="OX568">
        <v>2017</v>
      </c>
      <c r="PA568" t="s">
        <v>1169</v>
      </c>
      <c r="PB568" s="58">
        <v>46129</v>
      </c>
    </row>
    <row r="569" spans="1:418" ht="15.75" thickBot="1">
      <c r="A569" t="s">
        <v>248</v>
      </c>
      <c r="B569" t="s">
        <v>1884</v>
      </c>
      <c r="C569" t="s">
        <v>1885</v>
      </c>
      <c r="D569" s="4" t="s">
        <v>1936</v>
      </c>
      <c r="E569" s="90" t="s">
        <v>1955</v>
      </c>
      <c r="F569" t="s">
        <v>31</v>
      </c>
      <c r="G569" t="s">
        <v>2</v>
      </c>
      <c r="H569" t="s">
        <v>30</v>
      </c>
      <c r="I569">
        <v>30.9</v>
      </c>
      <c r="J569">
        <v>75.75</v>
      </c>
      <c r="K569" t="s">
        <v>29</v>
      </c>
      <c r="AV569" t="s">
        <v>1938</v>
      </c>
      <c r="AW569" t="s">
        <v>234</v>
      </c>
      <c r="AX569" t="s">
        <v>234</v>
      </c>
      <c r="AY569">
        <v>2</v>
      </c>
      <c r="AZ569" t="s">
        <v>1937</v>
      </c>
      <c r="BA569">
        <v>2016</v>
      </c>
      <c r="BB569">
        <v>2018</v>
      </c>
      <c r="BD569" t="s">
        <v>1891</v>
      </c>
      <c r="BE569" t="s">
        <v>1951</v>
      </c>
      <c r="BF569" t="s">
        <v>57</v>
      </c>
      <c r="BG569" t="s">
        <v>1233</v>
      </c>
      <c r="BH569" t="s">
        <v>23</v>
      </c>
      <c r="BI569" t="s">
        <v>1914</v>
      </c>
      <c r="BJ569" t="s">
        <v>13</v>
      </c>
      <c r="BK569">
        <v>20</v>
      </c>
      <c r="BL569" t="s">
        <v>56</v>
      </c>
      <c r="BM569" t="s">
        <v>250</v>
      </c>
      <c r="BN569" t="s">
        <v>29</v>
      </c>
      <c r="BO569" t="s">
        <v>29</v>
      </c>
      <c r="BP569" t="s">
        <v>29</v>
      </c>
      <c r="BQ569" t="s">
        <v>275</v>
      </c>
      <c r="BR569" t="s">
        <v>1894</v>
      </c>
      <c r="BS569" t="s">
        <v>29</v>
      </c>
      <c r="BT569" t="s">
        <v>29</v>
      </c>
      <c r="BU569" t="s">
        <v>29</v>
      </c>
      <c r="BV569" t="s">
        <v>275</v>
      </c>
      <c r="BW569" t="s">
        <v>1893</v>
      </c>
      <c r="BX569" t="s">
        <v>29</v>
      </c>
      <c r="BY569" t="s">
        <v>29</v>
      </c>
      <c r="BZ569" t="s">
        <v>29</v>
      </c>
      <c r="CA569" t="s">
        <v>56</v>
      </c>
      <c r="CB569" t="s">
        <v>1174</v>
      </c>
      <c r="CC569" t="s">
        <v>29</v>
      </c>
      <c r="CD569" t="s">
        <v>29</v>
      </c>
      <c r="CE569" t="s">
        <v>29</v>
      </c>
      <c r="HU569" s="58">
        <v>42539</v>
      </c>
      <c r="IP569" t="s">
        <v>1907</v>
      </c>
      <c r="IQ569" s="54" t="s">
        <v>1919</v>
      </c>
      <c r="IT569">
        <v>2016</v>
      </c>
      <c r="JK569" t="s">
        <v>1939</v>
      </c>
      <c r="JM569" t="s">
        <v>14</v>
      </c>
      <c r="JQ569" t="s">
        <v>13</v>
      </c>
      <c r="JR569">
        <v>125</v>
      </c>
      <c r="JU569">
        <v>60</v>
      </c>
      <c r="JV569">
        <v>30</v>
      </c>
      <c r="KF569" t="s">
        <v>1921</v>
      </c>
      <c r="KG569" s="84" t="s">
        <v>1548</v>
      </c>
      <c r="KH569" t="s">
        <v>1941</v>
      </c>
      <c r="KI569">
        <v>2</v>
      </c>
      <c r="KJ569" t="s">
        <v>1940</v>
      </c>
      <c r="KL569" s="8" t="s">
        <v>1943</v>
      </c>
      <c r="KM569" t="s">
        <v>1944</v>
      </c>
      <c r="KN569">
        <v>3</v>
      </c>
      <c r="KP569" s="8" t="s">
        <v>1922</v>
      </c>
      <c r="KQ569" t="s">
        <v>234</v>
      </c>
      <c r="KR569" t="s">
        <v>234</v>
      </c>
      <c r="KT569" t="s">
        <v>1923</v>
      </c>
      <c r="KU569" t="s">
        <v>234</v>
      </c>
      <c r="KV569" t="s">
        <v>234</v>
      </c>
      <c r="LU569" t="s">
        <v>1945</v>
      </c>
      <c r="LZ569" t="s">
        <v>1925</v>
      </c>
      <c r="MA569">
        <v>206.25</v>
      </c>
      <c r="MB569" s="4" t="s">
        <v>29</v>
      </c>
      <c r="MJ569" s="58">
        <v>42997</v>
      </c>
      <c r="MK569" s="58">
        <v>42997</v>
      </c>
      <c r="MZ569" t="s">
        <v>1926</v>
      </c>
      <c r="NA569" t="s">
        <v>234</v>
      </c>
      <c r="NB569" t="s">
        <v>1897</v>
      </c>
      <c r="NC569" t="s">
        <v>168</v>
      </c>
      <c r="ND569" t="s">
        <v>250</v>
      </c>
      <c r="NJ569" t="s">
        <v>1950</v>
      </c>
      <c r="NK569" t="s">
        <v>1890</v>
      </c>
      <c r="NL569" t="s">
        <v>1909</v>
      </c>
      <c r="NM569" s="4" t="s">
        <v>266</v>
      </c>
      <c r="NN569" s="6" t="s">
        <v>1913</v>
      </c>
      <c r="NW569" t="s">
        <v>6</v>
      </c>
      <c r="NX569">
        <v>48700</v>
      </c>
      <c r="NY569" t="s">
        <v>234</v>
      </c>
      <c r="NZ569" t="s">
        <v>234</v>
      </c>
      <c r="OC569" s="15">
        <v>3</v>
      </c>
      <c r="OT569" t="s">
        <v>1924</v>
      </c>
      <c r="OU569" t="s">
        <v>6</v>
      </c>
      <c r="OW569">
        <v>2016</v>
      </c>
      <c r="OX569">
        <v>2017</v>
      </c>
      <c r="PA569" t="s">
        <v>1169</v>
      </c>
      <c r="PB569" s="58">
        <v>46129</v>
      </c>
    </row>
    <row r="570" spans="1:418" ht="15.75" thickBot="1">
      <c r="A570" t="s">
        <v>248</v>
      </c>
      <c r="B570" t="s">
        <v>1884</v>
      </c>
      <c r="C570" t="s">
        <v>1885</v>
      </c>
      <c r="D570" s="4" t="s">
        <v>1936</v>
      </c>
      <c r="E570" s="90" t="s">
        <v>1955</v>
      </c>
      <c r="F570" t="s">
        <v>31</v>
      </c>
      <c r="G570" t="s">
        <v>2</v>
      </c>
      <c r="H570" t="s">
        <v>30</v>
      </c>
      <c r="I570">
        <v>30.9</v>
      </c>
      <c r="J570">
        <v>75.75</v>
      </c>
      <c r="K570" t="s">
        <v>29</v>
      </c>
      <c r="AV570" t="s">
        <v>1938</v>
      </c>
      <c r="AW570" t="s">
        <v>234</v>
      </c>
      <c r="AX570" t="s">
        <v>234</v>
      </c>
      <c r="AY570">
        <v>2</v>
      </c>
      <c r="AZ570" t="s">
        <v>1937</v>
      </c>
      <c r="BA570">
        <v>2016</v>
      </c>
      <c r="BB570">
        <v>2018</v>
      </c>
      <c r="BD570" t="s">
        <v>1891</v>
      </c>
      <c r="BE570" t="s">
        <v>1952</v>
      </c>
      <c r="BF570" t="s">
        <v>48</v>
      </c>
      <c r="BG570" t="s">
        <v>1233</v>
      </c>
      <c r="BH570" t="s">
        <v>23</v>
      </c>
      <c r="BI570" t="s">
        <v>1914</v>
      </c>
      <c r="BJ570" t="s">
        <v>13</v>
      </c>
      <c r="BK570">
        <v>20</v>
      </c>
      <c r="BL570" t="s">
        <v>56</v>
      </c>
      <c r="BM570" t="s">
        <v>250</v>
      </c>
      <c r="BN570" t="s">
        <v>29</v>
      </c>
      <c r="BO570" t="s">
        <v>29</v>
      </c>
      <c r="BP570" t="s">
        <v>29</v>
      </c>
      <c r="BQ570" t="s">
        <v>275</v>
      </c>
      <c r="BR570" t="s">
        <v>1894</v>
      </c>
      <c r="BS570" t="s">
        <v>29</v>
      </c>
      <c r="BT570" t="s">
        <v>29</v>
      </c>
      <c r="BU570" t="s">
        <v>29</v>
      </c>
      <c r="HU570" s="58">
        <v>42539</v>
      </c>
      <c r="IP570" t="s">
        <v>1898</v>
      </c>
      <c r="IQ570" s="54" t="s">
        <v>1919</v>
      </c>
      <c r="IT570">
        <v>2016</v>
      </c>
      <c r="JK570" t="s">
        <v>1939</v>
      </c>
      <c r="JM570" t="s">
        <v>14</v>
      </c>
      <c r="JQ570" t="s">
        <v>13</v>
      </c>
      <c r="JR570">
        <v>125</v>
      </c>
      <c r="JU570">
        <v>60</v>
      </c>
      <c r="JV570">
        <v>30</v>
      </c>
      <c r="KF570" t="s">
        <v>1921</v>
      </c>
      <c r="KG570" s="84" t="s">
        <v>1548</v>
      </c>
      <c r="KH570" t="s">
        <v>1941</v>
      </c>
      <c r="KI570">
        <v>2</v>
      </c>
      <c r="KJ570" t="s">
        <v>1940</v>
      </c>
      <c r="KL570" s="8" t="s">
        <v>1943</v>
      </c>
      <c r="KM570" t="s">
        <v>1944</v>
      </c>
      <c r="KN570">
        <v>3</v>
      </c>
      <c r="KP570" s="8" t="s">
        <v>1922</v>
      </c>
      <c r="KQ570" t="s">
        <v>234</v>
      </c>
      <c r="KR570" t="s">
        <v>234</v>
      </c>
      <c r="KT570" t="s">
        <v>1923</v>
      </c>
      <c r="KU570" t="s">
        <v>234</v>
      </c>
      <c r="KV570" t="s">
        <v>234</v>
      </c>
      <c r="LU570" t="s">
        <v>1945</v>
      </c>
      <c r="LZ570" t="s">
        <v>1925</v>
      </c>
      <c r="MA570">
        <v>206.25</v>
      </c>
      <c r="MB570" s="4" t="s">
        <v>29</v>
      </c>
      <c r="MJ570" s="58">
        <v>42997</v>
      </c>
      <c r="MK570" s="58">
        <v>42997</v>
      </c>
      <c r="MZ570" t="s">
        <v>1926</v>
      </c>
      <c r="NA570" t="s">
        <v>234</v>
      </c>
      <c r="NB570" t="s">
        <v>1899</v>
      </c>
      <c r="NC570" t="s">
        <v>168</v>
      </c>
      <c r="ND570" t="s">
        <v>250</v>
      </c>
      <c r="NJ570" t="s">
        <v>1950</v>
      </c>
      <c r="NK570" t="s">
        <v>1890</v>
      </c>
      <c r="NL570" t="s">
        <v>1909</v>
      </c>
      <c r="NM570" s="4" t="s">
        <v>266</v>
      </c>
      <c r="NN570" s="6" t="s">
        <v>1913</v>
      </c>
      <c r="NW570" t="s">
        <v>6</v>
      </c>
      <c r="NX570">
        <v>49600</v>
      </c>
      <c r="NY570" t="s">
        <v>234</v>
      </c>
      <c r="NZ570" t="s">
        <v>234</v>
      </c>
      <c r="OC570" s="15">
        <v>3</v>
      </c>
      <c r="OT570" t="s">
        <v>1924</v>
      </c>
      <c r="OU570" t="s">
        <v>6</v>
      </c>
      <c r="OW570">
        <v>2016</v>
      </c>
      <c r="OX570">
        <v>2017</v>
      </c>
      <c r="PA570" t="s">
        <v>1169</v>
      </c>
      <c r="PB570" s="58">
        <v>46129</v>
      </c>
    </row>
    <row r="571" spans="1:418" ht="15.75" thickBot="1">
      <c r="A571" t="s">
        <v>248</v>
      </c>
      <c r="B571" t="s">
        <v>1884</v>
      </c>
      <c r="C571" t="s">
        <v>1885</v>
      </c>
      <c r="D571" s="4" t="s">
        <v>1936</v>
      </c>
      <c r="E571" s="90" t="s">
        <v>1955</v>
      </c>
      <c r="F571" t="s">
        <v>31</v>
      </c>
      <c r="G571" t="s">
        <v>2</v>
      </c>
      <c r="H571" t="s">
        <v>30</v>
      </c>
      <c r="I571">
        <v>30.9</v>
      </c>
      <c r="J571">
        <v>75.75</v>
      </c>
      <c r="K571" t="s">
        <v>29</v>
      </c>
      <c r="AV571" t="s">
        <v>1938</v>
      </c>
      <c r="AW571" t="s">
        <v>234</v>
      </c>
      <c r="AX571" t="s">
        <v>234</v>
      </c>
      <c r="AY571">
        <v>2</v>
      </c>
      <c r="AZ571" t="s">
        <v>1937</v>
      </c>
      <c r="BA571">
        <v>2016</v>
      </c>
      <c r="BB571">
        <v>2018</v>
      </c>
      <c r="BD571" t="s">
        <v>1891</v>
      </c>
      <c r="BE571" t="s">
        <v>1953</v>
      </c>
      <c r="BF571" t="s">
        <v>43</v>
      </c>
      <c r="BG571" t="s">
        <v>1233</v>
      </c>
      <c r="BH571" t="s">
        <v>23</v>
      </c>
      <c r="BI571" t="s">
        <v>1914</v>
      </c>
      <c r="BJ571" t="s">
        <v>13</v>
      </c>
      <c r="BK571">
        <v>20</v>
      </c>
      <c r="BL571" t="s">
        <v>56</v>
      </c>
      <c r="BM571" t="s">
        <v>250</v>
      </c>
      <c r="BN571" t="s">
        <v>29</v>
      </c>
      <c r="BO571" t="s">
        <v>29</v>
      </c>
      <c r="BP571" t="s">
        <v>29</v>
      </c>
      <c r="BQ571" t="s">
        <v>275</v>
      </c>
      <c r="BR571" t="s">
        <v>1916</v>
      </c>
      <c r="BS571" t="s">
        <v>29</v>
      </c>
      <c r="BT571" t="s">
        <v>29</v>
      </c>
      <c r="BU571" t="s">
        <v>29</v>
      </c>
      <c r="BV571" t="s">
        <v>275</v>
      </c>
      <c r="BW571" t="s">
        <v>1917</v>
      </c>
      <c r="BX571" t="s">
        <v>29</v>
      </c>
      <c r="BY571" t="s">
        <v>29</v>
      </c>
      <c r="BZ571" t="s">
        <v>29</v>
      </c>
      <c r="HU571" s="58">
        <v>42539</v>
      </c>
      <c r="IP571" t="s">
        <v>1915</v>
      </c>
      <c r="IQ571" s="54" t="s">
        <v>1919</v>
      </c>
      <c r="IT571">
        <v>2016</v>
      </c>
      <c r="JK571" t="s">
        <v>1939</v>
      </c>
      <c r="JM571" t="s">
        <v>14</v>
      </c>
      <c r="JQ571" t="s">
        <v>13</v>
      </c>
      <c r="JR571">
        <v>125</v>
      </c>
      <c r="JU571">
        <v>60</v>
      </c>
      <c r="JV571">
        <v>30</v>
      </c>
      <c r="KF571" t="s">
        <v>1921</v>
      </c>
      <c r="KG571" s="84" t="s">
        <v>1548</v>
      </c>
      <c r="KH571" t="s">
        <v>1941</v>
      </c>
      <c r="KI571">
        <v>2</v>
      </c>
      <c r="KJ571" t="s">
        <v>1940</v>
      </c>
      <c r="KL571" s="8" t="s">
        <v>1943</v>
      </c>
      <c r="KM571" t="s">
        <v>1944</v>
      </c>
      <c r="KN571">
        <v>3</v>
      </c>
      <c r="KP571" s="8" t="s">
        <v>1922</v>
      </c>
      <c r="KQ571" t="s">
        <v>234</v>
      </c>
      <c r="KR571" t="s">
        <v>234</v>
      </c>
      <c r="KT571" t="s">
        <v>1923</v>
      </c>
      <c r="KU571" t="s">
        <v>234</v>
      </c>
      <c r="KV571" t="s">
        <v>234</v>
      </c>
      <c r="LU571" t="s">
        <v>1945</v>
      </c>
      <c r="LZ571" t="s">
        <v>1925</v>
      </c>
      <c r="MA571">
        <v>206.25</v>
      </c>
      <c r="MB571" s="4" t="s">
        <v>29</v>
      </c>
      <c r="MJ571" s="58">
        <v>42997</v>
      </c>
      <c r="MK571" s="58">
        <v>42997</v>
      </c>
      <c r="MZ571" t="s">
        <v>1926</v>
      </c>
      <c r="NA571" t="s">
        <v>234</v>
      </c>
      <c r="NB571" t="s">
        <v>1901</v>
      </c>
      <c r="NC571" t="s">
        <v>168</v>
      </c>
      <c r="ND571" t="s">
        <v>250</v>
      </c>
      <c r="NJ571" t="s">
        <v>1950</v>
      </c>
      <c r="NK571" t="s">
        <v>1890</v>
      </c>
      <c r="NL571" t="s">
        <v>1909</v>
      </c>
      <c r="NM571" s="4" t="s">
        <v>266</v>
      </c>
      <c r="NN571" s="6" t="s">
        <v>1913</v>
      </c>
      <c r="NW571" t="s">
        <v>6</v>
      </c>
      <c r="NX571">
        <v>49140</v>
      </c>
      <c r="NY571" t="s">
        <v>234</v>
      </c>
      <c r="NZ571" t="s">
        <v>234</v>
      </c>
      <c r="OC571" s="15">
        <v>3</v>
      </c>
      <c r="OT571" t="s">
        <v>1924</v>
      </c>
      <c r="OU571" t="s">
        <v>6</v>
      </c>
      <c r="OW571">
        <v>2016</v>
      </c>
      <c r="OX571">
        <v>2017</v>
      </c>
      <c r="PA571" t="s">
        <v>1169</v>
      </c>
      <c r="PB571" s="58">
        <v>46129</v>
      </c>
    </row>
    <row r="572" spans="1:418" ht="15.75" thickBot="1">
      <c r="A572" t="s">
        <v>248</v>
      </c>
      <c r="B572" t="s">
        <v>1884</v>
      </c>
      <c r="C572" t="s">
        <v>1885</v>
      </c>
      <c r="D572" s="4" t="s">
        <v>1936</v>
      </c>
      <c r="E572" s="90" t="s">
        <v>1955</v>
      </c>
      <c r="F572" t="s">
        <v>31</v>
      </c>
      <c r="G572" t="s">
        <v>2</v>
      </c>
      <c r="H572" t="s">
        <v>30</v>
      </c>
      <c r="I572">
        <v>30.9</v>
      </c>
      <c r="J572">
        <v>75.75</v>
      </c>
      <c r="K572" t="s">
        <v>29</v>
      </c>
      <c r="AV572" t="s">
        <v>1938</v>
      </c>
      <c r="AW572" t="s">
        <v>234</v>
      </c>
      <c r="AX572" t="s">
        <v>234</v>
      </c>
      <c r="AY572">
        <v>2</v>
      </c>
      <c r="AZ572" t="s">
        <v>1937</v>
      </c>
      <c r="BA572">
        <v>2016</v>
      </c>
      <c r="BB572">
        <v>2018</v>
      </c>
      <c r="BD572" t="s">
        <v>1891</v>
      </c>
      <c r="BE572" s="3" t="s">
        <v>1902</v>
      </c>
      <c r="BF572" t="s">
        <v>252</v>
      </c>
      <c r="BG572" t="s">
        <v>1233</v>
      </c>
      <c r="BH572" t="s">
        <v>23</v>
      </c>
      <c r="BI572" t="s">
        <v>1914</v>
      </c>
      <c r="BJ572" t="s">
        <v>13</v>
      </c>
      <c r="BK572">
        <v>20</v>
      </c>
      <c r="BL572" t="s">
        <v>275</v>
      </c>
      <c r="BM572" t="s">
        <v>1918</v>
      </c>
      <c r="BN572" t="s">
        <v>29</v>
      </c>
      <c r="BO572" t="s">
        <v>29</v>
      </c>
      <c r="BP572" t="s">
        <v>29</v>
      </c>
      <c r="BQ572" t="s">
        <v>275</v>
      </c>
      <c r="BR572" t="s">
        <v>1916</v>
      </c>
      <c r="BS572" t="s">
        <v>29</v>
      </c>
      <c r="BT572" t="s">
        <v>29</v>
      </c>
      <c r="BU572" t="s">
        <v>29</v>
      </c>
      <c r="BV572" t="s">
        <v>275</v>
      </c>
      <c r="BW572" t="s">
        <v>1917</v>
      </c>
      <c r="BX572" t="s">
        <v>29</v>
      </c>
      <c r="BY572" t="s">
        <v>29</v>
      </c>
      <c r="BZ572" t="s">
        <v>29</v>
      </c>
      <c r="HU572" s="58">
        <v>42539</v>
      </c>
      <c r="IP572" s="3" t="s">
        <v>1902</v>
      </c>
      <c r="IQ572" s="54" t="s">
        <v>1919</v>
      </c>
      <c r="IT572">
        <v>2016</v>
      </c>
      <c r="JK572" t="s">
        <v>1939</v>
      </c>
      <c r="JM572" t="s">
        <v>14</v>
      </c>
      <c r="JQ572" t="s">
        <v>13</v>
      </c>
      <c r="JR572">
        <v>125</v>
      </c>
      <c r="JU572">
        <v>60</v>
      </c>
      <c r="JV572">
        <v>30</v>
      </c>
      <c r="KF572" t="s">
        <v>1921</v>
      </c>
      <c r="KG572" s="84" t="s">
        <v>1548</v>
      </c>
      <c r="KH572" t="s">
        <v>1941</v>
      </c>
      <c r="KI572">
        <v>2</v>
      </c>
      <c r="KJ572" t="s">
        <v>1940</v>
      </c>
      <c r="KL572" s="8" t="s">
        <v>1943</v>
      </c>
      <c r="KM572" t="s">
        <v>1944</v>
      </c>
      <c r="KN572">
        <v>3</v>
      </c>
      <c r="KP572" s="8" t="s">
        <v>1922</v>
      </c>
      <c r="KQ572" t="s">
        <v>234</v>
      </c>
      <c r="KR572" t="s">
        <v>234</v>
      </c>
      <c r="KT572" t="s">
        <v>1923</v>
      </c>
      <c r="KU572" t="s">
        <v>234</v>
      </c>
      <c r="KV572" t="s">
        <v>234</v>
      </c>
      <c r="LU572" t="s">
        <v>1945</v>
      </c>
      <c r="LZ572" t="s">
        <v>1925</v>
      </c>
      <c r="MA572">
        <v>206.25</v>
      </c>
      <c r="MB572" s="4" t="s">
        <v>29</v>
      </c>
      <c r="MJ572" s="58">
        <v>42997</v>
      </c>
      <c r="MK572" s="58">
        <v>42997</v>
      </c>
      <c r="MZ572" t="s">
        <v>1926</v>
      </c>
      <c r="NA572" t="s">
        <v>234</v>
      </c>
      <c r="NB572" t="s">
        <v>1903</v>
      </c>
      <c r="NC572" t="s">
        <v>168</v>
      </c>
      <c r="NJ572" t="s">
        <v>1950</v>
      </c>
      <c r="NK572" t="s">
        <v>1890</v>
      </c>
      <c r="NL572" t="s">
        <v>1909</v>
      </c>
      <c r="NM572" s="4" t="s">
        <v>266</v>
      </c>
      <c r="NN572" s="6" t="s">
        <v>1913</v>
      </c>
      <c r="NW572" t="s">
        <v>6</v>
      </c>
      <c r="NX572">
        <v>36310</v>
      </c>
      <c r="NY572" t="s">
        <v>234</v>
      </c>
      <c r="NZ572" t="s">
        <v>234</v>
      </c>
      <c r="OC572" s="15">
        <v>3</v>
      </c>
      <c r="OT572" t="s">
        <v>1924</v>
      </c>
      <c r="OU572" t="s">
        <v>6</v>
      </c>
      <c r="OW572">
        <v>2016</v>
      </c>
      <c r="OX572">
        <v>2017</v>
      </c>
      <c r="PA572" t="s">
        <v>1169</v>
      </c>
      <c r="PB572" s="58">
        <v>46129</v>
      </c>
    </row>
    <row r="573" spans="1:418" ht="15.75" thickBot="1">
      <c r="A573" t="s">
        <v>248</v>
      </c>
      <c r="B573" t="s">
        <v>1884</v>
      </c>
      <c r="C573" t="s">
        <v>1885</v>
      </c>
      <c r="D573" s="4" t="s">
        <v>1936</v>
      </c>
      <c r="E573" s="90" t="s">
        <v>1955</v>
      </c>
      <c r="F573" t="s">
        <v>31</v>
      </c>
      <c r="G573" t="s">
        <v>2</v>
      </c>
      <c r="H573" t="s">
        <v>30</v>
      </c>
      <c r="I573">
        <v>30.9</v>
      </c>
      <c r="J573">
        <v>75.75</v>
      </c>
      <c r="K573" t="s">
        <v>29</v>
      </c>
      <c r="AV573" t="s">
        <v>1938</v>
      </c>
      <c r="AW573" t="s">
        <v>234</v>
      </c>
      <c r="AX573" t="s">
        <v>234</v>
      </c>
      <c r="AY573">
        <v>2</v>
      </c>
      <c r="AZ573" t="s">
        <v>1937</v>
      </c>
      <c r="BA573">
        <v>2016</v>
      </c>
      <c r="BB573">
        <v>2018</v>
      </c>
      <c r="BD573" t="s">
        <v>1891</v>
      </c>
      <c r="BE573" s="15" t="s">
        <v>1954</v>
      </c>
      <c r="BF573" t="s">
        <v>236</v>
      </c>
      <c r="BG573" t="s">
        <v>1233</v>
      </c>
      <c r="BH573" t="s">
        <v>23</v>
      </c>
      <c r="BI573" t="s">
        <v>1914</v>
      </c>
      <c r="BJ573" t="s">
        <v>13</v>
      </c>
      <c r="BK573">
        <v>20</v>
      </c>
      <c r="BL573" t="s">
        <v>56</v>
      </c>
      <c r="BM573" t="s">
        <v>250</v>
      </c>
      <c r="BN573" t="s">
        <v>29</v>
      </c>
      <c r="BO573" t="s">
        <v>29</v>
      </c>
      <c r="BP573" t="s">
        <v>29</v>
      </c>
      <c r="BQ573" t="s">
        <v>275</v>
      </c>
      <c r="BR573" t="s">
        <v>1918</v>
      </c>
      <c r="BS573" t="s">
        <v>29</v>
      </c>
      <c r="BT573" t="s">
        <v>29</v>
      </c>
      <c r="BU573" t="s">
        <v>29</v>
      </c>
      <c r="BV573" t="s">
        <v>275</v>
      </c>
      <c r="BW573" t="s">
        <v>1916</v>
      </c>
      <c r="BX573" t="s">
        <v>29</v>
      </c>
      <c r="BY573" t="s">
        <v>29</v>
      </c>
      <c r="BZ573" t="s">
        <v>29</v>
      </c>
      <c r="CA573" t="s">
        <v>275</v>
      </c>
      <c r="CB573" t="s">
        <v>1917</v>
      </c>
      <c r="CC573" t="s">
        <v>29</v>
      </c>
      <c r="CD573" t="s">
        <v>29</v>
      </c>
      <c r="CE573" t="s">
        <v>29</v>
      </c>
      <c r="HU573" s="58">
        <v>42539</v>
      </c>
      <c r="IP573" s="3" t="s">
        <v>1904</v>
      </c>
      <c r="IQ573" s="54" t="s">
        <v>1919</v>
      </c>
      <c r="IT573">
        <v>2016</v>
      </c>
      <c r="JK573" t="s">
        <v>1939</v>
      </c>
      <c r="JM573" t="s">
        <v>14</v>
      </c>
      <c r="JQ573" t="s">
        <v>13</v>
      </c>
      <c r="JR573">
        <v>125</v>
      </c>
      <c r="JU573">
        <v>60</v>
      </c>
      <c r="JV573">
        <v>30</v>
      </c>
      <c r="KF573" t="s">
        <v>1921</v>
      </c>
      <c r="KG573" s="84" t="s">
        <v>1548</v>
      </c>
      <c r="KH573" t="s">
        <v>1941</v>
      </c>
      <c r="KI573">
        <v>2</v>
      </c>
      <c r="KJ573" t="s">
        <v>1940</v>
      </c>
      <c r="KL573" s="8" t="s">
        <v>1943</v>
      </c>
      <c r="KM573" t="s">
        <v>1944</v>
      </c>
      <c r="KN573">
        <v>3</v>
      </c>
      <c r="KP573" s="8" t="s">
        <v>1922</v>
      </c>
      <c r="KQ573" t="s">
        <v>234</v>
      </c>
      <c r="KR573" t="s">
        <v>234</v>
      </c>
      <c r="KT573" t="s">
        <v>1923</v>
      </c>
      <c r="KU573" t="s">
        <v>234</v>
      </c>
      <c r="KV573" t="s">
        <v>234</v>
      </c>
      <c r="LU573" t="s">
        <v>1945</v>
      </c>
      <c r="LZ573" t="s">
        <v>1925</v>
      </c>
      <c r="MA573">
        <v>206.25</v>
      </c>
      <c r="MB573" s="4" t="s">
        <v>29</v>
      </c>
      <c r="MJ573" s="58">
        <v>42997</v>
      </c>
      <c r="MK573" s="58">
        <v>42997</v>
      </c>
      <c r="MZ573" t="s">
        <v>1926</v>
      </c>
      <c r="NA573" t="s">
        <v>234</v>
      </c>
      <c r="NB573" t="s">
        <v>1905</v>
      </c>
      <c r="NC573" t="s">
        <v>168</v>
      </c>
      <c r="ND573" t="s">
        <v>250</v>
      </c>
      <c r="NJ573" t="s">
        <v>1950</v>
      </c>
      <c r="NK573" t="s">
        <v>1890</v>
      </c>
      <c r="NL573" t="s">
        <v>1909</v>
      </c>
      <c r="NM573" s="4" t="s">
        <v>266</v>
      </c>
      <c r="NN573" s="6" t="s">
        <v>1913</v>
      </c>
      <c r="NW573" t="s">
        <v>6</v>
      </c>
      <c r="NX573">
        <v>50130</v>
      </c>
      <c r="NY573" t="s">
        <v>234</v>
      </c>
      <c r="NZ573" t="s">
        <v>234</v>
      </c>
      <c r="OC573" s="15">
        <v>3</v>
      </c>
      <c r="OT573" t="s">
        <v>1924</v>
      </c>
      <c r="OU573" t="s">
        <v>6</v>
      </c>
      <c r="OW573">
        <v>2016</v>
      </c>
      <c r="OX573">
        <v>2017</v>
      </c>
      <c r="PA573" t="s">
        <v>1169</v>
      </c>
      <c r="PB573" s="58">
        <v>46129</v>
      </c>
    </row>
    <row r="574" spans="1:418" ht="15.75" thickBot="1">
      <c r="A574" t="s">
        <v>248</v>
      </c>
      <c r="B574" t="s">
        <v>1884</v>
      </c>
      <c r="C574" t="s">
        <v>1885</v>
      </c>
      <c r="D574" s="4" t="s">
        <v>1936</v>
      </c>
      <c r="E574" s="90" t="s">
        <v>1955</v>
      </c>
      <c r="F574" t="s">
        <v>31</v>
      </c>
      <c r="G574" t="s">
        <v>2</v>
      </c>
      <c r="H574" t="s">
        <v>30</v>
      </c>
      <c r="I574">
        <v>30.9</v>
      </c>
      <c r="J574">
        <v>75.75</v>
      </c>
      <c r="K574" t="s">
        <v>29</v>
      </c>
      <c r="AV574" t="s">
        <v>836</v>
      </c>
      <c r="AW574" t="s">
        <v>234</v>
      </c>
      <c r="AX574" t="s">
        <v>234</v>
      </c>
      <c r="AY574">
        <v>2</v>
      </c>
      <c r="AZ574" t="s">
        <v>1937</v>
      </c>
      <c r="BA574">
        <v>2016</v>
      </c>
      <c r="BB574">
        <v>2018</v>
      </c>
      <c r="BD574" t="s">
        <v>1886</v>
      </c>
      <c r="BE574" t="s">
        <v>1887</v>
      </c>
      <c r="BF574" t="s">
        <v>39</v>
      </c>
      <c r="BG574" t="s">
        <v>1233</v>
      </c>
      <c r="BH574" t="s">
        <v>23</v>
      </c>
      <c r="BI574" t="s">
        <v>1914</v>
      </c>
      <c r="BJ574" t="s">
        <v>13</v>
      </c>
      <c r="BK574">
        <v>20</v>
      </c>
      <c r="BL574" t="s">
        <v>275</v>
      </c>
      <c r="BM574" t="s">
        <v>1888</v>
      </c>
      <c r="BN574" t="s">
        <v>29</v>
      </c>
      <c r="BO574" t="s">
        <v>29</v>
      </c>
      <c r="BP574" t="s">
        <v>29</v>
      </c>
      <c r="HU574" s="58">
        <v>42907</v>
      </c>
      <c r="IP574" t="s">
        <v>1887</v>
      </c>
      <c r="IQ574" s="54" t="s">
        <v>1920</v>
      </c>
      <c r="IT574">
        <v>2016</v>
      </c>
      <c r="JK574" t="s">
        <v>1939</v>
      </c>
      <c r="JM574" t="s">
        <v>14</v>
      </c>
      <c r="JQ574" t="s">
        <v>13</v>
      </c>
      <c r="JR574">
        <v>125</v>
      </c>
      <c r="JU574">
        <v>60</v>
      </c>
      <c r="JV574">
        <v>30</v>
      </c>
      <c r="KF574" t="s">
        <v>1921</v>
      </c>
      <c r="KG574" s="84" t="s">
        <v>1548</v>
      </c>
      <c r="KH574" t="s">
        <v>1941</v>
      </c>
      <c r="KI574">
        <v>2</v>
      </c>
      <c r="KJ574" t="s">
        <v>1940</v>
      </c>
      <c r="KL574" s="8" t="s">
        <v>1943</v>
      </c>
      <c r="KM574" t="s">
        <v>1944</v>
      </c>
      <c r="KN574">
        <v>3</v>
      </c>
      <c r="KP574" s="8" t="s">
        <v>1922</v>
      </c>
      <c r="KQ574" t="s">
        <v>234</v>
      </c>
      <c r="KR574" t="s">
        <v>234</v>
      </c>
      <c r="KT574" t="s">
        <v>1923</v>
      </c>
      <c r="KU574" t="s">
        <v>234</v>
      </c>
      <c r="KV574" t="s">
        <v>234</v>
      </c>
      <c r="LU574" t="s">
        <v>1945</v>
      </c>
      <c r="LZ574" t="s">
        <v>1925</v>
      </c>
      <c r="MA574">
        <v>225</v>
      </c>
      <c r="MB574" s="4" t="s">
        <v>29</v>
      </c>
      <c r="MJ574" s="58">
        <v>43362</v>
      </c>
      <c r="MK574" s="58">
        <v>43362</v>
      </c>
      <c r="MZ574" t="s">
        <v>1926</v>
      </c>
      <c r="NA574" t="s">
        <v>234</v>
      </c>
      <c r="NB574" t="s">
        <v>1889</v>
      </c>
      <c r="NC574" t="s">
        <v>168</v>
      </c>
      <c r="NJ574" t="s">
        <v>1950</v>
      </c>
      <c r="NK574" t="s">
        <v>1890</v>
      </c>
      <c r="NL574" t="s">
        <v>1909</v>
      </c>
      <c r="NM574" s="4" t="s">
        <v>266</v>
      </c>
      <c r="NN574" s="6" t="s">
        <v>1913</v>
      </c>
      <c r="NV574" t="s">
        <v>1558</v>
      </c>
      <c r="NW574" t="s">
        <v>6</v>
      </c>
      <c r="NX574">
        <f ca="1">+Table1[[#This Row],[out_value]]*1000</f>
        <v>40020</v>
      </c>
      <c r="NY574" t="s">
        <v>234</v>
      </c>
      <c r="NZ574" t="s">
        <v>234</v>
      </c>
      <c r="OC574" s="3">
        <v>3</v>
      </c>
      <c r="OT574" t="s">
        <v>1924</v>
      </c>
      <c r="OU574" t="s">
        <v>6</v>
      </c>
      <c r="OW574">
        <v>2017</v>
      </c>
      <c r="OX574">
        <v>2018</v>
      </c>
      <c r="PA574" t="s">
        <v>1169</v>
      </c>
      <c r="PB574" s="58">
        <v>46129</v>
      </c>
    </row>
    <row r="575" spans="1:418" ht="15.75" thickBot="1">
      <c r="A575" t="s">
        <v>248</v>
      </c>
      <c r="B575" t="s">
        <v>1884</v>
      </c>
      <c r="C575" t="s">
        <v>1885</v>
      </c>
      <c r="D575" s="4" t="s">
        <v>1936</v>
      </c>
      <c r="E575" s="90" t="s">
        <v>1955</v>
      </c>
      <c r="F575" t="s">
        <v>31</v>
      </c>
      <c r="G575" t="s">
        <v>2</v>
      </c>
      <c r="H575" t="s">
        <v>30</v>
      </c>
      <c r="I575">
        <v>30.9</v>
      </c>
      <c r="J575">
        <v>75.75</v>
      </c>
      <c r="K575" t="s">
        <v>29</v>
      </c>
      <c r="AV575" t="s">
        <v>836</v>
      </c>
      <c r="AW575" t="s">
        <v>234</v>
      </c>
      <c r="AX575" t="s">
        <v>234</v>
      </c>
      <c r="AY575">
        <v>2</v>
      </c>
      <c r="AZ575" t="s">
        <v>1937</v>
      </c>
      <c r="BA575">
        <v>2016</v>
      </c>
      <c r="BB575">
        <v>2018</v>
      </c>
      <c r="BD575" t="s">
        <v>1891</v>
      </c>
      <c r="BE575" t="s">
        <v>1906</v>
      </c>
      <c r="BF575" t="s">
        <v>64</v>
      </c>
      <c r="BG575" t="s">
        <v>1233</v>
      </c>
      <c r="BH575" t="s">
        <v>23</v>
      </c>
      <c r="BI575" t="s">
        <v>1914</v>
      </c>
      <c r="BJ575" t="s">
        <v>13</v>
      </c>
      <c r="BK575">
        <v>20</v>
      </c>
      <c r="BL575" t="s">
        <v>275</v>
      </c>
      <c r="BM575" t="s">
        <v>1894</v>
      </c>
      <c r="BN575" t="s">
        <v>29</v>
      </c>
      <c r="BO575" t="s">
        <v>29</v>
      </c>
      <c r="BP575" t="s">
        <v>29</v>
      </c>
      <c r="BQ575" t="s">
        <v>275</v>
      </c>
      <c r="BR575" t="s">
        <v>1893</v>
      </c>
      <c r="BS575" t="s">
        <v>29</v>
      </c>
      <c r="BT575" t="s">
        <v>29</v>
      </c>
      <c r="BU575" t="s">
        <v>29</v>
      </c>
      <c r="BV575" t="s">
        <v>56</v>
      </c>
      <c r="BW575" t="s">
        <v>1174</v>
      </c>
      <c r="BX575" t="s">
        <v>29</v>
      </c>
      <c r="BY575" t="s">
        <v>29</v>
      </c>
      <c r="BZ575" t="s">
        <v>29</v>
      </c>
      <c r="HU575" s="58">
        <v>42907</v>
      </c>
      <c r="IP575" t="s">
        <v>1906</v>
      </c>
      <c r="IQ575" s="54" t="s">
        <v>1919</v>
      </c>
      <c r="IT575">
        <v>2016</v>
      </c>
      <c r="JK575" t="s">
        <v>1939</v>
      </c>
      <c r="JM575" t="s">
        <v>14</v>
      </c>
      <c r="JQ575" t="s">
        <v>13</v>
      </c>
      <c r="JR575">
        <v>125</v>
      </c>
      <c r="JU575">
        <v>60</v>
      </c>
      <c r="JV575">
        <v>30</v>
      </c>
      <c r="KF575" t="s">
        <v>1921</v>
      </c>
      <c r="KG575" s="84" t="s">
        <v>1548</v>
      </c>
      <c r="KH575" t="s">
        <v>1941</v>
      </c>
      <c r="KI575">
        <v>2</v>
      </c>
      <c r="KJ575" t="s">
        <v>1940</v>
      </c>
      <c r="KL575" s="8" t="s">
        <v>1943</v>
      </c>
      <c r="KM575" t="s">
        <v>1944</v>
      </c>
      <c r="KN575">
        <v>3</v>
      </c>
      <c r="KP575" s="8" t="s">
        <v>1922</v>
      </c>
      <c r="KQ575" t="s">
        <v>234</v>
      </c>
      <c r="KR575" t="s">
        <v>234</v>
      </c>
      <c r="KT575" t="s">
        <v>1923</v>
      </c>
      <c r="KU575" t="s">
        <v>234</v>
      </c>
      <c r="KV575" t="s">
        <v>234</v>
      </c>
      <c r="LU575" t="s">
        <v>1945</v>
      </c>
      <c r="LZ575" t="s">
        <v>1925</v>
      </c>
      <c r="MA575">
        <v>225</v>
      </c>
      <c r="MB575" s="4" t="s">
        <v>29</v>
      </c>
      <c r="MJ575" s="58">
        <v>43362</v>
      </c>
      <c r="MK575" s="58">
        <v>43362</v>
      </c>
      <c r="MZ575" t="s">
        <v>1926</v>
      </c>
      <c r="NA575" t="s">
        <v>234</v>
      </c>
      <c r="NB575" t="s">
        <v>1895</v>
      </c>
      <c r="NC575" t="s">
        <v>168</v>
      </c>
      <c r="NJ575" t="s">
        <v>1950</v>
      </c>
      <c r="NK575" t="s">
        <v>1890</v>
      </c>
      <c r="NL575" t="s">
        <v>1909</v>
      </c>
      <c r="NM575" s="4" t="s">
        <v>266</v>
      </c>
      <c r="NN575" s="6" t="s">
        <v>1913</v>
      </c>
      <c r="NW575" t="s">
        <v>6</v>
      </c>
      <c r="NX575">
        <f ca="1">+Table1[[#This Row],[out_value]]*1000</f>
        <v>41330</v>
      </c>
      <c r="NY575" t="s">
        <v>234</v>
      </c>
      <c r="NZ575" t="s">
        <v>234</v>
      </c>
      <c r="OC575" s="3">
        <v>3</v>
      </c>
      <c r="OT575" t="s">
        <v>1924</v>
      </c>
      <c r="OU575" t="s">
        <v>6</v>
      </c>
      <c r="OW575">
        <v>2017</v>
      </c>
      <c r="OX575">
        <v>2018</v>
      </c>
      <c r="PA575" t="s">
        <v>1169</v>
      </c>
      <c r="PB575" s="58">
        <v>46129</v>
      </c>
    </row>
    <row r="576" spans="1:418" ht="15.75" thickBot="1">
      <c r="A576" t="s">
        <v>248</v>
      </c>
      <c r="B576" t="s">
        <v>1884</v>
      </c>
      <c r="C576" t="s">
        <v>1885</v>
      </c>
      <c r="D576" s="4" t="s">
        <v>1936</v>
      </c>
      <c r="E576" s="90" t="s">
        <v>1955</v>
      </c>
      <c r="F576" t="s">
        <v>31</v>
      </c>
      <c r="G576" t="s">
        <v>2</v>
      </c>
      <c r="H576" t="s">
        <v>30</v>
      </c>
      <c r="I576">
        <v>30.9</v>
      </c>
      <c r="J576">
        <v>75.75</v>
      </c>
      <c r="K576" t="s">
        <v>29</v>
      </c>
      <c r="AV576" t="s">
        <v>836</v>
      </c>
      <c r="AW576" t="s">
        <v>234</v>
      </c>
      <c r="AX576" t="s">
        <v>234</v>
      </c>
      <c r="AY576">
        <v>2</v>
      </c>
      <c r="AZ576" t="s">
        <v>1937</v>
      </c>
      <c r="BA576">
        <v>2016</v>
      </c>
      <c r="BB576">
        <v>2018</v>
      </c>
      <c r="BD576" t="s">
        <v>1891</v>
      </c>
      <c r="BE576" t="s">
        <v>1951</v>
      </c>
      <c r="BF576" t="s">
        <v>57</v>
      </c>
      <c r="BG576" t="s">
        <v>1233</v>
      </c>
      <c r="BH576" t="s">
        <v>23</v>
      </c>
      <c r="BI576" t="s">
        <v>1914</v>
      </c>
      <c r="BJ576" t="s">
        <v>13</v>
      </c>
      <c r="BK576">
        <v>20</v>
      </c>
      <c r="BL576" t="s">
        <v>56</v>
      </c>
      <c r="BM576" t="s">
        <v>250</v>
      </c>
      <c r="BN576" t="s">
        <v>29</v>
      </c>
      <c r="BO576" t="s">
        <v>29</v>
      </c>
      <c r="BP576" t="s">
        <v>29</v>
      </c>
      <c r="BQ576" t="s">
        <v>275</v>
      </c>
      <c r="BR576" t="s">
        <v>1894</v>
      </c>
      <c r="BS576" t="s">
        <v>29</v>
      </c>
      <c r="BT576" t="s">
        <v>29</v>
      </c>
      <c r="BU576" t="s">
        <v>29</v>
      </c>
      <c r="BV576" t="s">
        <v>275</v>
      </c>
      <c r="BW576" t="s">
        <v>1893</v>
      </c>
      <c r="BX576" t="s">
        <v>29</v>
      </c>
      <c r="BY576" t="s">
        <v>29</v>
      </c>
      <c r="BZ576" t="s">
        <v>29</v>
      </c>
      <c r="CA576" t="s">
        <v>56</v>
      </c>
      <c r="CB576" t="s">
        <v>1174</v>
      </c>
      <c r="CC576" t="s">
        <v>29</v>
      </c>
      <c r="CD576" t="s">
        <v>29</v>
      </c>
      <c r="CE576" t="s">
        <v>29</v>
      </c>
      <c r="HU576" s="58">
        <v>42907</v>
      </c>
      <c r="IP576" t="s">
        <v>1907</v>
      </c>
      <c r="IQ576" s="54" t="s">
        <v>1919</v>
      </c>
      <c r="IT576">
        <v>2016</v>
      </c>
      <c r="JK576" t="s">
        <v>1939</v>
      </c>
      <c r="JM576" t="s">
        <v>14</v>
      </c>
      <c r="JQ576" t="s">
        <v>13</v>
      </c>
      <c r="JR576">
        <v>125</v>
      </c>
      <c r="JU576">
        <v>60</v>
      </c>
      <c r="JV576">
        <v>30</v>
      </c>
      <c r="KF576" t="s">
        <v>1921</v>
      </c>
      <c r="KG576" s="84" t="s">
        <v>1548</v>
      </c>
      <c r="KH576" t="s">
        <v>1941</v>
      </c>
      <c r="KI576">
        <v>2</v>
      </c>
      <c r="KJ576" t="s">
        <v>1940</v>
      </c>
      <c r="KL576" s="8" t="s">
        <v>1943</v>
      </c>
      <c r="KM576" t="s">
        <v>1944</v>
      </c>
      <c r="KN576">
        <v>3</v>
      </c>
      <c r="KP576" s="8" t="s">
        <v>1922</v>
      </c>
      <c r="KQ576" t="s">
        <v>234</v>
      </c>
      <c r="KR576" t="s">
        <v>234</v>
      </c>
      <c r="KT576" t="s">
        <v>1923</v>
      </c>
      <c r="KU576" t="s">
        <v>234</v>
      </c>
      <c r="KV576" t="s">
        <v>234</v>
      </c>
      <c r="LU576" t="s">
        <v>1945</v>
      </c>
      <c r="LZ576" t="s">
        <v>1925</v>
      </c>
      <c r="MA576">
        <v>225</v>
      </c>
      <c r="MB576" s="4" t="s">
        <v>29</v>
      </c>
      <c r="MJ576" s="58">
        <v>43362</v>
      </c>
      <c r="MK576" s="58">
        <v>43362</v>
      </c>
      <c r="MZ576" t="s">
        <v>1926</v>
      </c>
      <c r="NA576" t="s">
        <v>234</v>
      </c>
      <c r="NB576" t="s">
        <v>1897</v>
      </c>
      <c r="NC576" t="s">
        <v>168</v>
      </c>
      <c r="ND576" t="s">
        <v>250</v>
      </c>
      <c r="NJ576" t="s">
        <v>1950</v>
      </c>
      <c r="NK576" t="s">
        <v>1890</v>
      </c>
      <c r="NL576" t="s">
        <v>1909</v>
      </c>
      <c r="NM576" s="4" t="s">
        <v>266</v>
      </c>
      <c r="NN576" s="6" t="s">
        <v>1913</v>
      </c>
      <c r="NW576" t="s">
        <v>6</v>
      </c>
      <c r="NX576">
        <f ca="1">+Table1[[#This Row],[out_value]]*1000</f>
        <v>55730</v>
      </c>
      <c r="NY576" t="s">
        <v>234</v>
      </c>
      <c r="NZ576" t="s">
        <v>234</v>
      </c>
      <c r="OC576" s="3">
        <v>3</v>
      </c>
      <c r="OT576" t="s">
        <v>1924</v>
      </c>
      <c r="OU576" t="s">
        <v>6</v>
      </c>
      <c r="OW576">
        <v>2017</v>
      </c>
      <c r="OX576">
        <v>2018</v>
      </c>
      <c r="PA576" t="s">
        <v>1169</v>
      </c>
      <c r="PB576" s="58">
        <v>46129</v>
      </c>
    </row>
    <row r="577" spans="1:418" ht="15.75" thickBot="1">
      <c r="A577" t="s">
        <v>248</v>
      </c>
      <c r="B577" t="s">
        <v>1884</v>
      </c>
      <c r="C577" t="s">
        <v>1885</v>
      </c>
      <c r="D577" s="4" t="s">
        <v>1936</v>
      </c>
      <c r="E577" s="90" t="s">
        <v>1955</v>
      </c>
      <c r="F577" t="s">
        <v>31</v>
      </c>
      <c r="G577" t="s">
        <v>2</v>
      </c>
      <c r="H577" t="s">
        <v>30</v>
      </c>
      <c r="I577">
        <v>30.9</v>
      </c>
      <c r="J577">
        <v>75.75</v>
      </c>
      <c r="K577" t="s">
        <v>29</v>
      </c>
      <c r="AV577" t="s">
        <v>836</v>
      </c>
      <c r="AW577" t="s">
        <v>234</v>
      </c>
      <c r="AX577" t="s">
        <v>234</v>
      </c>
      <c r="AY577">
        <v>2</v>
      </c>
      <c r="AZ577" t="s">
        <v>1937</v>
      </c>
      <c r="BA577">
        <v>2016</v>
      </c>
      <c r="BB577">
        <v>2018</v>
      </c>
      <c r="BD577" t="s">
        <v>1891</v>
      </c>
      <c r="BE577" t="s">
        <v>1952</v>
      </c>
      <c r="BF577" t="s">
        <v>48</v>
      </c>
      <c r="BG577" t="s">
        <v>1233</v>
      </c>
      <c r="BH577" t="s">
        <v>23</v>
      </c>
      <c r="BI577" t="s">
        <v>1914</v>
      </c>
      <c r="BJ577" t="s">
        <v>13</v>
      </c>
      <c r="BK577">
        <v>20</v>
      </c>
      <c r="BL577" t="s">
        <v>56</v>
      </c>
      <c r="BM577" t="s">
        <v>250</v>
      </c>
      <c r="BN577" t="s">
        <v>29</v>
      </c>
      <c r="BO577" t="s">
        <v>29</v>
      </c>
      <c r="BP577" t="s">
        <v>29</v>
      </c>
      <c r="BQ577" t="s">
        <v>275</v>
      </c>
      <c r="BR577" t="s">
        <v>1894</v>
      </c>
      <c r="BS577" t="s">
        <v>29</v>
      </c>
      <c r="BT577" t="s">
        <v>29</v>
      </c>
      <c r="BU577" t="s">
        <v>29</v>
      </c>
      <c r="HU577" s="58">
        <v>42907</v>
      </c>
      <c r="IP577" t="s">
        <v>1898</v>
      </c>
      <c r="IQ577" s="54" t="s">
        <v>1919</v>
      </c>
      <c r="IT577">
        <v>2016</v>
      </c>
      <c r="JK577" t="s">
        <v>1939</v>
      </c>
      <c r="JM577" t="s">
        <v>14</v>
      </c>
      <c r="JQ577" t="s">
        <v>13</v>
      </c>
      <c r="JR577">
        <v>125</v>
      </c>
      <c r="JU577">
        <v>60</v>
      </c>
      <c r="JV577">
        <v>30</v>
      </c>
      <c r="KF577" t="s">
        <v>1921</v>
      </c>
      <c r="KG577" s="84" t="s">
        <v>1548</v>
      </c>
      <c r="KH577" t="s">
        <v>1941</v>
      </c>
      <c r="KI577">
        <v>2</v>
      </c>
      <c r="KJ577" t="s">
        <v>1940</v>
      </c>
      <c r="KL577" s="8" t="s">
        <v>1943</v>
      </c>
      <c r="KM577" t="s">
        <v>1944</v>
      </c>
      <c r="KN577">
        <v>3</v>
      </c>
      <c r="KP577" s="8" t="s">
        <v>1922</v>
      </c>
      <c r="KQ577" t="s">
        <v>234</v>
      </c>
      <c r="KR577" t="s">
        <v>234</v>
      </c>
      <c r="KT577" t="s">
        <v>1923</v>
      </c>
      <c r="KU577" t="s">
        <v>234</v>
      </c>
      <c r="KV577" t="s">
        <v>234</v>
      </c>
      <c r="LU577" t="s">
        <v>1945</v>
      </c>
      <c r="LZ577" t="s">
        <v>1925</v>
      </c>
      <c r="MA577">
        <v>225</v>
      </c>
      <c r="MB577" s="4" t="s">
        <v>29</v>
      </c>
      <c r="MJ577" s="58">
        <v>43362</v>
      </c>
      <c r="MK577" s="58">
        <v>43362</v>
      </c>
      <c r="MZ577" t="s">
        <v>1926</v>
      </c>
      <c r="NA577" t="s">
        <v>234</v>
      </c>
      <c r="NB577" t="s">
        <v>1899</v>
      </c>
      <c r="NC577" t="s">
        <v>168</v>
      </c>
      <c r="ND577" t="s">
        <v>250</v>
      </c>
      <c r="NJ577" t="s">
        <v>1950</v>
      </c>
      <c r="NK577" t="s">
        <v>1890</v>
      </c>
      <c r="NL577" t="s">
        <v>1909</v>
      </c>
      <c r="NM577" s="4" t="s">
        <v>266</v>
      </c>
      <c r="NN577" s="6" t="s">
        <v>1913</v>
      </c>
      <c r="NW577" t="s">
        <v>6</v>
      </c>
      <c r="NX577">
        <f ca="1">+Table1[[#This Row],[out_value]]*1000</f>
        <v>55180</v>
      </c>
      <c r="NY577" t="s">
        <v>234</v>
      </c>
      <c r="NZ577" t="s">
        <v>234</v>
      </c>
      <c r="OC577" s="3">
        <v>3</v>
      </c>
      <c r="OT577" t="s">
        <v>1924</v>
      </c>
      <c r="OU577" t="s">
        <v>6</v>
      </c>
      <c r="OW577">
        <v>2017</v>
      </c>
      <c r="OX577">
        <v>2018</v>
      </c>
      <c r="PA577" t="s">
        <v>1169</v>
      </c>
      <c r="PB577" s="58">
        <v>46129</v>
      </c>
    </row>
    <row r="578" spans="1:418" ht="15.75" thickBot="1">
      <c r="A578" t="s">
        <v>248</v>
      </c>
      <c r="B578" t="s">
        <v>1884</v>
      </c>
      <c r="C578" t="s">
        <v>1885</v>
      </c>
      <c r="D578" s="4" t="s">
        <v>1936</v>
      </c>
      <c r="E578" s="90" t="s">
        <v>1955</v>
      </c>
      <c r="F578" t="s">
        <v>31</v>
      </c>
      <c r="G578" t="s">
        <v>2</v>
      </c>
      <c r="H578" t="s">
        <v>30</v>
      </c>
      <c r="I578">
        <v>30.9</v>
      </c>
      <c r="J578">
        <v>75.75</v>
      </c>
      <c r="K578" t="s">
        <v>29</v>
      </c>
      <c r="AV578" t="s">
        <v>836</v>
      </c>
      <c r="AW578" t="s">
        <v>234</v>
      </c>
      <c r="AX578" t="s">
        <v>234</v>
      </c>
      <c r="AY578">
        <v>2</v>
      </c>
      <c r="AZ578" t="s">
        <v>1937</v>
      </c>
      <c r="BA578">
        <v>2016</v>
      </c>
      <c r="BB578">
        <v>2018</v>
      </c>
      <c r="BD578" t="s">
        <v>1891</v>
      </c>
      <c r="BE578" t="s">
        <v>1953</v>
      </c>
      <c r="BF578" t="s">
        <v>43</v>
      </c>
      <c r="BG578" t="s">
        <v>1233</v>
      </c>
      <c r="BH578" t="s">
        <v>23</v>
      </c>
      <c r="BI578" t="s">
        <v>1914</v>
      </c>
      <c r="BJ578" t="s">
        <v>13</v>
      </c>
      <c r="BK578">
        <v>20</v>
      </c>
      <c r="BL578" t="s">
        <v>56</v>
      </c>
      <c r="BM578" t="s">
        <v>250</v>
      </c>
      <c r="BN578" t="s">
        <v>29</v>
      </c>
      <c r="BO578" t="s">
        <v>29</v>
      </c>
      <c r="BP578" t="s">
        <v>29</v>
      </c>
      <c r="BQ578" t="s">
        <v>275</v>
      </c>
      <c r="BR578" t="s">
        <v>1916</v>
      </c>
      <c r="BS578" t="s">
        <v>29</v>
      </c>
      <c r="BT578" t="s">
        <v>29</v>
      </c>
      <c r="BU578" t="s">
        <v>29</v>
      </c>
      <c r="BV578" t="s">
        <v>275</v>
      </c>
      <c r="BW578" t="s">
        <v>1917</v>
      </c>
      <c r="BX578" t="s">
        <v>29</v>
      </c>
      <c r="BY578" t="s">
        <v>29</v>
      </c>
      <c r="BZ578" t="s">
        <v>29</v>
      </c>
      <c r="HU578" s="58">
        <v>42907</v>
      </c>
      <c r="IP578" t="s">
        <v>1900</v>
      </c>
      <c r="IQ578" s="54" t="s">
        <v>1919</v>
      </c>
      <c r="IT578">
        <v>2016</v>
      </c>
      <c r="JK578" t="s">
        <v>1939</v>
      </c>
      <c r="JM578" t="s">
        <v>14</v>
      </c>
      <c r="JQ578" t="s">
        <v>13</v>
      </c>
      <c r="JR578">
        <v>125</v>
      </c>
      <c r="JU578">
        <v>60</v>
      </c>
      <c r="JV578">
        <v>30</v>
      </c>
      <c r="KF578" t="s">
        <v>1921</v>
      </c>
      <c r="KG578" s="84" t="s">
        <v>1548</v>
      </c>
      <c r="KH578" t="s">
        <v>1941</v>
      </c>
      <c r="KI578">
        <v>2</v>
      </c>
      <c r="KJ578" t="s">
        <v>1940</v>
      </c>
      <c r="KL578" s="8" t="s">
        <v>1943</v>
      </c>
      <c r="KM578" t="s">
        <v>1944</v>
      </c>
      <c r="KN578">
        <v>3</v>
      </c>
      <c r="KP578" s="8" t="s">
        <v>1922</v>
      </c>
      <c r="KQ578" t="s">
        <v>234</v>
      </c>
      <c r="KR578" t="s">
        <v>234</v>
      </c>
      <c r="KT578" t="s">
        <v>1923</v>
      </c>
      <c r="KU578" t="s">
        <v>234</v>
      </c>
      <c r="KV578" t="s">
        <v>234</v>
      </c>
      <c r="LU578" t="s">
        <v>1945</v>
      </c>
      <c r="LZ578" t="s">
        <v>1925</v>
      </c>
      <c r="MA578">
        <v>225</v>
      </c>
      <c r="MB578" s="4" t="s">
        <v>29</v>
      </c>
      <c r="MJ578" s="58">
        <v>43362</v>
      </c>
      <c r="MK578" s="58">
        <v>43362</v>
      </c>
      <c r="MZ578" t="s">
        <v>1926</v>
      </c>
      <c r="NA578" t="s">
        <v>234</v>
      </c>
      <c r="NB578" t="s">
        <v>1901</v>
      </c>
      <c r="NC578" t="s">
        <v>168</v>
      </c>
      <c r="ND578" t="s">
        <v>250</v>
      </c>
      <c r="NJ578" t="s">
        <v>1950</v>
      </c>
      <c r="NK578" t="s">
        <v>1890</v>
      </c>
      <c r="NL578" t="s">
        <v>1909</v>
      </c>
      <c r="NM578" s="4" t="s">
        <v>266</v>
      </c>
      <c r="NN578" s="6" t="s">
        <v>1913</v>
      </c>
      <c r="NW578" t="s">
        <v>6</v>
      </c>
      <c r="NX578">
        <f ca="1">+Table1[[#This Row],[out_value]]*1000</f>
        <v>57470</v>
      </c>
      <c r="NY578" t="s">
        <v>234</v>
      </c>
      <c r="NZ578" t="s">
        <v>234</v>
      </c>
      <c r="OC578" s="3">
        <v>3</v>
      </c>
      <c r="OT578" t="s">
        <v>1924</v>
      </c>
      <c r="OU578" t="s">
        <v>6</v>
      </c>
      <c r="OW578">
        <v>2017</v>
      </c>
      <c r="OX578">
        <v>2018</v>
      </c>
      <c r="PA578" t="s">
        <v>1169</v>
      </c>
      <c r="PB578" s="58">
        <v>46129</v>
      </c>
    </row>
    <row r="579" spans="1:418" ht="15.75" thickBot="1">
      <c r="A579" t="s">
        <v>248</v>
      </c>
      <c r="B579" t="s">
        <v>1884</v>
      </c>
      <c r="C579" t="s">
        <v>1885</v>
      </c>
      <c r="D579" s="4" t="s">
        <v>1936</v>
      </c>
      <c r="E579" s="90" t="s">
        <v>1955</v>
      </c>
      <c r="F579" t="s">
        <v>31</v>
      </c>
      <c r="G579" t="s">
        <v>2</v>
      </c>
      <c r="H579" t="s">
        <v>30</v>
      </c>
      <c r="I579">
        <v>30.9</v>
      </c>
      <c r="J579">
        <v>75.75</v>
      </c>
      <c r="K579" t="s">
        <v>29</v>
      </c>
      <c r="AV579" t="s">
        <v>836</v>
      </c>
      <c r="AW579" t="s">
        <v>234</v>
      </c>
      <c r="AX579" t="s">
        <v>234</v>
      </c>
      <c r="AY579">
        <v>2</v>
      </c>
      <c r="AZ579" t="s">
        <v>1937</v>
      </c>
      <c r="BA579">
        <v>2016</v>
      </c>
      <c r="BB579">
        <v>2018</v>
      </c>
      <c r="BD579" t="s">
        <v>1891</v>
      </c>
      <c r="BE579" s="3" t="s">
        <v>1902</v>
      </c>
      <c r="BF579" t="s">
        <v>252</v>
      </c>
      <c r="BG579" t="s">
        <v>1233</v>
      </c>
      <c r="BH579" t="s">
        <v>23</v>
      </c>
      <c r="BI579" t="s">
        <v>1914</v>
      </c>
      <c r="BJ579" t="s">
        <v>13</v>
      </c>
      <c r="BK579">
        <v>20</v>
      </c>
      <c r="BL579" t="s">
        <v>275</v>
      </c>
      <c r="BM579" t="s">
        <v>1918</v>
      </c>
      <c r="BN579" t="s">
        <v>29</v>
      </c>
      <c r="BO579" t="s">
        <v>29</v>
      </c>
      <c r="BP579" t="s">
        <v>29</v>
      </c>
      <c r="BQ579" t="s">
        <v>275</v>
      </c>
      <c r="BR579" t="s">
        <v>1916</v>
      </c>
      <c r="BS579" t="s">
        <v>29</v>
      </c>
      <c r="BT579" t="s">
        <v>29</v>
      </c>
      <c r="BU579" t="s">
        <v>29</v>
      </c>
      <c r="BV579" t="s">
        <v>275</v>
      </c>
      <c r="BW579" t="s">
        <v>1917</v>
      </c>
      <c r="BX579" t="s">
        <v>29</v>
      </c>
      <c r="BY579" t="s">
        <v>29</v>
      </c>
      <c r="BZ579" t="s">
        <v>29</v>
      </c>
      <c r="HU579" s="58">
        <v>42907</v>
      </c>
      <c r="IP579" t="s">
        <v>1902</v>
      </c>
      <c r="IQ579" s="54" t="s">
        <v>1919</v>
      </c>
      <c r="IT579">
        <v>2016</v>
      </c>
      <c r="JK579" t="s">
        <v>1939</v>
      </c>
      <c r="JM579" t="s">
        <v>14</v>
      </c>
      <c r="JQ579" t="s">
        <v>13</v>
      </c>
      <c r="JR579">
        <v>125</v>
      </c>
      <c r="JU579">
        <v>60</v>
      </c>
      <c r="JV579">
        <v>30</v>
      </c>
      <c r="KF579" t="s">
        <v>1921</v>
      </c>
      <c r="KG579" s="84" t="s">
        <v>1548</v>
      </c>
      <c r="KH579" t="s">
        <v>1941</v>
      </c>
      <c r="KI579">
        <v>2</v>
      </c>
      <c r="KJ579" t="s">
        <v>1940</v>
      </c>
      <c r="KL579" s="8" t="s">
        <v>1943</v>
      </c>
      <c r="KM579" t="s">
        <v>1944</v>
      </c>
      <c r="KN579">
        <v>3</v>
      </c>
      <c r="KP579" s="8" t="s">
        <v>1922</v>
      </c>
      <c r="KQ579" t="s">
        <v>234</v>
      </c>
      <c r="KR579" t="s">
        <v>234</v>
      </c>
      <c r="KT579" t="s">
        <v>1923</v>
      </c>
      <c r="KU579" t="s">
        <v>234</v>
      </c>
      <c r="KV579" t="s">
        <v>234</v>
      </c>
      <c r="LU579" t="s">
        <v>1945</v>
      </c>
      <c r="LZ579" t="s">
        <v>1925</v>
      </c>
      <c r="MA579">
        <v>225</v>
      </c>
      <c r="MB579" s="4" t="s">
        <v>29</v>
      </c>
      <c r="MJ579" s="58">
        <v>43362</v>
      </c>
      <c r="MK579" s="58">
        <v>43362</v>
      </c>
      <c r="MZ579" t="s">
        <v>1926</v>
      </c>
      <c r="NA579" t="s">
        <v>234</v>
      </c>
      <c r="NB579" t="s">
        <v>1903</v>
      </c>
      <c r="NC579" t="s">
        <v>168</v>
      </c>
      <c r="NJ579" t="s">
        <v>1950</v>
      </c>
      <c r="NK579" t="s">
        <v>1890</v>
      </c>
      <c r="NL579" t="s">
        <v>1909</v>
      </c>
      <c r="NM579" s="4" t="s">
        <v>266</v>
      </c>
      <c r="NN579" s="6" t="s">
        <v>1913</v>
      </c>
      <c r="NW579" t="s">
        <v>6</v>
      </c>
      <c r="NX579">
        <f ca="1">+Table1[[#This Row],[out_value]]*1000</f>
        <v>41390</v>
      </c>
      <c r="NY579" t="s">
        <v>234</v>
      </c>
      <c r="NZ579" t="s">
        <v>234</v>
      </c>
      <c r="OC579" s="3">
        <v>3</v>
      </c>
      <c r="OT579" t="s">
        <v>1924</v>
      </c>
      <c r="OU579" t="s">
        <v>6</v>
      </c>
      <c r="OW579">
        <v>2017</v>
      </c>
      <c r="OX579">
        <v>2018</v>
      </c>
      <c r="PA579" t="s">
        <v>1169</v>
      </c>
      <c r="PB579" s="58">
        <v>46129</v>
      </c>
    </row>
    <row r="580" spans="1:418" ht="15.75" thickBot="1">
      <c r="A580" t="s">
        <v>248</v>
      </c>
      <c r="B580" t="s">
        <v>1884</v>
      </c>
      <c r="C580" t="s">
        <v>1885</v>
      </c>
      <c r="D580" s="4" t="s">
        <v>1936</v>
      </c>
      <c r="E580" s="90" t="s">
        <v>1955</v>
      </c>
      <c r="F580" t="s">
        <v>31</v>
      </c>
      <c r="G580" t="s">
        <v>2</v>
      </c>
      <c r="H580" t="s">
        <v>30</v>
      </c>
      <c r="I580">
        <v>30.9</v>
      </c>
      <c r="J580">
        <v>75.75</v>
      </c>
      <c r="K580" t="s">
        <v>29</v>
      </c>
      <c r="AV580" t="s">
        <v>836</v>
      </c>
      <c r="AW580" t="s">
        <v>234</v>
      </c>
      <c r="AX580" t="s">
        <v>234</v>
      </c>
      <c r="AY580">
        <v>2</v>
      </c>
      <c r="AZ580" t="s">
        <v>1937</v>
      </c>
      <c r="BA580">
        <v>2016</v>
      </c>
      <c r="BB580">
        <v>2018</v>
      </c>
      <c r="BD580" t="s">
        <v>1891</v>
      </c>
      <c r="BE580" s="15" t="s">
        <v>1954</v>
      </c>
      <c r="BF580" t="s">
        <v>236</v>
      </c>
      <c r="BG580" t="s">
        <v>1233</v>
      </c>
      <c r="BH580" t="s">
        <v>23</v>
      </c>
      <c r="BI580" t="s">
        <v>1914</v>
      </c>
      <c r="BJ580" t="s">
        <v>13</v>
      </c>
      <c r="BK580">
        <v>20</v>
      </c>
      <c r="BL580" t="s">
        <v>56</v>
      </c>
      <c r="BM580" t="s">
        <v>250</v>
      </c>
      <c r="BN580" t="s">
        <v>29</v>
      </c>
      <c r="BO580" t="s">
        <v>29</v>
      </c>
      <c r="BP580" t="s">
        <v>29</v>
      </c>
      <c r="BQ580" t="s">
        <v>275</v>
      </c>
      <c r="BR580" t="s">
        <v>1918</v>
      </c>
      <c r="BS580" t="s">
        <v>29</v>
      </c>
      <c r="BT580" t="s">
        <v>29</v>
      </c>
      <c r="BU580" t="s">
        <v>29</v>
      </c>
      <c r="BV580" t="s">
        <v>275</v>
      </c>
      <c r="BW580" t="s">
        <v>1916</v>
      </c>
      <c r="BX580" t="s">
        <v>29</v>
      </c>
      <c r="BY580" t="s">
        <v>29</v>
      </c>
      <c r="BZ580" t="s">
        <v>29</v>
      </c>
      <c r="CA580" t="s">
        <v>275</v>
      </c>
      <c r="CB580" t="s">
        <v>1917</v>
      </c>
      <c r="CC580" t="s">
        <v>29</v>
      </c>
      <c r="CD580" t="s">
        <v>29</v>
      </c>
      <c r="CE580" t="s">
        <v>29</v>
      </c>
      <c r="HU580" s="58">
        <v>42907</v>
      </c>
      <c r="IP580" t="s">
        <v>1904</v>
      </c>
      <c r="IQ580" s="54" t="s">
        <v>1919</v>
      </c>
      <c r="IT580">
        <v>2016</v>
      </c>
      <c r="JK580" t="s">
        <v>1939</v>
      </c>
      <c r="JM580" t="s">
        <v>14</v>
      </c>
      <c r="JQ580" t="s">
        <v>13</v>
      </c>
      <c r="JR580">
        <v>125</v>
      </c>
      <c r="JU580">
        <v>60</v>
      </c>
      <c r="JV580">
        <v>30</v>
      </c>
      <c r="KF580" t="s">
        <v>1921</v>
      </c>
      <c r="KG580" s="84" t="s">
        <v>1548</v>
      </c>
      <c r="KH580" t="s">
        <v>1941</v>
      </c>
      <c r="KI580">
        <v>2</v>
      </c>
      <c r="KJ580" t="s">
        <v>1940</v>
      </c>
      <c r="KL580" s="8" t="s">
        <v>1943</v>
      </c>
      <c r="KM580" t="s">
        <v>1944</v>
      </c>
      <c r="KN580">
        <v>3</v>
      </c>
      <c r="KP580" s="8" t="s">
        <v>1922</v>
      </c>
      <c r="KQ580" t="s">
        <v>234</v>
      </c>
      <c r="KR580" t="s">
        <v>234</v>
      </c>
      <c r="KT580" t="s">
        <v>1923</v>
      </c>
      <c r="KU580" t="s">
        <v>234</v>
      </c>
      <c r="KV580" t="s">
        <v>234</v>
      </c>
      <c r="LU580" t="s">
        <v>1945</v>
      </c>
      <c r="LZ580" t="s">
        <v>1925</v>
      </c>
      <c r="MA580">
        <v>225</v>
      </c>
      <c r="MB580" s="4" t="s">
        <v>29</v>
      </c>
      <c r="MJ580" s="58">
        <v>43362</v>
      </c>
      <c r="MK580" s="58">
        <v>43362</v>
      </c>
      <c r="MZ580" t="s">
        <v>1926</v>
      </c>
      <c r="NA580" t="s">
        <v>234</v>
      </c>
      <c r="NB580" t="s">
        <v>1905</v>
      </c>
      <c r="NC580" t="s">
        <v>168</v>
      </c>
      <c r="ND580" t="s">
        <v>250</v>
      </c>
      <c r="NJ580" t="s">
        <v>1950</v>
      </c>
      <c r="NK580" t="s">
        <v>1890</v>
      </c>
      <c r="NL580" t="s">
        <v>1909</v>
      </c>
      <c r="NM580" s="4" t="s">
        <v>266</v>
      </c>
      <c r="NN580" s="6" t="s">
        <v>1913</v>
      </c>
      <c r="NW580" t="s">
        <v>6</v>
      </c>
      <c r="NX580">
        <f ca="1">+Table1[[#This Row],[out_value]]*1000</f>
        <v>58090</v>
      </c>
      <c r="NY580" t="s">
        <v>234</v>
      </c>
      <c r="NZ580" t="s">
        <v>234</v>
      </c>
      <c r="OC580" s="3">
        <v>3</v>
      </c>
      <c r="OT580" t="s">
        <v>1924</v>
      </c>
      <c r="OU580" t="s">
        <v>6</v>
      </c>
      <c r="OW580">
        <v>2017</v>
      </c>
      <c r="OX580">
        <v>2018</v>
      </c>
      <c r="PA580" t="s">
        <v>1169</v>
      </c>
      <c r="PB580" s="58">
        <v>46129</v>
      </c>
    </row>
    <row r="581" spans="1:418" ht="15.75" thickBot="1">
      <c r="A581" t="s">
        <v>248</v>
      </c>
      <c r="B581" t="s">
        <v>1884</v>
      </c>
      <c r="C581" t="s">
        <v>1885</v>
      </c>
      <c r="D581" s="4" t="s">
        <v>1936</v>
      </c>
      <c r="E581" s="90" t="s">
        <v>1955</v>
      </c>
      <c r="F581" t="s">
        <v>31</v>
      </c>
      <c r="G581" t="s">
        <v>2</v>
      </c>
      <c r="H581" t="s">
        <v>30</v>
      </c>
      <c r="I581">
        <v>30.9</v>
      </c>
      <c r="J581">
        <v>75.75</v>
      </c>
      <c r="K581" t="s">
        <v>29</v>
      </c>
      <c r="AV581" t="s">
        <v>836</v>
      </c>
      <c r="AW581" t="s">
        <v>234</v>
      </c>
      <c r="AX581" t="s">
        <v>234</v>
      </c>
      <c r="AY581">
        <v>2</v>
      </c>
      <c r="AZ581" t="s">
        <v>1937</v>
      </c>
      <c r="BA581">
        <v>2016</v>
      </c>
      <c r="BB581">
        <v>2018</v>
      </c>
      <c r="BD581" t="s">
        <v>1886</v>
      </c>
      <c r="BE581" t="s">
        <v>1887</v>
      </c>
      <c r="BF581" t="s">
        <v>39</v>
      </c>
      <c r="BG581" t="s">
        <v>1233</v>
      </c>
      <c r="BH581" t="s">
        <v>23</v>
      </c>
      <c r="BI581" t="s">
        <v>1914</v>
      </c>
      <c r="BJ581" t="s">
        <v>13</v>
      </c>
      <c r="BK581">
        <v>20</v>
      </c>
      <c r="BL581" t="s">
        <v>275</v>
      </c>
      <c r="BM581" t="s">
        <v>1888</v>
      </c>
      <c r="BN581" t="s">
        <v>29</v>
      </c>
      <c r="BO581" t="s">
        <v>29</v>
      </c>
      <c r="BP581" t="s">
        <v>29</v>
      </c>
      <c r="HU581" s="58">
        <v>42539</v>
      </c>
      <c r="IP581" t="s">
        <v>1887</v>
      </c>
      <c r="IQ581" s="54" t="s">
        <v>1920</v>
      </c>
      <c r="IT581">
        <v>2016</v>
      </c>
      <c r="JK581" t="s">
        <v>1939</v>
      </c>
      <c r="JM581" t="s">
        <v>14</v>
      </c>
      <c r="JQ581" t="s">
        <v>13</v>
      </c>
      <c r="JR581">
        <v>125</v>
      </c>
      <c r="JU581">
        <v>60</v>
      </c>
      <c r="JV581">
        <v>30</v>
      </c>
      <c r="KF581" t="s">
        <v>1921</v>
      </c>
      <c r="KG581" s="84" t="s">
        <v>1548</v>
      </c>
      <c r="KH581" t="s">
        <v>1941</v>
      </c>
      <c r="KI581">
        <v>2</v>
      </c>
      <c r="KJ581" t="s">
        <v>1940</v>
      </c>
      <c r="KL581" s="8" t="s">
        <v>1943</v>
      </c>
      <c r="KM581" t="s">
        <v>1944</v>
      </c>
      <c r="KN581">
        <v>3</v>
      </c>
      <c r="KP581" s="8" t="s">
        <v>1922</v>
      </c>
      <c r="KQ581" t="s">
        <v>234</v>
      </c>
      <c r="KR581" t="s">
        <v>234</v>
      </c>
      <c r="KT581" t="s">
        <v>1923</v>
      </c>
      <c r="KU581" t="s">
        <v>234</v>
      </c>
      <c r="KV581" t="s">
        <v>234</v>
      </c>
      <c r="LU581" t="s">
        <v>1945</v>
      </c>
      <c r="LZ581" t="s">
        <v>1925</v>
      </c>
      <c r="MA581">
        <v>206.25</v>
      </c>
      <c r="MB581" s="4" t="s">
        <v>29</v>
      </c>
      <c r="MJ581" s="58">
        <v>42997</v>
      </c>
      <c r="MK581" s="58">
        <v>42997</v>
      </c>
      <c r="MZ581" t="s">
        <v>1926</v>
      </c>
      <c r="NA581" t="s">
        <v>234</v>
      </c>
      <c r="NB581" t="s">
        <v>1889</v>
      </c>
      <c r="NC581" t="s">
        <v>168</v>
      </c>
      <c r="NJ581" t="s">
        <v>1950</v>
      </c>
      <c r="NK581" t="s">
        <v>1908</v>
      </c>
      <c r="NL581" t="s">
        <v>1911</v>
      </c>
      <c r="NM581" s="4" t="s">
        <v>1912</v>
      </c>
      <c r="NN581" s="6"/>
      <c r="NV581" t="s">
        <v>1558</v>
      </c>
      <c r="NW581" t="s">
        <v>6</v>
      </c>
      <c r="NX581">
        <v>1.06</v>
      </c>
      <c r="NY581" t="s">
        <v>234</v>
      </c>
      <c r="NZ581" t="s">
        <v>234</v>
      </c>
      <c r="OC581" s="15">
        <v>3</v>
      </c>
      <c r="OT581" t="s">
        <v>1924</v>
      </c>
      <c r="OU581" t="s">
        <v>6</v>
      </c>
      <c r="OW581">
        <v>2016</v>
      </c>
      <c r="OX581">
        <v>2017</v>
      </c>
      <c r="PA581" t="s">
        <v>1169</v>
      </c>
      <c r="PB581" s="58">
        <v>46129</v>
      </c>
    </row>
    <row r="582" spans="1:418" ht="15.75" thickBot="1">
      <c r="A582" t="s">
        <v>248</v>
      </c>
      <c r="B582" t="s">
        <v>1884</v>
      </c>
      <c r="C582" t="s">
        <v>1885</v>
      </c>
      <c r="D582" s="4" t="s">
        <v>1936</v>
      </c>
      <c r="E582" s="90" t="s">
        <v>1955</v>
      </c>
      <c r="F582" t="s">
        <v>31</v>
      </c>
      <c r="G582" t="s">
        <v>2</v>
      </c>
      <c r="H582" t="s">
        <v>30</v>
      </c>
      <c r="I582">
        <v>30.9</v>
      </c>
      <c r="J582">
        <v>75.75</v>
      </c>
      <c r="K582" t="s">
        <v>29</v>
      </c>
      <c r="AV582" t="s">
        <v>836</v>
      </c>
      <c r="AW582" t="s">
        <v>234</v>
      </c>
      <c r="AX582" t="s">
        <v>234</v>
      </c>
      <c r="AY582">
        <v>2</v>
      </c>
      <c r="AZ582" t="s">
        <v>1937</v>
      </c>
      <c r="BA582">
        <v>2016</v>
      </c>
      <c r="BB582">
        <v>2018</v>
      </c>
      <c r="BD582" t="s">
        <v>1891</v>
      </c>
      <c r="BE582" t="s">
        <v>1906</v>
      </c>
      <c r="BF582" t="s">
        <v>64</v>
      </c>
      <c r="BG582" t="s">
        <v>1233</v>
      </c>
      <c r="BH582" t="s">
        <v>23</v>
      </c>
      <c r="BI582" t="s">
        <v>1914</v>
      </c>
      <c r="BJ582" t="s">
        <v>13</v>
      </c>
      <c r="BK582">
        <v>20</v>
      </c>
      <c r="BL582" t="s">
        <v>275</v>
      </c>
      <c r="BM582" t="s">
        <v>1894</v>
      </c>
      <c r="BN582" t="s">
        <v>29</v>
      </c>
      <c r="BO582" t="s">
        <v>29</v>
      </c>
      <c r="BP582" t="s">
        <v>29</v>
      </c>
      <c r="BQ582" t="s">
        <v>275</v>
      </c>
      <c r="BR582" t="s">
        <v>1893</v>
      </c>
      <c r="BS582" t="s">
        <v>29</v>
      </c>
      <c r="BT582" t="s">
        <v>29</v>
      </c>
      <c r="BU582" t="s">
        <v>29</v>
      </c>
      <c r="BV582" t="s">
        <v>56</v>
      </c>
      <c r="BW582" t="s">
        <v>1174</v>
      </c>
      <c r="BX582" t="s">
        <v>29</v>
      </c>
      <c r="BY582" t="s">
        <v>29</v>
      </c>
      <c r="BZ582" t="s">
        <v>29</v>
      </c>
      <c r="EJ582" s="9"/>
      <c r="EK582" s="9"/>
      <c r="EL582" s="9"/>
      <c r="EM582" s="9"/>
      <c r="EN582" s="9"/>
      <c r="EO582" s="9"/>
      <c r="EP582" s="9"/>
      <c r="EQ582" s="9"/>
      <c r="ER582" s="9"/>
      <c r="ES582" s="9"/>
      <c r="ET582" s="9"/>
      <c r="EU582" s="9"/>
      <c r="EV582" s="9"/>
      <c r="EW582" s="9"/>
      <c r="EX582" s="9"/>
      <c r="EY582" s="9"/>
      <c r="EZ582" s="9"/>
      <c r="FA582" s="9"/>
      <c r="FB582" s="9"/>
      <c r="FC582" s="9"/>
      <c r="FD582" s="9"/>
      <c r="FE582" s="9"/>
      <c r="FF582" s="9"/>
      <c r="FG582" s="9"/>
      <c r="FH582" s="9"/>
      <c r="FI582" s="9"/>
      <c r="FJ582" s="9"/>
      <c r="FK582" s="9"/>
      <c r="FL582" s="9"/>
      <c r="FM582" s="9"/>
      <c r="FN582" s="9"/>
      <c r="FO582" s="9"/>
      <c r="FP582" s="9"/>
      <c r="FQ582" s="9"/>
      <c r="FR582" s="9"/>
      <c r="FS582" s="9"/>
      <c r="FT582" s="9"/>
      <c r="FU582" s="9"/>
      <c r="FV582" s="9"/>
      <c r="FW582" s="9"/>
      <c r="FX582" s="9"/>
      <c r="FY582" s="9"/>
      <c r="FZ582" s="9"/>
      <c r="GA582" s="9"/>
      <c r="GB582" s="9"/>
      <c r="GC582" s="9"/>
      <c r="GD582" s="9"/>
      <c r="GE582" s="9"/>
      <c r="GF582" s="9"/>
      <c r="GG582" s="9"/>
      <c r="GH582" s="9"/>
      <c r="GI582" s="9"/>
      <c r="GJ582" s="9"/>
      <c r="GK582" s="9"/>
      <c r="GL582" s="9"/>
      <c r="GM582" s="9"/>
      <c r="GN582" s="9"/>
      <c r="GO582" s="9"/>
      <c r="GP582" s="9"/>
      <c r="GQ582" s="9"/>
      <c r="GR582" s="9"/>
      <c r="GS582" s="9"/>
      <c r="GT582" s="9"/>
      <c r="GU582" s="9"/>
      <c r="GV582" s="9"/>
      <c r="GW582" s="9"/>
      <c r="GX582" s="9"/>
      <c r="GY582" s="9"/>
      <c r="GZ582" s="9"/>
      <c r="HA582" s="9"/>
      <c r="HB582" s="9"/>
      <c r="HC582" s="9"/>
      <c r="HD582" s="9"/>
      <c r="HE582" s="9"/>
      <c r="HF582" s="9"/>
      <c r="HG582" s="9"/>
      <c r="HH582" s="9"/>
      <c r="HI582" s="9"/>
      <c r="HJ582" s="9"/>
      <c r="HK582" s="9"/>
      <c r="HL582" s="9"/>
      <c r="HM582" s="9"/>
      <c r="HU582" s="58">
        <v>42539</v>
      </c>
      <c r="IP582" t="s">
        <v>1892</v>
      </c>
      <c r="IQ582" s="54" t="s">
        <v>1919</v>
      </c>
      <c r="IT582">
        <v>2016</v>
      </c>
      <c r="JK582" t="s">
        <v>1939</v>
      </c>
      <c r="JM582" t="s">
        <v>14</v>
      </c>
      <c r="JQ582" t="s">
        <v>13</v>
      </c>
      <c r="JR582">
        <v>125</v>
      </c>
      <c r="JU582">
        <v>60</v>
      </c>
      <c r="JV582">
        <v>30</v>
      </c>
      <c r="KF582" t="s">
        <v>1921</v>
      </c>
      <c r="KG582" s="84" t="s">
        <v>1548</v>
      </c>
      <c r="KH582" t="s">
        <v>1941</v>
      </c>
      <c r="KI582">
        <v>2</v>
      </c>
      <c r="KJ582" t="s">
        <v>1940</v>
      </c>
      <c r="KL582" s="8" t="s">
        <v>1943</v>
      </c>
      <c r="KM582" t="s">
        <v>1944</v>
      </c>
      <c r="KN582">
        <v>3</v>
      </c>
      <c r="KP582" s="8" t="s">
        <v>1922</v>
      </c>
      <c r="KQ582" t="s">
        <v>234</v>
      </c>
      <c r="KR582" t="s">
        <v>234</v>
      </c>
      <c r="KT582" t="s">
        <v>1923</v>
      </c>
      <c r="KU582" t="s">
        <v>234</v>
      </c>
      <c r="KV582" t="s">
        <v>234</v>
      </c>
      <c r="LU582" t="s">
        <v>1945</v>
      </c>
      <c r="LZ582" t="s">
        <v>1925</v>
      </c>
      <c r="MA582">
        <v>206.25</v>
      </c>
      <c r="MB582" s="4" t="s">
        <v>29</v>
      </c>
      <c r="MJ582" s="58">
        <v>42997</v>
      </c>
      <c r="MK582" s="58">
        <v>42997</v>
      </c>
      <c r="MZ582" t="s">
        <v>1926</v>
      </c>
      <c r="NA582" t="s">
        <v>234</v>
      </c>
      <c r="NB582" t="s">
        <v>1895</v>
      </c>
      <c r="NC582" t="s">
        <v>168</v>
      </c>
      <c r="NJ582" t="s">
        <v>1950</v>
      </c>
      <c r="NK582" t="s">
        <v>1908</v>
      </c>
      <c r="NL582" t="s">
        <v>1911</v>
      </c>
      <c r="NM582" s="4" t="s">
        <v>1912</v>
      </c>
      <c r="NN582" s="6"/>
      <c r="NW582" t="s">
        <v>6</v>
      </c>
      <c r="NX582">
        <v>1.06</v>
      </c>
      <c r="NY582" t="s">
        <v>234</v>
      </c>
      <c r="NZ582" t="s">
        <v>234</v>
      </c>
      <c r="OC582" s="15">
        <v>3</v>
      </c>
      <c r="OT582" t="s">
        <v>1924</v>
      </c>
      <c r="OU582" t="s">
        <v>6</v>
      </c>
      <c r="OW582">
        <v>2016</v>
      </c>
      <c r="OX582">
        <v>2017</v>
      </c>
      <c r="PA582" t="s">
        <v>1169</v>
      </c>
      <c r="PB582" s="58">
        <v>46129</v>
      </c>
    </row>
    <row r="583" spans="1:418" ht="15.75" thickBot="1">
      <c r="A583" t="s">
        <v>248</v>
      </c>
      <c r="B583" t="s">
        <v>1884</v>
      </c>
      <c r="C583" t="s">
        <v>1885</v>
      </c>
      <c r="D583" s="4" t="s">
        <v>1936</v>
      </c>
      <c r="E583" s="90" t="s">
        <v>1955</v>
      </c>
      <c r="F583" t="s">
        <v>31</v>
      </c>
      <c r="G583" t="s">
        <v>2</v>
      </c>
      <c r="H583" t="s">
        <v>30</v>
      </c>
      <c r="I583">
        <v>30.9</v>
      </c>
      <c r="J583">
        <v>75.75</v>
      </c>
      <c r="K583" t="s">
        <v>29</v>
      </c>
      <c r="AV583" t="s">
        <v>836</v>
      </c>
      <c r="AW583" t="s">
        <v>234</v>
      </c>
      <c r="AX583" t="s">
        <v>234</v>
      </c>
      <c r="AY583">
        <v>2</v>
      </c>
      <c r="AZ583" t="s">
        <v>1937</v>
      </c>
      <c r="BA583">
        <v>2016</v>
      </c>
      <c r="BB583">
        <v>2018</v>
      </c>
      <c r="BD583" t="s">
        <v>1891</v>
      </c>
      <c r="BE583" t="s">
        <v>1951</v>
      </c>
      <c r="BF583" t="s">
        <v>57</v>
      </c>
      <c r="BG583" t="s">
        <v>1233</v>
      </c>
      <c r="BH583" t="s">
        <v>23</v>
      </c>
      <c r="BI583" t="s">
        <v>1914</v>
      </c>
      <c r="BJ583" t="s">
        <v>13</v>
      </c>
      <c r="BK583">
        <v>20</v>
      </c>
      <c r="BL583" t="s">
        <v>56</v>
      </c>
      <c r="BM583" t="s">
        <v>250</v>
      </c>
      <c r="BN583" t="s">
        <v>29</v>
      </c>
      <c r="BO583" t="s">
        <v>29</v>
      </c>
      <c r="BP583" t="s">
        <v>29</v>
      </c>
      <c r="BQ583" t="s">
        <v>275</v>
      </c>
      <c r="BR583" t="s">
        <v>1894</v>
      </c>
      <c r="BS583" t="s">
        <v>29</v>
      </c>
      <c r="BT583" t="s">
        <v>29</v>
      </c>
      <c r="BU583" t="s">
        <v>29</v>
      </c>
      <c r="BV583" t="s">
        <v>275</v>
      </c>
      <c r="BW583" t="s">
        <v>1893</v>
      </c>
      <c r="BX583" t="s">
        <v>29</v>
      </c>
      <c r="BY583" t="s">
        <v>29</v>
      </c>
      <c r="BZ583" t="s">
        <v>29</v>
      </c>
      <c r="CA583" t="s">
        <v>56</v>
      </c>
      <c r="CB583" t="s">
        <v>1174</v>
      </c>
      <c r="CC583" t="s">
        <v>29</v>
      </c>
      <c r="CD583" t="s">
        <v>29</v>
      </c>
      <c r="CE583" t="s">
        <v>29</v>
      </c>
      <c r="EJ583" s="9"/>
      <c r="EK583" s="9"/>
      <c r="EL583" s="9"/>
      <c r="EM583" s="9"/>
      <c r="EN583" s="9"/>
      <c r="EO583" s="9"/>
      <c r="EP583" s="9"/>
      <c r="EQ583" s="9"/>
      <c r="ER583" s="9"/>
      <c r="ES583" s="9"/>
      <c r="ET583" s="9"/>
      <c r="EU583" s="9"/>
      <c r="EV583" s="9"/>
      <c r="EW583" s="9"/>
      <c r="EX583" s="9"/>
      <c r="EY583" s="9"/>
      <c r="EZ583" s="9"/>
      <c r="FA583" s="9"/>
      <c r="FB583" s="9"/>
      <c r="FC583" s="9"/>
      <c r="FD583" s="9"/>
      <c r="FE583" s="9"/>
      <c r="FF583" s="9"/>
      <c r="FG583" s="9"/>
      <c r="FH583" s="9"/>
      <c r="FI583" s="9"/>
      <c r="FJ583" s="9"/>
      <c r="FK583" s="9"/>
      <c r="FL583" s="9"/>
      <c r="FM583" s="9"/>
      <c r="FN583" s="9"/>
      <c r="FO583" s="9"/>
      <c r="FP583" s="9"/>
      <c r="FQ583" s="9"/>
      <c r="FR583" s="9"/>
      <c r="FS583" s="9"/>
      <c r="FT583" s="9"/>
      <c r="FU583" s="9"/>
      <c r="FV583" s="9"/>
      <c r="FW583" s="9"/>
      <c r="FX583" s="9"/>
      <c r="FY583" s="9"/>
      <c r="FZ583" s="9"/>
      <c r="GA583" s="9"/>
      <c r="GB583" s="9"/>
      <c r="GC583" s="9"/>
      <c r="GD583" s="9"/>
      <c r="GE583" s="9"/>
      <c r="GF583" s="9"/>
      <c r="GG583" s="9"/>
      <c r="GH583" s="9"/>
      <c r="GI583" s="9"/>
      <c r="GJ583" s="9"/>
      <c r="GK583" s="9"/>
      <c r="GL583" s="9"/>
      <c r="GM583" s="9"/>
      <c r="GN583" s="9"/>
      <c r="GO583" s="9"/>
      <c r="GP583" s="9"/>
      <c r="GQ583" s="9"/>
      <c r="GR583" s="9"/>
      <c r="GS583" s="9"/>
      <c r="GT583" s="9"/>
      <c r="GU583" s="9"/>
      <c r="GV583" s="9"/>
      <c r="GW583" s="9"/>
      <c r="GX583" s="9"/>
      <c r="GY583" s="9"/>
      <c r="GZ583" s="9"/>
      <c r="HA583" s="9"/>
      <c r="HB583" s="9"/>
      <c r="HC583" s="9"/>
      <c r="HD583" s="9"/>
      <c r="HE583" s="9"/>
      <c r="HF583" s="9"/>
      <c r="HG583" s="9"/>
      <c r="HH583" s="9"/>
      <c r="HI583" s="9"/>
      <c r="HJ583" s="9"/>
      <c r="HK583" s="9"/>
      <c r="HL583" s="9"/>
      <c r="HM583" s="9"/>
      <c r="HU583" s="58">
        <v>42539</v>
      </c>
      <c r="IP583" t="s">
        <v>1896</v>
      </c>
      <c r="IQ583" s="54" t="s">
        <v>1919</v>
      </c>
      <c r="IT583">
        <v>2016</v>
      </c>
      <c r="JK583" t="s">
        <v>1939</v>
      </c>
      <c r="JM583" t="s">
        <v>14</v>
      </c>
      <c r="JQ583" t="s">
        <v>13</v>
      </c>
      <c r="JR583">
        <v>125</v>
      </c>
      <c r="JU583">
        <v>60</v>
      </c>
      <c r="JV583">
        <v>30</v>
      </c>
      <c r="KF583" t="s">
        <v>1921</v>
      </c>
      <c r="KG583" s="84" t="s">
        <v>1548</v>
      </c>
      <c r="KH583" t="s">
        <v>1941</v>
      </c>
      <c r="KI583">
        <v>2</v>
      </c>
      <c r="KJ583" t="s">
        <v>1940</v>
      </c>
      <c r="KL583" s="8" t="s">
        <v>1943</v>
      </c>
      <c r="KM583" t="s">
        <v>1944</v>
      </c>
      <c r="KN583">
        <v>3</v>
      </c>
      <c r="KP583" s="8" t="s">
        <v>1922</v>
      </c>
      <c r="KQ583" t="s">
        <v>234</v>
      </c>
      <c r="KR583" t="s">
        <v>234</v>
      </c>
      <c r="KT583" t="s">
        <v>1923</v>
      </c>
      <c r="KU583" t="s">
        <v>234</v>
      </c>
      <c r="KV583" t="s">
        <v>234</v>
      </c>
      <c r="LU583" t="s">
        <v>1945</v>
      </c>
      <c r="LZ583" t="s">
        <v>1925</v>
      </c>
      <c r="MA583">
        <v>206.25</v>
      </c>
      <c r="MB583" s="4" t="s">
        <v>29</v>
      </c>
      <c r="MJ583" s="58">
        <v>42997</v>
      </c>
      <c r="MK583" s="58">
        <v>42997</v>
      </c>
      <c r="MZ583" t="s">
        <v>1926</v>
      </c>
      <c r="NA583" t="s">
        <v>234</v>
      </c>
      <c r="NB583" t="s">
        <v>1897</v>
      </c>
      <c r="NC583" t="s">
        <v>168</v>
      </c>
      <c r="ND583" t="s">
        <v>250</v>
      </c>
      <c r="NJ583" t="s">
        <v>1950</v>
      </c>
      <c r="NK583" t="s">
        <v>1908</v>
      </c>
      <c r="NL583" t="s">
        <v>1911</v>
      </c>
      <c r="NM583" s="4" t="s">
        <v>1912</v>
      </c>
      <c r="NN583" s="6"/>
      <c r="NW583" t="s">
        <v>6</v>
      </c>
      <c r="NX583">
        <v>1.29</v>
      </c>
      <c r="NY583" t="s">
        <v>234</v>
      </c>
      <c r="NZ583" t="s">
        <v>234</v>
      </c>
      <c r="OC583" s="15">
        <v>3</v>
      </c>
      <c r="OT583" t="s">
        <v>1924</v>
      </c>
      <c r="OU583" t="s">
        <v>6</v>
      </c>
      <c r="OW583">
        <v>2016</v>
      </c>
      <c r="OX583">
        <v>2017</v>
      </c>
      <c r="PA583" t="s">
        <v>1169</v>
      </c>
      <c r="PB583" s="58">
        <v>46129</v>
      </c>
    </row>
    <row r="584" spans="1:418" ht="15.75" thickBot="1">
      <c r="A584" t="s">
        <v>248</v>
      </c>
      <c r="B584" t="s">
        <v>1884</v>
      </c>
      <c r="C584" t="s">
        <v>1885</v>
      </c>
      <c r="D584" s="4" t="s">
        <v>1936</v>
      </c>
      <c r="E584" s="90" t="s">
        <v>1955</v>
      </c>
      <c r="F584" t="s">
        <v>31</v>
      </c>
      <c r="G584" t="s">
        <v>2</v>
      </c>
      <c r="H584" t="s">
        <v>30</v>
      </c>
      <c r="I584">
        <v>30.9</v>
      </c>
      <c r="J584">
        <v>75.75</v>
      </c>
      <c r="K584" t="s">
        <v>29</v>
      </c>
      <c r="AV584" t="s">
        <v>836</v>
      </c>
      <c r="AW584" t="s">
        <v>234</v>
      </c>
      <c r="AX584" t="s">
        <v>234</v>
      </c>
      <c r="AY584">
        <v>2</v>
      </c>
      <c r="AZ584" t="s">
        <v>1937</v>
      </c>
      <c r="BA584">
        <v>2016</v>
      </c>
      <c r="BB584">
        <v>2018</v>
      </c>
      <c r="BD584" t="s">
        <v>1891</v>
      </c>
      <c r="BE584" t="s">
        <v>1952</v>
      </c>
      <c r="BF584" t="s">
        <v>48</v>
      </c>
      <c r="BG584" t="s">
        <v>1233</v>
      </c>
      <c r="BH584" t="s">
        <v>23</v>
      </c>
      <c r="BI584" t="s">
        <v>1914</v>
      </c>
      <c r="BJ584" t="s">
        <v>13</v>
      </c>
      <c r="BK584">
        <v>20</v>
      </c>
      <c r="BL584" t="s">
        <v>56</v>
      </c>
      <c r="BM584" t="s">
        <v>250</v>
      </c>
      <c r="BN584" t="s">
        <v>29</v>
      </c>
      <c r="BO584" t="s">
        <v>29</v>
      </c>
      <c r="BP584" t="s">
        <v>29</v>
      </c>
      <c r="BQ584" t="s">
        <v>275</v>
      </c>
      <c r="BR584" t="s">
        <v>1894</v>
      </c>
      <c r="BS584" t="s">
        <v>29</v>
      </c>
      <c r="BT584" t="s">
        <v>29</v>
      </c>
      <c r="BU584" t="s">
        <v>29</v>
      </c>
      <c r="EJ584" s="9"/>
      <c r="EK584" s="9"/>
      <c r="EL584" s="9"/>
      <c r="EM584" s="9"/>
      <c r="EN584" s="9"/>
      <c r="EO584" s="9"/>
      <c r="EP584" s="9"/>
      <c r="EQ584" s="9"/>
      <c r="ER584" s="9"/>
      <c r="ES584" s="9"/>
      <c r="ET584" s="9"/>
      <c r="EU584" s="9"/>
      <c r="EV584" s="9"/>
      <c r="EW584" s="9"/>
      <c r="EX584" s="9"/>
      <c r="EY584" s="9"/>
      <c r="EZ584" s="9"/>
      <c r="FA584" s="9"/>
      <c r="FB584" s="9"/>
      <c r="FC584" s="9"/>
      <c r="FD584" s="9"/>
      <c r="FE584" s="9"/>
      <c r="FF584" s="9"/>
      <c r="FG584" s="9"/>
      <c r="FH584" s="9"/>
      <c r="FI584" s="9"/>
      <c r="FJ584" s="9"/>
      <c r="FK584" s="9"/>
      <c r="FL584" s="9"/>
      <c r="FM584" s="9"/>
      <c r="FN584" s="9"/>
      <c r="FO584" s="9"/>
      <c r="FP584" s="9"/>
      <c r="FQ584" s="9"/>
      <c r="FR584" s="9"/>
      <c r="FS584" s="9"/>
      <c r="FT584" s="9"/>
      <c r="FU584" s="9"/>
      <c r="FV584" s="9"/>
      <c r="FW584" s="9"/>
      <c r="FX584" s="9"/>
      <c r="FY584" s="9"/>
      <c r="FZ584" s="9"/>
      <c r="GA584" s="9"/>
      <c r="GB584" s="9"/>
      <c r="GC584" s="9"/>
      <c r="GD584" s="9"/>
      <c r="GE584" s="9"/>
      <c r="GF584" s="9"/>
      <c r="GG584" s="9"/>
      <c r="GH584" s="9"/>
      <c r="GI584" s="9"/>
      <c r="GJ584" s="9"/>
      <c r="GK584" s="9"/>
      <c r="GL584" s="9"/>
      <c r="GM584" s="9"/>
      <c r="GN584" s="9"/>
      <c r="GO584" s="9"/>
      <c r="GP584" s="9"/>
      <c r="GQ584" s="9"/>
      <c r="GR584" s="9"/>
      <c r="GS584" s="9"/>
      <c r="GT584" s="9"/>
      <c r="GU584" s="9"/>
      <c r="GV584" s="9"/>
      <c r="GW584" s="9"/>
      <c r="GX584" s="9"/>
      <c r="GY584" s="9"/>
      <c r="GZ584" s="9"/>
      <c r="HA584" s="9"/>
      <c r="HB584" s="9"/>
      <c r="HC584" s="9"/>
      <c r="HD584" s="9"/>
      <c r="HE584" s="9"/>
      <c r="HF584" s="9"/>
      <c r="HG584" s="9"/>
      <c r="HH584" s="9"/>
      <c r="HI584" s="9"/>
      <c r="HJ584" s="9"/>
      <c r="HK584" s="9"/>
      <c r="HL584" s="9"/>
      <c r="HM584" s="9"/>
      <c r="HU584" s="58">
        <v>42539</v>
      </c>
      <c r="IP584" t="s">
        <v>1898</v>
      </c>
      <c r="IQ584" s="54" t="s">
        <v>1919</v>
      </c>
      <c r="IT584">
        <v>2016</v>
      </c>
      <c r="JK584" t="s">
        <v>1939</v>
      </c>
      <c r="JM584" t="s">
        <v>14</v>
      </c>
      <c r="JQ584" t="s">
        <v>13</v>
      </c>
      <c r="JR584">
        <v>125</v>
      </c>
      <c r="JU584">
        <v>60</v>
      </c>
      <c r="JV584">
        <v>30</v>
      </c>
      <c r="KF584" t="s">
        <v>1921</v>
      </c>
      <c r="KG584" s="84" t="s">
        <v>1548</v>
      </c>
      <c r="KH584" t="s">
        <v>1941</v>
      </c>
      <c r="KI584">
        <v>2</v>
      </c>
      <c r="KJ584" t="s">
        <v>1940</v>
      </c>
      <c r="KL584" s="8" t="s">
        <v>1943</v>
      </c>
      <c r="KM584" t="s">
        <v>1944</v>
      </c>
      <c r="KN584">
        <v>3</v>
      </c>
      <c r="KP584" s="8" t="s">
        <v>1922</v>
      </c>
      <c r="KQ584" t="s">
        <v>234</v>
      </c>
      <c r="KR584" t="s">
        <v>234</v>
      </c>
      <c r="KT584" t="s">
        <v>1923</v>
      </c>
      <c r="KU584" t="s">
        <v>234</v>
      </c>
      <c r="KV584" t="s">
        <v>234</v>
      </c>
      <c r="LU584" t="s">
        <v>1945</v>
      </c>
      <c r="LZ584" t="s">
        <v>1925</v>
      </c>
      <c r="MA584">
        <v>206.25</v>
      </c>
      <c r="MB584" s="4" t="s">
        <v>29</v>
      </c>
      <c r="MJ584" s="58">
        <v>42997</v>
      </c>
      <c r="MK584" s="58">
        <v>42997</v>
      </c>
      <c r="MZ584" t="s">
        <v>1926</v>
      </c>
      <c r="NA584" t="s">
        <v>234</v>
      </c>
      <c r="NB584" t="s">
        <v>1899</v>
      </c>
      <c r="NC584" t="s">
        <v>168</v>
      </c>
      <c r="ND584" t="s">
        <v>250</v>
      </c>
      <c r="NJ584" t="s">
        <v>1950</v>
      </c>
      <c r="NK584" t="s">
        <v>1908</v>
      </c>
      <c r="NL584" t="s">
        <v>1911</v>
      </c>
      <c r="NM584" s="4" t="s">
        <v>1912</v>
      </c>
      <c r="NN584" s="6"/>
      <c r="NW584" t="s">
        <v>6</v>
      </c>
      <c r="NX584">
        <v>1.31</v>
      </c>
      <c r="NY584" t="s">
        <v>234</v>
      </c>
      <c r="NZ584" t="s">
        <v>234</v>
      </c>
      <c r="OC584" s="15">
        <v>3</v>
      </c>
      <c r="OT584" t="s">
        <v>1924</v>
      </c>
      <c r="OU584" t="s">
        <v>6</v>
      </c>
      <c r="OW584">
        <v>2016</v>
      </c>
      <c r="OX584">
        <v>2017</v>
      </c>
      <c r="PA584" t="s">
        <v>1169</v>
      </c>
      <c r="PB584" s="58">
        <v>46129</v>
      </c>
    </row>
    <row r="585" spans="1:418" ht="15.75" thickBot="1">
      <c r="A585" t="s">
        <v>248</v>
      </c>
      <c r="B585" t="s">
        <v>1884</v>
      </c>
      <c r="C585" t="s">
        <v>1885</v>
      </c>
      <c r="D585" s="4" t="s">
        <v>1936</v>
      </c>
      <c r="E585" s="90" t="s">
        <v>1955</v>
      </c>
      <c r="F585" t="s">
        <v>31</v>
      </c>
      <c r="G585" t="s">
        <v>2</v>
      </c>
      <c r="H585" t="s">
        <v>30</v>
      </c>
      <c r="I585">
        <v>30.9</v>
      </c>
      <c r="J585">
        <v>75.75</v>
      </c>
      <c r="K585" t="s">
        <v>29</v>
      </c>
      <c r="AV585" t="s">
        <v>836</v>
      </c>
      <c r="AW585" t="s">
        <v>234</v>
      </c>
      <c r="AX585" t="s">
        <v>234</v>
      </c>
      <c r="AY585">
        <v>2</v>
      </c>
      <c r="AZ585" t="s">
        <v>1937</v>
      </c>
      <c r="BA585">
        <v>2016</v>
      </c>
      <c r="BB585">
        <v>2018</v>
      </c>
      <c r="BD585" t="s">
        <v>1891</v>
      </c>
      <c r="BE585" t="s">
        <v>1953</v>
      </c>
      <c r="BF585" t="s">
        <v>43</v>
      </c>
      <c r="BG585" t="s">
        <v>1233</v>
      </c>
      <c r="BH585" t="s">
        <v>23</v>
      </c>
      <c r="BI585" t="s">
        <v>1914</v>
      </c>
      <c r="BJ585" t="s">
        <v>13</v>
      </c>
      <c r="BK585">
        <v>20</v>
      </c>
      <c r="BL585" t="s">
        <v>56</v>
      </c>
      <c r="BM585" t="s">
        <v>250</v>
      </c>
      <c r="BN585" t="s">
        <v>29</v>
      </c>
      <c r="BO585" t="s">
        <v>29</v>
      </c>
      <c r="BP585" t="s">
        <v>29</v>
      </c>
      <c r="BQ585" t="s">
        <v>275</v>
      </c>
      <c r="BR585" t="s">
        <v>1916</v>
      </c>
      <c r="BS585" t="s">
        <v>29</v>
      </c>
      <c r="BT585" t="s">
        <v>29</v>
      </c>
      <c r="BU585" t="s">
        <v>29</v>
      </c>
      <c r="BV585" t="s">
        <v>275</v>
      </c>
      <c r="BW585" t="s">
        <v>1917</v>
      </c>
      <c r="BX585" t="s">
        <v>29</v>
      </c>
      <c r="BY585" t="s">
        <v>29</v>
      </c>
      <c r="BZ585" t="s">
        <v>29</v>
      </c>
      <c r="EJ585" s="9"/>
      <c r="EK585" s="9"/>
      <c r="EL585" s="9"/>
      <c r="EM585" s="9"/>
      <c r="EN585" s="9"/>
      <c r="EO585" s="9"/>
      <c r="EP585" s="9"/>
      <c r="EQ585" s="9"/>
      <c r="ER585" s="9"/>
      <c r="ES585" s="9"/>
      <c r="ET585" s="9"/>
      <c r="EU585" s="9"/>
      <c r="EV585" s="9"/>
      <c r="EW585" s="9"/>
      <c r="EX585" s="9"/>
      <c r="EY585" s="9"/>
      <c r="EZ585" s="9"/>
      <c r="FA585" s="9"/>
      <c r="FB585" s="9"/>
      <c r="FC585" s="9"/>
      <c r="FD585" s="9"/>
      <c r="FE585" s="9"/>
      <c r="FF585" s="9"/>
      <c r="FG585" s="9"/>
      <c r="FH585" s="9"/>
      <c r="FI585" s="9"/>
      <c r="FJ585" s="9"/>
      <c r="FK585" s="9"/>
      <c r="FL585" s="9"/>
      <c r="FM585" s="9"/>
      <c r="FN585" s="9"/>
      <c r="FO585" s="9"/>
      <c r="FP585" s="9"/>
      <c r="FQ585" s="9"/>
      <c r="FR585" s="9"/>
      <c r="FS585" s="9"/>
      <c r="FT585" s="9"/>
      <c r="FU585" s="9"/>
      <c r="FV585" s="9"/>
      <c r="FW585" s="9"/>
      <c r="FX585" s="9"/>
      <c r="FY585" s="9"/>
      <c r="FZ585" s="9"/>
      <c r="GA585" s="9"/>
      <c r="GB585" s="9"/>
      <c r="GC585" s="9"/>
      <c r="GD585" s="9"/>
      <c r="GE585" s="9"/>
      <c r="GF585" s="9"/>
      <c r="GG585" s="9"/>
      <c r="GH585" s="9"/>
      <c r="GI585" s="9"/>
      <c r="GJ585" s="9"/>
      <c r="GK585" s="9"/>
      <c r="GL585" s="9"/>
      <c r="GM585" s="9"/>
      <c r="GN585" s="9"/>
      <c r="GO585" s="9"/>
      <c r="GP585" s="9"/>
      <c r="GQ585" s="9"/>
      <c r="GR585" s="9"/>
      <c r="GS585" s="9"/>
      <c r="GT585" s="9"/>
      <c r="GU585" s="9"/>
      <c r="GV585" s="9"/>
      <c r="GW585" s="9"/>
      <c r="GX585" s="9"/>
      <c r="GY585" s="9"/>
      <c r="GZ585" s="9"/>
      <c r="HA585" s="9"/>
      <c r="HB585" s="9"/>
      <c r="HC585" s="9"/>
      <c r="HD585" s="9"/>
      <c r="HE585" s="9"/>
      <c r="HF585" s="9"/>
      <c r="HG585" s="9"/>
      <c r="HH585" s="9"/>
      <c r="HI585" s="9"/>
      <c r="HJ585" s="9"/>
      <c r="HK585" s="9"/>
      <c r="HL585" s="9"/>
      <c r="HM585" s="9"/>
      <c r="HU585" s="58">
        <v>42539</v>
      </c>
      <c r="IP585" t="s">
        <v>1900</v>
      </c>
      <c r="IQ585" s="54" t="s">
        <v>1919</v>
      </c>
      <c r="IT585">
        <v>2016</v>
      </c>
      <c r="JK585" t="s">
        <v>1939</v>
      </c>
      <c r="JM585" t="s">
        <v>14</v>
      </c>
      <c r="JQ585" t="s">
        <v>13</v>
      </c>
      <c r="JR585">
        <v>125</v>
      </c>
      <c r="JU585">
        <v>60</v>
      </c>
      <c r="JV585">
        <v>30</v>
      </c>
      <c r="KF585" t="s">
        <v>1921</v>
      </c>
      <c r="KG585" s="84" t="s">
        <v>1548</v>
      </c>
      <c r="KH585" t="s">
        <v>1941</v>
      </c>
      <c r="KI585">
        <v>2</v>
      </c>
      <c r="KJ585" t="s">
        <v>1940</v>
      </c>
      <c r="KL585" s="8" t="s">
        <v>1943</v>
      </c>
      <c r="KM585" t="s">
        <v>1944</v>
      </c>
      <c r="KN585">
        <v>3</v>
      </c>
      <c r="KP585" s="8" t="s">
        <v>1922</v>
      </c>
      <c r="KQ585" t="s">
        <v>234</v>
      </c>
      <c r="KR585" t="s">
        <v>234</v>
      </c>
      <c r="KT585" t="s">
        <v>1923</v>
      </c>
      <c r="KU585" t="s">
        <v>234</v>
      </c>
      <c r="KV585" t="s">
        <v>234</v>
      </c>
      <c r="LU585" t="s">
        <v>1945</v>
      </c>
      <c r="LZ585" t="s">
        <v>1925</v>
      </c>
      <c r="MA585">
        <v>206.25</v>
      </c>
      <c r="MB585" s="4" t="s">
        <v>29</v>
      </c>
      <c r="MJ585" s="58">
        <v>42997</v>
      </c>
      <c r="MK585" s="58">
        <v>42997</v>
      </c>
      <c r="MZ585" t="s">
        <v>1926</v>
      </c>
      <c r="NA585" t="s">
        <v>234</v>
      </c>
      <c r="NB585" t="s">
        <v>1901</v>
      </c>
      <c r="NC585" t="s">
        <v>168</v>
      </c>
      <c r="ND585" t="s">
        <v>250</v>
      </c>
      <c r="NJ585" t="s">
        <v>1950</v>
      </c>
      <c r="NK585" t="s">
        <v>1908</v>
      </c>
      <c r="NL585" t="s">
        <v>1911</v>
      </c>
      <c r="NM585" s="4" t="s">
        <v>1912</v>
      </c>
      <c r="NN585" s="6"/>
      <c r="NW585" t="s">
        <v>6</v>
      </c>
      <c r="NX585">
        <v>1.3</v>
      </c>
      <c r="NY585" t="s">
        <v>234</v>
      </c>
      <c r="NZ585" t="s">
        <v>234</v>
      </c>
      <c r="OC585" s="15">
        <v>3</v>
      </c>
      <c r="OT585" t="s">
        <v>1924</v>
      </c>
      <c r="OU585" t="s">
        <v>6</v>
      </c>
      <c r="OW585">
        <v>2016</v>
      </c>
      <c r="OX585">
        <v>2017</v>
      </c>
      <c r="PA585" t="s">
        <v>1169</v>
      </c>
      <c r="PB585" s="58">
        <v>46129</v>
      </c>
    </row>
    <row r="586" spans="1:418" ht="15.75" thickBot="1">
      <c r="A586" t="s">
        <v>248</v>
      </c>
      <c r="B586" t="s">
        <v>1884</v>
      </c>
      <c r="C586" t="s">
        <v>1885</v>
      </c>
      <c r="D586" s="4" t="s">
        <v>1936</v>
      </c>
      <c r="E586" s="90" t="s">
        <v>1955</v>
      </c>
      <c r="F586" t="s">
        <v>31</v>
      </c>
      <c r="G586" t="s">
        <v>2</v>
      </c>
      <c r="H586" t="s">
        <v>30</v>
      </c>
      <c r="I586">
        <v>30.9</v>
      </c>
      <c r="J586">
        <v>75.75</v>
      </c>
      <c r="K586" t="s">
        <v>29</v>
      </c>
      <c r="AV586" t="s">
        <v>836</v>
      </c>
      <c r="AW586" t="s">
        <v>234</v>
      </c>
      <c r="AX586" t="s">
        <v>234</v>
      </c>
      <c r="AY586">
        <v>2</v>
      </c>
      <c r="AZ586" t="s">
        <v>1937</v>
      </c>
      <c r="BA586">
        <v>2016</v>
      </c>
      <c r="BB586">
        <v>2018</v>
      </c>
      <c r="BD586" t="s">
        <v>1891</v>
      </c>
      <c r="BE586" s="3" t="s">
        <v>1902</v>
      </c>
      <c r="BF586" t="s">
        <v>252</v>
      </c>
      <c r="BG586" t="s">
        <v>1233</v>
      </c>
      <c r="BH586" t="s">
        <v>23</v>
      </c>
      <c r="BI586" t="s">
        <v>1914</v>
      </c>
      <c r="BJ586" t="s">
        <v>13</v>
      </c>
      <c r="BK586">
        <v>20</v>
      </c>
      <c r="BL586" t="s">
        <v>275</v>
      </c>
      <c r="BM586" t="s">
        <v>1918</v>
      </c>
      <c r="BN586" t="s">
        <v>29</v>
      </c>
      <c r="BO586" t="s">
        <v>29</v>
      </c>
      <c r="BP586" t="s">
        <v>29</v>
      </c>
      <c r="BQ586" t="s">
        <v>275</v>
      </c>
      <c r="BR586" t="s">
        <v>1916</v>
      </c>
      <c r="BS586" t="s">
        <v>29</v>
      </c>
      <c r="BT586" t="s">
        <v>29</v>
      </c>
      <c r="BU586" t="s">
        <v>29</v>
      </c>
      <c r="BV586" t="s">
        <v>275</v>
      </c>
      <c r="BW586" t="s">
        <v>1917</v>
      </c>
      <c r="BX586" t="s">
        <v>29</v>
      </c>
      <c r="BY586" t="s">
        <v>29</v>
      </c>
      <c r="BZ586" t="s">
        <v>29</v>
      </c>
      <c r="EJ586" s="9"/>
      <c r="EK586" s="9"/>
      <c r="EL586" s="9"/>
      <c r="EM586" s="9"/>
      <c r="EN586" s="9"/>
      <c r="EO586" s="9"/>
      <c r="EP586" s="9"/>
      <c r="EQ586" s="9"/>
      <c r="ER586" s="9"/>
      <c r="ES586" s="9"/>
      <c r="ET586" s="9"/>
      <c r="EU586" s="9"/>
      <c r="EV586" s="9"/>
      <c r="EW586" s="9"/>
      <c r="EX586" s="9"/>
      <c r="EY586" s="9"/>
      <c r="EZ586" s="9"/>
      <c r="FA586" s="9"/>
      <c r="FB586" s="9"/>
      <c r="FC586" s="9"/>
      <c r="FD586" s="9"/>
      <c r="FE586" s="9"/>
      <c r="FF586" s="9"/>
      <c r="FG586" s="9"/>
      <c r="FH586" s="9"/>
      <c r="FI586" s="9"/>
      <c r="FJ586" s="9"/>
      <c r="FK586" s="9"/>
      <c r="FL586" s="9"/>
      <c r="FM586" s="9"/>
      <c r="FN586" s="9"/>
      <c r="FO586" s="9"/>
      <c r="FP586" s="9"/>
      <c r="FQ586" s="9"/>
      <c r="FR586" s="9"/>
      <c r="FS586" s="9"/>
      <c r="FT586" s="9"/>
      <c r="FU586" s="9"/>
      <c r="FV586" s="9"/>
      <c r="FW586" s="9"/>
      <c r="FX586" s="9"/>
      <c r="FY586" s="9"/>
      <c r="FZ586" s="9"/>
      <c r="GA586" s="9"/>
      <c r="GB586" s="9"/>
      <c r="GC586" s="9"/>
      <c r="GD586" s="9"/>
      <c r="GE586" s="9"/>
      <c r="GF586" s="9"/>
      <c r="GG586" s="9"/>
      <c r="GH586" s="9"/>
      <c r="GI586" s="9"/>
      <c r="GJ586" s="9"/>
      <c r="GK586" s="9"/>
      <c r="GL586" s="9"/>
      <c r="GM586" s="9"/>
      <c r="GN586" s="9"/>
      <c r="GO586" s="9"/>
      <c r="GP586" s="9"/>
      <c r="GQ586" s="9"/>
      <c r="GR586" s="9"/>
      <c r="GS586" s="9"/>
      <c r="GT586" s="9"/>
      <c r="GU586" s="9"/>
      <c r="GV586" s="9"/>
      <c r="GW586" s="9"/>
      <c r="GX586" s="9"/>
      <c r="GY586" s="9"/>
      <c r="GZ586" s="9"/>
      <c r="HA586" s="9"/>
      <c r="HB586" s="9"/>
      <c r="HC586" s="9"/>
      <c r="HD586" s="9"/>
      <c r="HE586" s="9"/>
      <c r="HF586" s="9"/>
      <c r="HG586" s="9"/>
      <c r="HH586" s="9"/>
      <c r="HI586" s="9"/>
      <c r="HJ586" s="9"/>
      <c r="HK586" s="9"/>
      <c r="HL586" s="9"/>
      <c r="HM586" s="9"/>
      <c r="HU586" s="58">
        <v>42539</v>
      </c>
      <c r="IP586" t="s">
        <v>1902</v>
      </c>
      <c r="IQ586" s="54" t="s">
        <v>1919</v>
      </c>
      <c r="IT586">
        <v>2016</v>
      </c>
      <c r="JK586" t="s">
        <v>1939</v>
      </c>
      <c r="JM586" t="s">
        <v>14</v>
      </c>
      <c r="JQ586" t="s">
        <v>13</v>
      </c>
      <c r="JR586">
        <v>125</v>
      </c>
      <c r="JU586">
        <v>60</v>
      </c>
      <c r="JV586">
        <v>30</v>
      </c>
      <c r="KF586" t="s">
        <v>1921</v>
      </c>
      <c r="KG586" s="84" t="s">
        <v>1548</v>
      </c>
      <c r="KH586" t="s">
        <v>1941</v>
      </c>
      <c r="KI586">
        <v>2</v>
      </c>
      <c r="KJ586" t="s">
        <v>1940</v>
      </c>
      <c r="KL586" s="8" t="s">
        <v>1943</v>
      </c>
      <c r="KM586" t="s">
        <v>1944</v>
      </c>
      <c r="KN586">
        <v>3</v>
      </c>
      <c r="KP586" s="8" t="s">
        <v>1922</v>
      </c>
      <c r="KQ586" t="s">
        <v>234</v>
      </c>
      <c r="KR586" t="s">
        <v>234</v>
      </c>
      <c r="KT586" t="s">
        <v>1923</v>
      </c>
      <c r="KU586" t="s">
        <v>234</v>
      </c>
      <c r="KV586" t="s">
        <v>234</v>
      </c>
      <c r="LU586" t="s">
        <v>1945</v>
      </c>
      <c r="LZ586" t="s">
        <v>1925</v>
      </c>
      <c r="MA586">
        <v>206.25</v>
      </c>
      <c r="MB586" s="4" t="s">
        <v>29</v>
      </c>
      <c r="MJ586" s="58">
        <v>42997</v>
      </c>
      <c r="MK586" s="58">
        <v>42997</v>
      </c>
      <c r="MZ586" t="s">
        <v>1926</v>
      </c>
      <c r="NA586" t="s">
        <v>234</v>
      </c>
      <c r="NB586" t="s">
        <v>1903</v>
      </c>
      <c r="NC586" t="s">
        <v>168</v>
      </c>
      <c r="NJ586" t="s">
        <v>1950</v>
      </c>
      <c r="NK586" t="s">
        <v>1908</v>
      </c>
      <c r="NL586" t="s">
        <v>1911</v>
      </c>
      <c r="NM586" s="4" t="s">
        <v>1912</v>
      </c>
      <c r="NN586" s="6"/>
      <c r="NW586" t="s">
        <v>6</v>
      </c>
      <c r="NX586">
        <v>1.05</v>
      </c>
      <c r="NY586" t="s">
        <v>234</v>
      </c>
      <c r="NZ586" t="s">
        <v>234</v>
      </c>
      <c r="OC586" s="15">
        <v>3</v>
      </c>
      <c r="OT586" t="s">
        <v>1924</v>
      </c>
      <c r="OU586" t="s">
        <v>6</v>
      </c>
      <c r="OW586">
        <v>2016</v>
      </c>
      <c r="OX586">
        <v>2017</v>
      </c>
      <c r="PA586" t="s">
        <v>1169</v>
      </c>
      <c r="PB586" s="58">
        <v>46129</v>
      </c>
    </row>
    <row r="587" spans="1:418" ht="15.75" thickBot="1">
      <c r="A587" t="s">
        <v>248</v>
      </c>
      <c r="B587" t="s">
        <v>1884</v>
      </c>
      <c r="C587" t="s">
        <v>1885</v>
      </c>
      <c r="D587" s="4" t="s">
        <v>1936</v>
      </c>
      <c r="E587" s="90" t="s">
        <v>1955</v>
      </c>
      <c r="F587" t="s">
        <v>31</v>
      </c>
      <c r="G587" t="s">
        <v>2</v>
      </c>
      <c r="H587" t="s">
        <v>30</v>
      </c>
      <c r="I587">
        <v>30.9</v>
      </c>
      <c r="J587">
        <v>75.75</v>
      </c>
      <c r="K587" t="s">
        <v>29</v>
      </c>
      <c r="AV587" t="s">
        <v>836</v>
      </c>
      <c r="AW587" t="s">
        <v>234</v>
      </c>
      <c r="AX587" t="s">
        <v>234</v>
      </c>
      <c r="AY587">
        <v>2</v>
      </c>
      <c r="AZ587" t="s">
        <v>1937</v>
      </c>
      <c r="BA587">
        <v>2016</v>
      </c>
      <c r="BB587">
        <v>2018</v>
      </c>
      <c r="BD587" t="s">
        <v>1891</v>
      </c>
      <c r="BE587" s="15" t="s">
        <v>1954</v>
      </c>
      <c r="BF587" t="s">
        <v>236</v>
      </c>
      <c r="BG587" t="s">
        <v>1233</v>
      </c>
      <c r="BH587" t="s">
        <v>23</v>
      </c>
      <c r="BI587" t="s">
        <v>1914</v>
      </c>
      <c r="BJ587" t="s">
        <v>13</v>
      </c>
      <c r="BK587">
        <v>20</v>
      </c>
      <c r="BL587" t="s">
        <v>56</v>
      </c>
      <c r="BM587" t="s">
        <v>250</v>
      </c>
      <c r="BN587" t="s">
        <v>29</v>
      </c>
      <c r="BO587" t="s">
        <v>29</v>
      </c>
      <c r="BP587" t="s">
        <v>29</v>
      </c>
      <c r="BQ587" t="s">
        <v>275</v>
      </c>
      <c r="BR587" t="s">
        <v>1918</v>
      </c>
      <c r="BS587" t="s">
        <v>29</v>
      </c>
      <c r="BT587" t="s">
        <v>29</v>
      </c>
      <c r="BU587" t="s">
        <v>29</v>
      </c>
      <c r="BV587" t="s">
        <v>275</v>
      </c>
      <c r="BW587" t="s">
        <v>1916</v>
      </c>
      <c r="BX587" t="s">
        <v>29</v>
      </c>
      <c r="BY587" t="s">
        <v>29</v>
      </c>
      <c r="BZ587" t="s">
        <v>29</v>
      </c>
      <c r="CA587" t="s">
        <v>275</v>
      </c>
      <c r="CB587" t="s">
        <v>1917</v>
      </c>
      <c r="CC587" t="s">
        <v>29</v>
      </c>
      <c r="CD587" t="s">
        <v>29</v>
      </c>
      <c r="CE587" t="s">
        <v>29</v>
      </c>
      <c r="EJ587" s="9"/>
      <c r="EK587" s="9"/>
      <c r="EL587" s="9"/>
      <c r="EM587" s="9"/>
      <c r="EN587" s="9"/>
      <c r="EO587" s="9"/>
      <c r="EP587" s="9"/>
      <c r="EQ587" s="9"/>
      <c r="ER587" s="9"/>
      <c r="ES587" s="9"/>
      <c r="ET587" s="9"/>
      <c r="EU587" s="9"/>
      <c r="EV587" s="9"/>
      <c r="EW587" s="9"/>
      <c r="EX587" s="9"/>
      <c r="EY587" s="9"/>
      <c r="EZ587" s="9"/>
      <c r="FA587" s="9"/>
      <c r="FB587" s="9"/>
      <c r="FC587" s="9"/>
      <c r="FD587" s="9"/>
      <c r="FE587" s="9"/>
      <c r="FF587" s="9"/>
      <c r="FG587" s="9"/>
      <c r="FH587" s="9"/>
      <c r="FI587" s="9"/>
      <c r="FJ587" s="9"/>
      <c r="FK587" s="9"/>
      <c r="FL587" s="9"/>
      <c r="FM587" s="9"/>
      <c r="FN587" s="9"/>
      <c r="FO587" s="9"/>
      <c r="FP587" s="9"/>
      <c r="FQ587" s="9"/>
      <c r="FR587" s="9"/>
      <c r="FS587" s="9"/>
      <c r="FT587" s="9"/>
      <c r="FU587" s="9"/>
      <c r="FV587" s="9"/>
      <c r="FW587" s="9"/>
      <c r="FX587" s="9"/>
      <c r="FY587" s="9"/>
      <c r="FZ587" s="9"/>
      <c r="GA587" s="9"/>
      <c r="GB587" s="9"/>
      <c r="GC587" s="9"/>
      <c r="GD587" s="9"/>
      <c r="GE587" s="9"/>
      <c r="GF587" s="9"/>
      <c r="GG587" s="9"/>
      <c r="GH587" s="9"/>
      <c r="GI587" s="9"/>
      <c r="GJ587" s="9"/>
      <c r="GK587" s="9"/>
      <c r="GL587" s="9"/>
      <c r="GM587" s="9"/>
      <c r="GN587" s="9"/>
      <c r="GO587" s="9"/>
      <c r="GP587" s="9"/>
      <c r="GQ587" s="9"/>
      <c r="GR587" s="9"/>
      <c r="GS587" s="9"/>
      <c r="GT587" s="9"/>
      <c r="GU587" s="9"/>
      <c r="GV587" s="9"/>
      <c r="GW587" s="9"/>
      <c r="GX587" s="9"/>
      <c r="GY587" s="9"/>
      <c r="GZ587" s="9"/>
      <c r="HA587" s="9"/>
      <c r="HB587" s="9"/>
      <c r="HC587" s="9"/>
      <c r="HD587" s="9"/>
      <c r="HE587" s="9"/>
      <c r="HF587" s="9"/>
      <c r="HG587" s="9"/>
      <c r="HH587" s="9"/>
      <c r="HI587" s="9"/>
      <c r="HJ587" s="9"/>
      <c r="HK587" s="9"/>
      <c r="HL587" s="9"/>
      <c r="HM587" s="9"/>
      <c r="HU587" s="58">
        <v>42539</v>
      </c>
      <c r="IP587" t="s">
        <v>1904</v>
      </c>
      <c r="IQ587" s="54" t="s">
        <v>1919</v>
      </c>
      <c r="IT587">
        <v>2016</v>
      </c>
      <c r="JK587" t="s">
        <v>1939</v>
      </c>
      <c r="JM587" t="s">
        <v>14</v>
      </c>
      <c r="JQ587" t="s">
        <v>13</v>
      </c>
      <c r="JR587">
        <v>125</v>
      </c>
      <c r="JU587">
        <v>60</v>
      </c>
      <c r="JV587">
        <v>30</v>
      </c>
      <c r="KF587" t="s">
        <v>1921</v>
      </c>
      <c r="KG587" s="84" t="s">
        <v>1548</v>
      </c>
      <c r="KH587" t="s">
        <v>1941</v>
      </c>
      <c r="KI587">
        <v>2</v>
      </c>
      <c r="KJ587" t="s">
        <v>1940</v>
      </c>
      <c r="KL587" s="8" t="s">
        <v>1943</v>
      </c>
      <c r="KM587" t="s">
        <v>1944</v>
      </c>
      <c r="KN587">
        <v>3</v>
      </c>
      <c r="KP587" s="8" t="s">
        <v>1922</v>
      </c>
      <c r="KQ587" t="s">
        <v>234</v>
      </c>
      <c r="KR587" t="s">
        <v>234</v>
      </c>
      <c r="KT587" t="s">
        <v>1923</v>
      </c>
      <c r="KU587" t="s">
        <v>234</v>
      </c>
      <c r="KV587" t="s">
        <v>234</v>
      </c>
      <c r="LU587" t="s">
        <v>1945</v>
      </c>
      <c r="LZ587" t="s">
        <v>1925</v>
      </c>
      <c r="MA587">
        <v>206.25</v>
      </c>
      <c r="MB587" s="4" t="s">
        <v>29</v>
      </c>
      <c r="MJ587" s="58">
        <v>42997</v>
      </c>
      <c r="MK587" s="58">
        <v>42997</v>
      </c>
      <c r="MZ587" t="s">
        <v>1926</v>
      </c>
      <c r="NA587" t="s">
        <v>234</v>
      </c>
      <c r="NB587" t="s">
        <v>1905</v>
      </c>
      <c r="NC587" t="s">
        <v>168</v>
      </c>
      <c r="ND587" t="s">
        <v>250</v>
      </c>
      <c r="NJ587" t="s">
        <v>1950</v>
      </c>
      <c r="NK587" t="s">
        <v>1908</v>
      </c>
      <c r="NL587" t="s">
        <v>1911</v>
      </c>
      <c r="NM587" s="4" t="s">
        <v>1912</v>
      </c>
      <c r="NN587" s="6"/>
      <c r="NW587" t="s">
        <v>6</v>
      </c>
      <c r="NX587">
        <v>1.33</v>
      </c>
      <c r="NY587" t="s">
        <v>234</v>
      </c>
      <c r="NZ587" t="s">
        <v>234</v>
      </c>
      <c r="OC587" s="15">
        <v>3</v>
      </c>
      <c r="OT587" t="s">
        <v>1924</v>
      </c>
      <c r="OU587" t="s">
        <v>6</v>
      </c>
      <c r="OW587">
        <v>2016</v>
      </c>
      <c r="OX587">
        <v>2017</v>
      </c>
      <c r="PA587" t="s">
        <v>1169</v>
      </c>
      <c r="PB587" s="58">
        <v>46129</v>
      </c>
    </row>
    <row r="588" spans="1:418" ht="15.75" thickBot="1">
      <c r="A588" t="s">
        <v>248</v>
      </c>
      <c r="B588" t="s">
        <v>1884</v>
      </c>
      <c r="C588" t="s">
        <v>1885</v>
      </c>
      <c r="D588" s="4" t="s">
        <v>1936</v>
      </c>
      <c r="E588" s="90" t="s">
        <v>1955</v>
      </c>
      <c r="F588" t="s">
        <v>31</v>
      </c>
      <c r="G588" t="s">
        <v>2</v>
      </c>
      <c r="H588" t="s">
        <v>30</v>
      </c>
      <c r="I588">
        <v>30.9</v>
      </c>
      <c r="J588">
        <v>75.75</v>
      </c>
      <c r="K588" t="s">
        <v>29</v>
      </c>
      <c r="AV588" t="s">
        <v>836</v>
      </c>
      <c r="AW588" t="s">
        <v>234</v>
      </c>
      <c r="AX588" t="s">
        <v>234</v>
      </c>
      <c r="AY588">
        <v>2</v>
      </c>
      <c r="AZ588" t="s">
        <v>1937</v>
      </c>
      <c r="BA588">
        <v>2016</v>
      </c>
      <c r="BB588">
        <v>2018</v>
      </c>
      <c r="BD588" t="s">
        <v>1886</v>
      </c>
      <c r="BE588" t="s">
        <v>1887</v>
      </c>
      <c r="BF588" t="s">
        <v>39</v>
      </c>
      <c r="BG588" t="s">
        <v>1233</v>
      </c>
      <c r="BH588" t="s">
        <v>23</v>
      </c>
      <c r="BI588" t="s">
        <v>1914</v>
      </c>
      <c r="BJ588" t="s">
        <v>13</v>
      </c>
      <c r="BK588">
        <v>20</v>
      </c>
      <c r="BL588" t="s">
        <v>275</v>
      </c>
      <c r="BM588" t="s">
        <v>1888</v>
      </c>
      <c r="BN588" t="s">
        <v>29</v>
      </c>
      <c r="BO588" t="s">
        <v>29</v>
      </c>
      <c r="BP588" t="s">
        <v>29</v>
      </c>
      <c r="HU588" s="58">
        <v>42907</v>
      </c>
      <c r="IP588" t="s">
        <v>1887</v>
      </c>
      <c r="IQ588" s="54" t="s">
        <v>1920</v>
      </c>
      <c r="IT588">
        <v>2016</v>
      </c>
      <c r="JK588" t="s">
        <v>1939</v>
      </c>
      <c r="JM588" t="s">
        <v>14</v>
      </c>
      <c r="JQ588" t="s">
        <v>13</v>
      </c>
      <c r="JR588">
        <v>125</v>
      </c>
      <c r="JU588">
        <v>60</v>
      </c>
      <c r="JV588">
        <v>30</v>
      </c>
      <c r="KF588" t="s">
        <v>1921</v>
      </c>
      <c r="KG588" s="84" t="s">
        <v>1548</v>
      </c>
      <c r="KH588" t="s">
        <v>1941</v>
      </c>
      <c r="KI588">
        <v>2</v>
      </c>
      <c r="KJ588" t="s">
        <v>1940</v>
      </c>
      <c r="KL588" s="8" t="s">
        <v>1943</v>
      </c>
      <c r="KM588" t="s">
        <v>1944</v>
      </c>
      <c r="KN588">
        <v>3</v>
      </c>
      <c r="KP588" s="8" t="s">
        <v>1922</v>
      </c>
      <c r="KQ588" t="s">
        <v>234</v>
      </c>
      <c r="KR588" t="s">
        <v>234</v>
      </c>
      <c r="KT588" t="s">
        <v>1923</v>
      </c>
      <c r="KU588" t="s">
        <v>234</v>
      </c>
      <c r="KV588" t="s">
        <v>234</v>
      </c>
      <c r="LU588" t="s">
        <v>1945</v>
      </c>
      <c r="LZ588" t="s">
        <v>1925</v>
      </c>
      <c r="MA588">
        <v>225</v>
      </c>
      <c r="MB588" s="4" t="s">
        <v>29</v>
      </c>
      <c r="MJ588" s="58">
        <v>43362</v>
      </c>
      <c r="MK588" s="58">
        <v>43362</v>
      </c>
      <c r="MZ588" t="s">
        <v>1926</v>
      </c>
      <c r="NA588" t="s">
        <v>234</v>
      </c>
      <c r="NB588" t="s">
        <v>1889</v>
      </c>
      <c r="NC588" t="s">
        <v>168</v>
      </c>
      <c r="NJ588" t="s">
        <v>1950</v>
      </c>
      <c r="NK588" t="s">
        <v>1908</v>
      </c>
      <c r="NL588" t="s">
        <v>1911</v>
      </c>
      <c r="NM588" s="4" t="s">
        <v>1912</v>
      </c>
      <c r="NN588" s="6"/>
      <c r="NV588" t="s">
        <v>1558</v>
      </c>
      <c r="NW588" t="s">
        <v>6</v>
      </c>
      <c r="NX588">
        <v>1.1599999999999999</v>
      </c>
      <c r="NY588" t="s">
        <v>234</v>
      </c>
      <c r="NZ588" t="s">
        <v>234</v>
      </c>
      <c r="OC588" s="15">
        <v>3</v>
      </c>
      <c r="OT588" t="s">
        <v>1924</v>
      </c>
      <c r="OU588" t="s">
        <v>6</v>
      </c>
      <c r="OW588">
        <v>2017</v>
      </c>
      <c r="OX588">
        <v>2018</v>
      </c>
      <c r="PA588" t="s">
        <v>1169</v>
      </c>
      <c r="PB588" s="58">
        <v>46129</v>
      </c>
    </row>
    <row r="589" spans="1:418" ht="15.75" thickBot="1">
      <c r="A589" t="s">
        <v>248</v>
      </c>
      <c r="B589" t="s">
        <v>1884</v>
      </c>
      <c r="C589" t="s">
        <v>1885</v>
      </c>
      <c r="D589" s="4" t="s">
        <v>1936</v>
      </c>
      <c r="E589" s="90" t="s">
        <v>1955</v>
      </c>
      <c r="F589" t="s">
        <v>31</v>
      </c>
      <c r="G589" t="s">
        <v>2</v>
      </c>
      <c r="H589" t="s">
        <v>30</v>
      </c>
      <c r="I589">
        <v>30.9</v>
      </c>
      <c r="J589">
        <v>75.75</v>
      </c>
      <c r="K589" t="s">
        <v>29</v>
      </c>
      <c r="AV589" t="s">
        <v>836</v>
      </c>
      <c r="AW589" t="s">
        <v>234</v>
      </c>
      <c r="AX589" t="s">
        <v>234</v>
      </c>
      <c r="AY589">
        <v>2</v>
      </c>
      <c r="AZ589" t="s">
        <v>1937</v>
      </c>
      <c r="BA589">
        <v>2016</v>
      </c>
      <c r="BB589">
        <v>2018</v>
      </c>
      <c r="BD589" t="s">
        <v>1891</v>
      </c>
      <c r="BE589" t="s">
        <v>1906</v>
      </c>
      <c r="BF589" t="s">
        <v>64</v>
      </c>
      <c r="BG589" t="s">
        <v>1233</v>
      </c>
      <c r="BH589" t="s">
        <v>23</v>
      </c>
      <c r="BI589" t="s">
        <v>1914</v>
      </c>
      <c r="BJ589" t="s">
        <v>13</v>
      </c>
      <c r="BK589">
        <v>20</v>
      </c>
      <c r="BL589" t="s">
        <v>275</v>
      </c>
      <c r="BM589" t="s">
        <v>1894</v>
      </c>
      <c r="BN589" t="s">
        <v>29</v>
      </c>
      <c r="BO589" t="s">
        <v>29</v>
      </c>
      <c r="BP589" t="s">
        <v>29</v>
      </c>
      <c r="BQ589" t="s">
        <v>275</v>
      </c>
      <c r="BR589" t="s">
        <v>1893</v>
      </c>
      <c r="BS589" t="s">
        <v>29</v>
      </c>
      <c r="BT589" t="s">
        <v>29</v>
      </c>
      <c r="BU589" t="s">
        <v>29</v>
      </c>
      <c r="BV589" t="s">
        <v>56</v>
      </c>
      <c r="BW589" t="s">
        <v>1174</v>
      </c>
      <c r="BX589" t="s">
        <v>29</v>
      </c>
      <c r="BY589" t="s">
        <v>29</v>
      </c>
      <c r="BZ589" t="s">
        <v>29</v>
      </c>
      <c r="HU589" s="58">
        <v>42907</v>
      </c>
      <c r="IP589" t="s">
        <v>1892</v>
      </c>
      <c r="IQ589" s="54" t="s">
        <v>1919</v>
      </c>
      <c r="IT589">
        <v>2016</v>
      </c>
      <c r="JK589" t="s">
        <v>1939</v>
      </c>
      <c r="JM589" t="s">
        <v>14</v>
      </c>
      <c r="JQ589" t="s">
        <v>13</v>
      </c>
      <c r="JR589">
        <v>125</v>
      </c>
      <c r="JU589">
        <v>60</v>
      </c>
      <c r="JV589">
        <v>30</v>
      </c>
      <c r="KF589" t="s">
        <v>1921</v>
      </c>
      <c r="KG589" s="84" t="s">
        <v>1548</v>
      </c>
      <c r="KH589" t="s">
        <v>1941</v>
      </c>
      <c r="KI589">
        <v>2</v>
      </c>
      <c r="KJ589" t="s">
        <v>1940</v>
      </c>
      <c r="KL589" s="8" t="s">
        <v>1943</v>
      </c>
      <c r="KM589" t="s">
        <v>1944</v>
      </c>
      <c r="KN589">
        <v>3</v>
      </c>
      <c r="KP589" s="8" t="s">
        <v>1922</v>
      </c>
      <c r="KQ589" t="s">
        <v>234</v>
      </c>
      <c r="KR589" t="s">
        <v>234</v>
      </c>
      <c r="KT589" t="s">
        <v>1923</v>
      </c>
      <c r="KU589" t="s">
        <v>234</v>
      </c>
      <c r="KV589" t="s">
        <v>234</v>
      </c>
      <c r="LU589" t="s">
        <v>1945</v>
      </c>
      <c r="LZ589" t="s">
        <v>1925</v>
      </c>
      <c r="MA589">
        <v>225</v>
      </c>
      <c r="MB589" s="4" t="s">
        <v>29</v>
      </c>
      <c r="MJ589" s="58">
        <v>43362</v>
      </c>
      <c r="MK589" s="58">
        <v>43362</v>
      </c>
      <c r="MZ589" t="s">
        <v>1926</v>
      </c>
      <c r="NA589" t="s">
        <v>234</v>
      </c>
      <c r="NB589" t="s">
        <v>1895</v>
      </c>
      <c r="NC589" t="s">
        <v>168</v>
      </c>
      <c r="NJ589" t="s">
        <v>1950</v>
      </c>
      <c r="NK589" t="s">
        <v>1908</v>
      </c>
      <c r="NL589" t="s">
        <v>1911</v>
      </c>
      <c r="NM589" s="4" t="s">
        <v>1912</v>
      </c>
      <c r="NN589" s="6"/>
      <c r="NW589" t="s">
        <v>6</v>
      </c>
      <c r="NX589">
        <v>1.19</v>
      </c>
      <c r="NY589" t="s">
        <v>234</v>
      </c>
      <c r="NZ589" t="s">
        <v>234</v>
      </c>
      <c r="OC589" s="15">
        <v>3</v>
      </c>
      <c r="OT589" t="s">
        <v>1924</v>
      </c>
      <c r="OU589" t="s">
        <v>6</v>
      </c>
      <c r="OW589">
        <v>2017</v>
      </c>
      <c r="OX589">
        <v>2018</v>
      </c>
      <c r="PA589" t="s">
        <v>1169</v>
      </c>
      <c r="PB589" s="58">
        <v>46129</v>
      </c>
    </row>
    <row r="590" spans="1:418" ht="15.75" thickBot="1">
      <c r="A590" t="s">
        <v>248</v>
      </c>
      <c r="B590" t="s">
        <v>1884</v>
      </c>
      <c r="C590" t="s">
        <v>1885</v>
      </c>
      <c r="D590" s="4" t="s">
        <v>1936</v>
      </c>
      <c r="E590" s="90" t="s">
        <v>1955</v>
      </c>
      <c r="F590" t="s">
        <v>31</v>
      </c>
      <c r="G590" t="s">
        <v>2</v>
      </c>
      <c r="H590" t="s">
        <v>30</v>
      </c>
      <c r="I590">
        <v>30.9</v>
      </c>
      <c r="J590">
        <v>75.75</v>
      </c>
      <c r="K590" t="s">
        <v>29</v>
      </c>
      <c r="AV590" t="s">
        <v>836</v>
      </c>
      <c r="AW590" t="s">
        <v>234</v>
      </c>
      <c r="AX590" t="s">
        <v>234</v>
      </c>
      <c r="AY590">
        <v>2</v>
      </c>
      <c r="AZ590" t="s">
        <v>1937</v>
      </c>
      <c r="BA590">
        <v>2016</v>
      </c>
      <c r="BB590">
        <v>2018</v>
      </c>
      <c r="BD590" t="s">
        <v>1891</v>
      </c>
      <c r="BE590" t="s">
        <v>1951</v>
      </c>
      <c r="BF590" t="s">
        <v>57</v>
      </c>
      <c r="BG590" t="s">
        <v>1233</v>
      </c>
      <c r="BH590" t="s">
        <v>23</v>
      </c>
      <c r="BI590" t="s">
        <v>1914</v>
      </c>
      <c r="BJ590" t="s">
        <v>13</v>
      </c>
      <c r="BK590">
        <v>20</v>
      </c>
      <c r="BL590" t="s">
        <v>56</v>
      </c>
      <c r="BM590" t="s">
        <v>250</v>
      </c>
      <c r="BN590" t="s">
        <v>29</v>
      </c>
      <c r="BO590" t="s">
        <v>29</v>
      </c>
      <c r="BP590" t="s">
        <v>29</v>
      </c>
      <c r="BQ590" t="s">
        <v>275</v>
      </c>
      <c r="BR590" t="s">
        <v>1894</v>
      </c>
      <c r="BS590" t="s">
        <v>29</v>
      </c>
      <c r="BT590" t="s">
        <v>29</v>
      </c>
      <c r="BU590" t="s">
        <v>29</v>
      </c>
      <c r="BV590" t="s">
        <v>275</v>
      </c>
      <c r="BW590" t="s">
        <v>1893</v>
      </c>
      <c r="BX590" t="s">
        <v>29</v>
      </c>
      <c r="BY590" t="s">
        <v>29</v>
      </c>
      <c r="BZ590" t="s">
        <v>29</v>
      </c>
      <c r="CA590" t="s">
        <v>56</v>
      </c>
      <c r="CB590" t="s">
        <v>1174</v>
      </c>
      <c r="CC590" t="s">
        <v>29</v>
      </c>
      <c r="CD590" t="s">
        <v>29</v>
      </c>
      <c r="CE590" t="s">
        <v>29</v>
      </c>
      <c r="HU590" s="58">
        <v>42907</v>
      </c>
      <c r="IP590" t="s">
        <v>1896</v>
      </c>
      <c r="IQ590" s="54" t="s">
        <v>1919</v>
      </c>
      <c r="IT590">
        <v>2016</v>
      </c>
      <c r="JK590" t="s">
        <v>1939</v>
      </c>
      <c r="JM590" t="s">
        <v>14</v>
      </c>
      <c r="JQ590" t="s">
        <v>13</v>
      </c>
      <c r="JR590">
        <v>125</v>
      </c>
      <c r="JU590">
        <v>60</v>
      </c>
      <c r="JV590">
        <v>30</v>
      </c>
      <c r="KF590" t="s">
        <v>1921</v>
      </c>
      <c r="KG590" s="84" t="s">
        <v>1548</v>
      </c>
      <c r="KH590" t="s">
        <v>1941</v>
      </c>
      <c r="KI590">
        <v>2</v>
      </c>
      <c r="KJ590" t="s">
        <v>1940</v>
      </c>
      <c r="KL590" s="8" t="s">
        <v>1943</v>
      </c>
      <c r="KM590" t="s">
        <v>1944</v>
      </c>
      <c r="KN590">
        <v>3</v>
      </c>
      <c r="KP590" s="8" t="s">
        <v>1922</v>
      </c>
      <c r="KQ590" t="s">
        <v>234</v>
      </c>
      <c r="KR590" t="s">
        <v>234</v>
      </c>
      <c r="KT590" t="s">
        <v>1923</v>
      </c>
      <c r="KU590" t="s">
        <v>234</v>
      </c>
      <c r="KV590" t="s">
        <v>234</v>
      </c>
      <c r="LU590" t="s">
        <v>1945</v>
      </c>
      <c r="LZ590" t="s">
        <v>1925</v>
      </c>
      <c r="MA590">
        <v>225</v>
      </c>
      <c r="MB590" s="4" t="s">
        <v>29</v>
      </c>
      <c r="MJ590" s="58">
        <v>43362</v>
      </c>
      <c r="MK590" s="58">
        <v>43362</v>
      </c>
      <c r="MZ590" t="s">
        <v>1926</v>
      </c>
      <c r="NA590" t="s">
        <v>234</v>
      </c>
      <c r="NB590" t="s">
        <v>1897</v>
      </c>
      <c r="NC590" t="s">
        <v>168</v>
      </c>
      <c r="ND590" t="s">
        <v>250</v>
      </c>
      <c r="NJ590" t="s">
        <v>1950</v>
      </c>
      <c r="NK590" t="s">
        <v>1908</v>
      </c>
      <c r="NL590" t="s">
        <v>1911</v>
      </c>
      <c r="NM590" s="4" t="s">
        <v>1912</v>
      </c>
      <c r="NN590" s="6"/>
      <c r="NW590" t="s">
        <v>6</v>
      </c>
      <c r="NX590">
        <v>1.47</v>
      </c>
      <c r="NY590" t="s">
        <v>234</v>
      </c>
      <c r="NZ590" t="s">
        <v>234</v>
      </c>
      <c r="OC590" s="15">
        <v>3</v>
      </c>
      <c r="OT590" t="s">
        <v>1924</v>
      </c>
      <c r="OU590" t="s">
        <v>6</v>
      </c>
      <c r="OW590">
        <v>2017</v>
      </c>
      <c r="OX590">
        <v>2018</v>
      </c>
      <c r="PA590" t="s">
        <v>1169</v>
      </c>
      <c r="PB590" s="58">
        <v>46129</v>
      </c>
    </row>
    <row r="591" spans="1:418" ht="15.75" thickBot="1">
      <c r="A591" t="s">
        <v>248</v>
      </c>
      <c r="B591" t="s">
        <v>1884</v>
      </c>
      <c r="C591" t="s">
        <v>1885</v>
      </c>
      <c r="D591" s="4" t="s">
        <v>1936</v>
      </c>
      <c r="E591" s="90" t="s">
        <v>1955</v>
      </c>
      <c r="F591" t="s">
        <v>31</v>
      </c>
      <c r="G591" t="s">
        <v>2</v>
      </c>
      <c r="H591" t="s">
        <v>30</v>
      </c>
      <c r="I591">
        <v>30.9</v>
      </c>
      <c r="J591">
        <v>75.75</v>
      </c>
      <c r="K591" t="s">
        <v>29</v>
      </c>
      <c r="AV591" t="s">
        <v>836</v>
      </c>
      <c r="AW591" t="s">
        <v>234</v>
      </c>
      <c r="AX591" t="s">
        <v>234</v>
      </c>
      <c r="AY591">
        <v>2</v>
      </c>
      <c r="AZ591" t="s">
        <v>1937</v>
      </c>
      <c r="BA591">
        <v>2016</v>
      </c>
      <c r="BB591">
        <v>2018</v>
      </c>
      <c r="BD591" t="s">
        <v>1891</v>
      </c>
      <c r="BE591" t="s">
        <v>1952</v>
      </c>
      <c r="BF591" t="s">
        <v>48</v>
      </c>
      <c r="BG591" t="s">
        <v>1233</v>
      </c>
      <c r="BH591" t="s">
        <v>23</v>
      </c>
      <c r="BI591" t="s">
        <v>1914</v>
      </c>
      <c r="BJ591" t="s">
        <v>13</v>
      </c>
      <c r="BK591">
        <v>20</v>
      </c>
      <c r="BL591" t="s">
        <v>56</v>
      </c>
      <c r="BM591" t="s">
        <v>250</v>
      </c>
      <c r="BN591" t="s">
        <v>29</v>
      </c>
      <c r="BO591" t="s">
        <v>29</v>
      </c>
      <c r="BP591" t="s">
        <v>29</v>
      </c>
      <c r="BQ591" t="s">
        <v>275</v>
      </c>
      <c r="BR591" t="s">
        <v>1894</v>
      </c>
      <c r="BS591" t="s">
        <v>29</v>
      </c>
      <c r="BT591" t="s">
        <v>29</v>
      </c>
      <c r="BU591" t="s">
        <v>29</v>
      </c>
      <c r="HU591" s="58">
        <v>42907</v>
      </c>
      <c r="IP591" t="s">
        <v>1898</v>
      </c>
      <c r="IQ591" s="54" t="s">
        <v>1919</v>
      </c>
      <c r="IT591">
        <v>2016</v>
      </c>
      <c r="JK591" t="s">
        <v>1939</v>
      </c>
      <c r="JM591" t="s">
        <v>14</v>
      </c>
      <c r="JQ591" t="s">
        <v>13</v>
      </c>
      <c r="JR591">
        <v>125</v>
      </c>
      <c r="JU591">
        <v>60</v>
      </c>
      <c r="JV591">
        <v>30</v>
      </c>
      <c r="KF591" t="s">
        <v>1921</v>
      </c>
      <c r="KG591" s="84" t="s">
        <v>1548</v>
      </c>
      <c r="KH591" t="s">
        <v>1941</v>
      </c>
      <c r="KI591">
        <v>2</v>
      </c>
      <c r="KJ591" t="s">
        <v>1940</v>
      </c>
      <c r="KL591" s="8" t="s">
        <v>1943</v>
      </c>
      <c r="KM591" t="s">
        <v>1944</v>
      </c>
      <c r="KN591">
        <v>3</v>
      </c>
      <c r="KP591" s="8" t="s">
        <v>1922</v>
      </c>
      <c r="KQ591" t="s">
        <v>234</v>
      </c>
      <c r="KR591" t="s">
        <v>234</v>
      </c>
      <c r="KT591" t="s">
        <v>1923</v>
      </c>
      <c r="KU591" t="s">
        <v>234</v>
      </c>
      <c r="KV591" t="s">
        <v>234</v>
      </c>
      <c r="LU591" t="s">
        <v>1945</v>
      </c>
      <c r="LZ591" t="s">
        <v>1925</v>
      </c>
      <c r="MA591">
        <v>225</v>
      </c>
      <c r="MB591" s="4" t="s">
        <v>29</v>
      </c>
      <c r="MJ591" s="58">
        <v>43362</v>
      </c>
      <c r="MK591" s="58">
        <v>43362</v>
      </c>
      <c r="MZ591" t="s">
        <v>1926</v>
      </c>
      <c r="NA591" t="s">
        <v>234</v>
      </c>
      <c r="NB591" t="s">
        <v>1899</v>
      </c>
      <c r="NC591" t="s">
        <v>168</v>
      </c>
      <c r="ND591" t="s">
        <v>250</v>
      </c>
      <c r="NJ591" t="s">
        <v>1950</v>
      </c>
      <c r="NK591" t="s">
        <v>1908</v>
      </c>
      <c r="NL591" t="s">
        <v>1911</v>
      </c>
      <c r="NM591" s="4" t="s">
        <v>1912</v>
      </c>
      <c r="NN591" s="6"/>
      <c r="NW591" t="s">
        <v>6</v>
      </c>
      <c r="NX591">
        <v>1.46</v>
      </c>
      <c r="NY591" t="s">
        <v>234</v>
      </c>
      <c r="NZ591" t="s">
        <v>234</v>
      </c>
      <c r="OC591" s="15">
        <v>3</v>
      </c>
      <c r="OT591" t="s">
        <v>1924</v>
      </c>
      <c r="OU591" t="s">
        <v>6</v>
      </c>
      <c r="OW591">
        <v>2017</v>
      </c>
      <c r="OX591">
        <v>2018</v>
      </c>
      <c r="PA591" t="s">
        <v>1169</v>
      </c>
      <c r="PB591" s="58">
        <v>46129</v>
      </c>
    </row>
    <row r="592" spans="1:418" ht="15.75" thickBot="1">
      <c r="A592" t="s">
        <v>248</v>
      </c>
      <c r="B592" t="s">
        <v>1884</v>
      </c>
      <c r="C592" t="s">
        <v>1885</v>
      </c>
      <c r="D592" s="4" t="s">
        <v>1936</v>
      </c>
      <c r="E592" s="90" t="s">
        <v>1955</v>
      </c>
      <c r="F592" t="s">
        <v>31</v>
      </c>
      <c r="G592" t="s">
        <v>2</v>
      </c>
      <c r="H592" t="s">
        <v>30</v>
      </c>
      <c r="I592">
        <v>30.9</v>
      </c>
      <c r="J592">
        <v>75.75</v>
      </c>
      <c r="K592" t="s">
        <v>29</v>
      </c>
      <c r="AV592" t="s">
        <v>836</v>
      </c>
      <c r="AW592" t="s">
        <v>234</v>
      </c>
      <c r="AX592" t="s">
        <v>234</v>
      </c>
      <c r="AY592">
        <v>2</v>
      </c>
      <c r="AZ592" t="s">
        <v>1937</v>
      </c>
      <c r="BA592">
        <v>2016</v>
      </c>
      <c r="BB592">
        <v>2018</v>
      </c>
      <c r="BD592" t="s">
        <v>1891</v>
      </c>
      <c r="BE592" t="s">
        <v>1953</v>
      </c>
      <c r="BF592" t="s">
        <v>43</v>
      </c>
      <c r="BG592" t="s">
        <v>1233</v>
      </c>
      <c r="BH592" t="s">
        <v>23</v>
      </c>
      <c r="BI592" t="s">
        <v>1914</v>
      </c>
      <c r="BJ592" t="s">
        <v>13</v>
      </c>
      <c r="BK592">
        <v>20</v>
      </c>
      <c r="BL592" t="s">
        <v>56</v>
      </c>
      <c r="BM592" t="s">
        <v>250</v>
      </c>
      <c r="BN592" t="s">
        <v>29</v>
      </c>
      <c r="BO592" t="s">
        <v>29</v>
      </c>
      <c r="BP592" t="s">
        <v>29</v>
      </c>
      <c r="BQ592" t="s">
        <v>275</v>
      </c>
      <c r="BR592" t="s">
        <v>1916</v>
      </c>
      <c r="BS592" t="s">
        <v>29</v>
      </c>
      <c r="BT592" t="s">
        <v>29</v>
      </c>
      <c r="BU592" t="s">
        <v>29</v>
      </c>
      <c r="BV592" t="s">
        <v>275</v>
      </c>
      <c r="BW592" t="s">
        <v>1917</v>
      </c>
      <c r="BX592" t="s">
        <v>29</v>
      </c>
      <c r="BY592" t="s">
        <v>29</v>
      </c>
      <c r="BZ592" t="s">
        <v>29</v>
      </c>
      <c r="HU592" s="58">
        <v>42907</v>
      </c>
      <c r="IP592" t="s">
        <v>1900</v>
      </c>
      <c r="IQ592" s="54" t="s">
        <v>1919</v>
      </c>
      <c r="IT592">
        <v>2016</v>
      </c>
      <c r="JK592" t="s">
        <v>1939</v>
      </c>
      <c r="JM592" t="s">
        <v>14</v>
      </c>
      <c r="JQ592" t="s">
        <v>13</v>
      </c>
      <c r="JR592">
        <v>125</v>
      </c>
      <c r="JU592">
        <v>60</v>
      </c>
      <c r="JV592">
        <v>30</v>
      </c>
      <c r="KF592" t="s">
        <v>1921</v>
      </c>
      <c r="KG592" s="84" t="s">
        <v>1548</v>
      </c>
      <c r="KH592" t="s">
        <v>1941</v>
      </c>
      <c r="KI592">
        <v>2</v>
      </c>
      <c r="KJ592" t="s">
        <v>1940</v>
      </c>
      <c r="KL592" s="8" t="s">
        <v>1943</v>
      </c>
      <c r="KM592" t="s">
        <v>1944</v>
      </c>
      <c r="KN592">
        <v>3</v>
      </c>
      <c r="KP592" s="8" t="s">
        <v>1922</v>
      </c>
      <c r="KQ592" t="s">
        <v>234</v>
      </c>
      <c r="KR592" t="s">
        <v>234</v>
      </c>
      <c r="KT592" t="s">
        <v>1923</v>
      </c>
      <c r="KU592" t="s">
        <v>234</v>
      </c>
      <c r="KV592" t="s">
        <v>234</v>
      </c>
      <c r="LU592" t="s">
        <v>1945</v>
      </c>
      <c r="LZ592" t="s">
        <v>1925</v>
      </c>
      <c r="MA592">
        <v>225</v>
      </c>
      <c r="MB592" s="4" t="s">
        <v>29</v>
      </c>
      <c r="MJ592" s="58">
        <v>43362</v>
      </c>
      <c r="MK592" s="58">
        <v>43362</v>
      </c>
      <c r="MZ592" t="s">
        <v>1926</v>
      </c>
      <c r="NA592" t="s">
        <v>234</v>
      </c>
      <c r="NB592" t="s">
        <v>1901</v>
      </c>
      <c r="NC592" t="s">
        <v>168</v>
      </c>
      <c r="ND592" t="s">
        <v>250</v>
      </c>
      <c r="NJ592" t="s">
        <v>1950</v>
      </c>
      <c r="NK592" t="s">
        <v>1908</v>
      </c>
      <c r="NL592" t="s">
        <v>1911</v>
      </c>
      <c r="NM592" s="4" t="s">
        <v>1912</v>
      </c>
      <c r="NN592" s="6"/>
      <c r="NW592" t="s">
        <v>6</v>
      </c>
      <c r="NX592">
        <v>1.52</v>
      </c>
      <c r="NY592" t="s">
        <v>234</v>
      </c>
      <c r="NZ592" t="s">
        <v>234</v>
      </c>
      <c r="OC592" s="15">
        <v>3</v>
      </c>
      <c r="OT592" t="s">
        <v>1924</v>
      </c>
      <c r="OU592" t="s">
        <v>6</v>
      </c>
      <c r="OW592">
        <v>2017</v>
      </c>
      <c r="OX592">
        <v>2018</v>
      </c>
      <c r="PA592" t="s">
        <v>1169</v>
      </c>
      <c r="PB592" s="58">
        <v>46129</v>
      </c>
    </row>
    <row r="593" spans="1:418" ht="15.75" thickBot="1">
      <c r="A593" t="s">
        <v>248</v>
      </c>
      <c r="B593" t="s">
        <v>1884</v>
      </c>
      <c r="C593" t="s">
        <v>1885</v>
      </c>
      <c r="D593" s="4" t="s">
        <v>1936</v>
      </c>
      <c r="E593" s="90" t="s">
        <v>1955</v>
      </c>
      <c r="F593" t="s">
        <v>31</v>
      </c>
      <c r="G593" t="s">
        <v>2</v>
      </c>
      <c r="H593" t="s">
        <v>30</v>
      </c>
      <c r="I593">
        <v>30.9</v>
      </c>
      <c r="J593">
        <v>75.75</v>
      </c>
      <c r="K593" t="s">
        <v>29</v>
      </c>
      <c r="AV593" t="s">
        <v>836</v>
      </c>
      <c r="AW593" t="s">
        <v>234</v>
      </c>
      <c r="AX593" t="s">
        <v>234</v>
      </c>
      <c r="AY593">
        <v>2</v>
      </c>
      <c r="AZ593" t="s">
        <v>1937</v>
      </c>
      <c r="BA593">
        <v>2016</v>
      </c>
      <c r="BB593">
        <v>2018</v>
      </c>
      <c r="BD593" t="s">
        <v>1891</v>
      </c>
      <c r="BE593" s="3" t="s">
        <v>1902</v>
      </c>
      <c r="BF593" t="s">
        <v>252</v>
      </c>
      <c r="BG593" t="s">
        <v>1233</v>
      </c>
      <c r="BH593" t="s">
        <v>23</v>
      </c>
      <c r="BI593" t="s">
        <v>1914</v>
      </c>
      <c r="BJ593" t="s">
        <v>13</v>
      </c>
      <c r="BK593">
        <v>20</v>
      </c>
      <c r="BL593" t="s">
        <v>275</v>
      </c>
      <c r="BM593" t="s">
        <v>1918</v>
      </c>
      <c r="BN593" t="s">
        <v>29</v>
      </c>
      <c r="BO593" t="s">
        <v>29</v>
      </c>
      <c r="BP593" t="s">
        <v>29</v>
      </c>
      <c r="BQ593" t="s">
        <v>275</v>
      </c>
      <c r="BR593" t="s">
        <v>1916</v>
      </c>
      <c r="BS593" t="s">
        <v>29</v>
      </c>
      <c r="BT593" t="s">
        <v>29</v>
      </c>
      <c r="BU593" t="s">
        <v>29</v>
      </c>
      <c r="BV593" t="s">
        <v>275</v>
      </c>
      <c r="BW593" t="s">
        <v>1917</v>
      </c>
      <c r="BX593" t="s">
        <v>29</v>
      </c>
      <c r="BY593" t="s">
        <v>29</v>
      </c>
      <c r="BZ593" t="s">
        <v>29</v>
      </c>
      <c r="HU593" s="58">
        <v>42907</v>
      </c>
      <c r="IP593" t="s">
        <v>1902</v>
      </c>
      <c r="IQ593" s="54" t="s">
        <v>1919</v>
      </c>
      <c r="IT593">
        <v>2016</v>
      </c>
      <c r="JK593" t="s">
        <v>1939</v>
      </c>
      <c r="JM593" t="s">
        <v>14</v>
      </c>
      <c r="JQ593" t="s">
        <v>13</v>
      </c>
      <c r="JR593">
        <v>125</v>
      </c>
      <c r="JU593">
        <v>60</v>
      </c>
      <c r="JV593">
        <v>30</v>
      </c>
      <c r="KF593" t="s">
        <v>1921</v>
      </c>
      <c r="KG593" s="84" t="s">
        <v>1548</v>
      </c>
      <c r="KH593" t="s">
        <v>1941</v>
      </c>
      <c r="KI593">
        <v>2</v>
      </c>
      <c r="KJ593" t="s">
        <v>1940</v>
      </c>
      <c r="KL593" s="8" t="s">
        <v>1943</v>
      </c>
      <c r="KM593" t="s">
        <v>1944</v>
      </c>
      <c r="KN593">
        <v>3</v>
      </c>
      <c r="KP593" s="8" t="s">
        <v>1922</v>
      </c>
      <c r="KQ593" t="s">
        <v>234</v>
      </c>
      <c r="KR593" t="s">
        <v>234</v>
      </c>
      <c r="KT593" t="s">
        <v>1923</v>
      </c>
      <c r="KU593" t="s">
        <v>234</v>
      </c>
      <c r="KV593" t="s">
        <v>234</v>
      </c>
      <c r="LU593" t="s">
        <v>1945</v>
      </c>
      <c r="LZ593" t="s">
        <v>1925</v>
      </c>
      <c r="MA593">
        <v>225</v>
      </c>
      <c r="MB593" s="4" t="s">
        <v>29</v>
      </c>
      <c r="MJ593" s="58">
        <v>43362</v>
      </c>
      <c r="MK593" s="58">
        <v>43362</v>
      </c>
      <c r="MZ593" t="s">
        <v>1926</v>
      </c>
      <c r="NA593" t="s">
        <v>234</v>
      </c>
      <c r="NB593" t="s">
        <v>1903</v>
      </c>
      <c r="NC593" t="s">
        <v>168</v>
      </c>
      <c r="NJ593" t="s">
        <v>1950</v>
      </c>
      <c r="NK593" t="s">
        <v>1908</v>
      </c>
      <c r="NL593" t="s">
        <v>1911</v>
      </c>
      <c r="NM593" s="4" t="s">
        <v>1912</v>
      </c>
      <c r="NN593" s="6"/>
      <c r="NW593" t="s">
        <v>6</v>
      </c>
      <c r="NX593">
        <v>1.2</v>
      </c>
      <c r="NY593" t="s">
        <v>234</v>
      </c>
      <c r="NZ593" t="s">
        <v>234</v>
      </c>
      <c r="OC593" s="15">
        <v>3</v>
      </c>
      <c r="OT593" t="s">
        <v>1924</v>
      </c>
      <c r="OU593" t="s">
        <v>6</v>
      </c>
      <c r="OW593">
        <v>2017</v>
      </c>
      <c r="OX593">
        <v>2018</v>
      </c>
      <c r="PA593" t="s">
        <v>1169</v>
      </c>
      <c r="PB593" s="58">
        <v>46129</v>
      </c>
    </row>
    <row r="594" spans="1:418" ht="15.75" thickBot="1">
      <c r="A594" t="s">
        <v>248</v>
      </c>
      <c r="B594" t="s">
        <v>1884</v>
      </c>
      <c r="C594" t="s">
        <v>1885</v>
      </c>
      <c r="D594" s="4" t="s">
        <v>1936</v>
      </c>
      <c r="E594" s="90" t="s">
        <v>1955</v>
      </c>
      <c r="F594" t="s">
        <v>31</v>
      </c>
      <c r="G594" t="s">
        <v>2</v>
      </c>
      <c r="H594" t="s">
        <v>30</v>
      </c>
      <c r="I594">
        <v>30.9</v>
      </c>
      <c r="J594">
        <v>75.75</v>
      </c>
      <c r="K594" t="s">
        <v>29</v>
      </c>
      <c r="AV594" t="s">
        <v>836</v>
      </c>
      <c r="AW594" t="s">
        <v>234</v>
      </c>
      <c r="AX594" t="s">
        <v>234</v>
      </c>
      <c r="AY594">
        <v>2</v>
      </c>
      <c r="AZ594" t="s">
        <v>1937</v>
      </c>
      <c r="BA594">
        <v>2016</v>
      </c>
      <c r="BB594">
        <v>2018</v>
      </c>
      <c r="BD594" t="s">
        <v>1891</v>
      </c>
      <c r="BE594" s="15" t="s">
        <v>1954</v>
      </c>
      <c r="BF594" t="s">
        <v>236</v>
      </c>
      <c r="BG594" t="s">
        <v>1233</v>
      </c>
      <c r="BH594" t="s">
        <v>23</v>
      </c>
      <c r="BI594" t="s">
        <v>1914</v>
      </c>
      <c r="BJ594" t="s">
        <v>13</v>
      </c>
      <c r="BK594">
        <v>20</v>
      </c>
      <c r="BL594" t="s">
        <v>56</v>
      </c>
      <c r="BM594" t="s">
        <v>250</v>
      </c>
      <c r="BN594" t="s">
        <v>29</v>
      </c>
      <c r="BO594" t="s">
        <v>29</v>
      </c>
      <c r="BP594" t="s">
        <v>29</v>
      </c>
      <c r="BQ594" t="s">
        <v>275</v>
      </c>
      <c r="BR594" t="s">
        <v>1918</v>
      </c>
      <c r="BS594" t="s">
        <v>29</v>
      </c>
      <c r="BT594" t="s">
        <v>29</v>
      </c>
      <c r="BU594" t="s">
        <v>29</v>
      </c>
      <c r="BV594" t="s">
        <v>275</v>
      </c>
      <c r="BW594" t="s">
        <v>1916</v>
      </c>
      <c r="BX594" t="s">
        <v>29</v>
      </c>
      <c r="BY594" t="s">
        <v>29</v>
      </c>
      <c r="BZ594" t="s">
        <v>29</v>
      </c>
      <c r="CA594" t="s">
        <v>275</v>
      </c>
      <c r="CB594" t="s">
        <v>1917</v>
      </c>
      <c r="CC594" t="s">
        <v>29</v>
      </c>
      <c r="CD594" t="s">
        <v>29</v>
      </c>
      <c r="CE594" t="s">
        <v>29</v>
      </c>
      <c r="HU594" s="58">
        <v>42907</v>
      </c>
      <c r="IP594" t="s">
        <v>1904</v>
      </c>
      <c r="IQ594" s="54" t="s">
        <v>1919</v>
      </c>
      <c r="IT594">
        <v>2016</v>
      </c>
      <c r="JK594" t="s">
        <v>1939</v>
      </c>
      <c r="JM594" t="s">
        <v>14</v>
      </c>
      <c r="JQ594" t="s">
        <v>13</v>
      </c>
      <c r="JR594">
        <v>125</v>
      </c>
      <c r="JU594">
        <v>60</v>
      </c>
      <c r="JV594">
        <v>30</v>
      </c>
      <c r="KF594" t="s">
        <v>1921</v>
      </c>
      <c r="KG594" s="84" t="s">
        <v>1548</v>
      </c>
      <c r="KH594" t="s">
        <v>1941</v>
      </c>
      <c r="KI594">
        <v>2</v>
      </c>
      <c r="KJ594" t="s">
        <v>1940</v>
      </c>
      <c r="KL594" s="8" t="s">
        <v>1943</v>
      </c>
      <c r="KM594" t="s">
        <v>1944</v>
      </c>
      <c r="KN594">
        <v>3</v>
      </c>
      <c r="KP594" s="8" t="s">
        <v>1922</v>
      </c>
      <c r="KQ594" t="s">
        <v>234</v>
      </c>
      <c r="KR594" t="s">
        <v>234</v>
      </c>
      <c r="KT594" t="s">
        <v>1923</v>
      </c>
      <c r="KU594" t="s">
        <v>234</v>
      </c>
      <c r="KV594" t="s">
        <v>234</v>
      </c>
      <c r="LU594" t="s">
        <v>1945</v>
      </c>
      <c r="LZ594" t="s">
        <v>1925</v>
      </c>
      <c r="MA594">
        <v>225</v>
      </c>
      <c r="MB594" s="4" t="s">
        <v>29</v>
      </c>
      <c r="MJ594" s="58">
        <v>43362</v>
      </c>
      <c r="MK594" s="58">
        <v>43362</v>
      </c>
      <c r="MZ594" t="s">
        <v>1926</v>
      </c>
      <c r="NA594" t="s">
        <v>234</v>
      </c>
      <c r="NB594" t="s">
        <v>1905</v>
      </c>
      <c r="NC594" t="s">
        <v>168</v>
      </c>
      <c r="ND594" t="s">
        <v>250</v>
      </c>
      <c r="NJ594" t="s">
        <v>1950</v>
      </c>
      <c r="NK594" t="s">
        <v>1908</v>
      </c>
      <c r="NL594" t="s">
        <v>1911</v>
      </c>
      <c r="NM594" s="4" t="s">
        <v>1912</v>
      </c>
      <c r="NN594" s="6"/>
      <c r="NW594" t="s">
        <v>6</v>
      </c>
      <c r="NX594">
        <v>1.54</v>
      </c>
      <c r="NY594" t="s">
        <v>234</v>
      </c>
      <c r="NZ594" t="s">
        <v>234</v>
      </c>
      <c r="OC594" s="15">
        <v>3</v>
      </c>
      <c r="OT594" t="s">
        <v>1924</v>
      </c>
      <c r="OU594" t="s">
        <v>6</v>
      </c>
      <c r="OW594">
        <v>2017</v>
      </c>
      <c r="OX594">
        <v>2018</v>
      </c>
      <c r="PA594" t="s">
        <v>1169</v>
      </c>
      <c r="PB594" s="58">
        <v>46129</v>
      </c>
    </row>
    <row r="595" spans="1:418" ht="15.75" thickBot="1">
      <c r="A595" t="s">
        <v>248</v>
      </c>
      <c r="B595" t="s">
        <v>1884</v>
      </c>
      <c r="C595" t="s">
        <v>1885</v>
      </c>
      <c r="D595" s="4" t="s">
        <v>1936</v>
      </c>
      <c r="E595" s="90" t="s">
        <v>1955</v>
      </c>
      <c r="F595" t="s">
        <v>31</v>
      </c>
      <c r="G595" t="s">
        <v>2</v>
      </c>
      <c r="H595" t="s">
        <v>30</v>
      </c>
      <c r="I595">
        <v>30.9</v>
      </c>
      <c r="J595">
        <v>75.75</v>
      </c>
      <c r="K595" t="s">
        <v>29</v>
      </c>
      <c r="AV595" t="s">
        <v>836</v>
      </c>
      <c r="AW595" t="s">
        <v>234</v>
      </c>
      <c r="AX595" t="s">
        <v>234</v>
      </c>
      <c r="AY595">
        <v>2</v>
      </c>
      <c r="AZ595" t="s">
        <v>1937</v>
      </c>
      <c r="BA595">
        <v>2016</v>
      </c>
      <c r="BB595">
        <v>2018</v>
      </c>
      <c r="BD595" t="s">
        <v>1886</v>
      </c>
      <c r="BE595" t="s">
        <v>1887</v>
      </c>
      <c r="BF595" t="s">
        <v>39</v>
      </c>
      <c r="BG595" t="s">
        <v>1233</v>
      </c>
      <c r="BH595" t="s">
        <v>23</v>
      </c>
      <c r="BI595" t="s">
        <v>1914</v>
      </c>
      <c r="BJ595" t="s">
        <v>13</v>
      </c>
      <c r="BK595">
        <v>20</v>
      </c>
      <c r="BL595" t="s">
        <v>275</v>
      </c>
      <c r="BM595" t="s">
        <v>1888</v>
      </c>
      <c r="BN595" t="s">
        <v>29</v>
      </c>
      <c r="BO595" t="s">
        <v>29</v>
      </c>
      <c r="BP595" t="s">
        <v>29</v>
      </c>
      <c r="HU595" s="58"/>
      <c r="IP595" t="s">
        <v>1887</v>
      </c>
      <c r="IQ595" s="54" t="s">
        <v>1920</v>
      </c>
      <c r="IT595">
        <v>2016</v>
      </c>
      <c r="JK595" t="s">
        <v>1939</v>
      </c>
      <c r="JM595" t="s">
        <v>14</v>
      </c>
      <c r="JQ595" t="s">
        <v>13</v>
      </c>
      <c r="JR595">
        <v>125</v>
      </c>
      <c r="JU595">
        <v>60</v>
      </c>
      <c r="JV595">
        <v>30</v>
      </c>
      <c r="KF595" t="s">
        <v>1921</v>
      </c>
      <c r="KG595" s="84" t="s">
        <v>1548</v>
      </c>
      <c r="KH595" t="s">
        <v>1941</v>
      </c>
      <c r="KI595">
        <v>2</v>
      </c>
      <c r="KJ595" t="s">
        <v>1940</v>
      </c>
      <c r="KL595" s="8" t="s">
        <v>1943</v>
      </c>
      <c r="KM595" t="s">
        <v>1944</v>
      </c>
      <c r="KN595">
        <v>3</v>
      </c>
      <c r="KP595" s="8" t="s">
        <v>1922</v>
      </c>
      <c r="KQ595" t="s">
        <v>234</v>
      </c>
      <c r="KR595" t="s">
        <v>234</v>
      </c>
      <c r="KT595" t="s">
        <v>1923</v>
      </c>
      <c r="KU595" t="s">
        <v>234</v>
      </c>
      <c r="KV595" t="s">
        <v>234</v>
      </c>
      <c r="LU595" t="s">
        <v>1945</v>
      </c>
      <c r="LZ595" t="s">
        <v>1925</v>
      </c>
      <c r="MA595">
        <v>431.25</v>
      </c>
      <c r="MB595" s="4" t="s">
        <v>29</v>
      </c>
      <c r="MZ595" t="s">
        <v>1926</v>
      </c>
      <c r="NA595" t="s">
        <v>234</v>
      </c>
      <c r="NB595" t="s">
        <v>1927</v>
      </c>
      <c r="NC595" t="s">
        <v>168</v>
      </c>
      <c r="NK595" t="s">
        <v>1932</v>
      </c>
      <c r="NM595" s="4" t="s">
        <v>8</v>
      </c>
      <c r="NN595" s="6" t="s">
        <v>1929</v>
      </c>
      <c r="NV595" t="s">
        <v>1558</v>
      </c>
      <c r="NW595" t="s">
        <v>6</v>
      </c>
      <c r="NX595">
        <v>46.86</v>
      </c>
      <c r="NY595" t="s">
        <v>234</v>
      </c>
      <c r="NZ595" t="s">
        <v>234</v>
      </c>
      <c r="OC595" s="3">
        <v>3</v>
      </c>
      <c r="OT595" t="s">
        <v>1928</v>
      </c>
      <c r="OU595" t="s">
        <v>6</v>
      </c>
      <c r="OW595">
        <v>2016</v>
      </c>
      <c r="OX595">
        <v>2018</v>
      </c>
      <c r="PA595" t="s">
        <v>1169</v>
      </c>
      <c r="PB595" s="58">
        <v>46129</v>
      </c>
    </row>
    <row r="596" spans="1:418" ht="15.75" thickBot="1">
      <c r="A596" t="s">
        <v>248</v>
      </c>
      <c r="B596" t="s">
        <v>1884</v>
      </c>
      <c r="C596" t="s">
        <v>1885</v>
      </c>
      <c r="D596" s="4" t="s">
        <v>1936</v>
      </c>
      <c r="E596" s="90" t="s">
        <v>1955</v>
      </c>
      <c r="F596" t="s">
        <v>31</v>
      </c>
      <c r="G596" t="s">
        <v>2</v>
      </c>
      <c r="H596" t="s">
        <v>30</v>
      </c>
      <c r="I596">
        <v>30.9</v>
      </c>
      <c r="J596">
        <v>75.75</v>
      </c>
      <c r="K596" t="s">
        <v>29</v>
      </c>
      <c r="AV596" t="s">
        <v>836</v>
      </c>
      <c r="AW596" t="s">
        <v>234</v>
      </c>
      <c r="AX596" t="s">
        <v>234</v>
      </c>
      <c r="AY596">
        <v>2</v>
      </c>
      <c r="AZ596" t="s">
        <v>1937</v>
      </c>
      <c r="BA596">
        <v>2016</v>
      </c>
      <c r="BB596">
        <v>2018</v>
      </c>
      <c r="BD596" t="s">
        <v>1891</v>
      </c>
      <c r="BE596" t="s">
        <v>1906</v>
      </c>
      <c r="BF596" t="s">
        <v>64</v>
      </c>
      <c r="BG596" t="s">
        <v>1233</v>
      </c>
      <c r="BH596" t="s">
        <v>23</v>
      </c>
      <c r="BI596" t="s">
        <v>1914</v>
      </c>
      <c r="BJ596" t="s">
        <v>13</v>
      </c>
      <c r="BK596">
        <v>20</v>
      </c>
      <c r="BL596" t="s">
        <v>275</v>
      </c>
      <c r="BM596" t="s">
        <v>1894</v>
      </c>
      <c r="BN596" t="s">
        <v>29</v>
      </c>
      <c r="BO596" t="s">
        <v>29</v>
      </c>
      <c r="BP596" t="s">
        <v>29</v>
      </c>
      <c r="BQ596" t="s">
        <v>275</v>
      </c>
      <c r="BR596" t="s">
        <v>1893</v>
      </c>
      <c r="BS596" t="s">
        <v>29</v>
      </c>
      <c r="BT596" t="s">
        <v>29</v>
      </c>
      <c r="BU596" t="s">
        <v>29</v>
      </c>
      <c r="BV596" t="s">
        <v>56</v>
      </c>
      <c r="BW596" t="s">
        <v>1174</v>
      </c>
      <c r="BX596" t="s">
        <v>29</v>
      </c>
      <c r="BY596" t="s">
        <v>29</v>
      </c>
      <c r="BZ596" t="s">
        <v>29</v>
      </c>
      <c r="HU596" s="58"/>
      <c r="IP596" t="s">
        <v>1892</v>
      </c>
      <c r="IQ596" s="54" t="s">
        <v>1919</v>
      </c>
      <c r="IT596">
        <v>2016</v>
      </c>
      <c r="JK596" t="s">
        <v>1939</v>
      </c>
      <c r="JM596" t="s">
        <v>14</v>
      </c>
      <c r="JQ596" t="s">
        <v>13</v>
      </c>
      <c r="JR596">
        <v>125</v>
      </c>
      <c r="JU596">
        <v>60</v>
      </c>
      <c r="JV596">
        <v>30</v>
      </c>
      <c r="KF596" t="s">
        <v>1921</v>
      </c>
      <c r="KG596" s="84" t="s">
        <v>1548</v>
      </c>
      <c r="KH596" t="s">
        <v>1941</v>
      </c>
      <c r="KI596">
        <v>2</v>
      </c>
      <c r="KJ596" t="s">
        <v>1940</v>
      </c>
      <c r="KL596" s="8" t="s">
        <v>1943</v>
      </c>
      <c r="KM596" t="s">
        <v>1944</v>
      </c>
      <c r="KN596">
        <v>3</v>
      </c>
      <c r="KP596" s="8" t="s">
        <v>1922</v>
      </c>
      <c r="KQ596" t="s">
        <v>234</v>
      </c>
      <c r="KR596" t="s">
        <v>234</v>
      </c>
      <c r="KT596" t="s">
        <v>1923</v>
      </c>
      <c r="KU596" t="s">
        <v>234</v>
      </c>
      <c r="KV596" t="s">
        <v>234</v>
      </c>
      <c r="LU596" t="s">
        <v>1945</v>
      </c>
      <c r="LZ596" t="s">
        <v>1925</v>
      </c>
      <c r="MA596">
        <v>431.25</v>
      </c>
      <c r="MB596" s="4" t="s">
        <v>29</v>
      </c>
      <c r="MZ596" t="s">
        <v>1926</v>
      </c>
      <c r="NA596" t="s">
        <v>234</v>
      </c>
      <c r="NB596" t="s">
        <v>1927</v>
      </c>
      <c r="NC596" t="s">
        <v>168</v>
      </c>
      <c r="NK596" t="s">
        <v>1932</v>
      </c>
      <c r="NM596" s="4" t="s">
        <v>8</v>
      </c>
      <c r="NN596" s="6" t="s">
        <v>1929</v>
      </c>
      <c r="NW596" t="s">
        <v>6</v>
      </c>
      <c r="NX596">
        <v>47.31</v>
      </c>
      <c r="NY596" t="s">
        <v>234</v>
      </c>
      <c r="NZ596" t="s">
        <v>234</v>
      </c>
      <c r="OC596" s="3">
        <v>3</v>
      </c>
      <c r="OT596" t="s">
        <v>1928</v>
      </c>
      <c r="OU596" t="s">
        <v>6</v>
      </c>
      <c r="OW596">
        <v>2016</v>
      </c>
      <c r="OX596">
        <v>2018</v>
      </c>
      <c r="PA596" t="s">
        <v>1169</v>
      </c>
      <c r="PB596" s="58">
        <v>46129</v>
      </c>
    </row>
    <row r="597" spans="1:418" ht="15.75" thickBot="1">
      <c r="A597" t="s">
        <v>248</v>
      </c>
      <c r="B597" t="s">
        <v>1884</v>
      </c>
      <c r="C597" t="s">
        <v>1885</v>
      </c>
      <c r="D597" s="4" t="s">
        <v>1936</v>
      </c>
      <c r="E597" s="90" t="s">
        <v>1955</v>
      </c>
      <c r="F597" t="s">
        <v>31</v>
      </c>
      <c r="G597" t="s">
        <v>2</v>
      </c>
      <c r="H597" t="s">
        <v>30</v>
      </c>
      <c r="I597">
        <v>30.9</v>
      </c>
      <c r="J597">
        <v>75.75</v>
      </c>
      <c r="K597" t="s">
        <v>29</v>
      </c>
      <c r="AV597" t="s">
        <v>836</v>
      </c>
      <c r="AW597" t="s">
        <v>234</v>
      </c>
      <c r="AX597" t="s">
        <v>234</v>
      </c>
      <c r="AY597">
        <v>2</v>
      </c>
      <c r="AZ597" t="s">
        <v>1937</v>
      </c>
      <c r="BA597">
        <v>2016</v>
      </c>
      <c r="BB597">
        <v>2018</v>
      </c>
      <c r="BD597" t="s">
        <v>1891</v>
      </c>
      <c r="BE597" t="s">
        <v>1951</v>
      </c>
      <c r="BF597" t="s">
        <v>57</v>
      </c>
      <c r="BG597" t="s">
        <v>1233</v>
      </c>
      <c r="BH597" t="s">
        <v>23</v>
      </c>
      <c r="BI597" t="s">
        <v>1914</v>
      </c>
      <c r="BJ597" t="s">
        <v>13</v>
      </c>
      <c r="BK597">
        <v>20</v>
      </c>
      <c r="BL597" t="s">
        <v>56</v>
      </c>
      <c r="BM597" t="s">
        <v>250</v>
      </c>
      <c r="BN597" t="s">
        <v>29</v>
      </c>
      <c r="BO597" t="s">
        <v>29</v>
      </c>
      <c r="BP597" t="s">
        <v>29</v>
      </c>
      <c r="BQ597" t="s">
        <v>275</v>
      </c>
      <c r="BR597" t="s">
        <v>1894</v>
      </c>
      <c r="BS597" t="s">
        <v>29</v>
      </c>
      <c r="BT597" t="s">
        <v>29</v>
      </c>
      <c r="BU597" t="s">
        <v>29</v>
      </c>
      <c r="BV597" t="s">
        <v>275</v>
      </c>
      <c r="BW597" t="s">
        <v>1893</v>
      </c>
      <c r="BX597" t="s">
        <v>29</v>
      </c>
      <c r="BY597" t="s">
        <v>29</v>
      </c>
      <c r="BZ597" t="s">
        <v>29</v>
      </c>
      <c r="CA597" t="s">
        <v>56</v>
      </c>
      <c r="CB597" t="s">
        <v>1174</v>
      </c>
      <c r="CC597" t="s">
        <v>29</v>
      </c>
      <c r="CD597" t="s">
        <v>29</v>
      </c>
      <c r="CE597" t="s">
        <v>29</v>
      </c>
      <c r="HU597" s="58"/>
      <c r="IP597" t="s">
        <v>1896</v>
      </c>
      <c r="IQ597" s="54" t="s">
        <v>1919</v>
      </c>
      <c r="IT597">
        <v>2016</v>
      </c>
      <c r="JK597" t="s">
        <v>1939</v>
      </c>
      <c r="JM597" t="s">
        <v>14</v>
      </c>
      <c r="JQ597" t="s">
        <v>13</v>
      </c>
      <c r="JR597">
        <v>125</v>
      </c>
      <c r="JU597">
        <v>60</v>
      </c>
      <c r="JV597">
        <v>30</v>
      </c>
      <c r="KF597" t="s">
        <v>1921</v>
      </c>
      <c r="KG597" s="84" t="s">
        <v>1548</v>
      </c>
      <c r="KH597" t="s">
        <v>1941</v>
      </c>
      <c r="KI597">
        <v>2</v>
      </c>
      <c r="KJ597" t="s">
        <v>1940</v>
      </c>
      <c r="KL597" s="8" t="s">
        <v>1943</v>
      </c>
      <c r="KM597" t="s">
        <v>1944</v>
      </c>
      <c r="KN597">
        <v>3</v>
      </c>
      <c r="KP597" s="8" t="s">
        <v>1922</v>
      </c>
      <c r="KQ597" t="s">
        <v>234</v>
      </c>
      <c r="KR597" t="s">
        <v>234</v>
      </c>
      <c r="KT597" t="s">
        <v>1923</v>
      </c>
      <c r="KU597" t="s">
        <v>234</v>
      </c>
      <c r="KV597" t="s">
        <v>234</v>
      </c>
      <c r="LU597" t="s">
        <v>1945</v>
      </c>
      <c r="LZ597" t="s">
        <v>1925</v>
      </c>
      <c r="MA597">
        <v>431.25</v>
      </c>
      <c r="MB597" s="4" t="s">
        <v>29</v>
      </c>
      <c r="MZ597" t="s">
        <v>1926</v>
      </c>
      <c r="NA597" t="s">
        <v>234</v>
      </c>
      <c r="NB597" t="s">
        <v>1927</v>
      </c>
      <c r="NC597" t="s">
        <v>168</v>
      </c>
      <c r="NK597" t="s">
        <v>1932</v>
      </c>
      <c r="NM597" s="4" t="s">
        <v>8</v>
      </c>
      <c r="NN597" s="6" t="s">
        <v>1929</v>
      </c>
      <c r="NW597" t="s">
        <v>6</v>
      </c>
      <c r="NX597">
        <v>48.5</v>
      </c>
      <c r="NY597" t="s">
        <v>234</v>
      </c>
      <c r="NZ597" t="s">
        <v>234</v>
      </c>
      <c r="OC597" s="3">
        <v>3</v>
      </c>
      <c r="OT597" t="s">
        <v>1928</v>
      </c>
      <c r="OU597" t="s">
        <v>6</v>
      </c>
      <c r="OW597">
        <v>2016</v>
      </c>
      <c r="OX597">
        <v>2018</v>
      </c>
      <c r="PA597" t="s">
        <v>1169</v>
      </c>
      <c r="PB597" s="58">
        <v>46129</v>
      </c>
    </row>
    <row r="598" spans="1:418" ht="15.75" thickBot="1">
      <c r="A598" t="s">
        <v>248</v>
      </c>
      <c r="B598" t="s">
        <v>1884</v>
      </c>
      <c r="C598" t="s">
        <v>1885</v>
      </c>
      <c r="D598" s="4" t="s">
        <v>1936</v>
      </c>
      <c r="E598" s="90" t="s">
        <v>1955</v>
      </c>
      <c r="F598" t="s">
        <v>31</v>
      </c>
      <c r="G598" t="s">
        <v>2</v>
      </c>
      <c r="H598" t="s">
        <v>30</v>
      </c>
      <c r="I598">
        <v>30.9</v>
      </c>
      <c r="J598">
        <v>75.75</v>
      </c>
      <c r="K598" t="s">
        <v>29</v>
      </c>
      <c r="AV598" t="s">
        <v>836</v>
      </c>
      <c r="AW598" t="s">
        <v>234</v>
      </c>
      <c r="AX598" t="s">
        <v>234</v>
      </c>
      <c r="AY598">
        <v>2</v>
      </c>
      <c r="AZ598" t="s">
        <v>1937</v>
      </c>
      <c r="BA598">
        <v>2016</v>
      </c>
      <c r="BB598">
        <v>2018</v>
      </c>
      <c r="BD598" t="s">
        <v>1891</v>
      </c>
      <c r="BE598" t="s">
        <v>1952</v>
      </c>
      <c r="BF598" t="s">
        <v>48</v>
      </c>
      <c r="BG598" t="s">
        <v>1233</v>
      </c>
      <c r="BH598" t="s">
        <v>23</v>
      </c>
      <c r="BI598" t="s">
        <v>1914</v>
      </c>
      <c r="BJ598" t="s">
        <v>13</v>
      </c>
      <c r="BK598">
        <v>20</v>
      </c>
      <c r="BL598" t="s">
        <v>56</v>
      </c>
      <c r="BM598" t="s">
        <v>250</v>
      </c>
      <c r="BN598" t="s">
        <v>29</v>
      </c>
      <c r="BO598" t="s">
        <v>29</v>
      </c>
      <c r="BP598" t="s">
        <v>29</v>
      </c>
      <c r="BQ598" t="s">
        <v>275</v>
      </c>
      <c r="BR598" t="s">
        <v>1894</v>
      </c>
      <c r="BS598" t="s">
        <v>29</v>
      </c>
      <c r="BT598" t="s">
        <v>29</v>
      </c>
      <c r="BU598" t="s">
        <v>29</v>
      </c>
      <c r="HU598" s="58"/>
      <c r="IP598" t="s">
        <v>1898</v>
      </c>
      <c r="IQ598" s="54" t="s">
        <v>1919</v>
      </c>
      <c r="IT598">
        <v>2016</v>
      </c>
      <c r="JK598" t="s">
        <v>1939</v>
      </c>
      <c r="JM598" t="s">
        <v>14</v>
      </c>
      <c r="JQ598" t="s">
        <v>13</v>
      </c>
      <c r="JR598">
        <v>125</v>
      </c>
      <c r="JU598">
        <v>60</v>
      </c>
      <c r="JV598">
        <v>30</v>
      </c>
      <c r="KF598" t="s">
        <v>1921</v>
      </c>
      <c r="KG598" s="84" t="s">
        <v>1548</v>
      </c>
      <c r="KH598" t="s">
        <v>1941</v>
      </c>
      <c r="KI598">
        <v>2</v>
      </c>
      <c r="KJ598" t="s">
        <v>1940</v>
      </c>
      <c r="KL598" s="8" t="s">
        <v>1943</v>
      </c>
      <c r="KM598" t="s">
        <v>1944</v>
      </c>
      <c r="KN598">
        <v>3</v>
      </c>
      <c r="KP598" s="8" t="s">
        <v>1922</v>
      </c>
      <c r="KQ598" t="s">
        <v>234</v>
      </c>
      <c r="KR598" t="s">
        <v>234</v>
      </c>
      <c r="KT598" t="s">
        <v>1923</v>
      </c>
      <c r="KU598" t="s">
        <v>234</v>
      </c>
      <c r="KV598" t="s">
        <v>234</v>
      </c>
      <c r="LU598" t="s">
        <v>1945</v>
      </c>
      <c r="LZ598" t="s">
        <v>1925</v>
      </c>
      <c r="MA598">
        <v>431.25</v>
      </c>
      <c r="MB598" s="4" t="s">
        <v>29</v>
      </c>
      <c r="MZ598" t="s">
        <v>1926</v>
      </c>
      <c r="NA598" t="s">
        <v>234</v>
      </c>
      <c r="NB598" t="s">
        <v>1927</v>
      </c>
      <c r="NC598" t="s">
        <v>168</v>
      </c>
      <c r="NK598" t="s">
        <v>1932</v>
      </c>
      <c r="NM598" s="4" t="s">
        <v>8</v>
      </c>
      <c r="NN598" s="6" t="s">
        <v>1929</v>
      </c>
      <c r="NW598" t="s">
        <v>6</v>
      </c>
      <c r="NX598">
        <v>48.83</v>
      </c>
      <c r="NY598" t="s">
        <v>234</v>
      </c>
      <c r="NZ598" t="s">
        <v>234</v>
      </c>
      <c r="OC598" s="3">
        <v>3</v>
      </c>
      <c r="OT598" t="s">
        <v>1928</v>
      </c>
      <c r="OU598" t="s">
        <v>6</v>
      </c>
      <c r="OW598">
        <v>2016</v>
      </c>
      <c r="OX598">
        <v>2018</v>
      </c>
      <c r="PA598" t="s">
        <v>1169</v>
      </c>
      <c r="PB598" s="58">
        <v>46129</v>
      </c>
    </row>
    <row r="599" spans="1:418" ht="15.75" thickBot="1">
      <c r="A599" t="s">
        <v>248</v>
      </c>
      <c r="B599" t="s">
        <v>1884</v>
      </c>
      <c r="C599" t="s">
        <v>1885</v>
      </c>
      <c r="D599" s="4" t="s">
        <v>1936</v>
      </c>
      <c r="E599" s="90" t="s">
        <v>1955</v>
      </c>
      <c r="F599" t="s">
        <v>31</v>
      </c>
      <c r="G599" t="s">
        <v>2</v>
      </c>
      <c r="H599" t="s">
        <v>30</v>
      </c>
      <c r="I599">
        <v>30.9</v>
      </c>
      <c r="J599">
        <v>75.75</v>
      </c>
      <c r="K599" t="s">
        <v>29</v>
      </c>
      <c r="AV599" t="s">
        <v>836</v>
      </c>
      <c r="AW599" t="s">
        <v>234</v>
      </c>
      <c r="AX599" t="s">
        <v>234</v>
      </c>
      <c r="AY599">
        <v>2</v>
      </c>
      <c r="AZ599" t="s">
        <v>1937</v>
      </c>
      <c r="BA599">
        <v>2016</v>
      </c>
      <c r="BB599">
        <v>2018</v>
      </c>
      <c r="BD599" t="s">
        <v>1891</v>
      </c>
      <c r="BE599" t="s">
        <v>1953</v>
      </c>
      <c r="BF599" t="s">
        <v>43</v>
      </c>
      <c r="BG599" t="s">
        <v>1233</v>
      </c>
      <c r="BH599" t="s">
        <v>23</v>
      </c>
      <c r="BI599" t="s">
        <v>1914</v>
      </c>
      <c r="BJ599" t="s">
        <v>13</v>
      </c>
      <c r="BK599">
        <v>20</v>
      </c>
      <c r="BL599" t="s">
        <v>56</v>
      </c>
      <c r="BM599" t="s">
        <v>250</v>
      </c>
      <c r="BN599" t="s">
        <v>29</v>
      </c>
      <c r="BO599" t="s">
        <v>29</v>
      </c>
      <c r="BP599" t="s">
        <v>29</v>
      </c>
      <c r="BQ599" t="s">
        <v>275</v>
      </c>
      <c r="BR599" t="s">
        <v>1916</v>
      </c>
      <c r="BS599" t="s">
        <v>29</v>
      </c>
      <c r="BT599" t="s">
        <v>29</v>
      </c>
      <c r="BU599" t="s">
        <v>29</v>
      </c>
      <c r="BV599" t="s">
        <v>275</v>
      </c>
      <c r="BW599" t="s">
        <v>1917</v>
      </c>
      <c r="BX599" t="s">
        <v>29</v>
      </c>
      <c r="BY599" t="s">
        <v>29</v>
      </c>
      <c r="BZ599" t="s">
        <v>29</v>
      </c>
      <c r="HU599" s="58"/>
      <c r="IP599" t="s">
        <v>1900</v>
      </c>
      <c r="IQ599" s="54" t="s">
        <v>1919</v>
      </c>
      <c r="IT599">
        <v>2016</v>
      </c>
      <c r="JK599" t="s">
        <v>1939</v>
      </c>
      <c r="JM599" t="s">
        <v>14</v>
      </c>
      <c r="JQ599" t="s">
        <v>13</v>
      </c>
      <c r="JR599">
        <v>125</v>
      </c>
      <c r="JU599">
        <v>60</v>
      </c>
      <c r="JV599">
        <v>30</v>
      </c>
      <c r="KF599" t="s">
        <v>1921</v>
      </c>
      <c r="KG599" s="84" t="s">
        <v>1548</v>
      </c>
      <c r="KH599" t="s">
        <v>1941</v>
      </c>
      <c r="KI599">
        <v>2</v>
      </c>
      <c r="KJ599" t="s">
        <v>1940</v>
      </c>
      <c r="KL599" s="8" t="s">
        <v>1943</v>
      </c>
      <c r="KM599" t="s">
        <v>1944</v>
      </c>
      <c r="KN599">
        <v>3</v>
      </c>
      <c r="KP599" s="8" t="s">
        <v>1922</v>
      </c>
      <c r="KQ599" t="s">
        <v>234</v>
      </c>
      <c r="KR599" t="s">
        <v>234</v>
      </c>
      <c r="KT599" t="s">
        <v>1923</v>
      </c>
      <c r="KU599" t="s">
        <v>234</v>
      </c>
      <c r="KV599" t="s">
        <v>234</v>
      </c>
      <c r="LU599" t="s">
        <v>1945</v>
      </c>
      <c r="LZ599" t="s">
        <v>1925</v>
      </c>
      <c r="MA599">
        <v>431.25</v>
      </c>
      <c r="MB599" s="4" t="s">
        <v>29</v>
      </c>
      <c r="MZ599" t="s">
        <v>1926</v>
      </c>
      <c r="NA599" t="s">
        <v>234</v>
      </c>
      <c r="NB599" t="s">
        <v>1927</v>
      </c>
      <c r="NC599" t="s">
        <v>168</v>
      </c>
      <c r="NK599" t="s">
        <v>1932</v>
      </c>
      <c r="NM599" s="4" t="s">
        <v>8</v>
      </c>
      <c r="NN599" s="6" t="s">
        <v>1929</v>
      </c>
      <c r="NW599" t="s">
        <v>6</v>
      </c>
      <c r="NX599">
        <v>49.19</v>
      </c>
      <c r="NY599" t="s">
        <v>234</v>
      </c>
      <c r="NZ599" t="s">
        <v>234</v>
      </c>
      <c r="OC599" s="3">
        <v>3</v>
      </c>
      <c r="OT599" t="s">
        <v>1928</v>
      </c>
      <c r="OU599" t="s">
        <v>6</v>
      </c>
      <c r="OW599">
        <v>2016</v>
      </c>
      <c r="OX599">
        <v>2018</v>
      </c>
      <c r="PA599" t="s">
        <v>1169</v>
      </c>
      <c r="PB599" s="58">
        <v>46129</v>
      </c>
    </row>
    <row r="600" spans="1:418" ht="15.75" thickBot="1">
      <c r="A600" t="s">
        <v>248</v>
      </c>
      <c r="B600" t="s">
        <v>1884</v>
      </c>
      <c r="C600" t="s">
        <v>1885</v>
      </c>
      <c r="D600" s="4" t="s">
        <v>1936</v>
      </c>
      <c r="E600" s="90" t="s">
        <v>1955</v>
      </c>
      <c r="F600" t="s">
        <v>31</v>
      </c>
      <c r="G600" t="s">
        <v>2</v>
      </c>
      <c r="H600" t="s">
        <v>30</v>
      </c>
      <c r="I600">
        <v>30.9</v>
      </c>
      <c r="J600">
        <v>75.75</v>
      </c>
      <c r="K600" t="s">
        <v>29</v>
      </c>
      <c r="AV600" t="s">
        <v>836</v>
      </c>
      <c r="AW600" t="s">
        <v>234</v>
      </c>
      <c r="AX600" t="s">
        <v>234</v>
      </c>
      <c r="AY600">
        <v>2</v>
      </c>
      <c r="AZ600" t="s">
        <v>1937</v>
      </c>
      <c r="BA600">
        <v>2016</v>
      </c>
      <c r="BB600">
        <v>2018</v>
      </c>
      <c r="BD600" t="s">
        <v>1891</v>
      </c>
      <c r="BE600" s="3" t="s">
        <v>1902</v>
      </c>
      <c r="BF600" t="s">
        <v>252</v>
      </c>
      <c r="BG600" t="s">
        <v>1233</v>
      </c>
      <c r="BH600" t="s">
        <v>23</v>
      </c>
      <c r="BI600" t="s">
        <v>1914</v>
      </c>
      <c r="BJ600" t="s">
        <v>13</v>
      </c>
      <c r="BK600">
        <v>20</v>
      </c>
      <c r="BL600" t="s">
        <v>275</v>
      </c>
      <c r="BM600" t="s">
        <v>1918</v>
      </c>
      <c r="BN600" t="s">
        <v>29</v>
      </c>
      <c r="BO600" t="s">
        <v>29</v>
      </c>
      <c r="BP600" t="s">
        <v>29</v>
      </c>
      <c r="BQ600" t="s">
        <v>275</v>
      </c>
      <c r="BR600" t="s">
        <v>1916</v>
      </c>
      <c r="BS600" t="s">
        <v>29</v>
      </c>
      <c r="BT600" t="s">
        <v>29</v>
      </c>
      <c r="BU600" t="s">
        <v>29</v>
      </c>
      <c r="BV600" t="s">
        <v>275</v>
      </c>
      <c r="BW600" t="s">
        <v>1917</v>
      </c>
      <c r="BX600" t="s">
        <v>29</v>
      </c>
      <c r="BY600" t="s">
        <v>29</v>
      </c>
      <c r="BZ600" t="s">
        <v>29</v>
      </c>
      <c r="HU600" s="58"/>
      <c r="IP600" t="s">
        <v>1902</v>
      </c>
      <c r="IQ600" s="54" t="s">
        <v>1919</v>
      </c>
      <c r="IT600">
        <v>2016</v>
      </c>
      <c r="JK600" t="s">
        <v>1939</v>
      </c>
      <c r="JM600" t="s">
        <v>14</v>
      </c>
      <c r="JQ600" t="s">
        <v>13</v>
      </c>
      <c r="JR600">
        <v>125</v>
      </c>
      <c r="JU600">
        <v>60</v>
      </c>
      <c r="JV600">
        <v>30</v>
      </c>
      <c r="KF600" t="s">
        <v>1921</v>
      </c>
      <c r="KG600" s="84" t="s">
        <v>1548</v>
      </c>
      <c r="KH600" t="s">
        <v>1941</v>
      </c>
      <c r="KI600">
        <v>2</v>
      </c>
      <c r="KJ600" t="s">
        <v>1940</v>
      </c>
      <c r="KL600" s="8" t="s">
        <v>1943</v>
      </c>
      <c r="KM600" t="s">
        <v>1944</v>
      </c>
      <c r="KN600">
        <v>3</v>
      </c>
      <c r="KP600" s="8" t="s">
        <v>1922</v>
      </c>
      <c r="KQ600" t="s">
        <v>234</v>
      </c>
      <c r="KR600" t="s">
        <v>234</v>
      </c>
      <c r="KT600" t="s">
        <v>1923</v>
      </c>
      <c r="KU600" t="s">
        <v>234</v>
      </c>
      <c r="KV600" t="s">
        <v>234</v>
      </c>
      <c r="LU600" t="s">
        <v>1945</v>
      </c>
      <c r="LZ600" t="s">
        <v>1925</v>
      </c>
      <c r="MA600">
        <v>431.25</v>
      </c>
      <c r="MB600" s="4" t="s">
        <v>29</v>
      </c>
      <c r="MZ600" t="s">
        <v>1926</v>
      </c>
      <c r="NA600" t="s">
        <v>234</v>
      </c>
      <c r="NB600" t="s">
        <v>1927</v>
      </c>
      <c r="NC600" t="s">
        <v>168</v>
      </c>
      <c r="NK600" t="s">
        <v>1932</v>
      </c>
      <c r="NM600" s="4" t="s">
        <v>8</v>
      </c>
      <c r="NN600" s="6" t="s">
        <v>1929</v>
      </c>
      <c r="NW600" t="s">
        <v>6</v>
      </c>
      <c r="NX600">
        <v>47.04</v>
      </c>
      <c r="NY600" t="s">
        <v>234</v>
      </c>
      <c r="NZ600" t="s">
        <v>234</v>
      </c>
      <c r="OC600" s="3">
        <v>3</v>
      </c>
      <c r="OT600" t="s">
        <v>1928</v>
      </c>
      <c r="OU600" t="s">
        <v>6</v>
      </c>
      <c r="OW600">
        <v>2016</v>
      </c>
      <c r="OX600">
        <v>2018</v>
      </c>
      <c r="PA600" t="s">
        <v>1169</v>
      </c>
      <c r="PB600" s="58">
        <v>46129</v>
      </c>
    </row>
    <row r="601" spans="1:418" ht="15.75" thickBot="1">
      <c r="A601" t="s">
        <v>248</v>
      </c>
      <c r="B601" t="s">
        <v>1884</v>
      </c>
      <c r="C601" t="s">
        <v>1885</v>
      </c>
      <c r="D601" s="4" t="s">
        <v>1936</v>
      </c>
      <c r="E601" s="90" t="s">
        <v>1955</v>
      </c>
      <c r="F601" t="s">
        <v>31</v>
      </c>
      <c r="G601" t="s">
        <v>2</v>
      </c>
      <c r="H601" t="s">
        <v>30</v>
      </c>
      <c r="I601">
        <v>30.9</v>
      </c>
      <c r="J601">
        <v>75.75</v>
      </c>
      <c r="K601" t="s">
        <v>29</v>
      </c>
      <c r="AV601" t="s">
        <v>836</v>
      </c>
      <c r="AW601" t="s">
        <v>234</v>
      </c>
      <c r="AX601" t="s">
        <v>234</v>
      </c>
      <c r="AY601">
        <v>2</v>
      </c>
      <c r="AZ601" t="s">
        <v>1937</v>
      </c>
      <c r="BA601">
        <v>2016</v>
      </c>
      <c r="BB601">
        <v>2018</v>
      </c>
      <c r="BD601" t="s">
        <v>1891</v>
      </c>
      <c r="BE601" s="15" t="s">
        <v>1954</v>
      </c>
      <c r="BF601" t="s">
        <v>236</v>
      </c>
      <c r="BG601" t="s">
        <v>1233</v>
      </c>
      <c r="BH601" t="s">
        <v>23</v>
      </c>
      <c r="BI601" t="s">
        <v>1914</v>
      </c>
      <c r="BJ601" t="s">
        <v>13</v>
      </c>
      <c r="BK601">
        <v>20</v>
      </c>
      <c r="BL601" t="s">
        <v>56</v>
      </c>
      <c r="BM601" t="s">
        <v>250</v>
      </c>
      <c r="BN601" t="s">
        <v>29</v>
      </c>
      <c r="BO601" t="s">
        <v>29</v>
      </c>
      <c r="BP601" t="s">
        <v>29</v>
      </c>
      <c r="BQ601" t="s">
        <v>275</v>
      </c>
      <c r="BR601" t="s">
        <v>1918</v>
      </c>
      <c r="BS601" t="s">
        <v>29</v>
      </c>
      <c r="BT601" t="s">
        <v>29</v>
      </c>
      <c r="BU601" t="s">
        <v>29</v>
      </c>
      <c r="BV601" t="s">
        <v>275</v>
      </c>
      <c r="BW601" t="s">
        <v>1916</v>
      </c>
      <c r="BX601" t="s">
        <v>29</v>
      </c>
      <c r="BY601" t="s">
        <v>29</v>
      </c>
      <c r="BZ601" t="s">
        <v>29</v>
      </c>
      <c r="CA601" t="s">
        <v>275</v>
      </c>
      <c r="CB601" t="s">
        <v>1917</v>
      </c>
      <c r="CC601" t="s">
        <v>29</v>
      </c>
      <c r="CD601" t="s">
        <v>29</v>
      </c>
      <c r="CE601" t="s">
        <v>29</v>
      </c>
      <c r="HU601" s="58"/>
      <c r="IP601" t="s">
        <v>1904</v>
      </c>
      <c r="IQ601" s="54" t="s">
        <v>1919</v>
      </c>
      <c r="IT601">
        <v>2016</v>
      </c>
      <c r="JK601" t="s">
        <v>1939</v>
      </c>
      <c r="JM601" t="s">
        <v>14</v>
      </c>
      <c r="JQ601" t="s">
        <v>13</v>
      </c>
      <c r="JR601">
        <v>125</v>
      </c>
      <c r="JU601">
        <v>60</v>
      </c>
      <c r="JV601">
        <v>30</v>
      </c>
      <c r="KF601" t="s">
        <v>1921</v>
      </c>
      <c r="KG601" s="84" t="s">
        <v>1548</v>
      </c>
      <c r="KH601" t="s">
        <v>1941</v>
      </c>
      <c r="KI601">
        <v>2</v>
      </c>
      <c r="KJ601" t="s">
        <v>1940</v>
      </c>
      <c r="KL601" s="8" t="s">
        <v>1943</v>
      </c>
      <c r="KM601" t="s">
        <v>1944</v>
      </c>
      <c r="KN601">
        <v>3</v>
      </c>
      <c r="KP601" s="8" t="s">
        <v>1922</v>
      </c>
      <c r="KQ601" t="s">
        <v>234</v>
      </c>
      <c r="KR601" t="s">
        <v>234</v>
      </c>
      <c r="KT601" t="s">
        <v>1923</v>
      </c>
      <c r="KU601" t="s">
        <v>234</v>
      </c>
      <c r="KV601" t="s">
        <v>234</v>
      </c>
      <c r="LU601" t="s">
        <v>1945</v>
      </c>
      <c r="LZ601" t="s">
        <v>1925</v>
      </c>
      <c r="MA601">
        <v>431.25</v>
      </c>
      <c r="MB601" s="4" t="s">
        <v>29</v>
      </c>
      <c r="MZ601" t="s">
        <v>1926</v>
      </c>
      <c r="NA601" t="s">
        <v>234</v>
      </c>
      <c r="NB601" t="s">
        <v>1927</v>
      </c>
      <c r="NC601" t="s">
        <v>168</v>
      </c>
      <c r="NK601" t="s">
        <v>1932</v>
      </c>
      <c r="NM601" s="4" t="s">
        <v>8</v>
      </c>
      <c r="NN601" s="6" t="s">
        <v>1929</v>
      </c>
      <c r="NW601" t="s">
        <v>6</v>
      </c>
      <c r="NX601">
        <v>49.59</v>
      </c>
      <c r="NY601" t="s">
        <v>234</v>
      </c>
      <c r="NZ601" t="s">
        <v>234</v>
      </c>
      <c r="OC601" s="3">
        <v>3</v>
      </c>
      <c r="OT601" t="s">
        <v>1928</v>
      </c>
      <c r="OU601" t="s">
        <v>6</v>
      </c>
      <c r="OW601">
        <v>2016</v>
      </c>
      <c r="OX601">
        <v>2018</v>
      </c>
      <c r="PA601" t="s">
        <v>1169</v>
      </c>
      <c r="PB601" s="58">
        <v>46129</v>
      </c>
    </row>
    <row r="602" spans="1:418" ht="15.75" thickBot="1">
      <c r="A602" t="s">
        <v>248</v>
      </c>
      <c r="B602" t="s">
        <v>1884</v>
      </c>
      <c r="C602" t="s">
        <v>1885</v>
      </c>
      <c r="D602" s="4" t="s">
        <v>1936</v>
      </c>
      <c r="E602" s="90" t="s">
        <v>1955</v>
      </c>
      <c r="F602" t="s">
        <v>31</v>
      </c>
      <c r="G602" t="s">
        <v>2</v>
      </c>
      <c r="H602" t="s">
        <v>30</v>
      </c>
      <c r="I602">
        <v>30.9</v>
      </c>
      <c r="J602">
        <v>75.75</v>
      </c>
      <c r="K602" t="s">
        <v>29</v>
      </c>
      <c r="AV602" t="s">
        <v>836</v>
      </c>
      <c r="AW602" t="s">
        <v>234</v>
      </c>
      <c r="AX602" t="s">
        <v>234</v>
      </c>
      <c r="AY602">
        <v>2</v>
      </c>
      <c r="AZ602" t="s">
        <v>1937</v>
      </c>
      <c r="BA602">
        <v>2016</v>
      </c>
      <c r="BB602">
        <v>2018</v>
      </c>
      <c r="BD602" t="s">
        <v>1886</v>
      </c>
      <c r="BE602" t="s">
        <v>1887</v>
      </c>
      <c r="BF602" t="s">
        <v>39</v>
      </c>
      <c r="BG602" t="s">
        <v>1233</v>
      </c>
      <c r="BH602" t="s">
        <v>23</v>
      </c>
      <c r="BI602" t="s">
        <v>1914</v>
      </c>
      <c r="BJ602" t="s">
        <v>13</v>
      </c>
      <c r="BK602">
        <v>20</v>
      </c>
      <c r="BL602" t="s">
        <v>275</v>
      </c>
      <c r="BM602" t="s">
        <v>1888</v>
      </c>
      <c r="BN602" t="s">
        <v>29</v>
      </c>
      <c r="BO602" t="s">
        <v>29</v>
      </c>
      <c r="BP602" t="s">
        <v>29</v>
      </c>
      <c r="HU602" s="58">
        <v>42539</v>
      </c>
      <c r="IP602" t="s">
        <v>1887</v>
      </c>
      <c r="IQ602" s="54" t="s">
        <v>1920</v>
      </c>
      <c r="IT602">
        <v>2016</v>
      </c>
      <c r="JK602" t="s">
        <v>1939</v>
      </c>
      <c r="JM602" t="s">
        <v>14</v>
      </c>
      <c r="JQ602" t="s">
        <v>13</v>
      </c>
      <c r="JR602">
        <v>125</v>
      </c>
      <c r="JU602">
        <v>60</v>
      </c>
      <c r="JV602">
        <v>30</v>
      </c>
      <c r="KF602" t="s">
        <v>1921</v>
      </c>
      <c r="KG602" s="84" t="s">
        <v>1548</v>
      </c>
      <c r="KH602" t="s">
        <v>1941</v>
      </c>
      <c r="KI602">
        <v>2</v>
      </c>
      <c r="KJ602" t="s">
        <v>1940</v>
      </c>
      <c r="KL602" s="8" t="s">
        <v>1943</v>
      </c>
      <c r="KM602" t="s">
        <v>1944</v>
      </c>
      <c r="KN602">
        <v>3</v>
      </c>
      <c r="KP602" s="8" t="s">
        <v>1922</v>
      </c>
      <c r="KQ602" t="s">
        <v>234</v>
      </c>
      <c r="KR602" t="s">
        <v>234</v>
      </c>
      <c r="KT602" t="s">
        <v>1923</v>
      </c>
      <c r="KU602" t="s">
        <v>234</v>
      </c>
      <c r="KV602" t="s">
        <v>234</v>
      </c>
      <c r="LU602" t="s">
        <v>1945</v>
      </c>
      <c r="LZ602" t="s">
        <v>1925</v>
      </c>
      <c r="MA602">
        <v>206.25</v>
      </c>
      <c r="MB602" s="4" t="s">
        <v>29</v>
      </c>
      <c r="MJ602" s="58">
        <v>42997</v>
      </c>
      <c r="MK602" s="58">
        <v>42997</v>
      </c>
      <c r="MZ602" t="s">
        <v>1926</v>
      </c>
      <c r="NA602" t="s">
        <v>234</v>
      </c>
      <c r="NC602" t="s">
        <v>168</v>
      </c>
      <c r="NJ602" t="s">
        <v>1933</v>
      </c>
      <c r="NK602" t="s">
        <v>1935</v>
      </c>
      <c r="NL602" t="s">
        <v>1934</v>
      </c>
      <c r="NM602" s="4" t="s">
        <v>1931</v>
      </c>
      <c r="NN602" s="6" t="s">
        <v>1930</v>
      </c>
      <c r="NV602" t="s">
        <v>1558</v>
      </c>
      <c r="NW602" t="s">
        <v>6</v>
      </c>
      <c r="NX602">
        <v>2.41</v>
      </c>
      <c r="NY602" t="s">
        <v>234</v>
      </c>
      <c r="NZ602" t="s">
        <v>234</v>
      </c>
      <c r="OC602" s="3">
        <v>3</v>
      </c>
      <c r="OT602" t="s">
        <v>1928</v>
      </c>
      <c r="OU602" t="s">
        <v>6</v>
      </c>
      <c r="OW602">
        <v>2016</v>
      </c>
      <c r="OX602">
        <v>2017</v>
      </c>
      <c r="PA602" t="s">
        <v>1169</v>
      </c>
      <c r="PB602" s="58">
        <v>46129</v>
      </c>
    </row>
    <row r="603" spans="1:418" ht="15.75" thickBot="1">
      <c r="A603" t="s">
        <v>248</v>
      </c>
      <c r="B603" t="s">
        <v>1884</v>
      </c>
      <c r="C603" t="s">
        <v>1885</v>
      </c>
      <c r="D603" s="4" t="s">
        <v>1936</v>
      </c>
      <c r="E603" s="90" t="s">
        <v>1955</v>
      </c>
      <c r="F603" t="s">
        <v>31</v>
      </c>
      <c r="G603" t="s">
        <v>2</v>
      </c>
      <c r="H603" t="s">
        <v>30</v>
      </c>
      <c r="I603">
        <v>30.9</v>
      </c>
      <c r="J603">
        <v>75.75</v>
      </c>
      <c r="K603" t="s">
        <v>29</v>
      </c>
      <c r="AV603" t="s">
        <v>836</v>
      </c>
      <c r="AW603" t="s">
        <v>234</v>
      </c>
      <c r="AX603" t="s">
        <v>234</v>
      </c>
      <c r="AY603">
        <v>2</v>
      </c>
      <c r="AZ603" t="s">
        <v>1937</v>
      </c>
      <c r="BA603">
        <v>2016</v>
      </c>
      <c r="BB603">
        <v>2018</v>
      </c>
      <c r="BD603" t="s">
        <v>1891</v>
      </c>
      <c r="BE603" t="s">
        <v>1906</v>
      </c>
      <c r="BF603" t="s">
        <v>64</v>
      </c>
      <c r="BG603" t="s">
        <v>1233</v>
      </c>
      <c r="BH603" t="s">
        <v>23</v>
      </c>
      <c r="BI603" t="s">
        <v>1914</v>
      </c>
      <c r="BJ603" t="s">
        <v>13</v>
      </c>
      <c r="BK603">
        <v>20</v>
      </c>
      <c r="BL603" t="s">
        <v>275</v>
      </c>
      <c r="BM603" t="s">
        <v>1894</v>
      </c>
      <c r="BN603" t="s">
        <v>29</v>
      </c>
      <c r="BO603" t="s">
        <v>29</v>
      </c>
      <c r="BP603" t="s">
        <v>29</v>
      </c>
      <c r="BQ603" t="s">
        <v>275</v>
      </c>
      <c r="BR603" t="s">
        <v>1893</v>
      </c>
      <c r="BS603" t="s">
        <v>29</v>
      </c>
      <c r="BT603" t="s">
        <v>29</v>
      </c>
      <c r="BU603" t="s">
        <v>29</v>
      </c>
      <c r="BV603" t="s">
        <v>56</v>
      </c>
      <c r="BW603" t="s">
        <v>1174</v>
      </c>
      <c r="BX603" t="s">
        <v>29</v>
      </c>
      <c r="BY603" t="s">
        <v>29</v>
      </c>
      <c r="BZ603" t="s">
        <v>29</v>
      </c>
      <c r="HU603" s="58">
        <v>42539</v>
      </c>
      <c r="IP603" t="s">
        <v>1892</v>
      </c>
      <c r="IQ603" s="54" t="s">
        <v>1919</v>
      </c>
      <c r="IT603">
        <v>2016</v>
      </c>
      <c r="JK603" t="s">
        <v>1939</v>
      </c>
      <c r="JM603" t="s">
        <v>14</v>
      </c>
      <c r="JQ603" t="s">
        <v>13</v>
      </c>
      <c r="JR603">
        <v>125</v>
      </c>
      <c r="JU603">
        <v>60</v>
      </c>
      <c r="JV603">
        <v>30</v>
      </c>
      <c r="KF603" t="s">
        <v>1921</v>
      </c>
      <c r="KG603" s="84" t="s">
        <v>1548</v>
      </c>
      <c r="KH603" t="s">
        <v>1941</v>
      </c>
      <c r="KI603">
        <v>2</v>
      </c>
      <c r="KJ603" t="s">
        <v>1940</v>
      </c>
      <c r="KL603" s="8" t="s">
        <v>1943</v>
      </c>
      <c r="KM603" t="s">
        <v>1944</v>
      </c>
      <c r="KN603">
        <v>3</v>
      </c>
      <c r="KP603" s="8" t="s">
        <v>1922</v>
      </c>
      <c r="KQ603" t="s">
        <v>234</v>
      </c>
      <c r="KR603" t="s">
        <v>234</v>
      </c>
      <c r="KT603" t="s">
        <v>1923</v>
      </c>
      <c r="KU603" t="s">
        <v>234</v>
      </c>
      <c r="KV603" t="s">
        <v>234</v>
      </c>
      <c r="LU603" t="s">
        <v>1945</v>
      </c>
      <c r="LZ603" t="s">
        <v>1925</v>
      </c>
      <c r="MA603">
        <v>206.25</v>
      </c>
      <c r="MB603" s="4" t="s">
        <v>29</v>
      </c>
      <c r="MJ603" s="58">
        <v>42997</v>
      </c>
      <c r="MK603" s="58">
        <v>42997</v>
      </c>
      <c r="MZ603" t="s">
        <v>1926</v>
      </c>
      <c r="NA603" t="s">
        <v>234</v>
      </c>
      <c r="NC603" t="s">
        <v>168</v>
      </c>
      <c r="NJ603" t="s">
        <v>1933</v>
      </c>
      <c r="NK603" t="s">
        <v>1935</v>
      </c>
      <c r="NL603" t="s">
        <v>1934</v>
      </c>
      <c r="NM603" s="4" t="s">
        <v>1931</v>
      </c>
      <c r="NN603" s="6" t="s">
        <v>1930</v>
      </c>
      <c r="NW603" t="s">
        <v>6</v>
      </c>
      <c r="NX603">
        <v>2.42</v>
      </c>
      <c r="NY603" t="s">
        <v>234</v>
      </c>
      <c r="NZ603" t="s">
        <v>234</v>
      </c>
      <c r="OC603" s="3">
        <v>3</v>
      </c>
      <c r="OT603" t="s">
        <v>1928</v>
      </c>
      <c r="OU603" t="s">
        <v>6</v>
      </c>
      <c r="OW603">
        <v>2016</v>
      </c>
      <c r="OX603">
        <v>2017</v>
      </c>
      <c r="PA603" t="s">
        <v>1169</v>
      </c>
      <c r="PB603" s="58">
        <v>46129</v>
      </c>
    </row>
    <row r="604" spans="1:418" ht="15.75" thickBot="1">
      <c r="A604" t="s">
        <v>248</v>
      </c>
      <c r="B604" t="s">
        <v>1884</v>
      </c>
      <c r="C604" t="s">
        <v>1885</v>
      </c>
      <c r="D604" s="4" t="s">
        <v>1936</v>
      </c>
      <c r="E604" s="90" t="s">
        <v>1955</v>
      </c>
      <c r="F604" t="s">
        <v>31</v>
      </c>
      <c r="G604" t="s">
        <v>2</v>
      </c>
      <c r="H604" t="s">
        <v>30</v>
      </c>
      <c r="I604">
        <v>30.9</v>
      </c>
      <c r="J604">
        <v>75.75</v>
      </c>
      <c r="K604" t="s">
        <v>29</v>
      </c>
      <c r="AV604" t="s">
        <v>836</v>
      </c>
      <c r="AW604" t="s">
        <v>234</v>
      </c>
      <c r="AX604" t="s">
        <v>234</v>
      </c>
      <c r="AY604">
        <v>2</v>
      </c>
      <c r="AZ604" t="s">
        <v>1937</v>
      </c>
      <c r="BA604">
        <v>2016</v>
      </c>
      <c r="BB604">
        <v>2018</v>
      </c>
      <c r="BD604" t="s">
        <v>1891</v>
      </c>
      <c r="BE604" t="s">
        <v>1951</v>
      </c>
      <c r="BF604" t="s">
        <v>57</v>
      </c>
      <c r="BG604" t="s">
        <v>1233</v>
      </c>
      <c r="BH604" t="s">
        <v>23</v>
      </c>
      <c r="BI604" t="s">
        <v>1914</v>
      </c>
      <c r="BJ604" t="s">
        <v>13</v>
      </c>
      <c r="BK604">
        <v>20</v>
      </c>
      <c r="BL604" t="s">
        <v>56</v>
      </c>
      <c r="BM604" t="s">
        <v>250</v>
      </c>
      <c r="BN604" t="s">
        <v>29</v>
      </c>
      <c r="BO604" t="s">
        <v>29</v>
      </c>
      <c r="BP604" t="s">
        <v>29</v>
      </c>
      <c r="BQ604" t="s">
        <v>275</v>
      </c>
      <c r="BR604" t="s">
        <v>1894</v>
      </c>
      <c r="BS604" t="s">
        <v>29</v>
      </c>
      <c r="BT604" t="s">
        <v>29</v>
      </c>
      <c r="BU604" t="s">
        <v>29</v>
      </c>
      <c r="BV604" t="s">
        <v>275</v>
      </c>
      <c r="BW604" t="s">
        <v>1893</v>
      </c>
      <c r="BX604" t="s">
        <v>29</v>
      </c>
      <c r="BY604" t="s">
        <v>29</v>
      </c>
      <c r="BZ604" t="s">
        <v>29</v>
      </c>
      <c r="CA604" t="s">
        <v>56</v>
      </c>
      <c r="CB604" t="s">
        <v>1174</v>
      </c>
      <c r="CC604" t="s">
        <v>29</v>
      </c>
      <c r="CD604" t="s">
        <v>29</v>
      </c>
      <c r="CE604" t="s">
        <v>29</v>
      </c>
      <c r="HU604" s="58">
        <v>42539</v>
      </c>
      <c r="IP604" t="s">
        <v>1896</v>
      </c>
      <c r="IQ604" s="54" t="s">
        <v>1919</v>
      </c>
      <c r="IT604">
        <v>2016</v>
      </c>
      <c r="JK604" t="s">
        <v>1939</v>
      </c>
      <c r="JM604" t="s">
        <v>14</v>
      </c>
      <c r="JQ604" t="s">
        <v>13</v>
      </c>
      <c r="JR604">
        <v>125</v>
      </c>
      <c r="JU604">
        <v>60</v>
      </c>
      <c r="JV604">
        <v>30</v>
      </c>
      <c r="KF604" t="s">
        <v>1921</v>
      </c>
      <c r="KG604" s="84" t="s">
        <v>1548</v>
      </c>
      <c r="KH604" t="s">
        <v>1941</v>
      </c>
      <c r="KI604">
        <v>2</v>
      </c>
      <c r="KJ604" t="s">
        <v>1940</v>
      </c>
      <c r="KL604" s="8" t="s">
        <v>1943</v>
      </c>
      <c r="KM604" t="s">
        <v>1944</v>
      </c>
      <c r="KN604">
        <v>3</v>
      </c>
      <c r="KP604" s="8" t="s">
        <v>1922</v>
      </c>
      <c r="KQ604" t="s">
        <v>234</v>
      </c>
      <c r="KR604" t="s">
        <v>234</v>
      </c>
      <c r="KT604" t="s">
        <v>1923</v>
      </c>
      <c r="KU604" t="s">
        <v>234</v>
      </c>
      <c r="KV604" t="s">
        <v>234</v>
      </c>
      <c r="LU604" t="s">
        <v>1945</v>
      </c>
      <c r="LZ604" t="s">
        <v>1925</v>
      </c>
      <c r="MA604">
        <v>206.25</v>
      </c>
      <c r="MB604" s="4" t="s">
        <v>29</v>
      </c>
      <c r="MJ604" s="58">
        <v>42997</v>
      </c>
      <c r="MK604" s="58">
        <v>42997</v>
      </c>
      <c r="MZ604" t="s">
        <v>1926</v>
      </c>
      <c r="NA604" t="s">
        <v>234</v>
      </c>
      <c r="NC604" t="s">
        <v>168</v>
      </c>
      <c r="NJ604" t="s">
        <v>1933</v>
      </c>
      <c r="NK604" t="s">
        <v>1935</v>
      </c>
      <c r="NL604" t="s">
        <v>1934</v>
      </c>
      <c r="NM604" s="4" t="s">
        <v>1931</v>
      </c>
      <c r="NN604" s="6" t="s">
        <v>1930</v>
      </c>
      <c r="NW604" t="s">
        <v>6</v>
      </c>
      <c r="NX604">
        <v>2.44</v>
      </c>
      <c r="NY604" t="s">
        <v>234</v>
      </c>
      <c r="NZ604" t="s">
        <v>234</v>
      </c>
      <c r="OC604" s="3">
        <v>3</v>
      </c>
      <c r="OT604" t="s">
        <v>1928</v>
      </c>
      <c r="OU604" t="s">
        <v>6</v>
      </c>
      <c r="OW604">
        <v>2016</v>
      </c>
      <c r="OX604">
        <v>2017</v>
      </c>
      <c r="PA604" t="s">
        <v>1169</v>
      </c>
      <c r="PB604" s="58">
        <v>46129</v>
      </c>
    </row>
    <row r="605" spans="1:418" ht="15.75" thickBot="1">
      <c r="A605" t="s">
        <v>248</v>
      </c>
      <c r="B605" t="s">
        <v>1884</v>
      </c>
      <c r="C605" t="s">
        <v>1885</v>
      </c>
      <c r="D605" s="4" t="s">
        <v>1936</v>
      </c>
      <c r="E605" s="90" t="s">
        <v>1955</v>
      </c>
      <c r="F605" t="s">
        <v>31</v>
      </c>
      <c r="G605" t="s">
        <v>2</v>
      </c>
      <c r="H605" t="s">
        <v>30</v>
      </c>
      <c r="I605">
        <v>30.9</v>
      </c>
      <c r="J605">
        <v>75.75</v>
      </c>
      <c r="K605" t="s">
        <v>29</v>
      </c>
      <c r="AV605" t="s">
        <v>836</v>
      </c>
      <c r="AW605" t="s">
        <v>234</v>
      </c>
      <c r="AX605" t="s">
        <v>234</v>
      </c>
      <c r="AY605">
        <v>2</v>
      </c>
      <c r="AZ605" t="s">
        <v>1937</v>
      </c>
      <c r="BA605">
        <v>2016</v>
      </c>
      <c r="BB605">
        <v>2018</v>
      </c>
      <c r="BD605" t="s">
        <v>1891</v>
      </c>
      <c r="BE605" t="s">
        <v>1952</v>
      </c>
      <c r="BF605" t="s">
        <v>48</v>
      </c>
      <c r="BG605" t="s">
        <v>1233</v>
      </c>
      <c r="BH605" t="s">
        <v>23</v>
      </c>
      <c r="BI605" t="s">
        <v>1914</v>
      </c>
      <c r="BJ605" t="s">
        <v>13</v>
      </c>
      <c r="BK605">
        <v>20</v>
      </c>
      <c r="BL605" t="s">
        <v>56</v>
      </c>
      <c r="BM605" t="s">
        <v>250</v>
      </c>
      <c r="BN605" t="s">
        <v>29</v>
      </c>
      <c r="BO605" t="s">
        <v>29</v>
      </c>
      <c r="BP605" t="s">
        <v>29</v>
      </c>
      <c r="BQ605" t="s">
        <v>275</v>
      </c>
      <c r="BR605" t="s">
        <v>1894</v>
      </c>
      <c r="BS605" t="s">
        <v>29</v>
      </c>
      <c r="BT605" t="s">
        <v>29</v>
      </c>
      <c r="BU605" t="s">
        <v>29</v>
      </c>
      <c r="HU605" s="58">
        <v>42539</v>
      </c>
      <c r="IP605" t="s">
        <v>1898</v>
      </c>
      <c r="IQ605" s="54" t="s">
        <v>1919</v>
      </c>
      <c r="IT605">
        <v>2016</v>
      </c>
      <c r="JK605" t="s">
        <v>1939</v>
      </c>
      <c r="JM605" t="s">
        <v>14</v>
      </c>
      <c r="JQ605" t="s">
        <v>13</v>
      </c>
      <c r="JR605">
        <v>125</v>
      </c>
      <c r="JU605">
        <v>60</v>
      </c>
      <c r="JV605">
        <v>30</v>
      </c>
      <c r="KF605" t="s">
        <v>1921</v>
      </c>
      <c r="KG605" s="84" t="s">
        <v>1548</v>
      </c>
      <c r="KH605" t="s">
        <v>1941</v>
      </c>
      <c r="KI605">
        <v>2</v>
      </c>
      <c r="KJ605" t="s">
        <v>1940</v>
      </c>
      <c r="KL605" s="8" t="s">
        <v>1943</v>
      </c>
      <c r="KM605" t="s">
        <v>1944</v>
      </c>
      <c r="KN605">
        <v>3</v>
      </c>
      <c r="KP605" s="8" t="s">
        <v>1922</v>
      </c>
      <c r="KQ605" t="s">
        <v>234</v>
      </c>
      <c r="KR605" t="s">
        <v>234</v>
      </c>
      <c r="KT605" t="s">
        <v>1923</v>
      </c>
      <c r="KU605" t="s">
        <v>234</v>
      </c>
      <c r="KV605" t="s">
        <v>234</v>
      </c>
      <c r="LU605" t="s">
        <v>1945</v>
      </c>
      <c r="LZ605" t="s">
        <v>1925</v>
      </c>
      <c r="MA605">
        <v>206.25</v>
      </c>
      <c r="MB605" s="4" t="s">
        <v>29</v>
      </c>
      <c r="MJ605" s="58">
        <v>42997</v>
      </c>
      <c r="MK605" s="58">
        <v>42997</v>
      </c>
      <c r="MZ605" t="s">
        <v>1926</v>
      </c>
      <c r="NA605" t="s">
        <v>234</v>
      </c>
      <c r="NC605" t="s">
        <v>168</v>
      </c>
      <c r="NJ605" t="s">
        <v>1933</v>
      </c>
      <c r="NK605" t="s">
        <v>1935</v>
      </c>
      <c r="NL605" t="s">
        <v>1934</v>
      </c>
      <c r="NM605" s="4" t="s">
        <v>1931</v>
      </c>
      <c r="NN605" s="6" t="s">
        <v>1930</v>
      </c>
      <c r="NW605" t="s">
        <v>6</v>
      </c>
      <c r="NX605">
        <v>2.4700000000000002</v>
      </c>
      <c r="NY605" t="s">
        <v>234</v>
      </c>
      <c r="NZ605" t="s">
        <v>234</v>
      </c>
      <c r="OC605" s="3">
        <v>3</v>
      </c>
      <c r="OT605" t="s">
        <v>1928</v>
      </c>
      <c r="OU605" t="s">
        <v>6</v>
      </c>
      <c r="OW605">
        <v>2016</v>
      </c>
      <c r="OX605">
        <v>2017</v>
      </c>
      <c r="PA605" t="s">
        <v>1169</v>
      </c>
      <c r="PB605" s="58">
        <v>46129</v>
      </c>
    </row>
    <row r="606" spans="1:418" ht="15.75" thickBot="1">
      <c r="A606" t="s">
        <v>248</v>
      </c>
      <c r="B606" t="s">
        <v>1884</v>
      </c>
      <c r="C606" t="s">
        <v>1885</v>
      </c>
      <c r="D606" s="4" t="s">
        <v>1936</v>
      </c>
      <c r="E606" s="90" t="s">
        <v>1955</v>
      </c>
      <c r="F606" t="s">
        <v>31</v>
      </c>
      <c r="G606" t="s">
        <v>2</v>
      </c>
      <c r="H606" t="s">
        <v>30</v>
      </c>
      <c r="I606">
        <v>30.9</v>
      </c>
      <c r="J606">
        <v>75.75</v>
      </c>
      <c r="K606" t="s">
        <v>29</v>
      </c>
      <c r="AV606" t="s">
        <v>836</v>
      </c>
      <c r="AW606" t="s">
        <v>234</v>
      </c>
      <c r="AX606" t="s">
        <v>234</v>
      </c>
      <c r="AY606">
        <v>2</v>
      </c>
      <c r="AZ606" t="s">
        <v>1937</v>
      </c>
      <c r="BA606">
        <v>2016</v>
      </c>
      <c r="BB606">
        <v>2018</v>
      </c>
      <c r="BD606" t="s">
        <v>1891</v>
      </c>
      <c r="BE606" t="s">
        <v>1953</v>
      </c>
      <c r="BF606" t="s">
        <v>43</v>
      </c>
      <c r="BG606" t="s">
        <v>1233</v>
      </c>
      <c r="BH606" t="s">
        <v>23</v>
      </c>
      <c r="BI606" t="s">
        <v>1914</v>
      </c>
      <c r="BJ606" t="s">
        <v>13</v>
      </c>
      <c r="BK606">
        <v>20</v>
      </c>
      <c r="BL606" t="s">
        <v>56</v>
      </c>
      <c r="BM606" t="s">
        <v>250</v>
      </c>
      <c r="BN606" t="s">
        <v>29</v>
      </c>
      <c r="BO606" t="s">
        <v>29</v>
      </c>
      <c r="BP606" t="s">
        <v>29</v>
      </c>
      <c r="BQ606" t="s">
        <v>275</v>
      </c>
      <c r="BR606" t="s">
        <v>1916</v>
      </c>
      <c r="BS606" t="s">
        <v>29</v>
      </c>
      <c r="BT606" t="s">
        <v>29</v>
      </c>
      <c r="BU606" t="s">
        <v>29</v>
      </c>
      <c r="BV606" t="s">
        <v>275</v>
      </c>
      <c r="BW606" t="s">
        <v>1917</v>
      </c>
      <c r="BX606" t="s">
        <v>29</v>
      </c>
      <c r="BY606" t="s">
        <v>29</v>
      </c>
      <c r="BZ606" t="s">
        <v>29</v>
      </c>
      <c r="HU606" s="58">
        <v>42539</v>
      </c>
      <c r="IP606" t="s">
        <v>1900</v>
      </c>
      <c r="IQ606" s="54" t="s">
        <v>1919</v>
      </c>
      <c r="IT606">
        <v>2016</v>
      </c>
      <c r="JK606" t="s">
        <v>1939</v>
      </c>
      <c r="JM606" t="s">
        <v>14</v>
      </c>
      <c r="JQ606" t="s">
        <v>13</v>
      </c>
      <c r="JR606">
        <v>125</v>
      </c>
      <c r="JU606">
        <v>60</v>
      </c>
      <c r="JV606">
        <v>30</v>
      </c>
      <c r="KF606" t="s">
        <v>1921</v>
      </c>
      <c r="KG606" s="84" t="s">
        <v>1548</v>
      </c>
      <c r="KH606" t="s">
        <v>1941</v>
      </c>
      <c r="KI606">
        <v>2</v>
      </c>
      <c r="KJ606" t="s">
        <v>1940</v>
      </c>
      <c r="KL606" s="8" t="s">
        <v>1943</v>
      </c>
      <c r="KM606" t="s">
        <v>1944</v>
      </c>
      <c r="KN606">
        <v>3</v>
      </c>
      <c r="KP606" s="8" t="s">
        <v>1922</v>
      </c>
      <c r="KQ606" t="s">
        <v>234</v>
      </c>
      <c r="KR606" t="s">
        <v>234</v>
      </c>
      <c r="KT606" t="s">
        <v>1923</v>
      </c>
      <c r="KU606" t="s">
        <v>234</v>
      </c>
      <c r="KV606" t="s">
        <v>234</v>
      </c>
      <c r="LU606" t="s">
        <v>1945</v>
      </c>
      <c r="LZ606" t="s">
        <v>1925</v>
      </c>
      <c r="MA606">
        <v>206.25</v>
      </c>
      <c r="MB606" s="4" t="s">
        <v>29</v>
      </c>
      <c r="MJ606" s="58">
        <v>42997</v>
      </c>
      <c r="MK606" s="58">
        <v>42997</v>
      </c>
      <c r="MZ606" t="s">
        <v>1926</v>
      </c>
      <c r="NA606" t="s">
        <v>234</v>
      </c>
      <c r="NC606" t="s">
        <v>168</v>
      </c>
      <c r="NJ606" t="s">
        <v>1933</v>
      </c>
      <c r="NK606" t="s">
        <v>1935</v>
      </c>
      <c r="NL606" t="s">
        <v>1934</v>
      </c>
      <c r="NM606" s="4" t="s">
        <v>1931</v>
      </c>
      <c r="NN606" s="6" t="s">
        <v>1930</v>
      </c>
      <c r="NW606" t="s">
        <v>6</v>
      </c>
      <c r="NX606">
        <v>2.46</v>
      </c>
      <c r="NY606" t="s">
        <v>234</v>
      </c>
      <c r="NZ606" t="s">
        <v>234</v>
      </c>
      <c r="OC606" s="3">
        <v>3</v>
      </c>
      <c r="OT606" t="s">
        <v>1928</v>
      </c>
      <c r="OU606" t="s">
        <v>6</v>
      </c>
      <c r="OW606">
        <v>2016</v>
      </c>
      <c r="OX606">
        <v>2017</v>
      </c>
      <c r="PA606" t="s">
        <v>1169</v>
      </c>
      <c r="PB606" s="58">
        <v>46129</v>
      </c>
    </row>
    <row r="607" spans="1:418" ht="15.75" thickBot="1">
      <c r="A607" t="s">
        <v>248</v>
      </c>
      <c r="B607" t="s">
        <v>1884</v>
      </c>
      <c r="C607" t="s">
        <v>1885</v>
      </c>
      <c r="D607" s="4" t="s">
        <v>1936</v>
      </c>
      <c r="E607" s="90" t="s">
        <v>1955</v>
      </c>
      <c r="F607" t="s">
        <v>31</v>
      </c>
      <c r="G607" t="s">
        <v>2</v>
      </c>
      <c r="H607" t="s">
        <v>30</v>
      </c>
      <c r="I607">
        <v>30.9</v>
      </c>
      <c r="J607">
        <v>75.75</v>
      </c>
      <c r="K607" t="s">
        <v>29</v>
      </c>
      <c r="AV607" t="s">
        <v>836</v>
      </c>
      <c r="AW607" t="s">
        <v>234</v>
      </c>
      <c r="AX607" t="s">
        <v>234</v>
      </c>
      <c r="AY607">
        <v>2</v>
      </c>
      <c r="AZ607" t="s">
        <v>1937</v>
      </c>
      <c r="BA607">
        <v>2016</v>
      </c>
      <c r="BB607">
        <v>2018</v>
      </c>
      <c r="BD607" t="s">
        <v>1891</v>
      </c>
      <c r="BE607" s="3" t="s">
        <v>1902</v>
      </c>
      <c r="BF607" t="s">
        <v>252</v>
      </c>
      <c r="BG607" t="s">
        <v>1233</v>
      </c>
      <c r="BH607" t="s">
        <v>23</v>
      </c>
      <c r="BI607" t="s">
        <v>1914</v>
      </c>
      <c r="BJ607" t="s">
        <v>13</v>
      </c>
      <c r="BK607">
        <v>20</v>
      </c>
      <c r="BL607" t="s">
        <v>275</v>
      </c>
      <c r="BM607" t="s">
        <v>1918</v>
      </c>
      <c r="BN607" t="s">
        <v>29</v>
      </c>
      <c r="BO607" t="s">
        <v>29</v>
      </c>
      <c r="BP607" t="s">
        <v>29</v>
      </c>
      <c r="BQ607" t="s">
        <v>275</v>
      </c>
      <c r="BR607" t="s">
        <v>1916</v>
      </c>
      <c r="BS607" t="s">
        <v>29</v>
      </c>
      <c r="BT607" t="s">
        <v>29</v>
      </c>
      <c r="BU607" t="s">
        <v>29</v>
      </c>
      <c r="BV607" t="s">
        <v>275</v>
      </c>
      <c r="BW607" t="s">
        <v>1917</v>
      </c>
      <c r="BX607" t="s">
        <v>29</v>
      </c>
      <c r="BY607" t="s">
        <v>29</v>
      </c>
      <c r="BZ607" t="s">
        <v>29</v>
      </c>
      <c r="HU607" s="58">
        <v>42539</v>
      </c>
      <c r="IP607" t="s">
        <v>1902</v>
      </c>
      <c r="IQ607" s="54" t="s">
        <v>1919</v>
      </c>
      <c r="IT607">
        <v>2016</v>
      </c>
      <c r="JK607" t="s">
        <v>1939</v>
      </c>
      <c r="JM607" t="s">
        <v>14</v>
      </c>
      <c r="JQ607" t="s">
        <v>13</v>
      </c>
      <c r="JR607">
        <v>125</v>
      </c>
      <c r="JU607">
        <v>60</v>
      </c>
      <c r="JV607">
        <v>30</v>
      </c>
      <c r="KF607" t="s">
        <v>1921</v>
      </c>
      <c r="KG607" s="84" t="s">
        <v>1548</v>
      </c>
      <c r="KH607" t="s">
        <v>1941</v>
      </c>
      <c r="KI607">
        <v>2</v>
      </c>
      <c r="KJ607" t="s">
        <v>1940</v>
      </c>
      <c r="KL607" s="8" t="s">
        <v>1943</v>
      </c>
      <c r="KM607" t="s">
        <v>1944</v>
      </c>
      <c r="KN607">
        <v>3</v>
      </c>
      <c r="KP607" s="8" t="s">
        <v>1922</v>
      </c>
      <c r="KQ607" t="s">
        <v>234</v>
      </c>
      <c r="KR607" t="s">
        <v>234</v>
      </c>
      <c r="KT607" t="s">
        <v>1923</v>
      </c>
      <c r="KU607" t="s">
        <v>234</v>
      </c>
      <c r="KV607" t="s">
        <v>234</v>
      </c>
      <c r="LU607" t="s">
        <v>1945</v>
      </c>
      <c r="LZ607" t="s">
        <v>1925</v>
      </c>
      <c r="MA607">
        <v>206.25</v>
      </c>
      <c r="MB607" s="4" t="s">
        <v>29</v>
      </c>
      <c r="MJ607" s="58">
        <v>42997</v>
      </c>
      <c r="MK607" s="58">
        <v>42997</v>
      </c>
      <c r="MZ607" t="s">
        <v>1926</v>
      </c>
      <c r="NA607" t="s">
        <v>234</v>
      </c>
      <c r="NC607" t="s">
        <v>168</v>
      </c>
      <c r="NJ607" t="s">
        <v>1933</v>
      </c>
      <c r="NK607" t="s">
        <v>1935</v>
      </c>
      <c r="NL607" t="s">
        <v>1934</v>
      </c>
      <c r="NM607" s="4" t="s">
        <v>1931</v>
      </c>
      <c r="NN607" s="6" t="s">
        <v>1930</v>
      </c>
      <c r="NW607" t="s">
        <v>6</v>
      </c>
      <c r="NX607">
        <v>2.39</v>
      </c>
      <c r="NY607" t="s">
        <v>234</v>
      </c>
      <c r="NZ607" t="s">
        <v>234</v>
      </c>
      <c r="OC607" s="3">
        <v>3</v>
      </c>
      <c r="OT607" t="s">
        <v>1928</v>
      </c>
      <c r="OU607" t="s">
        <v>6</v>
      </c>
      <c r="OW607">
        <v>2016</v>
      </c>
      <c r="OX607">
        <v>2017</v>
      </c>
      <c r="PA607" t="s">
        <v>1169</v>
      </c>
      <c r="PB607" s="58">
        <v>46129</v>
      </c>
    </row>
    <row r="608" spans="1:418" ht="15.75" thickBot="1">
      <c r="A608" t="s">
        <v>248</v>
      </c>
      <c r="B608" t="s">
        <v>1884</v>
      </c>
      <c r="C608" t="s">
        <v>1885</v>
      </c>
      <c r="D608" s="4" t="s">
        <v>1936</v>
      </c>
      <c r="E608" s="90" t="s">
        <v>1955</v>
      </c>
      <c r="F608" t="s">
        <v>31</v>
      </c>
      <c r="G608" t="s">
        <v>2</v>
      </c>
      <c r="H608" t="s">
        <v>30</v>
      </c>
      <c r="I608">
        <v>30.9</v>
      </c>
      <c r="J608">
        <v>75.75</v>
      </c>
      <c r="K608" t="s">
        <v>29</v>
      </c>
      <c r="AV608" t="s">
        <v>836</v>
      </c>
      <c r="AW608" t="s">
        <v>234</v>
      </c>
      <c r="AX608" t="s">
        <v>234</v>
      </c>
      <c r="AY608">
        <v>2</v>
      </c>
      <c r="AZ608" t="s">
        <v>1937</v>
      </c>
      <c r="BA608">
        <v>2016</v>
      </c>
      <c r="BB608">
        <v>2018</v>
      </c>
      <c r="BD608" t="s">
        <v>1891</v>
      </c>
      <c r="BE608" s="15" t="s">
        <v>1954</v>
      </c>
      <c r="BF608" t="s">
        <v>236</v>
      </c>
      <c r="BG608" t="s">
        <v>1233</v>
      </c>
      <c r="BH608" t="s">
        <v>23</v>
      </c>
      <c r="BI608" t="s">
        <v>1914</v>
      </c>
      <c r="BJ608" t="s">
        <v>13</v>
      </c>
      <c r="BK608">
        <v>20</v>
      </c>
      <c r="BL608" t="s">
        <v>56</v>
      </c>
      <c r="BM608" t="s">
        <v>250</v>
      </c>
      <c r="BN608" t="s">
        <v>29</v>
      </c>
      <c r="BO608" t="s">
        <v>29</v>
      </c>
      <c r="BP608" t="s">
        <v>29</v>
      </c>
      <c r="BQ608" t="s">
        <v>275</v>
      </c>
      <c r="BR608" t="s">
        <v>1918</v>
      </c>
      <c r="BS608" t="s">
        <v>29</v>
      </c>
      <c r="BT608" t="s">
        <v>29</v>
      </c>
      <c r="BU608" t="s">
        <v>29</v>
      </c>
      <c r="BV608" t="s">
        <v>275</v>
      </c>
      <c r="BW608" t="s">
        <v>1916</v>
      </c>
      <c r="BX608" t="s">
        <v>29</v>
      </c>
      <c r="BY608" t="s">
        <v>29</v>
      </c>
      <c r="BZ608" t="s">
        <v>29</v>
      </c>
      <c r="CA608" t="s">
        <v>275</v>
      </c>
      <c r="CB608" t="s">
        <v>1917</v>
      </c>
      <c r="CC608" t="s">
        <v>29</v>
      </c>
      <c r="CD608" t="s">
        <v>29</v>
      </c>
      <c r="CE608" t="s">
        <v>29</v>
      </c>
      <c r="HU608" s="58">
        <v>42539</v>
      </c>
      <c r="IP608" t="s">
        <v>1904</v>
      </c>
      <c r="IQ608" s="54" t="s">
        <v>1919</v>
      </c>
      <c r="IT608">
        <v>2016</v>
      </c>
      <c r="JK608" t="s">
        <v>1939</v>
      </c>
      <c r="JM608" t="s">
        <v>14</v>
      </c>
      <c r="JQ608" t="s">
        <v>13</v>
      </c>
      <c r="JR608">
        <v>125</v>
      </c>
      <c r="JU608">
        <v>60</v>
      </c>
      <c r="JV608">
        <v>30</v>
      </c>
      <c r="KF608" t="s">
        <v>1921</v>
      </c>
      <c r="KG608" s="84" t="s">
        <v>1548</v>
      </c>
      <c r="KH608" t="s">
        <v>1941</v>
      </c>
      <c r="KI608">
        <v>2</v>
      </c>
      <c r="KJ608" t="s">
        <v>1940</v>
      </c>
      <c r="KL608" s="8" t="s">
        <v>1943</v>
      </c>
      <c r="KM608" t="s">
        <v>1944</v>
      </c>
      <c r="KN608">
        <v>3</v>
      </c>
      <c r="KP608" s="8" t="s">
        <v>1922</v>
      </c>
      <c r="KQ608" t="s">
        <v>234</v>
      </c>
      <c r="KR608" t="s">
        <v>234</v>
      </c>
      <c r="KT608" t="s">
        <v>1923</v>
      </c>
      <c r="KU608" t="s">
        <v>234</v>
      </c>
      <c r="KV608" t="s">
        <v>234</v>
      </c>
      <c r="LU608" t="s">
        <v>1945</v>
      </c>
      <c r="LZ608" t="s">
        <v>1925</v>
      </c>
      <c r="MA608">
        <v>206.25</v>
      </c>
      <c r="MB608" s="4" t="s">
        <v>29</v>
      </c>
      <c r="MJ608" s="58">
        <v>42997</v>
      </c>
      <c r="MK608" s="58">
        <v>42997</v>
      </c>
      <c r="MZ608" t="s">
        <v>1926</v>
      </c>
      <c r="NA608" t="s">
        <v>234</v>
      </c>
      <c r="NC608" t="s">
        <v>168</v>
      </c>
      <c r="NJ608" t="s">
        <v>1933</v>
      </c>
      <c r="NK608" t="s">
        <v>1935</v>
      </c>
      <c r="NL608" t="s">
        <v>1934</v>
      </c>
      <c r="NM608" s="4" t="s">
        <v>1931</v>
      </c>
      <c r="NN608" s="6" t="s">
        <v>1930</v>
      </c>
      <c r="NW608" t="s">
        <v>6</v>
      </c>
      <c r="NX608">
        <v>2.48</v>
      </c>
      <c r="NY608" t="s">
        <v>234</v>
      </c>
      <c r="NZ608" t="s">
        <v>234</v>
      </c>
      <c r="OC608" s="3">
        <v>3</v>
      </c>
      <c r="OT608" t="s">
        <v>1928</v>
      </c>
      <c r="OU608" t="s">
        <v>6</v>
      </c>
      <c r="OW608">
        <v>2016</v>
      </c>
      <c r="OX608">
        <v>2017</v>
      </c>
      <c r="PA608" t="s">
        <v>1169</v>
      </c>
      <c r="PB608" s="58">
        <v>46129</v>
      </c>
    </row>
    <row r="609" spans="1:418" ht="15.75" thickBot="1">
      <c r="A609" t="s">
        <v>248</v>
      </c>
      <c r="B609" t="s">
        <v>1884</v>
      </c>
      <c r="C609" t="s">
        <v>1885</v>
      </c>
      <c r="D609" s="4" t="s">
        <v>1936</v>
      </c>
      <c r="E609" s="90" t="s">
        <v>1955</v>
      </c>
      <c r="F609" t="s">
        <v>31</v>
      </c>
      <c r="G609" t="s">
        <v>2</v>
      </c>
      <c r="H609" t="s">
        <v>30</v>
      </c>
      <c r="I609">
        <v>30.9</v>
      </c>
      <c r="J609">
        <v>75.75</v>
      </c>
      <c r="K609" t="s">
        <v>29</v>
      </c>
      <c r="AV609" t="s">
        <v>836</v>
      </c>
      <c r="AW609" t="s">
        <v>234</v>
      </c>
      <c r="AX609" t="s">
        <v>234</v>
      </c>
      <c r="AY609">
        <v>2</v>
      </c>
      <c r="AZ609" t="s">
        <v>1937</v>
      </c>
      <c r="BA609">
        <v>2016</v>
      </c>
      <c r="BB609">
        <v>2018</v>
      </c>
      <c r="BD609" t="s">
        <v>1886</v>
      </c>
      <c r="BE609" t="s">
        <v>1887</v>
      </c>
      <c r="BF609" t="s">
        <v>39</v>
      </c>
      <c r="BG609" t="s">
        <v>1233</v>
      </c>
      <c r="BH609" t="s">
        <v>23</v>
      </c>
      <c r="BI609" t="s">
        <v>1914</v>
      </c>
      <c r="BJ609" t="s">
        <v>13</v>
      </c>
      <c r="BK609">
        <v>20</v>
      </c>
      <c r="BL609" t="s">
        <v>275</v>
      </c>
      <c r="BM609" t="s">
        <v>1888</v>
      </c>
      <c r="BN609" t="s">
        <v>29</v>
      </c>
      <c r="BO609" t="s">
        <v>29</v>
      </c>
      <c r="BP609" t="s">
        <v>29</v>
      </c>
      <c r="HU609" s="58">
        <v>42907</v>
      </c>
      <c r="IP609" t="s">
        <v>1887</v>
      </c>
      <c r="IQ609" s="54" t="s">
        <v>1920</v>
      </c>
      <c r="IT609">
        <v>2016</v>
      </c>
      <c r="JK609" t="s">
        <v>1939</v>
      </c>
      <c r="JM609" t="s">
        <v>14</v>
      </c>
      <c r="JQ609" t="s">
        <v>13</v>
      </c>
      <c r="JR609">
        <v>125</v>
      </c>
      <c r="JU609">
        <v>60</v>
      </c>
      <c r="JV609">
        <v>30</v>
      </c>
      <c r="KF609" t="s">
        <v>1921</v>
      </c>
      <c r="KG609" s="84" t="s">
        <v>1548</v>
      </c>
      <c r="KH609" t="s">
        <v>1941</v>
      </c>
      <c r="KI609">
        <v>2</v>
      </c>
      <c r="KJ609" t="s">
        <v>1940</v>
      </c>
      <c r="KL609" s="8" t="s">
        <v>1943</v>
      </c>
      <c r="KM609" t="s">
        <v>1944</v>
      </c>
      <c r="KN609">
        <v>3</v>
      </c>
      <c r="KP609" s="8" t="s">
        <v>1922</v>
      </c>
      <c r="KQ609" t="s">
        <v>234</v>
      </c>
      <c r="KR609" t="s">
        <v>234</v>
      </c>
      <c r="KT609" t="s">
        <v>1923</v>
      </c>
      <c r="KU609" t="s">
        <v>234</v>
      </c>
      <c r="KV609" t="s">
        <v>234</v>
      </c>
      <c r="LU609" t="s">
        <v>1945</v>
      </c>
      <c r="LZ609" t="s">
        <v>1925</v>
      </c>
      <c r="MA609">
        <v>225</v>
      </c>
      <c r="MB609" s="4" t="s">
        <v>29</v>
      </c>
      <c r="MJ609" s="58">
        <v>43362</v>
      </c>
      <c r="MK609" s="58">
        <v>43362</v>
      </c>
      <c r="MZ609" t="s">
        <v>1926</v>
      </c>
      <c r="NA609" t="s">
        <v>234</v>
      </c>
      <c r="NC609" t="s">
        <v>168</v>
      </c>
      <c r="NJ609" t="s">
        <v>1933</v>
      </c>
      <c r="NK609" t="s">
        <v>1935</v>
      </c>
      <c r="NL609" t="s">
        <v>1934</v>
      </c>
      <c r="NM609" s="4" t="s">
        <v>1931</v>
      </c>
      <c r="NN609" s="6" t="s">
        <v>1930</v>
      </c>
      <c r="NV609" t="s">
        <v>1558</v>
      </c>
      <c r="NW609" t="s">
        <v>6</v>
      </c>
      <c r="NX609">
        <v>2.3199999999999998</v>
      </c>
      <c r="NY609" t="s">
        <v>234</v>
      </c>
      <c r="NZ609" t="s">
        <v>234</v>
      </c>
      <c r="OC609" s="3">
        <v>3</v>
      </c>
      <c r="OT609" t="s">
        <v>1928</v>
      </c>
      <c r="OU609" t="s">
        <v>6</v>
      </c>
      <c r="OW609">
        <v>2017</v>
      </c>
      <c r="OX609">
        <v>2018</v>
      </c>
      <c r="PA609" t="s">
        <v>1169</v>
      </c>
      <c r="PB609" s="58">
        <v>46129</v>
      </c>
    </row>
    <row r="610" spans="1:418" ht="15.75" thickBot="1">
      <c r="A610" t="s">
        <v>248</v>
      </c>
      <c r="B610" t="s">
        <v>1884</v>
      </c>
      <c r="C610" t="s">
        <v>1885</v>
      </c>
      <c r="D610" s="4" t="s">
        <v>1936</v>
      </c>
      <c r="E610" s="90" t="s">
        <v>1955</v>
      </c>
      <c r="F610" t="s">
        <v>31</v>
      </c>
      <c r="G610" t="s">
        <v>2</v>
      </c>
      <c r="H610" t="s">
        <v>30</v>
      </c>
      <c r="I610">
        <v>30.9</v>
      </c>
      <c r="J610">
        <v>75.75</v>
      </c>
      <c r="K610" t="s">
        <v>29</v>
      </c>
      <c r="AV610" t="s">
        <v>836</v>
      </c>
      <c r="AW610" t="s">
        <v>234</v>
      </c>
      <c r="AX610" t="s">
        <v>234</v>
      </c>
      <c r="AY610">
        <v>2</v>
      </c>
      <c r="AZ610" t="s">
        <v>1937</v>
      </c>
      <c r="BA610">
        <v>2016</v>
      </c>
      <c r="BB610">
        <v>2018</v>
      </c>
      <c r="BD610" t="s">
        <v>1891</v>
      </c>
      <c r="BE610" t="s">
        <v>1906</v>
      </c>
      <c r="BF610" t="s">
        <v>64</v>
      </c>
      <c r="BG610" t="s">
        <v>1233</v>
      </c>
      <c r="BH610" t="s">
        <v>23</v>
      </c>
      <c r="BI610" t="s">
        <v>1914</v>
      </c>
      <c r="BJ610" t="s">
        <v>13</v>
      </c>
      <c r="BK610">
        <v>20</v>
      </c>
      <c r="BL610" t="s">
        <v>275</v>
      </c>
      <c r="BM610" t="s">
        <v>1894</v>
      </c>
      <c r="BN610" t="s">
        <v>29</v>
      </c>
      <c r="BO610" t="s">
        <v>29</v>
      </c>
      <c r="BP610" t="s">
        <v>29</v>
      </c>
      <c r="BQ610" t="s">
        <v>275</v>
      </c>
      <c r="BR610" t="s">
        <v>1893</v>
      </c>
      <c r="BS610" t="s">
        <v>29</v>
      </c>
      <c r="BT610" t="s">
        <v>29</v>
      </c>
      <c r="BU610" t="s">
        <v>29</v>
      </c>
      <c r="BV610" t="s">
        <v>56</v>
      </c>
      <c r="BW610" t="s">
        <v>1174</v>
      </c>
      <c r="BX610" t="s">
        <v>29</v>
      </c>
      <c r="BY610" t="s">
        <v>29</v>
      </c>
      <c r="BZ610" t="s">
        <v>29</v>
      </c>
      <c r="HU610" s="58">
        <v>42907</v>
      </c>
      <c r="IP610" t="s">
        <v>1892</v>
      </c>
      <c r="IQ610" s="54" t="s">
        <v>1919</v>
      </c>
      <c r="IT610">
        <v>2016</v>
      </c>
      <c r="JK610" t="s">
        <v>1939</v>
      </c>
      <c r="JM610" t="s">
        <v>14</v>
      </c>
      <c r="JQ610" t="s">
        <v>13</v>
      </c>
      <c r="JR610">
        <v>125</v>
      </c>
      <c r="JU610">
        <v>60</v>
      </c>
      <c r="JV610">
        <v>30</v>
      </c>
      <c r="KF610" t="s">
        <v>1921</v>
      </c>
      <c r="KG610" s="84" t="s">
        <v>1548</v>
      </c>
      <c r="KH610" t="s">
        <v>1941</v>
      </c>
      <c r="KI610">
        <v>2</v>
      </c>
      <c r="KJ610" t="s">
        <v>1940</v>
      </c>
      <c r="KL610" s="8" t="s">
        <v>1943</v>
      </c>
      <c r="KM610" t="s">
        <v>1944</v>
      </c>
      <c r="KN610">
        <v>3</v>
      </c>
      <c r="KP610" s="8" t="s">
        <v>1922</v>
      </c>
      <c r="KQ610" t="s">
        <v>234</v>
      </c>
      <c r="KR610" t="s">
        <v>234</v>
      </c>
      <c r="KT610" t="s">
        <v>1923</v>
      </c>
      <c r="KU610" t="s">
        <v>234</v>
      </c>
      <c r="KV610" t="s">
        <v>234</v>
      </c>
      <c r="LU610" t="s">
        <v>1945</v>
      </c>
      <c r="LZ610" t="s">
        <v>1925</v>
      </c>
      <c r="MA610">
        <v>225</v>
      </c>
      <c r="MB610" s="4" t="s">
        <v>29</v>
      </c>
      <c r="MJ610" s="58">
        <v>43362</v>
      </c>
      <c r="MK610" s="58">
        <v>43362</v>
      </c>
      <c r="MZ610" t="s">
        <v>1926</v>
      </c>
      <c r="NA610" t="s">
        <v>234</v>
      </c>
      <c r="NC610" t="s">
        <v>168</v>
      </c>
      <c r="NJ610" t="s">
        <v>1933</v>
      </c>
      <c r="NK610" t="s">
        <v>1935</v>
      </c>
      <c r="NL610" t="s">
        <v>1934</v>
      </c>
      <c r="NM610" s="4" t="s">
        <v>1931</v>
      </c>
      <c r="NN610" s="6" t="s">
        <v>1930</v>
      </c>
      <c r="NW610" t="s">
        <v>6</v>
      </c>
      <c r="NX610">
        <v>2.35</v>
      </c>
      <c r="NY610" t="s">
        <v>234</v>
      </c>
      <c r="NZ610" t="s">
        <v>234</v>
      </c>
      <c r="OC610" s="3">
        <v>3</v>
      </c>
      <c r="OT610" t="s">
        <v>1928</v>
      </c>
      <c r="OU610" t="s">
        <v>6</v>
      </c>
      <c r="OW610">
        <v>2017</v>
      </c>
      <c r="OX610">
        <v>2018</v>
      </c>
      <c r="PA610" t="s">
        <v>1169</v>
      </c>
      <c r="PB610" s="58">
        <v>46129</v>
      </c>
    </row>
    <row r="611" spans="1:418" ht="15.75" thickBot="1">
      <c r="A611" t="s">
        <v>248</v>
      </c>
      <c r="B611" t="s">
        <v>1884</v>
      </c>
      <c r="C611" t="s">
        <v>1885</v>
      </c>
      <c r="D611" s="4" t="s">
        <v>1936</v>
      </c>
      <c r="E611" s="90" t="s">
        <v>1955</v>
      </c>
      <c r="F611" t="s">
        <v>31</v>
      </c>
      <c r="G611" t="s">
        <v>2</v>
      </c>
      <c r="H611" t="s">
        <v>30</v>
      </c>
      <c r="I611">
        <v>30.9</v>
      </c>
      <c r="J611">
        <v>75.75</v>
      </c>
      <c r="K611" t="s">
        <v>29</v>
      </c>
      <c r="AV611" t="s">
        <v>836</v>
      </c>
      <c r="AW611" t="s">
        <v>234</v>
      </c>
      <c r="AX611" t="s">
        <v>234</v>
      </c>
      <c r="AY611">
        <v>2</v>
      </c>
      <c r="AZ611" t="s">
        <v>1937</v>
      </c>
      <c r="BA611">
        <v>2016</v>
      </c>
      <c r="BB611">
        <v>2018</v>
      </c>
      <c r="BD611" t="s">
        <v>1891</v>
      </c>
      <c r="BE611" t="s">
        <v>1951</v>
      </c>
      <c r="BF611" t="s">
        <v>57</v>
      </c>
      <c r="BG611" t="s">
        <v>1233</v>
      </c>
      <c r="BH611" t="s">
        <v>23</v>
      </c>
      <c r="BI611" t="s">
        <v>1914</v>
      </c>
      <c r="BJ611" t="s">
        <v>13</v>
      </c>
      <c r="BK611">
        <v>20</v>
      </c>
      <c r="BL611" t="s">
        <v>56</v>
      </c>
      <c r="BM611" t="s">
        <v>250</v>
      </c>
      <c r="BN611" t="s">
        <v>29</v>
      </c>
      <c r="BO611" t="s">
        <v>29</v>
      </c>
      <c r="BP611" t="s">
        <v>29</v>
      </c>
      <c r="BQ611" t="s">
        <v>275</v>
      </c>
      <c r="BR611" t="s">
        <v>1894</v>
      </c>
      <c r="BS611" t="s">
        <v>29</v>
      </c>
      <c r="BT611" t="s">
        <v>29</v>
      </c>
      <c r="BU611" t="s">
        <v>29</v>
      </c>
      <c r="BV611" t="s">
        <v>275</v>
      </c>
      <c r="BW611" t="s">
        <v>1893</v>
      </c>
      <c r="BX611" t="s">
        <v>29</v>
      </c>
      <c r="BY611" t="s">
        <v>29</v>
      </c>
      <c r="BZ611" t="s">
        <v>29</v>
      </c>
      <c r="CA611" t="s">
        <v>56</v>
      </c>
      <c r="CB611" t="s">
        <v>1174</v>
      </c>
      <c r="CC611" t="s">
        <v>29</v>
      </c>
      <c r="CD611" t="s">
        <v>29</v>
      </c>
      <c r="CE611" t="s">
        <v>29</v>
      </c>
      <c r="HU611" s="58">
        <v>42907</v>
      </c>
      <c r="IP611" t="s">
        <v>1896</v>
      </c>
      <c r="IQ611" s="54" t="s">
        <v>1919</v>
      </c>
      <c r="IT611">
        <v>2016</v>
      </c>
      <c r="JK611" t="s">
        <v>1939</v>
      </c>
      <c r="JM611" t="s">
        <v>14</v>
      </c>
      <c r="JQ611" t="s">
        <v>13</v>
      </c>
      <c r="JR611">
        <v>125</v>
      </c>
      <c r="JU611">
        <v>60</v>
      </c>
      <c r="JV611">
        <v>30</v>
      </c>
      <c r="KF611" t="s">
        <v>1921</v>
      </c>
      <c r="KG611" s="84" t="s">
        <v>1548</v>
      </c>
      <c r="KH611" t="s">
        <v>1941</v>
      </c>
      <c r="KI611">
        <v>2</v>
      </c>
      <c r="KJ611" t="s">
        <v>1940</v>
      </c>
      <c r="KL611" s="8" t="s">
        <v>1943</v>
      </c>
      <c r="KM611" t="s">
        <v>1944</v>
      </c>
      <c r="KN611">
        <v>3</v>
      </c>
      <c r="KP611" s="8" t="s">
        <v>1922</v>
      </c>
      <c r="KQ611" t="s">
        <v>234</v>
      </c>
      <c r="KR611" t="s">
        <v>234</v>
      </c>
      <c r="KT611" t="s">
        <v>1923</v>
      </c>
      <c r="KU611" t="s">
        <v>234</v>
      </c>
      <c r="KV611" t="s">
        <v>234</v>
      </c>
      <c r="LU611" t="s">
        <v>1945</v>
      </c>
      <c r="LZ611" t="s">
        <v>1925</v>
      </c>
      <c r="MA611">
        <v>225</v>
      </c>
      <c r="MB611" s="4" t="s">
        <v>29</v>
      </c>
      <c r="MJ611" s="58">
        <v>43362</v>
      </c>
      <c r="MK611" s="58">
        <v>43362</v>
      </c>
      <c r="MZ611" t="s">
        <v>1926</v>
      </c>
      <c r="NA611" t="s">
        <v>234</v>
      </c>
      <c r="NC611" t="s">
        <v>168</v>
      </c>
      <c r="NJ611" t="s">
        <v>1933</v>
      </c>
      <c r="NK611" t="s">
        <v>1935</v>
      </c>
      <c r="NL611" t="s">
        <v>1934</v>
      </c>
      <c r="NM611" s="4" t="s">
        <v>1931</v>
      </c>
      <c r="NN611" s="6" t="s">
        <v>1930</v>
      </c>
      <c r="NW611" t="s">
        <v>6</v>
      </c>
      <c r="NX611">
        <v>2.42</v>
      </c>
      <c r="NY611" t="s">
        <v>234</v>
      </c>
      <c r="NZ611" t="s">
        <v>234</v>
      </c>
      <c r="OC611" s="3">
        <v>3</v>
      </c>
      <c r="OT611" t="s">
        <v>1928</v>
      </c>
      <c r="OU611" t="s">
        <v>6</v>
      </c>
      <c r="OW611">
        <v>2017</v>
      </c>
      <c r="OX611">
        <v>2018</v>
      </c>
      <c r="PA611" t="s">
        <v>1169</v>
      </c>
      <c r="PB611" s="58">
        <v>46129</v>
      </c>
    </row>
    <row r="612" spans="1:418" ht="15.75" thickBot="1">
      <c r="A612" t="s">
        <v>248</v>
      </c>
      <c r="B612" t="s">
        <v>1884</v>
      </c>
      <c r="C612" t="s">
        <v>1885</v>
      </c>
      <c r="D612" s="4" t="s">
        <v>1936</v>
      </c>
      <c r="E612" s="90" t="s">
        <v>1955</v>
      </c>
      <c r="F612" t="s">
        <v>31</v>
      </c>
      <c r="G612" t="s">
        <v>2</v>
      </c>
      <c r="H612" t="s">
        <v>30</v>
      </c>
      <c r="I612">
        <v>30.9</v>
      </c>
      <c r="J612">
        <v>75.75</v>
      </c>
      <c r="K612" t="s">
        <v>29</v>
      </c>
      <c r="AV612" t="s">
        <v>836</v>
      </c>
      <c r="AW612" t="s">
        <v>234</v>
      </c>
      <c r="AX612" t="s">
        <v>234</v>
      </c>
      <c r="AY612">
        <v>2</v>
      </c>
      <c r="AZ612" t="s">
        <v>1937</v>
      </c>
      <c r="BA612">
        <v>2016</v>
      </c>
      <c r="BB612">
        <v>2018</v>
      </c>
      <c r="BD612" t="s">
        <v>1891</v>
      </c>
      <c r="BE612" t="s">
        <v>1952</v>
      </c>
      <c r="BF612" t="s">
        <v>48</v>
      </c>
      <c r="BG612" t="s">
        <v>1233</v>
      </c>
      <c r="BH612" t="s">
        <v>23</v>
      </c>
      <c r="BI612" t="s">
        <v>1914</v>
      </c>
      <c r="BJ612" t="s">
        <v>13</v>
      </c>
      <c r="BK612">
        <v>20</v>
      </c>
      <c r="BL612" t="s">
        <v>56</v>
      </c>
      <c r="BM612" t="s">
        <v>250</v>
      </c>
      <c r="BN612" t="s">
        <v>29</v>
      </c>
      <c r="BO612" t="s">
        <v>29</v>
      </c>
      <c r="BP612" t="s">
        <v>29</v>
      </c>
      <c r="BQ612" t="s">
        <v>275</v>
      </c>
      <c r="BR612" t="s">
        <v>1894</v>
      </c>
      <c r="BS612" t="s">
        <v>29</v>
      </c>
      <c r="BT612" t="s">
        <v>29</v>
      </c>
      <c r="BU612" t="s">
        <v>29</v>
      </c>
      <c r="HU612" s="58">
        <v>42907</v>
      </c>
      <c r="IP612" t="s">
        <v>1898</v>
      </c>
      <c r="IQ612" s="54" t="s">
        <v>1919</v>
      </c>
      <c r="IT612">
        <v>2016</v>
      </c>
      <c r="JK612" t="s">
        <v>1939</v>
      </c>
      <c r="JM612" t="s">
        <v>14</v>
      </c>
      <c r="JQ612" t="s">
        <v>13</v>
      </c>
      <c r="JR612">
        <v>125</v>
      </c>
      <c r="JU612">
        <v>60</v>
      </c>
      <c r="JV612">
        <v>30</v>
      </c>
      <c r="KF612" t="s">
        <v>1921</v>
      </c>
      <c r="KG612" s="84" t="s">
        <v>1548</v>
      </c>
      <c r="KH612" t="s">
        <v>1941</v>
      </c>
      <c r="KI612">
        <v>2</v>
      </c>
      <c r="KJ612" t="s">
        <v>1940</v>
      </c>
      <c r="KL612" s="8" t="s">
        <v>1943</v>
      </c>
      <c r="KM612" t="s">
        <v>1944</v>
      </c>
      <c r="KN612">
        <v>3</v>
      </c>
      <c r="KP612" s="8" t="s">
        <v>1922</v>
      </c>
      <c r="KQ612" t="s">
        <v>234</v>
      </c>
      <c r="KR612" t="s">
        <v>234</v>
      </c>
      <c r="KT612" t="s">
        <v>1923</v>
      </c>
      <c r="KU612" t="s">
        <v>234</v>
      </c>
      <c r="KV612" t="s">
        <v>234</v>
      </c>
      <c r="LU612" t="s">
        <v>1945</v>
      </c>
      <c r="LZ612" t="s">
        <v>1925</v>
      </c>
      <c r="MA612">
        <v>225</v>
      </c>
      <c r="MB612" s="4" t="s">
        <v>29</v>
      </c>
      <c r="MJ612" s="58">
        <v>43362</v>
      </c>
      <c r="MK612" s="58">
        <v>43362</v>
      </c>
      <c r="MZ612" t="s">
        <v>1926</v>
      </c>
      <c r="NA612" t="s">
        <v>234</v>
      </c>
      <c r="NC612" t="s">
        <v>168</v>
      </c>
      <c r="NJ612" t="s">
        <v>1933</v>
      </c>
      <c r="NK612" t="s">
        <v>1935</v>
      </c>
      <c r="NL612" t="s">
        <v>1934</v>
      </c>
      <c r="NM612" s="4" t="s">
        <v>1931</v>
      </c>
      <c r="NN612" s="6" t="s">
        <v>1930</v>
      </c>
      <c r="NW612" t="s">
        <v>6</v>
      </c>
      <c r="NX612">
        <v>2.4500000000000002</v>
      </c>
      <c r="NY612" t="s">
        <v>234</v>
      </c>
      <c r="NZ612" t="s">
        <v>234</v>
      </c>
      <c r="OC612" s="3">
        <v>3</v>
      </c>
      <c r="OT612" t="s">
        <v>1928</v>
      </c>
      <c r="OU612" t="s">
        <v>6</v>
      </c>
      <c r="OW612">
        <v>2017</v>
      </c>
      <c r="OX612">
        <v>2018</v>
      </c>
      <c r="PA612" t="s">
        <v>1169</v>
      </c>
      <c r="PB612" s="58">
        <v>46129</v>
      </c>
    </row>
    <row r="613" spans="1:418" ht="15.75" thickBot="1">
      <c r="A613" t="s">
        <v>248</v>
      </c>
      <c r="B613" t="s">
        <v>1884</v>
      </c>
      <c r="C613" t="s">
        <v>1885</v>
      </c>
      <c r="D613" s="4" t="s">
        <v>1936</v>
      </c>
      <c r="E613" s="90" t="s">
        <v>1955</v>
      </c>
      <c r="F613" t="s">
        <v>31</v>
      </c>
      <c r="G613" t="s">
        <v>2</v>
      </c>
      <c r="H613" t="s">
        <v>30</v>
      </c>
      <c r="I613">
        <v>30.9</v>
      </c>
      <c r="J613">
        <v>75.75</v>
      </c>
      <c r="K613" t="s">
        <v>29</v>
      </c>
      <c r="AV613" t="s">
        <v>836</v>
      </c>
      <c r="AW613" t="s">
        <v>234</v>
      </c>
      <c r="AX613" t="s">
        <v>234</v>
      </c>
      <c r="AY613">
        <v>2</v>
      </c>
      <c r="AZ613" t="s">
        <v>1937</v>
      </c>
      <c r="BA613">
        <v>2016</v>
      </c>
      <c r="BB613">
        <v>2018</v>
      </c>
      <c r="BD613" t="s">
        <v>1891</v>
      </c>
      <c r="BE613" t="s">
        <v>1953</v>
      </c>
      <c r="BF613" t="s">
        <v>43</v>
      </c>
      <c r="BG613" t="s">
        <v>1233</v>
      </c>
      <c r="BH613" t="s">
        <v>23</v>
      </c>
      <c r="BI613" t="s">
        <v>1914</v>
      </c>
      <c r="BJ613" t="s">
        <v>13</v>
      </c>
      <c r="BK613">
        <v>20</v>
      </c>
      <c r="BL613" t="s">
        <v>56</v>
      </c>
      <c r="BM613" t="s">
        <v>250</v>
      </c>
      <c r="BN613" t="s">
        <v>29</v>
      </c>
      <c r="BO613" t="s">
        <v>29</v>
      </c>
      <c r="BP613" t="s">
        <v>29</v>
      </c>
      <c r="BQ613" t="s">
        <v>275</v>
      </c>
      <c r="BR613" t="s">
        <v>1916</v>
      </c>
      <c r="BS613" t="s">
        <v>29</v>
      </c>
      <c r="BT613" t="s">
        <v>29</v>
      </c>
      <c r="BU613" t="s">
        <v>29</v>
      </c>
      <c r="BV613" t="s">
        <v>275</v>
      </c>
      <c r="BW613" t="s">
        <v>1917</v>
      </c>
      <c r="BX613" t="s">
        <v>29</v>
      </c>
      <c r="BY613" t="s">
        <v>29</v>
      </c>
      <c r="BZ613" t="s">
        <v>29</v>
      </c>
      <c r="HU613" s="58">
        <v>42907</v>
      </c>
      <c r="IP613" t="s">
        <v>1900</v>
      </c>
      <c r="IQ613" s="54" t="s">
        <v>1919</v>
      </c>
      <c r="IT613">
        <v>2016</v>
      </c>
      <c r="JK613" t="s">
        <v>1939</v>
      </c>
      <c r="JM613" t="s">
        <v>14</v>
      </c>
      <c r="JQ613" t="s">
        <v>13</v>
      </c>
      <c r="JR613">
        <v>125</v>
      </c>
      <c r="JU613">
        <v>60</v>
      </c>
      <c r="JV613">
        <v>30</v>
      </c>
      <c r="KF613" t="s">
        <v>1921</v>
      </c>
      <c r="KG613" s="84" t="s">
        <v>1548</v>
      </c>
      <c r="KH613" t="s">
        <v>1941</v>
      </c>
      <c r="KI613">
        <v>2</v>
      </c>
      <c r="KJ613" t="s">
        <v>1940</v>
      </c>
      <c r="KL613" s="8" t="s">
        <v>1943</v>
      </c>
      <c r="KM613" t="s">
        <v>1944</v>
      </c>
      <c r="KN613">
        <v>3</v>
      </c>
      <c r="KP613" s="8" t="s">
        <v>1922</v>
      </c>
      <c r="KQ613" t="s">
        <v>234</v>
      </c>
      <c r="KR613" t="s">
        <v>234</v>
      </c>
      <c r="KT613" t="s">
        <v>1923</v>
      </c>
      <c r="KU613" t="s">
        <v>234</v>
      </c>
      <c r="KV613" t="s">
        <v>234</v>
      </c>
      <c r="LU613" t="s">
        <v>1945</v>
      </c>
      <c r="LZ613" t="s">
        <v>1925</v>
      </c>
      <c r="MA613">
        <v>225</v>
      </c>
      <c r="MB613" s="4" t="s">
        <v>29</v>
      </c>
      <c r="MJ613" s="58">
        <v>43362</v>
      </c>
      <c r="MK613" s="58">
        <v>43362</v>
      </c>
      <c r="MZ613" t="s">
        <v>1926</v>
      </c>
      <c r="NA613" t="s">
        <v>234</v>
      </c>
      <c r="NC613" t="s">
        <v>168</v>
      </c>
      <c r="NJ613" t="s">
        <v>1933</v>
      </c>
      <c r="NK613" t="s">
        <v>1935</v>
      </c>
      <c r="NL613" t="s">
        <v>1934</v>
      </c>
      <c r="NM613" s="4" t="s">
        <v>1931</v>
      </c>
      <c r="NN613" s="6" t="s">
        <v>1930</v>
      </c>
      <c r="NW613" t="s">
        <v>6</v>
      </c>
      <c r="NX613">
        <v>2.4700000000000002</v>
      </c>
      <c r="NY613" t="s">
        <v>234</v>
      </c>
      <c r="NZ613" t="s">
        <v>234</v>
      </c>
      <c r="OC613" s="3">
        <v>3</v>
      </c>
      <c r="OT613" t="s">
        <v>1928</v>
      </c>
      <c r="OU613" t="s">
        <v>6</v>
      </c>
      <c r="OW613">
        <v>2017</v>
      </c>
      <c r="OX613">
        <v>2018</v>
      </c>
      <c r="PA613" t="s">
        <v>1169</v>
      </c>
      <c r="PB613" s="58">
        <v>46129</v>
      </c>
    </row>
    <row r="614" spans="1:418" ht="15.75" thickBot="1">
      <c r="A614" t="s">
        <v>248</v>
      </c>
      <c r="B614" t="s">
        <v>1884</v>
      </c>
      <c r="C614" t="s">
        <v>1885</v>
      </c>
      <c r="D614" s="4" t="s">
        <v>1936</v>
      </c>
      <c r="E614" s="90" t="s">
        <v>1955</v>
      </c>
      <c r="F614" t="s">
        <v>31</v>
      </c>
      <c r="G614" t="s">
        <v>2</v>
      </c>
      <c r="H614" t="s">
        <v>30</v>
      </c>
      <c r="I614">
        <v>30.9</v>
      </c>
      <c r="J614">
        <v>75.75</v>
      </c>
      <c r="K614" t="s">
        <v>29</v>
      </c>
      <c r="AV614" t="s">
        <v>836</v>
      </c>
      <c r="AW614" t="s">
        <v>234</v>
      </c>
      <c r="AX614" t="s">
        <v>234</v>
      </c>
      <c r="AY614">
        <v>2</v>
      </c>
      <c r="AZ614" t="s">
        <v>1937</v>
      </c>
      <c r="BA614">
        <v>2016</v>
      </c>
      <c r="BB614">
        <v>2018</v>
      </c>
      <c r="BD614" t="s">
        <v>1891</v>
      </c>
      <c r="BE614" s="3" t="s">
        <v>1902</v>
      </c>
      <c r="BF614" t="s">
        <v>252</v>
      </c>
      <c r="BG614" t="s">
        <v>1233</v>
      </c>
      <c r="BH614" t="s">
        <v>23</v>
      </c>
      <c r="BI614" t="s">
        <v>1914</v>
      </c>
      <c r="BJ614" t="s">
        <v>13</v>
      </c>
      <c r="BK614">
        <v>20</v>
      </c>
      <c r="BL614" t="s">
        <v>275</v>
      </c>
      <c r="BM614" t="s">
        <v>1918</v>
      </c>
      <c r="BN614" t="s">
        <v>29</v>
      </c>
      <c r="BO614" t="s">
        <v>29</v>
      </c>
      <c r="BP614" t="s">
        <v>29</v>
      </c>
      <c r="BQ614" t="s">
        <v>275</v>
      </c>
      <c r="BR614" t="s">
        <v>1916</v>
      </c>
      <c r="BS614" t="s">
        <v>29</v>
      </c>
      <c r="BT614" t="s">
        <v>29</v>
      </c>
      <c r="BU614" t="s">
        <v>29</v>
      </c>
      <c r="BV614" t="s">
        <v>275</v>
      </c>
      <c r="BW614" t="s">
        <v>1917</v>
      </c>
      <c r="BX614" t="s">
        <v>29</v>
      </c>
      <c r="BY614" t="s">
        <v>29</v>
      </c>
      <c r="BZ614" t="s">
        <v>29</v>
      </c>
      <c r="HU614" s="58">
        <v>42907</v>
      </c>
      <c r="IP614" t="s">
        <v>1902</v>
      </c>
      <c r="IQ614" s="54" t="s">
        <v>1919</v>
      </c>
      <c r="IT614">
        <v>2016</v>
      </c>
      <c r="JK614" t="s">
        <v>1939</v>
      </c>
      <c r="JM614" t="s">
        <v>14</v>
      </c>
      <c r="JQ614" t="s">
        <v>13</v>
      </c>
      <c r="JR614">
        <v>125</v>
      </c>
      <c r="JU614">
        <v>60</v>
      </c>
      <c r="JV614">
        <v>30</v>
      </c>
      <c r="KF614" t="s">
        <v>1921</v>
      </c>
      <c r="KG614" s="84" t="s">
        <v>1548</v>
      </c>
      <c r="KH614" t="s">
        <v>1941</v>
      </c>
      <c r="KI614">
        <v>2</v>
      </c>
      <c r="KJ614" t="s">
        <v>1940</v>
      </c>
      <c r="KL614" s="8" t="s">
        <v>1943</v>
      </c>
      <c r="KM614" t="s">
        <v>1944</v>
      </c>
      <c r="KN614">
        <v>3</v>
      </c>
      <c r="KP614" s="8" t="s">
        <v>1922</v>
      </c>
      <c r="KQ614" t="s">
        <v>234</v>
      </c>
      <c r="KR614" t="s">
        <v>234</v>
      </c>
      <c r="KT614" t="s">
        <v>1923</v>
      </c>
      <c r="KU614" t="s">
        <v>234</v>
      </c>
      <c r="KV614" t="s">
        <v>234</v>
      </c>
      <c r="LU614" t="s">
        <v>1945</v>
      </c>
      <c r="LZ614" t="s">
        <v>1925</v>
      </c>
      <c r="MA614">
        <v>225</v>
      </c>
      <c r="MB614" s="4" t="s">
        <v>29</v>
      </c>
      <c r="MJ614" s="58">
        <v>43362</v>
      </c>
      <c r="MK614" s="58">
        <v>43362</v>
      </c>
      <c r="MZ614" t="s">
        <v>1926</v>
      </c>
      <c r="NA614" t="s">
        <v>234</v>
      </c>
      <c r="NC614" t="s">
        <v>168</v>
      </c>
      <c r="NJ614" t="s">
        <v>1933</v>
      </c>
      <c r="NK614" t="s">
        <v>1935</v>
      </c>
      <c r="NL614" t="s">
        <v>1934</v>
      </c>
      <c r="NM614" s="4" t="s">
        <v>1931</v>
      </c>
      <c r="NN614" s="6" t="s">
        <v>1930</v>
      </c>
      <c r="NW614" t="s">
        <v>6</v>
      </c>
      <c r="NX614">
        <v>2.33</v>
      </c>
      <c r="NY614" t="s">
        <v>234</v>
      </c>
      <c r="NZ614" t="s">
        <v>234</v>
      </c>
      <c r="OC614" s="3">
        <v>3</v>
      </c>
      <c r="OT614" t="s">
        <v>1928</v>
      </c>
      <c r="OU614" t="s">
        <v>6</v>
      </c>
      <c r="OW614">
        <v>2017</v>
      </c>
      <c r="OX614">
        <v>2018</v>
      </c>
      <c r="PA614" t="s">
        <v>1169</v>
      </c>
      <c r="PB614" s="58">
        <v>46129</v>
      </c>
    </row>
    <row r="615" spans="1:418" ht="15.75" thickBot="1">
      <c r="A615" t="s">
        <v>248</v>
      </c>
      <c r="B615" t="s">
        <v>1884</v>
      </c>
      <c r="C615" t="s">
        <v>1885</v>
      </c>
      <c r="D615" s="4" t="s">
        <v>1936</v>
      </c>
      <c r="E615" s="90" t="s">
        <v>1955</v>
      </c>
      <c r="F615" t="s">
        <v>31</v>
      </c>
      <c r="G615" t="s">
        <v>2</v>
      </c>
      <c r="H615" t="s">
        <v>30</v>
      </c>
      <c r="I615">
        <v>30.9</v>
      </c>
      <c r="J615">
        <v>75.75</v>
      </c>
      <c r="K615" t="s">
        <v>29</v>
      </c>
      <c r="AV615" t="s">
        <v>836</v>
      </c>
      <c r="AW615" t="s">
        <v>234</v>
      </c>
      <c r="AX615" t="s">
        <v>234</v>
      </c>
      <c r="AY615">
        <v>2</v>
      </c>
      <c r="AZ615" t="s">
        <v>1937</v>
      </c>
      <c r="BA615">
        <v>2016</v>
      </c>
      <c r="BB615">
        <v>2018</v>
      </c>
      <c r="BD615" t="s">
        <v>1891</v>
      </c>
      <c r="BE615" s="15" t="s">
        <v>1954</v>
      </c>
      <c r="BF615" t="s">
        <v>236</v>
      </c>
      <c r="BG615" t="s">
        <v>1233</v>
      </c>
      <c r="BH615" t="s">
        <v>23</v>
      </c>
      <c r="BI615" t="s">
        <v>1914</v>
      </c>
      <c r="BJ615" t="s">
        <v>13</v>
      </c>
      <c r="BK615">
        <v>20</v>
      </c>
      <c r="BL615" t="s">
        <v>56</v>
      </c>
      <c r="BM615" t="s">
        <v>250</v>
      </c>
      <c r="BN615" t="s">
        <v>29</v>
      </c>
      <c r="BO615" t="s">
        <v>29</v>
      </c>
      <c r="BP615" t="s">
        <v>29</v>
      </c>
      <c r="BQ615" t="s">
        <v>275</v>
      </c>
      <c r="BR615" t="s">
        <v>1918</v>
      </c>
      <c r="BS615" t="s">
        <v>29</v>
      </c>
      <c r="BT615" t="s">
        <v>29</v>
      </c>
      <c r="BU615" t="s">
        <v>29</v>
      </c>
      <c r="BV615" t="s">
        <v>275</v>
      </c>
      <c r="BW615" t="s">
        <v>1916</v>
      </c>
      <c r="BX615" t="s">
        <v>29</v>
      </c>
      <c r="BY615" t="s">
        <v>29</v>
      </c>
      <c r="BZ615" t="s">
        <v>29</v>
      </c>
      <c r="CA615" t="s">
        <v>275</v>
      </c>
      <c r="CB615" t="s">
        <v>1917</v>
      </c>
      <c r="CC615" t="s">
        <v>29</v>
      </c>
      <c r="CD615" t="s">
        <v>29</v>
      </c>
      <c r="CE615" t="s">
        <v>29</v>
      </c>
      <c r="HU615" s="58">
        <v>42907</v>
      </c>
      <c r="IP615" t="s">
        <v>1904</v>
      </c>
      <c r="IQ615" s="54" t="s">
        <v>1919</v>
      </c>
      <c r="IT615">
        <v>2016</v>
      </c>
      <c r="JK615" t="s">
        <v>1939</v>
      </c>
      <c r="JM615" t="s">
        <v>14</v>
      </c>
      <c r="JQ615" t="s">
        <v>13</v>
      </c>
      <c r="JR615">
        <v>125</v>
      </c>
      <c r="JU615">
        <v>60</v>
      </c>
      <c r="JV615">
        <v>30</v>
      </c>
      <c r="KF615" t="s">
        <v>1921</v>
      </c>
      <c r="KG615" s="84" t="s">
        <v>1548</v>
      </c>
      <c r="KH615" t="s">
        <v>1941</v>
      </c>
      <c r="KI615">
        <v>2</v>
      </c>
      <c r="KJ615" t="s">
        <v>1940</v>
      </c>
      <c r="KL615" s="8" t="s">
        <v>1943</v>
      </c>
      <c r="KM615" t="s">
        <v>1944</v>
      </c>
      <c r="KN615">
        <v>3</v>
      </c>
      <c r="KP615" s="8" t="s">
        <v>1922</v>
      </c>
      <c r="KQ615" t="s">
        <v>234</v>
      </c>
      <c r="KR615" t="s">
        <v>234</v>
      </c>
      <c r="KT615" t="s">
        <v>1923</v>
      </c>
      <c r="KU615" t="s">
        <v>234</v>
      </c>
      <c r="KV615" t="s">
        <v>234</v>
      </c>
      <c r="LU615" t="s">
        <v>1945</v>
      </c>
      <c r="LZ615" t="s">
        <v>1925</v>
      </c>
      <c r="MA615">
        <v>225</v>
      </c>
      <c r="MB615" s="4" t="s">
        <v>29</v>
      </c>
      <c r="MJ615" s="58">
        <v>43362</v>
      </c>
      <c r="MK615" s="58">
        <v>43362</v>
      </c>
      <c r="MZ615" t="s">
        <v>1926</v>
      </c>
      <c r="NA615" t="s">
        <v>234</v>
      </c>
      <c r="NC615" t="s">
        <v>168</v>
      </c>
      <c r="NJ615" t="s">
        <v>1933</v>
      </c>
      <c r="NK615" t="s">
        <v>1935</v>
      </c>
      <c r="NL615" t="s">
        <v>1934</v>
      </c>
      <c r="NM615" s="4" t="s">
        <v>1931</v>
      </c>
      <c r="NN615" s="6" t="s">
        <v>1930</v>
      </c>
      <c r="NW615" t="s">
        <v>6</v>
      </c>
      <c r="NX615">
        <v>2.4900000000000002</v>
      </c>
      <c r="NY615" t="s">
        <v>234</v>
      </c>
      <c r="NZ615" t="s">
        <v>234</v>
      </c>
      <c r="OC615" s="3">
        <v>3</v>
      </c>
      <c r="OT615" t="s">
        <v>1928</v>
      </c>
      <c r="OU615" t="s">
        <v>6</v>
      </c>
      <c r="OW615">
        <v>2017</v>
      </c>
      <c r="OX615">
        <v>2018</v>
      </c>
      <c r="PA615" t="s">
        <v>1169</v>
      </c>
      <c r="PB615" s="58">
        <v>46129</v>
      </c>
    </row>
    <row r="616" spans="1:418" ht="15.75" thickBot="1">
      <c r="A616" t="s">
        <v>248</v>
      </c>
      <c r="B616" t="s">
        <v>1884</v>
      </c>
      <c r="C616" t="s">
        <v>1885</v>
      </c>
      <c r="D616" s="4" t="s">
        <v>1936</v>
      </c>
      <c r="E616" s="90" t="s">
        <v>1955</v>
      </c>
      <c r="F616" t="s">
        <v>31</v>
      </c>
      <c r="G616" t="s">
        <v>2</v>
      </c>
      <c r="H616" t="s">
        <v>30</v>
      </c>
      <c r="I616">
        <v>30.9</v>
      </c>
      <c r="J616">
        <v>75.75</v>
      </c>
      <c r="K616" t="s">
        <v>29</v>
      </c>
      <c r="AV616" t="s">
        <v>836</v>
      </c>
      <c r="AW616" t="s">
        <v>234</v>
      </c>
      <c r="AX616" t="s">
        <v>234</v>
      </c>
      <c r="AY616">
        <v>2</v>
      </c>
      <c r="AZ616" t="s">
        <v>1937</v>
      </c>
      <c r="BA616">
        <v>2016</v>
      </c>
      <c r="BB616">
        <v>2018</v>
      </c>
      <c r="BD616" t="s">
        <v>1886</v>
      </c>
      <c r="BE616" t="s">
        <v>1887</v>
      </c>
      <c r="BF616" t="s">
        <v>39</v>
      </c>
      <c r="BG616" t="s">
        <v>1233</v>
      </c>
      <c r="BH616" t="s">
        <v>23</v>
      </c>
      <c r="BI616" t="s">
        <v>1914</v>
      </c>
      <c r="BJ616" t="s">
        <v>13</v>
      </c>
      <c r="BK616">
        <v>20</v>
      </c>
      <c r="BL616" t="s">
        <v>275</v>
      </c>
      <c r="BM616" t="s">
        <v>1888</v>
      </c>
      <c r="BN616" t="s">
        <v>29</v>
      </c>
      <c r="BO616" t="s">
        <v>29</v>
      </c>
      <c r="BP616" t="s">
        <v>29</v>
      </c>
      <c r="HU616" s="58">
        <v>42539</v>
      </c>
      <c r="IP616" t="s">
        <v>1887</v>
      </c>
      <c r="IQ616" s="54" t="s">
        <v>1920</v>
      </c>
      <c r="IT616">
        <v>2016</v>
      </c>
      <c r="JK616" t="s">
        <v>1939</v>
      </c>
      <c r="JM616" t="s">
        <v>14</v>
      </c>
      <c r="JQ616" t="s">
        <v>13</v>
      </c>
      <c r="JR616">
        <v>125</v>
      </c>
      <c r="JU616">
        <v>60</v>
      </c>
      <c r="JV616">
        <v>30</v>
      </c>
      <c r="KF616" t="s">
        <v>1921</v>
      </c>
      <c r="KG616" s="84" t="s">
        <v>1548</v>
      </c>
      <c r="KH616" t="s">
        <v>1941</v>
      </c>
      <c r="KI616">
        <v>2</v>
      </c>
      <c r="KJ616" t="s">
        <v>1940</v>
      </c>
      <c r="KL616" s="8" t="s">
        <v>1943</v>
      </c>
      <c r="KM616" t="s">
        <v>1944</v>
      </c>
      <c r="KN616">
        <v>3</v>
      </c>
      <c r="KP616" s="8" t="s">
        <v>1922</v>
      </c>
      <c r="KQ616" t="s">
        <v>234</v>
      </c>
      <c r="KR616" t="s">
        <v>234</v>
      </c>
      <c r="KT616" t="s">
        <v>1923</v>
      </c>
      <c r="KU616" t="s">
        <v>234</v>
      </c>
      <c r="KV616" t="s">
        <v>234</v>
      </c>
      <c r="LU616" t="s">
        <v>1945</v>
      </c>
      <c r="LZ616" t="s">
        <v>1925</v>
      </c>
      <c r="MA616">
        <v>206.25</v>
      </c>
      <c r="MB616" s="4" t="s">
        <v>29</v>
      </c>
      <c r="MJ616" s="58">
        <v>42997</v>
      </c>
      <c r="MK616" s="58">
        <v>42997</v>
      </c>
      <c r="MZ616" t="s">
        <v>1926</v>
      </c>
      <c r="NA616" t="s">
        <v>234</v>
      </c>
      <c r="NC616" t="s">
        <v>168</v>
      </c>
      <c r="NJ616" t="s">
        <v>1950</v>
      </c>
      <c r="NK616" t="s">
        <v>1948</v>
      </c>
      <c r="NL616" t="s">
        <v>1949</v>
      </c>
      <c r="NM616" s="4" t="s">
        <v>1947</v>
      </c>
      <c r="NN616" s="6" t="s">
        <v>1946</v>
      </c>
      <c r="NV616" t="s">
        <v>1558</v>
      </c>
      <c r="NW616" t="s">
        <v>6</v>
      </c>
      <c r="NX616">
        <v>325.74</v>
      </c>
      <c r="NY616" t="s">
        <v>234</v>
      </c>
      <c r="NZ616" t="s">
        <v>234</v>
      </c>
      <c r="OC616" s="3">
        <v>3</v>
      </c>
      <c r="OT616" t="s">
        <v>1924</v>
      </c>
      <c r="OU616" t="s">
        <v>6</v>
      </c>
      <c r="OW616">
        <v>2016</v>
      </c>
      <c r="OX616">
        <v>2017</v>
      </c>
      <c r="PA616" t="s">
        <v>1169</v>
      </c>
      <c r="PB616" s="58">
        <v>46129</v>
      </c>
    </row>
    <row r="617" spans="1:418" ht="15.75" thickBot="1">
      <c r="A617" t="s">
        <v>248</v>
      </c>
      <c r="B617" t="s">
        <v>1884</v>
      </c>
      <c r="C617" t="s">
        <v>1885</v>
      </c>
      <c r="D617" s="4" t="s">
        <v>1936</v>
      </c>
      <c r="E617" s="90" t="s">
        <v>1955</v>
      </c>
      <c r="F617" t="s">
        <v>31</v>
      </c>
      <c r="G617" t="s">
        <v>2</v>
      </c>
      <c r="H617" t="s">
        <v>30</v>
      </c>
      <c r="I617">
        <v>30.9</v>
      </c>
      <c r="J617">
        <v>75.75</v>
      </c>
      <c r="K617" t="s">
        <v>29</v>
      </c>
      <c r="AV617" t="s">
        <v>836</v>
      </c>
      <c r="AW617" t="s">
        <v>234</v>
      </c>
      <c r="AX617" t="s">
        <v>234</v>
      </c>
      <c r="AY617">
        <v>2</v>
      </c>
      <c r="AZ617" t="s">
        <v>1937</v>
      </c>
      <c r="BA617">
        <v>2016</v>
      </c>
      <c r="BB617">
        <v>2018</v>
      </c>
      <c r="BD617" t="s">
        <v>1891</v>
      </c>
      <c r="BE617" t="s">
        <v>1906</v>
      </c>
      <c r="BF617" t="s">
        <v>64</v>
      </c>
      <c r="BG617" t="s">
        <v>1233</v>
      </c>
      <c r="BH617" t="s">
        <v>23</v>
      </c>
      <c r="BI617" t="s">
        <v>1914</v>
      </c>
      <c r="BJ617" t="s">
        <v>13</v>
      </c>
      <c r="BK617">
        <v>20</v>
      </c>
      <c r="BL617" t="s">
        <v>275</v>
      </c>
      <c r="BM617" t="s">
        <v>1894</v>
      </c>
      <c r="BN617" t="s">
        <v>29</v>
      </c>
      <c r="BO617" t="s">
        <v>29</v>
      </c>
      <c r="BP617" t="s">
        <v>29</v>
      </c>
      <c r="BQ617" t="s">
        <v>275</v>
      </c>
      <c r="BR617" t="s">
        <v>1893</v>
      </c>
      <c r="BS617" t="s">
        <v>29</v>
      </c>
      <c r="BT617" t="s">
        <v>29</v>
      </c>
      <c r="BU617" t="s">
        <v>29</v>
      </c>
      <c r="BV617" t="s">
        <v>56</v>
      </c>
      <c r="BW617" t="s">
        <v>1174</v>
      </c>
      <c r="BX617" t="s">
        <v>29</v>
      </c>
      <c r="BY617" t="s">
        <v>29</v>
      </c>
      <c r="BZ617" t="s">
        <v>29</v>
      </c>
      <c r="HU617" s="58">
        <v>42539</v>
      </c>
      <c r="IP617" t="s">
        <v>1892</v>
      </c>
      <c r="IQ617" s="54" t="s">
        <v>1919</v>
      </c>
      <c r="IT617">
        <v>2016</v>
      </c>
      <c r="JK617" t="s">
        <v>1939</v>
      </c>
      <c r="JM617" t="s">
        <v>14</v>
      </c>
      <c r="JQ617" t="s">
        <v>13</v>
      </c>
      <c r="JR617">
        <v>125</v>
      </c>
      <c r="JU617">
        <v>60</v>
      </c>
      <c r="JV617">
        <v>30</v>
      </c>
      <c r="KF617" t="s">
        <v>1921</v>
      </c>
      <c r="KG617" s="84" t="s">
        <v>1548</v>
      </c>
      <c r="KH617" t="s">
        <v>1941</v>
      </c>
      <c r="KI617">
        <v>2</v>
      </c>
      <c r="KJ617" t="s">
        <v>1940</v>
      </c>
      <c r="KL617" s="8" t="s">
        <v>1943</v>
      </c>
      <c r="KM617" t="s">
        <v>1944</v>
      </c>
      <c r="KN617">
        <v>3</v>
      </c>
      <c r="KP617" s="8" t="s">
        <v>1922</v>
      </c>
      <c r="KQ617" t="s">
        <v>234</v>
      </c>
      <c r="KR617" t="s">
        <v>234</v>
      </c>
      <c r="KT617" t="s">
        <v>1923</v>
      </c>
      <c r="KU617" t="s">
        <v>234</v>
      </c>
      <c r="KV617" t="s">
        <v>234</v>
      </c>
      <c r="LU617" t="s">
        <v>1945</v>
      </c>
      <c r="LZ617" t="s">
        <v>1925</v>
      </c>
      <c r="MA617">
        <v>206.25</v>
      </c>
      <c r="MB617" s="4" t="s">
        <v>29</v>
      </c>
      <c r="MJ617" s="58">
        <v>42997</v>
      </c>
      <c r="MK617" s="58">
        <v>42997</v>
      </c>
      <c r="MZ617" t="s">
        <v>1926</v>
      </c>
      <c r="NA617" t="s">
        <v>234</v>
      </c>
      <c r="NC617" t="s">
        <v>168</v>
      </c>
      <c r="NJ617" t="s">
        <v>1950</v>
      </c>
      <c r="NK617" t="s">
        <v>1948</v>
      </c>
      <c r="NL617" t="s">
        <v>1949</v>
      </c>
      <c r="NM617" s="4" t="s">
        <v>1947</v>
      </c>
      <c r="NN617" s="6" t="s">
        <v>1946</v>
      </c>
      <c r="NW617" t="s">
        <v>6</v>
      </c>
      <c r="NX617">
        <v>326.20999999999998</v>
      </c>
      <c r="NY617" t="s">
        <v>234</v>
      </c>
      <c r="NZ617" t="s">
        <v>234</v>
      </c>
      <c r="OC617" s="3">
        <v>3</v>
      </c>
      <c r="OT617" t="s">
        <v>1924</v>
      </c>
      <c r="OU617" t="s">
        <v>6</v>
      </c>
      <c r="OW617">
        <v>2016</v>
      </c>
      <c r="OX617">
        <v>2017</v>
      </c>
      <c r="PA617" t="s">
        <v>1169</v>
      </c>
      <c r="PB617" s="58">
        <v>46129</v>
      </c>
    </row>
    <row r="618" spans="1:418" ht="15.75" thickBot="1">
      <c r="A618" t="s">
        <v>248</v>
      </c>
      <c r="B618" t="s">
        <v>1884</v>
      </c>
      <c r="C618" t="s">
        <v>1885</v>
      </c>
      <c r="D618" s="4" t="s">
        <v>1936</v>
      </c>
      <c r="E618" s="90" t="s">
        <v>1955</v>
      </c>
      <c r="F618" t="s">
        <v>31</v>
      </c>
      <c r="G618" t="s">
        <v>2</v>
      </c>
      <c r="H618" t="s">
        <v>30</v>
      </c>
      <c r="I618">
        <v>30.9</v>
      </c>
      <c r="J618">
        <v>75.75</v>
      </c>
      <c r="K618" t="s">
        <v>29</v>
      </c>
      <c r="AV618" t="s">
        <v>836</v>
      </c>
      <c r="AW618" t="s">
        <v>234</v>
      </c>
      <c r="AX618" t="s">
        <v>234</v>
      </c>
      <c r="AY618">
        <v>2</v>
      </c>
      <c r="AZ618" t="s">
        <v>1937</v>
      </c>
      <c r="BA618">
        <v>2016</v>
      </c>
      <c r="BB618">
        <v>2018</v>
      </c>
      <c r="BD618" t="s">
        <v>1891</v>
      </c>
      <c r="BE618" t="s">
        <v>1951</v>
      </c>
      <c r="BF618" t="s">
        <v>57</v>
      </c>
      <c r="BG618" t="s">
        <v>1233</v>
      </c>
      <c r="BH618" t="s">
        <v>23</v>
      </c>
      <c r="BI618" t="s">
        <v>1914</v>
      </c>
      <c r="BJ618" t="s">
        <v>13</v>
      </c>
      <c r="BK618">
        <v>20</v>
      </c>
      <c r="BL618" t="s">
        <v>56</v>
      </c>
      <c r="BM618" t="s">
        <v>250</v>
      </c>
      <c r="BN618" t="s">
        <v>29</v>
      </c>
      <c r="BO618" t="s">
        <v>29</v>
      </c>
      <c r="BP618" t="s">
        <v>29</v>
      </c>
      <c r="BQ618" t="s">
        <v>275</v>
      </c>
      <c r="BR618" t="s">
        <v>1894</v>
      </c>
      <c r="BS618" t="s">
        <v>29</v>
      </c>
      <c r="BT618" t="s">
        <v>29</v>
      </c>
      <c r="BU618" t="s">
        <v>29</v>
      </c>
      <c r="BV618" t="s">
        <v>275</v>
      </c>
      <c r="BW618" t="s">
        <v>1893</v>
      </c>
      <c r="BX618" t="s">
        <v>29</v>
      </c>
      <c r="BY618" t="s">
        <v>29</v>
      </c>
      <c r="BZ618" t="s">
        <v>29</v>
      </c>
      <c r="CA618" t="s">
        <v>56</v>
      </c>
      <c r="CB618" t="s">
        <v>1174</v>
      </c>
      <c r="CC618" t="s">
        <v>29</v>
      </c>
      <c r="CD618" t="s">
        <v>29</v>
      </c>
      <c r="CE618" t="s">
        <v>29</v>
      </c>
      <c r="HU618" s="58">
        <v>42539</v>
      </c>
      <c r="IP618" t="s">
        <v>1896</v>
      </c>
      <c r="IQ618" s="54" t="s">
        <v>1919</v>
      </c>
      <c r="IT618">
        <v>2016</v>
      </c>
      <c r="JK618" t="s">
        <v>1939</v>
      </c>
      <c r="JM618" t="s">
        <v>14</v>
      </c>
      <c r="JQ618" t="s">
        <v>13</v>
      </c>
      <c r="JR618">
        <v>125</v>
      </c>
      <c r="JU618">
        <v>60</v>
      </c>
      <c r="JV618">
        <v>30</v>
      </c>
      <c r="KF618" t="s">
        <v>1921</v>
      </c>
      <c r="KG618" s="84" t="s">
        <v>1548</v>
      </c>
      <c r="KH618" t="s">
        <v>1941</v>
      </c>
      <c r="KI618">
        <v>2</v>
      </c>
      <c r="KJ618" t="s">
        <v>1940</v>
      </c>
      <c r="KL618" s="8" t="s">
        <v>1943</v>
      </c>
      <c r="KM618" t="s">
        <v>1944</v>
      </c>
      <c r="KN618">
        <v>3</v>
      </c>
      <c r="KP618" s="8" t="s">
        <v>1922</v>
      </c>
      <c r="KQ618" t="s">
        <v>234</v>
      </c>
      <c r="KR618" t="s">
        <v>234</v>
      </c>
      <c r="KT618" t="s">
        <v>1923</v>
      </c>
      <c r="KU618" t="s">
        <v>234</v>
      </c>
      <c r="KV618" t="s">
        <v>234</v>
      </c>
      <c r="LU618" t="s">
        <v>1945</v>
      </c>
      <c r="LZ618" t="s">
        <v>1925</v>
      </c>
      <c r="MA618">
        <v>206.25</v>
      </c>
      <c r="MB618" s="4" t="s">
        <v>29</v>
      </c>
      <c r="MJ618" s="58">
        <v>42997</v>
      </c>
      <c r="MK618" s="58">
        <v>42997</v>
      </c>
      <c r="MZ618" t="s">
        <v>1926</v>
      </c>
      <c r="NA618" t="s">
        <v>234</v>
      </c>
      <c r="NC618" t="s">
        <v>168</v>
      </c>
      <c r="NJ618" t="s">
        <v>1950</v>
      </c>
      <c r="NK618" t="s">
        <v>1948</v>
      </c>
      <c r="NL618" t="s">
        <v>1949</v>
      </c>
      <c r="NM618" s="4" t="s">
        <v>1947</v>
      </c>
      <c r="NN618" s="6" t="s">
        <v>1946</v>
      </c>
      <c r="NW618" t="s">
        <v>6</v>
      </c>
      <c r="NX618">
        <v>243.27</v>
      </c>
      <c r="NY618" t="s">
        <v>234</v>
      </c>
      <c r="NZ618" t="s">
        <v>234</v>
      </c>
      <c r="OC618" s="3">
        <v>3</v>
      </c>
      <c r="OT618" t="s">
        <v>1924</v>
      </c>
      <c r="OU618" t="s">
        <v>6</v>
      </c>
      <c r="OW618">
        <v>2016</v>
      </c>
      <c r="OX618">
        <v>2017</v>
      </c>
      <c r="PA618" t="s">
        <v>1169</v>
      </c>
      <c r="PB618" s="58">
        <v>46129</v>
      </c>
    </row>
    <row r="619" spans="1:418" ht="15.75" thickBot="1">
      <c r="A619" t="s">
        <v>248</v>
      </c>
      <c r="B619" t="s">
        <v>1884</v>
      </c>
      <c r="C619" t="s">
        <v>1885</v>
      </c>
      <c r="D619" s="4" t="s">
        <v>1936</v>
      </c>
      <c r="E619" s="90" t="s">
        <v>1955</v>
      </c>
      <c r="F619" t="s">
        <v>31</v>
      </c>
      <c r="G619" t="s">
        <v>2</v>
      </c>
      <c r="H619" t="s">
        <v>30</v>
      </c>
      <c r="I619">
        <v>30.9</v>
      </c>
      <c r="J619">
        <v>75.75</v>
      </c>
      <c r="K619" t="s">
        <v>29</v>
      </c>
      <c r="AV619" t="s">
        <v>836</v>
      </c>
      <c r="AW619" t="s">
        <v>234</v>
      </c>
      <c r="AX619" t="s">
        <v>234</v>
      </c>
      <c r="AY619">
        <v>2</v>
      </c>
      <c r="AZ619" t="s">
        <v>1937</v>
      </c>
      <c r="BA619">
        <v>2016</v>
      </c>
      <c r="BB619">
        <v>2018</v>
      </c>
      <c r="BD619" t="s">
        <v>1891</v>
      </c>
      <c r="BE619" t="s">
        <v>1952</v>
      </c>
      <c r="BF619" t="s">
        <v>48</v>
      </c>
      <c r="BG619" t="s">
        <v>1233</v>
      </c>
      <c r="BH619" t="s">
        <v>23</v>
      </c>
      <c r="BI619" t="s">
        <v>1914</v>
      </c>
      <c r="BJ619" t="s">
        <v>13</v>
      </c>
      <c r="BK619">
        <v>20</v>
      </c>
      <c r="BL619" t="s">
        <v>56</v>
      </c>
      <c r="BM619" t="s">
        <v>250</v>
      </c>
      <c r="BN619" t="s">
        <v>29</v>
      </c>
      <c r="BO619" t="s">
        <v>29</v>
      </c>
      <c r="BP619" t="s">
        <v>29</v>
      </c>
      <c r="BQ619" t="s">
        <v>275</v>
      </c>
      <c r="BR619" t="s">
        <v>1894</v>
      </c>
      <c r="BS619" t="s">
        <v>29</v>
      </c>
      <c r="BT619" t="s">
        <v>29</v>
      </c>
      <c r="BU619" t="s">
        <v>29</v>
      </c>
      <c r="HU619" s="58">
        <v>42539</v>
      </c>
      <c r="IP619" t="s">
        <v>1898</v>
      </c>
      <c r="IQ619" s="54" t="s">
        <v>1919</v>
      </c>
      <c r="IT619">
        <v>2016</v>
      </c>
      <c r="JK619" t="s">
        <v>1939</v>
      </c>
      <c r="JM619" t="s">
        <v>14</v>
      </c>
      <c r="JQ619" t="s">
        <v>13</v>
      </c>
      <c r="JR619">
        <v>125</v>
      </c>
      <c r="JU619">
        <v>60</v>
      </c>
      <c r="JV619">
        <v>30</v>
      </c>
      <c r="KF619" t="s">
        <v>1921</v>
      </c>
      <c r="KG619" s="84" t="s">
        <v>1548</v>
      </c>
      <c r="KH619" t="s">
        <v>1941</v>
      </c>
      <c r="KI619">
        <v>2</v>
      </c>
      <c r="KJ619" t="s">
        <v>1940</v>
      </c>
      <c r="KL619" s="8" t="s">
        <v>1943</v>
      </c>
      <c r="KM619" t="s">
        <v>1944</v>
      </c>
      <c r="KN619">
        <v>3</v>
      </c>
      <c r="KP619" s="8" t="s">
        <v>1922</v>
      </c>
      <c r="KQ619" t="s">
        <v>234</v>
      </c>
      <c r="KR619" t="s">
        <v>234</v>
      </c>
      <c r="KT619" t="s">
        <v>1923</v>
      </c>
      <c r="KU619" t="s">
        <v>234</v>
      </c>
      <c r="KV619" t="s">
        <v>234</v>
      </c>
      <c r="LU619" t="s">
        <v>1945</v>
      </c>
      <c r="LZ619" t="s">
        <v>1925</v>
      </c>
      <c r="MA619">
        <v>206.25</v>
      </c>
      <c r="MB619" s="4" t="s">
        <v>29</v>
      </c>
      <c r="MJ619" s="58">
        <v>42997</v>
      </c>
      <c r="MK619" s="58">
        <v>42997</v>
      </c>
      <c r="MZ619" t="s">
        <v>1926</v>
      </c>
      <c r="NA619" t="s">
        <v>234</v>
      </c>
      <c r="NC619" t="s">
        <v>168</v>
      </c>
      <c r="NJ619" t="s">
        <v>1950</v>
      </c>
      <c r="NK619" t="s">
        <v>1948</v>
      </c>
      <c r="NL619" t="s">
        <v>1949</v>
      </c>
      <c r="NM619" s="4" t="s">
        <v>1947</v>
      </c>
      <c r="NN619" s="6" t="s">
        <v>1946</v>
      </c>
      <c r="NW619" t="s">
        <v>6</v>
      </c>
      <c r="NX619">
        <v>247.77</v>
      </c>
      <c r="NY619" t="s">
        <v>234</v>
      </c>
      <c r="NZ619" t="s">
        <v>234</v>
      </c>
      <c r="OC619" s="3">
        <v>3</v>
      </c>
      <c r="OT619" t="s">
        <v>1924</v>
      </c>
      <c r="OU619" t="s">
        <v>6</v>
      </c>
      <c r="OW619">
        <v>2016</v>
      </c>
      <c r="OX619">
        <v>2017</v>
      </c>
      <c r="PA619" t="s">
        <v>1169</v>
      </c>
      <c r="PB619" s="58">
        <v>46129</v>
      </c>
    </row>
    <row r="620" spans="1:418" ht="15.75" thickBot="1">
      <c r="A620" t="s">
        <v>248</v>
      </c>
      <c r="B620" t="s">
        <v>1884</v>
      </c>
      <c r="C620" t="s">
        <v>1885</v>
      </c>
      <c r="D620" s="4" t="s">
        <v>1936</v>
      </c>
      <c r="E620" s="90" t="s">
        <v>1955</v>
      </c>
      <c r="F620" t="s">
        <v>31</v>
      </c>
      <c r="G620" t="s">
        <v>2</v>
      </c>
      <c r="H620" t="s">
        <v>30</v>
      </c>
      <c r="I620">
        <v>30.9</v>
      </c>
      <c r="J620">
        <v>75.75</v>
      </c>
      <c r="K620" t="s">
        <v>29</v>
      </c>
      <c r="AV620" t="s">
        <v>836</v>
      </c>
      <c r="AW620" t="s">
        <v>234</v>
      </c>
      <c r="AX620" t="s">
        <v>234</v>
      </c>
      <c r="AY620">
        <v>2</v>
      </c>
      <c r="AZ620" t="s">
        <v>1937</v>
      </c>
      <c r="BA620">
        <v>2016</v>
      </c>
      <c r="BB620">
        <v>2018</v>
      </c>
      <c r="BD620" t="s">
        <v>1891</v>
      </c>
      <c r="BE620" t="s">
        <v>1953</v>
      </c>
      <c r="BF620" t="s">
        <v>43</v>
      </c>
      <c r="BG620" t="s">
        <v>1233</v>
      </c>
      <c r="BH620" t="s">
        <v>23</v>
      </c>
      <c r="BI620" t="s">
        <v>1914</v>
      </c>
      <c r="BJ620" t="s">
        <v>13</v>
      </c>
      <c r="BK620">
        <v>20</v>
      </c>
      <c r="BL620" t="s">
        <v>56</v>
      </c>
      <c r="BM620" t="s">
        <v>250</v>
      </c>
      <c r="BN620" t="s">
        <v>29</v>
      </c>
      <c r="BO620" t="s">
        <v>29</v>
      </c>
      <c r="BP620" t="s">
        <v>29</v>
      </c>
      <c r="BQ620" t="s">
        <v>275</v>
      </c>
      <c r="BR620" t="s">
        <v>1916</v>
      </c>
      <c r="BS620" t="s">
        <v>29</v>
      </c>
      <c r="BT620" t="s">
        <v>29</v>
      </c>
      <c r="BU620" t="s">
        <v>29</v>
      </c>
      <c r="BV620" t="s">
        <v>275</v>
      </c>
      <c r="BW620" t="s">
        <v>1917</v>
      </c>
      <c r="BX620" t="s">
        <v>29</v>
      </c>
      <c r="BY620" t="s">
        <v>29</v>
      </c>
      <c r="BZ620" t="s">
        <v>29</v>
      </c>
      <c r="HU620" s="58">
        <v>42539</v>
      </c>
      <c r="IP620" t="s">
        <v>1900</v>
      </c>
      <c r="IQ620" s="54" t="s">
        <v>1919</v>
      </c>
      <c r="IT620">
        <v>2016</v>
      </c>
      <c r="JK620" t="s">
        <v>1939</v>
      </c>
      <c r="JM620" t="s">
        <v>14</v>
      </c>
      <c r="JQ620" t="s">
        <v>13</v>
      </c>
      <c r="JR620">
        <v>125</v>
      </c>
      <c r="JU620">
        <v>60</v>
      </c>
      <c r="JV620">
        <v>30</v>
      </c>
      <c r="KF620" t="s">
        <v>1921</v>
      </c>
      <c r="KG620" s="84" t="s">
        <v>1548</v>
      </c>
      <c r="KH620" t="s">
        <v>1941</v>
      </c>
      <c r="KI620">
        <v>2</v>
      </c>
      <c r="KJ620" t="s">
        <v>1940</v>
      </c>
      <c r="KL620" s="8" t="s">
        <v>1943</v>
      </c>
      <c r="KM620" t="s">
        <v>1944</v>
      </c>
      <c r="KN620">
        <v>3</v>
      </c>
      <c r="KP620" s="8" t="s">
        <v>1922</v>
      </c>
      <c r="KQ620" t="s">
        <v>234</v>
      </c>
      <c r="KR620" t="s">
        <v>234</v>
      </c>
      <c r="KT620" t="s">
        <v>1923</v>
      </c>
      <c r="KU620" t="s">
        <v>234</v>
      </c>
      <c r="KV620" t="s">
        <v>234</v>
      </c>
      <c r="LU620" t="s">
        <v>1945</v>
      </c>
      <c r="LZ620" t="s">
        <v>1925</v>
      </c>
      <c r="MA620">
        <v>206.25</v>
      </c>
      <c r="MB620" s="4" t="s">
        <v>29</v>
      </c>
      <c r="MJ620" s="58">
        <v>42997</v>
      </c>
      <c r="MK620" s="58">
        <v>42997</v>
      </c>
      <c r="MZ620" t="s">
        <v>1926</v>
      </c>
      <c r="NA620" t="s">
        <v>234</v>
      </c>
      <c r="NC620" t="s">
        <v>168</v>
      </c>
      <c r="NJ620" t="s">
        <v>1950</v>
      </c>
      <c r="NK620" t="s">
        <v>1948</v>
      </c>
      <c r="NL620" t="s">
        <v>1949</v>
      </c>
      <c r="NM620" s="4" t="s">
        <v>1947</v>
      </c>
      <c r="NN620" s="6" t="s">
        <v>1946</v>
      </c>
      <c r="NW620" t="s">
        <v>6</v>
      </c>
      <c r="NX620">
        <v>244.99</v>
      </c>
      <c r="NY620" t="s">
        <v>234</v>
      </c>
      <c r="NZ620" t="s">
        <v>234</v>
      </c>
      <c r="OC620" s="3">
        <v>3</v>
      </c>
      <c r="OT620" t="s">
        <v>1924</v>
      </c>
      <c r="OU620" t="s">
        <v>6</v>
      </c>
      <c r="OW620">
        <v>2016</v>
      </c>
      <c r="OX620">
        <v>2017</v>
      </c>
      <c r="PA620" t="s">
        <v>1169</v>
      </c>
      <c r="PB620" s="58">
        <v>46129</v>
      </c>
    </row>
    <row r="621" spans="1:418" ht="15.75" thickBot="1">
      <c r="A621" t="s">
        <v>248</v>
      </c>
      <c r="B621" t="s">
        <v>1884</v>
      </c>
      <c r="C621" t="s">
        <v>1885</v>
      </c>
      <c r="D621" s="4" t="s">
        <v>1936</v>
      </c>
      <c r="E621" s="90" t="s">
        <v>1955</v>
      </c>
      <c r="F621" t="s">
        <v>31</v>
      </c>
      <c r="G621" t="s">
        <v>2</v>
      </c>
      <c r="H621" t="s">
        <v>30</v>
      </c>
      <c r="I621">
        <v>30.9</v>
      </c>
      <c r="J621">
        <v>75.75</v>
      </c>
      <c r="K621" t="s">
        <v>29</v>
      </c>
      <c r="AV621" t="s">
        <v>836</v>
      </c>
      <c r="AW621" t="s">
        <v>234</v>
      </c>
      <c r="AX621" t="s">
        <v>234</v>
      </c>
      <c r="AY621">
        <v>2</v>
      </c>
      <c r="AZ621" t="s">
        <v>1937</v>
      </c>
      <c r="BA621">
        <v>2016</v>
      </c>
      <c r="BB621">
        <v>2018</v>
      </c>
      <c r="BD621" t="s">
        <v>1891</v>
      </c>
      <c r="BE621" s="3" t="s">
        <v>1902</v>
      </c>
      <c r="BF621" t="s">
        <v>252</v>
      </c>
      <c r="BG621" t="s">
        <v>1233</v>
      </c>
      <c r="BH621" t="s">
        <v>23</v>
      </c>
      <c r="BI621" t="s">
        <v>1914</v>
      </c>
      <c r="BJ621" t="s">
        <v>13</v>
      </c>
      <c r="BK621">
        <v>20</v>
      </c>
      <c r="BL621" t="s">
        <v>275</v>
      </c>
      <c r="BM621" t="s">
        <v>1918</v>
      </c>
      <c r="BN621" t="s">
        <v>29</v>
      </c>
      <c r="BO621" t="s">
        <v>29</v>
      </c>
      <c r="BP621" t="s">
        <v>29</v>
      </c>
      <c r="BQ621" t="s">
        <v>275</v>
      </c>
      <c r="BR621" t="s">
        <v>1916</v>
      </c>
      <c r="BS621" t="s">
        <v>29</v>
      </c>
      <c r="BT621" t="s">
        <v>29</v>
      </c>
      <c r="BU621" t="s">
        <v>29</v>
      </c>
      <c r="BV621" t="s">
        <v>275</v>
      </c>
      <c r="BW621" t="s">
        <v>1917</v>
      </c>
      <c r="BX621" t="s">
        <v>29</v>
      </c>
      <c r="BY621" t="s">
        <v>29</v>
      </c>
      <c r="BZ621" t="s">
        <v>29</v>
      </c>
      <c r="HU621" s="58">
        <v>42539</v>
      </c>
      <c r="IP621" t="s">
        <v>1902</v>
      </c>
      <c r="IQ621" s="54" t="s">
        <v>1919</v>
      </c>
      <c r="IT621">
        <v>2016</v>
      </c>
      <c r="JK621" t="s">
        <v>1939</v>
      </c>
      <c r="JM621" t="s">
        <v>14</v>
      </c>
      <c r="JQ621" t="s">
        <v>13</v>
      </c>
      <c r="JR621">
        <v>125</v>
      </c>
      <c r="JU621">
        <v>60</v>
      </c>
      <c r="JV621">
        <v>30</v>
      </c>
      <c r="KF621" t="s">
        <v>1921</v>
      </c>
      <c r="KG621" s="84" t="s">
        <v>1548</v>
      </c>
      <c r="KH621" t="s">
        <v>1941</v>
      </c>
      <c r="KI621">
        <v>2</v>
      </c>
      <c r="KJ621" t="s">
        <v>1940</v>
      </c>
      <c r="KL621" s="8" t="s">
        <v>1943</v>
      </c>
      <c r="KM621" t="s">
        <v>1944</v>
      </c>
      <c r="KN621">
        <v>3</v>
      </c>
      <c r="KP621" s="8" t="s">
        <v>1922</v>
      </c>
      <c r="KQ621" t="s">
        <v>234</v>
      </c>
      <c r="KR621" t="s">
        <v>234</v>
      </c>
      <c r="KT621" t="s">
        <v>1923</v>
      </c>
      <c r="KU621" t="s">
        <v>234</v>
      </c>
      <c r="KV621" t="s">
        <v>234</v>
      </c>
      <c r="LU621" t="s">
        <v>1945</v>
      </c>
      <c r="LZ621" t="s">
        <v>1925</v>
      </c>
      <c r="MA621">
        <v>206.25</v>
      </c>
      <c r="MB621" s="4" t="s">
        <v>29</v>
      </c>
      <c r="MJ621" s="58">
        <v>42997</v>
      </c>
      <c r="MK621" s="58">
        <v>42997</v>
      </c>
      <c r="MZ621" t="s">
        <v>1926</v>
      </c>
      <c r="NA621" t="s">
        <v>234</v>
      </c>
      <c r="NC621" t="s">
        <v>168</v>
      </c>
      <c r="NJ621" t="s">
        <v>1950</v>
      </c>
      <c r="NK621" t="s">
        <v>1948</v>
      </c>
      <c r="NL621" t="s">
        <v>1949</v>
      </c>
      <c r="NM621" s="4" t="s">
        <v>1947</v>
      </c>
      <c r="NN621" s="6" t="s">
        <v>1946</v>
      </c>
      <c r="NW621" t="s">
        <v>6</v>
      </c>
      <c r="NX621">
        <v>323.24</v>
      </c>
      <c r="NY621" t="s">
        <v>234</v>
      </c>
      <c r="NZ621" t="s">
        <v>234</v>
      </c>
      <c r="OC621" s="3">
        <v>3</v>
      </c>
      <c r="OT621" t="s">
        <v>1924</v>
      </c>
      <c r="OU621" t="s">
        <v>6</v>
      </c>
      <c r="OW621">
        <v>2016</v>
      </c>
      <c r="OX621">
        <v>2017</v>
      </c>
      <c r="PA621" t="s">
        <v>1169</v>
      </c>
      <c r="PB621" s="58">
        <v>46129</v>
      </c>
    </row>
    <row r="622" spans="1:418" ht="15.75" thickBot="1">
      <c r="A622" t="s">
        <v>248</v>
      </c>
      <c r="B622" t="s">
        <v>1884</v>
      </c>
      <c r="C622" t="s">
        <v>1885</v>
      </c>
      <c r="D622" s="4" t="s">
        <v>1936</v>
      </c>
      <c r="E622" s="90" t="s">
        <v>1955</v>
      </c>
      <c r="F622" t="s">
        <v>31</v>
      </c>
      <c r="G622" t="s">
        <v>2</v>
      </c>
      <c r="H622" t="s">
        <v>30</v>
      </c>
      <c r="I622">
        <v>30.9</v>
      </c>
      <c r="J622">
        <v>75.75</v>
      </c>
      <c r="K622" t="s">
        <v>29</v>
      </c>
      <c r="AV622" t="s">
        <v>836</v>
      </c>
      <c r="AW622" t="s">
        <v>234</v>
      </c>
      <c r="AX622" t="s">
        <v>234</v>
      </c>
      <c r="AY622">
        <v>2</v>
      </c>
      <c r="AZ622" t="s">
        <v>1937</v>
      </c>
      <c r="BA622">
        <v>2016</v>
      </c>
      <c r="BB622">
        <v>2018</v>
      </c>
      <c r="BD622" t="s">
        <v>1891</v>
      </c>
      <c r="BE622" s="15" t="s">
        <v>1954</v>
      </c>
      <c r="BF622" t="s">
        <v>236</v>
      </c>
      <c r="BG622" t="s">
        <v>1233</v>
      </c>
      <c r="BH622" t="s">
        <v>23</v>
      </c>
      <c r="BI622" t="s">
        <v>1914</v>
      </c>
      <c r="BJ622" t="s">
        <v>13</v>
      </c>
      <c r="BK622">
        <v>20</v>
      </c>
      <c r="BL622" t="s">
        <v>56</v>
      </c>
      <c r="BM622" t="s">
        <v>250</v>
      </c>
      <c r="BN622" t="s">
        <v>29</v>
      </c>
      <c r="BO622" t="s">
        <v>29</v>
      </c>
      <c r="BP622" t="s">
        <v>29</v>
      </c>
      <c r="BQ622" t="s">
        <v>275</v>
      </c>
      <c r="BR622" t="s">
        <v>1918</v>
      </c>
      <c r="BS622" t="s">
        <v>29</v>
      </c>
      <c r="BT622" t="s">
        <v>29</v>
      </c>
      <c r="BU622" t="s">
        <v>29</v>
      </c>
      <c r="BV622" t="s">
        <v>275</v>
      </c>
      <c r="BW622" t="s">
        <v>1916</v>
      </c>
      <c r="BX622" t="s">
        <v>29</v>
      </c>
      <c r="BY622" t="s">
        <v>29</v>
      </c>
      <c r="BZ622" t="s">
        <v>29</v>
      </c>
      <c r="CA622" t="s">
        <v>275</v>
      </c>
      <c r="CB622" t="s">
        <v>1917</v>
      </c>
      <c r="CC622" t="s">
        <v>29</v>
      </c>
      <c r="CD622" t="s">
        <v>29</v>
      </c>
      <c r="CE622" t="s">
        <v>29</v>
      </c>
      <c r="HU622" s="58">
        <v>42539</v>
      </c>
      <c r="IP622" t="s">
        <v>1904</v>
      </c>
      <c r="IQ622" s="54" t="s">
        <v>1919</v>
      </c>
      <c r="IT622">
        <v>2016</v>
      </c>
      <c r="JK622" t="s">
        <v>1939</v>
      </c>
      <c r="JM622" t="s">
        <v>14</v>
      </c>
      <c r="JQ622" t="s">
        <v>13</v>
      </c>
      <c r="JR622">
        <v>125</v>
      </c>
      <c r="JU622">
        <v>60</v>
      </c>
      <c r="JV622">
        <v>30</v>
      </c>
      <c r="KF622" t="s">
        <v>1921</v>
      </c>
      <c r="KG622" s="84" t="s">
        <v>1548</v>
      </c>
      <c r="KH622" t="s">
        <v>1941</v>
      </c>
      <c r="KI622">
        <v>2</v>
      </c>
      <c r="KJ622" t="s">
        <v>1940</v>
      </c>
      <c r="KL622" s="8" t="s">
        <v>1943</v>
      </c>
      <c r="KM622" t="s">
        <v>1944</v>
      </c>
      <c r="KN622">
        <v>3</v>
      </c>
      <c r="KP622" s="8" t="s">
        <v>1922</v>
      </c>
      <c r="KQ622" t="s">
        <v>234</v>
      </c>
      <c r="KR622" t="s">
        <v>234</v>
      </c>
      <c r="KT622" t="s">
        <v>1923</v>
      </c>
      <c r="KU622" t="s">
        <v>234</v>
      </c>
      <c r="KV622" t="s">
        <v>234</v>
      </c>
      <c r="LU622" t="s">
        <v>1945</v>
      </c>
      <c r="LZ622" t="s">
        <v>1925</v>
      </c>
      <c r="MA622">
        <v>206.25</v>
      </c>
      <c r="MB622" s="4" t="s">
        <v>29</v>
      </c>
      <c r="MJ622" s="58">
        <v>42997</v>
      </c>
      <c r="MK622" s="58">
        <v>42997</v>
      </c>
      <c r="MZ622" t="s">
        <v>1926</v>
      </c>
      <c r="NA622" t="s">
        <v>234</v>
      </c>
      <c r="NC622" t="s">
        <v>168</v>
      </c>
      <c r="NJ622" t="s">
        <v>1950</v>
      </c>
      <c r="NK622" t="s">
        <v>1948</v>
      </c>
      <c r="NL622" t="s">
        <v>1949</v>
      </c>
      <c r="NM622" s="4" t="s">
        <v>1947</v>
      </c>
      <c r="NN622" s="6" t="s">
        <v>1946</v>
      </c>
      <c r="NW622" t="s">
        <v>6</v>
      </c>
      <c r="NX622">
        <v>246.99</v>
      </c>
      <c r="NY622" t="s">
        <v>234</v>
      </c>
      <c r="NZ622" t="s">
        <v>234</v>
      </c>
      <c r="OC622" s="3">
        <v>3</v>
      </c>
      <c r="OT622" t="s">
        <v>1924</v>
      </c>
      <c r="OU622" t="s">
        <v>6</v>
      </c>
      <c r="OW622">
        <v>2016</v>
      </c>
      <c r="OX622">
        <v>2017</v>
      </c>
      <c r="PA622" t="s">
        <v>1169</v>
      </c>
      <c r="PB622" s="58">
        <v>46129</v>
      </c>
    </row>
    <row r="623" spans="1:418" ht="15.75" thickBot="1">
      <c r="A623" t="s">
        <v>248</v>
      </c>
      <c r="B623" t="s">
        <v>1884</v>
      </c>
      <c r="C623" t="s">
        <v>1885</v>
      </c>
      <c r="D623" s="4" t="s">
        <v>1936</v>
      </c>
      <c r="E623" s="90" t="s">
        <v>1955</v>
      </c>
      <c r="F623" t="s">
        <v>31</v>
      </c>
      <c r="G623" t="s">
        <v>2</v>
      </c>
      <c r="H623" t="s">
        <v>30</v>
      </c>
      <c r="I623">
        <v>30.9</v>
      </c>
      <c r="J623">
        <v>75.75</v>
      </c>
      <c r="K623" t="s">
        <v>29</v>
      </c>
      <c r="AV623" t="s">
        <v>836</v>
      </c>
      <c r="AW623" t="s">
        <v>234</v>
      </c>
      <c r="AX623" t="s">
        <v>234</v>
      </c>
      <c r="AY623">
        <v>2</v>
      </c>
      <c r="AZ623" t="s">
        <v>1937</v>
      </c>
      <c r="BA623">
        <v>2016</v>
      </c>
      <c r="BB623">
        <v>2018</v>
      </c>
      <c r="BD623" t="s">
        <v>1886</v>
      </c>
      <c r="BE623" t="s">
        <v>1887</v>
      </c>
      <c r="BF623" t="s">
        <v>39</v>
      </c>
      <c r="BG623" t="s">
        <v>1233</v>
      </c>
      <c r="BH623" t="s">
        <v>23</v>
      </c>
      <c r="BI623" t="s">
        <v>1914</v>
      </c>
      <c r="BJ623" t="s">
        <v>13</v>
      </c>
      <c r="BK623">
        <v>20</v>
      </c>
      <c r="BL623" t="s">
        <v>275</v>
      </c>
      <c r="BM623" t="s">
        <v>1888</v>
      </c>
      <c r="BN623" t="s">
        <v>29</v>
      </c>
      <c r="BO623" t="s">
        <v>29</v>
      </c>
      <c r="BP623" t="s">
        <v>29</v>
      </c>
      <c r="HU623" s="58">
        <v>42907</v>
      </c>
      <c r="IP623" t="s">
        <v>1887</v>
      </c>
      <c r="IQ623" s="54" t="s">
        <v>1920</v>
      </c>
      <c r="IT623">
        <v>2016</v>
      </c>
      <c r="JK623" t="s">
        <v>1939</v>
      </c>
      <c r="JM623" t="s">
        <v>14</v>
      </c>
      <c r="JQ623" t="s">
        <v>13</v>
      </c>
      <c r="JR623">
        <v>125</v>
      </c>
      <c r="JU623">
        <v>60</v>
      </c>
      <c r="JV623">
        <v>30</v>
      </c>
      <c r="KF623" t="s">
        <v>1921</v>
      </c>
      <c r="KG623" s="84" t="s">
        <v>1548</v>
      </c>
      <c r="KH623" t="s">
        <v>1941</v>
      </c>
      <c r="KI623">
        <v>2</v>
      </c>
      <c r="KJ623" t="s">
        <v>1940</v>
      </c>
      <c r="KL623" s="8" t="s">
        <v>1943</v>
      </c>
      <c r="KM623" t="s">
        <v>1944</v>
      </c>
      <c r="KN623">
        <v>3</v>
      </c>
      <c r="KP623" s="8" t="s">
        <v>1922</v>
      </c>
      <c r="KQ623" t="s">
        <v>234</v>
      </c>
      <c r="KR623" t="s">
        <v>234</v>
      </c>
      <c r="KT623" t="s">
        <v>1923</v>
      </c>
      <c r="KU623" t="s">
        <v>234</v>
      </c>
      <c r="KV623" t="s">
        <v>234</v>
      </c>
      <c r="LU623" t="s">
        <v>1945</v>
      </c>
      <c r="LZ623" t="s">
        <v>1925</v>
      </c>
      <c r="MA623">
        <v>225</v>
      </c>
      <c r="MB623" s="4" t="s">
        <v>29</v>
      </c>
      <c r="MJ623" s="58">
        <v>43362</v>
      </c>
      <c r="MK623" s="58">
        <v>43362</v>
      </c>
      <c r="MZ623" t="s">
        <v>1926</v>
      </c>
      <c r="NA623" t="s">
        <v>234</v>
      </c>
      <c r="NC623" t="s">
        <v>168</v>
      </c>
      <c r="NJ623" t="s">
        <v>1950</v>
      </c>
      <c r="NK623" t="s">
        <v>1948</v>
      </c>
      <c r="NL623" t="s">
        <v>1949</v>
      </c>
      <c r="NM623" s="4" t="s">
        <v>1947</v>
      </c>
      <c r="NN623" s="6" t="s">
        <v>1946</v>
      </c>
      <c r="NV623" t="s">
        <v>1558</v>
      </c>
      <c r="NW623" t="s">
        <v>6</v>
      </c>
      <c r="NX623">
        <v>328.04</v>
      </c>
      <c r="NY623" t="s">
        <v>234</v>
      </c>
      <c r="NZ623" t="s">
        <v>234</v>
      </c>
      <c r="OC623" s="3">
        <v>3</v>
      </c>
      <c r="OT623" t="s">
        <v>1924</v>
      </c>
      <c r="OU623" t="s">
        <v>6</v>
      </c>
      <c r="OW623">
        <v>2017</v>
      </c>
      <c r="OX623">
        <v>2018</v>
      </c>
      <c r="PA623" t="s">
        <v>1169</v>
      </c>
      <c r="PB623" s="58">
        <v>46129</v>
      </c>
    </row>
    <row r="624" spans="1:418" ht="15.75" thickBot="1">
      <c r="A624" t="s">
        <v>248</v>
      </c>
      <c r="B624" t="s">
        <v>1884</v>
      </c>
      <c r="C624" t="s">
        <v>1885</v>
      </c>
      <c r="D624" s="4" t="s">
        <v>1936</v>
      </c>
      <c r="E624" s="90" t="s">
        <v>1955</v>
      </c>
      <c r="F624" t="s">
        <v>31</v>
      </c>
      <c r="G624" t="s">
        <v>2</v>
      </c>
      <c r="H624" t="s">
        <v>30</v>
      </c>
      <c r="I624">
        <v>30.9</v>
      </c>
      <c r="J624">
        <v>75.75</v>
      </c>
      <c r="K624" t="s">
        <v>29</v>
      </c>
      <c r="AV624" t="s">
        <v>836</v>
      </c>
      <c r="AW624" t="s">
        <v>234</v>
      </c>
      <c r="AX624" t="s">
        <v>234</v>
      </c>
      <c r="AY624">
        <v>2</v>
      </c>
      <c r="AZ624" t="s">
        <v>1937</v>
      </c>
      <c r="BA624">
        <v>2016</v>
      </c>
      <c r="BB624">
        <v>2018</v>
      </c>
      <c r="BD624" t="s">
        <v>1891</v>
      </c>
      <c r="BE624" t="s">
        <v>1906</v>
      </c>
      <c r="BF624" t="s">
        <v>64</v>
      </c>
      <c r="BG624" t="s">
        <v>1233</v>
      </c>
      <c r="BH624" t="s">
        <v>23</v>
      </c>
      <c r="BI624" t="s">
        <v>1914</v>
      </c>
      <c r="BJ624" t="s">
        <v>13</v>
      </c>
      <c r="BK624">
        <v>20</v>
      </c>
      <c r="BL624" t="s">
        <v>275</v>
      </c>
      <c r="BM624" t="s">
        <v>1894</v>
      </c>
      <c r="BN624" t="s">
        <v>29</v>
      </c>
      <c r="BO624" t="s">
        <v>29</v>
      </c>
      <c r="BP624" t="s">
        <v>29</v>
      </c>
      <c r="BQ624" t="s">
        <v>275</v>
      </c>
      <c r="BR624" t="s">
        <v>1893</v>
      </c>
      <c r="BS624" t="s">
        <v>29</v>
      </c>
      <c r="BT624" t="s">
        <v>29</v>
      </c>
      <c r="BU624" t="s">
        <v>29</v>
      </c>
      <c r="BV624" t="s">
        <v>56</v>
      </c>
      <c r="BW624" t="s">
        <v>1174</v>
      </c>
      <c r="BX624" t="s">
        <v>29</v>
      </c>
      <c r="BY624" t="s">
        <v>29</v>
      </c>
      <c r="BZ624" t="s">
        <v>29</v>
      </c>
      <c r="HU624" s="58">
        <v>42907</v>
      </c>
      <c r="IP624" t="s">
        <v>1892</v>
      </c>
      <c r="IQ624" s="54" t="s">
        <v>1919</v>
      </c>
      <c r="IT624">
        <v>2016</v>
      </c>
      <c r="JK624" t="s">
        <v>1939</v>
      </c>
      <c r="JM624" t="s">
        <v>14</v>
      </c>
      <c r="JQ624" t="s">
        <v>13</v>
      </c>
      <c r="JR624">
        <v>125</v>
      </c>
      <c r="JU624">
        <v>60</v>
      </c>
      <c r="JV624">
        <v>30</v>
      </c>
      <c r="KF624" t="s">
        <v>1921</v>
      </c>
      <c r="KG624" s="84" t="s">
        <v>1548</v>
      </c>
      <c r="KH624" t="s">
        <v>1941</v>
      </c>
      <c r="KI624">
        <v>2</v>
      </c>
      <c r="KJ624" t="s">
        <v>1940</v>
      </c>
      <c r="KL624" s="8" t="s">
        <v>1943</v>
      </c>
      <c r="KM624" t="s">
        <v>1944</v>
      </c>
      <c r="KN624">
        <v>3</v>
      </c>
      <c r="KP624" s="8" t="s">
        <v>1922</v>
      </c>
      <c r="KQ624" t="s">
        <v>234</v>
      </c>
      <c r="KR624" t="s">
        <v>234</v>
      </c>
      <c r="KT624" t="s">
        <v>1923</v>
      </c>
      <c r="KU624" t="s">
        <v>234</v>
      </c>
      <c r="KV624" t="s">
        <v>234</v>
      </c>
      <c r="LU624" t="s">
        <v>1945</v>
      </c>
      <c r="LZ624" t="s">
        <v>1925</v>
      </c>
      <c r="MA624">
        <v>225</v>
      </c>
      <c r="MB624" s="4" t="s">
        <v>29</v>
      </c>
      <c r="MJ624" s="58">
        <v>43362</v>
      </c>
      <c r="MK624" s="58">
        <v>43362</v>
      </c>
      <c r="MZ624" t="s">
        <v>1926</v>
      </c>
      <c r="NA624" t="s">
        <v>234</v>
      </c>
      <c r="NC624" t="s">
        <v>168</v>
      </c>
      <c r="NJ624" t="s">
        <v>1950</v>
      </c>
      <c r="NK624" t="s">
        <v>1948</v>
      </c>
      <c r="NL624" t="s">
        <v>1949</v>
      </c>
      <c r="NM624" s="4" t="s">
        <v>1947</v>
      </c>
      <c r="NN624" s="6" t="s">
        <v>1946</v>
      </c>
      <c r="NW624" t="s">
        <v>6</v>
      </c>
      <c r="NX624">
        <v>333.82</v>
      </c>
      <c r="NY624" t="s">
        <v>234</v>
      </c>
      <c r="NZ624" t="s">
        <v>234</v>
      </c>
      <c r="OC624" s="3">
        <v>3</v>
      </c>
      <c r="OT624" t="s">
        <v>1924</v>
      </c>
      <c r="OU624" t="s">
        <v>6</v>
      </c>
      <c r="OW624">
        <v>2017</v>
      </c>
      <c r="OX624">
        <v>2018</v>
      </c>
      <c r="PA624" t="s">
        <v>1169</v>
      </c>
      <c r="PB624" s="58">
        <v>46129</v>
      </c>
    </row>
    <row r="625" spans="1:423" ht="15.75" thickBot="1">
      <c r="A625" t="s">
        <v>248</v>
      </c>
      <c r="B625" t="s">
        <v>1884</v>
      </c>
      <c r="C625" t="s">
        <v>1885</v>
      </c>
      <c r="D625" s="4" t="s">
        <v>1936</v>
      </c>
      <c r="E625" s="90" t="s">
        <v>1955</v>
      </c>
      <c r="F625" t="s">
        <v>31</v>
      </c>
      <c r="G625" t="s">
        <v>2</v>
      </c>
      <c r="H625" t="s">
        <v>30</v>
      </c>
      <c r="I625">
        <v>30.9</v>
      </c>
      <c r="J625">
        <v>75.75</v>
      </c>
      <c r="K625" t="s">
        <v>29</v>
      </c>
      <c r="AV625" t="s">
        <v>836</v>
      </c>
      <c r="AW625" t="s">
        <v>234</v>
      </c>
      <c r="AX625" t="s">
        <v>234</v>
      </c>
      <c r="AY625">
        <v>2</v>
      </c>
      <c r="AZ625" t="s">
        <v>1937</v>
      </c>
      <c r="BA625">
        <v>2016</v>
      </c>
      <c r="BB625">
        <v>2018</v>
      </c>
      <c r="BD625" t="s">
        <v>1891</v>
      </c>
      <c r="BE625" t="s">
        <v>1951</v>
      </c>
      <c r="BF625" t="s">
        <v>57</v>
      </c>
      <c r="BG625" t="s">
        <v>1233</v>
      </c>
      <c r="BH625" t="s">
        <v>23</v>
      </c>
      <c r="BI625" t="s">
        <v>1914</v>
      </c>
      <c r="BJ625" t="s">
        <v>13</v>
      </c>
      <c r="BK625">
        <v>20</v>
      </c>
      <c r="BL625" t="s">
        <v>56</v>
      </c>
      <c r="BM625" t="s">
        <v>250</v>
      </c>
      <c r="BN625" t="s">
        <v>29</v>
      </c>
      <c r="BO625" t="s">
        <v>29</v>
      </c>
      <c r="BP625" t="s">
        <v>29</v>
      </c>
      <c r="BQ625" t="s">
        <v>275</v>
      </c>
      <c r="BR625" t="s">
        <v>1894</v>
      </c>
      <c r="BS625" t="s">
        <v>29</v>
      </c>
      <c r="BT625" t="s">
        <v>29</v>
      </c>
      <c r="BU625" t="s">
        <v>29</v>
      </c>
      <c r="BV625" t="s">
        <v>275</v>
      </c>
      <c r="BW625" t="s">
        <v>1893</v>
      </c>
      <c r="BX625" t="s">
        <v>29</v>
      </c>
      <c r="BY625" t="s">
        <v>29</v>
      </c>
      <c r="BZ625" t="s">
        <v>29</v>
      </c>
      <c r="CA625" t="s">
        <v>56</v>
      </c>
      <c r="CB625" t="s">
        <v>1174</v>
      </c>
      <c r="CC625" t="s">
        <v>29</v>
      </c>
      <c r="CD625" t="s">
        <v>29</v>
      </c>
      <c r="CE625" t="s">
        <v>29</v>
      </c>
      <c r="HU625" s="58">
        <v>42907</v>
      </c>
      <c r="IP625" t="s">
        <v>1896</v>
      </c>
      <c r="IQ625" s="54" t="s">
        <v>1919</v>
      </c>
      <c r="IT625">
        <v>2016</v>
      </c>
      <c r="JK625" t="s">
        <v>1939</v>
      </c>
      <c r="JM625" t="s">
        <v>14</v>
      </c>
      <c r="JQ625" t="s">
        <v>13</v>
      </c>
      <c r="JR625">
        <v>125</v>
      </c>
      <c r="JU625">
        <v>60</v>
      </c>
      <c r="JV625">
        <v>30</v>
      </c>
      <c r="KF625" t="s">
        <v>1921</v>
      </c>
      <c r="KG625" s="84" t="s">
        <v>1548</v>
      </c>
      <c r="KH625" t="s">
        <v>1941</v>
      </c>
      <c r="KI625">
        <v>2</v>
      </c>
      <c r="KJ625" t="s">
        <v>1940</v>
      </c>
      <c r="KL625" s="8" t="s">
        <v>1943</v>
      </c>
      <c r="KM625" t="s">
        <v>1944</v>
      </c>
      <c r="KN625">
        <v>3</v>
      </c>
      <c r="KP625" s="8" t="s">
        <v>1922</v>
      </c>
      <c r="KQ625" t="s">
        <v>234</v>
      </c>
      <c r="KR625" t="s">
        <v>234</v>
      </c>
      <c r="KT625" t="s">
        <v>1923</v>
      </c>
      <c r="KU625" t="s">
        <v>234</v>
      </c>
      <c r="KV625" t="s">
        <v>234</v>
      </c>
      <c r="LU625" t="s">
        <v>1945</v>
      </c>
      <c r="LZ625" t="s">
        <v>1925</v>
      </c>
      <c r="MA625">
        <v>225</v>
      </c>
      <c r="MB625" s="4" t="s">
        <v>29</v>
      </c>
      <c r="MJ625" s="58">
        <v>43362</v>
      </c>
      <c r="MK625" s="58">
        <v>43362</v>
      </c>
      <c r="MZ625" t="s">
        <v>1926</v>
      </c>
      <c r="NA625" t="s">
        <v>234</v>
      </c>
      <c r="NC625" t="s">
        <v>168</v>
      </c>
      <c r="NJ625" t="s">
        <v>1950</v>
      </c>
      <c r="NK625" t="s">
        <v>1948</v>
      </c>
      <c r="NL625" t="s">
        <v>1949</v>
      </c>
      <c r="NM625" s="4" t="s">
        <v>1947</v>
      </c>
      <c r="NN625" s="6" t="s">
        <v>1946</v>
      </c>
      <c r="NW625" t="s">
        <v>6</v>
      </c>
      <c r="NX625">
        <v>256.81</v>
      </c>
      <c r="NY625" t="s">
        <v>234</v>
      </c>
      <c r="NZ625" t="s">
        <v>234</v>
      </c>
      <c r="OC625" s="3">
        <v>3</v>
      </c>
      <c r="OT625" t="s">
        <v>1924</v>
      </c>
      <c r="OU625" t="s">
        <v>6</v>
      </c>
      <c r="OW625">
        <v>2017</v>
      </c>
      <c r="OX625">
        <v>2018</v>
      </c>
      <c r="PA625" t="s">
        <v>1169</v>
      </c>
      <c r="PB625" s="58">
        <v>46129</v>
      </c>
    </row>
    <row r="626" spans="1:423" ht="15.75" thickBot="1">
      <c r="A626" t="s">
        <v>248</v>
      </c>
      <c r="B626" t="s">
        <v>1884</v>
      </c>
      <c r="C626" t="s">
        <v>1885</v>
      </c>
      <c r="D626" s="4" t="s">
        <v>1936</v>
      </c>
      <c r="E626" s="90" t="s">
        <v>1955</v>
      </c>
      <c r="F626" t="s">
        <v>31</v>
      </c>
      <c r="G626" t="s">
        <v>2</v>
      </c>
      <c r="H626" t="s">
        <v>30</v>
      </c>
      <c r="I626">
        <v>30.9</v>
      </c>
      <c r="J626">
        <v>75.75</v>
      </c>
      <c r="K626" t="s">
        <v>29</v>
      </c>
      <c r="AV626" t="s">
        <v>836</v>
      </c>
      <c r="AW626" t="s">
        <v>234</v>
      </c>
      <c r="AX626" t="s">
        <v>234</v>
      </c>
      <c r="AY626">
        <v>2</v>
      </c>
      <c r="AZ626" t="s">
        <v>1937</v>
      </c>
      <c r="BA626">
        <v>2016</v>
      </c>
      <c r="BB626">
        <v>2018</v>
      </c>
      <c r="BD626" t="s">
        <v>1891</v>
      </c>
      <c r="BE626" t="s">
        <v>1952</v>
      </c>
      <c r="BF626" t="s">
        <v>48</v>
      </c>
      <c r="BG626" t="s">
        <v>1233</v>
      </c>
      <c r="BH626" t="s">
        <v>23</v>
      </c>
      <c r="BI626" t="s">
        <v>1914</v>
      </c>
      <c r="BJ626" t="s">
        <v>13</v>
      </c>
      <c r="BK626">
        <v>20</v>
      </c>
      <c r="BL626" t="s">
        <v>56</v>
      </c>
      <c r="BM626" t="s">
        <v>250</v>
      </c>
      <c r="BN626" t="s">
        <v>29</v>
      </c>
      <c r="BO626" t="s">
        <v>29</v>
      </c>
      <c r="BP626" t="s">
        <v>29</v>
      </c>
      <c r="BQ626" t="s">
        <v>275</v>
      </c>
      <c r="BR626" t="s">
        <v>1894</v>
      </c>
      <c r="BS626" t="s">
        <v>29</v>
      </c>
      <c r="BT626" t="s">
        <v>29</v>
      </c>
      <c r="BU626" t="s">
        <v>29</v>
      </c>
      <c r="HU626" s="58">
        <v>42907</v>
      </c>
      <c r="IP626" t="s">
        <v>1898</v>
      </c>
      <c r="IQ626" s="54" t="s">
        <v>1919</v>
      </c>
      <c r="IT626">
        <v>2016</v>
      </c>
      <c r="JK626" t="s">
        <v>1939</v>
      </c>
      <c r="JM626" t="s">
        <v>14</v>
      </c>
      <c r="JQ626" t="s">
        <v>13</v>
      </c>
      <c r="JR626">
        <v>125</v>
      </c>
      <c r="JU626">
        <v>60</v>
      </c>
      <c r="JV626">
        <v>30</v>
      </c>
      <c r="KF626" t="s">
        <v>1921</v>
      </c>
      <c r="KG626" s="84" t="s">
        <v>1548</v>
      </c>
      <c r="KH626" t="s">
        <v>1941</v>
      </c>
      <c r="KI626">
        <v>2</v>
      </c>
      <c r="KJ626" t="s">
        <v>1940</v>
      </c>
      <c r="KL626" s="8" t="s">
        <v>1943</v>
      </c>
      <c r="KM626" t="s">
        <v>1944</v>
      </c>
      <c r="KN626">
        <v>3</v>
      </c>
      <c r="KP626" s="8" t="s">
        <v>1922</v>
      </c>
      <c r="KQ626" t="s">
        <v>234</v>
      </c>
      <c r="KR626" t="s">
        <v>234</v>
      </c>
      <c r="KT626" t="s">
        <v>1923</v>
      </c>
      <c r="KU626" t="s">
        <v>234</v>
      </c>
      <c r="KV626" t="s">
        <v>234</v>
      </c>
      <c r="LU626" t="s">
        <v>1945</v>
      </c>
      <c r="LZ626" t="s">
        <v>1925</v>
      </c>
      <c r="MA626">
        <v>225</v>
      </c>
      <c r="MB626" s="4" t="s">
        <v>29</v>
      </c>
      <c r="MJ626" s="58">
        <v>43362</v>
      </c>
      <c r="MK626" s="58">
        <v>43362</v>
      </c>
      <c r="MZ626" t="s">
        <v>1926</v>
      </c>
      <c r="NA626" t="s">
        <v>234</v>
      </c>
      <c r="NC626" t="s">
        <v>168</v>
      </c>
      <c r="NJ626" t="s">
        <v>1950</v>
      </c>
      <c r="NK626" t="s">
        <v>1948</v>
      </c>
      <c r="NL626" t="s">
        <v>1949</v>
      </c>
      <c r="NM626" s="4" t="s">
        <v>1947</v>
      </c>
      <c r="NN626" s="6" t="s">
        <v>1946</v>
      </c>
      <c r="NW626" t="s">
        <v>6</v>
      </c>
      <c r="NX626">
        <v>255.22</v>
      </c>
      <c r="NY626" t="s">
        <v>234</v>
      </c>
      <c r="NZ626" t="s">
        <v>234</v>
      </c>
      <c r="OC626" s="3">
        <v>3</v>
      </c>
      <c r="OT626" t="s">
        <v>1924</v>
      </c>
      <c r="OU626" t="s">
        <v>6</v>
      </c>
      <c r="OW626">
        <v>2017</v>
      </c>
      <c r="OX626">
        <v>2018</v>
      </c>
      <c r="PA626" t="s">
        <v>1169</v>
      </c>
      <c r="PB626" s="58">
        <v>46129</v>
      </c>
    </row>
    <row r="627" spans="1:423" ht="15.75" thickBot="1">
      <c r="A627" t="s">
        <v>248</v>
      </c>
      <c r="B627" t="s">
        <v>1884</v>
      </c>
      <c r="C627" t="s">
        <v>1885</v>
      </c>
      <c r="D627" s="4" t="s">
        <v>1936</v>
      </c>
      <c r="E627" s="90" t="s">
        <v>1955</v>
      </c>
      <c r="F627" t="s">
        <v>31</v>
      </c>
      <c r="G627" t="s">
        <v>2</v>
      </c>
      <c r="H627" t="s">
        <v>30</v>
      </c>
      <c r="I627">
        <v>30.9</v>
      </c>
      <c r="J627">
        <v>75.75</v>
      </c>
      <c r="K627" t="s">
        <v>29</v>
      </c>
      <c r="AV627" t="s">
        <v>836</v>
      </c>
      <c r="AW627" t="s">
        <v>234</v>
      </c>
      <c r="AX627" t="s">
        <v>234</v>
      </c>
      <c r="AY627">
        <v>2</v>
      </c>
      <c r="AZ627" t="s">
        <v>1937</v>
      </c>
      <c r="BA627">
        <v>2016</v>
      </c>
      <c r="BB627">
        <v>2018</v>
      </c>
      <c r="BD627" t="s">
        <v>1891</v>
      </c>
      <c r="BE627" t="s">
        <v>1953</v>
      </c>
      <c r="BF627" t="s">
        <v>43</v>
      </c>
      <c r="BG627" t="s">
        <v>1233</v>
      </c>
      <c r="BH627" t="s">
        <v>23</v>
      </c>
      <c r="BI627" t="s">
        <v>1914</v>
      </c>
      <c r="BJ627" t="s">
        <v>13</v>
      </c>
      <c r="BK627">
        <v>20</v>
      </c>
      <c r="BL627" t="s">
        <v>56</v>
      </c>
      <c r="BM627" t="s">
        <v>250</v>
      </c>
      <c r="BN627" t="s">
        <v>29</v>
      </c>
      <c r="BO627" t="s">
        <v>29</v>
      </c>
      <c r="BP627" t="s">
        <v>29</v>
      </c>
      <c r="BQ627" t="s">
        <v>275</v>
      </c>
      <c r="BR627" t="s">
        <v>1916</v>
      </c>
      <c r="BS627" t="s">
        <v>29</v>
      </c>
      <c r="BT627" t="s">
        <v>29</v>
      </c>
      <c r="BU627" t="s">
        <v>29</v>
      </c>
      <c r="BV627" t="s">
        <v>275</v>
      </c>
      <c r="BW627" t="s">
        <v>1917</v>
      </c>
      <c r="BX627" t="s">
        <v>29</v>
      </c>
      <c r="BY627" t="s">
        <v>29</v>
      </c>
      <c r="BZ627" t="s">
        <v>29</v>
      </c>
      <c r="HU627" s="58">
        <v>42907</v>
      </c>
      <c r="IP627" t="s">
        <v>1900</v>
      </c>
      <c r="IQ627" s="54" t="s">
        <v>1919</v>
      </c>
      <c r="IT627">
        <v>2016</v>
      </c>
      <c r="JK627" t="s">
        <v>1939</v>
      </c>
      <c r="JM627" t="s">
        <v>14</v>
      </c>
      <c r="JQ627" t="s">
        <v>13</v>
      </c>
      <c r="JR627">
        <v>125</v>
      </c>
      <c r="JU627">
        <v>60</v>
      </c>
      <c r="JV627">
        <v>30</v>
      </c>
      <c r="KF627" t="s">
        <v>1921</v>
      </c>
      <c r="KG627" s="84" t="s">
        <v>1548</v>
      </c>
      <c r="KH627" t="s">
        <v>1941</v>
      </c>
      <c r="KI627">
        <v>2</v>
      </c>
      <c r="KJ627" t="s">
        <v>1940</v>
      </c>
      <c r="KL627" s="8" t="s">
        <v>1943</v>
      </c>
      <c r="KM627" t="s">
        <v>1944</v>
      </c>
      <c r="KN627">
        <v>3</v>
      </c>
      <c r="KP627" s="8" t="s">
        <v>1922</v>
      </c>
      <c r="KQ627" t="s">
        <v>234</v>
      </c>
      <c r="KR627" t="s">
        <v>234</v>
      </c>
      <c r="KT627" t="s">
        <v>1923</v>
      </c>
      <c r="KU627" t="s">
        <v>234</v>
      </c>
      <c r="KV627" t="s">
        <v>234</v>
      </c>
      <c r="LU627" t="s">
        <v>1945</v>
      </c>
      <c r="LZ627" t="s">
        <v>1925</v>
      </c>
      <c r="MA627">
        <v>225</v>
      </c>
      <c r="MB627" s="4" t="s">
        <v>29</v>
      </c>
      <c r="MJ627" s="58">
        <v>43362</v>
      </c>
      <c r="MK627" s="58">
        <v>43362</v>
      </c>
      <c r="MZ627" t="s">
        <v>1926</v>
      </c>
      <c r="NA627" t="s">
        <v>234</v>
      </c>
      <c r="NC627" t="s">
        <v>168</v>
      </c>
      <c r="NJ627" t="s">
        <v>1950</v>
      </c>
      <c r="NK627" t="s">
        <v>1948</v>
      </c>
      <c r="NL627" t="s">
        <v>1949</v>
      </c>
      <c r="NM627" s="4" t="s">
        <v>1947</v>
      </c>
      <c r="NN627" s="6" t="s">
        <v>1946</v>
      </c>
      <c r="NW627" t="s">
        <v>6</v>
      </c>
      <c r="NX627">
        <v>261.61</v>
      </c>
      <c r="NY627" t="s">
        <v>234</v>
      </c>
      <c r="NZ627" t="s">
        <v>234</v>
      </c>
      <c r="OC627" s="3">
        <v>3</v>
      </c>
      <c r="OT627" t="s">
        <v>1924</v>
      </c>
      <c r="OU627" t="s">
        <v>6</v>
      </c>
      <c r="OW627">
        <v>2017</v>
      </c>
      <c r="OX627">
        <v>2018</v>
      </c>
      <c r="PA627" t="s">
        <v>1169</v>
      </c>
      <c r="PB627" s="58">
        <v>46129</v>
      </c>
    </row>
    <row r="628" spans="1:423" ht="15.75" thickBot="1">
      <c r="A628" t="s">
        <v>248</v>
      </c>
      <c r="B628" t="s">
        <v>1884</v>
      </c>
      <c r="C628" t="s">
        <v>1885</v>
      </c>
      <c r="D628" s="4" t="s">
        <v>1936</v>
      </c>
      <c r="E628" s="90" t="s">
        <v>1955</v>
      </c>
      <c r="F628" t="s">
        <v>31</v>
      </c>
      <c r="G628" t="s">
        <v>2</v>
      </c>
      <c r="H628" t="s">
        <v>30</v>
      </c>
      <c r="I628">
        <v>30.9</v>
      </c>
      <c r="J628">
        <v>75.75</v>
      </c>
      <c r="K628" t="s">
        <v>29</v>
      </c>
      <c r="AV628" t="s">
        <v>836</v>
      </c>
      <c r="AW628" t="s">
        <v>234</v>
      </c>
      <c r="AX628" t="s">
        <v>234</v>
      </c>
      <c r="AY628">
        <v>2</v>
      </c>
      <c r="AZ628" t="s">
        <v>1937</v>
      </c>
      <c r="BA628">
        <v>2016</v>
      </c>
      <c r="BB628">
        <v>2018</v>
      </c>
      <c r="BD628" t="s">
        <v>1891</v>
      </c>
      <c r="BE628" s="3" t="s">
        <v>1902</v>
      </c>
      <c r="BF628" t="s">
        <v>252</v>
      </c>
      <c r="BG628" t="s">
        <v>1233</v>
      </c>
      <c r="BH628" t="s">
        <v>23</v>
      </c>
      <c r="BI628" t="s">
        <v>1914</v>
      </c>
      <c r="BJ628" t="s">
        <v>13</v>
      </c>
      <c r="BK628">
        <v>20</v>
      </c>
      <c r="BL628" t="s">
        <v>275</v>
      </c>
      <c r="BM628" t="s">
        <v>1918</v>
      </c>
      <c r="BN628" t="s">
        <v>29</v>
      </c>
      <c r="BO628" t="s">
        <v>29</v>
      </c>
      <c r="BP628" t="s">
        <v>29</v>
      </c>
      <c r="BQ628" t="s">
        <v>275</v>
      </c>
      <c r="BR628" t="s">
        <v>1916</v>
      </c>
      <c r="BS628" t="s">
        <v>29</v>
      </c>
      <c r="BT628" t="s">
        <v>29</v>
      </c>
      <c r="BU628" t="s">
        <v>29</v>
      </c>
      <c r="BV628" t="s">
        <v>275</v>
      </c>
      <c r="BW628" t="s">
        <v>1917</v>
      </c>
      <c r="BX628" t="s">
        <v>29</v>
      </c>
      <c r="BY628" t="s">
        <v>29</v>
      </c>
      <c r="BZ628" t="s">
        <v>29</v>
      </c>
      <c r="HU628" s="58">
        <v>42907</v>
      </c>
      <c r="IP628" t="s">
        <v>1902</v>
      </c>
      <c r="IQ628" s="54" t="s">
        <v>1919</v>
      </c>
      <c r="IT628">
        <v>2016</v>
      </c>
      <c r="JK628" t="s">
        <v>1939</v>
      </c>
      <c r="JM628" t="s">
        <v>14</v>
      </c>
      <c r="JQ628" t="s">
        <v>13</v>
      </c>
      <c r="JR628">
        <v>125</v>
      </c>
      <c r="JU628">
        <v>60</v>
      </c>
      <c r="JV628">
        <v>30</v>
      </c>
      <c r="KF628" t="s">
        <v>1921</v>
      </c>
      <c r="KG628" s="84" t="s">
        <v>1548</v>
      </c>
      <c r="KH628" t="s">
        <v>1941</v>
      </c>
      <c r="KI628">
        <v>2</v>
      </c>
      <c r="KJ628" t="s">
        <v>1940</v>
      </c>
      <c r="KL628" s="8" t="s">
        <v>1943</v>
      </c>
      <c r="KM628" t="s">
        <v>1944</v>
      </c>
      <c r="KN628">
        <v>3</v>
      </c>
      <c r="KP628" s="8" t="s">
        <v>1922</v>
      </c>
      <c r="KQ628" t="s">
        <v>234</v>
      </c>
      <c r="KR628" t="s">
        <v>234</v>
      </c>
      <c r="KT628" t="s">
        <v>1923</v>
      </c>
      <c r="KU628" t="s">
        <v>234</v>
      </c>
      <c r="KV628" t="s">
        <v>234</v>
      </c>
      <c r="LU628" t="s">
        <v>1945</v>
      </c>
      <c r="LZ628" t="s">
        <v>1925</v>
      </c>
      <c r="MA628">
        <v>225</v>
      </c>
      <c r="MB628" s="4" t="s">
        <v>29</v>
      </c>
      <c r="MJ628" s="58">
        <v>43362</v>
      </c>
      <c r="MK628" s="58">
        <v>43362</v>
      </c>
      <c r="MZ628" t="s">
        <v>1926</v>
      </c>
      <c r="NA628" t="s">
        <v>234</v>
      </c>
      <c r="NC628" t="s">
        <v>168</v>
      </c>
      <c r="NJ628" t="s">
        <v>1950</v>
      </c>
      <c r="NK628" t="s">
        <v>1948</v>
      </c>
      <c r="NL628" t="s">
        <v>1949</v>
      </c>
      <c r="NM628" s="4" t="s">
        <v>1947</v>
      </c>
      <c r="NN628" s="6" t="s">
        <v>1946</v>
      </c>
      <c r="NW628" t="s">
        <v>6</v>
      </c>
      <c r="NX628">
        <v>332.78</v>
      </c>
      <c r="NY628" t="s">
        <v>234</v>
      </c>
      <c r="NZ628" t="s">
        <v>234</v>
      </c>
      <c r="OC628" s="3">
        <v>3</v>
      </c>
      <c r="OT628" t="s">
        <v>1924</v>
      </c>
      <c r="OU628" t="s">
        <v>6</v>
      </c>
      <c r="OW628">
        <v>2017</v>
      </c>
      <c r="OX628">
        <v>2018</v>
      </c>
      <c r="PA628" t="s">
        <v>1169</v>
      </c>
      <c r="PB628" s="58">
        <v>46129</v>
      </c>
    </row>
    <row r="629" spans="1:423" ht="15.75" thickBot="1">
      <c r="A629" t="s">
        <v>248</v>
      </c>
      <c r="B629" t="s">
        <v>1884</v>
      </c>
      <c r="C629" t="s">
        <v>1885</v>
      </c>
      <c r="D629" s="4" t="s">
        <v>1936</v>
      </c>
      <c r="E629" s="90" t="s">
        <v>1955</v>
      </c>
      <c r="F629" t="s">
        <v>31</v>
      </c>
      <c r="G629" t="s">
        <v>2</v>
      </c>
      <c r="H629" t="s">
        <v>30</v>
      </c>
      <c r="I629">
        <v>30.9</v>
      </c>
      <c r="J629">
        <v>75.75</v>
      </c>
      <c r="K629" t="s">
        <v>29</v>
      </c>
      <c r="AV629" t="s">
        <v>836</v>
      </c>
      <c r="AW629" t="s">
        <v>234</v>
      </c>
      <c r="AX629" t="s">
        <v>234</v>
      </c>
      <c r="AY629">
        <v>2</v>
      </c>
      <c r="AZ629" t="s">
        <v>1937</v>
      </c>
      <c r="BA629">
        <v>2016</v>
      </c>
      <c r="BB629">
        <v>2018</v>
      </c>
      <c r="BD629" t="s">
        <v>1891</v>
      </c>
      <c r="BE629" s="15" t="s">
        <v>1954</v>
      </c>
      <c r="BF629" t="s">
        <v>236</v>
      </c>
      <c r="BG629" t="s">
        <v>1233</v>
      </c>
      <c r="BH629" t="s">
        <v>23</v>
      </c>
      <c r="BI629" t="s">
        <v>1914</v>
      </c>
      <c r="BJ629" t="s">
        <v>13</v>
      </c>
      <c r="BK629">
        <v>20</v>
      </c>
      <c r="BL629" t="s">
        <v>56</v>
      </c>
      <c r="BM629" t="s">
        <v>250</v>
      </c>
      <c r="BN629" t="s">
        <v>29</v>
      </c>
      <c r="BO629" t="s">
        <v>29</v>
      </c>
      <c r="BP629" t="s">
        <v>29</v>
      </c>
      <c r="BQ629" t="s">
        <v>275</v>
      </c>
      <c r="BR629" t="s">
        <v>1918</v>
      </c>
      <c r="BS629" t="s">
        <v>29</v>
      </c>
      <c r="BT629" t="s">
        <v>29</v>
      </c>
      <c r="BU629" t="s">
        <v>29</v>
      </c>
      <c r="BV629" t="s">
        <v>275</v>
      </c>
      <c r="BW629" t="s">
        <v>1916</v>
      </c>
      <c r="BX629" t="s">
        <v>29</v>
      </c>
      <c r="BY629" t="s">
        <v>29</v>
      </c>
      <c r="BZ629" t="s">
        <v>29</v>
      </c>
      <c r="CA629" t="s">
        <v>275</v>
      </c>
      <c r="CB629" t="s">
        <v>1917</v>
      </c>
      <c r="CC629" t="s">
        <v>29</v>
      </c>
      <c r="CD629" t="s">
        <v>29</v>
      </c>
      <c r="CE629" t="s">
        <v>29</v>
      </c>
      <c r="HU629" s="58">
        <v>42907</v>
      </c>
      <c r="IP629" t="s">
        <v>1904</v>
      </c>
      <c r="IQ629" s="54" t="s">
        <v>1919</v>
      </c>
      <c r="IT629">
        <v>2016</v>
      </c>
      <c r="JK629" t="s">
        <v>1939</v>
      </c>
      <c r="JM629" t="s">
        <v>14</v>
      </c>
      <c r="JQ629" t="s">
        <v>13</v>
      </c>
      <c r="JR629">
        <v>125</v>
      </c>
      <c r="JU629">
        <v>60</v>
      </c>
      <c r="JV629">
        <v>30</v>
      </c>
      <c r="KF629" t="s">
        <v>1921</v>
      </c>
      <c r="KG629" s="84" t="s">
        <v>1548</v>
      </c>
      <c r="KH629" t="s">
        <v>1941</v>
      </c>
      <c r="KI629">
        <v>2</v>
      </c>
      <c r="KJ629" t="s">
        <v>1940</v>
      </c>
      <c r="KL629" s="8" t="s">
        <v>1943</v>
      </c>
      <c r="KM629" t="s">
        <v>1944</v>
      </c>
      <c r="KN629">
        <v>3</v>
      </c>
      <c r="KP629" s="8" t="s">
        <v>1922</v>
      </c>
      <c r="KQ629" t="s">
        <v>234</v>
      </c>
      <c r="KR629" t="s">
        <v>234</v>
      </c>
      <c r="KT629" t="s">
        <v>1923</v>
      </c>
      <c r="KU629" t="s">
        <v>234</v>
      </c>
      <c r="KV629" t="s">
        <v>234</v>
      </c>
      <c r="LU629" t="s">
        <v>1945</v>
      </c>
      <c r="LZ629" t="s">
        <v>1925</v>
      </c>
      <c r="MA629">
        <v>225</v>
      </c>
      <c r="MB629" s="4" t="s">
        <v>29</v>
      </c>
      <c r="MJ629" s="58">
        <v>43362</v>
      </c>
      <c r="MK629" s="58">
        <v>43362</v>
      </c>
      <c r="MZ629" t="s">
        <v>1926</v>
      </c>
      <c r="NA629" t="s">
        <v>234</v>
      </c>
      <c r="NC629" t="s">
        <v>168</v>
      </c>
      <c r="NJ629" t="s">
        <v>1950</v>
      </c>
      <c r="NK629" t="s">
        <v>1948</v>
      </c>
      <c r="NL629" t="s">
        <v>1949</v>
      </c>
      <c r="NM629" s="4" t="s">
        <v>1947</v>
      </c>
      <c r="NN629" s="6" t="s">
        <v>1946</v>
      </c>
      <c r="NW629" t="s">
        <v>6</v>
      </c>
      <c r="NX629">
        <v>263.26</v>
      </c>
      <c r="NY629" t="s">
        <v>234</v>
      </c>
      <c r="NZ629" t="s">
        <v>234</v>
      </c>
      <c r="OC629" s="3">
        <v>3</v>
      </c>
      <c r="OT629" t="s">
        <v>1924</v>
      </c>
      <c r="OU629" t="s">
        <v>6</v>
      </c>
      <c r="OW629">
        <v>2017</v>
      </c>
      <c r="OX629">
        <v>2018</v>
      </c>
      <c r="PA629" t="s">
        <v>1169</v>
      </c>
      <c r="PB629" s="58">
        <v>46129</v>
      </c>
    </row>
    <row r="630" spans="1:423">
      <c r="A630" s="87" t="s">
        <v>36</v>
      </c>
      <c r="B630" s="87" t="s">
        <v>1956</v>
      </c>
      <c r="C630" s="87" t="s">
        <v>1957</v>
      </c>
      <c r="D630" s="87" t="s">
        <v>1936</v>
      </c>
      <c r="E630" s="87" t="s">
        <v>1958</v>
      </c>
      <c r="F630" s="87" t="s">
        <v>1959</v>
      </c>
      <c r="G630" s="87" t="s">
        <v>2</v>
      </c>
      <c r="H630" s="87" t="s">
        <v>30</v>
      </c>
      <c r="I630" s="87">
        <v>-8.9</v>
      </c>
      <c r="J630" s="87">
        <v>-74.983000000000004</v>
      </c>
      <c r="K630" s="87"/>
      <c r="L630" s="87" t="s">
        <v>1957</v>
      </c>
      <c r="M630" s="87" t="s">
        <v>245</v>
      </c>
      <c r="N630" s="87" t="s">
        <v>1960</v>
      </c>
      <c r="O630" s="87" t="s">
        <v>1961</v>
      </c>
      <c r="P630" s="87" t="s">
        <v>2</v>
      </c>
      <c r="Q630" s="87" t="s">
        <v>30</v>
      </c>
      <c r="R630" s="87">
        <v>-8.5169999999999995</v>
      </c>
      <c r="S630" s="87">
        <v>-74.766999999999996</v>
      </c>
      <c r="T630" s="87"/>
      <c r="U630" s="87"/>
      <c r="V630" s="87"/>
      <c r="W630" s="87"/>
      <c r="X630" s="87"/>
      <c r="Y630" s="87"/>
      <c r="Z630" s="87"/>
      <c r="AA630" s="87"/>
      <c r="AB630" s="87"/>
      <c r="AC630" s="87"/>
      <c r="AD630" s="87"/>
      <c r="AE630" s="87"/>
      <c r="AF630" s="87"/>
      <c r="AG630" s="87"/>
      <c r="AH630" s="87"/>
      <c r="AI630" s="87"/>
      <c r="AJ630" s="87"/>
      <c r="AK630" s="87"/>
      <c r="AL630" s="87"/>
      <c r="AM630" s="87"/>
      <c r="AN630" s="87"/>
      <c r="AO630" s="87"/>
      <c r="AP630" s="87"/>
      <c r="AQ630" s="87"/>
      <c r="AR630" s="87"/>
      <c r="AS630" s="87"/>
      <c r="AT630" s="87"/>
      <c r="AU630" s="87"/>
      <c r="AV630" s="87" t="s">
        <v>1962</v>
      </c>
      <c r="AW630" s="87">
        <v>625</v>
      </c>
      <c r="AX630" s="87" t="s">
        <v>29</v>
      </c>
      <c r="AY630" s="87">
        <v>2</v>
      </c>
      <c r="AZ630" s="87" t="s">
        <v>1963</v>
      </c>
      <c r="BA630" s="87">
        <v>2009</v>
      </c>
      <c r="BB630" s="87">
        <v>2010</v>
      </c>
      <c r="BC630" s="87" t="s">
        <v>1964</v>
      </c>
      <c r="BD630" s="87" t="s">
        <v>1966</v>
      </c>
      <c r="BE630" s="87" t="s">
        <v>1965</v>
      </c>
      <c r="BF630" s="87" t="s">
        <v>39</v>
      </c>
      <c r="BG630" s="87" t="s">
        <v>1743</v>
      </c>
      <c r="BH630" s="87"/>
      <c r="BI630" s="87"/>
      <c r="BJ630" s="87"/>
      <c r="BK630" s="87"/>
      <c r="BL630" s="87"/>
      <c r="BM630" s="87"/>
      <c r="BN630" s="87"/>
      <c r="BO630" s="87"/>
      <c r="BP630" s="87"/>
      <c r="BQ630" s="87"/>
      <c r="BR630" s="87"/>
      <c r="BS630" s="87"/>
      <c r="BT630" s="87"/>
      <c r="BU630" s="87"/>
      <c r="BV630" s="87"/>
      <c r="BW630" s="87"/>
      <c r="BX630" s="87"/>
      <c r="BY630" s="87"/>
      <c r="BZ630" s="87"/>
      <c r="CA630" s="87"/>
      <c r="CB630" s="87"/>
      <c r="CC630" s="87"/>
      <c r="CD630" s="87"/>
      <c r="CE630" s="87"/>
      <c r="CF630" s="87"/>
      <c r="CG630" s="87"/>
      <c r="CH630" s="87"/>
      <c r="CI630" s="87"/>
      <c r="CJ630" s="87"/>
      <c r="CK630" s="87"/>
      <c r="CL630" s="87"/>
      <c r="CM630" s="87"/>
      <c r="CN630" s="87"/>
      <c r="CO630" s="87"/>
      <c r="CP630" s="87"/>
      <c r="CQ630" s="87"/>
      <c r="CR630" s="87"/>
      <c r="CS630" s="87"/>
      <c r="CT630" s="87"/>
      <c r="CU630" s="87"/>
      <c r="CV630" s="87"/>
      <c r="CW630" s="87"/>
      <c r="CX630" s="87"/>
      <c r="CY630" s="87"/>
      <c r="CZ630" s="87"/>
      <c r="DA630" s="87"/>
      <c r="DB630" s="87"/>
      <c r="DC630" s="87"/>
      <c r="DD630" s="87"/>
      <c r="DE630" s="87"/>
      <c r="DF630" s="87"/>
      <c r="DG630" s="87"/>
      <c r="DH630" s="87"/>
      <c r="DI630" s="87"/>
      <c r="DJ630" s="87"/>
      <c r="DK630" s="87"/>
      <c r="DL630" s="87"/>
      <c r="DM630" s="87"/>
      <c r="DN630" s="87"/>
      <c r="DO630" s="87"/>
      <c r="DP630" s="87"/>
      <c r="DQ630" s="87"/>
      <c r="DR630" s="87"/>
      <c r="DS630" s="87"/>
      <c r="DT630" s="87"/>
      <c r="DU630" s="87"/>
      <c r="DV630" s="87"/>
      <c r="DW630" s="87"/>
      <c r="DX630" s="87"/>
      <c r="DY630" s="87"/>
      <c r="DZ630" s="87"/>
      <c r="EA630" s="87"/>
      <c r="EB630" s="87"/>
      <c r="EC630" s="87"/>
      <c r="ED630" s="87"/>
      <c r="EE630" s="87"/>
      <c r="EF630" s="87"/>
      <c r="EG630" s="87"/>
      <c r="EH630" s="87"/>
      <c r="EI630" s="87"/>
      <c r="EJ630" s="139"/>
      <c r="EK630" s="139"/>
      <c r="EL630" s="139"/>
      <c r="EM630" s="139"/>
      <c r="EN630" s="139"/>
      <c r="EO630" s="139"/>
      <c r="EP630" s="139"/>
      <c r="EQ630" s="139"/>
      <c r="ER630" s="139"/>
      <c r="ES630" s="139"/>
      <c r="ET630" s="139"/>
      <c r="EU630" s="139"/>
      <c r="EV630" s="139"/>
      <c r="EW630" s="139"/>
      <c r="EX630" s="139"/>
      <c r="EY630" s="139"/>
      <c r="EZ630" s="139"/>
      <c r="FA630" s="139"/>
      <c r="FB630" s="139"/>
      <c r="FC630" s="139"/>
      <c r="FD630" s="139"/>
      <c r="FE630" s="139"/>
      <c r="FF630" s="139"/>
      <c r="FG630" s="139"/>
      <c r="FH630" s="139"/>
      <c r="FI630" s="139"/>
      <c r="FJ630" s="139"/>
      <c r="FK630" s="139"/>
      <c r="FL630" s="139"/>
      <c r="FM630" s="139"/>
      <c r="FN630" s="139"/>
      <c r="FO630" s="139"/>
      <c r="FP630" s="139"/>
      <c r="FQ630" s="139"/>
      <c r="FR630" s="139"/>
      <c r="FS630" s="139"/>
      <c r="FT630" s="139"/>
      <c r="FU630" s="139"/>
      <c r="FV630" s="139"/>
      <c r="FW630" s="139"/>
      <c r="FX630" s="139"/>
      <c r="FY630" s="139"/>
      <c r="FZ630" s="139"/>
      <c r="GA630" s="139"/>
      <c r="GB630" s="139"/>
      <c r="GC630" s="139"/>
      <c r="GD630" s="139"/>
      <c r="GE630" s="139"/>
      <c r="GF630" s="139"/>
      <c r="GG630" s="139"/>
      <c r="GH630" s="139"/>
      <c r="GI630" s="139"/>
      <c r="GJ630" s="139"/>
      <c r="GK630" s="139"/>
      <c r="GL630" s="139"/>
      <c r="GM630" s="139"/>
      <c r="GN630" s="139"/>
      <c r="GO630" s="139"/>
      <c r="GP630" s="139"/>
      <c r="GQ630" s="139"/>
      <c r="GR630" s="139"/>
      <c r="GS630" s="139"/>
      <c r="GT630" s="139"/>
      <c r="GU630" s="139"/>
      <c r="GV630" s="139"/>
      <c r="GW630" s="139"/>
      <c r="GX630" s="139"/>
      <c r="GY630" s="139"/>
      <c r="GZ630" s="139"/>
      <c r="HA630" s="139"/>
      <c r="HB630" s="139"/>
      <c r="HC630" s="139"/>
      <c r="HD630" s="139"/>
      <c r="HE630" s="139"/>
      <c r="HF630" s="139"/>
      <c r="HG630" s="139"/>
      <c r="HH630" s="139"/>
      <c r="HI630" s="139"/>
      <c r="HJ630" s="139"/>
      <c r="HK630" s="139"/>
      <c r="HL630" s="139" t="s">
        <v>1967</v>
      </c>
      <c r="HM630" s="139" t="s">
        <v>232</v>
      </c>
      <c r="HN630" s="87"/>
      <c r="HO630" s="87"/>
      <c r="HP630" s="87"/>
      <c r="HQ630" s="87"/>
      <c r="HR630" s="87"/>
      <c r="HS630" s="87"/>
      <c r="HT630" s="87"/>
      <c r="HU630" s="87"/>
      <c r="HV630" s="87"/>
      <c r="HW630" s="87"/>
      <c r="HX630" s="87"/>
      <c r="HY630" s="87"/>
      <c r="HZ630" s="140"/>
      <c r="IA630" s="87"/>
      <c r="IB630" s="87"/>
      <c r="IC630" s="87"/>
      <c r="ID630" s="87"/>
      <c r="IE630" s="87"/>
      <c r="IF630" s="87"/>
      <c r="IG630" s="87"/>
      <c r="IH630" s="87"/>
      <c r="II630" s="87"/>
      <c r="IJ630" s="87"/>
      <c r="IK630" s="87"/>
      <c r="IL630" s="87"/>
      <c r="IM630" s="87"/>
      <c r="IN630" s="87"/>
      <c r="IO630" s="87"/>
      <c r="IP630" s="87"/>
      <c r="IQ630" s="87"/>
      <c r="IR630" s="87"/>
      <c r="IS630" s="87"/>
      <c r="IT630" s="87"/>
      <c r="IU630" s="87"/>
      <c r="IV630" s="87"/>
      <c r="IW630" s="87"/>
      <c r="IX630" s="87"/>
      <c r="IY630" s="87"/>
      <c r="IZ630" s="87"/>
      <c r="JA630" s="87">
        <v>20</v>
      </c>
      <c r="JB630" s="87">
        <v>95</v>
      </c>
      <c r="JC630" s="87"/>
      <c r="JD630" s="87"/>
      <c r="JE630" s="87"/>
      <c r="JF630" s="87"/>
      <c r="JG630" s="87"/>
      <c r="JH630" s="87"/>
      <c r="JI630" s="87"/>
      <c r="JJ630" s="87"/>
      <c r="JK630" s="87"/>
      <c r="JL630" s="87"/>
      <c r="JM630" s="87"/>
      <c r="JN630" s="87"/>
      <c r="JO630" s="87"/>
      <c r="JP630" s="87"/>
      <c r="JQ630" s="146"/>
      <c r="JR630" s="87"/>
      <c r="JS630" s="87"/>
      <c r="JT630" s="87"/>
      <c r="JU630" s="87"/>
      <c r="JV630" s="87"/>
      <c r="JW630" s="87"/>
      <c r="JX630" s="87"/>
      <c r="JY630" s="87"/>
      <c r="JZ630" s="87"/>
      <c r="KA630" s="146"/>
      <c r="KB630" s="87"/>
      <c r="KC630" s="87"/>
      <c r="KD630" s="87"/>
      <c r="KE630" s="87"/>
      <c r="KF630" s="87"/>
      <c r="KG630" s="87"/>
      <c r="KH630" s="87"/>
      <c r="KI630" s="87"/>
      <c r="KJ630" s="87"/>
      <c r="KK630" s="87"/>
      <c r="KL630" s="87"/>
      <c r="KM630" s="87"/>
      <c r="KN630" s="87"/>
      <c r="KO630" s="87"/>
      <c r="KP630" s="87"/>
      <c r="KQ630" s="87"/>
      <c r="KR630" s="87"/>
      <c r="KS630" s="146"/>
      <c r="KT630" s="146"/>
      <c r="KU630" s="146"/>
      <c r="KV630" s="146"/>
      <c r="KW630" s="87"/>
      <c r="KX630" s="87"/>
      <c r="KY630" s="87"/>
      <c r="KZ630" s="87"/>
      <c r="LA630" s="87"/>
      <c r="LB630" s="87"/>
      <c r="LC630" s="87"/>
      <c r="LD630" s="87"/>
      <c r="LE630" s="87"/>
      <c r="LF630" s="87"/>
      <c r="LG630" s="87"/>
      <c r="LH630" s="87"/>
      <c r="LI630" s="87"/>
      <c r="LJ630" s="87"/>
      <c r="LK630" s="87"/>
      <c r="LL630" s="87"/>
      <c r="LM630" s="87"/>
      <c r="LN630" s="87"/>
      <c r="LO630" s="87"/>
      <c r="LP630" s="87"/>
      <c r="LQ630" s="87"/>
      <c r="LR630" s="87"/>
      <c r="LS630" s="87"/>
      <c r="LT630" s="87"/>
      <c r="LU630" s="87"/>
      <c r="LV630" s="87"/>
      <c r="LW630" s="87"/>
      <c r="LX630" s="87"/>
      <c r="LY630" s="87"/>
      <c r="LZ630" s="87"/>
      <c r="MA630" s="87"/>
      <c r="MB630" s="87"/>
      <c r="MC630" s="87"/>
      <c r="MD630" s="87"/>
      <c r="ME630" s="87"/>
      <c r="MF630" s="87"/>
      <c r="MG630" s="87"/>
      <c r="MH630" s="87"/>
      <c r="MI630" s="87"/>
      <c r="MJ630" s="87"/>
      <c r="MK630" s="87"/>
      <c r="ML630" s="87"/>
      <c r="MM630" s="87"/>
      <c r="MN630" s="87"/>
      <c r="MO630" s="87"/>
      <c r="MP630" s="87"/>
      <c r="MQ630" s="87"/>
      <c r="MR630" s="87"/>
      <c r="MS630" s="87"/>
      <c r="MT630" s="87"/>
      <c r="MU630" s="87"/>
      <c r="MV630" s="87"/>
      <c r="MW630" s="87"/>
      <c r="MX630" s="87"/>
      <c r="MY630" s="87"/>
      <c r="MZ630" s="87" t="s">
        <v>1968</v>
      </c>
      <c r="NA630" s="87">
        <v>625</v>
      </c>
      <c r="NB630" s="87" t="s">
        <v>1969</v>
      </c>
      <c r="NC630" s="87" t="s">
        <v>1973</v>
      </c>
      <c r="ND630" s="87" t="s">
        <v>1974</v>
      </c>
      <c r="NE630" s="87" t="s">
        <v>1975</v>
      </c>
      <c r="NF630" s="87" t="s">
        <v>1976</v>
      </c>
      <c r="NG630" s="87" t="s">
        <v>1977</v>
      </c>
      <c r="NH630" s="87"/>
      <c r="NI630" s="87"/>
      <c r="NJ630" s="87"/>
      <c r="NK630" s="87" t="s">
        <v>1970</v>
      </c>
      <c r="NL630" s="87" t="s">
        <v>1971</v>
      </c>
      <c r="NM630" s="87" t="s">
        <v>203</v>
      </c>
      <c r="NN630" s="87" t="s">
        <v>1972</v>
      </c>
      <c r="NO630" s="87"/>
      <c r="NP630" s="87"/>
      <c r="NQ630" s="87"/>
      <c r="NR630" s="87"/>
      <c r="NS630" s="87"/>
      <c r="NT630" s="87"/>
      <c r="NU630" s="87"/>
      <c r="NV630" s="87" t="s">
        <v>1978</v>
      </c>
      <c r="NW630" s="87" t="s">
        <v>1979</v>
      </c>
      <c r="NX630" s="87">
        <v>1348</v>
      </c>
      <c r="NY630" s="87" t="s">
        <v>29</v>
      </c>
      <c r="NZ630" s="87" t="s">
        <v>29</v>
      </c>
      <c r="OA630" s="87"/>
      <c r="OB630" s="87"/>
      <c r="OC630" s="87">
        <v>8</v>
      </c>
      <c r="OD630" s="87"/>
      <c r="OE630" s="87"/>
      <c r="OF630" s="87"/>
      <c r="OG630" s="87"/>
      <c r="OH630" s="87"/>
      <c r="OI630" s="87"/>
      <c r="OJ630" s="87"/>
      <c r="OK630" s="87"/>
      <c r="OL630" s="87"/>
      <c r="OM630" s="87"/>
      <c r="ON630" s="87"/>
      <c r="OO630" s="87"/>
      <c r="OP630" s="87"/>
      <c r="OQ630" s="87"/>
      <c r="OR630" s="87"/>
      <c r="OS630" s="87"/>
      <c r="OT630" s="87" t="s">
        <v>1980</v>
      </c>
      <c r="OU630" s="144"/>
      <c r="OV630" s="87"/>
      <c r="OW630" s="87">
        <v>2009</v>
      </c>
      <c r="OX630" s="87">
        <v>2010</v>
      </c>
      <c r="OY630" s="87"/>
      <c r="OZ630" s="87"/>
      <c r="PA630" s="87" t="s">
        <v>1981</v>
      </c>
      <c r="PB630" s="140">
        <v>46133</v>
      </c>
      <c r="PC630" s="87"/>
      <c r="PD630" s="87"/>
      <c r="PE630" s="87"/>
      <c r="PF630" s="87"/>
      <c r="PG630" s="138"/>
    </row>
    <row r="631" spans="1:423">
      <c r="A631" t="s">
        <v>36</v>
      </c>
      <c r="B631" t="s">
        <v>1956</v>
      </c>
      <c r="C631" t="s">
        <v>1957</v>
      </c>
      <c r="D631" t="s">
        <v>245</v>
      </c>
      <c r="E631" t="s">
        <v>1960</v>
      </c>
      <c r="F631" t="s">
        <v>1961</v>
      </c>
      <c r="G631" t="s">
        <v>2</v>
      </c>
      <c r="H631" t="s">
        <v>30</v>
      </c>
      <c r="I631">
        <v>-8.5169999999999995</v>
      </c>
      <c r="J631">
        <v>-74.766999999999996</v>
      </c>
      <c r="L631" t="s">
        <v>1957</v>
      </c>
      <c r="M631" t="s">
        <v>245</v>
      </c>
      <c r="N631" t="s">
        <v>1982</v>
      </c>
      <c r="O631" t="s">
        <v>1961</v>
      </c>
      <c r="P631" t="s">
        <v>2</v>
      </c>
      <c r="Q631" t="s">
        <v>30</v>
      </c>
      <c r="R631">
        <v>-8.3670000000000009</v>
      </c>
      <c r="S631">
        <v>-74.7</v>
      </c>
      <c r="AV631" t="s">
        <v>1962</v>
      </c>
      <c r="AW631">
        <v>625</v>
      </c>
      <c r="AX631" t="s">
        <v>29</v>
      </c>
      <c r="AY631">
        <v>2</v>
      </c>
      <c r="AZ631" t="s">
        <v>1963</v>
      </c>
      <c r="BA631">
        <v>2009</v>
      </c>
      <c r="BB631">
        <v>2010</v>
      </c>
      <c r="BC631" t="s">
        <v>1964</v>
      </c>
      <c r="BD631" t="s">
        <v>1990</v>
      </c>
      <c r="BE631" t="s">
        <v>1984</v>
      </c>
      <c r="BF631" t="s">
        <v>64</v>
      </c>
      <c r="BG631" t="s">
        <v>1233</v>
      </c>
      <c r="BH631" t="s">
        <v>1985</v>
      </c>
      <c r="BI631" t="s">
        <v>29</v>
      </c>
      <c r="BJ631" t="s">
        <v>29</v>
      </c>
      <c r="BK631" t="s">
        <v>29</v>
      </c>
      <c r="EE631" t="s">
        <v>1986</v>
      </c>
      <c r="EF631" t="s">
        <v>1987</v>
      </c>
      <c r="EG631">
        <v>0.24</v>
      </c>
      <c r="EH631" t="s">
        <v>1990</v>
      </c>
      <c r="EJ631" s="9"/>
      <c r="EK631" s="9"/>
      <c r="EL631" s="9"/>
      <c r="EM631" s="9"/>
      <c r="EN631" s="9"/>
      <c r="EO631" s="9"/>
      <c r="EP631" s="9"/>
      <c r="EQ631" s="9"/>
      <c r="ER631" s="9"/>
      <c r="ES631" s="9"/>
      <c r="ET631" s="9"/>
      <c r="EU631" s="9"/>
      <c r="EV631" s="9"/>
      <c r="EW631" s="9"/>
      <c r="EX631" s="9"/>
      <c r="EY631" s="9"/>
      <c r="EZ631" s="9"/>
      <c r="FA631" s="9"/>
      <c r="FB631" s="9"/>
      <c r="FC631" s="9"/>
      <c r="FD631" s="9"/>
      <c r="FE631" s="9"/>
      <c r="FF631" s="9"/>
      <c r="FG631" s="9"/>
      <c r="FH631" s="9"/>
      <c r="FI631" s="9"/>
      <c r="FJ631" s="9"/>
      <c r="FK631" s="9"/>
      <c r="FL631" s="9"/>
      <c r="FM631" s="9"/>
      <c r="FN631" s="9"/>
      <c r="FO631" s="9"/>
      <c r="FP631" s="9"/>
      <c r="FQ631" s="9"/>
      <c r="FR631" s="9"/>
      <c r="FS631" s="9"/>
      <c r="FT631" s="9"/>
      <c r="FU631" s="9"/>
      <c r="FV631" s="9"/>
      <c r="FW631" s="9"/>
      <c r="FX631" s="9"/>
      <c r="FY631" s="9"/>
      <c r="FZ631" s="9"/>
      <c r="GA631" s="9"/>
      <c r="GB631" s="9"/>
      <c r="GC631" s="9"/>
      <c r="GD631" s="9"/>
      <c r="GE631" s="9"/>
      <c r="GF631" s="9"/>
      <c r="GG631" s="9"/>
      <c r="GH631" s="9"/>
      <c r="GI631" s="9"/>
      <c r="GJ631" s="9"/>
      <c r="GK631" s="9"/>
      <c r="GL631" s="9"/>
      <c r="GM631" s="9"/>
      <c r="GN631" s="9"/>
      <c r="GO631" s="9"/>
      <c r="GP631" s="9"/>
      <c r="GQ631" s="9"/>
      <c r="GR631" s="9"/>
      <c r="GS631" s="9"/>
      <c r="GT631" s="9"/>
      <c r="GU631" s="9"/>
      <c r="GV631" s="9"/>
      <c r="GW631" s="9"/>
      <c r="GX631" s="9"/>
      <c r="GY631" s="9"/>
      <c r="GZ631" s="9"/>
      <c r="HA631" s="9"/>
      <c r="HB631" s="9"/>
      <c r="HC631" s="9"/>
      <c r="HD631" s="9"/>
      <c r="HE631" s="9"/>
      <c r="HF631" s="9"/>
      <c r="HG631" s="9"/>
      <c r="HH631" s="9"/>
      <c r="HI631" s="9"/>
      <c r="HJ631" s="9"/>
      <c r="HK631" s="9"/>
      <c r="HL631" s="9" t="s">
        <v>1988</v>
      </c>
      <c r="HM631" s="9" t="s">
        <v>232</v>
      </c>
      <c r="HZ631" s="58"/>
      <c r="IW631" t="s">
        <v>1989</v>
      </c>
      <c r="IX631" t="s">
        <v>1990</v>
      </c>
      <c r="IY631" t="s">
        <v>1991</v>
      </c>
      <c r="JA631">
        <v>6</v>
      </c>
      <c r="JB631">
        <v>77.5</v>
      </c>
      <c r="JC631">
        <v>75</v>
      </c>
      <c r="JD631">
        <v>80</v>
      </c>
      <c r="JE631">
        <v>7.5</v>
      </c>
      <c r="JF631">
        <v>6</v>
      </c>
      <c r="JG631">
        <v>9</v>
      </c>
      <c r="JQ631" s="9"/>
      <c r="KA631" s="9"/>
      <c r="KS631" s="9"/>
      <c r="KT631" s="9"/>
      <c r="KU631" s="9"/>
      <c r="KV631" s="9"/>
      <c r="MZ631" t="s">
        <v>1968</v>
      </c>
      <c r="NA631">
        <v>625</v>
      </c>
      <c r="NB631" t="s">
        <v>1969</v>
      </c>
      <c r="NC631" t="s">
        <v>1973</v>
      </c>
      <c r="ND631" t="s">
        <v>1974</v>
      </c>
      <c r="NE631" t="s">
        <v>1975</v>
      </c>
      <c r="NF631" t="s">
        <v>1976</v>
      </c>
      <c r="NG631" t="s">
        <v>1977</v>
      </c>
      <c r="NK631" t="s">
        <v>1970</v>
      </c>
      <c r="NL631" t="s">
        <v>1971</v>
      </c>
      <c r="NM631" t="s">
        <v>203</v>
      </c>
      <c r="NN631" t="s">
        <v>1972</v>
      </c>
      <c r="NV631" t="s">
        <v>1992</v>
      </c>
      <c r="NW631" t="s">
        <v>1979</v>
      </c>
      <c r="NX631">
        <v>992</v>
      </c>
      <c r="NY631" t="s">
        <v>29</v>
      </c>
      <c r="NZ631" t="s">
        <v>29</v>
      </c>
      <c r="OC631">
        <v>31</v>
      </c>
      <c r="OT631" t="s">
        <v>1980</v>
      </c>
      <c r="OU631" s="19"/>
      <c r="OW631">
        <v>2009</v>
      </c>
      <c r="OX631">
        <v>2010</v>
      </c>
      <c r="PA631" t="s">
        <v>1981</v>
      </c>
      <c r="PB631" s="58">
        <v>46133</v>
      </c>
    </row>
    <row r="632" spans="1:423">
      <c r="A632" s="87" t="s">
        <v>36</v>
      </c>
      <c r="B632" s="87" t="s">
        <v>1956</v>
      </c>
      <c r="C632" s="87" t="s">
        <v>1957</v>
      </c>
      <c r="D632" s="87" t="s">
        <v>245</v>
      </c>
      <c r="E632" s="87" t="s">
        <v>1993</v>
      </c>
      <c r="F632" s="87" t="s">
        <v>1961</v>
      </c>
      <c r="G632" s="87" t="s">
        <v>2</v>
      </c>
      <c r="H632" s="87" t="s">
        <v>30</v>
      </c>
      <c r="I632" s="87">
        <v>-8.8170000000000002</v>
      </c>
      <c r="J632" s="87">
        <v>-75.2</v>
      </c>
      <c r="K632" s="87"/>
      <c r="L632" s="87" t="s">
        <v>1957</v>
      </c>
      <c r="M632" s="87" t="s">
        <v>245</v>
      </c>
      <c r="N632" s="87" t="s">
        <v>1960</v>
      </c>
      <c r="O632" s="87" t="s">
        <v>1961</v>
      </c>
      <c r="P632" s="87" t="s">
        <v>2</v>
      </c>
      <c r="Q632" s="87" t="s">
        <v>30</v>
      </c>
      <c r="R632" s="87">
        <v>-8.5169999999999995</v>
      </c>
      <c r="S632" s="87">
        <v>-74.766999999999996</v>
      </c>
      <c r="T632" s="87"/>
      <c r="U632" s="87"/>
      <c r="V632" s="87"/>
      <c r="W632" s="87"/>
      <c r="X632" s="87"/>
      <c r="Y632" s="87"/>
      <c r="Z632" s="87"/>
      <c r="AA632" s="87"/>
      <c r="AB632" s="87"/>
      <c r="AC632" s="87"/>
      <c r="AD632" s="87"/>
      <c r="AE632" s="87"/>
      <c r="AF632" s="87"/>
      <c r="AG632" s="87"/>
      <c r="AH632" s="87"/>
      <c r="AI632" s="87"/>
      <c r="AJ632" s="87"/>
      <c r="AK632" s="87"/>
      <c r="AL632" s="87"/>
      <c r="AM632" s="87"/>
      <c r="AN632" s="87"/>
      <c r="AO632" s="87"/>
      <c r="AP632" s="87"/>
      <c r="AQ632" s="87"/>
      <c r="AR632" s="87"/>
      <c r="AS632" s="87"/>
      <c r="AT632" s="87"/>
      <c r="AU632" s="87"/>
      <c r="AV632" s="87" t="s">
        <v>1962</v>
      </c>
      <c r="AW632" s="87">
        <v>625</v>
      </c>
      <c r="AX632" s="87" t="s">
        <v>29</v>
      </c>
      <c r="AY632" s="87">
        <v>2</v>
      </c>
      <c r="AZ632" s="87" t="s">
        <v>1963</v>
      </c>
      <c r="BA632" s="87">
        <v>2009</v>
      </c>
      <c r="BB632" s="87">
        <v>2010</v>
      </c>
      <c r="BC632" s="87" t="s">
        <v>1964</v>
      </c>
      <c r="BD632" s="87" t="s">
        <v>1983</v>
      </c>
      <c r="BE632" s="87" t="s">
        <v>1994</v>
      </c>
      <c r="BF632" s="87" t="s">
        <v>57</v>
      </c>
      <c r="BG632" s="87" t="s">
        <v>1233</v>
      </c>
      <c r="BH632" s="87" t="s">
        <v>1995</v>
      </c>
      <c r="BI632" s="87" t="s">
        <v>29</v>
      </c>
      <c r="BJ632" s="87" t="s">
        <v>29</v>
      </c>
      <c r="BK632" s="87" t="s">
        <v>29</v>
      </c>
      <c r="BL632" s="87"/>
      <c r="BM632" s="87"/>
      <c r="BN632" s="87"/>
      <c r="BO632" s="87"/>
      <c r="BP632" s="87"/>
      <c r="BQ632" s="87"/>
      <c r="BR632" s="87"/>
      <c r="BS632" s="87"/>
      <c r="BT632" s="87"/>
      <c r="BU632" s="87"/>
      <c r="BV632" s="87"/>
      <c r="BW632" s="87"/>
      <c r="BX632" s="87"/>
      <c r="BY632" s="87"/>
      <c r="BZ632" s="87"/>
      <c r="CA632" s="87"/>
      <c r="CB632" s="87"/>
      <c r="CC632" s="87"/>
      <c r="CD632" s="87"/>
      <c r="CE632" s="87"/>
      <c r="CF632" s="87"/>
      <c r="CG632" s="87"/>
      <c r="CH632" s="87"/>
      <c r="CI632" s="87"/>
      <c r="CJ632" s="87"/>
      <c r="CK632" s="87"/>
      <c r="CL632" s="87"/>
      <c r="CM632" s="87"/>
      <c r="CN632" s="87"/>
      <c r="CO632" s="87"/>
      <c r="CP632" s="87"/>
      <c r="CQ632" s="87"/>
      <c r="CR632" s="87"/>
      <c r="CS632" s="87"/>
      <c r="CT632" s="87"/>
      <c r="CU632" s="87"/>
      <c r="CV632" s="87"/>
      <c r="CW632" s="87"/>
      <c r="CX632" s="87"/>
      <c r="CY632" s="87"/>
      <c r="CZ632" s="87"/>
      <c r="DA632" s="87"/>
      <c r="DB632" s="87"/>
      <c r="DC632" s="87"/>
      <c r="DD632" s="87"/>
      <c r="DE632" s="87"/>
      <c r="DF632" s="87"/>
      <c r="DG632" s="87"/>
      <c r="DH632" s="87"/>
      <c r="DI632" s="87"/>
      <c r="DJ632" s="87"/>
      <c r="DK632" s="87"/>
      <c r="DL632" s="87"/>
      <c r="DM632" s="87"/>
      <c r="DN632" s="87"/>
      <c r="DO632" s="87"/>
      <c r="DP632" s="87"/>
      <c r="DQ632" s="87"/>
      <c r="DR632" s="87"/>
      <c r="DS632" s="87"/>
      <c r="DT632" s="87"/>
      <c r="DU632" s="87"/>
      <c r="DV632" s="87"/>
      <c r="DW632" s="87"/>
      <c r="DX632" s="87"/>
      <c r="DY632" s="87"/>
      <c r="DZ632" s="87"/>
      <c r="EA632" s="87"/>
      <c r="EB632" s="87"/>
      <c r="EC632" s="87"/>
      <c r="ED632" s="87"/>
      <c r="EE632" s="87" t="s">
        <v>1996</v>
      </c>
      <c r="EF632" s="87" t="s">
        <v>1987</v>
      </c>
      <c r="EG632" s="87">
        <v>0.24</v>
      </c>
      <c r="EH632" s="87" t="s">
        <v>2037</v>
      </c>
      <c r="EI632" s="87" t="s">
        <v>1997</v>
      </c>
      <c r="EJ632" s="139" t="s">
        <v>1987</v>
      </c>
      <c r="EK632" s="139">
        <v>0.24</v>
      </c>
      <c r="EL632" s="139"/>
      <c r="EM632" s="139" t="s">
        <v>1998</v>
      </c>
      <c r="EN632" s="139" t="s">
        <v>1987</v>
      </c>
      <c r="EO632" s="139" t="s">
        <v>29</v>
      </c>
      <c r="EP632" s="139"/>
      <c r="EQ632" s="139" t="s">
        <v>1999</v>
      </c>
      <c r="ER632" s="139" t="s">
        <v>1987</v>
      </c>
      <c r="ES632" s="139" t="s">
        <v>29</v>
      </c>
      <c r="ET632" s="139"/>
      <c r="EU632" s="139" t="s">
        <v>2000</v>
      </c>
      <c r="EV632" s="139" t="s">
        <v>1987</v>
      </c>
      <c r="EW632" s="139" t="s">
        <v>29</v>
      </c>
      <c r="EX632" s="139"/>
      <c r="EY632" s="139"/>
      <c r="EZ632" s="139"/>
      <c r="FA632" s="139"/>
      <c r="FB632" s="139"/>
      <c r="FC632" s="139"/>
      <c r="FD632" s="139"/>
      <c r="FE632" s="139"/>
      <c r="FF632" s="139"/>
      <c r="FG632" s="139"/>
      <c r="FH632" s="139"/>
      <c r="FI632" s="139"/>
      <c r="FJ632" s="139"/>
      <c r="FK632" s="139"/>
      <c r="FL632" s="139"/>
      <c r="FM632" s="139"/>
      <c r="FN632" s="139"/>
      <c r="FO632" s="139"/>
      <c r="FP632" s="139"/>
      <c r="FQ632" s="139"/>
      <c r="FR632" s="139"/>
      <c r="FS632" s="139"/>
      <c r="FT632" s="139"/>
      <c r="FU632" s="139"/>
      <c r="FV632" s="139"/>
      <c r="FW632" s="139"/>
      <c r="FX632" s="139"/>
      <c r="FY632" s="139"/>
      <c r="FZ632" s="139"/>
      <c r="GA632" s="139"/>
      <c r="GB632" s="139"/>
      <c r="GC632" s="139"/>
      <c r="GD632" s="139"/>
      <c r="GE632" s="139"/>
      <c r="GF632" s="139"/>
      <c r="GG632" s="139"/>
      <c r="GH632" s="139"/>
      <c r="GI632" s="139"/>
      <c r="GJ632" s="139"/>
      <c r="GK632" s="139"/>
      <c r="GL632" s="139"/>
      <c r="GM632" s="139"/>
      <c r="GN632" s="139"/>
      <c r="GO632" s="139"/>
      <c r="GP632" s="139"/>
      <c r="GQ632" s="139"/>
      <c r="GR632" s="139"/>
      <c r="GS632" s="139"/>
      <c r="GT632" s="139"/>
      <c r="GU632" s="139"/>
      <c r="GV632" s="139"/>
      <c r="GW632" s="139"/>
      <c r="GX632" s="139"/>
      <c r="GY632" s="139"/>
      <c r="GZ632" s="139"/>
      <c r="HA632" s="139"/>
      <c r="HB632" s="139"/>
      <c r="HC632" s="139"/>
      <c r="HD632" s="139"/>
      <c r="HE632" s="139"/>
      <c r="HF632" s="139"/>
      <c r="HG632" s="139"/>
      <c r="HH632" s="139"/>
      <c r="HI632" s="139"/>
      <c r="HJ632" s="139"/>
      <c r="HK632" s="139"/>
      <c r="HL632" s="139" t="s">
        <v>1988</v>
      </c>
      <c r="HM632" s="139" t="s">
        <v>232</v>
      </c>
      <c r="HN632" s="87"/>
      <c r="HO632" s="87"/>
      <c r="HP632" s="87"/>
      <c r="HQ632" s="87"/>
      <c r="HR632" s="87"/>
      <c r="HS632" s="87"/>
      <c r="HT632" s="87"/>
      <c r="HU632" s="87"/>
      <c r="HV632" s="87"/>
      <c r="HW632" s="87"/>
      <c r="HX632" s="87"/>
      <c r="HY632" s="87"/>
      <c r="HZ632" s="140"/>
      <c r="IA632" s="87"/>
      <c r="IB632" s="87"/>
      <c r="IC632" s="87"/>
      <c r="ID632" s="87"/>
      <c r="IE632" s="87"/>
      <c r="IF632" s="87"/>
      <c r="IG632" s="87"/>
      <c r="IH632" s="87"/>
      <c r="II632" s="87"/>
      <c r="IJ632" s="87"/>
      <c r="IK632" s="87"/>
      <c r="IL632" s="87"/>
      <c r="IM632" s="87"/>
      <c r="IN632" s="87"/>
      <c r="IO632" s="87"/>
      <c r="IP632" s="87"/>
      <c r="IQ632" s="87"/>
      <c r="IR632" s="87"/>
      <c r="IS632" s="87"/>
      <c r="IT632" s="87"/>
      <c r="IU632" s="87"/>
      <c r="IV632" s="87"/>
      <c r="IW632" s="87" t="s">
        <v>2001</v>
      </c>
      <c r="IX632" s="87" t="s">
        <v>1990</v>
      </c>
      <c r="IY632" s="87" t="s">
        <v>2002</v>
      </c>
      <c r="IZ632" s="87"/>
      <c r="JA632" s="87"/>
      <c r="JB632" s="87">
        <v>50</v>
      </c>
      <c r="JC632" s="87"/>
      <c r="JD632" s="87"/>
      <c r="JE632" s="87">
        <v>12</v>
      </c>
      <c r="JF632" s="87"/>
      <c r="JG632" s="87"/>
      <c r="JH632" s="87"/>
      <c r="JI632" s="87"/>
      <c r="JJ632" s="87"/>
      <c r="JK632" s="87"/>
      <c r="JL632" s="87"/>
      <c r="JM632" s="87"/>
      <c r="JN632" s="87"/>
      <c r="JO632" s="87"/>
      <c r="JP632" s="87"/>
      <c r="JQ632" s="146"/>
      <c r="JR632" s="87"/>
      <c r="JS632" s="87"/>
      <c r="JT632" s="87"/>
      <c r="JU632" s="87"/>
      <c r="JV632" s="87"/>
      <c r="JW632" s="87"/>
      <c r="JX632" s="87"/>
      <c r="JY632" s="87"/>
      <c r="JZ632" s="87"/>
      <c r="KA632" s="146"/>
      <c r="KB632" s="87"/>
      <c r="KC632" s="87"/>
      <c r="KD632" s="87"/>
      <c r="KE632" s="87"/>
      <c r="KF632" s="87"/>
      <c r="KG632" s="87"/>
      <c r="KH632" s="87"/>
      <c r="KI632" s="87"/>
      <c r="KJ632" s="87"/>
      <c r="KK632" s="87"/>
      <c r="KL632" s="87"/>
      <c r="KM632" s="87"/>
      <c r="KN632" s="87"/>
      <c r="KO632" s="87"/>
      <c r="KP632" s="87"/>
      <c r="KQ632" s="87"/>
      <c r="KR632" s="87"/>
      <c r="KS632" s="146"/>
      <c r="KT632" s="146"/>
      <c r="KU632" s="146"/>
      <c r="KV632" s="146"/>
      <c r="KW632" s="87"/>
      <c r="KX632" s="87"/>
      <c r="KY632" s="87"/>
      <c r="KZ632" s="87"/>
      <c r="LA632" s="87"/>
      <c r="LB632" s="87"/>
      <c r="LC632" s="87"/>
      <c r="LD632" s="87"/>
      <c r="LE632" s="87"/>
      <c r="LF632" s="87"/>
      <c r="LG632" s="87"/>
      <c r="LH632" s="87"/>
      <c r="LI632" s="87"/>
      <c r="LJ632" s="87"/>
      <c r="LK632" s="87"/>
      <c r="LL632" s="87"/>
      <c r="LM632" s="87"/>
      <c r="LN632" s="87"/>
      <c r="LO632" s="87"/>
      <c r="LP632" s="87"/>
      <c r="LQ632" s="87"/>
      <c r="LR632" s="87"/>
      <c r="LS632" s="87"/>
      <c r="LT632" s="87"/>
      <c r="LU632" s="87"/>
      <c r="LV632" s="87"/>
      <c r="LW632" s="87"/>
      <c r="LX632" s="87"/>
      <c r="LY632" s="87"/>
      <c r="LZ632" s="87"/>
      <c r="MA632" s="87"/>
      <c r="MB632" s="87"/>
      <c r="MC632" s="87"/>
      <c r="MD632" s="87"/>
      <c r="ME632" s="87"/>
      <c r="MF632" s="87"/>
      <c r="MG632" s="87"/>
      <c r="MH632" s="87"/>
      <c r="MI632" s="87"/>
      <c r="MJ632" s="87"/>
      <c r="MK632" s="87"/>
      <c r="ML632" s="87"/>
      <c r="MM632" s="87"/>
      <c r="MN632" s="87"/>
      <c r="MO632" s="87"/>
      <c r="MP632" s="87"/>
      <c r="MQ632" s="87"/>
      <c r="MR632" s="87"/>
      <c r="MS632" s="87"/>
      <c r="MT632" s="87"/>
      <c r="MU632" s="87"/>
      <c r="MV632" s="87"/>
      <c r="MW632" s="87"/>
      <c r="MX632" s="87"/>
      <c r="MY632" s="87"/>
      <c r="MZ632" s="87" t="s">
        <v>1968</v>
      </c>
      <c r="NA632" s="87">
        <v>625</v>
      </c>
      <c r="NB632" s="87" t="s">
        <v>1969</v>
      </c>
      <c r="NC632" s="87" t="s">
        <v>1973</v>
      </c>
      <c r="ND632" s="87" t="s">
        <v>1974</v>
      </c>
      <c r="NE632" s="87" t="s">
        <v>1975</v>
      </c>
      <c r="NF632" s="87" t="s">
        <v>1976</v>
      </c>
      <c r="NG632" s="87" t="s">
        <v>1977</v>
      </c>
      <c r="NH632" s="87"/>
      <c r="NI632" s="87"/>
      <c r="NJ632" s="87"/>
      <c r="NK632" s="87" t="s">
        <v>1970</v>
      </c>
      <c r="NL632" s="87" t="s">
        <v>1971</v>
      </c>
      <c r="NM632" s="87" t="s">
        <v>203</v>
      </c>
      <c r="NN632" s="87" t="s">
        <v>1972</v>
      </c>
      <c r="NO632" s="87"/>
      <c r="NP632" s="87"/>
      <c r="NQ632" s="87"/>
      <c r="NR632" s="87"/>
      <c r="NS632" s="87"/>
      <c r="NT632" s="87"/>
      <c r="NU632" s="87"/>
      <c r="NV632" s="87" t="s">
        <v>2003</v>
      </c>
      <c r="NW632" s="87" t="s">
        <v>1979</v>
      </c>
      <c r="NX632" s="87">
        <v>297</v>
      </c>
      <c r="NY632" s="87" t="s">
        <v>29</v>
      </c>
      <c r="NZ632" s="87" t="s">
        <v>29</v>
      </c>
      <c r="OA632" s="87"/>
      <c r="OB632" s="87"/>
      <c r="OC632" s="87">
        <v>32</v>
      </c>
      <c r="OD632" s="87"/>
      <c r="OE632" s="87"/>
      <c r="OF632" s="87"/>
      <c r="OG632" s="87"/>
      <c r="OH632" s="87"/>
      <c r="OI632" s="87"/>
      <c r="OJ632" s="87"/>
      <c r="OK632" s="87"/>
      <c r="OL632" s="87"/>
      <c r="OM632" s="87"/>
      <c r="ON632" s="87"/>
      <c r="OO632" s="87"/>
      <c r="OP632" s="87"/>
      <c r="OQ632" s="87"/>
      <c r="OR632" s="87"/>
      <c r="OS632" s="87"/>
      <c r="OT632" s="87" t="s">
        <v>1980</v>
      </c>
      <c r="OU632" s="144"/>
      <c r="OV632" s="87"/>
      <c r="OW632" s="87">
        <v>2009</v>
      </c>
      <c r="OX632" s="87">
        <v>2010</v>
      </c>
      <c r="OY632" s="87"/>
      <c r="OZ632" s="87"/>
      <c r="PA632" s="87" t="s">
        <v>1981</v>
      </c>
      <c r="PB632" s="140">
        <v>46133</v>
      </c>
      <c r="PC632" s="87"/>
      <c r="PD632" s="87"/>
      <c r="PE632" s="87"/>
      <c r="PF632" s="87"/>
      <c r="PG632" s="138"/>
    </row>
    <row r="633" spans="1:423">
      <c r="A633" t="s">
        <v>36</v>
      </c>
      <c r="B633" t="s">
        <v>1956</v>
      </c>
      <c r="C633" t="s">
        <v>1957</v>
      </c>
      <c r="D633" t="s">
        <v>245</v>
      </c>
      <c r="E633" t="s">
        <v>1993</v>
      </c>
      <c r="F633" t="s">
        <v>1961</v>
      </c>
      <c r="G633" t="s">
        <v>2</v>
      </c>
      <c r="H633" t="s">
        <v>30</v>
      </c>
      <c r="I633">
        <v>-8.8170000000000002</v>
      </c>
      <c r="J633">
        <v>-75.2</v>
      </c>
      <c r="L633" t="s">
        <v>1957</v>
      </c>
      <c r="M633" t="s">
        <v>245</v>
      </c>
      <c r="N633" t="s">
        <v>1960</v>
      </c>
      <c r="O633" t="s">
        <v>1961</v>
      </c>
      <c r="P633" t="s">
        <v>2</v>
      </c>
      <c r="Q633" t="s">
        <v>30</v>
      </c>
      <c r="R633">
        <v>-8.5169999999999995</v>
      </c>
      <c r="S633">
        <v>-74.766999999999996</v>
      </c>
      <c r="U633" t="s">
        <v>1957</v>
      </c>
      <c r="V633" t="s">
        <v>245</v>
      </c>
      <c r="W633" t="s">
        <v>1982</v>
      </c>
      <c r="X633" t="s">
        <v>1961</v>
      </c>
      <c r="Y633" t="s">
        <v>2</v>
      </c>
      <c r="Z633" t="s">
        <v>30</v>
      </c>
      <c r="AA633">
        <v>-8.3670000000000009</v>
      </c>
      <c r="AB633">
        <v>-74.7</v>
      </c>
      <c r="AV633" t="s">
        <v>1962</v>
      </c>
      <c r="AW633">
        <v>625</v>
      </c>
      <c r="AX633" t="s">
        <v>29</v>
      </c>
      <c r="AY633">
        <v>2</v>
      </c>
      <c r="AZ633" t="s">
        <v>1963</v>
      </c>
      <c r="BA633">
        <v>2009</v>
      </c>
      <c r="BB633">
        <v>2010</v>
      </c>
      <c r="BC633" t="s">
        <v>1964</v>
      </c>
      <c r="BD633" t="s">
        <v>19</v>
      </c>
      <c r="BE633" t="s">
        <v>2004</v>
      </c>
      <c r="BF633" t="s">
        <v>24</v>
      </c>
      <c r="BG633" t="s">
        <v>1233</v>
      </c>
      <c r="BH633" t="s">
        <v>2005</v>
      </c>
      <c r="BI633" t="s">
        <v>29</v>
      </c>
      <c r="BJ633" t="s">
        <v>29</v>
      </c>
      <c r="BK633" t="s">
        <v>29</v>
      </c>
      <c r="EJ633" s="9"/>
      <c r="EK633" s="9"/>
      <c r="EL633" s="9"/>
      <c r="EM633" s="9"/>
      <c r="EN633" s="9"/>
      <c r="EO633" s="9"/>
      <c r="EP633" s="9"/>
      <c r="EQ633" s="9"/>
      <c r="ER633" s="9"/>
      <c r="ES633" s="9"/>
      <c r="ET633" s="9"/>
      <c r="EU633" s="9"/>
      <c r="EV633" s="9"/>
      <c r="EW633" s="9"/>
      <c r="EX633" s="9"/>
      <c r="EY633" s="9"/>
      <c r="EZ633" s="9"/>
      <c r="FA633" s="9"/>
      <c r="FB633" s="9"/>
      <c r="FC633" s="9"/>
      <c r="FD633" s="9"/>
      <c r="FE633" s="9"/>
      <c r="FF633" s="9"/>
      <c r="FG633" s="9"/>
      <c r="FH633" s="9"/>
      <c r="FI633" s="9"/>
      <c r="FJ633" s="9"/>
      <c r="FK633" s="9"/>
      <c r="FL633" s="9"/>
      <c r="FM633" s="9"/>
      <c r="FN633" s="9"/>
      <c r="FO633" s="9"/>
      <c r="FP633" s="9"/>
      <c r="FQ633" s="9"/>
      <c r="FR633" s="9"/>
      <c r="FS633" s="9"/>
      <c r="FT633" s="9"/>
      <c r="FU633" s="9"/>
      <c r="FV633" s="9"/>
      <c r="FW633" s="9"/>
      <c r="FX633" s="9"/>
      <c r="FY633" s="9"/>
      <c r="FZ633" s="9"/>
      <c r="GA633" s="9"/>
      <c r="GB633" s="9"/>
      <c r="GC633" s="9"/>
      <c r="GD633" s="9"/>
      <c r="GE633" s="9"/>
      <c r="GF633" s="9"/>
      <c r="GG633" s="9"/>
      <c r="GH633" s="9"/>
      <c r="GI633" s="9"/>
      <c r="GJ633" s="9"/>
      <c r="GK633" s="9"/>
      <c r="GL633" s="9"/>
      <c r="GM633" s="9"/>
      <c r="GN633" s="9"/>
      <c r="GO633" s="9"/>
      <c r="GP633" s="9"/>
      <c r="GQ633" s="9"/>
      <c r="GR633" s="9"/>
      <c r="GS633" s="9"/>
      <c r="GT633" s="9"/>
      <c r="GU633" s="9"/>
      <c r="GV633" s="9"/>
      <c r="GW633" s="9"/>
      <c r="GX633" s="9"/>
      <c r="GY633" s="9"/>
      <c r="GZ633" s="9"/>
      <c r="HA633" s="9"/>
      <c r="HB633" s="9"/>
      <c r="HC633" s="9"/>
      <c r="HD633" s="9"/>
      <c r="HE633" s="9"/>
      <c r="HF633" s="9"/>
      <c r="HG633" s="9"/>
      <c r="HH633" s="9"/>
      <c r="HI633" s="9"/>
      <c r="HJ633" s="9"/>
      <c r="HK633" s="9"/>
      <c r="HL633" s="9" t="s">
        <v>2006</v>
      </c>
      <c r="HM633" s="9" t="s">
        <v>297</v>
      </c>
      <c r="HN633" t="s">
        <v>12</v>
      </c>
      <c r="HZ633" s="58"/>
      <c r="JQ633" s="9"/>
      <c r="KA633" s="9"/>
      <c r="KS633" s="9"/>
      <c r="KT633" s="9"/>
      <c r="KU633" s="9"/>
      <c r="KV633" s="9"/>
      <c r="MZ633" t="s">
        <v>1968</v>
      </c>
      <c r="NA633">
        <v>625</v>
      </c>
      <c r="NB633" t="s">
        <v>1969</v>
      </c>
      <c r="NC633" t="s">
        <v>1973</v>
      </c>
      <c r="ND633" t="s">
        <v>1974</v>
      </c>
      <c r="NE633" t="s">
        <v>1975</v>
      </c>
      <c r="NF633" t="s">
        <v>1976</v>
      </c>
      <c r="NG633" t="s">
        <v>1977</v>
      </c>
      <c r="NK633" t="s">
        <v>1970</v>
      </c>
      <c r="NL633" t="s">
        <v>1971</v>
      </c>
      <c r="NM633" t="s">
        <v>203</v>
      </c>
      <c r="NN633" t="s">
        <v>1972</v>
      </c>
      <c r="NV633" t="s">
        <v>2007</v>
      </c>
      <c r="NW633" t="s">
        <v>1979</v>
      </c>
      <c r="NX633">
        <v>277</v>
      </c>
      <c r="NY633" t="s">
        <v>29</v>
      </c>
      <c r="NZ633" t="s">
        <v>29</v>
      </c>
      <c r="OC633">
        <v>32</v>
      </c>
      <c r="OT633" t="s">
        <v>1980</v>
      </c>
      <c r="OU633" s="19"/>
      <c r="OW633">
        <v>2009</v>
      </c>
      <c r="OX633">
        <v>2010</v>
      </c>
      <c r="PA633" t="s">
        <v>1981</v>
      </c>
      <c r="PB633" s="58">
        <v>46133</v>
      </c>
    </row>
    <row r="634" spans="1:423">
      <c r="A634" s="87" t="s">
        <v>36</v>
      </c>
      <c r="B634" s="87" t="s">
        <v>1956</v>
      </c>
      <c r="C634" s="87" t="s">
        <v>1957</v>
      </c>
      <c r="D634" s="87" t="s">
        <v>245</v>
      </c>
      <c r="E634" s="87" t="s">
        <v>1993</v>
      </c>
      <c r="F634" s="87" t="s">
        <v>1961</v>
      </c>
      <c r="G634" s="87" t="s">
        <v>2</v>
      </c>
      <c r="H634" s="87" t="s">
        <v>30</v>
      </c>
      <c r="I634" s="87">
        <v>-8.8170000000000002</v>
      </c>
      <c r="J634" s="87">
        <v>-75.2</v>
      </c>
      <c r="K634" s="87"/>
      <c r="L634" s="87" t="s">
        <v>1957</v>
      </c>
      <c r="M634" s="87" t="s">
        <v>245</v>
      </c>
      <c r="N634" s="87" t="s">
        <v>1960</v>
      </c>
      <c r="O634" s="87" t="s">
        <v>1961</v>
      </c>
      <c r="P634" s="87" t="s">
        <v>2</v>
      </c>
      <c r="Q634" s="87" t="s">
        <v>30</v>
      </c>
      <c r="R634" s="87">
        <v>-8.5169999999999995</v>
      </c>
      <c r="S634" s="87">
        <v>-74.766999999999996</v>
      </c>
      <c r="T634" s="87"/>
      <c r="U634" s="87" t="s">
        <v>1957</v>
      </c>
      <c r="V634" s="87" t="s">
        <v>245</v>
      </c>
      <c r="W634" s="87" t="s">
        <v>1982</v>
      </c>
      <c r="X634" s="87" t="s">
        <v>1961</v>
      </c>
      <c r="Y634" s="87" t="s">
        <v>2</v>
      </c>
      <c r="Z634" s="87" t="s">
        <v>30</v>
      </c>
      <c r="AA634" s="87">
        <v>-8.3670000000000009</v>
      </c>
      <c r="AB634" s="87">
        <v>-74.7</v>
      </c>
      <c r="AC634" s="87"/>
      <c r="AD634" s="87"/>
      <c r="AE634" s="87"/>
      <c r="AF634" s="87"/>
      <c r="AG634" s="87"/>
      <c r="AH634" s="87"/>
      <c r="AI634" s="87"/>
      <c r="AJ634" s="87"/>
      <c r="AK634" s="87"/>
      <c r="AL634" s="87"/>
      <c r="AM634" s="87"/>
      <c r="AN634" s="87"/>
      <c r="AO634" s="87"/>
      <c r="AP634" s="87"/>
      <c r="AQ634" s="87"/>
      <c r="AR634" s="87"/>
      <c r="AS634" s="87"/>
      <c r="AT634" s="87"/>
      <c r="AU634" s="87"/>
      <c r="AV634" s="87" t="s">
        <v>1962</v>
      </c>
      <c r="AW634" s="87">
        <v>625</v>
      </c>
      <c r="AX634" s="87" t="s">
        <v>29</v>
      </c>
      <c r="AY634" s="87">
        <v>2</v>
      </c>
      <c r="AZ634" s="87" t="s">
        <v>1963</v>
      </c>
      <c r="BA634" s="87">
        <v>2009</v>
      </c>
      <c r="BB634" s="87">
        <v>2010</v>
      </c>
      <c r="BC634" s="87" t="s">
        <v>1964</v>
      </c>
      <c r="BD634" s="87" t="s">
        <v>2036</v>
      </c>
      <c r="BE634" s="87" t="s">
        <v>2008</v>
      </c>
      <c r="BF634" s="87" t="s">
        <v>299</v>
      </c>
      <c r="BG634" s="87" t="s">
        <v>1779</v>
      </c>
      <c r="BH634" s="87" t="s">
        <v>2009</v>
      </c>
      <c r="BI634" s="87" t="s">
        <v>29</v>
      </c>
      <c r="BJ634" s="87" t="s">
        <v>29</v>
      </c>
      <c r="BK634" s="87" t="s">
        <v>29</v>
      </c>
      <c r="BL634" s="87"/>
      <c r="BM634" s="87"/>
      <c r="BN634" s="87"/>
      <c r="BO634" s="87"/>
      <c r="BP634" s="87"/>
      <c r="BQ634" s="87"/>
      <c r="BR634" s="87"/>
      <c r="BS634" s="87"/>
      <c r="BT634" s="87"/>
      <c r="BU634" s="87"/>
      <c r="BV634" s="87"/>
      <c r="BW634" s="87"/>
      <c r="BX634" s="87"/>
      <c r="BY634" s="87"/>
      <c r="BZ634" s="87"/>
      <c r="CA634" s="87"/>
      <c r="CB634" s="87"/>
      <c r="CC634" s="87"/>
      <c r="CD634" s="87"/>
      <c r="CE634" s="87"/>
      <c r="CF634" s="87"/>
      <c r="CG634" s="87"/>
      <c r="CH634" s="87"/>
      <c r="CI634" s="87"/>
      <c r="CJ634" s="87"/>
      <c r="CK634" s="87"/>
      <c r="CL634" s="87"/>
      <c r="CM634" s="87"/>
      <c r="CN634" s="87"/>
      <c r="CO634" s="87"/>
      <c r="CP634" s="87"/>
      <c r="CQ634" s="87"/>
      <c r="CR634" s="87"/>
      <c r="CS634" s="87"/>
      <c r="CT634" s="87"/>
      <c r="CU634" s="87"/>
      <c r="CV634" s="87"/>
      <c r="CW634" s="87"/>
      <c r="CX634" s="87"/>
      <c r="CY634" s="87"/>
      <c r="CZ634" s="87"/>
      <c r="DA634" s="87"/>
      <c r="DB634" s="87"/>
      <c r="DC634" s="87"/>
      <c r="DD634" s="87"/>
      <c r="DE634" s="87"/>
      <c r="DF634" s="87"/>
      <c r="DG634" s="87"/>
      <c r="DH634" s="87"/>
      <c r="DI634" s="87"/>
      <c r="DJ634" s="87"/>
      <c r="DK634" s="87"/>
      <c r="DL634" s="87"/>
      <c r="DM634" s="87"/>
      <c r="DN634" s="87"/>
      <c r="DO634" s="87"/>
      <c r="DP634" s="87"/>
      <c r="DQ634" s="87"/>
      <c r="DR634" s="87"/>
      <c r="DS634" s="87"/>
      <c r="DT634" s="87"/>
      <c r="DU634" s="87"/>
      <c r="DV634" s="87"/>
      <c r="DW634" s="87"/>
      <c r="DX634" s="87"/>
      <c r="DY634" s="87"/>
      <c r="DZ634" s="87"/>
      <c r="EA634" s="87"/>
      <c r="EB634" s="87"/>
      <c r="EC634" s="87"/>
      <c r="ED634" s="87"/>
      <c r="EE634" s="87"/>
      <c r="EF634" s="87"/>
      <c r="EG634" s="87"/>
      <c r="EH634" s="87"/>
      <c r="EI634" s="87"/>
      <c r="EJ634" s="139"/>
      <c r="EK634" s="139"/>
      <c r="EL634" s="139"/>
      <c r="EM634" s="139"/>
      <c r="EN634" s="139"/>
      <c r="EO634" s="139"/>
      <c r="EP634" s="139"/>
      <c r="EQ634" s="139"/>
      <c r="ER634" s="139"/>
      <c r="ES634" s="139"/>
      <c r="ET634" s="139"/>
      <c r="EU634" s="139"/>
      <c r="EV634" s="139"/>
      <c r="EW634" s="139"/>
      <c r="EX634" s="139"/>
      <c r="EY634" s="139"/>
      <c r="EZ634" s="139"/>
      <c r="FA634" s="139"/>
      <c r="FB634" s="139"/>
      <c r="FC634" s="139"/>
      <c r="FD634" s="139"/>
      <c r="FE634" s="139"/>
      <c r="FF634" s="139"/>
      <c r="FG634" s="139"/>
      <c r="FH634" s="139"/>
      <c r="FI634" s="139"/>
      <c r="FJ634" s="139"/>
      <c r="FK634" s="139"/>
      <c r="FL634" s="139"/>
      <c r="FM634" s="139"/>
      <c r="FN634" s="139"/>
      <c r="FO634" s="139"/>
      <c r="FP634" s="139"/>
      <c r="FQ634" s="139"/>
      <c r="FR634" s="139"/>
      <c r="FS634" s="139"/>
      <c r="FT634" s="139"/>
      <c r="FU634" s="139"/>
      <c r="FV634" s="139"/>
      <c r="FW634" s="139"/>
      <c r="FX634" s="139"/>
      <c r="FY634" s="139"/>
      <c r="FZ634" s="139"/>
      <c r="GA634" s="139"/>
      <c r="GB634" s="139"/>
      <c r="GC634" s="139"/>
      <c r="GD634" s="139"/>
      <c r="GE634" s="139"/>
      <c r="GF634" s="139"/>
      <c r="GG634" s="139"/>
      <c r="GH634" s="139"/>
      <c r="GI634" s="139"/>
      <c r="GJ634" s="139"/>
      <c r="GK634" s="139"/>
      <c r="GL634" s="139"/>
      <c r="GM634" s="139"/>
      <c r="GN634" s="139"/>
      <c r="GO634" s="139"/>
      <c r="GP634" s="139"/>
      <c r="GQ634" s="139"/>
      <c r="GR634" s="139"/>
      <c r="GS634" s="139"/>
      <c r="GT634" s="139"/>
      <c r="GU634" s="139"/>
      <c r="GV634" s="139"/>
      <c r="GW634" s="139"/>
      <c r="GX634" s="139"/>
      <c r="GY634" s="139"/>
      <c r="GZ634" s="139"/>
      <c r="HA634" s="139"/>
      <c r="HB634" s="139"/>
      <c r="HC634" s="139"/>
      <c r="HD634" s="139"/>
      <c r="HE634" s="139"/>
      <c r="HF634" s="139"/>
      <c r="HG634" s="139"/>
      <c r="HH634" s="139"/>
      <c r="HI634" s="139"/>
      <c r="HJ634" s="139"/>
      <c r="HK634" s="139"/>
      <c r="HL634" s="139" t="s">
        <v>2010</v>
      </c>
      <c r="HM634" s="139" t="s">
        <v>232</v>
      </c>
      <c r="HN634" s="87"/>
      <c r="HO634" s="87"/>
      <c r="HP634" s="87"/>
      <c r="HQ634" s="87"/>
      <c r="HR634" s="87"/>
      <c r="HS634" s="87"/>
      <c r="HT634" s="87"/>
      <c r="HU634" s="87"/>
      <c r="HV634" s="87"/>
      <c r="HW634" s="87"/>
      <c r="HX634" s="87"/>
      <c r="HY634" s="87"/>
      <c r="HZ634" s="140"/>
      <c r="IA634" s="87"/>
      <c r="IB634" s="87"/>
      <c r="IC634" s="87"/>
      <c r="ID634" s="87"/>
      <c r="IE634" s="87"/>
      <c r="IF634" s="87"/>
      <c r="IG634" s="87"/>
      <c r="IH634" s="87"/>
      <c r="II634" s="87"/>
      <c r="IJ634" s="87"/>
      <c r="IK634" s="87"/>
      <c r="IL634" s="87"/>
      <c r="IM634" s="87"/>
      <c r="IN634" s="87"/>
      <c r="IO634" s="87"/>
      <c r="IP634" s="87"/>
      <c r="IQ634" s="87"/>
      <c r="IR634" s="87"/>
      <c r="IS634" s="87"/>
      <c r="IT634" s="87"/>
      <c r="IU634" s="87"/>
      <c r="IV634" s="87"/>
      <c r="IW634" s="87"/>
      <c r="IX634" s="87"/>
      <c r="IY634" s="87"/>
      <c r="IZ634" s="87"/>
      <c r="JA634" s="87"/>
      <c r="JB634" s="87"/>
      <c r="JC634" s="87"/>
      <c r="JD634" s="87"/>
      <c r="JE634" s="87"/>
      <c r="JF634" s="87"/>
      <c r="JG634" s="87"/>
      <c r="JH634" s="87"/>
      <c r="JI634" s="87"/>
      <c r="JJ634" s="87"/>
      <c r="JK634" s="87"/>
      <c r="JL634" s="87"/>
      <c r="JM634" s="87"/>
      <c r="JN634" s="87"/>
      <c r="JO634" s="87"/>
      <c r="JP634" s="87"/>
      <c r="JQ634" s="146"/>
      <c r="JR634" s="87"/>
      <c r="JS634" s="87"/>
      <c r="JT634" s="87"/>
      <c r="JU634" s="87"/>
      <c r="JV634" s="87"/>
      <c r="JW634" s="87"/>
      <c r="JX634" s="87"/>
      <c r="JY634" s="87"/>
      <c r="JZ634" s="87"/>
      <c r="KA634" s="146"/>
      <c r="KB634" s="87"/>
      <c r="KC634" s="87"/>
      <c r="KD634" s="87"/>
      <c r="KE634" s="87"/>
      <c r="KF634" s="87"/>
      <c r="KG634" s="87"/>
      <c r="KH634" s="87"/>
      <c r="KI634" s="87"/>
      <c r="KJ634" s="87"/>
      <c r="KK634" s="87"/>
      <c r="KL634" s="87"/>
      <c r="KM634" s="87"/>
      <c r="KN634" s="87"/>
      <c r="KO634" s="87"/>
      <c r="KP634" s="87"/>
      <c r="KQ634" s="87"/>
      <c r="KR634" s="87"/>
      <c r="KS634" s="146"/>
      <c r="KT634" s="146"/>
      <c r="KU634" s="146"/>
      <c r="KV634" s="146"/>
      <c r="KW634" s="87"/>
      <c r="KX634" s="87"/>
      <c r="KY634" s="87"/>
      <c r="KZ634" s="87"/>
      <c r="LA634" s="87"/>
      <c r="LB634" s="87"/>
      <c r="LC634" s="87"/>
      <c r="LD634" s="87"/>
      <c r="LE634" s="87"/>
      <c r="LF634" s="87"/>
      <c r="LG634" s="87"/>
      <c r="LH634" s="87"/>
      <c r="LI634" s="87"/>
      <c r="LJ634" s="87"/>
      <c r="LK634" s="87"/>
      <c r="LL634" s="87"/>
      <c r="LM634" s="87"/>
      <c r="LN634" s="87"/>
      <c r="LO634" s="87"/>
      <c r="LP634" s="87"/>
      <c r="LQ634" s="87"/>
      <c r="LR634" s="87"/>
      <c r="LS634" s="87"/>
      <c r="LT634" s="87"/>
      <c r="LU634" s="87"/>
      <c r="LV634" s="87"/>
      <c r="LW634" s="87"/>
      <c r="LX634" s="87"/>
      <c r="LY634" s="87"/>
      <c r="LZ634" s="87"/>
      <c r="MA634" s="87"/>
      <c r="MB634" s="87"/>
      <c r="MC634" s="87"/>
      <c r="MD634" s="87"/>
      <c r="ME634" s="87"/>
      <c r="MF634" s="87"/>
      <c r="MG634" s="87"/>
      <c r="MH634" s="87"/>
      <c r="MI634" s="87"/>
      <c r="MJ634" s="87"/>
      <c r="MK634" s="87"/>
      <c r="ML634" s="87"/>
      <c r="MM634" s="87"/>
      <c r="MN634" s="87"/>
      <c r="MO634" s="87"/>
      <c r="MP634" s="87"/>
      <c r="MQ634" s="87"/>
      <c r="MR634" s="87"/>
      <c r="MS634" s="87"/>
      <c r="MT634" s="87"/>
      <c r="MU634" s="87"/>
      <c r="MV634" s="87"/>
      <c r="MW634" s="87"/>
      <c r="MX634" s="87"/>
      <c r="MY634" s="87"/>
      <c r="MZ634" s="87" t="s">
        <v>1968</v>
      </c>
      <c r="NA634" s="87">
        <v>625</v>
      </c>
      <c r="NB634" s="87" t="s">
        <v>1969</v>
      </c>
      <c r="NC634" s="87" t="s">
        <v>1973</v>
      </c>
      <c r="ND634" s="87" t="s">
        <v>1974</v>
      </c>
      <c r="NE634" s="87" t="s">
        <v>1975</v>
      </c>
      <c r="NF634" s="87" t="s">
        <v>1976</v>
      </c>
      <c r="NG634" s="87" t="s">
        <v>1977</v>
      </c>
      <c r="NH634" s="87"/>
      <c r="NI634" s="87"/>
      <c r="NJ634" s="87"/>
      <c r="NK634" s="87" t="s">
        <v>1970</v>
      </c>
      <c r="NL634" s="87" t="s">
        <v>1971</v>
      </c>
      <c r="NM634" s="87" t="s">
        <v>203</v>
      </c>
      <c r="NN634" s="87" t="s">
        <v>1972</v>
      </c>
      <c r="NO634" s="87"/>
      <c r="NP634" s="87"/>
      <c r="NQ634" s="87"/>
      <c r="NR634" s="87"/>
      <c r="NS634" s="87"/>
      <c r="NT634" s="87"/>
      <c r="NU634" s="87"/>
      <c r="NV634" s="87" t="s">
        <v>2011</v>
      </c>
      <c r="NW634" s="87" t="s">
        <v>1979</v>
      </c>
      <c r="NX634" s="87">
        <v>207</v>
      </c>
      <c r="NY634" s="87" t="s">
        <v>29</v>
      </c>
      <c r="NZ634" s="87" t="s">
        <v>29</v>
      </c>
      <c r="OA634" s="87"/>
      <c r="OB634" s="87"/>
      <c r="OC634" s="87">
        <v>32</v>
      </c>
      <c r="OD634" s="87"/>
      <c r="OE634" s="87"/>
      <c r="OF634" s="87"/>
      <c r="OG634" s="87"/>
      <c r="OH634" s="87"/>
      <c r="OI634" s="87"/>
      <c r="OJ634" s="87"/>
      <c r="OK634" s="87"/>
      <c r="OL634" s="87"/>
      <c r="OM634" s="87"/>
      <c r="ON634" s="87"/>
      <c r="OO634" s="87"/>
      <c r="OP634" s="87"/>
      <c r="OQ634" s="87"/>
      <c r="OR634" s="87"/>
      <c r="OS634" s="87"/>
      <c r="OT634" s="87" t="s">
        <v>1980</v>
      </c>
      <c r="OU634" s="144"/>
      <c r="OV634" s="87"/>
      <c r="OW634" s="87">
        <v>2009</v>
      </c>
      <c r="OX634" s="87">
        <v>2010</v>
      </c>
      <c r="OY634" s="87"/>
      <c r="OZ634" s="87"/>
      <c r="PA634" s="87" t="s">
        <v>1981</v>
      </c>
      <c r="PB634" s="140">
        <v>46133</v>
      </c>
      <c r="PC634" s="87"/>
      <c r="PD634" s="87"/>
      <c r="PE634" s="87"/>
      <c r="PF634" s="87"/>
      <c r="PG634" s="138"/>
    </row>
    <row r="635" spans="1:423">
      <c r="A635" t="s">
        <v>36</v>
      </c>
      <c r="B635" t="s">
        <v>1956</v>
      </c>
      <c r="C635" t="s">
        <v>1957</v>
      </c>
      <c r="D635" t="s">
        <v>1936</v>
      </c>
      <c r="E635" t="s">
        <v>1958</v>
      </c>
      <c r="F635" t="s">
        <v>1959</v>
      </c>
      <c r="G635" t="s">
        <v>2</v>
      </c>
      <c r="H635" t="s">
        <v>30</v>
      </c>
      <c r="I635">
        <v>-8.9</v>
      </c>
      <c r="J635">
        <v>-74.983000000000004</v>
      </c>
      <c r="L635" t="s">
        <v>1957</v>
      </c>
      <c r="M635" t="s">
        <v>245</v>
      </c>
      <c r="N635" t="s">
        <v>1960</v>
      </c>
      <c r="O635" t="s">
        <v>1961</v>
      </c>
      <c r="P635" t="s">
        <v>2</v>
      </c>
      <c r="Q635" t="s">
        <v>30</v>
      </c>
      <c r="R635">
        <v>-8.5169999999999995</v>
      </c>
      <c r="S635">
        <v>-74.766999999999996</v>
      </c>
      <c r="AV635" t="s">
        <v>1962</v>
      </c>
      <c r="AW635">
        <v>625</v>
      </c>
      <c r="AX635" t="s">
        <v>29</v>
      </c>
      <c r="AY635">
        <v>2</v>
      </c>
      <c r="AZ635" t="s">
        <v>1963</v>
      </c>
      <c r="BA635">
        <v>2009</v>
      </c>
      <c r="BB635">
        <v>2010</v>
      </c>
      <c r="BC635" t="s">
        <v>1964</v>
      </c>
      <c r="BD635" t="s">
        <v>1966</v>
      </c>
      <c r="BE635" t="s">
        <v>1965</v>
      </c>
      <c r="BF635" t="s">
        <v>39</v>
      </c>
      <c r="BG635" t="s">
        <v>1743</v>
      </c>
      <c r="EJ635" s="9"/>
      <c r="EK635" s="9"/>
      <c r="EL635" s="9"/>
      <c r="EM635" s="9"/>
      <c r="EN635" s="9"/>
      <c r="EO635" s="9"/>
      <c r="EP635" s="9"/>
      <c r="EQ635" s="9"/>
      <c r="ER635" s="9"/>
      <c r="ES635" s="9"/>
      <c r="ET635" s="9"/>
      <c r="EU635" s="9"/>
      <c r="EV635" s="9"/>
      <c r="EW635" s="9"/>
      <c r="EX635" s="9"/>
      <c r="EY635" s="9"/>
      <c r="EZ635" s="9"/>
      <c r="FA635" s="9"/>
      <c r="FB635" s="9"/>
      <c r="FC635" s="9"/>
      <c r="FD635" s="9"/>
      <c r="FE635" s="9"/>
      <c r="FF635" s="9"/>
      <c r="FG635" s="9"/>
      <c r="FH635" s="9"/>
      <c r="FI635" s="9"/>
      <c r="FJ635" s="9"/>
      <c r="FK635" s="9"/>
      <c r="FL635" s="9"/>
      <c r="FM635" s="9"/>
      <c r="FN635" s="9"/>
      <c r="FO635" s="9"/>
      <c r="FP635" s="9"/>
      <c r="FQ635" s="9"/>
      <c r="FR635" s="9"/>
      <c r="FS635" s="9"/>
      <c r="FT635" s="9"/>
      <c r="FU635" s="9"/>
      <c r="FV635" s="9"/>
      <c r="FW635" s="9"/>
      <c r="FX635" s="9"/>
      <c r="FY635" s="9"/>
      <c r="FZ635" s="9"/>
      <c r="GA635" s="9"/>
      <c r="GB635" s="9"/>
      <c r="GC635" s="9"/>
      <c r="GD635" s="9"/>
      <c r="GE635" s="9"/>
      <c r="GF635" s="9"/>
      <c r="GG635" s="9"/>
      <c r="GH635" s="9"/>
      <c r="GI635" s="9"/>
      <c r="GJ635" s="9"/>
      <c r="GK635" s="9"/>
      <c r="GL635" s="9"/>
      <c r="GM635" s="9"/>
      <c r="GN635" s="9"/>
      <c r="GO635" s="9"/>
      <c r="GP635" s="9"/>
      <c r="GQ635" s="9"/>
      <c r="GR635" s="9"/>
      <c r="GS635" s="9"/>
      <c r="GT635" s="9"/>
      <c r="GU635" s="9"/>
      <c r="GV635" s="9"/>
      <c r="GW635" s="9"/>
      <c r="GX635" s="9"/>
      <c r="GY635" s="9"/>
      <c r="GZ635" s="9"/>
      <c r="HA635" s="9"/>
      <c r="HB635" s="9"/>
      <c r="HC635" s="9"/>
      <c r="HD635" s="9"/>
      <c r="HE635" s="9"/>
      <c r="HF635" s="9"/>
      <c r="HG635" s="9"/>
      <c r="HH635" s="9"/>
      <c r="HI635" s="9"/>
      <c r="HJ635" s="9"/>
      <c r="HK635" s="9"/>
      <c r="HL635" s="9" t="s">
        <v>1967</v>
      </c>
      <c r="HM635" s="9" t="s">
        <v>232</v>
      </c>
      <c r="HZ635" s="58"/>
      <c r="JA635">
        <v>20</v>
      </c>
      <c r="JB635">
        <v>95</v>
      </c>
      <c r="JQ635" s="9"/>
      <c r="KA635" s="9"/>
      <c r="KS635" s="9"/>
      <c r="KT635" s="9"/>
      <c r="KU635" s="9"/>
      <c r="KV635" s="9"/>
      <c r="MZ635" t="s">
        <v>1968</v>
      </c>
      <c r="NA635">
        <v>625</v>
      </c>
      <c r="NB635" t="s">
        <v>1969</v>
      </c>
      <c r="NC635" t="s">
        <v>1973</v>
      </c>
      <c r="ND635" t="s">
        <v>1974</v>
      </c>
      <c r="NE635" t="s">
        <v>1975</v>
      </c>
      <c r="NF635" t="s">
        <v>1976</v>
      </c>
      <c r="NG635" t="s">
        <v>1977</v>
      </c>
      <c r="NK635" t="s">
        <v>2012</v>
      </c>
      <c r="NL635" t="s">
        <v>2013</v>
      </c>
      <c r="NM635" t="s">
        <v>1751</v>
      </c>
      <c r="NN635" t="s">
        <v>1972</v>
      </c>
      <c r="NV635" t="s">
        <v>1978</v>
      </c>
      <c r="NW635" t="s">
        <v>1979</v>
      </c>
      <c r="NX635">
        <v>758</v>
      </c>
      <c r="NY635" t="s">
        <v>29</v>
      </c>
      <c r="NZ635" t="s">
        <v>29</v>
      </c>
      <c r="OC635">
        <v>8</v>
      </c>
      <c r="OT635" t="s">
        <v>1980</v>
      </c>
      <c r="OU635" s="19"/>
      <c r="OW635">
        <v>2009</v>
      </c>
      <c r="OX635">
        <v>2010</v>
      </c>
      <c r="PA635" t="s">
        <v>1981</v>
      </c>
      <c r="PB635" s="58">
        <v>46133</v>
      </c>
    </row>
    <row r="636" spans="1:423">
      <c r="A636" s="87" t="s">
        <v>36</v>
      </c>
      <c r="B636" s="87" t="s">
        <v>1956</v>
      </c>
      <c r="C636" s="87" t="s">
        <v>1957</v>
      </c>
      <c r="D636" s="87" t="s">
        <v>245</v>
      </c>
      <c r="E636" s="87" t="s">
        <v>1960</v>
      </c>
      <c r="F636" s="87" t="s">
        <v>1961</v>
      </c>
      <c r="G636" s="87" t="s">
        <v>2</v>
      </c>
      <c r="H636" s="87" t="s">
        <v>30</v>
      </c>
      <c r="I636" s="87">
        <v>-8.5169999999999995</v>
      </c>
      <c r="J636" s="87">
        <v>-74.766999999999996</v>
      </c>
      <c r="K636" s="87"/>
      <c r="L636" s="87" t="s">
        <v>1957</v>
      </c>
      <c r="M636" s="87" t="s">
        <v>245</v>
      </c>
      <c r="N636" s="87" t="s">
        <v>1982</v>
      </c>
      <c r="O636" s="87" t="s">
        <v>1961</v>
      </c>
      <c r="P636" s="87" t="s">
        <v>2</v>
      </c>
      <c r="Q636" s="87" t="s">
        <v>30</v>
      </c>
      <c r="R636" s="87">
        <v>-8.3670000000000009</v>
      </c>
      <c r="S636" s="87">
        <v>-74.7</v>
      </c>
      <c r="T636" s="87"/>
      <c r="U636" s="87"/>
      <c r="V636" s="87"/>
      <c r="W636" s="87"/>
      <c r="X636" s="87"/>
      <c r="Y636" s="87"/>
      <c r="Z636" s="87"/>
      <c r="AA636" s="87"/>
      <c r="AB636" s="87"/>
      <c r="AC636" s="87"/>
      <c r="AD636" s="87"/>
      <c r="AE636" s="87"/>
      <c r="AF636" s="87"/>
      <c r="AG636" s="87"/>
      <c r="AH636" s="87"/>
      <c r="AI636" s="87"/>
      <c r="AJ636" s="87"/>
      <c r="AK636" s="87"/>
      <c r="AL636" s="87"/>
      <c r="AM636" s="87"/>
      <c r="AN636" s="87"/>
      <c r="AO636" s="87"/>
      <c r="AP636" s="87"/>
      <c r="AQ636" s="87"/>
      <c r="AR636" s="87"/>
      <c r="AS636" s="87"/>
      <c r="AT636" s="87"/>
      <c r="AU636" s="87"/>
      <c r="AV636" s="87" t="s">
        <v>1962</v>
      </c>
      <c r="AW636" s="87">
        <v>625</v>
      </c>
      <c r="AX636" s="87" t="s">
        <v>29</v>
      </c>
      <c r="AY636" s="87">
        <v>2</v>
      </c>
      <c r="AZ636" s="87" t="s">
        <v>1963</v>
      </c>
      <c r="BA636" s="87">
        <v>2009</v>
      </c>
      <c r="BB636" s="87">
        <v>2010</v>
      </c>
      <c r="BC636" s="87" t="s">
        <v>1964</v>
      </c>
      <c r="BD636" s="87" t="s">
        <v>1990</v>
      </c>
      <c r="BE636" s="87" t="s">
        <v>1984</v>
      </c>
      <c r="BF636" s="87" t="s">
        <v>64</v>
      </c>
      <c r="BG636" s="87" t="s">
        <v>1233</v>
      </c>
      <c r="BH636" s="87" t="s">
        <v>1985</v>
      </c>
      <c r="BI636" s="87" t="s">
        <v>29</v>
      </c>
      <c r="BJ636" s="87" t="s">
        <v>29</v>
      </c>
      <c r="BK636" s="87" t="s">
        <v>29</v>
      </c>
      <c r="BL636" s="87"/>
      <c r="BM636" s="87"/>
      <c r="BN636" s="87"/>
      <c r="BO636" s="87"/>
      <c r="BP636" s="87"/>
      <c r="BQ636" s="87"/>
      <c r="BR636" s="87"/>
      <c r="BS636" s="87"/>
      <c r="BT636" s="87"/>
      <c r="BU636" s="87"/>
      <c r="BV636" s="87"/>
      <c r="BW636" s="87"/>
      <c r="BX636" s="87"/>
      <c r="BY636" s="87"/>
      <c r="BZ636" s="87"/>
      <c r="CA636" s="87"/>
      <c r="CB636" s="87"/>
      <c r="CC636" s="87"/>
      <c r="CD636" s="87"/>
      <c r="CE636" s="87"/>
      <c r="CF636" s="87"/>
      <c r="CG636" s="87"/>
      <c r="CH636" s="87"/>
      <c r="CI636" s="87"/>
      <c r="CJ636" s="87"/>
      <c r="CK636" s="87"/>
      <c r="CL636" s="87"/>
      <c r="CM636" s="87"/>
      <c r="CN636" s="87"/>
      <c r="CO636" s="87"/>
      <c r="CP636" s="87"/>
      <c r="CQ636" s="87"/>
      <c r="CR636" s="87"/>
      <c r="CS636" s="87"/>
      <c r="CT636" s="87"/>
      <c r="CU636" s="87"/>
      <c r="CV636" s="87"/>
      <c r="CW636" s="87"/>
      <c r="CX636" s="87"/>
      <c r="CY636" s="87"/>
      <c r="CZ636" s="87"/>
      <c r="DA636" s="87"/>
      <c r="DB636" s="87"/>
      <c r="DC636" s="87"/>
      <c r="DD636" s="87"/>
      <c r="DE636" s="87"/>
      <c r="DF636" s="87"/>
      <c r="DG636" s="87"/>
      <c r="DH636" s="87"/>
      <c r="DI636" s="87"/>
      <c r="DJ636" s="87"/>
      <c r="DK636" s="87"/>
      <c r="DL636" s="87"/>
      <c r="DM636" s="87"/>
      <c r="DN636" s="87"/>
      <c r="DO636" s="87"/>
      <c r="DP636" s="87"/>
      <c r="DQ636" s="87"/>
      <c r="DR636" s="87"/>
      <c r="DS636" s="87"/>
      <c r="DT636" s="87"/>
      <c r="DU636" s="87"/>
      <c r="DV636" s="87"/>
      <c r="DW636" s="87"/>
      <c r="DX636" s="87"/>
      <c r="DY636" s="87"/>
      <c r="DZ636" s="87"/>
      <c r="EA636" s="87"/>
      <c r="EB636" s="87"/>
      <c r="EC636" s="87"/>
      <c r="ED636" s="87"/>
      <c r="EE636" s="87" t="s">
        <v>1986</v>
      </c>
      <c r="EF636" s="87" t="s">
        <v>1987</v>
      </c>
      <c r="EG636" s="87">
        <v>0.24</v>
      </c>
      <c r="EH636" s="87" t="s">
        <v>1990</v>
      </c>
      <c r="EI636" s="87"/>
      <c r="EJ636" s="139"/>
      <c r="EK636" s="139"/>
      <c r="EL636" s="139"/>
      <c r="EM636" s="139"/>
      <c r="EN636" s="139"/>
      <c r="EO636" s="139"/>
      <c r="EP636" s="139"/>
      <c r="EQ636" s="139"/>
      <c r="ER636" s="139"/>
      <c r="ES636" s="139"/>
      <c r="ET636" s="139"/>
      <c r="EU636" s="139"/>
      <c r="EV636" s="139"/>
      <c r="EW636" s="139"/>
      <c r="EX636" s="139"/>
      <c r="EY636" s="139"/>
      <c r="EZ636" s="139"/>
      <c r="FA636" s="139"/>
      <c r="FB636" s="139"/>
      <c r="FC636" s="139"/>
      <c r="FD636" s="139"/>
      <c r="FE636" s="139"/>
      <c r="FF636" s="139"/>
      <c r="FG636" s="139"/>
      <c r="FH636" s="139"/>
      <c r="FI636" s="139"/>
      <c r="FJ636" s="139"/>
      <c r="FK636" s="139"/>
      <c r="FL636" s="139"/>
      <c r="FM636" s="139"/>
      <c r="FN636" s="139"/>
      <c r="FO636" s="139"/>
      <c r="FP636" s="139"/>
      <c r="FQ636" s="139"/>
      <c r="FR636" s="139"/>
      <c r="FS636" s="139"/>
      <c r="FT636" s="139"/>
      <c r="FU636" s="139"/>
      <c r="FV636" s="139"/>
      <c r="FW636" s="139"/>
      <c r="FX636" s="139"/>
      <c r="FY636" s="139"/>
      <c r="FZ636" s="139"/>
      <c r="GA636" s="139"/>
      <c r="GB636" s="139"/>
      <c r="GC636" s="139"/>
      <c r="GD636" s="139"/>
      <c r="GE636" s="139"/>
      <c r="GF636" s="139"/>
      <c r="GG636" s="139"/>
      <c r="GH636" s="139"/>
      <c r="GI636" s="139"/>
      <c r="GJ636" s="139"/>
      <c r="GK636" s="139"/>
      <c r="GL636" s="139"/>
      <c r="GM636" s="139"/>
      <c r="GN636" s="139"/>
      <c r="GO636" s="139"/>
      <c r="GP636" s="139"/>
      <c r="GQ636" s="139"/>
      <c r="GR636" s="139"/>
      <c r="GS636" s="139"/>
      <c r="GT636" s="139"/>
      <c r="GU636" s="139"/>
      <c r="GV636" s="139"/>
      <c r="GW636" s="139"/>
      <c r="GX636" s="139"/>
      <c r="GY636" s="139"/>
      <c r="GZ636" s="139"/>
      <c r="HA636" s="139"/>
      <c r="HB636" s="139"/>
      <c r="HC636" s="139"/>
      <c r="HD636" s="139"/>
      <c r="HE636" s="139"/>
      <c r="HF636" s="139"/>
      <c r="HG636" s="139"/>
      <c r="HH636" s="139"/>
      <c r="HI636" s="139"/>
      <c r="HJ636" s="139"/>
      <c r="HK636" s="139"/>
      <c r="HL636" s="139" t="s">
        <v>1988</v>
      </c>
      <c r="HM636" s="139" t="s">
        <v>232</v>
      </c>
      <c r="HN636" s="87"/>
      <c r="HO636" s="87"/>
      <c r="HP636" s="87"/>
      <c r="HQ636" s="87"/>
      <c r="HR636" s="87"/>
      <c r="HS636" s="87"/>
      <c r="HT636" s="87"/>
      <c r="HU636" s="87"/>
      <c r="HV636" s="87"/>
      <c r="HW636" s="87"/>
      <c r="HX636" s="87"/>
      <c r="HY636" s="87"/>
      <c r="HZ636" s="140"/>
      <c r="IA636" s="87"/>
      <c r="IB636" s="87"/>
      <c r="IC636" s="87"/>
      <c r="ID636" s="87"/>
      <c r="IE636" s="87"/>
      <c r="IF636" s="87"/>
      <c r="IG636" s="87"/>
      <c r="IH636" s="87"/>
      <c r="II636" s="87"/>
      <c r="IJ636" s="87"/>
      <c r="IK636" s="87"/>
      <c r="IL636" s="87"/>
      <c r="IM636" s="87"/>
      <c r="IN636" s="87"/>
      <c r="IO636" s="87"/>
      <c r="IP636" s="87"/>
      <c r="IQ636" s="87"/>
      <c r="IR636" s="87"/>
      <c r="IS636" s="87"/>
      <c r="IT636" s="87"/>
      <c r="IU636" s="87"/>
      <c r="IV636" s="87"/>
      <c r="IW636" s="87" t="s">
        <v>1989</v>
      </c>
      <c r="IX636" s="87" t="s">
        <v>1990</v>
      </c>
      <c r="IY636" s="87" t="s">
        <v>1991</v>
      </c>
      <c r="IZ636" s="87"/>
      <c r="JA636" s="87">
        <v>6</v>
      </c>
      <c r="JB636" s="87">
        <v>77.5</v>
      </c>
      <c r="JC636" s="87">
        <v>75</v>
      </c>
      <c r="JD636" s="87">
        <v>80</v>
      </c>
      <c r="JE636" s="87">
        <v>7.5</v>
      </c>
      <c r="JF636" s="87">
        <v>6</v>
      </c>
      <c r="JG636" s="87">
        <v>9</v>
      </c>
      <c r="JH636" s="87"/>
      <c r="JI636" s="87"/>
      <c r="JJ636" s="87"/>
      <c r="JK636" s="87"/>
      <c r="JL636" s="87"/>
      <c r="JM636" s="87"/>
      <c r="JN636" s="87"/>
      <c r="JO636" s="87"/>
      <c r="JP636" s="87"/>
      <c r="JQ636" s="146"/>
      <c r="JR636" s="87"/>
      <c r="JS636" s="87"/>
      <c r="JT636" s="87"/>
      <c r="JU636" s="87"/>
      <c r="JV636" s="87"/>
      <c r="JW636" s="87"/>
      <c r="JX636" s="87"/>
      <c r="JY636" s="87"/>
      <c r="JZ636" s="87"/>
      <c r="KA636" s="146"/>
      <c r="KB636" s="87"/>
      <c r="KC636" s="87"/>
      <c r="KD636" s="87"/>
      <c r="KE636" s="87"/>
      <c r="KF636" s="87"/>
      <c r="KG636" s="87"/>
      <c r="KH636" s="87"/>
      <c r="KI636" s="87"/>
      <c r="KJ636" s="87"/>
      <c r="KK636" s="87"/>
      <c r="KL636" s="87"/>
      <c r="KM636" s="87"/>
      <c r="KN636" s="87"/>
      <c r="KO636" s="87"/>
      <c r="KP636" s="87"/>
      <c r="KQ636" s="87"/>
      <c r="KR636" s="87"/>
      <c r="KS636" s="146"/>
      <c r="KT636" s="146"/>
      <c r="KU636" s="146"/>
      <c r="KV636" s="146"/>
      <c r="KW636" s="87"/>
      <c r="KX636" s="87"/>
      <c r="KY636" s="87"/>
      <c r="KZ636" s="87"/>
      <c r="LA636" s="87"/>
      <c r="LB636" s="87"/>
      <c r="LC636" s="87"/>
      <c r="LD636" s="87"/>
      <c r="LE636" s="87"/>
      <c r="LF636" s="87"/>
      <c r="LG636" s="87"/>
      <c r="LH636" s="87"/>
      <c r="LI636" s="87"/>
      <c r="LJ636" s="87"/>
      <c r="LK636" s="87"/>
      <c r="LL636" s="87"/>
      <c r="LM636" s="87"/>
      <c r="LN636" s="87"/>
      <c r="LO636" s="87"/>
      <c r="LP636" s="87"/>
      <c r="LQ636" s="87"/>
      <c r="LR636" s="87"/>
      <c r="LS636" s="87"/>
      <c r="LT636" s="87"/>
      <c r="LU636" s="87"/>
      <c r="LV636" s="87"/>
      <c r="LW636" s="87"/>
      <c r="LX636" s="87"/>
      <c r="LY636" s="87"/>
      <c r="LZ636" s="87"/>
      <c r="MA636" s="87"/>
      <c r="MB636" s="87"/>
      <c r="MC636" s="87"/>
      <c r="MD636" s="87"/>
      <c r="ME636" s="87"/>
      <c r="MF636" s="87"/>
      <c r="MG636" s="87"/>
      <c r="MH636" s="87"/>
      <c r="MI636" s="87"/>
      <c r="MJ636" s="87"/>
      <c r="MK636" s="87"/>
      <c r="ML636" s="87"/>
      <c r="MM636" s="87"/>
      <c r="MN636" s="87"/>
      <c r="MO636" s="87"/>
      <c r="MP636" s="87"/>
      <c r="MQ636" s="87"/>
      <c r="MR636" s="87"/>
      <c r="MS636" s="87"/>
      <c r="MT636" s="87"/>
      <c r="MU636" s="87"/>
      <c r="MV636" s="87"/>
      <c r="MW636" s="87"/>
      <c r="MX636" s="87"/>
      <c r="MY636" s="87"/>
      <c r="MZ636" s="87" t="s">
        <v>1968</v>
      </c>
      <c r="NA636" s="87">
        <v>625</v>
      </c>
      <c r="NB636" s="87" t="s">
        <v>1969</v>
      </c>
      <c r="NC636" s="87" t="s">
        <v>1973</v>
      </c>
      <c r="ND636" s="87" t="s">
        <v>1974</v>
      </c>
      <c r="NE636" s="87" t="s">
        <v>1975</v>
      </c>
      <c r="NF636" s="87" t="s">
        <v>1976</v>
      </c>
      <c r="NG636" s="87" t="s">
        <v>1977</v>
      </c>
      <c r="NH636" s="87"/>
      <c r="NI636" s="87"/>
      <c r="NJ636" s="87"/>
      <c r="NK636" s="87" t="s">
        <v>2012</v>
      </c>
      <c r="NL636" s="87" t="s">
        <v>2013</v>
      </c>
      <c r="NM636" s="87" t="s">
        <v>1751</v>
      </c>
      <c r="NN636" s="87" t="s">
        <v>1972</v>
      </c>
      <c r="NO636" s="87"/>
      <c r="NP636" s="87"/>
      <c r="NQ636" s="87"/>
      <c r="NR636" s="87"/>
      <c r="NS636" s="87"/>
      <c r="NT636" s="87"/>
      <c r="NU636" s="87"/>
      <c r="NV636" s="87" t="s">
        <v>1992</v>
      </c>
      <c r="NW636" s="87" t="s">
        <v>1979</v>
      </c>
      <c r="NX636" s="87">
        <v>540</v>
      </c>
      <c r="NY636" s="87" t="s">
        <v>29</v>
      </c>
      <c r="NZ636" s="87" t="s">
        <v>29</v>
      </c>
      <c r="OA636" s="87"/>
      <c r="OB636" s="87"/>
      <c r="OC636" s="87">
        <v>31</v>
      </c>
      <c r="OD636" s="87"/>
      <c r="OE636" s="87"/>
      <c r="OF636" s="87"/>
      <c r="OG636" s="87"/>
      <c r="OH636" s="87"/>
      <c r="OI636" s="87"/>
      <c r="OJ636" s="87"/>
      <c r="OK636" s="87"/>
      <c r="OL636" s="87"/>
      <c r="OM636" s="87"/>
      <c r="ON636" s="87"/>
      <c r="OO636" s="87"/>
      <c r="OP636" s="87"/>
      <c r="OQ636" s="87"/>
      <c r="OR636" s="87"/>
      <c r="OS636" s="87"/>
      <c r="OT636" s="87" t="s">
        <v>1980</v>
      </c>
      <c r="OU636" s="144"/>
      <c r="OV636" s="87"/>
      <c r="OW636" s="87">
        <v>2009</v>
      </c>
      <c r="OX636" s="87">
        <v>2010</v>
      </c>
      <c r="OY636" s="87"/>
      <c r="OZ636" s="87"/>
      <c r="PA636" s="87" t="s">
        <v>1981</v>
      </c>
      <c r="PB636" s="140">
        <v>46133</v>
      </c>
      <c r="PC636" s="87"/>
      <c r="PD636" s="87"/>
      <c r="PE636" s="87"/>
      <c r="PF636" s="87"/>
      <c r="PG636" s="138"/>
    </row>
    <row r="637" spans="1:423">
      <c r="A637" t="s">
        <v>36</v>
      </c>
      <c r="B637" t="s">
        <v>1956</v>
      </c>
      <c r="C637" t="s">
        <v>1957</v>
      </c>
      <c r="D637" t="s">
        <v>245</v>
      </c>
      <c r="E637" t="s">
        <v>1993</v>
      </c>
      <c r="F637" t="s">
        <v>1961</v>
      </c>
      <c r="G637" t="s">
        <v>2</v>
      </c>
      <c r="H637" t="s">
        <v>30</v>
      </c>
      <c r="I637">
        <v>-8.8170000000000002</v>
      </c>
      <c r="J637">
        <v>-75.2</v>
      </c>
      <c r="L637" t="s">
        <v>1957</v>
      </c>
      <c r="M637" t="s">
        <v>245</v>
      </c>
      <c r="N637" t="s">
        <v>1960</v>
      </c>
      <c r="O637" t="s">
        <v>1961</v>
      </c>
      <c r="P637" t="s">
        <v>2</v>
      </c>
      <c r="Q637" t="s">
        <v>30</v>
      </c>
      <c r="R637">
        <v>-8.5169999999999995</v>
      </c>
      <c r="S637">
        <v>-74.766999999999996</v>
      </c>
      <c r="AV637" t="s">
        <v>1962</v>
      </c>
      <c r="AW637">
        <v>625</v>
      </c>
      <c r="AX637" t="s">
        <v>29</v>
      </c>
      <c r="AY637">
        <v>2</v>
      </c>
      <c r="AZ637" t="s">
        <v>1963</v>
      </c>
      <c r="BA637">
        <v>2009</v>
      </c>
      <c r="BB637">
        <v>2010</v>
      </c>
      <c r="BC637" t="s">
        <v>1964</v>
      </c>
      <c r="BD637" t="s">
        <v>1983</v>
      </c>
      <c r="BE637" t="s">
        <v>1994</v>
      </c>
      <c r="BF637" t="s">
        <v>57</v>
      </c>
      <c r="BG637" t="s">
        <v>1233</v>
      </c>
      <c r="BH637" t="s">
        <v>1995</v>
      </c>
      <c r="BI637" t="s">
        <v>29</v>
      </c>
      <c r="BJ637" t="s">
        <v>29</v>
      </c>
      <c r="BK637" t="s">
        <v>29</v>
      </c>
      <c r="EE637" t="s">
        <v>1996</v>
      </c>
      <c r="EF637" t="s">
        <v>1987</v>
      </c>
      <c r="EG637">
        <v>0.24</v>
      </c>
      <c r="EH637" t="s">
        <v>2037</v>
      </c>
      <c r="EI637" t="s">
        <v>1997</v>
      </c>
      <c r="EJ637" s="9" t="s">
        <v>1987</v>
      </c>
      <c r="EK637" s="139">
        <v>0.24</v>
      </c>
      <c r="EL637" s="9"/>
      <c r="EM637" s="9" t="s">
        <v>1998</v>
      </c>
      <c r="EN637" s="9" t="s">
        <v>1987</v>
      </c>
      <c r="EO637" s="9" t="s">
        <v>29</v>
      </c>
      <c r="EP637" s="9"/>
      <c r="EQ637" s="9" t="s">
        <v>1999</v>
      </c>
      <c r="ER637" s="9" t="s">
        <v>1987</v>
      </c>
      <c r="ES637" s="9" t="s">
        <v>29</v>
      </c>
      <c r="ET637" s="9"/>
      <c r="EU637" s="9" t="s">
        <v>2000</v>
      </c>
      <c r="EV637" s="9" t="s">
        <v>1987</v>
      </c>
      <c r="EW637" s="9" t="s">
        <v>29</v>
      </c>
      <c r="EX637" s="9"/>
      <c r="EY637" s="9"/>
      <c r="EZ637" s="9"/>
      <c r="FA637" s="9"/>
      <c r="FB637" s="9"/>
      <c r="FC637" s="9"/>
      <c r="FD637" s="9"/>
      <c r="FE637" s="9"/>
      <c r="FF637" s="9"/>
      <c r="FG637" s="9"/>
      <c r="FH637" s="9"/>
      <c r="FI637" s="9"/>
      <c r="FJ637" s="9"/>
      <c r="FK637" s="9"/>
      <c r="FL637" s="9"/>
      <c r="FM637" s="9"/>
      <c r="FN637" s="9"/>
      <c r="FO637" s="9"/>
      <c r="FP637" s="9"/>
      <c r="FQ637" s="9"/>
      <c r="FR637" s="9"/>
      <c r="FS637" s="9"/>
      <c r="FT637" s="9"/>
      <c r="FU637" s="9"/>
      <c r="FV637" s="9"/>
      <c r="FW637" s="9"/>
      <c r="FX637" s="9"/>
      <c r="FY637" s="9"/>
      <c r="FZ637" s="9"/>
      <c r="GA637" s="9"/>
      <c r="GB637" s="9"/>
      <c r="GC637" s="9"/>
      <c r="GD637" s="9"/>
      <c r="GE637" s="9"/>
      <c r="GF637" s="9"/>
      <c r="GG637" s="9"/>
      <c r="GH637" s="9"/>
      <c r="GI637" s="9"/>
      <c r="GJ637" s="9"/>
      <c r="GK637" s="9"/>
      <c r="GL637" s="9"/>
      <c r="GM637" s="9"/>
      <c r="GN637" s="9"/>
      <c r="GO637" s="9"/>
      <c r="GP637" s="9"/>
      <c r="GQ637" s="9"/>
      <c r="GR637" s="9"/>
      <c r="GS637" s="9"/>
      <c r="GT637" s="9"/>
      <c r="GU637" s="9"/>
      <c r="GV637" s="9"/>
      <c r="GW637" s="9"/>
      <c r="GX637" s="9"/>
      <c r="GY637" s="9"/>
      <c r="GZ637" s="9"/>
      <c r="HA637" s="9"/>
      <c r="HB637" s="9"/>
      <c r="HC637" s="9"/>
      <c r="HD637" s="9"/>
      <c r="HE637" s="9"/>
      <c r="HF637" s="9"/>
      <c r="HG637" s="9"/>
      <c r="HH637" s="9"/>
      <c r="HI637" s="9"/>
      <c r="HJ637" s="9"/>
      <c r="HK637" s="9"/>
      <c r="HL637" s="9" t="s">
        <v>1988</v>
      </c>
      <c r="HM637" s="9" t="s">
        <v>232</v>
      </c>
      <c r="HZ637" s="58"/>
      <c r="IW637" t="s">
        <v>2001</v>
      </c>
      <c r="IX637" t="s">
        <v>1990</v>
      </c>
      <c r="IY637" t="s">
        <v>2002</v>
      </c>
      <c r="JB637">
        <v>50</v>
      </c>
      <c r="JE637">
        <v>12</v>
      </c>
      <c r="JQ637" s="9"/>
      <c r="KA637" s="9"/>
      <c r="KS637" s="9"/>
      <c r="KT637" s="9"/>
      <c r="KU637" s="9"/>
      <c r="KV637" s="9"/>
      <c r="MZ637" t="s">
        <v>1968</v>
      </c>
      <c r="NA637">
        <v>625</v>
      </c>
      <c r="NB637" t="s">
        <v>1969</v>
      </c>
      <c r="NC637" t="s">
        <v>1973</v>
      </c>
      <c r="ND637" t="s">
        <v>1974</v>
      </c>
      <c r="NE637" t="s">
        <v>1975</v>
      </c>
      <c r="NF637" t="s">
        <v>1976</v>
      </c>
      <c r="NG637" t="s">
        <v>1977</v>
      </c>
      <c r="NK637" t="s">
        <v>2012</v>
      </c>
      <c r="NL637" t="s">
        <v>2013</v>
      </c>
      <c r="NM637" t="s">
        <v>1751</v>
      </c>
      <c r="NN637" t="s">
        <v>1972</v>
      </c>
      <c r="NV637" t="s">
        <v>2003</v>
      </c>
      <c r="NW637" t="s">
        <v>1979</v>
      </c>
      <c r="NX637">
        <v>189</v>
      </c>
      <c r="NY637" t="s">
        <v>29</v>
      </c>
      <c r="NZ637" t="s">
        <v>29</v>
      </c>
      <c r="OC637">
        <v>32</v>
      </c>
      <c r="OT637" t="s">
        <v>1980</v>
      </c>
      <c r="OU637" s="19"/>
      <c r="OW637">
        <v>2009</v>
      </c>
      <c r="OX637">
        <v>2010</v>
      </c>
      <c r="PA637" t="s">
        <v>1981</v>
      </c>
      <c r="PB637" s="58">
        <v>46133</v>
      </c>
    </row>
    <row r="638" spans="1:423">
      <c r="A638" s="87" t="s">
        <v>36</v>
      </c>
      <c r="B638" s="87" t="s">
        <v>1956</v>
      </c>
      <c r="C638" s="87" t="s">
        <v>1957</v>
      </c>
      <c r="D638" s="87" t="s">
        <v>245</v>
      </c>
      <c r="E638" s="87" t="s">
        <v>1993</v>
      </c>
      <c r="F638" s="87" t="s">
        <v>1961</v>
      </c>
      <c r="G638" s="87" t="s">
        <v>2</v>
      </c>
      <c r="H638" s="87" t="s">
        <v>30</v>
      </c>
      <c r="I638" s="87">
        <v>-8.8170000000000002</v>
      </c>
      <c r="J638" s="87">
        <v>-75.2</v>
      </c>
      <c r="K638" s="87"/>
      <c r="L638" s="87" t="s">
        <v>1957</v>
      </c>
      <c r="M638" s="87" t="s">
        <v>245</v>
      </c>
      <c r="N638" s="87" t="s">
        <v>1960</v>
      </c>
      <c r="O638" s="87" t="s">
        <v>1961</v>
      </c>
      <c r="P638" s="87" t="s">
        <v>2</v>
      </c>
      <c r="Q638" s="87" t="s">
        <v>30</v>
      </c>
      <c r="R638" s="87">
        <v>-8.5169999999999995</v>
      </c>
      <c r="S638" s="87">
        <v>-74.766999999999996</v>
      </c>
      <c r="T638" s="87"/>
      <c r="U638" s="87" t="s">
        <v>1957</v>
      </c>
      <c r="V638" s="87" t="s">
        <v>245</v>
      </c>
      <c r="W638" s="87" t="s">
        <v>1982</v>
      </c>
      <c r="X638" s="87" t="s">
        <v>1961</v>
      </c>
      <c r="Y638" s="87" t="s">
        <v>2</v>
      </c>
      <c r="Z638" s="87" t="s">
        <v>30</v>
      </c>
      <c r="AA638" s="87">
        <v>-8.3670000000000009</v>
      </c>
      <c r="AB638" s="87">
        <v>-74.7</v>
      </c>
      <c r="AC638" s="87"/>
      <c r="AD638" s="87"/>
      <c r="AE638" s="87"/>
      <c r="AF638" s="87"/>
      <c r="AG638" s="87"/>
      <c r="AH638" s="87"/>
      <c r="AI638" s="87"/>
      <c r="AJ638" s="87"/>
      <c r="AK638" s="87"/>
      <c r="AL638" s="87"/>
      <c r="AM638" s="87"/>
      <c r="AN638" s="87"/>
      <c r="AO638" s="87"/>
      <c r="AP638" s="87"/>
      <c r="AQ638" s="87"/>
      <c r="AR638" s="87"/>
      <c r="AS638" s="87"/>
      <c r="AT638" s="87"/>
      <c r="AU638" s="87"/>
      <c r="AV638" s="87" t="s">
        <v>1962</v>
      </c>
      <c r="AW638" s="87">
        <v>625</v>
      </c>
      <c r="AX638" s="87" t="s">
        <v>29</v>
      </c>
      <c r="AY638" s="87">
        <v>2</v>
      </c>
      <c r="AZ638" s="87" t="s">
        <v>1963</v>
      </c>
      <c r="BA638" s="87">
        <v>2009</v>
      </c>
      <c r="BB638" s="87">
        <v>2010</v>
      </c>
      <c r="BC638" s="87" t="s">
        <v>1964</v>
      </c>
      <c r="BD638" s="87" t="s">
        <v>19</v>
      </c>
      <c r="BE638" s="87" t="s">
        <v>2004</v>
      </c>
      <c r="BF638" s="87" t="s">
        <v>24</v>
      </c>
      <c r="BG638" s="87" t="s">
        <v>1233</v>
      </c>
      <c r="BH638" s="87" t="s">
        <v>2005</v>
      </c>
      <c r="BI638" s="87" t="s">
        <v>29</v>
      </c>
      <c r="BJ638" s="87" t="s">
        <v>29</v>
      </c>
      <c r="BK638" s="87" t="s">
        <v>29</v>
      </c>
      <c r="BL638" s="87"/>
      <c r="BM638" s="87"/>
      <c r="BN638" s="87"/>
      <c r="BO638" s="87"/>
      <c r="BP638" s="87"/>
      <c r="BQ638" s="87"/>
      <c r="BR638" s="87"/>
      <c r="BS638" s="87"/>
      <c r="BT638" s="87"/>
      <c r="BU638" s="87"/>
      <c r="BV638" s="87"/>
      <c r="BW638" s="87"/>
      <c r="BX638" s="87"/>
      <c r="BY638" s="87"/>
      <c r="BZ638" s="87"/>
      <c r="CA638" s="87"/>
      <c r="CB638" s="87"/>
      <c r="CC638" s="87"/>
      <c r="CD638" s="87"/>
      <c r="CE638" s="87"/>
      <c r="CF638" s="87"/>
      <c r="CG638" s="87"/>
      <c r="CH638" s="87"/>
      <c r="CI638" s="87"/>
      <c r="CJ638" s="87"/>
      <c r="CK638" s="87"/>
      <c r="CL638" s="87"/>
      <c r="CM638" s="87"/>
      <c r="CN638" s="87"/>
      <c r="CO638" s="87"/>
      <c r="CP638" s="87"/>
      <c r="CQ638" s="87"/>
      <c r="CR638" s="87"/>
      <c r="CS638" s="87"/>
      <c r="CT638" s="87"/>
      <c r="CU638" s="87"/>
      <c r="CV638" s="87"/>
      <c r="CW638" s="87"/>
      <c r="CX638" s="87"/>
      <c r="CY638" s="87"/>
      <c r="CZ638" s="87"/>
      <c r="DA638" s="87"/>
      <c r="DB638" s="87"/>
      <c r="DC638" s="87"/>
      <c r="DD638" s="87"/>
      <c r="DE638" s="87"/>
      <c r="DF638" s="87"/>
      <c r="DG638" s="87"/>
      <c r="DH638" s="87"/>
      <c r="DI638" s="87"/>
      <c r="DJ638" s="87"/>
      <c r="DK638" s="87"/>
      <c r="DL638" s="87"/>
      <c r="DM638" s="87"/>
      <c r="DN638" s="87"/>
      <c r="DO638" s="87"/>
      <c r="DP638" s="87"/>
      <c r="DQ638" s="87"/>
      <c r="DR638" s="87"/>
      <c r="DS638" s="87"/>
      <c r="DT638" s="87"/>
      <c r="DU638" s="87"/>
      <c r="DV638" s="87"/>
      <c r="DW638" s="87"/>
      <c r="DX638" s="87"/>
      <c r="DY638" s="87"/>
      <c r="DZ638" s="87"/>
      <c r="EA638" s="87"/>
      <c r="EB638" s="87"/>
      <c r="EC638" s="87"/>
      <c r="ED638" s="87"/>
      <c r="EE638" s="87"/>
      <c r="EF638" s="87"/>
      <c r="EG638" s="87"/>
      <c r="EH638" s="87"/>
      <c r="EI638" s="87"/>
      <c r="EJ638" s="139"/>
      <c r="EK638" s="139"/>
      <c r="EL638" s="139"/>
      <c r="EM638" s="139"/>
      <c r="EN638" s="139"/>
      <c r="EO638" s="139"/>
      <c r="EP638" s="139"/>
      <c r="EQ638" s="139"/>
      <c r="ER638" s="139"/>
      <c r="ES638" s="139"/>
      <c r="ET638" s="139"/>
      <c r="EU638" s="139"/>
      <c r="EV638" s="139"/>
      <c r="EW638" s="139"/>
      <c r="EX638" s="139"/>
      <c r="EY638" s="139"/>
      <c r="EZ638" s="139"/>
      <c r="FA638" s="139"/>
      <c r="FB638" s="139"/>
      <c r="FC638" s="139"/>
      <c r="FD638" s="139"/>
      <c r="FE638" s="139"/>
      <c r="FF638" s="139"/>
      <c r="FG638" s="139"/>
      <c r="FH638" s="139"/>
      <c r="FI638" s="139"/>
      <c r="FJ638" s="139"/>
      <c r="FK638" s="139"/>
      <c r="FL638" s="139"/>
      <c r="FM638" s="139"/>
      <c r="FN638" s="139"/>
      <c r="FO638" s="139"/>
      <c r="FP638" s="139"/>
      <c r="FQ638" s="139"/>
      <c r="FR638" s="139"/>
      <c r="FS638" s="139"/>
      <c r="FT638" s="139"/>
      <c r="FU638" s="139"/>
      <c r="FV638" s="139"/>
      <c r="FW638" s="139"/>
      <c r="FX638" s="139"/>
      <c r="FY638" s="139"/>
      <c r="FZ638" s="139"/>
      <c r="GA638" s="139"/>
      <c r="GB638" s="139"/>
      <c r="GC638" s="139"/>
      <c r="GD638" s="139"/>
      <c r="GE638" s="139"/>
      <c r="GF638" s="139"/>
      <c r="GG638" s="139"/>
      <c r="GH638" s="139"/>
      <c r="GI638" s="139"/>
      <c r="GJ638" s="139"/>
      <c r="GK638" s="139"/>
      <c r="GL638" s="139"/>
      <c r="GM638" s="139"/>
      <c r="GN638" s="139"/>
      <c r="GO638" s="139"/>
      <c r="GP638" s="139"/>
      <c r="GQ638" s="139"/>
      <c r="GR638" s="139"/>
      <c r="GS638" s="139"/>
      <c r="GT638" s="139"/>
      <c r="GU638" s="139"/>
      <c r="GV638" s="139"/>
      <c r="GW638" s="139"/>
      <c r="GX638" s="139"/>
      <c r="GY638" s="139"/>
      <c r="GZ638" s="139"/>
      <c r="HA638" s="139"/>
      <c r="HB638" s="139"/>
      <c r="HC638" s="139"/>
      <c r="HD638" s="139"/>
      <c r="HE638" s="139"/>
      <c r="HF638" s="139"/>
      <c r="HG638" s="139"/>
      <c r="HH638" s="139"/>
      <c r="HI638" s="139"/>
      <c r="HJ638" s="139"/>
      <c r="HK638" s="139"/>
      <c r="HL638" s="139" t="s">
        <v>2006</v>
      </c>
      <c r="HM638" s="139" t="s">
        <v>297</v>
      </c>
      <c r="HN638" s="87" t="s">
        <v>12</v>
      </c>
      <c r="HO638" s="87"/>
      <c r="HP638" s="87"/>
      <c r="HQ638" s="87"/>
      <c r="HR638" s="87"/>
      <c r="HS638" s="87"/>
      <c r="HT638" s="87"/>
      <c r="HU638" s="87"/>
      <c r="HV638" s="87"/>
      <c r="HW638" s="87"/>
      <c r="HX638" s="87"/>
      <c r="HY638" s="87"/>
      <c r="HZ638" s="140"/>
      <c r="IA638" s="87"/>
      <c r="IB638" s="87"/>
      <c r="IC638" s="87"/>
      <c r="ID638" s="87"/>
      <c r="IE638" s="87"/>
      <c r="IF638" s="87"/>
      <c r="IG638" s="87"/>
      <c r="IH638" s="87"/>
      <c r="II638" s="87"/>
      <c r="IJ638" s="87"/>
      <c r="IK638" s="87"/>
      <c r="IL638" s="87"/>
      <c r="IM638" s="87"/>
      <c r="IN638" s="87"/>
      <c r="IO638" s="87"/>
      <c r="IP638" s="87"/>
      <c r="IQ638" s="87"/>
      <c r="IR638" s="87"/>
      <c r="IS638" s="87"/>
      <c r="IT638" s="87"/>
      <c r="IU638" s="87"/>
      <c r="IV638" s="87"/>
      <c r="IW638" s="87"/>
      <c r="IX638" s="87"/>
      <c r="IY638" s="87"/>
      <c r="IZ638" s="87"/>
      <c r="JA638" s="87"/>
      <c r="JB638" s="87"/>
      <c r="JC638" s="87"/>
      <c r="JD638" s="87"/>
      <c r="JE638" s="87"/>
      <c r="JF638" s="87"/>
      <c r="JG638" s="87"/>
      <c r="JH638" s="87"/>
      <c r="JI638" s="87"/>
      <c r="JJ638" s="87"/>
      <c r="JK638" s="87"/>
      <c r="JL638" s="87"/>
      <c r="JM638" s="87"/>
      <c r="JN638" s="87"/>
      <c r="JO638" s="87"/>
      <c r="JP638" s="87"/>
      <c r="JQ638" s="146"/>
      <c r="JR638" s="87"/>
      <c r="JS638" s="87"/>
      <c r="JT638" s="87"/>
      <c r="JU638" s="87"/>
      <c r="JV638" s="87"/>
      <c r="JW638" s="87"/>
      <c r="JX638" s="87"/>
      <c r="JY638" s="87"/>
      <c r="JZ638" s="87"/>
      <c r="KA638" s="146"/>
      <c r="KB638" s="87"/>
      <c r="KC638" s="87"/>
      <c r="KD638" s="87"/>
      <c r="KE638" s="87"/>
      <c r="KF638" s="87"/>
      <c r="KG638" s="87"/>
      <c r="KH638" s="87"/>
      <c r="KI638" s="87"/>
      <c r="KJ638" s="87"/>
      <c r="KK638" s="87"/>
      <c r="KL638" s="87"/>
      <c r="KM638" s="87"/>
      <c r="KN638" s="87"/>
      <c r="KO638" s="87"/>
      <c r="KP638" s="87"/>
      <c r="KQ638" s="87"/>
      <c r="KR638" s="87"/>
      <c r="KS638" s="146"/>
      <c r="KT638" s="146"/>
      <c r="KU638" s="146"/>
      <c r="KV638" s="146"/>
      <c r="KW638" s="87"/>
      <c r="KX638" s="87"/>
      <c r="KY638" s="87"/>
      <c r="KZ638" s="87"/>
      <c r="LA638" s="87"/>
      <c r="LB638" s="87"/>
      <c r="LC638" s="87"/>
      <c r="LD638" s="87"/>
      <c r="LE638" s="87"/>
      <c r="LF638" s="87"/>
      <c r="LG638" s="87"/>
      <c r="LH638" s="87"/>
      <c r="LI638" s="87"/>
      <c r="LJ638" s="87"/>
      <c r="LK638" s="87"/>
      <c r="LL638" s="87"/>
      <c r="LM638" s="87"/>
      <c r="LN638" s="87"/>
      <c r="LO638" s="87"/>
      <c r="LP638" s="87"/>
      <c r="LQ638" s="87"/>
      <c r="LR638" s="87"/>
      <c r="LS638" s="87"/>
      <c r="LT638" s="87"/>
      <c r="LU638" s="87"/>
      <c r="LV638" s="87"/>
      <c r="LW638" s="87"/>
      <c r="LX638" s="87"/>
      <c r="LY638" s="87"/>
      <c r="LZ638" s="87"/>
      <c r="MA638" s="87"/>
      <c r="MB638" s="87"/>
      <c r="MC638" s="87"/>
      <c r="MD638" s="87"/>
      <c r="ME638" s="87"/>
      <c r="MF638" s="87"/>
      <c r="MG638" s="87"/>
      <c r="MH638" s="87"/>
      <c r="MI638" s="87"/>
      <c r="MJ638" s="87"/>
      <c r="MK638" s="87"/>
      <c r="ML638" s="87"/>
      <c r="MM638" s="87"/>
      <c r="MN638" s="87"/>
      <c r="MO638" s="87"/>
      <c r="MP638" s="87"/>
      <c r="MQ638" s="87"/>
      <c r="MR638" s="87"/>
      <c r="MS638" s="87"/>
      <c r="MT638" s="87"/>
      <c r="MU638" s="87"/>
      <c r="MV638" s="87"/>
      <c r="MW638" s="87"/>
      <c r="MX638" s="87"/>
      <c r="MY638" s="87"/>
      <c r="MZ638" s="87" t="s">
        <v>1968</v>
      </c>
      <c r="NA638" s="87">
        <v>625</v>
      </c>
      <c r="NB638" s="87" t="s">
        <v>1969</v>
      </c>
      <c r="NC638" s="87" t="s">
        <v>1973</v>
      </c>
      <c r="ND638" s="87" t="s">
        <v>1974</v>
      </c>
      <c r="NE638" s="87" t="s">
        <v>1975</v>
      </c>
      <c r="NF638" s="87" t="s">
        <v>1976</v>
      </c>
      <c r="NG638" s="87" t="s">
        <v>1977</v>
      </c>
      <c r="NH638" s="87"/>
      <c r="NI638" s="87"/>
      <c r="NJ638" s="87"/>
      <c r="NK638" s="87" t="s">
        <v>2012</v>
      </c>
      <c r="NL638" s="87" t="s">
        <v>2013</v>
      </c>
      <c r="NM638" s="87" t="s">
        <v>1751</v>
      </c>
      <c r="NN638" s="87" t="s">
        <v>1972</v>
      </c>
      <c r="NO638" s="87"/>
      <c r="NP638" s="87"/>
      <c r="NQ638" s="87"/>
      <c r="NR638" s="87"/>
      <c r="NS638" s="87"/>
      <c r="NT638" s="87"/>
      <c r="NU638" s="87"/>
      <c r="NV638" s="87" t="s">
        <v>2007</v>
      </c>
      <c r="NW638" s="87" t="s">
        <v>1979</v>
      </c>
      <c r="NX638" s="87">
        <v>97</v>
      </c>
      <c r="NY638" s="87" t="s">
        <v>29</v>
      </c>
      <c r="NZ638" s="87" t="s">
        <v>29</v>
      </c>
      <c r="OA638" s="87"/>
      <c r="OB638" s="87"/>
      <c r="OC638" s="87">
        <v>32</v>
      </c>
      <c r="OD638" s="87"/>
      <c r="OE638" s="87"/>
      <c r="OF638" s="87"/>
      <c r="OG638" s="87"/>
      <c r="OH638" s="87"/>
      <c r="OI638" s="87"/>
      <c r="OJ638" s="87"/>
      <c r="OK638" s="87"/>
      <c r="OL638" s="87"/>
      <c r="OM638" s="87"/>
      <c r="ON638" s="87"/>
      <c r="OO638" s="87"/>
      <c r="OP638" s="87"/>
      <c r="OQ638" s="87"/>
      <c r="OR638" s="87"/>
      <c r="OS638" s="87"/>
      <c r="OT638" s="87" t="s">
        <v>1980</v>
      </c>
      <c r="OU638" s="144"/>
      <c r="OV638" s="87"/>
      <c r="OW638" s="87">
        <v>2009</v>
      </c>
      <c r="OX638" s="87">
        <v>2010</v>
      </c>
      <c r="OY638" s="87"/>
      <c r="OZ638" s="87"/>
      <c r="PA638" s="87" t="s">
        <v>1981</v>
      </c>
      <c r="PB638" s="140">
        <v>46133</v>
      </c>
      <c r="PC638" s="87"/>
      <c r="PD638" s="87"/>
      <c r="PE638" s="87"/>
      <c r="PF638" s="87"/>
      <c r="PG638" s="138"/>
    </row>
    <row r="639" spans="1:423">
      <c r="A639" t="s">
        <v>36</v>
      </c>
      <c r="B639" t="s">
        <v>1956</v>
      </c>
      <c r="C639" t="s">
        <v>1957</v>
      </c>
      <c r="D639" t="s">
        <v>245</v>
      </c>
      <c r="E639" t="s">
        <v>1993</v>
      </c>
      <c r="F639" t="s">
        <v>1961</v>
      </c>
      <c r="G639" t="s">
        <v>2</v>
      </c>
      <c r="H639" t="s">
        <v>30</v>
      </c>
      <c r="I639">
        <v>-8.8170000000000002</v>
      </c>
      <c r="J639">
        <v>-75.2</v>
      </c>
      <c r="L639" t="s">
        <v>1957</v>
      </c>
      <c r="M639" t="s">
        <v>245</v>
      </c>
      <c r="N639" t="s">
        <v>1960</v>
      </c>
      <c r="O639" t="s">
        <v>1961</v>
      </c>
      <c r="P639" t="s">
        <v>2</v>
      </c>
      <c r="Q639" t="s">
        <v>30</v>
      </c>
      <c r="R639">
        <v>-8.5169999999999995</v>
      </c>
      <c r="S639">
        <v>-74.766999999999996</v>
      </c>
      <c r="U639" t="s">
        <v>1957</v>
      </c>
      <c r="V639" t="s">
        <v>245</v>
      </c>
      <c r="W639" t="s">
        <v>1982</v>
      </c>
      <c r="X639" t="s">
        <v>1961</v>
      </c>
      <c r="Y639" t="s">
        <v>2</v>
      </c>
      <c r="Z639" t="s">
        <v>30</v>
      </c>
      <c r="AA639">
        <v>-8.3670000000000009</v>
      </c>
      <c r="AB639">
        <v>-74.7</v>
      </c>
      <c r="AV639" t="s">
        <v>1962</v>
      </c>
      <c r="AW639">
        <v>625</v>
      </c>
      <c r="AX639" t="s">
        <v>29</v>
      </c>
      <c r="AY639">
        <v>2</v>
      </c>
      <c r="AZ639" t="s">
        <v>1963</v>
      </c>
      <c r="BA639">
        <v>2009</v>
      </c>
      <c r="BB639">
        <v>2010</v>
      </c>
      <c r="BC639" t="s">
        <v>1964</v>
      </c>
      <c r="BD639" t="s">
        <v>2036</v>
      </c>
      <c r="BE639" t="s">
        <v>2008</v>
      </c>
      <c r="BF639" t="s">
        <v>299</v>
      </c>
      <c r="BG639" t="s">
        <v>1779</v>
      </c>
      <c r="BH639" t="s">
        <v>2009</v>
      </c>
      <c r="BI639" t="s">
        <v>29</v>
      </c>
      <c r="BJ639" t="s">
        <v>29</v>
      </c>
      <c r="BK639" t="s">
        <v>29</v>
      </c>
      <c r="EJ639" s="9"/>
      <c r="EK639" s="9"/>
      <c r="EL639" s="9"/>
      <c r="EM639" s="9"/>
      <c r="EN639" s="9"/>
      <c r="EO639" s="9"/>
      <c r="EP639" s="9"/>
      <c r="EQ639" s="9"/>
      <c r="ER639" s="9"/>
      <c r="ES639" s="9"/>
      <c r="ET639" s="9"/>
      <c r="EU639" s="9"/>
      <c r="EV639" s="9"/>
      <c r="EW639" s="9"/>
      <c r="EX639" s="9"/>
      <c r="EY639" s="9"/>
      <c r="EZ639" s="9"/>
      <c r="FA639" s="9"/>
      <c r="FB639" s="9"/>
      <c r="FC639" s="9"/>
      <c r="FD639" s="9"/>
      <c r="FE639" s="9"/>
      <c r="FF639" s="9"/>
      <c r="FG639" s="9"/>
      <c r="FH639" s="9"/>
      <c r="FI639" s="9"/>
      <c r="FJ639" s="9"/>
      <c r="FK639" s="9"/>
      <c r="FL639" s="9"/>
      <c r="FM639" s="9"/>
      <c r="FN639" s="9"/>
      <c r="FO639" s="9"/>
      <c r="FP639" s="9"/>
      <c r="FQ639" s="9"/>
      <c r="FR639" s="9"/>
      <c r="FS639" s="9"/>
      <c r="FT639" s="9"/>
      <c r="FU639" s="9"/>
      <c r="FV639" s="9"/>
      <c r="FW639" s="9"/>
      <c r="FX639" s="9"/>
      <c r="FY639" s="9"/>
      <c r="FZ639" s="9"/>
      <c r="GA639" s="9"/>
      <c r="GB639" s="9"/>
      <c r="GC639" s="9"/>
      <c r="GD639" s="9"/>
      <c r="GE639" s="9"/>
      <c r="GF639" s="9"/>
      <c r="GG639" s="9"/>
      <c r="GH639" s="9"/>
      <c r="GI639" s="9"/>
      <c r="GJ639" s="9"/>
      <c r="GK639" s="9"/>
      <c r="GL639" s="9"/>
      <c r="GM639" s="9"/>
      <c r="GN639" s="9"/>
      <c r="GO639" s="9"/>
      <c r="GP639" s="9"/>
      <c r="GQ639" s="9"/>
      <c r="GR639" s="9"/>
      <c r="GS639" s="9"/>
      <c r="GT639" s="9"/>
      <c r="GU639" s="9"/>
      <c r="GV639" s="9"/>
      <c r="GW639" s="9"/>
      <c r="GX639" s="9"/>
      <c r="GY639" s="9"/>
      <c r="GZ639" s="9"/>
      <c r="HA639" s="9"/>
      <c r="HB639" s="9"/>
      <c r="HC639" s="9"/>
      <c r="HD639" s="9"/>
      <c r="HE639" s="9"/>
      <c r="HF639" s="9"/>
      <c r="HG639" s="9"/>
      <c r="HH639" s="9"/>
      <c r="HI639" s="9"/>
      <c r="HJ639" s="9"/>
      <c r="HK639" s="9"/>
      <c r="HL639" s="9" t="s">
        <v>2010</v>
      </c>
      <c r="HM639" s="9" t="s">
        <v>232</v>
      </c>
      <c r="HZ639" s="58"/>
      <c r="JQ639" s="9"/>
      <c r="KA639" s="9"/>
      <c r="KS639" s="9"/>
      <c r="KT639" s="9"/>
      <c r="KU639" s="9"/>
      <c r="KV639" s="9"/>
      <c r="MZ639" t="s">
        <v>1968</v>
      </c>
      <c r="NA639">
        <v>625</v>
      </c>
      <c r="NB639" t="s">
        <v>1969</v>
      </c>
      <c r="NC639" t="s">
        <v>1973</v>
      </c>
      <c r="ND639" t="s">
        <v>1974</v>
      </c>
      <c r="NE639" t="s">
        <v>1975</v>
      </c>
      <c r="NF639" t="s">
        <v>1976</v>
      </c>
      <c r="NG639" t="s">
        <v>1977</v>
      </c>
      <c r="NK639" t="s">
        <v>2012</v>
      </c>
      <c r="NL639" t="s">
        <v>2013</v>
      </c>
      <c r="NM639" t="s">
        <v>1751</v>
      </c>
      <c r="NN639" t="s">
        <v>1972</v>
      </c>
      <c r="NV639" t="s">
        <v>2011</v>
      </c>
      <c r="NW639" t="s">
        <v>1979</v>
      </c>
      <c r="NX639">
        <v>64</v>
      </c>
      <c r="NY639" t="s">
        <v>29</v>
      </c>
      <c r="NZ639" t="s">
        <v>29</v>
      </c>
      <c r="OC639">
        <v>32</v>
      </c>
      <c r="OT639" t="s">
        <v>1980</v>
      </c>
      <c r="OU639" s="19"/>
      <c r="OW639">
        <v>2009</v>
      </c>
      <c r="OX639">
        <v>2010</v>
      </c>
      <c r="PA639" t="s">
        <v>1981</v>
      </c>
      <c r="PB639" s="58">
        <v>46133</v>
      </c>
    </row>
    <row r="640" spans="1:423">
      <c r="A640" s="87" t="s">
        <v>36</v>
      </c>
      <c r="B640" s="87" t="s">
        <v>1956</v>
      </c>
      <c r="C640" s="87" t="s">
        <v>1957</v>
      </c>
      <c r="D640" s="87" t="s">
        <v>1936</v>
      </c>
      <c r="E640" s="87" t="s">
        <v>1958</v>
      </c>
      <c r="F640" s="87" t="s">
        <v>1959</v>
      </c>
      <c r="G640" s="87" t="s">
        <v>2</v>
      </c>
      <c r="H640" s="87" t="s">
        <v>30</v>
      </c>
      <c r="I640" s="87">
        <v>-8.9</v>
      </c>
      <c r="J640" s="87">
        <v>-74.983000000000004</v>
      </c>
      <c r="K640" s="87"/>
      <c r="L640" s="87" t="s">
        <v>1957</v>
      </c>
      <c r="M640" s="87" t="s">
        <v>245</v>
      </c>
      <c r="N640" s="87" t="s">
        <v>1960</v>
      </c>
      <c r="O640" s="87" t="s">
        <v>1961</v>
      </c>
      <c r="P640" s="87" t="s">
        <v>2</v>
      </c>
      <c r="Q640" s="87" t="s">
        <v>30</v>
      </c>
      <c r="R640" s="87">
        <v>-8.5169999999999995</v>
      </c>
      <c r="S640" s="87">
        <v>-74.766999999999996</v>
      </c>
      <c r="T640" s="87"/>
      <c r="U640" s="87"/>
      <c r="V640" s="87"/>
      <c r="W640" s="87"/>
      <c r="X640" s="87"/>
      <c r="Y640" s="87"/>
      <c r="Z640" s="87"/>
      <c r="AA640" s="87"/>
      <c r="AB640" s="87"/>
      <c r="AC640" s="87"/>
      <c r="AD640" s="87"/>
      <c r="AE640" s="87"/>
      <c r="AF640" s="87"/>
      <c r="AG640" s="87"/>
      <c r="AH640" s="87"/>
      <c r="AI640" s="87"/>
      <c r="AJ640" s="87"/>
      <c r="AK640" s="87"/>
      <c r="AL640" s="87"/>
      <c r="AM640" s="87"/>
      <c r="AN640" s="87"/>
      <c r="AO640" s="87"/>
      <c r="AP640" s="87"/>
      <c r="AQ640" s="87"/>
      <c r="AR640" s="87"/>
      <c r="AS640" s="87"/>
      <c r="AT640" s="87"/>
      <c r="AU640" s="87"/>
      <c r="AV640" s="87" t="s">
        <v>1962</v>
      </c>
      <c r="AW640" s="87">
        <v>625</v>
      </c>
      <c r="AX640" s="87" t="s">
        <v>29</v>
      </c>
      <c r="AY640" s="87">
        <v>2</v>
      </c>
      <c r="AZ640" s="87" t="s">
        <v>1963</v>
      </c>
      <c r="BA640" s="87">
        <v>2009</v>
      </c>
      <c r="BB640" s="87">
        <v>2010</v>
      </c>
      <c r="BC640" s="87" t="s">
        <v>1964</v>
      </c>
      <c r="BD640" s="87" t="s">
        <v>1966</v>
      </c>
      <c r="BE640" s="87" t="s">
        <v>1965</v>
      </c>
      <c r="BF640" s="87" t="s">
        <v>39</v>
      </c>
      <c r="BG640" s="87" t="s">
        <v>1743</v>
      </c>
      <c r="BH640" s="87"/>
      <c r="BI640" s="87"/>
      <c r="BJ640" s="87"/>
      <c r="BK640" s="87"/>
      <c r="BL640" s="87"/>
      <c r="BM640" s="87"/>
      <c r="BN640" s="87"/>
      <c r="BO640" s="87"/>
      <c r="BP640" s="87"/>
      <c r="BQ640" s="87"/>
      <c r="BR640" s="87"/>
      <c r="BS640" s="87"/>
      <c r="BT640" s="87"/>
      <c r="BU640" s="87"/>
      <c r="BV640" s="87"/>
      <c r="BW640" s="87"/>
      <c r="BX640" s="87"/>
      <c r="BY640" s="87"/>
      <c r="BZ640" s="87"/>
      <c r="CA640" s="87"/>
      <c r="CB640" s="87"/>
      <c r="CC640" s="87"/>
      <c r="CD640" s="87"/>
      <c r="CE640" s="87"/>
      <c r="CF640" s="87"/>
      <c r="CG640" s="87"/>
      <c r="CH640" s="87"/>
      <c r="CI640" s="87"/>
      <c r="CJ640" s="87"/>
      <c r="CK640" s="87"/>
      <c r="CL640" s="87"/>
      <c r="CM640" s="87"/>
      <c r="CN640" s="87"/>
      <c r="CO640" s="87"/>
      <c r="CP640" s="87"/>
      <c r="CQ640" s="87"/>
      <c r="CR640" s="87"/>
      <c r="CS640" s="87"/>
      <c r="CT640" s="87"/>
      <c r="CU640" s="87"/>
      <c r="CV640" s="87"/>
      <c r="CW640" s="87"/>
      <c r="CX640" s="87"/>
      <c r="CY640" s="87"/>
      <c r="CZ640" s="87"/>
      <c r="DA640" s="87"/>
      <c r="DB640" s="87"/>
      <c r="DC640" s="87"/>
      <c r="DD640" s="87"/>
      <c r="DE640" s="87"/>
      <c r="DF640" s="87"/>
      <c r="DG640" s="87"/>
      <c r="DH640" s="87"/>
      <c r="DI640" s="87"/>
      <c r="DJ640" s="87"/>
      <c r="DK640" s="87"/>
      <c r="DL640" s="87"/>
      <c r="DM640" s="87"/>
      <c r="DN640" s="87"/>
      <c r="DO640" s="87"/>
      <c r="DP640" s="87"/>
      <c r="DQ640" s="87"/>
      <c r="DR640" s="87"/>
      <c r="DS640" s="87"/>
      <c r="DT640" s="87"/>
      <c r="DU640" s="87"/>
      <c r="DV640" s="87"/>
      <c r="DW640" s="87"/>
      <c r="DX640" s="87"/>
      <c r="DY640" s="87"/>
      <c r="DZ640" s="87"/>
      <c r="EA640" s="87"/>
      <c r="EB640" s="87"/>
      <c r="EC640" s="87"/>
      <c r="ED640" s="87"/>
      <c r="EE640" s="87"/>
      <c r="EF640" s="87"/>
      <c r="EG640" s="87"/>
      <c r="EH640" s="87"/>
      <c r="EI640" s="87"/>
      <c r="EJ640" s="139"/>
      <c r="EK640" s="139"/>
      <c r="EL640" s="139"/>
      <c r="EM640" s="139"/>
      <c r="EN640" s="139"/>
      <c r="EO640" s="139"/>
      <c r="EP640" s="139"/>
      <c r="EQ640" s="139"/>
      <c r="ER640" s="139"/>
      <c r="ES640" s="139"/>
      <c r="ET640" s="139"/>
      <c r="EU640" s="139"/>
      <c r="EV640" s="139"/>
      <c r="EW640" s="139"/>
      <c r="EX640" s="139"/>
      <c r="EY640" s="139"/>
      <c r="EZ640" s="139"/>
      <c r="FA640" s="139"/>
      <c r="FB640" s="139"/>
      <c r="FC640" s="139"/>
      <c r="FD640" s="139"/>
      <c r="FE640" s="139"/>
      <c r="FF640" s="139"/>
      <c r="FG640" s="139"/>
      <c r="FH640" s="139"/>
      <c r="FI640" s="139"/>
      <c r="FJ640" s="139"/>
      <c r="FK640" s="139"/>
      <c r="FL640" s="139"/>
      <c r="FM640" s="139"/>
      <c r="FN640" s="139"/>
      <c r="FO640" s="139"/>
      <c r="FP640" s="139"/>
      <c r="FQ640" s="139"/>
      <c r="FR640" s="139"/>
      <c r="FS640" s="139"/>
      <c r="FT640" s="139"/>
      <c r="FU640" s="139"/>
      <c r="FV640" s="139"/>
      <c r="FW640" s="139"/>
      <c r="FX640" s="139"/>
      <c r="FY640" s="139"/>
      <c r="FZ640" s="139"/>
      <c r="GA640" s="139"/>
      <c r="GB640" s="139"/>
      <c r="GC640" s="139"/>
      <c r="GD640" s="139"/>
      <c r="GE640" s="139"/>
      <c r="GF640" s="139"/>
      <c r="GG640" s="139"/>
      <c r="GH640" s="139"/>
      <c r="GI640" s="139"/>
      <c r="GJ640" s="139"/>
      <c r="GK640" s="139"/>
      <c r="GL640" s="139"/>
      <c r="GM640" s="139"/>
      <c r="GN640" s="139"/>
      <c r="GO640" s="139"/>
      <c r="GP640" s="139"/>
      <c r="GQ640" s="139"/>
      <c r="GR640" s="139"/>
      <c r="GS640" s="139"/>
      <c r="GT640" s="139"/>
      <c r="GU640" s="139"/>
      <c r="GV640" s="139"/>
      <c r="GW640" s="139"/>
      <c r="GX640" s="139"/>
      <c r="GY640" s="139"/>
      <c r="GZ640" s="139"/>
      <c r="HA640" s="139"/>
      <c r="HB640" s="139"/>
      <c r="HC640" s="139"/>
      <c r="HD640" s="139"/>
      <c r="HE640" s="139"/>
      <c r="HF640" s="139"/>
      <c r="HG640" s="139"/>
      <c r="HH640" s="139"/>
      <c r="HI640" s="139"/>
      <c r="HJ640" s="139"/>
      <c r="HK640" s="139"/>
      <c r="HL640" s="139" t="s">
        <v>1967</v>
      </c>
      <c r="HM640" s="139" t="s">
        <v>232</v>
      </c>
      <c r="HN640" s="87"/>
      <c r="HO640" s="87"/>
      <c r="HP640" s="87"/>
      <c r="HQ640" s="87"/>
      <c r="HR640" s="87"/>
      <c r="HS640" s="87"/>
      <c r="HT640" s="87"/>
      <c r="HU640" s="87"/>
      <c r="HV640" s="87"/>
      <c r="HW640" s="87"/>
      <c r="HX640" s="87"/>
      <c r="HY640" s="87"/>
      <c r="HZ640" s="140"/>
      <c r="IA640" s="87"/>
      <c r="IB640" s="87"/>
      <c r="IC640" s="87"/>
      <c r="ID640" s="87"/>
      <c r="IE640" s="87"/>
      <c r="IF640" s="87"/>
      <c r="IG640" s="87"/>
      <c r="IH640" s="87"/>
      <c r="II640" s="87"/>
      <c r="IJ640" s="87"/>
      <c r="IK640" s="87"/>
      <c r="IL640" s="87"/>
      <c r="IM640" s="87"/>
      <c r="IN640" s="87"/>
      <c r="IO640" s="87"/>
      <c r="IP640" s="87"/>
      <c r="IQ640" s="87"/>
      <c r="IR640" s="87"/>
      <c r="IS640" s="87"/>
      <c r="IT640" s="87"/>
      <c r="IU640" s="87"/>
      <c r="IV640" s="87"/>
      <c r="IW640" s="87"/>
      <c r="IX640" s="87"/>
      <c r="IY640" s="87"/>
      <c r="IZ640" s="87"/>
      <c r="JA640" s="87">
        <v>20</v>
      </c>
      <c r="JB640" s="87">
        <v>95</v>
      </c>
      <c r="JC640" s="87"/>
      <c r="JD640" s="87"/>
      <c r="JE640" s="87"/>
      <c r="JF640" s="87"/>
      <c r="JG640" s="87"/>
      <c r="JH640" s="87"/>
      <c r="JI640" s="87"/>
      <c r="JJ640" s="87"/>
      <c r="JK640" s="87"/>
      <c r="JL640" s="87"/>
      <c r="JM640" s="87"/>
      <c r="JN640" s="87"/>
      <c r="JO640" s="87"/>
      <c r="JP640" s="87"/>
      <c r="JQ640" s="146"/>
      <c r="JR640" s="87"/>
      <c r="JS640" s="87"/>
      <c r="JT640" s="87"/>
      <c r="JU640" s="87"/>
      <c r="JV640" s="87"/>
      <c r="JW640" s="87"/>
      <c r="JX640" s="87"/>
      <c r="JY640" s="87"/>
      <c r="JZ640" s="87"/>
      <c r="KA640" s="146"/>
      <c r="KB640" s="87"/>
      <c r="KC640" s="87"/>
      <c r="KD640" s="87"/>
      <c r="KE640" s="87"/>
      <c r="KF640" s="87"/>
      <c r="KG640" s="87"/>
      <c r="KH640" s="87"/>
      <c r="KI640" s="87"/>
      <c r="KJ640" s="87"/>
      <c r="KK640" s="87"/>
      <c r="KL640" s="87"/>
      <c r="KM640" s="87"/>
      <c r="KN640" s="87"/>
      <c r="KO640" s="87"/>
      <c r="KP640" s="87"/>
      <c r="KQ640" s="87"/>
      <c r="KR640" s="87"/>
      <c r="KS640" s="146"/>
      <c r="KT640" s="146"/>
      <c r="KU640" s="146"/>
      <c r="KV640" s="146"/>
      <c r="KW640" s="87"/>
      <c r="KX640" s="87"/>
      <c r="KY640" s="87"/>
      <c r="KZ640" s="87"/>
      <c r="LA640" s="87"/>
      <c r="LB640" s="87"/>
      <c r="LC640" s="87"/>
      <c r="LD640" s="87"/>
      <c r="LE640" s="87"/>
      <c r="LF640" s="87"/>
      <c r="LG640" s="87"/>
      <c r="LH640" s="87"/>
      <c r="LI640" s="87"/>
      <c r="LJ640" s="87"/>
      <c r="LK640" s="87"/>
      <c r="LL640" s="87"/>
      <c r="LM640" s="87"/>
      <c r="LN640" s="87"/>
      <c r="LO640" s="87"/>
      <c r="LP640" s="87"/>
      <c r="LQ640" s="87"/>
      <c r="LR640" s="87"/>
      <c r="LS640" s="87"/>
      <c r="LT640" s="87"/>
      <c r="LU640" s="87"/>
      <c r="LV640" s="87"/>
      <c r="LW640" s="87"/>
      <c r="LX640" s="87"/>
      <c r="LY640" s="87"/>
      <c r="LZ640" s="87"/>
      <c r="MA640" s="87"/>
      <c r="MB640" s="87"/>
      <c r="MC640" s="87"/>
      <c r="MD640" s="87"/>
      <c r="ME640" s="87"/>
      <c r="MF640" s="87"/>
      <c r="MG640" s="87"/>
      <c r="MH640" s="87"/>
      <c r="MI640" s="87"/>
      <c r="MJ640" s="87"/>
      <c r="MK640" s="87"/>
      <c r="ML640" s="87"/>
      <c r="MM640" s="87"/>
      <c r="MN640" s="87"/>
      <c r="MO640" s="87"/>
      <c r="MP640" s="87"/>
      <c r="MQ640" s="87"/>
      <c r="MR640" s="87"/>
      <c r="MS640" s="87"/>
      <c r="MT640" s="87"/>
      <c r="MU640" s="87"/>
      <c r="MV640" s="87"/>
      <c r="MW640" s="87"/>
      <c r="MX640" s="87"/>
      <c r="MY640" s="87"/>
      <c r="MZ640" s="87" t="s">
        <v>1968</v>
      </c>
      <c r="NA640" s="87">
        <v>625</v>
      </c>
      <c r="NB640" s="87" t="s">
        <v>1969</v>
      </c>
      <c r="NC640" s="87" t="s">
        <v>1973</v>
      </c>
      <c r="ND640" s="87" t="s">
        <v>1974</v>
      </c>
      <c r="NE640" s="87" t="s">
        <v>1975</v>
      </c>
      <c r="NF640" s="87" t="s">
        <v>1976</v>
      </c>
      <c r="NG640" s="87" t="s">
        <v>1977</v>
      </c>
      <c r="NH640" s="87"/>
      <c r="NI640" s="87"/>
      <c r="NJ640" s="87"/>
      <c r="NK640" s="87" t="s">
        <v>2014</v>
      </c>
      <c r="NL640" s="87" t="s">
        <v>2015</v>
      </c>
      <c r="NM640" s="87" t="s">
        <v>2016</v>
      </c>
      <c r="NN640" s="87" t="s">
        <v>1972</v>
      </c>
      <c r="NO640" s="87"/>
      <c r="NP640" s="87"/>
      <c r="NQ640" s="87"/>
      <c r="NR640" s="87"/>
      <c r="NS640" s="87"/>
      <c r="NT640" s="87"/>
      <c r="NU640" s="87"/>
      <c r="NV640" s="87" t="s">
        <v>1978</v>
      </c>
      <c r="NW640" s="87" t="s">
        <v>1979</v>
      </c>
      <c r="NX640" s="87">
        <v>853</v>
      </c>
      <c r="NY640" s="87" t="s">
        <v>29</v>
      </c>
      <c r="NZ640" s="87" t="s">
        <v>29</v>
      </c>
      <c r="OA640" s="87"/>
      <c r="OB640" s="87"/>
      <c r="OC640" s="87">
        <v>8</v>
      </c>
      <c r="OD640" s="87"/>
      <c r="OE640" s="87"/>
      <c r="OF640" s="87"/>
      <c r="OG640" s="87"/>
      <c r="OH640" s="87"/>
      <c r="OI640" s="87"/>
      <c r="OJ640" s="87"/>
      <c r="OK640" s="87"/>
      <c r="OL640" s="87"/>
      <c r="OM640" s="87"/>
      <c r="ON640" s="87"/>
      <c r="OO640" s="87"/>
      <c r="OP640" s="87"/>
      <c r="OQ640" s="87"/>
      <c r="OR640" s="87"/>
      <c r="OS640" s="87"/>
      <c r="OT640" s="87" t="s">
        <v>1980</v>
      </c>
      <c r="OU640" s="144"/>
      <c r="OV640" s="87"/>
      <c r="OW640" s="87">
        <v>2009</v>
      </c>
      <c r="OX640" s="87">
        <v>2010</v>
      </c>
      <c r="OY640" s="87"/>
      <c r="OZ640" s="87"/>
      <c r="PA640" s="87" t="s">
        <v>1981</v>
      </c>
      <c r="PB640" s="140">
        <v>46133</v>
      </c>
      <c r="PC640" s="87"/>
      <c r="PD640" s="87"/>
      <c r="PE640" s="87"/>
      <c r="PF640" s="87"/>
      <c r="PG640" s="138"/>
    </row>
    <row r="641" spans="1:423">
      <c r="A641" t="s">
        <v>36</v>
      </c>
      <c r="B641" t="s">
        <v>1956</v>
      </c>
      <c r="C641" t="s">
        <v>1957</v>
      </c>
      <c r="D641" t="s">
        <v>245</v>
      </c>
      <c r="E641" t="s">
        <v>1960</v>
      </c>
      <c r="F641" t="s">
        <v>1961</v>
      </c>
      <c r="G641" t="s">
        <v>2</v>
      </c>
      <c r="H641" t="s">
        <v>30</v>
      </c>
      <c r="I641">
        <v>-8.5169999999999995</v>
      </c>
      <c r="J641">
        <v>-74.766999999999996</v>
      </c>
      <c r="L641" t="s">
        <v>1957</v>
      </c>
      <c r="M641" t="s">
        <v>245</v>
      </c>
      <c r="N641" t="s">
        <v>1982</v>
      </c>
      <c r="O641" t="s">
        <v>1961</v>
      </c>
      <c r="P641" t="s">
        <v>2</v>
      </c>
      <c r="Q641" t="s">
        <v>30</v>
      </c>
      <c r="R641">
        <v>-8.3670000000000009</v>
      </c>
      <c r="S641">
        <v>-74.7</v>
      </c>
      <c r="AV641" t="s">
        <v>1962</v>
      </c>
      <c r="AW641">
        <v>625</v>
      </c>
      <c r="AX641" t="s">
        <v>29</v>
      </c>
      <c r="AY641">
        <v>2</v>
      </c>
      <c r="AZ641" t="s">
        <v>1963</v>
      </c>
      <c r="BA641">
        <v>2009</v>
      </c>
      <c r="BB641">
        <v>2010</v>
      </c>
      <c r="BC641" t="s">
        <v>1964</v>
      </c>
      <c r="BD641" t="s">
        <v>1990</v>
      </c>
      <c r="BE641" t="s">
        <v>1984</v>
      </c>
      <c r="BF641" t="s">
        <v>64</v>
      </c>
      <c r="BG641" t="s">
        <v>1233</v>
      </c>
      <c r="BH641" t="s">
        <v>1985</v>
      </c>
      <c r="BI641" t="s">
        <v>29</v>
      </c>
      <c r="BJ641" t="s">
        <v>29</v>
      </c>
      <c r="BK641" t="s">
        <v>29</v>
      </c>
      <c r="EE641" t="s">
        <v>1986</v>
      </c>
      <c r="EF641" t="s">
        <v>1987</v>
      </c>
      <c r="EG641">
        <v>0.24</v>
      </c>
      <c r="EH641" t="s">
        <v>1990</v>
      </c>
      <c r="EJ641" s="9"/>
      <c r="EK641" s="9"/>
      <c r="EL641" s="9"/>
      <c r="EM641" s="9"/>
      <c r="EN641" s="9"/>
      <c r="EO641" s="9"/>
      <c r="EP641" s="9"/>
      <c r="EQ641" s="9"/>
      <c r="ER641" s="9"/>
      <c r="ES641" s="9"/>
      <c r="ET641" s="9"/>
      <c r="EU641" s="9"/>
      <c r="EV641" s="9"/>
      <c r="EW641" s="9"/>
      <c r="EX641" s="9"/>
      <c r="EY641" s="9"/>
      <c r="EZ641" s="9"/>
      <c r="FA641" s="9"/>
      <c r="FB641" s="9"/>
      <c r="FC641" s="9"/>
      <c r="FD641" s="9"/>
      <c r="FE641" s="9"/>
      <c r="FF641" s="9"/>
      <c r="FG641" s="9"/>
      <c r="FH641" s="9"/>
      <c r="FI641" s="9"/>
      <c r="FJ641" s="9"/>
      <c r="FK641" s="9"/>
      <c r="FL641" s="9"/>
      <c r="FM641" s="9"/>
      <c r="FN641" s="9"/>
      <c r="FO641" s="9"/>
      <c r="FP641" s="9"/>
      <c r="FQ641" s="9"/>
      <c r="FR641" s="9"/>
      <c r="FS641" s="9"/>
      <c r="FT641" s="9"/>
      <c r="FU641" s="9"/>
      <c r="FV641" s="9"/>
      <c r="FW641" s="9"/>
      <c r="FX641" s="9"/>
      <c r="FY641" s="9"/>
      <c r="FZ641" s="9"/>
      <c r="GA641" s="9"/>
      <c r="GB641" s="9"/>
      <c r="GC641" s="9"/>
      <c r="GD641" s="9"/>
      <c r="GE641" s="9"/>
      <c r="GF641" s="9"/>
      <c r="GG641" s="9"/>
      <c r="GH641" s="9"/>
      <c r="GI641" s="9"/>
      <c r="GJ641" s="9"/>
      <c r="GK641" s="9"/>
      <c r="GL641" s="9"/>
      <c r="GM641" s="9"/>
      <c r="GN641" s="9"/>
      <c r="GO641" s="9"/>
      <c r="GP641" s="9"/>
      <c r="GQ641" s="9"/>
      <c r="GR641" s="9"/>
      <c r="GS641" s="9"/>
      <c r="GT641" s="9"/>
      <c r="GU641" s="9"/>
      <c r="GV641" s="9"/>
      <c r="GW641" s="9"/>
      <c r="GX641" s="9"/>
      <c r="GY641" s="9"/>
      <c r="GZ641" s="9"/>
      <c r="HA641" s="9"/>
      <c r="HB641" s="9"/>
      <c r="HC641" s="9"/>
      <c r="HD641" s="9"/>
      <c r="HE641" s="9"/>
      <c r="HF641" s="9"/>
      <c r="HG641" s="9"/>
      <c r="HH641" s="9"/>
      <c r="HI641" s="9"/>
      <c r="HJ641" s="9"/>
      <c r="HK641" s="9"/>
      <c r="HL641" s="9" t="s">
        <v>1988</v>
      </c>
      <c r="HM641" s="9" t="s">
        <v>232</v>
      </c>
      <c r="HZ641" s="58"/>
      <c r="IW641" t="s">
        <v>1989</v>
      </c>
      <c r="IX641" t="s">
        <v>1990</v>
      </c>
      <c r="IY641" t="s">
        <v>1991</v>
      </c>
      <c r="JA641">
        <v>6</v>
      </c>
      <c r="JB641">
        <v>77.5</v>
      </c>
      <c r="JC641">
        <v>75</v>
      </c>
      <c r="JD641">
        <v>80</v>
      </c>
      <c r="JE641">
        <v>7.5</v>
      </c>
      <c r="JF641">
        <v>6</v>
      </c>
      <c r="JG641">
        <v>9</v>
      </c>
      <c r="JQ641" s="9"/>
      <c r="KA641" s="9"/>
      <c r="KS641" s="9"/>
      <c r="KT641" s="9"/>
      <c r="KU641" s="9"/>
      <c r="KV641" s="9"/>
      <c r="MZ641" t="s">
        <v>1968</v>
      </c>
      <c r="NA641">
        <v>625</v>
      </c>
      <c r="NB641" t="s">
        <v>1969</v>
      </c>
      <c r="NC641" t="s">
        <v>1973</v>
      </c>
      <c r="ND641" t="s">
        <v>1974</v>
      </c>
      <c r="NE641" t="s">
        <v>1975</v>
      </c>
      <c r="NF641" t="s">
        <v>1976</v>
      </c>
      <c r="NG641" t="s">
        <v>1977</v>
      </c>
      <c r="NK641" t="s">
        <v>2014</v>
      </c>
      <c r="NL641" t="s">
        <v>2015</v>
      </c>
      <c r="NM641" t="s">
        <v>2016</v>
      </c>
      <c r="NN641" t="s">
        <v>1972</v>
      </c>
      <c r="NV641" t="s">
        <v>1992</v>
      </c>
      <c r="NW641" t="s">
        <v>1979</v>
      </c>
      <c r="NX641">
        <v>594</v>
      </c>
      <c r="NY641" t="s">
        <v>29</v>
      </c>
      <c r="NZ641" t="s">
        <v>29</v>
      </c>
      <c r="OC641">
        <v>31</v>
      </c>
      <c r="OT641" t="s">
        <v>1980</v>
      </c>
      <c r="OU641" s="19"/>
      <c r="OW641">
        <v>2009</v>
      </c>
      <c r="OX641">
        <v>2010</v>
      </c>
      <c r="PA641" t="s">
        <v>1981</v>
      </c>
      <c r="PB641" s="58">
        <v>46133</v>
      </c>
    </row>
    <row r="642" spans="1:423">
      <c r="A642" s="87" t="s">
        <v>36</v>
      </c>
      <c r="B642" s="87" t="s">
        <v>1956</v>
      </c>
      <c r="C642" s="87" t="s">
        <v>1957</v>
      </c>
      <c r="D642" s="87" t="s">
        <v>245</v>
      </c>
      <c r="E642" s="87" t="s">
        <v>1993</v>
      </c>
      <c r="F642" s="87" t="s">
        <v>1961</v>
      </c>
      <c r="G642" s="87" t="s">
        <v>2</v>
      </c>
      <c r="H642" s="87" t="s">
        <v>30</v>
      </c>
      <c r="I642" s="87">
        <v>-8.8170000000000002</v>
      </c>
      <c r="J642" s="87">
        <v>-75.2</v>
      </c>
      <c r="K642" s="87"/>
      <c r="L642" s="87" t="s">
        <v>1957</v>
      </c>
      <c r="M642" s="87" t="s">
        <v>245</v>
      </c>
      <c r="N642" s="87" t="s">
        <v>1960</v>
      </c>
      <c r="O642" s="87" t="s">
        <v>1961</v>
      </c>
      <c r="P642" s="87" t="s">
        <v>2</v>
      </c>
      <c r="Q642" s="87" t="s">
        <v>30</v>
      </c>
      <c r="R642" s="87">
        <v>-8.5169999999999995</v>
      </c>
      <c r="S642" s="87">
        <v>-74.766999999999996</v>
      </c>
      <c r="T642" s="87"/>
      <c r="U642" s="87"/>
      <c r="V642" s="87"/>
      <c r="W642" s="87"/>
      <c r="X642" s="87"/>
      <c r="Y642" s="87"/>
      <c r="Z642" s="87"/>
      <c r="AA642" s="87"/>
      <c r="AB642" s="87"/>
      <c r="AC642" s="87"/>
      <c r="AD642" s="87"/>
      <c r="AE642" s="87"/>
      <c r="AF642" s="87"/>
      <c r="AG642" s="87"/>
      <c r="AH642" s="87"/>
      <c r="AI642" s="87"/>
      <c r="AJ642" s="87"/>
      <c r="AK642" s="87"/>
      <c r="AL642" s="87"/>
      <c r="AM642" s="87"/>
      <c r="AN642" s="87"/>
      <c r="AO642" s="87"/>
      <c r="AP642" s="87"/>
      <c r="AQ642" s="87"/>
      <c r="AR642" s="87"/>
      <c r="AS642" s="87"/>
      <c r="AT642" s="87"/>
      <c r="AU642" s="87"/>
      <c r="AV642" s="87" t="s">
        <v>1962</v>
      </c>
      <c r="AW642" s="87">
        <v>625</v>
      </c>
      <c r="AX642" s="87" t="s">
        <v>29</v>
      </c>
      <c r="AY642" s="87">
        <v>2</v>
      </c>
      <c r="AZ642" s="87" t="s">
        <v>1963</v>
      </c>
      <c r="BA642" s="87">
        <v>2009</v>
      </c>
      <c r="BB642" s="87">
        <v>2010</v>
      </c>
      <c r="BC642" s="87" t="s">
        <v>1964</v>
      </c>
      <c r="BD642" s="87" t="s">
        <v>1983</v>
      </c>
      <c r="BE642" s="87" t="s">
        <v>1994</v>
      </c>
      <c r="BF642" s="87" t="s">
        <v>57</v>
      </c>
      <c r="BG642" s="87" t="s">
        <v>1233</v>
      </c>
      <c r="BH642" s="87" t="s">
        <v>1995</v>
      </c>
      <c r="BI642" s="87" t="s">
        <v>29</v>
      </c>
      <c r="BJ642" s="87" t="s">
        <v>29</v>
      </c>
      <c r="BK642" s="87" t="s">
        <v>29</v>
      </c>
      <c r="BL642" s="87"/>
      <c r="BM642" s="87"/>
      <c r="BN642" s="87"/>
      <c r="BO642" s="87"/>
      <c r="BP642" s="87"/>
      <c r="BQ642" s="87"/>
      <c r="BR642" s="87"/>
      <c r="BS642" s="87"/>
      <c r="BT642" s="87"/>
      <c r="BU642" s="87"/>
      <c r="BV642" s="87"/>
      <c r="BW642" s="87"/>
      <c r="BX642" s="87"/>
      <c r="BY642" s="87"/>
      <c r="BZ642" s="87"/>
      <c r="CA642" s="87"/>
      <c r="CB642" s="87"/>
      <c r="CC642" s="87"/>
      <c r="CD642" s="87"/>
      <c r="CE642" s="87"/>
      <c r="CF642" s="87"/>
      <c r="CG642" s="87"/>
      <c r="CH642" s="87"/>
      <c r="CI642" s="87"/>
      <c r="CJ642" s="87"/>
      <c r="CK642" s="87"/>
      <c r="CL642" s="87"/>
      <c r="CM642" s="87"/>
      <c r="CN642" s="87"/>
      <c r="CO642" s="87"/>
      <c r="CP642" s="87"/>
      <c r="CQ642" s="87"/>
      <c r="CR642" s="87"/>
      <c r="CS642" s="87"/>
      <c r="CT642" s="87"/>
      <c r="CU642" s="87"/>
      <c r="CV642" s="87"/>
      <c r="CW642" s="87"/>
      <c r="CX642" s="87"/>
      <c r="CY642" s="87"/>
      <c r="CZ642" s="87"/>
      <c r="DA642" s="87"/>
      <c r="DB642" s="87"/>
      <c r="DC642" s="87"/>
      <c r="DD642" s="87"/>
      <c r="DE642" s="87"/>
      <c r="DF642" s="87"/>
      <c r="DG642" s="87"/>
      <c r="DH642" s="87"/>
      <c r="DI642" s="87"/>
      <c r="DJ642" s="87"/>
      <c r="DK642" s="87"/>
      <c r="DL642" s="87"/>
      <c r="DM642" s="87"/>
      <c r="DN642" s="87"/>
      <c r="DO642" s="87"/>
      <c r="DP642" s="87"/>
      <c r="DQ642" s="87"/>
      <c r="DR642" s="87"/>
      <c r="DS642" s="87"/>
      <c r="DT642" s="87"/>
      <c r="DU642" s="87"/>
      <c r="DV642" s="87"/>
      <c r="DW642" s="87"/>
      <c r="DX642" s="87"/>
      <c r="DY642" s="87"/>
      <c r="DZ642" s="87"/>
      <c r="EA642" s="87"/>
      <c r="EB642" s="87"/>
      <c r="EC642" s="87"/>
      <c r="ED642" s="87"/>
      <c r="EE642" s="87" t="s">
        <v>1996</v>
      </c>
      <c r="EF642" s="87" t="s">
        <v>1987</v>
      </c>
      <c r="EG642" s="87">
        <v>0.24</v>
      </c>
      <c r="EH642" s="87" t="s">
        <v>2037</v>
      </c>
      <c r="EI642" s="87" t="s">
        <v>1997</v>
      </c>
      <c r="EJ642" s="139" t="s">
        <v>1987</v>
      </c>
      <c r="EK642" s="139">
        <v>0.24</v>
      </c>
      <c r="EL642" s="139"/>
      <c r="EM642" s="139" t="s">
        <v>1998</v>
      </c>
      <c r="EN642" s="139" t="s">
        <v>1987</v>
      </c>
      <c r="EO642" s="139" t="s">
        <v>29</v>
      </c>
      <c r="EP642" s="139"/>
      <c r="EQ642" s="139" t="s">
        <v>1999</v>
      </c>
      <c r="ER642" s="139" t="s">
        <v>1987</v>
      </c>
      <c r="ES642" s="139" t="s">
        <v>29</v>
      </c>
      <c r="ET642" s="139"/>
      <c r="EU642" s="139" t="s">
        <v>2000</v>
      </c>
      <c r="EV642" s="139" t="s">
        <v>1987</v>
      </c>
      <c r="EW642" s="139" t="s">
        <v>29</v>
      </c>
      <c r="EX642" s="139"/>
      <c r="EY642" s="139"/>
      <c r="EZ642" s="139"/>
      <c r="FA642" s="139"/>
      <c r="FB642" s="139"/>
      <c r="FC642" s="139"/>
      <c r="FD642" s="139"/>
      <c r="FE642" s="139"/>
      <c r="FF642" s="139"/>
      <c r="FG642" s="139"/>
      <c r="FH642" s="139"/>
      <c r="FI642" s="139"/>
      <c r="FJ642" s="139"/>
      <c r="FK642" s="139"/>
      <c r="FL642" s="139"/>
      <c r="FM642" s="139"/>
      <c r="FN642" s="139"/>
      <c r="FO642" s="139"/>
      <c r="FP642" s="139"/>
      <c r="FQ642" s="139"/>
      <c r="FR642" s="139"/>
      <c r="FS642" s="139"/>
      <c r="FT642" s="139"/>
      <c r="FU642" s="139"/>
      <c r="FV642" s="139"/>
      <c r="FW642" s="139"/>
      <c r="FX642" s="139"/>
      <c r="FY642" s="139"/>
      <c r="FZ642" s="139"/>
      <c r="GA642" s="139"/>
      <c r="GB642" s="139"/>
      <c r="GC642" s="139"/>
      <c r="GD642" s="139"/>
      <c r="GE642" s="139"/>
      <c r="GF642" s="139"/>
      <c r="GG642" s="139"/>
      <c r="GH642" s="139"/>
      <c r="GI642" s="139"/>
      <c r="GJ642" s="139"/>
      <c r="GK642" s="139"/>
      <c r="GL642" s="139"/>
      <c r="GM642" s="139"/>
      <c r="GN642" s="139"/>
      <c r="GO642" s="139"/>
      <c r="GP642" s="139"/>
      <c r="GQ642" s="139"/>
      <c r="GR642" s="139"/>
      <c r="GS642" s="139"/>
      <c r="GT642" s="139"/>
      <c r="GU642" s="139"/>
      <c r="GV642" s="139"/>
      <c r="GW642" s="139"/>
      <c r="GX642" s="139"/>
      <c r="GY642" s="139"/>
      <c r="GZ642" s="139"/>
      <c r="HA642" s="139"/>
      <c r="HB642" s="139"/>
      <c r="HC642" s="139"/>
      <c r="HD642" s="139"/>
      <c r="HE642" s="139"/>
      <c r="HF642" s="139"/>
      <c r="HG642" s="139"/>
      <c r="HH642" s="139"/>
      <c r="HI642" s="139"/>
      <c r="HJ642" s="139"/>
      <c r="HK642" s="139"/>
      <c r="HL642" s="139" t="s">
        <v>1988</v>
      </c>
      <c r="HM642" s="139" t="s">
        <v>232</v>
      </c>
      <c r="HN642" s="87"/>
      <c r="HO642" s="87"/>
      <c r="HP642" s="87"/>
      <c r="HQ642" s="87"/>
      <c r="HR642" s="87"/>
      <c r="HS642" s="87"/>
      <c r="HT642" s="87"/>
      <c r="HU642" s="87"/>
      <c r="HV642" s="87"/>
      <c r="HW642" s="87"/>
      <c r="HX642" s="87"/>
      <c r="HY642" s="87"/>
      <c r="HZ642" s="140"/>
      <c r="IA642" s="87"/>
      <c r="IB642" s="87"/>
      <c r="IC642" s="87"/>
      <c r="ID642" s="87"/>
      <c r="IE642" s="87"/>
      <c r="IF642" s="87"/>
      <c r="IG642" s="87"/>
      <c r="IH642" s="87"/>
      <c r="II642" s="87"/>
      <c r="IJ642" s="87"/>
      <c r="IK642" s="87"/>
      <c r="IL642" s="87"/>
      <c r="IM642" s="87"/>
      <c r="IN642" s="87"/>
      <c r="IO642" s="87"/>
      <c r="IP642" s="87"/>
      <c r="IQ642" s="87"/>
      <c r="IR642" s="87"/>
      <c r="IS642" s="87"/>
      <c r="IT642" s="87"/>
      <c r="IU642" s="87"/>
      <c r="IV642" s="87"/>
      <c r="IW642" s="87" t="s">
        <v>2001</v>
      </c>
      <c r="IX642" s="87" t="s">
        <v>1990</v>
      </c>
      <c r="IY642" s="87" t="s">
        <v>2002</v>
      </c>
      <c r="IZ642" s="87"/>
      <c r="JA642" s="87"/>
      <c r="JB642" s="87">
        <v>50</v>
      </c>
      <c r="JC642" s="87"/>
      <c r="JD642" s="87"/>
      <c r="JE642" s="87">
        <v>12</v>
      </c>
      <c r="JF642" s="87"/>
      <c r="JG642" s="87"/>
      <c r="JH642" s="87"/>
      <c r="JI642" s="87"/>
      <c r="JJ642" s="87"/>
      <c r="JK642" s="87"/>
      <c r="JL642" s="87"/>
      <c r="JM642" s="87"/>
      <c r="JN642" s="87"/>
      <c r="JO642" s="87"/>
      <c r="JP642" s="87"/>
      <c r="JQ642" s="146"/>
      <c r="JR642" s="87"/>
      <c r="JS642" s="87"/>
      <c r="JT642" s="87"/>
      <c r="JU642" s="87"/>
      <c r="JV642" s="87"/>
      <c r="JW642" s="87"/>
      <c r="JX642" s="87"/>
      <c r="JY642" s="87"/>
      <c r="JZ642" s="87"/>
      <c r="KA642" s="146"/>
      <c r="KB642" s="87"/>
      <c r="KC642" s="87"/>
      <c r="KD642" s="87"/>
      <c r="KE642" s="87"/>
      <c r="KF642" s="87"/>
      <c r="KG642" s="87"/>
      <c r="KH642" s="87"/>
      <c r="KI642" s="87"/>
      <c r="KJ642" s="87"/>
      <c r="KK642" s="87"/>
      <c r="KL642" s="87"/>
      <c r="KM642" s="87"/>
      <c r="KN642" s="87"/>
      <c r="KO642" s="87"/>
      <c r="KP642" s="87"/>
      <c r="KQ642" s="87"/>
      <c r="KR642" s="87"/>
      <c r="KS642" s="146"/>
      <c r="KT642" s="146"/>
      <c r="KU642" s="146"/>
      <c r="KV642" s="146"/>
      <c r="KW642" s="87"/>
      <c r="KX642" s="87"/>
      <c r="KY642" s="87"/>
      <c r="KZ642" s="87"/>
      <c r="LA642" s="87"/>
      <c r="LB642" s="87"/>
      <c r="LC642" s="87"/>
      <c r="LD642" s="87"/>
      <c r="LE642" s="87"/>
      <c r="LF642" s="87"/>
      <c r="LG642" s="87"/>
      <c r="LH642" s="87"/>
      <c r="LI642" s="87"/>
      <c r="LJ642" s="87"/>
      <c r="LK642" s="87"/>
      <c r="LL642" s="87"/>
      <c r="LM642" s="87"/>
      <c r="LN642" s="87"/>
      <c r="LO642" s="87"/>
      <c r="LP642" s="87"/>
      <c r="LQ642" s="87"/>
      <c r="LR642" s="87"/>
      <c r="LS642" s="87"/>
      <c r="LT642" s="87"/>
      <c r="LU642" s="87"/>
      <c r="LV642" s="87"/>
      <c r="LW642" s="87"/>
      <c r="LX642" s="87"/>
      <c r="LY642" s="87"/>
      <c r="LZ642" s="87"/>
      <c r="MA642" s="87"/>
      <c r="MB642" s="87"/>
      <c r="MC642" s="87"/>
      <c r="MD642" s="87"/>
      <c r="ME642" s="87"/>
      <c r="MF642" s="87"/>
      <c r="MG642" s="87"/>
      <c r="MH642" s="87"/>
      <c r="MI642" s="87"/>
      <c r="MJ642" s="87"/>
      <c r="MK642" s="87"/>
      <c r="ML642" s="87"/>
      <c r="MM642" s="87"/>
      <c r="MN642" s="87"/>
      <c r="MO642" s="87"/>
      <c r="MP642" s="87"/>
      <c r="MQ642" s="87"/>
      <c r="MR642" s="87"/>
      <c r="MS642" s="87"/>
      <c r="MT642" s="87"/>
      <c r="MU642" s="87"/>
      <c r="MV642" s="87"/>
      <c r="MW642" s="87"/>
      <c r="MX642" s="87"/>
      <c r="MY642" s="87"/>
      <c r="MZ642" s="87" t="s">
        <v>1968</v>
      </c>
      <c r="NA642" s="87">
        <v>625</v>
      </c>
      <c r="NB642" s="87" t="s">
        <v>1969</v>
      </c>
      <c r="NC642" s="87" t="s">
        <v>1973</v>
      </c>
      <c r="ND642" s="87" t="s">
        <v>1974</v>
      </c>
      <c r="NE642" s="87" t="s">
        <v>1975</v>
      </c>
      <c r="NF642" s="87" t="s">
        <v>1976</v>
      </c>
      <c r="NG642" s="87" t="s">
        <v>1977</v>
      </c>
      <c r="NH642" s="87"/>
      <c r="NI642" s="87"/>
      <c r="NJ642" s="87"/>
      <c r="NK642" s="87" t="s">
        <v>2014</v>
      </c>
      <c r="NL642" s="87" t="s">
        <v>2015</v>
      </c>
      <c r="NM642" s="87" t="s">
        <v>2016</v>
      </c>
      <c r="NN642" s="87" t="s">
        <v>1972</v>
      </c>
      <c r="NO642" s="87"/>
      <c r="NP642" s="87"/>
      <c r="NQ642" s="87"/>
      <c r="NR642" s="87"/>
      <c r="NS642" s="87"/>
      <c r="NT642" s="87"/>
      <c r="NU642" s="87"/>
      <c r="NV642" s="87" t="s">
        <v>2003</v>
      </c>
      <c r="NW642" s="87" t="s">
        <v>1979</v>
      </c>
      <c r="NX642" s="87">
        <v>203</v>
      </c>
      <c r="NY642" s="87" t="s">
        <v>29</v>
      </c>
      <c r="NZ642" s="87" t="s">
        <v>29</v>
      </c>
      <c r="OA642" s="87"/>
      <c r="OB642" s="87"/>
      <c r="OC642" s="87">
        <v>32</v>
      </c>
      <c r="OD642" s="87"/>
      <c r="OE642" s="87"/>
      <c r="OF642" s="87"/>
      <c r="OG642" s="87"/>
      <c r="OH642" s="87"/>
      <c r="OI642" s="87"/>
      <c r="OJ642" s="87"/>
      <c r="OK642" s="87"/>
      <c r="OL642" s="87"/>
      <c r="OM642" s="87"/>
      <c r="ON642" s="87"/>
      <c r="OO642" s="87"/>
      <c r="OP642" s="87"/>
      <c r="OQ642" s="87"/>
      <c r="OR642" s="87"/>
      <c r="OS642" s="87"/>
      <c r="OT642" s="87" t="s">
        <v>1980</v>
      </c>
      <c r="OU642" s="144"/>
      <c r="OV642" s="87"/>
      <c r="OW642" s="87">
        <v>2009</v>
      </c>
      <c r="OX642" s="87">
        <v>2010</v>
      </c>
      <c r="OY642" s="87"/>
      <c r="OZ642" s="87"/>
      <c r="PA642" s="87" t="s">
        <v>1981</v>
      </c>
      <c r="PB642" s="140">
        <v>46133</v>
      </c>
      <c r="PC642" s="87"/>
      <c r="PD642" s="87"/>
      <c r="PE642" s="87"/>
      <c r="PF642" s="87"/>
      <c r="PG642" s="138"/>
    </row>
    <row r="643" spans="1:423">
      <c r="A643" t="s">
        <v>36</v>
      </c>
      <c r="B643" t="s">
        <v>1956</v>
      </c>
      <c r="C643" t="s">
        <v>1957</v>
      </c>
      <c r="D643" t="s">
        <v>245</v>
      </c>
      <c r="E643" t="s">
        <v>1993</v>
      </c>
      <c r="F643" t="s">
        <v>1961</v>
      </c>
      <c r="G643" t="s">
        <v>2</v>
      </c>
      <c r="H643" t="s">
        <v>30</v>
      </c>
      <c r="I643">
        <v>-8.8170000000000002</v>
      </c>
      <c r="J643">
        <v>-75.2</v>
      </c>
      <c r="L643" t="s">
        <v>1957</v>
      </c>
      <c r="M643" t="s">
        <v>245</v>
      </c>
      <c r="N643" t="s">
        <v>1960</v>
      </c>
      <c r="O643" t="s">
        <v>1961</v>
      </c>
      <c r="P643" t="s">
        <v>2</v>
      </c>
      <c r="Q643" t="s">
        <v>30</v>
      </c>
      <c r="R643">
        <v>-8.5169999999999995</v>
      </c>
      <c r="S643">
        <v>-74.766999999999996</v>
      </c>
      <c r="U643" t="s">
        <v>1957</v>
      </c>
      <c r="V643" t="s">
        <v>245</v>
      </c>
      <c r="W643" t="s">
        <v>1982</v>
      </c>
      <c r="X643" t="s">
        <v>1961</v>
      </c>
      <c r="Y643" t="s">
        <v>2</v>
      </c>
      <c r="Z643" t="s">
        <v>30</v>
      </c>
      <c r="AA643">
        <v>-8.3670000000000009</v>
      </c>
      <c r="AB643">
        <v>-74.7</v>
      </c>
      <c r="AV643" t="s">
        <v>1962</v>
      </c>
      <c r="AW643">
        <v>625</v>
      </c>
      <c r="AX643" t="s">
        <v>29</v>
      </c>
      <c r="AY643">
        <v>2</v>
      </c>
      <c r="AZ643" t="s">
        <v>1963</v>
      </c>
      <c r="BA643">
        <v>2009</v>
      </c>
      <c r="BB643">
        <v>2010</v>
      </c>
      <c r="BC643" t="s">
        <v>1964</v>
      </c>
      <c r="BD643" t="s">
        <v>19</v>
      </c>
      <c r="BE643" t="s">
        <v>2004</v>
      </c>
      <c r="BF643" t="s">
        <v>24</v>
      </c>
      <c r="BG643" t="s">
        <v>1233</v>
      </c>
      <c r="BH643" t="s">
        <v>2005</v>
      </c>
      <c r="BI643" t="s">
        <v>29</v>
      </c>
      <c r="BJ643" t="s">
        <v>29</v>
      </c>
      <c r="BK643" t="s">
        <v>29</v>
      </c>
      <c r="EJ643" s="9"/>
      <c r="EK643" s="9"/>
      <c r="EL643" s="9"/>
      <c r="EM643" s="9"/>
      <c r="EN643" s="9"/>
      <c r="EO643" s="9"/>
      <c r="EP643" s="9"/>
      <c r="EQ643" s="9"/>
      <c r="ER643" s="9"/>
      <c r="ES643" s="9"/>
      <c r="ET643" s="9"/>
      <c r="EU643" s="9"/>
      <c r="EV643" s="9"/>
      <c r="EW643" s="9"/>
      <c r="EX643" s="9"/>
      <c r="EY643" s="9"/>
      <c r="EZ643" s="9"/>
      <c r="FA643" s="9"/>
      <c r="FB643" s="9"/>
      <c r="FC643" s="9"/>
      <c r="FD643" s="9"/>
      <c r="FE643" s="9"/>
      <c r="FF643" s="9"/>
      <c r="FG643" s="9"/>
      <c r="FH643" s="9"/>
      <c r="FI643" s="9"/>
      <c r="FJ643" s="9"/>
      <c r="FK643" s="9"/>
      <c r="FL643" s="9"/>
      <c r="FM643" s="9"/>
      <c r="FN643" s="9"/>
      <c r="FO643" s="9"/>
      <c r="FP643" s="9"/>
      <c r="FQ643" s="9"/>
      <c r="FR643" s="9"/>
      <c r="FS643" s="9"/>
      <c r="FT643" s="9"/>
      <c r="FU643" s="9"/>
      <c r="FV643" s="9"/>
      <c r="FW643" s="9"/>
      <c r="FX643" s="9"/>
      <c r="FY643" s="9"/>
      <c r="FZ643" s="9"/>
      <c r="GA643" s="9"/>
      <c r="GB643" s="9"/>
      <c r="GC643" s="9"/>
      <c r="GD643" s="9"/>
      <c r="GE643" s="9"/>
      <c r="GF643" s="9"/>
      <c r="GG643" s="9"/>
      <c r="GH643" s="9"/>
      <c r="GI643" s="9"/>
      <c r="GJ643" s="9"/>
      <c r="GK643" s="9"/>
      <c r="GL643" s="9"/>
      <c r="GM643" s="9"/>
      <c r="GN643" s="9"/>
      <c r="GO643" s="9"/>
      <c r="GP643" s="9"/>
      <c r="GQ643" s="9"/>
      <c r="GR643" s="9"/>
      <c r="GS643" s="9"/>
      <c r="GT643" s="9"/>
      <c r="GU643" s="9"/>
      <c r="GV643" s="9"/>
      <c r="GW643" s="9"/>
      <c r="GX643" s="9"/>
      <c r="GY643" s="9"/>
      <c r="GZ643" s="9"/>
      <c r="HA643" s="9"/>
      <c r="HB643" s="9"/>
      <c r="HC643" s="9"/>
      <c r="HD643" s="9"/>
      <c r="HE643" s="9"/>
      <c r="HF643" s="9"/>
      <c r="HG643" s="9"/>
      <c r="HH643" s="9"/>
      <c r="HI643" s="9"/>
      <c r="HJ643" s="9"/>
      <c r="HK643" s="9"/>
      <c r="HL643" s="9" t="s">
        <v>2006</v>
      </c>
      <c r="HM643" s="9" t="s">
        <v>297</v>
      </c>
      <c r="HN643" t="s">
        <v>12</v>
      </c>
      <c r="HZ643" s="58"/>
      <c r="JQ643" s="9"/>
      <c r="KA643" s="9"/>
      <c r="KS643" s="9"/>
      <c r="KT643" s="9"/>
      <c r="KU643" s="9"/>
      <c r="KV643" s="9"/>
      <c r="MZ643" t="s">
        <v>1968</v>
      </c>
      <c r="NA643">
        <v>625</v>
      </c>
      <c r="NB643" t="s">
        <v>1969</v>
      </c>
      <c r="NC643" t="s">
        <v>1973</v>
      </c>
      <c r="ND643" t="s">
        <v>1974</v>
      </c>
      <c r="NE643" t="s">
        <v>1975</v>
      </c>
      <c r="NF643" t="s">
        <v>1976</v>
      </c>
      <c r="NG643" t="s">
        <v>1977</v>
      </c>
      <c r="NK643" t="s">
        <v>2014</v>
      </c>
      <c r="NL643" t="s">
        <v>2015</v>
      </c>
      <c r="NM643" t="s">
        <v>2016</v>
      </c>
      <c r="NN643" t="s">
        <v>1972</v>
      </c>
      <c r="NV643" t="s">
        <v>2007</v>
      </c>
      <c r="NW643" t="s">
        <v>1979</v>
      </c>
      <c r="NX643">
        <v>105</v>
      </c>
      <c r="NY643" t="s">
        <v>29</v>
      </c>
      <c r="NZ643" t="s">
        <v>29</v>
      </c>
      <c r="OC643">
        <v>32</v>
      </c>
      <c r="OT643" t="s">
        <v>1980</v>
      </c>
      <c r="OU643" s="19"/>
      <c r="OW643">
        <v>2009</v>
      </c>
      <c r="OX643">
        <v>2010</v>
      </c>
      <c r="PA643" t="s">
        <v>1981</v>
      </c>
      <c r="PB643" s="58">
        <v>46133</v>
      </c>
    </row>
    <row r="644" spans="1:423">
      <c r="A644" s="87" t="s">
        <v>36</v>
      </c>
      <c r="B644" s="87" t="s">
        <v>1956</v>
      </c>
      <c r="C644" s="87" t="s">
        <v>1957</v>
      </c>
      <c r="D644" s="87" t="s">
        <v>245</v>
      </c>
      <c r="E644" s="87" t="s">
        <v>1993</v>
      </c>
      <c r="F644" s="87" t="s">
        <v>1961</v>
      </c>
      <c r="G644" s="87" t="s">
        <v>2</v>
      </c>
      <c r="H644" s="87" t="s">
        <v>30</v>
      </c>
      <c r="I644" s="87">
        <v>-8.8170000000000002</v>
      </c>
      <c r="J644" s="87">
        <v>-75.2</v>
      </c>
      <c r="K644" s="87"/>
      <c r="L644" s="87" t="s">
        <v>1957</v>
      </c>
      <c r="M644" s="87" t="s">
        <v>245</v>
      </c>
      <c r="N644" s="87" t="s">
        <v>1960</v>
      </c>
      <c r="O644" s="87" t="s">
        <v>1961</v>
      </c>
      <c r="P644" s="87" t="s">
        <v>2</v>
      </c>
      <c r="Q644" s="87" t="s">
        <v>30</v>
      </c>
      <c r="R644" s="87">
        <v>-8.5169999999999995</v>
      </c>
      <c r="S644" s="87">
        <v>-74.766999999999996</v>
      </c>
      <c r="T644" s="87"/>
      <c r="U644" s="87" t="s">
        <v>1957</v>
      </c>
      <c r="V644" s="87" t="s">
        <v>245</v>
      </c>
      <c r="W644" s="87" t="s">
        <v>1982</v>
      </c>
      <c r="X644" s="87" t="s">
        <v>1961</v>
      </c>
      <c r="Y644" s="87" t="s">
        <v>2</v>
      </c>
      <c r="Z644" s="87" t="s">
        <v>30</v>
      </c>
      <c r="AA644" s="87">
        <v>-8.3670000000000009</v>
      </c>
      <c r="AB644" s="87">
        <v>-74.7</v>
      </c>
      <c r="AC644" s="87"/>
      <c r="AD644" s="87"/>
      <c r="AE644" s="87"/>
      <c r="AF644" s="87"/>
      <c r="AG644" s="87"/>
      <c r="AH644" s="87"/>
      <c r="AI644" s="87"/>
      <c r="AJ644" s="87"/>
      <c r="AK644" s="87"/>
      <c r="AL644" s="87"/>
      <c r="AM644" s="87"/>
      <c r="AN644" s="87"/>
      <c r="AO644" s="87"/>
      <c r="AP644" s="87"/>
      <c r="AQ644" s="87"/>
      <c r="AR644" s="87"/>
      <c r="AS644" s="87"/>
      <c r="AT644" s="87"/>
      <c r="AU644" s="87"/>
      <c r="AV644" s="87" t="s">
        <v>1962</v>
      </c>
      <c r="AW644" s="87">
        <v>625</v>
      </c>
      <c r="AX644" s="87" t="s">
        <v>29</v>
      </c>
      <c r="AY644" s="87">
        <v>2</v>
      </c>
      <c r="AZ644" s="87" t="s">
        <v>1963</v>
      </c>
      <c r="BA644" s="87">
        <v>2009</v>
      </c>
      <c r="BB644" s="87">
        <v>2010</v>
      </c>
      <c r="BC644" s="87" t="s">
        <v>1964</v>
      </c>
      <c r="BD644" s="87" t="s">
        <v>2036</v>
      </c>
      <c r="BE644" s="87" t="s">
        <v>2008</v>
      </c>
      <c r="BF644" s="87" t="s">
        <v>299</v>
      </c>
      <c r="BG644" s="87" t="s">
        <v>1779</v>
      </c>
      <c r="BH644" s="87" t="s">
        <v>2009</v>
      </c>
      <c r="BI644" s="87" t="s">
        <v>29</v>
      </c>
      <c r="BJ644" s="87" t="s">
        <v>29</v>
      </c>
      <c r="BK644" s="87" t="s">
        <v>29</v>
      </c>
      <c r="BL644" s="87"/>
      <c r="BM644" s="87"/>
      <c r="BN644" s="87"/>
      <c r="BO644" s="87"/>
      <c r="BP644" s="87"/>
      <c r="BQ644" s="87"/>
      <c r="BR644" s="87"/>
      <c r="BS644" s="87"/>
      <c r="BT644" s="87"/>
      <c r="BU644" s="87"/>
      <c r="BV644" s="87"/>
      <c r="BW644" s="87"/>
      <c r="BX644" s="87"/>
      <c r="BY644" s="87"/>
      <c r="BZ644" s="87"/>
      <c r="CA644" s="87"/>
      <c r="CB644" s="87"/>
      <c r="CC644" s="87"/>
      <c r="CD644" s="87"/>
      <c r="CE644" s="87"/>
      <c r="CF644" s="87"/>
      <c r="CG644" s="87"/>
      <c r="CH644" s="87"/>
      <c r="CI644" s="87"/>
      <c r="CJ644" s="87"/>
      <c r="CK644" s="87"/>
      <c r="CL644" s="87"/>
      <c r="CM644" s="87"/>
      <c r="CN644" s="87"/>
      <c r="CO644" s="87"/>
      <c r="CP644" s="87"/>
      <c r="CQ644" s="87"/>
      <c r="CR644" s="87"/>
      <c r="CS644" s="87"/>
      <c r="CT644" s="87"/>
      <c r="CU644" s="87"/>
      <c r="CV644" s="87"/>
      <c r="CW644" s="87"/>
      <c r="CX644" s="87"/>
      <c r="CY644" s="87"/>
      <c r="CZ644" s="87"/>
      <c r="DA644" s="87"/>
      <c r="DB644" s="87"/>
      <c r="DC644" s="87"/>
      <c r="DD644" s="87"/>
      <c r="DE644" s="87"/>
      <c r="DF644" s="87"/>
      <c r="DG644" s="87"/>
      <c r="DH644" s="87"/>
      <c r="DI644" s="87"/>
      <c r="DJ644" s="87"/>
      <c r="DK644" s="87"/>
      <c r="DL644" s="87"/>
      <c r="DM644" s="87"/>
      <c r="DN644" s="87"/>
      <c r="DO644" s="87"/>
      <c r="DP644" s="87"/>
      <c r="DQ644" s="87"/>
      <c r="DR644" s="87"/>
      <c r="DS644" s="87"/>
      <c r="DT644" s="87"/>
      <c r="DU644" s="87"/>
      <c r="DV644" s="87"/>
      <c r="DW644" s="87"/>
      <c r="DX644" s="87"/>
      <c r="DY644" s="87"/>
      <c r="DZ644" s="87"/>
      <c r="EA644" s="87"/>
      <c r="EB644" s="87"/>
      <c r="EC644" s="87"/>
      <c r="ED644" s="87"/>
      <c r="EE644" s="87"/>
      <c r="EF644" s="87"/>
      <c r="EG644" s="87"/>
      <c r="EH644" s="87"/>
      <c r="EI644" s="87"/>
      <c r="EJ644" s="139"/>
      <c r="EK644" s="139"/>
      <c r="EL644" s="139"/>
      <c r="EM644" s="139"/>
      <c r="EN644" s="139"/>
      <c r="EO644" s="139"/>
      <c r="EP644" s="139"/>
      <c r="EQ644" s="139"/>
      <c r="ER644" s="139"/>
      <c r="ES644" s="139"/>
      <c r="ET644" s="139"/>
      <c r="EU644" s="139"/>
      <c r="EV644" s="139"/>
      <c r="EW644" s="139"/>
      <c r="EX644" s="139"/>
      <c r="EY644" s="139"/>
      <c r="EZ644" s="139"/>
      <c r="FA644" s="139"/>
      <c r="FB644" s="139"/>
      <c r="FC644" s="139"/>
      <c r="FD644" s="139"/>
      <c r="FE644" s="139"/>
      <c r="FF644" s="139"/>
      <c r="FG644" s="139"/>
      <c r="FH644" s="139"/>
      <c r="FI644" s="139"/>
      <c r="FJ644" s="139"/>
      <c r="FK644" s="139"/>
      <c r="FL644" s="139"/>
      <c r="FM644" s="139"/>
      <c r="FN644" s="139"/>
      <c r="FO644" s="139"/>
      <c r="FP644" s="139"/>
      <c r="FQ644" s="139"/>
      <c r="FR644" s="139"/>
      <c r="FS644" s="139"/>
      <c r="FT644" s="139"/>
      <c r="FU644" s="139"/>
      <c r="FV644" s="139"/>
      <c r="FW644" s="139"/>
      <c r="FX644" s="139"/>
      <c r="FY644" s="139"/>
      <c r="FZ644" s="139"/>
      <c r="GA644" s="139"/>
      <c r="GB644" s="139"/>
      <c r="GC644" s="139"/>
      <c r="GD644" s="139"/>
      <c r="GE644" s="139"/>
      <c r="GF644" s="139"/>
      <c r="GG644" s="139"/>
      <c r="GH644" s="139"/>
      <c r="GI644" s="139"/>
      <c r="GJ644" s="139"/>
      <c r="GK644" s="139"/>
      <c r="GL644" s="139"/>
      <c r="GM644" s="139"/>
      <c r="GN644" s="139"/>
      <c r="GO644" s="139"/>
      <c r="GP644" s="139"/>
      <c r="GQ644" s="139"/>
      <c r="GR644" s="139"/>
      <c r="GS644" s="139"/>
      <c r="GT644" s="139"/>
      <c r="GU644" s="139"/>
      <c r="GV644" s="139"/>
      <c r="GW644" s="139"/>
      <c r="GX644" s="139"/>
      <c r="GY644" s="139"/>
      <c r="GZ644" s="139"/>
      <c r="HA644" s="139"/>
      <c r="HB644" s="139"/>
      <c r="HC644" s="139"/>
      <c r="HD644" s="139"/>
      <c r="HE644" s="139"/>
      <c r="HF644" s="139"/>
      <c r="HG644" s="139"/>
      <c r="HH644" s="139"/>
      <c r="HI644" s="139"/>
      <c r="HJ644" s="139"/>
      <c r="HK644" s="139"/>
      <c r="HL644" s="139" t="s">
        <v>2010</v>
      </c>
      <c r="HM644" s="139" t="s">
        <v>232</v>
      </c>
      <c r="HN644" s="87"/>
      <c r="HO644" s="87"/>
      <c r="HP644" s="87"/>
      <c r="HQ644" s="87"/>
      <c r="HR644" s="87"/>
      <c r="HS644" s="87"/>
      <c r="HT644" s="87"/>
      <c r="HU644" s="87"/>
      <c r="HV644" s="87"/>
      <c r="HW644" s="87"/>
      <c r="HX644" s="87"/>
      <c r="HY644" s="87"/>
      <c r="HZ644" s="140"/>
      <c r="IA644" s="87"/>
      <c r="IB644" s="87"/>
      <c r="IC644" s="87"/>
      <c r="ID644" s="87"/>
      <c r="IE644" s="87"/>
      <c r="IF644" s="87"/>
      <c r="IG644" s="87"/>
      <c r="IH644" s="87"/>
      <c r="II644" s="87"/>
      <c r="IJ644" s="87"/>
      <c r="IK644" s="87"/>
      <c r="IL644" s="87"/>
      <c r="IM644" s="87"/>
      <c r="IN644" s="87"/>
      <c r="IO644" s="87"/>
      <c r="IP644" s="87"/>
      <c r="IQ644" s="87"/>
      <c r="IR644" s="87"/>
      <c r="IS644" s="87"/>
      <c r="IT644" s="87"/>
      <c r="IU644" s="87"/>
      <c r="IV644" s="87"/>
      <c r="IW644" s="87"/>
      <c r="IX644" s="87"/>
      <c r="IY644" s="87"/>
      <c r="IZ644" s="87"/>
      <c r="JA644" s="87"/>
      <c r="JB644" s="87"/>
      <c r="JC644" s="87"/>
      <c r="JD644" s="87"/>
      <c r="JE644" s="87"/>
      <c r="JF644" s="87"/>
      <c r="JG644" s="87"/>
      <c r="JH644" s="87"/>
      <c r="JI644" s="87"/>
      <c r="JJ644" s="87"/>
      <c r="JK644" s="87"/>
      <c r="JL644" s="87"/>
      <c r="JM644" s="87"/>
      <c r="JN644" s="87"/>
      <c r="JO644" s="87"/>
      <c r="JP644" s="87"/>
      <c r="JQ644" s="146"/>
      <c r="JR644" s="87"/>
      <c r="JS644" s="87"/>
      <c r="JT644" s="87"/>
      <c r="JU644" s="87"/>
      <c r="JV644" s="87"/>
      <c r="JW644" s="87"/>
      <c r="JX644" s="87"/>
      <c r="JY644" s="87"/>
      <c r="JZ644" s="87"/>
      <c r="KA644" s="146"/>
      <c r="KB644" s="87"/>
      <c r="KC644" s="87"/>
      <c r="KD644" s="87"/>
      <c r="KE644" s="87"/>
      <c r="KF644" s="87"/>
      <c r="KG644" s="87"/>
      <c r="KH644" s="87"/>
      <c r="KI644" s="87"/>
      <c r="KJ644" s="87"/>
      <c r="KK644" s="87"/>
      <c r="KL644" s="87"/>
      <c r="KM644" s="87"/>
      <c r="KN644" s="87"/>
      <c r="KO644" s="87"/>
      <c r="KP644" s="87"/>
      <c r="KQ644" s="87"/>
      <c r="KR644" s="87"/>
      <c r="KS644" s="146"/>
      <c r="KT644" s="146"/>
      <c r="KU644" s="146"/>
      <c r="KV644" s="146"/>
      <c r="KW644" s="87"/>
      <c r="KX644" s="87"/>
      <c r="KY644" s="87"/>
      <c r="KZ644" s="87"/>
      <c r="LA644" s="87"/>
      <c r="LB644" s="87"/>
      <c r="LC644" s="87"/>
      <c r="LD644" s="87"/>
      <c r="LE644" s="87"/>
      <c r="LF644" s="87"/>
      <c r="LG644" s="87"/>
      <c r="LH644" s="87"/>
      <c r="LI644" s="87"/>
      <c r="LJ644" s="87"/>
      <c r="LK644" s="87"/>
      <c r="LL644" s="87"/>
      <c r="LM644" s="87"/>
      <c r="LN644" s="87"/>
      <c r="LO644" s="87"/>
      <c r="LP644" s="87"/>
      <c r="LQ644" s="87"/>
      <c r="LR644" s="87"/>
      <c r="LS644" s="87"/>
      <c r="LT644" s="87"/>
      <c r="LU644" s="87"/>
      <c r="LV644" s="87"/>
      <c r="LW644" s="87"/>
      <c r="LX644" s="87"/>
      <c r="LY644" s="87"/>
      <c r="LZ644" s="87"/>
      <c r="MA644" s="87"/>
      <c r="MB644" s="87"/>
      <c r="MC644" s="87"/>
      <c r="MD644" s="87"/>
      <c r="ME644" s="87"/>
      <c r="MF644" s="87"/>
      <c r="MG644" s="87"/>
      <c r="MH644" s="87"/>
      <c r="MI644" s="87"/>
      <c r="MJ644" s="87"/>
      <c r="MK644" s="87"/>
      <c r="ML644" s="87"/>
      <c r="MM644" s="87"/>
      <c r="MN644" s="87"/>
      <c r="MO644" s="87"/>
      <c r="MP644" s="87"/>
      <c r="MQ644" s="87"/>
      <c r="MR644" s="87"/>
      <c r="MS644" s="87"/>
      <c r="MT644" s="87"/>
      <c r="MU644" s="87"/>
      <c r="MV644" s="87"/>
      <c r="MW644" s="87"/>
      <c r="MX644" s="87"/>
      <c r="MY644" s="87"/>
      <c r="MZ644" s="87" t="s">
        <v>1968</v>
      </c>
      <c r="NA644" s="87">
        <v>625</v>
      </c>
      <c r="NB644" s="87" t="s">
        <v>1969</v>
      </c>
      <c r="NC644" s="87" t="s">
        <v>1973</v>
      </c>
      <c r="ND644" s="87" t="s">
        <v>1974</v>
      </c>
      <c r="NE644" s="87" t="s">
        <v>1975</v>
      </c>
      <c r="NF644" s="87" t="s">
        <v>1976</v>
      </c>
      <c r="NG644" s="87" t="s">
        <v>1977</v>
      </c>
      <c r="NH644" s="87"/>
      <c r="NI644" s="87"/>
      <c r="NJ644" s="87"/>
      <c r="NK644" s="87" t="s">
        <v>2014</v>
      </c>
      <c r="NL644" s="87" t="s">
        <v>2015</v>
      </c>
      <c r="NM644" s="87" t="s">
        <v>2016</v>
      </c>
      <c r="NN644" s="87" t="s">
        <v>1972</v>
      </c>
      <c r="NO644" s="87"/>
      <c r="NP644" s="87"/>
      <c r="NQ644" s="87"/>
      <c r="NR644" s="87"/>
      <c r="NS644" s="87"/>
      <c r="NT644" s="87"/>
      <c r="NU644" s="87"/>
      <c r="NV644" s="87" t="s">
        <v>2011</v>
      </c>
      <c r="NW644" s="87" t="s">
        <v>1979</v>
      </c>
      <c r="NX644" s="87">
        <v>70</v>
      </c>
      <c r="NY644" s="87" t="s">
        <v>29</v>
      </c>
      <c r="NZ644" s="87" t="s">
        <v>29</v>
      </c>
      <c r="OA644" s="87"/>
      <c r="OB644" s="87"/>
      <c r="OC644" s="87">
        <v>32</v>
      </c>
      <c r="OD644" s="87"/>
      <c r="OE644" s="87"/>
      <c r="OF644" s="87"/>
      <c r="OG644" s="87"/>
      <c r="OH644" s="87"/>
      <c r="OI644" s="87"/>
      <c r="OJ644" s="87"/>
      <c r="OK644" s="87"/>
      <c r="OL644" s="87"/>
      <c r="OM644" s="87"/>
      <c r="ON644" s="87"/>
      <c r="OO644" s="87"/>
      <c r="OP644" s="87"/>
      <c r="OQ644" s="87"/>
      <c r="OR644" s="87"/>
      <c r="OS644" s="87"/>
      <c r="OT644" s="87" t="s">
        <v>1980</v>
      </c>
      <c r="OU644" s="144"/>
      <c r="OV644" s="87"/>
      <c r="OW644" s="87">
        <v>2009</v>
      </c>
      <c r="OX644" s="87">
        <v>2010</v>
      </c>
      <c r="OY644" s="87"/>
      <c r="OZ644" s="87"/>
      <c r="PA644" s="87" t="s">
        <v>1981</v>
      </c>
      <c r="PB644" s="140">
        <v>46133</v>
      </c>
      <c r="PC644" s="87"/>
      <c r="PD644" s="87"/>
      <c r="PE644" s="87"/>
      <c r="PF644" s="87"/>
      <c r="PG644" s="138"/>
    </row>
    <row r="645" spans="1:423">
      <c r="A645" t="s">
        <v>36</v>
      </c>
      <c r="B645" t="s">
        <v>1956</v>
      </c>
      <c r="C645" t="s">
        <v>1957</v>
      </c>
      <c r="D645" t="s">
        <v>1936</v>
      </c>
      <c r="E645" t="s">
        <v>1958</v>
      </c>
      <c r="F645" t="s">
        <v>1959</v>
      </c>
      <c r="G645" t="s">
        <v>2</v>
      </c>
      <c r="H645" t="s">
        <v>30</v>
      </c>
      <c r="I645">
        <v>-8.9</v>
      </c>
      <c r="J645">
        <v>-74.983000000000004</v>
      </c>
      <c r="L645" t="s">
        <v>1957</v>
      </c>
      <c r="M645" t="s">
        <v>245</v>
      </c>
      <c r="N645" t="s">
        <v>1960</v>
      </c>
      <c r="O645" t="s">
        <v>1961</v>
      </c>
      <c r="P645" t="s">
        <v>2</v>
      </c>
      <c r="Q645" t="s">
        <v>30</v>
      </c>
      <c r="R645">
        <v>-8.5169999999999995</v>
      </c>
      <c r="S645">
        <v>-74.766999999999996</v>
      </c>
      <c r="AV645" t="s">
        <v>1962</v>
      </c>
      <c r="AW645">
        <v>625</v>
      </c>
      <c r="AX645" t="s">
        <v>29</v>
      </c>
      <c r="AY645">
        <v>2</v>
      </c>
      <c r="AZ645" t="s">
        <v>1963</v>
      </c>
      <c r="BA645">
        <v>2009</v>
      </c>
      <c r="BB645">
        <v>2010</v>
      </c>
      <c r="BC645" t="s">
        <v>1964</v>
      </c>
      <c r="BD645" t="s">
        <v>1966</v>
      </c>
      <c r="BE645" t="s">
        <v>1965</v>
      </c>
      <c r="BF645" t="s">
        <v>39</v>
      </c>
      <c r="BG645" t="s">
        <v>1743</v>
      </c>
      <c r="EJ645" s="9"/>
      <c r="EK645" s="9"/>
      <c r="EL645" s="9"/>
      <c r="EM645" s="9"/>
      <c r="EN645" s="9"/>
      <c r="EO645" s="9"/>
      <c r="EP645" s="9"/>
      <c r="EQ645" s="9"/>
      <c r="ER645" s="9"/>
      <c r="ES645" s="9"/>
      <c r="ET645" s="9"/>
      <c r="EU645" s="9"/>
      <c r="EV645" s="9"/>
      <c r="EW645" s="9"/>
      <c r="EX645" s="9"/>
      <c r="EY645" s="9"/>
      <c r="EZ645" s="9"/>
      <c r="FA645" s="9"/>
      <c r="FB645" s="9"/>
      <c r="FC645" s="9"/>
      <c r="FD645" s="9"/>
      <c r="FE645" s="9"/>
      <c r="FF645" s="9"/>
      <c r="FG645" s="9"/>
      <c r="FH645" s="9"/>
      <c r="FI645" s="9"/>
      <c r="FJ645" s="9"/>
      <c r="FK645" s="9"/>
      <c r="FL645" s="9"/>
      <c r="FM645" s="9"/>
      <c r="FN645" s="9"/>
      <c r="FO645" s="9"/>
      <c r="FP645" s="9"/>
      <c r="FQ645" s="9"/>
      <c r="FR645" s="9"/>
      <c r="FS645" s="9"/>
      <c r="FT645" s="9"/>
      <c r="FU645" s="9"/>
      <c r="FV645" s="9"/>
      <c r="FW645" s="9"/>
      <c r="FX645" s="9"/>
      <c r="FY645" s="9"/>
      <c r="FZ645" s="9"/>
      <c r="GA645" s="9"/>
      <c r="GB645" s="9"/>
      <c r="GC645" s="9"/>
      <c r="GD645" s="9"/>
      <c r="GE645" s="9"/>
      <c r="GF645" s="9"/>
      <c r="GG645" s="9"/>
      <c r="GH645" s="9"/>
      <c r="GI645" s="9"/>
      <c r="GJ645" s="9"/>
      <c r="GK645" s="9"/>
      <c r="GL645" s="9"/>
      <c r="GM645" s="9"/>
      <c r="GN645" s="9"/>
      <c r="GO645" s="9"/>
      <c r="GP645" s="9"/>
      <c r="GQ645" s="9"/>
      <c r="GR645" s="9"/>
      <c r="GS645" s="9"/>
      <c r="GT645" s="9"/>
      <c r="GU645" s="9"/>
      <c r="GV645" s="9"/>
      <c r="GW645" s="9"/>
      <c r="GX645" s="9"/>
      <c r="GY645" s="9"/>
      <c r="GZ645" s="9"/>
      <c r="HA645" s="9"/>
      <c r="HB645" s="9"/>
      <c r="HC645" s="9"/>
      <c r="HD645" s="9"/>
      <c r="HE645" s="9"/>
      <c r="HF645" s="9"/>
      <c r="HG645" s="9"/>
      <c r="HH645" s="9"/>
      <c r="HI645" s="9"/>
      <c r="HJ645" s="9"/>
      <c r="HK645" s="9"/>
      <c r="HL645" s="9" t="s">
        <v>1967</v>
      </c>
      <c r="HM645" s="9" t="s">
        <v>232</v>
      </c>
      <c r="HZ645" s="58"/>
      <c r="JA645">
        <v>20</v>
      </c>
      <c r="JB645">
        <v>95</v>
      </c>
      <c r="JQ645" s="9"/>
      <c r="KA645" s="9"/>
      <c r="KS645" s="9"/>
      <c r="KT645" s="9"/>
      <c r="KU645" s="9"/>
      <c r="KV645" s="9"/>
      <c r="MZ645" t="s">
        <v>1968</v>
      </c>
      <c r="NA645">
        <v>625</v>
      </c>
      <c r="NB645" t="s">
        <v>1969</v>
      </c>
      <c r="NC645" t="s">
        <v>1973</v>
      </c>
      <c r="ND645" t="s">
        <v>1974</v>
      </c>
      <c r="NE645" t="s">
        <v>1975</v>
      </c>
      <c r="NF645" t="s">
        <v>1976</v>
      </c>
      <c r="NG645" t="s">
        <v>1977</v>
      </c>
      <c r="NK645" t="s">
        <v>2017</v>
      </c>
      <c r="NL645" t="s">
        <v>2018</v>
      </c>
      <c r="NM645" t="s">
        <v>2019</v>
      </c>
      <c r="NN645" t="s">
        <v>2020</v>
      </c>
      <c r="NV645" t="s">
        <v>1978</v>
      </c>
      <c r="NW645" t="s">
        <v>1979</v>
      </c>
      <c r="NX645">
        <v>5.21</v>
      </c>
      <c r="NY645" t="s">
        <v>29</v>
      </c>
      <c r="NZ645" t="s">
        <v>29</v>
      </c>
      <c r="OC645">
        <v>8</v>
      </c>
      <c r="OT645" t="s">
        <v>1980</v>
      </c>
      <c r="OU645" s="19"/>
      <c r="OW645">
        <v>2009</v>
      </c>
      <c r="OX645">
        <v>2010</v>
      </c>
      <c r="PA645" t="s">
        <v>1981</v>
      </c>
      <c r="PB645" s="58">
        <v>46133</v>
      </c>
    </row>
    <row r="646" spans="1:423">
      <c r="A646" s="87" t="s">
        <v>36</v>
      </c>
      <c r="B646" s="87" t="s">
        <v>1956</v>
      </c>
      <c r="C646" s="87" t="s">
        <v>1957</v>
      </c>
      <c r="D646" s="87" t="s">
        <v>245</v>
      </c>
      <c r="E646" s="87" t="s">
        <v>1960</v>
      </c>
      <c r="F646" s="87" t="s">
        <v>1961</v>
      </c>
      <c r="G646" s="87" t="s">
        <v>2</v>
      </c>
      <c r="H646" s="87" t="s">
        <v>30</v>
      </c>
      <c r="I646" s="87">
        <v>-8.5169999999999995</v>
      </c>
      <c r="J646" s="87">
        <v>-74.766999999999996</v>
      </c>
      <c r="K646" s="87"/>
      <c r="L646" s="87" t="s">
        <v>1957</v>
      </c>
      <c r="M646" s="87" t="s">
        <v>245</v>
      </c>
      <c r="N646" s="87" t="s">
        <v>1982</v>
      </c>
      <c r="O646" s="87" t="s">
        <v>1961</v>
      </c>
      <c r="P646" s="87" t="s">
        <v>2</v>
      </c>
      <c r="Q646" s="87" t="s">
        <v>30</v>
      </c>
      <c r="R646" s="87">
        <v>-8.3670000000000009</v>
      </c>
      <c r="S646" s="87">
        <v>-74.7</v>
      </c>
      <c r="T646" s="87"/>
      <c r="U646" s="87"/>
      <c r="V646" s="87"/>
      <c r="W646" s="87"/>
      <c r="X646" s="87"/>
      <c r="Y646" s="87"/>
      <c r="Z646" s="87"/>
      <c r="AA646" s="87"/>
      <c r="AB646" s="87"/>
      <c r="AC646" s="87"/>
      <c r="AD646" s="87"/>
      <c r="AE646" s="87"/>
      <c r="AF646" s="87"/>
      <c r="AG646" s="87"/>
      <c r="AH646" s="87"/>
      <c r="AI646" s="87"/>
      <c r="AJ646" s="87"/>
      <c r="AK646" s="87"/>
      <c r="AL646" s="87"/>
      <c r="AM646" s="87"/>
      <c r="AN646" s="87"/>
      <c r="AO646" s="87"/>
      <c r="AP646" s="87"/>
      <c r="AQ646" s="87"/>
      <c r="AR646" s="87"/>
      <c r="AS646" s="87"/>
      <c r="AT646" s="87"/>
      <c r="AU646" s="87"/>
      <c r="AV646" s="87" t="s">
        <v>1962</v>
      </c>
      <c r="AW646" s="87">
        <v>625</v>
      </c>
      <c r="AX646" s="87" t="s">
        <v>29</v>
      </c>
      <c r="AY646" s="87">
        <v>2</v>
      </c>
      <c r="AZ646" s="87" t="s">
        <v>1963</v>
      </c>
      <c r="BA646" s="87">
        <v>2009</v>
      </c>
      <c r="BB646" s="87">
        <v>2010</v>
      </c>
      <c r="BC646" s="87" t="s">
        <v>1964</v>
      </c>
      <c r="BD646" s="87" t="s">
        <v>1990</v>
      </c>
      <c r="BE646" s="87" t="s">
        <v>1984</v>
      </c>
      <c r="BF646" s="87" t="s">
        <v>64</v>
      </c>
      <c r="BG646" s="87" t="s">
        <v>1233</v>
      </c>
      <c r="BH646" s="87" t="s">
        <v>1985</v>
      </c>
      <c r="BI646" s="87" t="s">
        <v>29</v>
      </c>
      <c r="BJ646" s="87" t="s">
        <v>29</v>
      </c>
      <c r="BK646" s="87" t="s">
        <v>29</v>
      </c>
      <c r="BL646" s="87"/>
      <c r="BM646" s="87"/>
      <c r="BN646" s="87"/>
      <c r="BO646" s="87"/>
      <c r="BP646" s="87"/>
      <c r="BQ646" s="87"/>
      <c r="BR646" s="87"/>
      <c r="BS646" s="87"/>
      <c r="BT646" s="87"/>
      <c r="BU646" s="87"/>
      <c r="BV646" s="87"/>
      <c r="BW646" s="87"/>
      <c r="BX646" s="87"/>
      <c r="BY646" s="87"/>
      <c r="BZ646" s="87"/>
      <c r="CA646" s="87"/>
      <c r="CB646" s="87"/>
      <c r="CC646" s="87"/>
      <c r="CD646" s="87"/>
      <c r="CE646" s="87"/>
      <c r="CF646" s="87"/>
      <c r="CG646" s="87"/>
      <c r="CH646" s="87"/>
      <c r="CI646" s="87"/>
      <c r="CJ646" s="87"/>
      <c r="CK646" s="87"/>
      <c r="CL646" s="87"/>
      <c r="CM646" s="87"/>
      <c r="CN646" s="87"/>
      <c r="CO646" s="87"/>
      <c r="CP646" s="87"/>
      <c r="CQ646" s="87"/>
      <c r="CR646" s="87"/>
      <c r="CS646" s="87"/>
      <c r="CT646" s="87"/>
      <c r="CU646" s="87"/>
      <c r="CV646" s="87"/>
      <c r="CW646" s="87"/>
      <c r="CX646" s="87"/>
      <c r="CY646" s="87"/>
      <c r="CZ646" s="87"/>
      <c r="DA646" s="87"/>
      <c r="DB646" s="87"/>
      <c r="DC646" s="87"/>
      <c r="DD646" s="87"/>
      <c r="DE646" s="87"/>
      <c r="DF646" s="87"/>
      <c r="DG646" s="87"/>
      <c r="DH646" s="87"/>
      <c r="DI646" s="87"/>
      <c r="DJ646" s="87"/>
      <c r="DK646" s="87"/>
      <c r="DL646" s="87"/>
      <c r="DM646" s="87"/>
      <c r="DN646" s="87"/>
      <c r="DO646" s="87"/>
      <c r="DP646" s="87"/>
      <c r="DQ646" s="87"/>
      <c r="DR646" s="87"/>
      <c r="DS646" s="87"/>
      <c r="DT646" s="87"/>
      <c r="DU646" s="87"/>
      <c r="DV646" s="87"/>
      <c r="DW646" s="87"/>
      <c r="DX646" s="87"/>
      <c r="DY646" s="87"/>
      <c r="DZ646" s="87"/>
      <c r="EA646" s="87"/>
      <c r="EB646" s="87"/>
      <c r="EC646" s="87"/>
      <c r="ED646" s="87"/>
      <c r="EE646" s="87" t="s">
        <v>1986</v>
      </c>
      <c r="EF646" s="87" t="s">
        <v>1987</v>
      </c>
      <c r="EG646" s="87">
        <v>0.24</v>
      </c>
      <c r="EH646" s="87" t="s">
        <v>1990</v>
      </c>
      <c r="EI646" s="87"/>
      <c r="EJ646" s="139"/>
      <c r="EK646" s="139"/>
      <c r="EL646" s="139"/>
      <c r="EM646" s="139"/>
      <c r="EN646" s="139"/>
      <c r="EO646" s="139"/>
      <c r="EP646" s="139"/>
      <c r="EQ646" s="139"/>
      <c r="ER646" s="139"/>
      <c r="ES646" s="139"/>
      <c r="ET646" s="139"/>
      <c r="EU646" s="139"/>
      <c r="EV646" s="139"/>
      <c r="EW646" s="139"/>
      <c r="EX646" s="139"/>
      <c r="EY646" s="139"/>
      <c r="EZ646" s="139"/>
      <c r="FA646" s="139"/>
      <c r="FB646" s="139"/>
      <c r="FC646" s="139"/>
      <c r="FD646" s="139"/>
      <c r="FE646" s="139"/>
      <c r="FF646" s="139"/>
      <c r="FG646" s="139"/>
      <c r="FH646" s="139"/>
      <c r="FI646" s="139"/>
      <c r="FJ646" s="139"/>
      <c r="FK646" s="139"/>
      <c r="FL646" s="139"/>
      <c r="FM646" s="139"/>
      <c r="FN646" s="139"/>
      <c r="FO646" s="139"/>
      <c r="FP646" s="139"/>
      <c r="FQ646" s="139"/>
      <c r="FR646" s="139"/>
      <c r="FS646" s="139"/>
      <c r="FT646" s="139"/>
      <c r="FU646" s="139"/>
      <c r="FV646" s="139"/>
      <c r="FW646" s="139"/>
      <c r="FX646" s="139"/>
      <c r="FY646" s="139"/>
      <c r="FZ646" s="139"/>
      <c r="GA646" s="139"/>
      <c r="GB646" s="139"/>
      <c r="GC646" s="139"/>
      <c r="GD646" s="139"/>
      <c r="GE646" s="139"/>
      <c r="GF646" s="139"/>
      <c r="GG646" s="139"/>
      <c r="GH646" s="139"/>
      <c r="GI646" s="139"/>
      <c r="GJ646" s="139"/>
      <c r="GK646" s="139"/>
      <c r="GL646" s="139"/>
      <c r="GM646" s="139"/>
      <c r="GN646" s="139"/>
      <c r="GO646" s="139"/>
      <c r="GP646" s="139"/>
      <c r="GQ646" s="139"/>
      <c r="GR646" s="139"/>
      <c r="GS646" s="139"/>
      <c r="GT646" s="139"/>
      <c r="GU646" s="139"/>
      <c r="GV646" s="139"/>
      <c r="GW646" s="139"/>
      <c r="GX646" s="139"/>
      <c r="GY646" s="139"/>
      <c r="GZ646" s="139"/>
      <c r="HA646" s="139"/>
      <c r="HB646" s="139"/>
      <c r="HC646" s="139"/>
      <c r="HD646" s="139"/>
      <c r="HE646" s="139"/>
      <c r="HF646" s="139"/>
      <c r="HG646" s="139"/>
      <c r="HH646" s="139"/>
      <c r="HI646" s="139"/>
      <c r="HJ646" s="139"/>
      <c r="HK646" s="139"/>
      <c r="HL646" s="139" t="s">
        <v>1988</v>
      </c>
      <c r="HM646" s="139" t="s">
        <v>232</v>
      </c>
      <c r="HN646" s="87"/>
      <c r="HO646" s="87"/>
      <c r="HP646" s="87"/>
      <c r="HQ646" s="87"/>
      <c r="HR646" s="87"/>
      <c r="HS646" s="87"/>
      <c r="HT646" s="87"/>
      <c r="HU646" s="87"/>
      <c r="HV646" s="87"/>
      <c r="HW646" s="87"/>
      <c r="HX646" s="87"/>
      <c r="HY646" s="87"/>
      <c r="HZ646" s="140"/>
      <c r="IA646" s="87"/>
      <c r="IB646" s="87"/>
      <c r="IC646" s="87"/>
      <c r="ID646" s="87"/>
      <c r="IE646" s="87"/>
      <c r="IF646" s="87"/>
      <c r="IG646" s="87"/>
      <c r="IH646" s="87"/>
      <c r="II646" s="87"/>
      <c r="IJ646" s="87"/>
      <c r="IK646" s="87"/>
      <c r="IL646" s="87"/>
      <c r="IM646" s="87"/>
      <c r="IN646" s="87"/>
      <c r="IO646" s="87"/>
      <c r="IP646" s="87"/>
      <c r="IQ646" s="87"/>
      <c r="IR646" s="87"/>
      <c r="IS646" s="87"/>
      <c r="IT646" s="87"/>
      <c r="IU646" s="87"/>
      <c r="IV646" s="87"/>
      <c r="IW646" s="87" t="s">
        <v>1989</v>
      </c>
      <c r="IX646" s="87" t="s">
        <v>1990</v>
      </c>
      <c r="IY646" s="87" t="s">
        <v>1991</v>
      </c>
      <c r="IZ646" s="87"/>
      <c r="JA646" s="87">
        <v>6</v>
      </c>
      <c r="JB646" s="87">
        <v>77.5</v>
      </c>
      <c r="JC646" s="87">
        <v>75</v>
      </c>
      <c r="JD646" s="87">
        <v>80</v>
      </c>
      <c r="JE646" s="87">
        <v>7.5</v>
      </c>
      <c r="JF646" s="87">
        <v>6</v>
      </c>
      <c r="JG646" s="87">
        <v>9</v>
      </c>
      <c r="JH646" s="87"/>
      <c r="JI646" s="87"/>
      <c r="JJ646" s="87"/>
      <c r="JK646" s="87"/>
      <c r="JL646" s="87"/>
      <c r="JM646" s="87"/>
      <c r="JN646" s="87"/>
      <c r="JO646" s="87"/>
      <c r="JP646" s="87"/>
      <c r="JQ646" s="146"/>
      <c r="JR646" s="87"/>
      <c r="JS646" s="87"/>
      <c r="JT646" s="87"/>
      <c r="JU646" s="87"/>
      <c r="JV646" s="87"/>
      <c r="JW646" s="87"/>
      <c r="JX646" s="87"/>
      <c r="JY646" s="87"/>
      <c r="JZ646" s="87"/>
      <c r="KA646" s="146"/>
      <c r="KB646" s="87"/>
      <c r="KC646" s="87"/>
      <c r="KD646" s="87"/>
      <c r="KE646" s="87"/>
      <c r="KF646" s="87"/>
      <c r="KG646" s="87"/>
      <c r="KH646" s="87"/>
      <c r="KI646" s="87"/>
      <c r="KJ646" s="87"/>
      <c r="KK646" s="87"/>
      <c r="KL646" s="87"/>
      <c r="KM646" s="87"/>
      <c r="KN646" s="87"/>
      <c r="KO646" s="87"/>
      <c r="KP646" s="87"/>
      <c r="KQ646" s="87"/>
      <c r="KR646" s="87"/>
      <c r="KS646" s="146"/>
      <c r="KT646" s="146"/>
      <c r="KU646" s="146"/>
      <c r="KV646" s="146"/>
      <c r="KW646" s="87"/>
      <c r="KX646" s="87"/>
      <c r="KY646" s="87"/>
      <c r="KZ646" s="87"/>
      <c r="LA646" s="87"/>
      <c r="LB646" s="87"/>
      <c r="LC646" s="87"/>
      <c r="LD646" s="87"/>
      <c r="LE646" s="87"/>
      <c r="LF646" s="87"/>
      <c r="LG646" s="87"/>
      <c r="LH646" s="87"/>
      <c r="LI646" s="87"/>
      <c r="LJ646" s="87"/>
      <c r="LK646" s="87"/>
      <c r="LL646" s="87"/>
      <c r="LM646" s="87"/>
      <c r="LN646" s="87"/>
      <c r="LO646" s="87"/>
      <c r="LP646" s="87"/>
      <c r="LQ646" s="87"/>
      <c r="LR646" s="87"/>
      <c r="LS646" s="87"/>
      <c r="LT646" s="87"/>
      <c r="LU646" s="87"/>
      <c r="LV646" s="87"/>
      <c r="LW646" s="87"/>
      <c r="LX646" s="87"/>
      <c r="LY646" s="87"/>
      <c r="LZ646" s="87"/>
      <c r="MA646" s="87"/>
      <c r="MB646" s="87"/>
      <c r="MC646" s="87"/>
      <c r="MD646" s="87"/>
      <c r="ME646" s="87"/>
      <c r="MF646" s="87"/>
      <c r="MG646" s="87"/>
      <c r="MH646" s="87"/>
      <c r="MI646" s="87"/>
      <c r="MJ646" s="87"/>
      <c r="MK646" s="87"/>
      <c r="ML646" s="87"/>
      <c r="MM646" s="87"/>
      <c r="MN646" s="87"/>
      <c r="MO646" s="87"/>
      <c r="MP646" s="87"/>
      <c r="MQ646" s="87"/>
      <c r="MR646" s="87"/>
      <c r="MS646" s="87"/>
      <c r="MT646" s="87"/>
      <c r="MU646" s="87"/>
      <c r="MV646" s="87"/>
      <c r="MW646" s="87"/>
      <c r="MX646" s="87"/>
      <c r="MY646" s="87"/>
      <c r="MZ646" s="87" t="s">
        <v>1968</v>
      </c>
      <c r="NA646" s="87">
        <v>625</v>
      </c>
      <c r="NB646" s="87" t="s">
        <v>1969</v>
      </c>
      <c r="NC646" s="87" t="s">
        <v>1973</v>
      </c>
      <c r="ND646" s="87" t="s">
        <v>1974</v>
      </c>
      <c r="NE646" s="87" t="s">
        <v>1975</v>
      </c>
      <c r="NF646" s="87" t="s">
        <v>1976</v>
      </c>
      <c r="NG646" s="87" t="s">
        <v>1977</v>
      </c>
      <c r="NH646" s="87"/>
      <c r="NI646" s="87"/>
      <c r="NJ646" s="87"/>
      <c r="NK646" s="87" t="s">
        <v>2017</v>
      </c>
      <c r="NL646" s="87" t="s">
        <v>2018</v>
      </c>
      <c r="NM646" s="87" t="s">
        <v>2019</v>
      </c>
      <c r="NN646" s="87" t="s">
        <v>2020</v>
      </c>
      <c r="NO646" s="87"/>
      <c r="NP646" s="87"/>
      <c r="NQ646" s="87"/>
      <c r="NR646" s="87"/>
      <c r="NS646" s="87"/>
      <c r="NT646" s="87"/>
      <c r="NU646" s="87"/>
      <c r="NV646" s="87" t="s">
        <v>1992</v>
      </c>
      <c r="NW646" s="87" t="s">
        <v>1979</v>
      </c>
      <c r="NX646" s="87">
        <v>4.9400000000000004</v>
      </c>
      <c r="NY646" s="87" t="s">
        <v>29</v>
      </c>
      <c r="NZ646" s="87" t="s">
        <v>29</v>
      </c>
      <c r="OA646" s="87"/>
      <c r="OB646" s="87"/>
      <c r="OC646" s="87">
        <v>31</v>
      </c>
      <c r="OD646" s="87"/>
      <c r="OE646" s="87"/>
      <c r="OF646" s="87"/>
      <c r="OG646" s="87"/>
      <c r="OH646" s="87"/>
      <c r="OI646" s="87"/>
      <c r="OJ646" s="87"/>
      <c r="OK646" s="87"/>
      <c r="OL646" s="87"/>
      <c r="OM646" s="87"/>
      <c r="ON646" s="87"/>
      <c r="OO646" s="87"/>
      <c r="OP646" s="87"/>
      <c r="OQ646" s="87"/>
      <c r="OR646" s="87"/>
      <c r="OS646" s="87"/>
      <c r="OT646" s="87" t="s">
        <v>1980</v>
      </c>
      <c r="OU646" s="144"/>
      <c r="OV646" s="87"/>
      <c r="OW646" s="87">
        <v>2009</v>
      </c>
      <c r="OX646" s="87">
        <v>2010</v>
      </c>
      <c r="OY646" s="87"/>
      <c r="OZ646" s="87"/>
      <c r="PA646" s="87" t="s">
        <v>1981</v>
      </c>
      <c r="PB646" s="140">
        <v>46133</v>
      </c>
      <c r="PC646" s="87"/>
      <c r="PD646" s="87"/>
      <c r="PE646" s="87"/>
      <c r="PF646" s="87"/>
      <c r="PG646" s="138"/>
    </row>
    <row r="647" spans="1:423">
      <c r="A647" t="s">
        <v>36</v>
      </c>
      <c r="B647" t="s">
        <v>1956</v>
      </c>
      <c r="C647" t="s">
        <v>1957</v>
      </c>
      <c r="D647" t="s">
        <v>245</v>
      </c>
      <c r="E647" t="s">
        <v>1993</v>
      </c>
      <c r="F647" t="s">
        <v>1961</v>
      </c>
      <c r="G647" t="s">
        <v>2</v>
      </c>
      <c r="H647" t="s">
        <v>30</v>
      </c>
      <c r="I647">
        <v>-8.8170000000000002</v>
      </c>
      <c r="J647">
        <v>-75.2</v>
      </c>
      <c r="L647" t="s">
        <v>1957</v>
      </c>
      <c r="M647" t="s">
        <v>245</v>
      </c>
      <c r="N647" t="s">
        <v>1960</v>
      </c>
      <c r="O647" t="s">
        <v>1961</v>
      </c>
      <c r="P647" t="s">
        <v>2</v>
      </c>
      <c r="Q647" t="s">
        <v>30</v>
      </c>
      <c r="R647">
        <v>-8.5169999999999995</v>
      </c>
      <c r="S647">
        <v>-74.766999999999996</v>
      </c>
      <c r="AV647" t="s">
        <v>1962</v>
      </c>
      <c r="AW647">
        <v>625</v>
      </c>
      <c r="AX647" t="s">
        <v>29</v>
      </c>
      <c r="AY647">
        <v>2</v>
      </c>
      <c r="AZ647" t="s">
        <v>1963</v>
      </c>
      <c r="BA647">
        <v>2009</v>
      </c>
      <c r="BB647">
        <v>2010</v>
      </c>
      <c r="BC647" t="s">
        <v>1964</v>
      </c>
      <c r="BD647" t="s">
        <v>1983</v>
      </c>
      <c r="BE647" t="s">
        <v>1994</v>
      </c>
      <c r="BF647" t="s">
        <v>57</v>
      </c>
      <c r="BG647" t="s">
        <v>1233</v>
      </c>
      <c r="BH647" t="s">
        <v>1995</v>
      </c>
      <c r="BI647" t="s">
        <v>29</v>
      </c>
      <c r="BJ647" t="s">
        <v>29</v>
      </c>
      <c r="BK647" t="s">
        <v>29</v>
      </c>
      <c r="EE647" t="s">
        <v>1996</v>
      </c>
      <c r="EF647" t="s">
        <v>1987</v>
      </c>
      <c r="EG647">
        <v>0.24</v>
      </c>
      <c r="EH647" t="s">
        <v>2037</v>
      </c>
      <c r="EI647" t="s">
        <v>1997</v>
      </c>
      <c r="EJ647" s="9" t="s">
        <v>1987</v>
      </c>
      <c r="EK647" s="139">
        <v>0.24</v>
      </c>
      <c r="EL647" s="9"/>
      <c r="EM647" s="9" t="s">
        <v>1998</v>
      </c>
      <c r="EN647" s="9" t="s">
        <v>1987</v>
      </c>
      <c r="EO647" s="9" t="s">
        <v>29</v>
      </c>
      <c r="EP647" s="9"/>
      <c r="EQ647" s="9" t="s">
        <v>1999</v>
      </c>
      <c r="ER647" s="9" t="s">
        <v>1987</v>
      </c>
      <c r="ES647" s="9" t="s">
        <v>29</v>
      </c>
      <c r="ET647" s="9"/>
      <c r="EU647" s="9" t="s">
        <v>2000</v>
      </c>
      <c r="EV647" s="9" t="s">
        <v>1987</v>
      </c>
      <c r="EW647" s="9" t="s">
        <v>29</v>
      </c>
      <c r="EX647" s="9"/>
      <c r="EY647" s="9"/>
      <c r="EZ647" s="9"/>
      <c r="FA647" s="9"/>
      <c r="FB647" s="9"/>
      <c r="FC647" s="9"/>
      <c r="FD647" s="9"/>
      <c r="FE647" s="9"/>
      <c r="FF647" s="9"/>
      <c r="FG647" s="9"/>
      <c r="FH647" s="9"/>
      <c r="FI647" s="9"/>
      <c r="FJ647" s="9"/>
      <c r="FK647" s="9"/>
      <c r="FL647" s="9"/>
      <c r="FM647" s="9"/>
      <c r="FN647" s="9"/>
      <c r="FO647" s="9"/>
      <c r="FP647" s="9"/>
      <c r="FQ647" s="9"/>
      <c r="FR647" s="9"/>
      <c r="FS647" s="9"/>
      <c r="FT647" s="9"/>
      <c r="FU647" s="9"/>
      <c r="FV647" s="9"/>
      <c r="FW647" s="9"/>
      <c r="FX647" s="9"/>
      <c r="FY647" s="9"/>
      <c r="FZ647" s="9"/>
      <c r="GA647" s="9"/>
      <c r="GB647" s="9"/>
      <c r="GC647" s="9"/>
      <c r="GD647" s="9"/>
      <c r="GE647" s="9"/>
      <c r="GF647" s="9"/>
      <c r="GG647" s="9"/>
      <c r="GH647" s="9"/>
      <c r="GI647" s="9"/>
      <c r="GJ647" s="9"/>
      <c r="GK647" s="9"/>
      <c r="GL647" s="9"/>
      <c r="GM647" s="9"/>
      <c r="GN647" s="9"/>
      <c r="GO647" s="9"/>
      <c r="GP647" s="9"/>
      <c r="GQ647" s="9"/>
      <c r="GR647" s="9"/>
      <c r="GS647" s="9"/>
      <c r="GT647" s="9"/>
      <c r="GU647" s="9"/>
      <c r="GV647" s="9"/>
      <c r="GW647" s="9"/>
      <c r="GX647" s="9"/>
      <c r="GY647" s="9"/>
      <c r="GZ647" s="9"/>
      <c r="HA647" s="9"/>
      <c r="HB647" s="9"/>
      <c r="HC647" s="9"/>
      <c r="HD647" s="9"/>
      <c r="HE647" s="9"/>
      <c r="HF647" s="9"/>
      <c r="HG647" s="9"/>
      <c r="HH647" s="9"/>
      <c r="HI647" s="9"/>
      <c r="HJ647" s="9"/>
      <c r="HK647" s="9"/>
      <c r="HL647" s="9" t="s">
        <v>1988</v>
      </c>
      <c r="HM647" s="9" t="s">
        <v>232</v>
      </c>
      <c r="HZ647" s="58"/>
      <c r="IW647" t="s">
        <v>2001</v>
      </c>
      <c r="IX647" t="s">
        <v>1990</v>
      </c>
      <c r="IY647" t="s">
        <v>2002</v>
      </c>
      <c r="JB647">
        <v>50</v>
      </c>
      <c r="JE647">
        <v>12</v>
      </c>
      <c r="JQ647" s="9"/>
      <c r="KA647" s="9"/>
      <c r="KS647" s="9"/>
      <c r="KT647" s="9"/>
      <c r="KU647" s="9"/>
      <c r="KV647" s="9"/>
      <c r="MZ647" t="s">
        <v>1968</v>
      </c>
      <c r="NA647">
        <v>625</v>
      </c>
      <c r="NB647" t="s">
        <v>1969</v>
      </c>
      <c r="NC647" t="s">
        <v>1973</v>
      </c>
      <c r="ND647" t="s">
        <v>1974</v>
      </c>
      <c r="NE647" t="s">
        <v>1975</v>
      </c>
      <c r="NF647" t="s">
        <v>1976</v>
      </c>
      <c r="NG647" t="s">
        <v>1977</v>
      </c>
      <c r="NK647" t="s">
        <v>2017</v>
      </c>
      <c r="NL647" t="s">
        <v>2018</v>
      </c>
      <c r="NM647" t="s">
        <v>2019</v>
      </c>
      <c r="NN647" t="s">
        <v>2020</v>
      </c>
      <c r="NV647" t="s">
        <v>2003</v>
      </c>
      <c r="NW647" t="s">
        <v>1979</v>
      </c>
      <c r="NX647">
        <v>4.09</v>
      </c>
      <c r="NY647" t="s">
        <v>29</v>
      </c>
      <c r="NZ647" t="s">
        <v>29</v>
      </c>
      <c r="OC647">
        <v>32</v>
      </c>
      <c r="OT647" t="s">
        <v>1980</v>
      </c>
      <c r="OU647" s="19"/>
      <c r="OW647">
        <v>2009</v>
      </c>
      <c r="OX647">
        <v>2010</v>
      </c>
      <c r="PA647" t="s">
        <v>1981</v>
      </c>
      <c r="PB647" s="58">
        <v>46133</v>
      </c>
    </row>
    <row r="648" spans="1:423">
      <c r="A648" s="87" t="s">
        <v>36</v>
      </c>
      <c r="B648" s="87" t="s">
        <v>1956</v>
      </c>
      <c r="C648" s="87" t="s">
        <v>1957</v>
      </c>
      <c r="D648" s="87" t="s">
        <v>245</v>
      </c>
      <c r="E648" s="87" t="s">
        <v>1993</v>
      </c>
      <c r="F648" s="87" t="s">
        <v>1961</v>
      </c>
      <c r="G648" s="87" t="s">
        <v>2</v>
      </c>
      <c r="H648" s="87" t="s">
        <v>30</v>
      </c>
      <c r="I648" s="87">
        <v>-8.8170000000000002</v>
      </c>
      <c r="J648" s="87">
        <v>-75.2</v>
      </c>
      <c r="K648" s="87"/>
      <c r="L648" s="87" t="s">
        <v>1957</v>
      </c>
      <c r="M648" s="87" t="s">
        <v>245</v>
      </c>
      <c r="N648" s="87" t="s">
        <v>1960</v>
      </c>
      <c r="O648" s="87" t="s">
        <v>1961</v>
      </c>
      <c r="P648" s="87" t="s">
        <v>2</v>
      </c>
      <c r="Q648" s="87" t="s">
        <v>30</v>
      </c>
      <c r="R648" s="87">
        <v>-8.5169999999999995</v>
      </c>
      <c r="S648" s="87">
        <v>-74.766999999999996</v>
      </c>
      <c r="T648" s="87"/>
      <c r="U648" s="87" t="s">
        <v>1957</v>
      </c>
      <c r="V648" s="87" t="s">
        <v>245</v>
      </c>
      <c r="W648" s="87" t="s">
        <v>1982</v>
      </c>
      <c r="X648" s="87" t="s">
        <v>1961</v>
      </c>
      <c r="Y648" s="87" t="s">
        <v>2</v>
      </c>
      <c r="Z648" s="87" t="s">
        <v>30</v>
      </c>
      <c r="AA648" s="87">
        <v>-8.3670000000000009</v>
      </c>
      <c r="AB648" s="87">
        <v>-74.7</v>
      </c>
      <c r="AC648" s="87"/>
      <c r="AD648" s="87"/>
      <c r="AE648" s="87"/>
      <c r="AF648" s="87"/>
      <c r="AG648" s="87"/>
      <c r="AH648" s="87"/>
      <c r="AI648" s="87"/>
      <c r="AJ648" s="87"/>
      <c r="AK648" s="87"/>
      <c r="AL648" s="87"/>
      <c r="AM648" s="87"/>
      <c r="AN648" s="87"/>
      <c r="AO648" s="87"/>
      <c r="AP648" s="87"/>
      <c r="AQ648" s="87"/>
      <c r="AR648" s="87"/>
      <c r="AS648" s="87"/>
      <c r="AT648" s="87"/>
      <c r="AU648" s="87"/>
      <c r="AV648" s="87" t="s">
        <v>1962</v>
      </c>
      <c r="AW648" s="87">
        <v>625</v>
      </c>
      <c r="AX648" s="87" t="s">
        <v>29</v>
      </c>
      <c r="AY648" s="87">
        <v>2</v>
      </c>
      <c r="AZ648" s="87" t="s">
        <v>1963</v>
      </c>
      <c r="BA648" s="87">
        <v>2009</v>
      </c>
      <c r="BB648" s="87">
        <v>2010</v>
      </c>
      <c r="BC648" s="87" t="s">
        <v>1964</v>
      </c>
      <c r="BD648" s="87" t="s">
        <v>19</v>
      </c>
      <c r="BE648" s="87" t="s">
        <v>2004</v>
      </c>
      <c r="BF648" s="87" t="s">
        <v>24</v>
      </c>
      <c r="BG648" s="87" t="s">
        <v>1233</v>
      </c>
      <c r="BH648" s="87" t="s">
        <v>2005</v>
      </c>
      <c r="BI648" s="87" t="s">
        <v>29</v>
      </c>
      <c r="BJ648" s="87" t="s">
        <v>29</v>
      </c>
      <c r="BK648" s="87" t="s">
        <v>29</v>
      </c>
      <c r="BL648" s="87"/>
      <c r="BM648" s="87"/>
      <c r="BN648" s="87"/>
      <c r="BO648" s="87"/>
      <c r="BP648" s="87"/>
      <c r="BQ648" s="87"/>
      <c r="BR648" s="87"/>
      <c r="BS648" s="87"/>
      <c r="BT648" s="87"/>
      <c r="BU648" s="87"/>
      <c r="BV648" s="87"/>
      <c r="BW648" s="87"/>
      <c r="BX648" s="87"/>
      <c r="BY648" s="87"/>
      <c r="BZ648" s="87"/>
      <c r="CA648" s="87"/>
      <c r="CB648" s="87"/>
      <c r="CC648" s="87"/>
      <c r="CD648" s="87"/>
      <c r="CE648" s="87"/>
      <c r="CF648" s="87"/>
      <c r="CG648" s="87"/>
      <c r="CH648" s="87"/>
      <c r="CI648" s="87"/>
      <c r="CJ648" s="87"/>
      <c r="CK648" s="87"/>
      <c r="CL648" s="87"/>
      <c r="CM648" s="87"/>
      <c r="CN648" s="87"/>
      <c r="CO648" s="87"/>
      <c r="CP648" s="87"/>
      <c r="CQ648" s="87"/>
      <c r="CR648" s="87"/>
      <c r="CS648" s="87"/>
      <c r="CT648" s="87"/>
      <c r="CU648" s="87"/>
      <c r="CV648" s="87"/>
      <c r="CW648" s="87"/>
      <c r="CX648" s="87"/>
      <c r="CY648" s="87"/>
      <c r="CZ648" s="87"/>
      <c r="DA648" s="87"/>
      <c r="DB648" s="87"/>
      <c r="DC648" s="87"/>
      <c r="DD648" s="87"/>
      <c r="DE648" s="87"/>
      <c r="DF648" s="87"/>
      <c r="DG648" s="87"/>
      <c r="DH648" s="87"/>
      <c r="DI648" s="87"/>
      <c r="DJ648" s="87"/>
      <c r="DK648" s="87"/>
      <c r="DL648" s="87"/>
      <c r="DM648" s="87"/>
      <c r="DN648" s="87"/>
      <c r="DO648" s="87"/>
      <c r="DP648" s="87"/>
      <c r="DQ648" s="87"/>
      <c r="DR648" s="87"/>
      <c r="DS648" s="87"/>
      <c r="DT648" s="87"/>
      <c r="DU648" s="87"/>
      <c r="DV648" s="87"/>
      <c r="DW648" s="87"/>
      <c r="DX648" s="87"/>
      <c r="DY648" s="87"/>
      <c r="DZ648" s="87"/>
      <c r="EA648" s="87"/>
      <c r="EB648" s="87"/>
      <c r="EC648" s="87"/>
      <c r="ED648" s="87"/>
      <c r="EE648" s="87"/>
      <c r="EF648" s="87"/>
      <c r="EG648" s="87"/>
      <c r="EH648" s="87"/>
      <c r="EI648" s="87"/>
      <c r="EJ648" s="139"/>
      <c r="EK648" s="139"/>
      <c r="EL648" s="139"/>
      <c r="EM648" s="139"/>
      <c r="EN648" s="139"/>
      <c r="EO648" s="139"/>
      <c r="EP648" s="139"/>
      <c r="EQ648" s="139"/>
      <c r="ER648" s="139"/>
      <c r="ES648" s="139"/>
      <c r="ET648" s="139"/>
      <c r="EU648" s="139"/>
      <c r="EV648" s="139"/>
      <c r="EW648" s="139"/>
      <c r="EX648" s="139"/>
      <c r="EY648" s="139"/>
      <c r="EZ648" s="139"/>
      <c r="FA648" s="139"/>
      <c r="FB648" s="139"/>
      <c r="FC648" s="139"/>
      <c r="FD648" s="139"/>
      <c r="FE648" s="139"/>
      <c r="FF648" s="139"/>
      <c r="FG648" s="139"/>
      <c r="FH648" s="139"/>
      <c r="FI648" s="139"/>
      <c r="FJ648" s="139"/>
      <c r="FK648" s="139"/>
      <c r="FL648" s="139"/>
      <c r="FM648" s="139"/>
      <c r="FN648" s="139"/>
      <c r="FO648" s="139"/>
      <c r="FP648" s="139"/>
      <c r="FQ648" s="139"/>
      <c r="FR648" s="139"/>
      <c r="FS648" s="139"/>
      <c r="FT648" s="139"/>
      <c r="FU648" s="139"/>
      <c r="FV648" s="139"/>
      <c r="FW648" s="139"/>
      <c r="FX648" s="139"/>
      <c r="FY648" s="139"/>
      <c r="FZ648" s="139"/>
      <c r="GA648" s="139"/>
      <c r="GB648" s="139"/>
      <c r="GC648" s="139"/>
      <c r="GD648" s="139"/>
      <c r="GE648" s="139"/>
      <c r="GF648" s="139"/>
      <c r="GG648" s="139"/>
      <c r="GH648" s="139"/>
      <c r="GI648" s="139"/>
      <c r="GJ648" s="139"/>
      <c r="GK648" s="139"/>
      <c r="GL648" s="139"/>
      <c r="GM648" s="139"/>
      <c r="GN648" s="139"/>
      <c r="GO648" s="139"/>
      <c r="GP648" s="139"/>
      <c r="GQ648" s="139"/>
      <c r="GR648" s="139"/>
      <c r="GS648" s="139"/>
      <c r="GT648" s="139"/>
      <c r="GU648" s="139"/>
      <c r="GV648" s="139"/>
      <c r="GW648" s="139"/>
      <c r="GX648" s="139"/>
      <c r="GY648" s="139"/>
      <c r="GZ648" s="139"/>
      <c r="HA648" s="139"/>
      <c r="HB648" s="139"/>
      <c r="HC648" s="139"/>
      <c r="HD648" s="139"/>
      <c r="HE648" s="139"/>
      <c r="HF648" s="139"/>
      <c r="HG648" s="139"/>
      <c r="HH648" s="139"/>
      <c r="HI648" s="139"/>
      <c r="HJ648" s="139"/>
      <c r="HK648" s="139"/>
      <c r="HL648" s="139" t="s">
        <v>2006</v>
      </c>
      <c r="HM648" s="139" t="s">
        <v>297</v>
      </c>
      <c r="HN648" s="87" t="s">
        <v>12</v>
      </c>
      <c r="HO648" s="87"/>
      <c r="HP648" s="87"/>
      <c r="HQ648" s="87"/>
      <c r="HR648" s="87"/>
      <c r="HS648" s="87"/>
      <c r="HT648" s="87"/>
      <c r="HU648" s="87"/>
      <c r="HV648" s="87"/>
      <c r="HW648" s="87"/>
      <c r="HX648" s="87"/>
      <c r="HY648" s="87"/>
      <c r="HZ648" s="140"/>
      <c r="IA648" s="87"/>
      <c r="IB648" s="87"/>
      <c r="IC648" s="87"/>
      <c r="ID648" s="87"/>
      <c r="IE648" s="87"/>
      <c r="IF648" s="87"/>
      <c r="IG648" s="87"/>
      <c r="IH648" s="87"/>
      <c r="II648" s="87"/>
      <c r="IJ648" s="87"/>
      <c r="IK648" s="87"/>
      <c r="IL648" s="87"/>
      <c r="IM648" s="87"/>
      <c r="IN648" s="87"/>
      <c r="IO648" s="87"/>
      <c r="IP648" s="87"/>
      <c r="IQ648" s="87"/>
      <c r="IR648" s="87"/>
      <c r="IS648" s="87"/>
      <c r="IT648" s="87"/>
      <c r="IU648" s="87"/>
      <c r="IV648" s="87"/>
      <c r="IW648" s="87"/>
      <c r="IX648" s="87"/>
      <c r="IY648" s="87"/>
      <c r="IZ648" s="87"/>
      <c r="JA648" s="87"/>
      <c r="JB648" s="87"/>
      <c r="JC648" s="87"/>
      <c r="JD648" s="87"/>
      <c r="JE648" s="87"/>
      <c r="JF648" s="87"/>
      <c r="JG648" s="87"/>
      <c r="JH648" s="87"/>
      <c r="JI648" s="87"/>
      <c r="JJ648" s="87"/>
      <c r="JK648" s="87"/>
      <c r="JL648" s="87"/>
      <c r="JM648" s="87"/>
      <c r="JN648" s="87"/>
      <c r="JO648" s="87"/>
      <c r="JP648" s="87"/>
      <c r="JQ648" s="146"/>
      <c r="JR648" s="87"/>
      <c r="JS648" s="87"/>
      <c r="JT648" s="87"/>
      <c r="JU648" s="87"/>
      <c r="JV648" s="87"/>
      <c r="JW648" s="87"/>
      <c r="JX648" s="87"/>
      <c r="JY648" s="87"/>
      <c r="JZ648" s="87"/>
      <c r="KA648" s="146"/>
      <c r="KB648" s="87"/>
      <c r="KC648" s="87"/>
      <c r="KD648" s="87"/>
      <c r="KE648" s="87"/>
      <c r="KF648" s="87"/>
      <c r="KG648" s="87"/>
      <c r="KH648" s="87"/>
      <c r="KI648" s="87"/>
      <c r="KJ648" s="87"/>
      <c r="KK648" s="87"/>
      <c r="KL648" s="87"/>
      <c r="KM648" s="87"/>
      <c r="KN648" s="87"/>
      <c r="KO648" s="87"/>
      <c r="KP648" s="87"/>
      <c r="KQ648" s="87"/>
      <c r="KR648" s="87"/>
      <c r="KS648" s="146"/>
      <c r="KT648" s="146"/>
      <c r="KU648" s="146"/>
      <c r="KV648" s="146"/>
      <c r="KW648" s="87"/>
      <c r="KX648" s="87"/>
      <c r="KY648" s="87"/>
      <c r="KZ648" s="87"/>
      <c r="LA648" s="87"/>
      <c r="LB648" s="87"/>
      <c r="LC648" s="87"/>
      <c r="LD648" s="87"/>
      <c r="LE648" s="87"/>
      <c r="LF648" s="87"/>
      <c r="LG648" s="87"/>
      <c r="LH648" s="87"/>
      <c r="LI648" s="87"/>
      <c r="LJ648" s="87"/>
      <c r="LK648" s="87"/>
      <c r="LL648" s="87"/>
      <c r="LM648" s="87"/>
      <c r="LN648" s="87"/>
      <c r="LO648" s="87"/>
      <c r="LP648" s="87"/>
      <c r="LQ648" s="87"/>
      <c r="LR648" s="87"/>
      <c r="LS648" s="87"/>
      <c r="LT648" s="87"/>
      <c r="LU648" s="87"/>
      <c r="LV648" s="87"/>
      <c r="LW648" s="87"/>
      <c r="LX648" s="87"/>
      <c r="LY648" s="87"/>
      <c r="LZ648" s="87"/>
      <c r="MA648" s="87"/>
      <c r="MB648" s="87"/>
      <c r="MC648" s="87"/>
      <c r="MD648" s="87"/>
      <c r="ME648" s="87"/>
      <c r="MF648" s="87"/>
      <c r="MG648" s="87"/>
      <c r="MH648" s="87"/>
      <c r="MI648" s="87"/>
      <c r="MJ648" s="87"/>
      <c r="MK648" s="87"/>
      <c r="ML648" s="87"/>
      <c r="MM648" s="87"/>
      <c r="MN648" s="87"/>
      <c r="MO648" s="87"/>
      <c r="MP648" s="87"/>
      <c r="MQ648" s="87"/>
      <c r="MR648" s="87"/>
      <c r="MS648" s="87"/>
      <c r="MT648" s="87"/>
      <c r="MU648" s="87"/>
      <c r="MV648" s="87"/>
      <c r="MW648" s="87"/>
      <c r="MX648" s="87"/>
      <c r="MY648" s="87"/>
      <c r="MZ648" s="87" t="s">
        <v>1968</v>
      </c>
      <c r="NA648" s="87">
        <v>625</v>
      </c>
      <c r="NB648" s="87" t="s">
        <v>1969</v>
      </c>
      <c r="NC648" s="87" t="s">
        <v>1973</v>
      </c>
      <c r="ND648" s="87" t="s">
        <v>1974</v>
      </c>
      <c r="NE648" s="87" t="s">
        <v>1975</v>
      </c>
      <c r="NF648" s="87" t="s">
        <v>1976</v>
      </c>
      <c r="NG648" s="87" t="s">
        <v>1977</v>
      </c>
      <c r="NH648" s="87"/>
      <c r="NI648" s="87"/>
      <c r="NJ648" s="87"/>
      <c r="NK648" s="87" t="s">
        <v>2017</v>
      </c>
      <c r="NL648" s="87" t="s">
        <v>2018</v>
      </c>
      <c r="NM648" s="87" t="s">
        <v>2019</v>
      </c>
      <c r="NN648" s="87" t="s">
        <v>2020</v>
      </c>
      <c r="NO648" s="87"/>
      <c r="NP648" s="87"/>
      <c r="NQ648" s="87"/>
      <c r="NR648" s="87"/>
      <c r="NS648" s="87"/>
      <c r="NT648" s="87"/>
      <c r="NU648" s="87"/>
      <c r="NV648" s="87" t="s">
        <v>2007</v>
      </c>
      <c r="NW648" s="87" t="s">
        <v>1979</v>
      </c>
      <c r="NX648" s="87">
        <v>4.07</v>
      </c>
      <c r="NY648" s="87" t="s">
        <v>29</v>
      </c>
      <c r="NZ648" s="87" t="s">
        <v>29</v>
      </c>
      <c r="OA648" s="87"/>
      <c r="OB648" s="87"/>
      <c r="OC648" s="87">
        <v>32</v>
      </c>
      <c r="OD648" s="87"/>
      <c r="OE648" s="87"/>
      <c r="OF648" s="87"/>
      <c r="OG648" s="87"/>
      <c r="OH648" s="87"/>
      <c r="OI648" s="87"/>
      <c r="OJ648" s="87"/>
      <c r="OK648" s="87"/>
      <c r="OL648" s="87"/>
      <c r="OM648" s="87"/>
      <c r="ON648" s="87"/>
      <c r="OO648" s="87"/>
      <c r="OP648" s="87"/>
      <c r="OQ648" s="87"/>
      <c r="OR648" s="87"/>
      <c r="OS648" s="87"/>
      <c r="OT648" s="87" t="s">
        <v>1980</v>
      </c>
      <c r="OU648" s="144"/>
      <c r="OV648" s="87"/>
      <c r="OW648" s="87">
        <v>2009</v>
      </c>
      <c r="OX648" s="87">
        <v>2010</v>
      </c>
      <c r="OY648" s="87"/>
      <c r="OZ648" s="87"/>
      <c r="PA648" s="87" t="s">
        <v>1981</v>
      </c>
      <c r="PB648" s="140">
        <v>46133</v>
      </c>
      <c r="PC648" s="87"/>
      <c r="PD648" s="87"/>
      <c r="PE648" s="87"/>
      <c r="PF648" s="87"/>
      <c r="PG648" s="138"/>
    </row>
    <row r="649" spans="1:423">
      <c r="A649" t="s">
        <v>36</v>
      </c>
      <c r="B649" t="s">
        <v>1956</v>
      </c>
      <c r="C649" t="s">
        <v>1957</v>
      </c>
      <c r="D649" t="s">
        <v>245</v>
      </c>
      <c r="E649" t="s">
        <v>1993</v>
      </c>
      <c r="F649" t="s">
        <v>1961</v>
      </c>
      <c r="G649" t="s">
        <v>2</v>
      </c>
      <c r="H649" t="s">
        <v>30</v>
      </c>
      <c r="I649">
        <v>-8.8170000000000002</v>
      </c>
      <c r="J649">
        <v>-75.2</v>
      </c>
      <c r="L649" t="s">
        <v>1957</v>
      </c>
      <c r="M649" t="s">
        <v>245</v>
      </c>
      <c r="N649" t="s">
        <v>1960</v>
      </c>
      <c r="O649" t="s">
        <v>1961</v>
      </c>
      <c r="P649" t="s">
        <v>2</v>
      </c>
      <c r="Q649" t="s">
        <v>30</v>
      </c>
      <c r="R649">
        <v>-8.5169999999999995</v>
      </c>
      <c r="S649">
        <v>-74.766999999999996</v>
      </c>
      <c r="U649" t="s">
        <v>1957</v>
      </c>
      <c r="V649" t="s">
        <v>245</v>
      </c>
      <c r="W649" t="s">
        <v>1982</v>
      </c>
      <c r="X649" t="s">
        <v>1961</v>
      </c>
      <c r="Y649" t="s">
        <v>2</v>
      </c>
      <c r="Z649" t="s">
        <v>30</v>
      </c>
      <c r="AA649">
        <v>-8.3670000000000009</v>
      </c>
      <c r="AB649">
        <v>-74.7</v>
      </c>
      <c r="AV649" t="s">
        <v>1962</v>
      </c>
      <c r="AW649">
        <v>625</v>
      </c>
      <c r="AX649" t="s">
        <v>29</v>
      </c>
      <c r="AY649">
        <v>2</v>
      </c>
      <c r="AZ649" t="s">
        <v>1963</v>
      </c>
      <c r="BA649">
        <v>2009</v>
      </c>
      <c r="BB649">
        <v>2010</v>
      </c>
      <c r="BC649" t="s">
        <v>1964</v>
      </c>
      <c r="BD649" t="s">
        <v>2036</v>
      </c>
      <c r="BE649" t="s">
        <v>2008</v>
      </c>
      <c r="BF649" t="s">
        <v>299</v>
      </c>
      <c r="BG649" t="s">
        <v>1779</v>
      </c>
      <c r="BH649" t="s">
        <v>2009</v>
      </c>
      <c r="BI649" t="s">
        <v>29</v>
      </c>
      <c r="BJ649" t="s">
        <v>29</v>
      </c>
      <c r="BK649" t="s">
        <v>29</v>
      </c>
      <c r="EJ649" s="9"/>
      <c r="EK649" s="9"/>
      <c r="EL649" s="9"/>
      <c r="EM649" s="9"/>
      <c r="EN649" s="9"/>
      <c r="EO649" s="9"/>
      <c r="EP649" s="9"/>
      <c r="EQ649" s="9"/>
      <c r="ER649" s="9"/>
      <c r="ES649" s="9"/>
      <c r="ET649" s="9"/>
      <c r="EU649" s="9"/>
      <c r="EV649" s="9"/>
      <c r="EW649" s="9"/>
      <c r="EX649" s="9"/>
      <c r="EY649" s="9"/>
      <c r="EZ649" s="9"/>
      <c r="FA649" s="9"/>
      <c r="FB649" s="9"/>
      <c r="FC649" s="9"/>
      <c r="FD649" s="9"/>
      <c r="FE649" s="9"/>
      <c r="FF649" s="9"/>
      <c r="FG649" s="9"/>
      <c r="FH649" s="9"/>
      <c r="FI649" s="9"/>
      <c r="FJ649" s="9"/>
      <c r="FK649" s="9"/>
      <c r="FL649" s="9"/>
      <c r="FM649" s="9"/>
      <c r="FN649" s="9"/>
      <c r="FO649" s="9"/>
      <c r="FP649" s="9"/>
      <c r="FQ649" s="9"/>
      <c r="FR649" s="9"/>
      <c r="FS649" s="9"/>
      <c r="FT649" s="9"/>
      <c r="FU649" s="9"/>
      <c r="FV649" s="9"/>
      <c r="FW649" s="9"/>
      <c r="FX649" s="9"/>
      <c r="FY649" s="9"/>
      <c r="FZ649" s="9"/>
      <c r="GA649" s="9"/>
      <c r="GB649" s="9"/>
      <c r="GC649" s="9"/>
      <c r="GD649" s="9"/>
      <c r="GE649" s="9"/>
      <c r="GF649" s="9"/>
      <c r="GG649" s="9"/>
      <c r="GH649" s="9"/>
      <c r="GI649" s="9"/>
      <c r="GJ649" s="9"/>
      <c r="GK649" s="9"/>
      <c r="GL649" s="9"/>
      <c r="GM649" s="9"/>
      <c r="GN649" s="9"/>
      <c r="GO649" s="9"/>
      <c r="GP649" s="9"/>
      <c r="GQ649" s="9"/>
      <c r="GR649" s="9"/>
      <c r="GS649" s="9"/>
      <c r="GT649" s="9"/>
      <c r="GU649" s="9"/>
      <c r="GV649" s="9"/>
      <c r="GW649" s="9"/>
      <c r="GX649" s="9"/>
      <c r="GY649" s="9"/>
      <c r="GZ649" s="9"/>
      <c r="HA649" s="9"/>
      <c r="HB649" s="9"/>
      <c r="HC649" s="9"/>
      <c r="HD649" s="9"/>
      <c r="HE649" s="9"/>
      <c r="HF649" s="9"/>
      <c r="HG649" s="9"/>
      <c r="HH649" s="9"/>
      <c r="HI649" s="9"/>
      <c r="HJ649" s="9"/>
      <c r="HK649" s="9"/>
      <c r="HL649" s="9" t="s">
        <v>2010</v>
      </c>
      <c r="HM649" s="9" t="s">
        <v>232</v>
      </c>
      <c r="HZ649" s="58"/>
      <c r="JQ649" s="9"/>
      <c r="KA649" s="9"/>
      <c r="KS649" s="9"/>
      <c r="KT649" s="9"/>
      <c r="KU649" s="9"/>
      <c r="KV649" s="9"/>
      <c r="MZ649" t="s">
        <v>1968</v>
      </c>
      <c r="NA649">
        <v>625</v>
      </c>
      <c r="NB649" t="s">
        <v>1969</v>
      </c>
      <c r="NC649" t="s">
        <v>1973</v>
      </c>
      <c r="ND649" t="s">
        <v>1974</v>
      </c>
      <c r="NE649" t="s">
        <v>1975</v>
      </c>
      <c r="NF649" t="s">
        <v>1976</v>
      </c>
      <c r="NG649" t="s">
        <v>1977</v>
      </c>
      <c r="NK649" t="s">
        <v>2017</v>
      </c>
      <c r="NL649" t="s">
        <v>2018</v>
      </c>
      <c r="NM649" t="s">
        <v>2019</v>
      </c>
      <c r="NN649" t="s">
        <v>2020</v>
      </c>
      <c r="NV649" t="s">
        <v>2011</v>
      </c>
      <c r="NW649" t="s">
        <v>1979</v>
      </c>
      <c r="NX649">
        <v>3.68</v>
      </c>
      <c r="NY649" t="s">
        <v>29</v>
      </c>
      <c r="NZ649" t="s">
        <v>29</v>
      </c>
      <c r="OC649">
        <v>32</v>
      </c>
      <c r="OT649" t="s">
        <v>1980</v>
      </c>
      <c r="OU649" s="19"/>
      <c r="OW649">
        <v>2009</v>
      </c>
      <c r="OX649">
        <v>2010</v>
      </c>
      <c r="PA649" t="s">
        <v>1981</v>
      </c>
      <c r="PB649" s="58">
        <v>46133</v>
      </c>
    </row>
    <row r="650" spans="1:423">
      <c r="A650" s="87" t="s">
        <v>36</v>
      </c>
      <c r="B650" s="87" t="s">
        <v>1956</v>
      </c>
      <c r="C650" s="87" t="s">
        <v>1957</v>
      </c>
      <c r="D650" s="87" t="s">
        <v>1936</v>
      </c>
      <c r="E650" s="87" t="s">
        <v>1958</v>
      </c>
      <c r="F650" s="87" t="s">
        <v>1959</v>
      </c>
      <c r="G650" s="87" t="s">
        <v>2</v>
      </c>
      <c r="H650" s="87" t="s">
        <v>30</v>
      </c>
      <c r="I650" s="87">
        <v>-8.9</v>
      </c>
      <c r="J650" s="87">
        <v>-74.983000000000004</v>
      </c>
      <c r="K650" s="87"/>
      <c r="L650" s="87" t="s">
        <v>1957</v>
      </c>
      <c r="M650" s="87" t="s">
        <v>245</v>
      </c>
      <c r="N650" s="87" t="s">
        <v>1960</v>
      </c>
      <c r="O650" s="87" t="s">
        <v>1961</v>
      </c>
      <c r="P650" s="87" t="s">
        <v>2</v>
      </c>
      <c r="Q650" s="87" t="s">
        <v>30</v>
      </c>
      <c r="R650" s="87">
        <v>-8.5169999999999995</v>
      </c>
      <c r="S650" s="87">
        <v>-74.766999999999996</v>
      </c>
      <c r="T650" s="87"/>
      <c r="U650" s="87"/>
      <c r="V650" s="87"/>
      <c r="W650" s="87"/>
      <c r="X650" s="87"/>
      <c r="Y650" s="87"/>
      <c r="Z650" s="87"/>
      <c r="AA650" s="87"/>
      <c r="AB650" s="87"/>
      <c r="AC650" s="87"/>
      <c r="AD650" s="87"/>
      <c r="AE650" s="87"/>
      <c r="AF650" s="87"/>
      <c r="AG650" s="87"/>
      <c r="AH650" s="87"/>
      <c r="AI650" s="87"/>
      <c r="AJ650" s="87"/>
      <c r="AK650" s="87"/>
      <c r="AL650" s="87"/>
      <c r="AM650" s="87"/>
      <c r="AN650" s="87"/>
      <c r="AO650" s="87"/>
      <c r="AP650" s="87"/>
      <c r="AQ650" s="87"/>
      <c r="AR650" s="87"/>
      <c r="AS650" s="87"/>
      <c r="AT650" s="87"/>
      <c r="AU650" s="87"/>
      <c r="AV650" s="87" t="s">
        <v>1962</v>
      </c>
      <c r="AW650" s="87">
        <v>625</v>
      </c>
      <c r="AX650" s="87" t="s">
        <v>29</v>
      </c>
      <c r="AY650" s="87">
        <v>2</v>
      </c>
      <c r="AZ650" s="87" t="s">
        <v>1963</v>
      </c>
      <c r="BA650" s="87">
        <v>2009</v>
      </c>
      <c r="BB650" s="87">
        <v>2010</v>
      </c>
      <c r="BC650" s="87" t="s">
        <v>1964</v>
      </c>
      <c r="BD650" s="87" t="s">
        <v>1966</v>
      </c>
      <c r="BE650" s="87" t="s">
        <v>1965</v>
      </c>
      <c r="BF650" s="87" t="s">
        <v>39</v>
      </c>
      <c r="BG650" s="87" t="s">
        <v>1743</v>
      </c>
      <c r="BH650" s="87"/>
      <c r="BI650" s="87"/>
      <c r="BJ650" s="87"/>
      <c r="BK650" s="87"/>
      <c r="BL650" s="87"/>
      <c r="BM650" s="87"/>
      <c r="BN650" s="87"/>
      <c r="BO650" s="87"/>
      <c r="BP650" s="87"/>
      <c r="BQ650" s="87"/>
      <c r="BR650" s="87"/>
      <c r="BS650" s="87"/>
      <c r="BT650" s="87"/>
      <c r="BU650" s="87"/>
      <c r="BV650" s="87"/>
      <c r="BW650" s="87"/>
      <c r="BX650" s="87"/>
      <c r="BY650" s="87"/>
      <c r="BZ650" s="87"/>
      <c r="CA650" s="87"/>
      <c r="CB650" s="87"/>
      <c r="CC650" s="87"/>
      <c r="CD650" s="87"/>
      <c r="CE650" s="87"/>
      <c r="CF650" s="87"/>
      <c r="CG650" s="87"/>
      <c r="CH650" s="87"/>
      <c r="CI650" s="87"/>
      <c r="CJ650" s="87"/>
      <c r="CK650" s="87"/>
      <c r="CL650" s="87"/>
      <c r="CM650" s="87"/>
      <c r="CN650" s="87"/>
      <c r="CO650" s="87"/>
      <c r="CP650" s="87"/>
      <c r="CQ650" s="87"/>
      <c r="CR650" s="87"/>
      <c r="CS650" s="87"/>
      <c r="CT650" s="87"/>
      <c r="CU650" s="87"/>
      <c r="CV650" s="87"/>
      <c r="CW650" s="87"/>
      <c r="CX650" s="87"/>
      <c r="CY650" s="87"/>
      <c r="CZ650" s="87"/>
      <c r="DA650" s="87"/>
      <c r="DB650" s="87"/>
      <c r="DC650" s="87"/>
      <c r="DD650" s="87"/>
      <c r="DE650" s="87"/>
      <c r="DF650" s="87"/>
      <c r="DG650" s="87"/>
      <c r="DH650" s="87"/>
      <c r="DI650" s="87"/>
      <c r="DJ650" s="87"/>
      <c r="DK650" s="87"/>
      <c r="DL650" s="87"/>
      <c r="DM650" s="87"/>
      <c r="DN650" s="87"/>
      <c r="DO650" s="87"/>
      <c r="DP650" s="87"/>
      <c r="DQ650" s="87"/>
      <c r="DR650" s="87"/>
      <c r="DS650" s="87"/>
      <c r="DT650" s="87"/>
      <c r="DU650" s="87"/>
      <c r="DV650" s="87"/>
      <c r="DW650" s="87"/>
      <c r="DX650" s="87"/>
      <c r="DY650" s="87"/>
      <c r="DZ650" s="87"/>
      <c r="EA650" s="87"/>
      <c r="EB650" s="87"/>
      <c r="EC650" s="87"/>
      <c r="ED650" s="87"/>
      <c r="EE650" s="87"/>
      <c r="EF650" s="87"/>
      <c r="EG650" s="87"/>
      <c r="EH650" s="87"/>
      <c r="EI650" s="87"/>
      <c r="EJ650" s="139"/>
      <c r="EK650" s="139"/>
      <c r="EL650" s="139"/>
      <c r="EM650" s="139"/>
      <c r="EN650" s="139"/>
      <c r="EO650" s="139"/>
      <c r="EP650" s="139"/>
      <c r="EQ650" s="139"/>
      <c r="ER650" s="139"/>
      <c r="ES650" s="139"/>
      <c r="ET650" s="139"/>
      <c r="EU650" s="139"/>
      <c r="EV650" s="139"/>
      <c r="EW650" s="139"/>
      <c r="EX650" s="139"/>
      <c r="EY650" s="139"/>
      <c r="EZ650" s="139"/>
      <c r="FA650" s="139"/>
      <c r="FB650" s="139"/>
      <c r="FC650" s="139"/>
      <c r="FD650" s="139"/>
      <c r="FE650" s="139"/>
      <c r="FF650" s="139"/>
      <c r="FG650" s="139"/>
      <c r="FH650" s="139"/>
      <c r="FI650" s="139"/>
      <c r="FJ650" s="139"/>
      <c r="FK650" s="139"/>
      <c r="FL650" s="139"/>
      <c r="FM650" s="139"/>
      <c r="FN650" s="139"/>
      <c r="FO650" s="139"/>
      <c r="FP650" s="139"/>
      <c r="FQ650" s="139"/>
      <c r="FR650" s="139"/>
      <c r="FS650" s="139"/>
      <c r="FT650" s="139"/>
      <c r="FU650" s="139"/>
      <c r="FV650" s="139"/>
      <c r="FW650" s="139"/>
      <c r="FX650" s="139"/>
      <c r="FY650" s="139"/>
      <c r="FZ650" s="139"/>
      <c r="GA650" s="139"/>
      <c r="GB650" s="139"/>
      <c r="GC650" s="139"/>
      <c r="GD650" s="139"/>
      <c r="GE650" s="139"/>
      <c r="GF650" s="139"/>
      <c r="GG650" s="139"/>
      <c r="GH650" s="139"/>
      <c r="GI650" s="139"/>
      <c r="GJ650" s="139"/>
      <c r="GK650" s="139"/>
      <c r="GL650" s="139"/>
      <c r="GM650" s="139"/>
      <c r="GN650" s="139"/>
      <c r="GO650" s="139"/>
      <c r="GP650" s="139"/>
      <c r="GQ650" s="139"/>
      <c r="GR650" s="139"/>
      <c r="GS650" s="139"/>
      <c r="GT650" s="139"/>
      <c r="GU650" s="139"/>
      <c r="GV650" s="139"/>
      <c r="GW650" s="139"/>
      <c r="GX650" s="139"/>
      <c r="GY650" s="139"/>
      <c r="GZ650" s="139"/>
      <c r="HA650" s="139"/>
      <c r="HB650" s="139"/>
      <c r="HC650" s="139"/>
      <c r="HD650" s="139"/>
      <c r="HE650" s="139"/>
      <c r="HF650" s="139"/>
      <c r="HG650" s="139"/>
      <c r="HH650" s="139"/>
      <c r="HI650" s="139"/>
      <c r="HJ650" s="139"/>
      <c r="HK650" s="139"/>
      <c r="HL650" s="139" t="s">
        <v>1967</v>
      </c>
      <c r="HM650" s="139" t="s">
        <v>232</v>
      </c>
      <c r="HN650" s="87"/>
      <c r="HO650" s="87"/>
      <c r="HP650" s="87"/>
      <c r="HQ650" s="87"/>
      <c r="HR650" s="87"/>
      <c r="HS650" s="87"/>
      <c r="HT650" s="87"/>
      <c r="HU650" s="87"/>
      <c r="HV650" s="87"/>
      <c r="HW650" s="87"/>
      <c r="HX650" s="87"/>
      <c r="HY650" s="87"/>
      <c r="HZ650" s="140"/>
      <c r="IA650" s="87"/>
      <c r="IB650" s="87"/>
      <c r="IC650" s="87"/>
      <c r="ID650" s="87"/>
      <c r="IE650" s="87"/>
      <c r="IF650" s="87"/>
      <c r="IG650" s="87"/>
      <c r="IH650" s="87"/>
      <c r="II650" s="87"/>
      <c r="IJ650" s="87"/>
      <c r="IK650" s="87"/>
      <c r="IL650" s="87"/>
      <c r="IM650" s="87"/>
      <c r="IN650" s="87"/>
      <c r="IO650" s="87"/>
      <c r="IP650" s="87"/>
      <c r="IQ650" s="87"/>
      <c r="IR650" s="87"/>
      <c r="IS650" s="87"/>
      <c r="IT650" s="87"/>
      <c r="IU650" s="87"/>
      <c r="IV650" s="87"/>
      <c r="IW650" s="87"/>
      <c r="IX650" s="87"/>
      <c r="IY650" s="87"/>
      <c r="IZ650" s="87"/>
      <c r="JA650" s="87">
        <v>20</v>
      </c>
      <c r="JB650" s="87">
        <v>95</v>
      </c>
      <c r="JC650" s="87"/>
      <c r="JD650" s="87"/>
      <c r="JE650" s="87"/>
      <c r="JF650" s="87"/>
      <c r="JG650" s="87"/>
      <c r="JH650" s="87"/>
      <c r="JI650" s="87"/>
      <c r="JJ650" s="87"/>
      <c r="JK650" s="87"/>
      <c r="JL650" s="87"/>
      <c r="JM650" s="87"/>
      <c r="JN650" s="87"/>
      <c r="JO650" s="87"/>
      <c r="JP650" s="87"/>
      <c r="JQ650" s="146"/>
      <c r="JR650" s="87"/>
      <c r="JS650" s="87"/>
      <c r="JT650" s="87"/>
      <c r="JU650" s="87"/>
      <c r="JV650" s="87"/>
      <c r="JW650" s="87"/>
      <c r="JX650" s="87"/>
      <c r="JY650" s="87"/>
      <c r="JZ650" s="87"/>
      <c r="KA650" s="146"/>
      <c r="KB650" s="87"/>
      <c r="KC650" s="87"/>
      <c r="KD650" s="87"/>
      <c r="KE650" s="87"/>
      <c r="KF650" s="87"/>
      <c r="KG650" s="87"/>
      <c r="KH650" s="87"/>
      <c r="KI650" s="87"/>
      <c r="KJ650" s="87"/>
      <c r="KK650" s="87"/>
      <c r="KL650" s="87"/>
      <c r="KM650" s="87"/>
      <c r="KN650" s="87"/>
      <c r="KO650" s="87"/>
      <c r="KP650" s="87"/>
      <c r="KQ650" s="87"/>
      <c r="KR650" s="87"/>
      <c r="KS650" s="146"/>
      <c r="KT650" s="146"/>
      <c r="KU650" s="146"/>
      <c r="KV650" s="146"/>
      <c r="KW650" s="87"/>
      <c r="KX650" s="87"/>
      <c r="KY650" s="87"/>
      <c r="KZ650" s="87"/>
      <c r="LA650" s="87"/>
      <c r="LB650" s="87"/>
      <c r="LC650" s="87"/>
      <c r="LD650" s="87"/>
      <c r="LE650" s="87"/>
      <c r="LF650" s="87"/>
      <c r="LG650" s="87"/>
      <c r="LH650" s="87"/>
      <c r="LI650" s="87"/>
      <c r="LJ650" s="87"/>
      <c r="LK650" s="87"/>
      <c r="LL650" s="87"/>
      <c r="LM650" s="87"/>
      <c r="LN650" s="87"/>
      <c r="LO650" s="87"/>
      <c r="LP650" s="87"/>
      <c r="LQ650" s="87"/>
      <c r="LR650" s="87"/>
      <c r="LS650" s="87"/>
      <c r="LT650" s="87"/>
      <c r="LU650" s="87"/>
      <c r="LV650" s="87"/>
      <c r="LW650" s="87"/>
      <c r="LX650" s="87"/>
      <c r="LY650" s="87"/>
      <c r="LZ650" s="87"/>
      <c r="MA650" s="87"/>
      <c r="MB650" s="87"/>
      <c r="MC650" s="87"/>
      <c r="MD650" s="87"/>
      <c r="ME650" s="87"/>
      <c r="MF650" s="87"/>
      <c r="MG650" s="87"/>
      <c r="MH650" s="87"/>
      <c r="MI650" s="87"/>
      <c r="MJ650" s="87"/>
      <c r="MK650" s="87"/>
      <c r="ML650" s="87"/>
      <c r="MM650" s="87"/>
      <c r="MN650" s="87"/>
      <c r="MO650" s="87"/>
      <c r="MP650" s="87"/>
      <c r="MQ650" s="87"/>
      <c r="MR650" s="87"/>
      <c r="MS650" s="87"/>
      <c r="MT650" s="87"/>
      <c r="MU650" s="87"/>
      <c r="MV650" s="87"/>
      <c r="MW650" s="87"/>
      <c r="MX650" s="87"/>
      <c r="MY650" s="87"/>
      <c r="MZ650" s="87" t="s">
        <v>1968</v>
      </c>
      <c r="NA650" s="87">
        <v>625</v>
      </c>
      <c r="NB650" s="87" t="s">
        <v>1969</v>
      </c>
      <c r="NC650" s="87" t="s">
        <v>1973</v>
      </c>
      <c r="ND650" s="87" t="s">
        <v>1974</v>
      </c>
      <c r="NE650" s="87" t="s">
        <v>1975</v>
      </c>
      <c r="NF650" s="87" t="s">
        <v>1976</v>
      </c>
      <c r="NG650" s="87" t="s">
        <v>1977</v>
      </c>
      <c r="NH650" s="87"/>
      <c r="NI650" s="87"/>
      <c r="NJ650" s="87"/>
      <c r="NK650" s="87" t="s">
        <v>2021</v>
      </c>
      <c r="NL650" s="87" t="s">
        <v>2022</v>
      </c>
      <c r="NM650" s="87" t="s">
        <v>2023</v>
      </c>
      <c r="NN650" s="87" t="s">
        <v>2024</v>
      </c>
      <c r="NO650" s="87"/>
      <c r="NP650" s="87"/>
      <c r="NQ650" s="87"/>
      <c r="NR650" s="87"/>
      <c r="NS650" s="87"/>
      <c r="NT650" s="87"/>
      <c r="NU650" s="87"/>
      <c r="NV650" s="87" t="s">
        <v>1978</v>
      </c>
      <c r="NW650" s="87" t="s">
        <v>1979</v>
      </c>
      <c r="NX650" s="87">
        <v>0.99099999999999999</v>
      </c>
      <c r="NY650" s="87" t="s">
        <v>29</v>
      </c>
      <c r="NZ650" s="87" t="s">
        <v>29</v>
      </c>
      <c r="OA650" s="87"/>
      <c r="OB650" s="87"/>
      <c r="OC650" s="87">
        <v>8</v>
      </c>
      <c r="OD650" s="87"/>
      <c r="OE650" s="87"/>
      <c r="OF650" s="87"/>
      <c r="OG650" s="87"/>
      <c r="OH650" s="87"/>
      <c r="OI650" s="87"/>
      <c r="OJ650" s="87"/>
      <c r="OK650" s="87"/>
      <c r="OL650" s="87"/>
      <c r="OM650" s="87"/>
      <c r="ON650" s="87"/>
      <c r="OO650" s="87"/>
      <c r="OP650" s="87"/>
      <c r="OQ650" s="87"/>
      <c r="OR650" s="87"/>
      <c r="OS650" s="87"/>
      <c r="OT650" s="87" t="s">
        <v>1980</v>
      </c>
      <c r="OU650" s="144"/>
      <c r="OV650" s="87"/>
      <c r="OW650" s="87">
        <v>2009</v>
      </c>
      <c r="OX650" s="87">
        <v>2010</v>
      </c>
      <c r="OY650" s="87"/>
      <c r="OZ650" s="87"/>
      <c r="PA650" s="87" t="s">
        <v>1981</v>
      </c>
      <c r="PB650" s="140">
        <v>46133</v>
      </c>
      <c r="PC650" s="87"/>
      <c r="PD650" s="87"/>
      <c r="PE650" s="87"/>
      <c r="PF650" s="87"/>
      <c r="PG650" s="138"/>
    </row>
    <row r="651" spans="1:423">
      <c r="A651" t="s">
        <v>36</v>
      </c>
      <c r="B651" t="s">
        <v>1956</v>
      </c>
      <c r="C651" t="s">
        <v>1957</v>
      </c>
      <c r="D651" t="s">
        <v>245</v>
      </c>
      <c r="E651" t="s">
        <v>1960</v>
      </c>
      <c r="F651" t="s">
        <v>1961</v>
      </c>
      <c r="G651" t="s">
        <v>2</v>
      </c>
      <c r="H651" t="s">
        <v>30</v>
      </c>
      <c r="I651">
        <v>-8.5169999999999995</v>
      </c>
      <c r="J651">
        <v>-74.766999999999996</v>
      </c>
      <c r="L651" t="s">
        <v>1957</v>
      </c>
      <c r="M651" t="s">
        <v>245</v>
      </c>
      <c r="N651" t="s">
        <v>1982</v>
      </c>
      <c r="O651" t="s">
        <v>1961</v>
      </c>
      <c r="P651" t="s">
        <v>2</v>
      </c>
      <c r="Q651" t="s">
        <v>30</v>
      </c>
      <c r="R651">
        <v>-8.3670000000000009</v>
      </c>
      <c r="S651">
        <v>-74.7</v>
      </c>
      <c r="AV651" t="s">
        <v>1962</v>
      </c>
      <c r="AW651">
        <v>625</v>
      </c>
      <c r="AX651" t="s">
        <v>29</v>
      </c>
      <c r="AY651">
        <v>2</v>
      </c>
      <c r="AZ651" t="s">
        <v>1963</v>
      </c>
      <c r="BA651">
        <v>2009</v>
      </c>
      <c r="BB651">
        <v>2010</v>
      </c>
      <c r="BC651" t="s">
        <v>1964</v>
      </c>
      <c r="BD651" t="s">
        <v>1990</v>
      </c>
      <c r="BE651" t="s">
        <v>1984</v>
      </c>
      <c r="BF651" t="s">
        <v>64</v>
      </c>
      <c r="BG651" t="s">
        <v>1233</v>
      </c>
      <c r="BH651" t="s">
        <v>1985</v>
      </c>
      <c r="BI651" t="s">
        <v>29</v>
      </c>
      <c r="BJ651" t="s">
        <v>29</v>
      </c>
      <c r="BK651" t="s">
        <v>29</v>
      </c>
      <c r="EE651" t="s">
        <v>1986</v>
      </c>
      <c r="EF651" t="s">
        <v>1987</v>
      </c>
      <c r="EG651">
        <v>0.24</v>
      </c>
      <c r="EH651" t="s">
        <v>1990</v>
      </c>
      <c r="EJ651" s="9"/>
      <c r="EK651" s="9"/>
      <c r="EL651" s="9"/>
      <c r="EM651" s="9"/>
      <c r="EN651" s="9"/>
      <c r="EO651" s="9"/>
      <c r="EP651" s="9"/>
      <c r="EQ651" s="9"/>
      <c r="ER651" s="9"/>
      <c r="ES651" s="9"/>
      <c r="ET651" s="9"/>
      <c r="EU651" s="9"/>
      <c r="EV651" s="9"/>
      <c r="EW651" s="9"/>
      <c r="EX651" s="9"/>
      <c r="EY651" s="9"/>
      <c r="EZ651" s="9"/>
      <c r="FA651" s="9"/>
      <c r="FB651" s="9"/>
      <c r="FC651" s="9"/>
      <c r="FD651" s="9"/>
      <c r="FE651" s="9"/>
      <c r="FF651" s="9"/>
      <c r="FG651" s="9"/>
      <c r="FH651" s="9"/>
      <c r="FI651" s="9"/>
      <c r="FJ651" s="9"/>
      <c r="FK651" s="9"/>
      <c r="FL651" s="9"/>
      <c r="FM651" s="9"/>
      <c r="FN651" s="9"/>
      <c r="FO651" s="9"/>
      <c r="FP651" s="9"/>
      <c r="FQ651" s="9"/>
      <c r="FR651" s="9"/>
      <c r="FS651" s="9"/>
      <c r="FT651" s="9"/>
      <c r="FU651" s="9"/>
      <c r="FV651" s="9"/>
      <c r="FW651" s="9"/>
      <c r="FX651" s="9"/>
      <c r="FY651" s="9"/>
      <c r="FZ651" s="9"/>
      <c r="GA651" s="9"/>
      <c r="GB651" s="9"/>
      <c r="GC651" s="9"/>
      <c r="GD651" s="9"/>
      <c r="GE651" s="9"/>
      <c r="GF651" s="9"/>
      <c r="GG651" s="9"/>
      <c r="GH651" s="9"/>
      <c r="GI651" s="9"/>
      <c r="GJ651" s="9"/>
      <c r="GK651" s="9"/>
      <c r="GL651" s="9"/>
      <c r="GM651" s="9"/>
      <c r="GN651" s="9"/>
      <c r="GO651" s="9"/>
      <c r="GP651" s="9"/>
      <c r="GQ651" s="9"/>
      <c r="GR651" s="9"/>
      <c r="GS651" s="9"/>
      <c r="GT651" s="9"/>
      <c r="GU651" s="9"/>
      <c r="GV651" s="9"/>
      <c r="GW651" s="9"/>
      <c r="GX651" s="9"/>
      <c r="GY651" s="9"/>
      <c r="GZ651" s="9"/>
      <c r="HA651" s="9"/>
      <c r="HB651" s="9"/>
      <c r="HC651" s="9"/>
      <c r="HD651" s="9"/>
      <c r="HE651" s="9"/>
      <c r="HF651" s="9"/>
      <c r="HG651" s="9"/>
      <c r="HH651" s="9"/>
      <c r="HI651" s="9"/>
      <c r="HJ651" s="9"/>
      <c r="HK651" s="9"/>
      <c r="HL651" s="9" t="s">
        <v>1988</v>
      </c>
      <c r="HM651" s="9" t="s">
        <v>232</v>
      </c>
      <c r="HZ651" s="58"/>
      <c r="IW651" t="s">
        <v>1989</v>
      </c>
      <c r="IX651" t="s">
        <v>1990</v>
      </c>
      <c r="IY651" t="s">
        <v>1991</v>
      </c>
      <c r="JA651">
        <v>6</v>
      </c>
      <c r="JB651">
        <v>77.5</v>
      </c>
      <c r="JC651">
        <v>75</v>
      </c>
      <c r="JD651">
        <v>80</v>
      </c>
      <c r="JE651">
        <v>7.5</v>
      </c>
      <c r="JF651">
        <v>6</v>
      </c>
      <c r="JG651">
        <v>9</v>
      </c>
      <c r="JQ651" s="9"/>
      <c r="KA651" s="9"/>
      <c r="KS651" s="9"/>
      <c r="KT651" s="9"/>
      <c r="KU651" s="9"/>
      <c r="KV651" s="9"/>
      <c r="MZ651" t="s">
        <v>1968</v>
      </c>
      <c r="NA651">
        <v>625</v>
      </c>
      <c r="NB651" t="s">
        <v>1969</v>
      </c>
      <c r="NC651" t="s">
        <v>1973</v>
      </c>
      <c r="ND651" t="s">
        <v>1974</v>
      </c>
      <c r="NE651" t="s">
        <v>1975</v>
      </c>
      <c r="NF651" t="s">
        <v>1976</v>
      </c>
      <c r="NG651" t="s">
        <v>1977</v>
      </c>
      <c r="NK651" t="s">
        <v>2021</v>
      </c>
      <c r="NL651" t="s">
        <v>2022</v>
      </c>
      <c r="NM651" t="s">
        <v>2023</v>
      </c>
      <c r="NN651" t="s">
        <v>2024</v>
      </c>
      <c r="NV651" t="s">
        <v>1992</v>
      </c>
      <c r="NW651" t="s">
        <v>1979</v>
      </c>
      <c r="NX651">
        <v>0.98699999999999999</v>
      </c>
      <c r="NY651" t="s">
        <v>29</v>
      </c>
      <c r="NZ651" t="s">
        <v>29</v>
      </c>
      <c r="OC651">
        <v>31</v>
      </c>
      <c r="OT651" t="s">
        <v>1980</v>
      </c>
      <c r="OU651" s="19"/>
      <c r="OW651">
        <v>2009</v>
      </c>
      <c r="OX651">
        <v>2010</v>
      </c>
      <c r="PA651" t="s">
        <v>1981</v>
      </c>
      <c r="PB651" s="58">
        <v>46133</v>
      </c>
    </row>
    <row r="652" spans="1:423">
      <c r="A652" s="87" t="s">
        <v>36</v>
      </c>
      <c r="B652" s="87" t="s">
        <v>1956</v>
      </c>
      <c r="C652" s="87" t="s">
        <v>1957</v>
      </c>
      <c r="D652" s="87" t="s">
        <v>245</v>
      </c>
      <c r="E652" s="87" t="s">
        <v>1993</v>
      </c>
      <c r="F652" s="87" t="s">
        <v>1961</v>
      </c>
      <c r="G652" s="87" t="s">
        <v>2</v>
      </c>
      <c r="H652" s="87" t="s">
        <v>30</v>
      </c>
      <c r="I652" s="87">
        <v>-8.8170000000000002</v>
      </c>
      <c r="J652" s="87">
        <v>-75.2</v>
      </c>
      <c r="K652" s="87"/>
      <c r="L652" s="87" t="s">
        <v>1957</v>
      </c>
      <c r="M652" s="87" t="s">
        <v>245</v>
      </c>
      <c r="N652" s="87" t="s">
        <v>1960</v>
      </c>
      <c r="O652" s="87" t="s">
        <v>1961</v>
      </c>
      <c r="P652" s="87" t="s">
        <v>2</v>
      </c>
      <c r="Q652" s="87" t="s">
        <v>30</v>
      </c>
      <c r="R652" s="87">
        <v>-8.5169999999999995</v>
      </c>
      <c r="S652" s="87">
        <v>-74.766999999999996</v>
      </c>
      <c r="T652" s="87"/>
      <c r="U652" s="87"/>
      <c r="V652" s="87"/>
      <c r="W652" s="87"/>
      <c r="X652" s="87"/>
      <c r="Y652" s="87"/>
      <c r="Z652" s="87"/>
      <c r="AA652" s="87"/>
      <c r="AB652" s="87"/>
      <c r="AC652" s="87"/>
      <c r="AD652" s="87"/>
      <c r="AE652" s="87"/>
      <c r="AF652" s="87"/>
      <c r="AG652" s="87"/>
      <c r="AH652" s="87"/>
      <c r="AI652" s="87"/>
      <c r="AJ652" s="87"/>
      <c r="AK652" s="87"/>
      <c r="AL652" s="87"/>
      <c r="AM652" s="87"/>
      <c r="AN652" s="87"/>
      <c r="AO652" s="87"/>
      <c r="AP652" s="87"/>
      <c r="AQ652" s="87"/>
      <c r="AR652" s="87"/>
      <c r="AS652" s="87"/>
      <c r="AT652" s="87"/>
      <c r="AU652" s="87"/>
      <c r="AV652" s="87" t="s">
        <v>1962</v>
      </c>
      <c r="AW652" s="87">
        <v>625</v>
      </c>
      <c r="AX652" s="87" t="s">
        <v>29</v>
      </c>
      <c r="AY652" s="87">
        <v>2</v>
      </c>
      <c r="AZ652" s="87" t="s">
        <v>1963</v>
      </c>
      <c r="BA652" s="87">
        <v>2009</v>
      </c>
      <c r="BB652" s="87">
        <v>2010</v>
      </c>
      <c r="BC652" s="87" t="s">
        <v>1964</v>
      </c>
      <c r="BD652" s="87" t="s">
        <v>1983</v>
      </c>
      <c r="BE652" s="87" t="s">
        <v>1994</v>
      </c>
      <c r="BF652" s="87" t="s">
        <v>57</v>
      </c>
      <c r="BG652" s="87" t="s">
        <v>1233</v>
      </c>
      <c r="BH652" s="87" t="s">
        <v>1995</v>
      </c>
      <c r="BI652" s="87" t="s">
        <v>29</v>
      </c>
      <c r="BJ652" s="87" t="s">
        <v>29</v>
      </c>
      <c r="BK652" s="87" t="s">
        <v>29</v>
      </c>
      <c r="BL652" s="87"/>
      <c r="BM652" s="87"/>
      <c r="BN652" s="87"/>
      <c r="BO652" s="87"/>
      <c r="BP652" s="87"/>
      <c r="BQ652" s="87"/>
      <c r="BR652" s="87"/>
      <c r="BS652" s="87"/>
      <c r="BT652" s="87"/>
      <c r="BU652" s="87"/>
      <c r="BV652" s="87"/>
      <c r="BW652" s="87"/>
      <c r="BX652" s="87"/>
      <c r="BY652" s="87"/>
      <c r="BZ652" s="87"/>
      <c r="CA652" s="87"/>
      <c r="CB652" s="87"/>
      <c r="CC652" s="87"/>
      <c r="CD652" s="87"/>
      <c r="CE652" s="87"/>
      <c r="CF652" s="87"/>
      <c r="CG652" s="87"/>
      <c r="CH652" s="87"/>
      <c r="CI652" s="87"/>
      <c r="CJ652" s="87"/>
      <c r="CK652" s="87"/>
      <c r="CL652" s="87"/>
      <c r="CM652" s="87"/>
      <c r="CN652" s="87"/>
      <c r="CO652" s="87"/>
      <c r="CP652" s="87"/>
      <c r="CQ652" s="87"/>
      <c r="CR652" s="87"/>
      <c r="CS652" s="87"/>
      <c r="CT652" s="87"/>
      <c r="CU652" s="87"/>
      <c r="CV652" s="87"/>
      <c r="CW652" s="87"/>
      <c r="CX652" s="87"/>
      <c r="CY652" s="87"/>
      <c r="CZ652" s="87"/>
      <c r="DA652" s="87"/>
      <c r="DB652" s="87"/>
      <c r="DC652" s="87"/>
      <c r="DD652" s="87"/>
      <c r="DE652" s="87"/>
      <c r="DF652" s="87"/>
      <c r="DG652" s="87"/>
      <c r="DH652" s="87"/>
      <c r="DI652" s="87"/>
      <c r="DJ652" s="87"/>
      <c r="DK652" s="87"/>
      <c r="DL652" s="87"/>
      <c r="DM652" s="87"/>
      <c r="DN652" s="87"/>
      <c r="DO652" s="87"/>
      <c r="DP652" s="87"/>
      <c r="DQ652" s="87"/>
      <c r="DR652" s="87"/>
      <c r="DS652" s="87"/>
      <c r="DT652" s="87"/>
      <c r="DU652" s="87"/>
      <c r="DV652" s="87"/>
      <c r="DW652" s="87"/>
      <c r="DX652" s="87"/>
      <c r="DY652" s="87"/>
      <c r="DZ652" s="87"/>
      <c r="EA652" s="87"/>
      <c r="EB652" s="87"/>
      <c r="EC652" s="87"/>
      <c r="ED652" s="87"/>
      <c r="EE652" s="87" t="s">
        <v>1996</v>
      </c>
      <c r="EF652" s="87" t="s">
        <v>1987</v>
      </c>
      <c r="EG652" s="87">
        <v>0.24</v>
      </c>
      <c r="EH652" s="87" t="s">
        <v>2037</v>
      </c>
      <c r="EI652" s="87" t="s">
        <v>1997</v>
      </c>
      <c r="EJ652" s="139" t="s">
        <v>1987</v>
      </c>
      <c r="EK652" s="139">
        <v>0.24</v>
      </c>
      <c r="EL652" s="139"/>
      <c r="EM652" s="139" t="s">
        <v>1998</v>
      </c>
      <c r="EN652" s="139" t="s">
        <v>1987</v>
      </c>
      <c r="EO652" s="139" t="s">
        <v>29</v>
      </c>
      <c r="EP652" s="139"/>
      <c r="EQ652" s="139" t="s">
        <v>1999</v>
      </c>
      <c r="ER652" s="139" t="s">
        <v>1987</v>
      </c>
      <c r="ES652" s="139" t="s">
        <v>29</v>
      </c>
      <c r="ET652" s="139"/>
      <c r="EU652" s="139" t="s">
        <v>2000</v>
      </c>
      <c r="EV652" s="139" t="s">
        <v>1987</v>
      </c>
      <c r="EW652" s="139" t="s">
        <v>29</v>
      </c>
      <c r="EX652" s="139"/>
      <c r="EY652" s="139"/>
      <c r="EZ652" s="139"/>
      <c r="FA652" s="139"/>
      <c r="FB652" s="139"/>
      <c r="FC652" s="139"/>
      <c r="FD652" s="139"/>
      <c r="FE652" s="139"/>
      <c r="FF652" s="139"/>
      <c r="FG652" s="139"/>
      <c r="FH652" s="139"/>
      <c r="FI652" s="139"/>
      <c r="FJ652" s="139"/>
      <c r="FK652" s="139"/>
      <c r="FL652" s="139"/>
      <c r="FM652" s="139"/>
      <c r="FN652" s="139"/>
      <c r="FO652" s="139"/>
      <c r="FP652" s="139"/>
      <c r="FQ652" s="139"/>
      <c r="FR652" s="139"/>
      <c r="FS652" s="139"/>
      <c r="FT652" s="139"/>
      <c r="FU652" s="139"/>
      <c r="FV652" s="139"/>
      <c r="FW652" s="139"/>
      <c r="FX652" s="139"/>
      <c r="FY652" s="139"/>
      <c r="FZ652" s="139"/>
      <c r="GA652" s="139"/>
      <c r="GB652" s="139"/>
      <c r="GC652" s="139"/>
      <c r="GD652" s="139"/>
      <c r="GE652" s="139"/>
      <c r="GF652" s="139"/>
      <c r="GG652" s="139"/>
      <c r="GH652" s="139"/>
      <c r="GI652" s="139"/>
      <c r="GJ652" s="139"/>
      <c r="GK652" s="139"/>
      <c r="GL652" s="139"/>
      <c r="GM652" s="139"/>
      <c r="GN652" s="139"/>
      <c r="GO652" s="139"/>
      <c r="GP652" s="139"/>
      <c r="GQ652" s="139"/>
      <c r="GR652" s="139"/>
      <c r="GS652" s="139"/>
      <c r="GT652" s="139"/>
      <c r="GU652" s="139"/>
      <c r="GV652" s="139"/>
      <c r="GW652" s="139"/>
      <c r="GX652" s="139"/>
      <c r="GY652" s="139"/>
      <c r="GZ652" s="139"/>
      <c r="HA652" s="139"/>
      <c r="HB652" s="139"/>
      <c r="HC652" s="139"/>
      <c r="HD652" s="139"/>
      <c r="HE652" s="139"/>
      <c r="HF652" s="139"/>
      <c r="HG652" s="139"/>
      <c r="HH652" s="139"/>
      <c r="HI652" s="139"/>
      <c r="HJ652" s="139"/>
      <c r="HK652" s="139"/>
      <c r="HL652" s="139" t="s">
        <v>1988</v>
      </c>
      <c r="HM652" s="139" t="s">
        <v>232</v>
      </c>
      <c r="HN652" s="87"/>
      <c r="HO652" s="87"/>
      <c r="HP652" s="87"/>
      <c r="HQ652" s="87"/>
      <c r="HR652" s="87"/>
      <c r="HS652" s="87"/>
      <c r="HT652" s="87"/>
      <c r="HU652" s="87"/>
      <c r="HV652" s="87"/>
      <c r="HW652" s="87"/>
      <c r="HX652" s="87"/>
      <c r="HY652" s="87"/>
      <c r="HZ652" s="140"/>
      <c r="IA652" s="87"/>
      <c r="IB652" s="87"/>
      <c r="IC652" s="87"/>
      <c r="ID652" s="87"/>
      <c r="IE652" s="87"/>
      <c r="IF652" s="87"/>
      <c r="IG652" s="87"/>
      <c r="IH652" s="87"/>
      <c r="II652" s="87"/>
      <c r="IJ652" s="87"/>
      <c r="IK652" s="87"/>
      <c r="IL652" s="87"/>
      <c r="IM652" s="87"/>
      <c r="IN652" s="87"/>
      <c r="IO652" s="87"/>
      <c r="IP652" s="87"/>
      <c r="IQ652" s="87"/>
      <c r="IR652" s="87"/>
      <c r="IS652" s="87"/>
      <c r="IT652" s="87"/>
      <c r="IU652" s="87"/>
      <c r="IV652" s="87"/>
      <c r="IW652" s="87" t="s">
        <v>2001</v>
      </c>
      <c r="IX652" s="87" t="s">
        <v>1990</v>
      </c>
      <c r="IY652" s="87" t="s">
        <v>2002</v>
      </c>
      <c r="IZ652" s="87"/>
      <c r="JA652" s="87"/>
      <c r="JB652" s="87">
        <v>50</v>
      </c>
      <c r="JC652" s="87"/>
      <c r="JD652" s="87"/>
      <c r="JE652" s="87">
        <v>12</v>
      </c>
      <c r="JF652" s="87"/>
      <c r="JG652" s="87"/>
      <c r="JH652" s="87"/>
      <c r="JI652" s="87"/>
      <c r="JJ652" s="87"/>
      <c r="JK652" s="87"/>
      <c r="JL652" s="87"/>
      <c r="JM652" s="87"/>
      <c r="JN652" s="87"/>
      <c r="JO652" s="87"/>
      <c r="JP652" s="87"/>
      <c r="JQ652" s="146"/>
      <c r="JR652" s="87"/>
      <c r="JS652" s="87"/>
      <c r="JT652" s="87"/>
      <c r="JU652" s="87"/>
      <c r="JV652" s="87"/>
      <c r="JW652" s="87"/>
      <c r="JX652" s="87"/>
      <c r="JY652" s="87"/>
      <c r="JZ652" s="87"/>
      <c r="KA652" s="146"/>
      <c r="KB652" s="87"/>
      <c r="KC652" s="87"/>
      <c r="KD652" s="87"/>
      <c r="KE652" s="87"/>
      <c r="KF652" s="87"/>
      <c r="KG652" s="87"/>
      <c r="KH652" s="87"/>
      <c r="KI652" s="87"/>
      <c r="KJ652" s="87"/>
      <c r="KK652" s="87"/>
      <c r="KL652" s="87"/>
      <c r="KM652" s="87"/>
      <c r="KN652" s="87"/>
      <c r="KO652" s="87"/>
      <c r="KP652" s="87"/>
      <c r="KQ652" s="87"/>
      <c r="KR652" s="87"/>
      <c r="KS652" s="146"/>
      <c r="KT652" s="146"/>
      <c r="KU652" s="146"/>
      <c r="KV652" s="146"/>
      <c r="KW652" s="87"/>
      <c r="KX652" s="87"/>
      <c r="KY652" s="87"/>
      <c r="KZ652" s="87"/>
      <c r="LA652" s="87"/>
      <c r="LB652" s="87"/>
      <c r="LC652" s="87"/>
      <c r="LD652" s="87"/>
      <c r="LE652" s="87"/>
      <c r="LF652" s="87"/>
      <c r="LG652" s="87"/>
      <c r="LH652" s="87"/>
      <c r="LI652" s="87"/>
      <c r="LJ652" s="87"/>
      <c r="LK652" s="87"/>
      <c r="LL652" s="87"/>
      <c r="LM652" s="87"/>
      <c r="LN652" s="87"/>
      <c r="LO652" s="87"/>
      <c r="LP652" s="87"/>
      <c r="LQ652" s="87"/>
      <c r="LR652" s="87"/>
      <c r="LS652" s="87"/>
      <c r="LT652" s="87"/>
      <c r="LU652" s="87"/>
      <c r="LV652" s="87"/>
      <c r="LW652" s="87"/>
      <c r="LX652" s="87"/>
      <c r="LY652" s="87"/>
      <c r="LZ652" s="87"/>
      <c r="MA652" s="87"/>
      <c r="MB652" s="87"/>
      <c r="MC652" s="87"/>
      <c r="MD652" s="87"/>
      <c r="ME652" s="87"/>
      <c r="MF652" s="87"/>
      <c r="MG652" s="87"/>
      <c r="MH652" s="87"/>
      <c r="MI652" s="87"/>
      <c r="MJ652" s="87"/>
      <c r="MK652" s="87"/>
      <c r="ML652" s="87"/>
      <c r="MM652" s="87"/>
      <c r="MN652" s="87"/>
      <c r="MO652" s="87"/>
      <c r="MP652" s="87"/>
      <c r="MQ652" s="87"/>
      <c r="MR652" s="87"/>
      <c r="MS652" s="87"/>
      <c r="MT652" s="87"/>
      <c r="MU652" s="87"/>
      <c r="MV652" s="87"/>
      <c r="MW652" s="87"/>
      <c r="MX652" s="87"/>
      <c r="MY652" s="87"/>
      <c r="MZ652" s="87" t="s">
        <v>1968</v>
      </c>
      <c r="NA652" s="87">
        <v>625</v>
      </c>
      <c r="NB652" s="87" t="s">
        <v>1969</v>
      </c>
      <c r="NC652" s="87" t="s">
        <v>1973</v>
      </c>
      <c r="ND652" s="87" t="s">
        <v>1974</v>
      </c>
      <c r="NE652" s="87" t="s">
        <v>1975</v>
      </c>
      <c r="NF652" s="87" t="s">
        <v>1976</v>
      </c>
      <c r="NG652" s="87" t="s">
        <v>1977</v>
      </c>
      <c r="NH652" s="87"/>
      <c r="NI652" s="87"/>
      <c r="NJ652" s="87"/>
      <c r="NK652" s="87" t="s">
        <v>2021</v>
      </c>
      <c r="NL652" s="87" t="s">
        <v>2022</v>
      </c>
      <c r="NM652" s="87" t="s">
        <v>2023</v>
      </c>
      <c r="NN652" s="87" t="s">
        <v>2024</v>
      </c>
      <c r="NO652" s="87"/>
      <c r="NP652" s="87"/>
      <c r="NQ652" s="87"/>
      <c r="NR652" s="87"/>
      <c r="NS652" s="87"/>
      <c r="NT652" s="87"/>
      <c r="NU652" s="87"/>
      <c r="NV652" s="87" t="s">
        <v>2003</v>
      </c>
      <c r="NW652" s="87" t="s">
        <v>1979</v>
      </c>
      <c r="NX652" s="87">
        <v>0.95</v>
      </c>
      <c r="NY652" s="87" t="s">
        <v>29</v>
      </c>
      <c r="NZ652" s="87" t="s">
        <v>29</v>
      </c>
      <c r="OA652" s="87"/>
      <c r="OB652" s="87"/>
      <c r="OC652" s="87">
        <v>32</v>
      </c>
      <c r="OD652" s="87"/>
      <c r="OE652" s="87"/>
      <c r="OF652" s="87"/>
      <c r="OG652" s="87"/>
      <c r="OH652" s="87"/>
      <c r="OI652" s="87"/>
      <c r="OJ652" s="87"/>
      <c r="OK652" s="87"/>
      <c r="OL652" s="87"/>
      <c r="OM652" s="87"/>
      <c r="ON652" s="87"/>
      <c r="OO652" s="87"/>
      <c r="OP652" s="87"/>
      <c r="OQ652" s="87"/>
      <c r="OR652" s="87"/>
      <c r="OS652" s="87"/>
      <c r="OT652" s="87" t="s">
        <v>1980</v>
      </c>
      <c r="OU652" s="144"/>
      <c r="OV652" s="87"/>
      <c r="OW652" s="87">
        <v>2009</v>
      </c>
      <c r="OX652" s="87">
        <v>2010</v>
      </c>
      <c r="OY652" s="87"/>
      <c r="OZ652" s="87"/>
      <c r="PA652" s="87" t="s">
        <v>1981</v>
      </c>
      <c r="PB652" s="140">
        <v>46133</v>
      </c>
      <c r="PC652" s="87"/>
      <c r="PD652" s="87"/>
      <c r="PE652" s="87"/>
      <c r="PF652" s="87"/>
      <c r="PG652" s="138"/>
    </row>
    <row r="653" spans="1:423">
      <c r="A653" t="s">
        <v>36</v>
      </c>
      <c r="B653" t="s">
        <v>1956</v>
      </c>
      <c r="C653" t="s">
        <v>1957</v>
      </c>
      <c r="D653" t="s">
        <v>245</v>
      </c>
      <c r="E653" t="s">
        <v>1993</v>
      </c>
      <c r="F653" t="s">
        <v>1961</v>
      </c>
      <c r="G653" t="s">
        <v>2</v>
      </c>
      <c r="H653" t="s">
        <v>30</v>
      </c>
      <c r="I653">
        <v>-8.8170000000000002</v>
      </c>
      <c r="J653">
        <v>-75.2</v>
      </c>
      <c r="L653" t="s">
        <v>1957</v>
      </c>
      <c r="M653" t="s">
        <v>245</v>
      </c>
      <c r="N653" t="s">
        <v>1960</v>
      </c>
      <c r="O653" t="s">
        <v>1961</v>
      </c>
      <c r="P653" t="s">
        <v>2</v>
      </c>
      <c r="Q653" t="s">
        <v>30</v>
      </c>
      <c r="R653">
        <v>-8.5169999999999995</v>
      </c>
      <c r="S653">
        <v>-74.766999999999996</v>
      </c>
      <c r="U653" t="s">
        <v>1957</v>
      </c>
      <c r="V653" t="s">
        <v>245</v>
      </c>
      <c r="W653" t="s">
        <v>1982</v>
      </c>
      <c r="X653" t="s">
        <v>1961</v>
      </c>
      <c r="Y653" t="s">
        <v>2</v>
      </c>
      <c r="Z653" t="s">
        <v>30</v>
      </c>
      <c r="AA653">
        <v>-8.3670000000000009</v>
      </c>
      <c r="AB653">
        <v>-74.7</v>
      </c>
      <c r="AV653" t="s">
        <v>1962</v>
      </c>
      <c r="AW653">
        <v>625</v>
      </c>
      <c r="AX653" t="s">
        <v>29</v>
      </c>
      <c r="AY653">
        <v>2</v>
      </c>
      <c r="AZ653" t="s">
        <v>1963</v>
      </c>
      <c r="BA653">
        <v>2009</v>
      </c>
      <c r="BB653">
        <v>2010</v>
      </c>
      <c r="BC653" t="s">
        <v>1964</v>
      </c>
      <c r="BD653" t="s">
        <v>19</v>
      </c>
      <c r="BE653" t="s">
        <v>2004</v>
      </c>
      <c r="BF653" t="s">
        <v>24</v>
      </c>
      <c r="BG653" t="s">
        <v>1233</v>
      </c>
      <c r="BH653" t="s">
        <v>2005</v>
      </c>
      <c r="BI653" t="s">
        <v>29</v>
      </c>
      <c r="BJ653" t="s">
        <v>29</v>
      </c>
      <c r="BK653" t="s">
        <v>29</v>
      </c>
      <c r="EJ653" s="9"/>
      <c r="EK653" s="9"/>
      <c r="EL653" s="9"/>
      <c r="EM653" s="9"/>
      <c r="EN653" s="9"/>
      <c r="EO653" s="9"/>
      <c r="EP653" s="9"/>
      <c r="EQ653" s="9"/>
      <c r="ER653" s="9"/>
      <c r="ES653" s="9"/>
      <c r="ET653" s="9"/>
      <c r="EU653" s="9"/>
      <c r="EV653" s="9"/>
      <c r="EW653" s="9"/>
      <c r="EX653" s="9"/>
      <c r="EY653" s="9"/>
      <c r="EZ653" s="9"/>
      <c r="FA653" s="9"/>
      <c r="FB653" s="9"/>
      <c r="FC653" s="9"/>
      <c r="FD653" s="9"/>
      <c r="FE653" s="9"/>
      <c r="FF653" s="9"/>
      <c r="FG653" s="9"/>
      <c r="FH653" s="9"/>
      <c r="FI653" s="9"/>
      <c r="FJ653" s="9"/>
      <c r="FK653" s="9"/>
      <c r="FL653" s="9"/>
      <c r="FM653" s="9"/>
      <c r="FN653" s="9"/>
      <c r="FO653" s="9"/>
      <c r="FP653" s="9"/>
      <c r="FQ653" s="9"/>
      <c r="FR653" s="9"/>
      <c r="FS653" s="9"/>
      <c r="FT653" s="9"/>
      <c r="FU653" s="9"/>
      <c r="FV653" s="9"/>
      <c r="FW653" s="9"/>
      <c r="FX653" s="9"/>
      <c r="FY653" s="9"/>
      <c r="FZ653" s="9"/>
      <c r="GA653" s="9"/>
      <c r="GB653" s="9"/>
      <c r="GC653" s="9"/>
      <c r="GD653" s="9"/>
      <c r="GE653" s="9"/>
      <c r="GF653" s="9"/>
      <c r="GG653" s="9"/>
      <c r="GH653" s="9"/>
      <c r="GI653" s="9"/>
      <c r="GJ653" s="9"/>
      <c r="GK653" s="9"/>
      <c r="GL653" s="9"/>
      <c r="GM653" s="9"/>
      <c r="GN653" s="9"/>
      <c r="GO653" s="9"/>
      <c r="GP653" s="9"/>
      <c r="GQ653" s="9"/>
      <c r="GR653" s="9"/>
      <c r="GS653" s="9"/>
      <c r="GT653" s="9"/>
      <c r="GU653" s="9"/>
      <c r="GV653" s="9"/>
      <c r="GW653" s="9"/>
      <c r="GX653" s="9"/>
      <c r="GY653" s="9"/>
      <c r="GZ653" s="9"/>
      <c r="HA653" s="9"/>
      <c r="HB653" s="9"/>
      <c r="HC653" s="9"/>
      <c r="HD653" s="9"/>
      <c r="HE653" s="9"/>
      <c r="HF653" s="9"/>
      <c r="HG653" s="9"/>
      <c r="HH653" s="9"/>
      <c r="HI653" s="9"/>
      <c r="HJ653" s="9"/>
      <c r="HK653" s="9"/>
      <c r="HL653" s="9" t="s">
        <v>2006</v>
      </c>
      <c r="HM653" s="9" t="s">
        <v>297</v>
      </c>
      <c r="HN653" t="s">
        <v>12</v>
      </c>
      <c r="HZ653" s="58"/>
      <c r="JQ653" s="9"/>
      <c r="KA653" s="9"/>
      <c r="KS653" s="9"/>
      <c r="KT653" s="9"/>
      <c r="KU653" s="9"/>
      <c r="KV653" s="9"/>
      <c r="MZ653" t="s">
        <v>1968</v>
      </c>
      <c r="NA653">
        <v>625</v>
      </c>
      <c r="NB653" t="s">
        <v>1969</v>
      </c>
      <c r="NC653" t="s">
        <v>1973</v>
      </c>
      <c r="ND653" t="s">
        <v>1974</v>
      </c>
      <c r="NE653" t="s">
        <v>1975</v>
      </c>
      <c r="NF653" t="s">
        <v>1976</v>
      </c>
      <c r="NG653" t="s">
        <v>1977</v>
      </c>
      <c r="NK653" t="s">
        <v>2021</v>
      </c>
      <c r="NL653" t="s">
        <v>2022</v>
      </c>
      <c r="NM653" t="s">
        <v>2023</v>
      </c>
      <c r="NN653" t="s">
        <v>2024</v>
      </c>
      <c r="NV653" t="s">
        <v>2007</v>
      </c>
      <c r="NW653" t="s">
        <v>1979</v>
      </c>
      <c r="NX653">
        <v>0.97299999999999998</v>
      </c>
      <c r="NY653" t="s">
        <v>29</v>
      </c>
      <c r="NZ653" t="s">
        <v>29</v>
      </c>
      <c r="OC653">
        <v>32</v>
      </c>
      <c r="OT653" t="s">
        <v>1980</v>
      </c>
      <c r="OU653" s="19"/>
      <c r="OW653">
        <v>2009</v>
      </c>
      <c r="OX653">
        <v>2010</v>
      </c>
      <c r="PA653" t="s">
        <v>1981</v>
      </c>
      <c r="PB653" s="58">
        <v>46133</v>
      </c>
    </row>
    <row r="654" spans="1:423">
      <c r="A654" s="87" t="s">
        <v>36</v>
      </c>
      <c r="B654" s="87" t="s">
        <v>1956</v>
      </c>
      <c r="C654" s="87" t="s">
        <v>1957</v>
      </c>
      <c r="D654" s="87" t="s">
        <v>245</v>
      </c>
      <c r="E654" s="87" t="s">
        <v>1993</v>
      </c>
      <c r="F654" s="87" t="s">
        <v>1961</v>
      </c>
      <c r="G654" s="87" t="s">
        <v>2</v>
      </c>
      <c r="H654" s="87" t="s">
        <v>30</v>
      </c>
      <c r="I654" s="87">
        <v>-8.8170000000000002</v>
      </c>
      <c r="J654" s="87">
        <v>-75.2</v>
      </c>
      <c r="K654" s="87"/>
      <c r="L654" s="87" t="s">
        <v>1957</v>
      </c>
      <c r="M654" s="87" t="s">
        <v>245</v>
      </c>
      <c r="N654" s="87" t="s">
        <v>1960</v>
      </c>
      <c r="O654" s="87" t="s">
        <v>1961</v>
      </c>
      <c r="P654" s="87" t="s">
        <v>2</v>
      </c>
      <c r="Q654" s="87" t="s">
        <v>30</v>
      </c>
      <c r="R654" s="87">
        <v>-8.5169999999999995</v>
      </c>
      <c r="S654" s="87">
        <v>-74.766999999999996</v>
      </c>
      <c r="T654" s="87"/>
      <c r="U654" s="87" t="s">
        <v>1957</v>
      </c>
      <c r="V654" s="87" t="s">
        <v>245</v>
      </c>
      <c r="W654" s="87" t="s">
        <v>1982</v>
      </c>
      <c r="X654" s="87" t="s">
        <v>1961</v>
      </c>
      <c r="Y654" s="87" t="s">
        <v>2</v>
      </c>
      <c r="Z654" s="87" t="s">
        <v>30</v>
      </c>
      <c r="AA654" s="87">
        <v>-8.3670000000000009</v>
      </c>
      <c r="AB654" s="87">
        <v>-74.7</v>
      </c>
      <c r="AC654" s="87"/>
      <c r="AD654" s="87"/>
      <c r="AE654" s="87"/>
      <c r="AF654" s="87"/>
      <c r="AG654" s="87"/>
      <c r="AH654" s="87"/>
      <c r="AI654" s="87"/>
      <c r="AJ654" s="87"/>
      <c r="AK654" s="87"/>
      <c r="AL654" s="87"/>
      <c r="AM654" s="87"/>
      <c r="AN654" s="87"/>
      <c r="AO654" s="87"/>
      <c r="AP654" s="87"/>
      <c r="AQ654" s="87"/>
      <c r="AR654" s="87"/>
      <c r="AS654" s="87"/>
      <c r="AT654" s="87"/>
      <c r="AU654" s="87"/>
      <c r="AV654" s="87" t="s">
        <v>1962</v>
      </c>
      <c r="AW654" s="87">
        <v>625</v>
      </c>
      <c r="AX654" s="87" t="s">
        <v>29</v>
      </c>
      <c r="AY654" s="87">
        <v>2</v>
      </c>
      <c r="AZ654" s="87" t="s">
        <v>1963</v>
      </c>
      <c r="BA654" s="87">
        <v>2009</v>
      </c>
      <c r="BB654" s="87">
        <v>2010</v>
      </c>
      <c r="BC654" s="87" t="s">
        <v>1964</v>
      </c>
      <c r="BD654" s="87" t="s">
        <v>2036</v>
      </c>
      <c r="BE654" s="87" t="s">
        <v>2008</v>
      </c>
      <c r="BF654" s="87" t="s">
        <v>299</v>
      </c>
      <c r="BG654" s="87" t="s">
        <v>1779</v>
      </c>
      <c r="BH654" s="87" t="s">
        <v>2009</v>
      </c>
      <c r="BI654" s="87" t="s">
        <v>29</v>
      </c>
      <c r="BJ654" s="87" t="s">
        <v>29</v>
      </c>
      <c r="BK654" s="87" t="s">
        <v>29</v>
      </c>
      <c r="BL654" s="87"/>
      <c r="BM654" s="87"/>
      <c r="BN654" s="87"/>
      <c r="BO654" s="87"/>
      <c r="BP654" s="87"/>
      <c r="BQ654" s="87"/>
      <c r="BR654" s="87"/>
      <c r="BS654" s="87"/>
      <c r="BT654" s="87"/>
      <c r="BU654" s="87"/>
      <c r="BV654" s="87"/>
      <c r="BW654" s="87"/>
      <c r="BX654" s="87"/>
      <c r="BY654" s="87"/>
      <c r="BZ654" s="87"/>
      <c r="CA654" s="87"/>
      <c r="CB654" s="87"/>
      <c r="CC654" s="87"/>
      <c r="CD654" s="87"/>
      <c r="CE654" s="87"/>
      <c r="CF654" s="87"/>
      <c r="CG654" s="87"/>
      <c r="CH654" s="87"/>
      <c r="CI654" s="87"/>
      <c r="CJ654" s="87"/>
      <c r="CK654" s="87"/>
      <c r="CL654" s="87"/>
      <c r="CM654" s="87"/>
      <c r="CN654" s="87"/>
      <c r="CO654" s="87"/>
      <c r="CP654" s="87"/>
      <c r="CQ654" s="87"/>
      <c r="CR654" s="87"/>
      <c r="CS654" s="87"/>
      <c r="CT654" s="87"/>
      <c r="CU654" s="87"/>
      <c r="CV654" s="87"/>
      <c r="CW654" s="87"/>
      <c r="CX654" s="87"/>
      <c r="CY654" s="87"/>
      <c r="CZ654" s="87"/>
      <c r="DA654" s="87"/>
      <c r="DB654" s="87"/>
      <c r="DC654" s="87"/>
      <c r="DD654" s="87"/>
      <c r="DE654" s="87"/>
      <c r="DF654" s="87"/>
      <c r="DG654" s="87"/>
      <c r="DH654" s="87"/>
      <c r="DI654" s="87"/>
      <c r="DJ654" s="87"/>
      <c r="DK654" s="87"/>
      <c r="DL654" s="87"/>
      <c r="DM654" s="87"/>
      <c r="DN654" s="87"/>
      <c r="DO654" s="87"/>
      <c r="DP654" s="87"/>
      <c r="DQ654" s="87"/>
      <c r="DR654" s="87"/>
      <c r="DS654" s="87"/>
      <c r="DT654" s="87"/>
      <c r="DU654" s="87"/>
      <c r="DV654" s="87"/>
      <c r="DW654" s="87"/>
      <c r="DX654" s="87"/>
      <c r="DY654" s="87"/>
      <c r="DZ654" s="87"/>
      <c r="EA654" s="87"/>
      <c r="EB654" s="87"/>
      <c r="EC654" s="87"/>
      <c r="ED654" s="87"/>
      <c r="EE654" s="87"/>
      <c r="EF654" s="87"/>
      <c r="EG654" s="87"/>
      <c r="EH654" s="87"/>
      <c r="EI654" s="87"/>
      <c r="EJ654" s="139"/>
      <c r="EK654" s="139"/>
      <c r="EL654" s="139"/>
      <c r="EM654" s="139"/>
      <c r="EN654" s="139"/>
      <c r="EO654" s="139"/>
      <c r="EP654" s="139"/>
      <c r="EQ654" s="139"/>
      <c r="ER654" s="139"/>
      <c r="ES654" s="139"/>
      <c r="ET654" s="139"/>
      <c r="EU654" s="139"/>
      <c r="EV654" s="139"/>
      <c r="EW654" s="139"/>
      <c r="EX654" s="139"/>
      <c r="EY654" s="139"/>
      <c r="EZ654" s="139"/>
      <c r="FA654" s="139"/>
      <c r="FB654" s="139"/>
      <c r="FC654" s="139"/>
      <c r="FD654" s="139"/>
      <c r="FE654" s="139"/>
      <c r="FF654" s="139"/>
      <c r="FG654" s="139"/>
      <c r="FH654" s="139"/>
      <c r="FI654" s="139"/>
      <c r="FJ654" s="139"/>
      <c r="FK654" s="139"/>
      <c r="FL654" s="139"/>
      <c r="FM654" s="139"/>
      <c r="FN654" s="139"/>
      <c r="FO654" s="139"/>
      <c r="FP654" s="139"/>
      <c r="FQ654" s="139"/>
      <c r="FR654" s="139"/>
      <c r="FS654" s="139"/>
      <c r="FT654" s="139"/>
      <c r="FU654" s="139"/>
      <c r="FV654" s="139"/>
      <c r="FW654" s="139"/>
      <c r="FX654" s="139"/>
      <c r="FY654" s="139"/>
      <c r="FZ654" s="139"/>
      <c r="GA654" s="139"/>
      <c r="GB654" s="139"/>
      <c r="GC654" s="139"/>
      <c r="GD654" s="139"/>
      <c r="GE654" s="139"/>
      <c r="GF654" s="139"/>
      <c r="GG654" s="139"/>
      <c r="GH654" s="139"/>
      <c r="GI654" s="139"/>
      <c r="GJ654" s="139"/>
      <c r="GK654" s="139"/>
      <c r="GL654" s="139"/>
      <c r="GM654" s="139"/>
      <c r="GN654" s="139"/>
      <c r="GO654" s="139"/>
      <c r="GP654" s="139"/>
      <c r="GQ654" s="139"/>
      <c r="GR654" s="139"/>
      <c r="GS654" s="139"/>
      <c r="GT654" s="139"/>
      <c r="GU654" s="139"/>
      <c r="GV654" s="139"/>
      <c r="GW654" s="139"/>
      <c r="GX654" s="139"/>
      <c r="GY654" s="139"/>
      <c r="GZ654" s="139"/>
      <c r="HA654" s="139"/>
      <c r="HB654" s="139"/>
      <c r="HC654" s="139"/>
      <c r="HD654" s="139"/>
      <c r="HE654" s="139"/>
      <c r="HF654" s="139"/>
      <c r="HG654" s="139"/>
      <c r="HH654" s="139"/>
      <c r="HI654" s="139"/>
      <c r="HJ654" s="139"/>
      <c r="HK654" s="139"/>
      <c r="HL654" s="139" t="s">
        <v>2010</v>
      </c>
      <c r="HM654" s="139" t="s">
        <v>232</v>
      </c>
      <c r="HN654" s="87"/>
      <c r="HO654" s="87"/>
      <c r="HP654" s="87"/>
      <c r="HQ654" s="87"/>
      <c r="HR654" s="87"/>
      <c r="HS654" s="87"/>
      <c r="HT654" s="87"/>
      <c r="HU654" s="87"/>
      <c r="HV654" s="87"/>
      <c r="HW654" s="87"/>
      <c r="HX654" s="87"/>
      <c r="HY654" s="87"/>
      <c r="HZ654" s="140"/>
      <c r="IA654" s="87"/>
      <c r="IB654" s="87"/>
      <c r="IC654" s="87"/>
      <c r="ID654" s="87"/>
      <c r="IE654" s="87"/>
      <c r="IF654" s="87"/>
      <c r="IG654" s="87"/>
      <c r="IH654" s="87"/>
      <c r="II654" s="87"/>
      <c r="IJ654" s="87"/>
      <c r="IK654" s="87"/>
      <c r="IL654" s="87"/>
      <c r="IM654" s="87"/>
      <c r="IN654" s="87"/>
      <c r="IO654" s="87"/>
      <c r="IP654" s="87"/>
      <c r="IQ654" s="87"/>
      <c r="IR654" s="87"/>
      <c r="IS654" s="87"/>
      <c r="IT654" s="87"/>
      <c r="IU654" s="87"/>
      <c r="IV654" s="87"/>
      <c r="IW654" s="87"/>
      <c r="IX654" s="87"/>
      <c r="IY654" s="87"/>
      <c r="IZ654" s="87"/>
      <c r="JA654" s="87"/>
      <c r="JB654" s="87"/>
      <c r="JC654" s="87"/>
      <c r="JD654" s="87"/>
      <c r="JE654" s="87"/>
      <c r="JF654" s="87"/>
      <c r="JG654" s="87"/>
      <c r="JH654" s="87"/>
      <c r="JI654" s="87"/>
      <c r="JJ654" s="87"/>
      <c r="JK654" s="87"/>
      <c r="JL654" s="87"/>
      <c r="JM654" s="87"/>
      <c r="JN654" s="87"/>
      <c r="JO654" s="87"/>
      <c r="JP654" s="87"/>
      <c r="JQ654" s="146"/>
      <c r="JR654" s="87"/>
      <c r="JS654" s="87"/>
      <c r="JT654" s="87"/>
      <c r="JU654" s="87"/>
      <c r="JV654" s="87"/>
      <c r="JW654" s="87"/>
      <c r="JX654" s="87"/>
      <c r="JY654" s="87"/>
      <c r="JZ654" s="87"/>
      <c r="KA654" s="146"/>
      <c r="KB654" s="87"/>
      <c r="KC654" s="87"/>
      <c r="KD654" s="87"/>
      <c r="KE654" s="87"/>
      <c r="KF654" s="87"/>
      <c r="KG654" s="87"/>
      <c r="KH654" s="87"/>
      <c r="KI654" s="87"/>
      <c r="KJ654" s="87"/>
      <c r="KK654" s="87"/>
      <c r="KL654" s="87"/>
      <c r="KM654" s="87"/>
      <c r="KN654" s="87"/>
      <c r="KO654" s="87"/>
      <c r="KP654" s="87"/>
      <c r="KQ654" s="87"/>
      <c r="KR654" s="87"/>
      <c r="KS654" s="146"/>
      <c r="KT654" s="146"/>
      <c r="KU654" s="146"/>
      <c r="KV654" s="146"/>
      <c r="KW654" s="87"/>
      <c r="KX654" s="87"/>
      <c r="KY654" s="87"/>
      <c r="KZ654" s="87"/>
      <c r="LA654" s="87"/>
      <c r="LB654" s="87"/>
      <c r="LC654" s="87"/>
      <c r="LD654" s="87"/>
      <c r="LE654" s="87"/>
      <c r="LF654" s="87"/>
      <c r="LG654" s="87"/>
      <c r="LH654" s="87"/>
      <c r="LI654" s="87"/>
      <c r="LJ654" s="87"/>
      <c r="LK654" s="87"/>
      <c r="LL654" s="87"/>
      <c r="LM654" s="87"/>
      <c r="LN654" s="87"/>
      <c r="LO654" s="87"/>
      <c r="LP654" s="87"/>
      <c r="LQ654" s="87"/>
      <c r="LR654" s="87"/>
      <c r="LS654" s="87"/>
      <c r="LT654" s="87"/>
      <c r="LU654" s="87"/>
      <c r="LV654" s="87"/>
      <c r="LW654" s="87"/>
      <c r="LX654" s="87"/>
      <c r="LY654" s="87"/>
      <c r="LZ654" s="87"/>
      <c r="MA654" s="87"/>
      <c r="MB654" s="87"/>
      <c r="MC654" s="87"/>
      <c r="MD654" s="87"/>
      <c r="ME654" s="87"/>
      <c r="MF654" s="87"/>
      <c r="MG654" s="87"/>
      <c r="MH654" s="87"/>
      <c r="MI654" s="87"/>
      <c r="MJ654" s="87"/>
      <c r="MK654" s="87"/>
      <c r="ML654" s="87"/>
      <c r="MM654" s="87"/>
      <c r="MN654" s="87"/>
      <c r="MO654" s="87"/>
      <c r="MP654" s="87"/>
      <c r="MQ654" s="87"/>
      <c r="MR654" s="87"/>
      <c r="MS654" s="87"/>
      <c r="MT654" s="87"/>
      <c r="MU654" s="87"/>
      <c r="MV654" s="87"/>
      <c r="MW654" s="87"/>
      <c r="MX654" s="87"/>
      <c r="MY654" s="87"/>
      <c r="MZ654" s="87" t="s">
        <v>1968</v>
      </c>
      <c r="NA654" s="87">
        <v>625</v>
      </c>
      <c r="NB654" s="87" t="s">
        <v>1969</v>
      </c>
      <c r="NC654" s="87" t="s">
        <v>1973</v>
      </c>
      <c r="ND654" s="87" t="s">
        <v>1974</v>
      </c>
      <c r="NE654" s="87" t="s">
        <v>1975</v>
      </c>
      <c r="NF654" s="87" t="s">
        <v>1976</v>
      </c>
      <c r="NG654" s="87" t="s">
        <v>1977</v>
      </c>
      <c r="NH654" s="87"/>
      <c r="NI654" s="87"/>
      <c r="NJ654" s="87"/>
      <c r="NK654" s="87" t="s">
        <v>2021</v>
      </c>
      <c r="NL654" s="87" t="s">
        <v>2022</v>
      </c>
      <c r="NM654" s="87" t="s">
        <v>2023</v>
      </c>
      <c r="NN654" s="87" t="s">
        <v>2024</v>
      </c>
      <c r="NO654" s="87"/>
      <c r="NP654" s="87"/>
      <c r="NQ654" s="87"/>
      <c r="NR654" s="87"/>
      <c r="NS654" s="87"/>
      <c r="NT654" s="87"/>
      <c r="NU654" s="87"/>
      <c r="NV654" s="87" t="s">
        <v>2011</v>
      </c>
      <c r="NW654" s="87" t="s">
        <v>1979</v>
      </c>
      <c r="NX654" s="87">
        <v>0.96899999999999997</v>
      </c>
      <c r="NY654" s="87" t="s">
        <v>29</v>
      </c>
      <c r="NZ654" s="87" t="s">
        <v>29</v>
      </c>
      <c r="OA654" s="87"/>
      <c r="OB654" s="87"/>
      <c r="OC654" s="87">
        <v>32</v>
      </c>
      <c r="OD654" s="87"/>
      <c r="OE654" s="87"/>
      <c r="OF654" s="87"/>
      <c r="OG654" s="87"/>
      <c r="OH654" s="87"/>
      <c r="OI654" s="87"/>
      <c r="OJ654" s="87"/>
      <c r="OK654" s="87"/>
      <c r="OL654" s="87"/>
      <c r="OM654" s="87"/>
      <c r="ON654" s="87"/>
      <c r="OO654" s="87"/>
      <c r="OP654" s="87"/>
      <c r="OQ654" s="87"/>
      <c r="OR654" s="87"/>
      <c r="OS654" s="87"/>
      <c r="OT654" s="87" t="s">
        <v>1980</v>
      </c>
      <c r="OU654" s="144"/>
      <c r="OV654" s="87"/>
      <c r="OW654" s="87">
        <v>2009</v>
      </c>
      <c r="OX654" s="87">
        <v>2010</v>
      </c>
      <c r="OY654" s="87"/>
      <c r="OZ654" s="87"/>
      <c r="PA654" s="87" t="s">
        <v>1981</v>
      </c>
      <c r="PB654" s="140">
        <v>46133</v>
      </c>
      <c r="PC654" s="87"/>
      <c r="PD654" s="87"/>
      <c r="PE654" s="87"/>
      <c r="PF654" s="87"/>
      <c r="PG654" s="138"/>
    </row>
    <row r="655" spans="1:423">
      <c r="A655" t="s">
        <v>36</v>
      </c>
      <c r="B655" t="s">
        <v>1956</v>
      </c>
      <c r="C655" t="s">
        <v>1957</v>
      </c>
      <c r="D655" t="s">
        <v>1936</v>
      </c>
      <c r="E655" t="s">
        <v>1958</v>
      </c>
      <c r="F655" t="s">
        <v>1959</v>
      </c>
      <c r="G655" t="s">
        <v>2</v>
      </c>
      <c r="H655" t="s">
        <v>30</v>
      </c>
      <c r="I655">
        <v>-8.9</v>
      </c>
      <c r="J655">
        <v>-74.983000000000004</v>
      </c>
      <c r="L655" t="s">
        <v>1957</v>
      </c>
      <c r="M655" t="s">
        <v>245</v>
      </c>
      <c r="N655" t="s">
        <v>1960</v>
      </c>
      <c r="O655" t="s">
        <v>1961</v>
      </c>
      <c r="P655" t="s">
        <v>2</v>
      </c>
      <c r="Q655" t="s">
        <v>30</v>
      </c>
      <c r="R655">
        <v>-8.5169999999999995</v>
      </c>
      <c r="S655">
        <v>-74.766999999999996</v>
      </c>
      <c r="AV655" t="s">
        <v>1962</v>
      </c>
      <c r="AW655">
        <v>625</v>
      </c>
      <c r="AX655" t="s">
        <v>29</v>
      </c>
      <c r="AY655">
        <v>2</v>
      </c>
      <c r="AZ655" t="s">
        <v>1963</v>
      </c>
      <c r="BA655">
        <v>2009</v>
      </c>
      <c r="BB655">
        <v>2010</v>
      </c>
      <c r="BC655" t="s">
        <v>1964</v>
      </c>
      <c r="BD655" t="s">
        <v>1966</v>
      </c>
      <c r="BE655" t="s">
        <v>1965</v>
      </c>
      <c r="BF655" t="s">
        <v>39</v>
      </c>
      <c r="BG655" t="s">
        <v>1743</v>
      </c>
      <c r="EJ655" s="9"/>
      <c r="EK655" s="9"/>
      <c r="EL655" s="9"/>
      <c r="EM655" s="9"/>
      <c r="EN655" s="9"/>
      <c r="EO655" s="9"/>
      <c r="EP655" s="9"/>
      <c r="EQ655" s="9"/>
      <c r="ER655" s="9"/>
      <c r="ES655" s="9"/>
      <c r="ET655" s="9"/>
      <c r="EU655" s="9"/>
      <c r="EV655" s="9"/>
      <c r="EW655" s="9"/>
      <c r="EX655" s="9"/>
      <c r="EY655" s="9"/>
      <c r="EZ655" s="9"/>
      <c r="FA655" s="9"/>
      <c r="FB655" s="9"/>
      <c r="FC655" s="9"/>
      <c r="FD655" s="9"/>
      <c r="FE655" s="9"/>
      <c r="FF655" s="9"/>
      <c r="FG655" s="9"/>
      <c r="FH655" s="9"/>
      <c r="FI655" s="9"/>
      <c r="FJ655" s="9"/>
      <c r="FK655" s="9"/>
      <c r="FL655" s="9"/>
      <c r="FM655" s="9"/>
      <c r="FN655" s="9"/>
      <c r="FO655" s="9"/>
      <c r="FP655" s="9"/>
      <c r="FQ655" s="9"/>
      <c r="FR655" s="9"/>
      <c r="FS655" s="9"/>
      <c r="FT655" s="9"/>
      <c r="FU655" s="9"/>
      <c r="FV655" s="9"/>
      <c r="FW655" s="9"/>
      <c r="FX655" s="9"/>
      <c r="FY655" s="9"/>
      <c r="FZ655" s="9"/>
      <c r="GA655" s="9"/>
      <c r="GB655" s="9"/>
      <c r="GC655" s="9"/>
      <c r="GD655" s="9"/>
      <c r="GE655" s="9"/>
      <c r="GF655" s="9"/>
      <c r="GG655" s="9"/>
      <c r="GH655" s="9"/>
      <c r="GI655" s="9"/>
      <c r="GJ655" s="9"/>
      <c r="GK655" s="9"/>
      <c r="GL655" s="9"/>
      <c r="GM655" s="9"/>
      <c r="GN655" s="9"/>
      <c r="GO655" s="9"/>
      <c r="GP655" s="9"/>
      <c r="GQ655" s="9"/>
      <c r="GR655" s="9"/>
      <c r="GS655" s="9"/>
      <c r="GT655" s="9"/>
      <c r="GU655" s="9"/>
      <c r="GV655" s="9"/>
      <c r="GW655" s="9"/>
      <c r="GX655" s="9"/>
      <c r="GY655" s="9"/>
      <c r="GZ655" s="9"/>
      <c r="HA655" s="9"/>
      <c r="HB655" s="9"/>
      <c r="HC655" s="9"/>
      <c r="HD655" s="9"/>
      <c r="HE655" s="9"/>
      <c r="HF655" s="9"/>
      <c r="HG655" s="9"/>
      <c r="HH655" s="9"/>
      <c r="HI655" s="9"/>
      <c r="HJ655" s="9"/>
      <c r="HK655" s="9"/>
      <c r="HL655" s="9" t="s">
        <v>1967</v>
      </c>
      <c r="HM655" s="9" t="s">
        <v>232</v>
      </c>
      <c r="HZ655" s="58"/>
      <c r="JA655">
        <v>20</v>
      </c>
      <c r="JB655">
        <v>95</v>
      </c>
      <c r="JQ655" s="9"/>
      <c r="KA655" s="9"/>
      <c r="KS655" s="9"/>
      <c r="KT655" s="9"/>
      <c r="KU655" s="9"/>
      <c r="KV655" s="9"/>
      <c r="MZ655" t="s">
        <v>1968</v>
      </c>
      <c r="NA655">
        <v>625</v>
      </c>
      <c r="NB655" t="s">
        <v>1969</v>
      </c>
      <c r="NC655" t="s">
        <v>1973</v>
      </c>
      <c r="ND655" t="s">
        <v>1974</v>
      </c>
      <c r="NE655" t="s">
        <v>1975</v>
      </c>
      <c r="NF655" t="s">
        <v>1976</v>
      </c>
      <c r="NG655" t="s">
        <v>1977</v>
      </c>
      <c r="NK655" t="s">
        <v>2025</v>
      </c>
      <c r="NL655" t="s">
        <v>2026</v>
      </c>
      <c r="NM655" t="s">
        <v>1751</v>
      </c>
      <c r="NN655" t="s">
        <v>2027</v>
      </c>
      <c r="NV655" t="s">
        <v>1978</v>
      </c>
      <c r="NW655" t="s">
        <v>6</v>
      </c>
      <c r="NX655">
        <v>109</v>
      </c>
      <c r="NY655" t="s">
        <v>1446</v>
      </c>
      <c r="NZ655">
        <v>21</v>
      </c>
      <c r="OC655">
        <v>8</v>
      </c>
      <c r="OT655" t="s">
        <v>1980</v>
      </c>
      <c r="OU655" s="19"/>
      <c r="OW655">
        <v>2009</v>
      </c>
      <c r="OX655">
        <v>2010</v>
      </c>
      <c r="PA655" t="s">
        <v>1981</v>
      </c>
      <c r="PB655" s="58">
        <v>46133</v>
      </c>
    </row>
    <row r="656" spans="1:423">
      <c r="A656" s="87" t="s">
        <v>36</v>
      </c>
      <c r="B656" s="87" t="s">
        <v>1956</v>
      </c>
      <c r="C656" s="87" t="s">
        <v>1957</v>
      </c>
      <c r="D656" s="87" t="s">
        <v>245</v>
      </c>
      <c r="E656" s="87" t="s">
        <v>1960</v>
      </c>
      <c r="F656" s="87" t="s">
        <v>1961</v>
      </c>
      <c r="G656" s="87" t="s">
        <v>2</v>
      </c>
      <c r="H656" s="87" t="s">
        <v>30</v>
      </c>
      <c r="I656" s="87">
        <v>-8.5169999999999995</v>
      </c>
      <c r="J656" s="87">
        <v>-74.766999999999996</v>
      </c>
      <c r="K656" s="87"/>
      <c r="L656" s="87" t="s">
        <v>1957</v>
      </c>
      <c r="M656" s="87" t="s">
        <v>245</v>
      </c>
      <c r="N656" s="87" t="s">
        <v>1982</v>
      </c>
      <c r="O656" s="87" t="s">
        <v>1961</v>
      </c>
      <c r="P656" s="87" t="s">
        <v>2</v>
      </c>
      <c r="Q656" s="87" t="s">
        <v>30</v>
      </c>
      <c r="R656" s="87">
        <v>-8.3670000000000009</v>
      </c>
      <c r="S656" s="87">
        <v>-74.7</v>
      </c>
      <c r="T656" s="87"/>
      <c r="U656" s="87"/>
      <c r="V656" s="87"/>
      <c r="W656" s="87"/>
      <c r="X656" s="87"/>
      <c r="Y656" s="87"/>
      <c r="Z656" s="87"/>
      <c r="AA656" s="87"/>
      <c r="AB656" s="87"/>
      <c r="AC656" s="87"/>
      <c r="AD656" s="87"/>
      <c r="AE656" s="87"/>
      <c r="AF656" s="87"/>
      <c r="AG656" s="87"/>
      <c r="AH656" s="87"/>
      <c r="AI656" s="87"/>
      <c r="AJ656" s="87"/>
      <c r="AK656" s="87"/>
      <c r="AL656" s="87"/>
      <c r="AM656" s="87"/>
      <c r="AN656" s="87"/>
      <c r="AO656" s="87"/>
      <c r="AP656" s="87"/>
      <c r="AQ656" s="87"/>
      <c r="AR656" s="87"/>
      <c r="AS656" s="87"/>
      <c r="AT656" s="87"/>
      <c r="AU656" s="87"/>
      <c r="AV656" s="87" t="s">
        <v>1962</v>
      </c>
      <c r="AW656" s="87">
        <v>625</v>
      </c>
      <c r="AX656" s="87" t="s">
        <v>29</v>
      </c>
      <c r="AY656" s="87">
        <v>2</v>
      </c>
      <c r="AZ656" s="87" t="s">
        <v>1963</v>
      </c>
      <c r="BA656" s="87">
        <v>2009</v>
      </c>
      <c r="BB656" s="87">
        <v>2010</v>
      </c>
      <c r="BC656" s="87" t="s">
        <v>1964</v>
      </c>
      <c r="BD656" s="87" t="s">
        <v>1990</v>
      </c>
      <c r="BE656" s="87" t="s">
        <v>1984</v>
      </c>
      <c r="BF656" s="87" t="s">
        <v>64</v>
      </c>
      <c r="BG656" s="87" t="s">
        <v>1233</v>
      </c>
      <c r="BH656" s="87" t="s">
        <v>1985</v>
      </c>
      <c r="BI656" s="87" t="s">
        <v>29</v>
      </c>
      <c r="BJ656" s="87" t="s">
        <v>29</v>
      </c>
      <c r="BK656" s="87" t="s">
        <v>29</v>
      </c>
      <c r="BL656" s="87"/>
      <c r="BM656" s="87"/>
      <c r="BN656" s="87"/>
      <c r="BO656" s="87"/>
      <c r="BP656" s="87"/>
      <c r="BQ656" s="87"/>
      <c r="BR656" s="87"/>
      <c r="BS656" s="87"/>
      <c r="BT656" s="87"/>
      <c r="BU656" s="87"/>
      <c r="BV656" s="87"/>
      <c r="BW656" s="87"/>
      <c r="BX656" s="87"/>
      <c r="BY656" s="87"/>
      <c r="BZ656" s="87"/>
      <c r="CA656" s="87"/>
      <c r="CB656" s="87"/>
      <c r="CC656" s="87"/>
      <c r="CD656" s="87"/>
      <c r="CE656" s="87"/>
      <c r="CF656" s="87"/>
      <c r="CG656" s="87"/>
      <c r="CH656" s="87"/>
      <c r="CI656" s="87"/>
      <c r="CJ656" s="87"/>
      <c r="CK656" s="87"/>
      <c r="CL656" s="87"/>
      <c r="CM656" s="87"/>
      <c r="CN656" s="87"/>
      <c r="CO656" s="87"/>
      <c r="CP656" s="87"/>
      <c r="CQ656" s="87"/>
      <c r="CR656" s="87"/>
      <c r="CS656" s="87"/>
      <c r="CT656" s="87"/>
      <c r="CU656" s="87"/>
      <c r="CV656" s="87"/>
      <c r="CW656" s="87"/>
      <c r="CX656" s="87"/>
      <c r="CY656" s="87"/>
      <c r="CZ656" s="87"/>
      <c r="DA656" s="87"/>
      <c r="DB656" s="87"/>
      <c r="DC656" s="87"/>
      <c r="DD656" s="87"/>
      <c r="DE656" s="87"/>
      <c r="DF656" s="87"/>
      <c r="DG656" s="87"/>
      <c r="DH656" s="87"/>
      <c r="DI656" s="87"/>
      <c r="DJ656" s="87"/>
      <c r="DK656" s="87"/>
      <c r="DL656" s="87"/>
      <c r="DM656" s="87"/>
      <c r="DN656" s="87"/>
      <c r="DO656" s="87"/>
      <c r="DP656" s="87"/>
      <c r="DQ656" s="87"/>
      <c r="DR656" s="87"/>
      <c r="DS656" s="87"/>
      <c r="DT656" s="87"/>
      <c r="DU656" s="87"/>
      <c r="DV656" s="87"/>
      <c r="DW656" s="87"/>
      <c r="DX656" s="87"/>
      <c r="DY656" s="87"/>
      <c r="DZ656" s="87"/>
      <c r="EA656" s="87"/>
      <c r="EB656" s="87"/>
      <c r="EC656" s="87"/>
      <c r="ED656" s="87"/>
      <c r="EE656" s="87" t="s">
        <v>1986</v>
      </c>
      <c r="EF656" s="87" t="s">
        <v>1987</v>
      </c>
      <c r="EG656" s="87">
        <v>0.24</v>
      </c>
      <c r="EH656" s="87" t="s">
        <v>1990</v>
      </c>
      <c r="EI656" s="87"/>
      <c r="EJ656" s="139"/>
      <c r="EK656" s="139"/>
      <c r="EL656" s="139"/>
      <c r="EM656" s="139"/>
      <c r="EN656" s="139"/>
      <c r="EO656" s="139"/>
      <c r="EP656" s="139"/>
      <c r="EQ656" s="139"/>
      <c r="ER656" s="139"/>
      <c r="ES656" s="139"/>
      <c r="ET656" s="139"/>
      <c r="EU656" s="139"/>
      <c r="EV656" s="139"/>
      <c r="EW656" s="139"/>
      <c r="EX656" s="139"/>
      <c r="EY656" s="139"/>
      <c r="EZ656" s="139"/>
      <c r="FA656" s="139"/>
      <c r="FB656" s="139"/>
      <c r="FC656" s="139"/>
      <c r="FD656" s="139"/>
      <c r="FE656" s="139"/>
      <c r="FF656" s="139"/>
      <c r="FG656" s="139"/>
      <c r="FH656" s="139"/>
      <c r="FI656" s="139"/>
      <c r="FJ656" s="139"/>
      <c r="FK656" s="139"/>
      <c r="FL656" s="139"/>
      <c r="FM656" s="139"/>
      <c r="FN656" s="139"/>
      <c r="FO656" s="139"/>
      <c r="FP656" s="139"/>
      <c r="FQ656" s="139"/>
      <c r="FR656" s="139"/>
      <c r="FS656" s="139"/>
      <c r="FT656" s="139"/>
      <c r="FU656" s="139"/>
      <c r="FV656" s="139"/>
      <c r="FW656" s="139"/>
      <c r="FX656" s="139"/>
      <c r="FY656" s="139"/>
      <c r="FZ656" s="139"/>
      <c r="GA656" s="139"/>
      <c r="GB656" s="139"/>
      <c r="GC656" s="139"/>
      <c r="GD656" s="139"/>
      <c r="GE656" s="139"/>
      <c r="GF656" s="139"/>
      <c r="GG656" s="139"/>
      <c r="GH656" s="139"/>
      <c r="GI656" s="139"/>
      <c r="GJ656" s="139"/>
      <c r="GK656" s="139"/>
      <c r="GL656" s="139"/>
      <c r="GM656" s="139"/>
      <c r="GN656" s="139"/>
      <c r="GO656" s="139"/>
      <c r="GP656" s="139"/>
      <c r="GQ656" s="139"/>
      <c r="GR656" s="139"/>
      <c r="GS656" s="139"/>
      <c r="GT656" s="139"/>
      <c r="GU656" s="139"/>
      <c r="GV656" s="139"/>
      <c r="GW656" s="139"/>
      <c r="GX656" s="139"/>
      <c r="GY656" s="139"/>
      <c r="GZ656" s="139"/>
      <c r="HA656" s="139"/>
      <c r="HB656" s="139"/>
      <c r="HC656" s="139"/>
      <c r="HD656" s="139"/>
      <c r="HE656" s="139"/>
      <c r="HF656" s="139"/>
      <c r="HG656" s="139"/>
      <c r="HH656" s="139"/>
      <c r="HI656" s="139"/>
      <c r="HJ656" s="139"/>
      <c r="HK656" s="139"/>
      <c r="HL656" s="139" t="s">
        <v>1988</v>
      </c>
      <c r="HM656" s="139" t="s">
        <v>232</v>
      </c>
      <c r="HN656" s="87"/>
      <c r="HO656" s="87"/>
      <c r="HP656" s="87"/>
      <c r="HQ656" s="87"/>
      <c r="HR656" s="87"/>
      <c r="HS656" s="87"/>
      <c r="HT656" s="87"/>
      <c r="HU656" s="87"/>
      <c r="HV656" s="87"/>
      <c r="HW656" s="87"/>
      <c r="HX656" s="87"/>
      <c r="HY656" s="87"/>
      <c r="HZ656" s="140"/>
      <c r="IA656" s="87"/>
      <c r="IB656" s="87"/>
      <c r="IC656" s="87"/>
      <c r="ID656" s="87"/>
      <c r="IE656" s="87"/>
      <c r="IF656" s="87"/>
      <c r="IG656" s="87"/>
      <c r="IH656" s="87"/>
      <c r="II656" s="87"/>
      <c r="IJ656" s="87"/>
      <c r="IK656" s="87"/>
      <c r="IL656" s="87"/>
      <c r="IM656" s="87"/>
      <c r="IN656" s="87"/>
      <c r="IO656" s="87"/>
      <c r="IP656" s="87"/>
      <c r="IQ656" s="87"/>
      <c r="IR656" s="87"/>
      <c r="IS656" s="87"/>
      <c r="IT656" s="87"/>
      <c r="IU656" s="87"/>
      <c r="IV656" s="87"/>
      <c r="IW656" s="87" t="s">
        <v>1989</v>
      </c>
      <c r="IX656" s="87" t="s">
        <v>1990</v>
      </c>
      <c r="IY656" s="87" t="s">
        <v>1991</v>
      </c>
      <c r="IZ656" s="87"/>
      <c r="JA656" s="87">
        <v>6</v>
      </c>
      <c r="JB656" s="87">
        <v>77.5</v>
      </c>
      <c r="JC656" s="87">
        <v>75</v>
      </c>
      <c r="JD656" s="87">
        <v>80</v>
      </c>
      <c r="JE656" s="87">
        <v>7.5</v>
      </c>
      <c r="JF656" s="87">
        <v>6</v>
      </c>
      <c r="JG656" s="87">
        <v>9</v>
      </c>
      <c r="JH656" s="87"/>
      <c r="JI656" s="87"/>
      <c r="JJ656" s="87"/>
      <c r="JK656" s="87"/>
      <c r="JL656" s="87"/>
      <c r="JM656" s="87"/>
      <c r="JN656" s="87"/>
      <c r="JO656" s="87"/>
      <c r="JP656" s="87"/>
      <c r="JQ656" s="146"/>
      <c r="JR656" s="87"/>
      <c r="JS656" s="87"/>
      <c r="JT656" s="87"/>
      <c r="JU656" s="87"/>
      <c r="JV656" s="87"/>
      <c r="JW656" s="87"/>
      <c r="JX656" s="87"/>
      <c r="JY656" s="87"/>
      <c r="JZ656" s="87"/>
      <c r="KA656" s="146"/>
      <c r="KB656" s="87"/>
      <c r="KC656" s="87"/>
      <c r="KD656" s="87"/>
      <c r="KE656" s="87"/>
      <c r="KF656" s="87"/>
      <c r="KG656" s="87"/>
      <c r="KH656" s="87"/>
      <c r="KI656" s="87"/>
      <c r="KJ656" s="87"/>
      <c r="KK656" s="87"/>
      <c r="KL656" s="87"/>
      <c r="KM656" s="87"/>
      <c r="KN656" s="87"/>
      <c r="KO656" s="87"/>
      <c r="KP656" s="87"/>
      <c r="KQ656" s="87"/>
      <c r="KR656" s="87"/>
      <c r="KS656" s="146"/>
      <c r="KT656" s="146"/>
      <c r="KU656" s="146"/>
      <c r="KV656" s="146"/>
      <c r="KW656" s="87"/>
      <c r="KX656" s="87"/>
      <c r="KY656" s="87"/>
      <c r="KZ656" s="87"/>
      <c r="LA656" s="87"/>
      <c r="LB656" s="87"/>
      <c r="LC656" s="87"/>
      <c r="LD656" s="87"/>
      <c r="LE656" s="87"/>
      <c r="LF656" s="87"/>
      <c r="LG656" s="87"/>
      <c r="LH656" s="87"/>
      <c r="LI656" s="87"/>
      <c r="LJ656" s="87"/>
      <c r="LK656" s="87"/>
      <c r="LL656" s="87"/>
      <c r="LM656" s="87"/>
      <c r="LN656" s="87"/>
      <c r="LO656" s="87"/>
      <c r="LP656" s="87"/>
      <c r="LQ656" s="87"/>
      <c r="LR656" s="87"/>
      <c r="LS656" s="87"/>
      <c r="LT656" s="87"/>
      <c r="LU656" s="87"/>
      <c r="LV656" s="87"/>
      <c r="LW656" s="87"/>
      <c r="LX656" s="87"/>
      <c r="LY656" s="87"/>
      <c r="LZ656" s="87"/>
      <c r="MA656" s="87"/>
      <c r="MB656" s="87"/>
      <c r="MC656" s="87"/>
      <c r="MD656" s="87"/>
      <c r="ME656" s="87"/>
      <c r="MF656" s="87"/>
      <c r="MG656" s="87"/>
      <c r="MH656" s="87"/>
      <c r="MI656" s="87"/>
      <c r="MJ656" s="87"/>
      <c r="MK656" s="87"/>
      <c r="ML656" s="87"/>
      <c r="MM656" s="87"/>
      <c r="MN656" s="87"/>
      <c r="MO656" s="87"/>
      <c r="MP656" s="87"/>
      <c r="MQ656" s="87"/>
      <c r="MR656" s="87"/>
      <c r="MS656" s="87"/>
      <c r="MT656" s="87"/>
      <c r="MU656" s="87"/>
      <c r="MV656" s="87"/>
      <c r="MW656" s="87"/>
      <c r="MX656" s="87"/>
      <c r="MY656" s="87"/>
      <c r="MZ656" s="87" t="s">
        <v>1968</v>
      </c>
      <c r="NA656" s="87">
        <v>625</v>
      </c>
      <c r="NB656" s="87" t="s">
        <v>1969</v>
      </c>
      <c r="NC656" s="87" t="s">
        <v>1973</v>
      </c>
      <c r="ND656" s="87" t="s">
        <v>1974</v>
      </c>
      <c r="NE656" s="87" t="s">
        <v>1975</v>
      </c>
      <c r="NF656" s="87" t="s">
        <v>1976</v>
      </c>
      <c r="NG656" s="87" t="s">
        <v>1977</v>
      </c>
      <c r="NH656" s="87"/>
      <c r="NI656" s="87"/>
      <c r="NJ656" s="87"/>
      <c r="NK656" s="87" t="s">
        <v>2025</v>
      </c>
      <c r="NL656" s="87" t="s">
        <v>2026</v>
      </c>
      <c r="NM656" s="87" t="s">
        <v>1751</v>
      </c>
      <c r="NN656" s="87" t="s">
        <v>2027</v>
      </c>
      <c r="NO656" s="87"/>
      <c r="NP656" s="87"/>
      <c r="NQ656" s="87"/>
      <c r="NR656" s="87"/>
      <c r="NS656" s="87"/>
      <c r="NT656" s="87"/>
      <c r="NU656" s="87"/>
      <c r="NV656" s="87" t="s">
        <v>1992</v>
      </c>
      <c r="NW656" s="87" t="s">
        <v>6</v>
      </c>
      <c r="NX656" s="87">
        <v>18.8</v>
      </c>
      <c r="NY656" s="87" t="s">
        <v>1446</v>
      </c>
      <c r="NZ656" s="87">
        <v>3.16</v>
      </c>
      <c r="OA656" s="87"/>
      <c r="OB656" s="87"/>
      <c r="OC656" s="87">
        <v>31</v>
      </c>
      <c r="OD656" s="87"/>
      <c r="OE656" s="87"/>
      <c r="OF656" s="87"/>
      <c r="OG656" s="87"/>
      <c r="OH656" s="87"/>
      <c r="OI656" s="87"/>
      <c r="OJ656" s="87"/>
      <c r="OK656" s="87"/>
      <c r="OL656" s="87"/>
      <c r="OM656" s="87"/>
      <c r="ON656" s="87"/>
      <c r="OO656" s="87"/>
      <c r="OP656" s="87"/>
      <c r="OQ656" s="87"/>
      <c r="OR656" s="87"/>
      <c r="OS656" s="87"/>
      <c r="OT656" s="87" t="s">
        <v>1980</v>
      </c>
      <c r="OU656" s="144"/>
      <c r="OV656" s="87"/>
      <c r="OW656" s="87">
        <v>2009</v>
      </c>
      <c r="OX656" s="87">
        <v>2010</v>
      </c>
      <c r="OY656" s="87"/>
      <c r="OZ656" s="87"/>
      <c r="PA656" s="87" t="s">
        <v>1981</v>
      </c>
      <c r="PB656" s="140">
        <v>46133</v>
      </c>
      <c r="PC656" s="87"/>
      <c r="PD656" s="87"/>
      <c r="PE656" s="87"/>
      <c r="PF656" s="87"/>
      <c r="PG656" s="138"/>
    </row>
    <row r="657" spans="1:423">
      <c r="A657" t="s">
        <v>36</v>
      </c>
      <c r="B657" t="s">
        <v>1956</v>
      </c>
      <c r="C657" t="s">
        <v>1957</v>
      </c>
      <c r="D657" t="s">
        <v>245</v>
      </c>
      <c r="E657" t="s">
        <v>1993</v>
      </c>
      <c r="F657" t="s">
        <v>1961</v>
      </c>
      <c r="G657" t="s">
        <v>2</v>
      </c>
      <c r="H657" t="s">
        <v>30</v>
      </c>
      <c r="I657">
        <v>-8.8170000000000002</v>
      </c>
      <c r="J657">
        <v>-75.2</v>
      </c>
      <c r="L657" t="s">
        <v>1957</v>
      </c>
      <c r="M657" t="s">
        <v>245</v>
      </c>
      <c r="N657" t="s">
        <v>1960</v>
      </c>
      <c r="O657" t="s">
        <v>1961</v>
      </c>
      <c r="P657" t="s">
        <v>2</v>
      </c>
      <c r="Q657" t="s">
        <v>30</v>
      </c>
      <c r="R657">
        <v>-8.5169999999999995</v>
      </c>
      <c r="S657">
        <v>-74.766999999999996</v>
      </c>
      <c r="AV657" t="s">
        <v>1962</v>
      </c>
      <c r="AW657">
        <v>625</v>
      </c>
      <c r="AX657" t="s">
        <v>29</v>
      </c>
      <c r="AY657">
        <v>2</v>
      </c>
      <c r="AZ657" t="s">
        <v>1963</v>
      </c>
      <c r="BA657">
        <v>2009</v>
      </c>
      <c r="BB657">
        <v>2010</v>
      </c>
      <c r="BC657" t="s">
        <v>1964</v>
      </c>
      <c r="BD657" t="s">
        <v>1983</v>
      </c>
      <c r="BE657" t="s">
        <v>1994</v>
      </c>
      <c r="BF657" t="s">
        <v>57</v>
      </c>
      <c r="BG657" t="s">
        <v>1233</v>
      </c>
      <c r="BH657" t="s">
        <v>1995</v>
      </c>
      <c r="BI657" t="s">
        <v>29</v>
      </c>
      <c r="BJ657" t="s">
        <v>29</v>
      </c>
      <c r="BK657" t="s">
        <v>29</v>
      </c>
      <c r="EE657" t="s">
        <v>1996</v>
      </c>
      <c r="EF657" t="s">
        <v>1987</v>
      </c>
      <c r="EG657">
        <v>0.24</v>
      </c>
      <c r="EH657" t="s">
        <v>2037</v>
      </c>
      <c r="EI657" t="s">
        <v>1997</v>
      </c>
      <c r="EJ657" s="9" t="s">
        <v>1987</v>
      </c>
      <c r="EK657" s="9">
        <v>0.24</v>
      </c>
      <c r="EL657" s="9"/>
      <c r="EM657" s="9" t="s">
        <v>1998</v>
      </c>
      <c r="EN657" s="9" t="s">
        <v>1987</v>
      </c>
      <c r="EO657" s="9" t="s">
        <v>29</v>
      </c>
      <c r="EP657" s="9"/>
      <c r="EQ657" s="9" t="s">
        <v>1999</v>
      </c>
      <c r="ER657" s="9" t="s">
        <v>1987</v>
      </c>
      <c r="ES657" s="9" t="s">
        <v>29</v>
      </c>
      <c r="ET657" s="9"/>
      <c r="EU657" s="9" t="s">
        <v>2000</v>
      </c>
      <c r="EV657" s="9" t="s">
        <v>1987</v>
      </c>
      <c r="EW657" s="9" t="s">
        <v>29</v>
      </c>
      <c r="EX657" s="9"/>
      <c r="EY657" s="9"/>
      <c r="EZ657" s="9"/>
      <c r="FA657" s="9"/>
      <c r="FB657" s="9"/>
      <c r="FC657" s="9"/>
      <c r="FD657" s="9"/>
      <c r="FE657" s="9"/>
      <c r="FF657" s="9"/>
      <c r="FG657" s="9"/>
      <c r="FH657" s="9"/>
      <c r="FI657" s="9"/>
      <c r="FJ657" s="9"/>
      <c r="FK657" s="9"/>
      <c r="FL657" s="9"/>
      <c r="FM657" s="9"/>
      <c r="FN657" s="9"/>
      <c r="FO657" s="9"/>
      <c r="FP657" s="9"/>
      <c r="FQ657" s="9"/>
      <c r="FR657" s="9"/>
      <c r="FS657" s="9"/>
      <c r="FT657" s="9"/>
      <c r="FU657" s="9"/>
      <c r="FV657" s="9"/>
      <c r="FW657" s="9"/>
      <c r="FX657" s="9"/>
      <c r="FY657" s="9"/>
      <c r="FZ657" s="9"/>
      <c r="GA657" s="9"/>
      <c r="GB657" s="9"/>
      <c r="GC657" s="9"/>
      <c r="GD657" s="9"/>
      <c r="GE657" s="9"/>
      <c r="GF657" s="9"/>
      <c r="GG657" s="9"/>
      <c r="GH657" s="9"/>
      <c r="GI657" s="9"/>
      <c r="GJ657" s="9"/>
      <c r="GK657" s="9"/>
      <c r="GL657" s="9"/>
      <c r="GM657" s="9"/>
      <c r="GN657" s="9"/>
      <c r="GO657" s="9"/>
      <c r="GP657" s="9"/>
      <c r="GQ657" s="9"/>
      <c r="GR657" s="9"/>
      <c r="GS657" s="9"/>
      <c r="GT657" s="9"/>
      <c r="GU657" s="9"/>
      <c r="GV657" s="9"/>
      <c r="GW657" s="9"/>
      <c r="GX657" s="9"/>
      <c r="GY657" s="9"/>
      <c r="GZ657" s="9"/>
      <c r="HA657" s="9"/>
      <c r="HB657" s="9"/>
      <c r="HC657" s="9"/>
      <c r="HD657" s="9"/>
      <c r="HE657" s="9"/>
      <c r="HF657" s="9"/>
      <c r="HG657" s="9"/>
      <c r="HH657" s="9"/>
      <c r="HI657" s="9"/>
      <c r="HJ657" s="9"/>
      <c r="HK657" s="9"/>
      <c r="HL657" s="9" t="s">
        <v>1988</v>
      </c>
      <c r="HM657" s="9" t="s">
        <v>232</v>
      </c>
      <c r="HZ657" s="58"/>
      <c r="IW657" t="s">
        <v>2001</v>
      </c>
      <c r="IX657" t="s">
        <v>1990</v>
      </c>
      <c r="IY657" t="s">
        <v>2002</v>
      </c>
      <c r="JB657">
        <v>50</v>
      </c>
      <c r="JE657">
        <v>12</v>
      </c>
      <c r="JQ657" s="9"/>
      <c r="KA657" s="9"/>
      <c r="KS657" s="9"/>
      <c r="KT657" s="9"/>
      <c r="KU657" s="9"/>
      <c r="KV657" s="9"/>
      <c r="MZ657" t="s">
        <v>1968</v>
      </c>
      <c r="NA657">
        <v>625</v>
      </c>
      <c r="NB657" t="s">
        <v>1969</v>
      </c>
      <c r="NC657" t="s">
        <v>1973</v>
      </c>
      <c r="ND657" t="s">
        <v>1974</v>
      </c>
      <c r="NE657" t="s">
        <v>1975</v>
      </c>
      <c r="NF657" t="s">
        <v>1976</v>
      </c>
      <c r="NG657" t="s">
        <v>1977</v>
      </c>
      <c r="NK657" t="s">
        <v>2025</v>
      </c>
      <c r="NL657" t="s">
        <v>2026</v>
      </c>
      <c r="NM657" t="s">
        <v>1751</v>
      </c>
      <c r="NN657" t="s">
        <v>2027</v>
      </c>
      <c r="NV657" t="s">
        <v>2003</v>
      </c>
      <c r="NW657" t="s">
        <v>6</v>
      </c>
      <c r="NX657">
        <v>6.72</v>
      </c>
      <c r="NY657" t="s">
        <v>1446</v>
      </c>
      <c r="NZ657">
        <v>1.22</v>
      </c>
      <c r="OC657">
        <v>32</v>
      </c>
      <c r="OT657" t="s">
        <v>1980</v>
      </c>
      <c r="OU657" s="19"/>
      <c r="OW657">
        <v>2009</v>
      </c>
      <c r="OX657">
        <v>2010</v>
      </c>
      <c r="PA657" t="s">
        <v>1981</v>
      </c>
      <c r="PB657" s="58">
        <v>46133</v>
      </c>
    </row>
    <row r="658" spans="1:423">
      <c r="A658" s="87" t="s">
        <v>36</v>
      </c>
      <c r="B658" s="87" t="s">
        <v>1956</v>
      </c>
      <c r="C658" s="87" t="s">
        <v>1957</v>
      </c>
      <c r="D658" s="87" t="s">
        <v>245</v>
      </c>
      <c r="E658" s="87" t="s">
        <v>1993</v>
      </c>
      <c r="F658" s="87" t="s">
        <v>1961</v>
      </c>
      <c r="G658" s="87" t="s">
        <v>2</v>
      </c>
      <c r="H658" s="87" t="s">
        <v>30</v>
      </c>
      <c r="I658" s="87">
        <v>-8.8170000000000002</v>
      </c>
      <c r="J658" s="87">
        <v>-75.2</v>
      </c>
      <c r="K658" s="87"/>
      <c r="L658" s="87" t="s">
        <v>1957</v>
      </c>
      <c r="M658" s="87" t="s">
        <v>245</v>
      </c>
      <c r="N658" s="87" t="s">
        <v>1960</v>
      </c>
      <c r="O658" s="87" t="s">
        <v>1961</v>
      </c>
      <c r="P658" s="87" t="s">
        <v>2</v>
      </c>
      <c r="Q658" s="87" t="s">
        <v>30</v>
      </c>
      <c r="R658" s="87">
        <v>-8.5169999999999995</v>
      </c>
      <c r="S658" s="87">
        <v>-74.766999999999996</v>
      </c>
      <c r="T658" s="87"/>
      <c r="U658" s="87" t="s">
        <v>1957</v>
      </c>
      <c r="V658" s="87" t="s">
        <v>245</v>
      </c>
      <c r="W658" s="87" t="s">
        <v>1982</v>
      </c>
      <c r="X658" s="87" t="s">
        <v>1961</v>
      </c>
      <c r="Y658" s="87" t="s">
        <v>2</v>
      </c>
      <c r="Z658" s="87" t="s">
        <v>30</v>
      </c>
      <c r="AA658" s="87">
        <v>-8.3670000000000009</v>
      </c>
      <c r="AB658" s="87">
        <v>-74.7</v>
      </c>
      <c r="AC658" s="87"/>
      <c r="AD658" s="87"/>
      <c r="AE658" s="87"/>
      <c r="AF658" s="87"/>
      <c r="AG658" s="87"/>
      <c r="AH658" s="87"/>
      <c r="AI658" s="87"/>
      <c r="AJ658" s="87"/>
      <c r="AK658" s="87"/>
      <c r="AL658" s="87"/>
      <c r="AM658" s="87"/>
      <c r="AN658" s="87"/>
      <c r="AO658" s="87"/>
      <c r="AP658" s="87"/>
      <c r="AQ658" s="87"/>
      <c r="AR658" s="87"/>
      <c r="AS658" s="87"/>
      <c r="AT658" s="87"/>
      <c r="AU658" s="87"/>
      <c r="AV658" s="87" t="s">
        <v>1962</v>
      </c>
      <c r="AW658" s="87">
        <v>625</v>
      </c>
      <c r="AX658" s="87" t="s">
        <v>29</v>
      </c>
      <c r="AY658" s="87">
        <v>2</v>
      </c>
      <c r="AZ658" s="87" t="s">
        <v>1963</v>
      </c>
      <c r="BA658" s="87">
        <v>2009</v>
      </c>
      <c r="BB658" s="87">
        <v>2010</v>
      </c>
      <c r="BC658" s="87" t="s">
        <v>1964</v>
      </c>
      <c r="BD658" s="87" t="s">
        <v>19</v>
      </c>
      <c r="BE658" s="87" t="s">
        <v>2004</v>
      </c>
      <c r="BF658" s="87" t="s">
        <v>24</v>
      </c>
      <c r="BG658" s="87" t="s">
        <v>1233</v>
      </c>
      <c r="BH658" s="87" t="s">
        <v>2005</v>
      </c>
      <c r="BI658" s="87" t="s">
        <v>29</v>
      </c>
      <c r="BJ658" s="87" t="s">
        <v>29</v>
      </c>
      <c r="BK658" s="87" t="s">
        <v>29</v>
      </c>
      <c r="BL658" s="87"/>
      <c r="BM658" s="87"/>
      <c r="BN658" s="87"/>
      <c r="BO658" s="87"/>
      <c r="BP658" s="87"/>
      <c r="BQ658" s="87"/>
      <c r="BR658" s="87"/>
      <c r="BS658" s="87"/>
      <c r="BT658" s="87"/>
      <c r="BU658" s="87"/>
      <c r="BV658" s="87"/>
      <c r="BW658" s="87"/>
      <c r="BX658" s="87"/>
      <c r="BY658" s="87"/>
      <c r="BZ658" s="87"/>
      <c r="CA658" s="87"/>
      <c r="CB658" s="87"/>
      <c r="CC658" s="87"/>
      <c r="CD658" s="87"/>
      <c r="CE658" s="87"/>
      <c r="CF658" s="87"/>
      <c r="CG658" s="87"/>
      <c r="CH658" s="87"/>
      <c r="CI658" s="87"/>
      <c r="CJ658" s="87"/>
      <c r="CK658" s="87"/>
      <c r="CL658" s="87"/>
      <c r="CM658" s="87"/>
      <c r="CN658" s="87"/>
      <c r="CO658" s="87"/>
      <c r="CP658" s="87"/>
      <c r="CQ658" s="87"/>
      <c r="CR658" s="87"/>
      <c r="CS658" s="87"/>
      <c r="CT658" s="87"/>
      <c r="CU658" s="87"/>
      <c r="CV658" s="87"/>
      <c r="CW658" s="87"/>
      <c r="CX658" s="87"/>
      <c r="CY658" s="87"/>
      <c r="CZ658" s="87"/>
      <c r="DA658" s="87"/>
      <c r="DB658" s="87"/>
      <c r="DC658" s="87"/>
      <c r="DD658" s="87"/>
      <c r="DE658" s="87"/>
      <c r="DF658" s="87"/>
      <c r="DG658" s="87"/>
      <c r="DH658" s="87"/>
      <c r="DI658" s="87"/>
      <c r="DJ658" s="87"/>
      <c r="DK658" s="87"/>
      <c r="DL658" s="87"/>
      <c r="DM658" s="87"/>
      <c r="DN658" s="87"/>
      <c r="DO658" s="87"/>
      <c r="DP658" s="87"/>
      <c r="DQ658" s="87"/>
      <c r="DR658" s="87"/>
      <c r="DS658" s="87"/>
      <c r="DT658" s="87"/>
      <c r="DU658" s="87"/>
      <c r="DV658" s="87"/>
      <c r="DW658" s="87"/>
      <c r="DX658" s="87"/>
      <c r="DY658" s="87"/>
      <c r="DZ658" s="87"/>
      <c r="EA658" s="87"/>
      <c r="EB658" s="87"/>
      <c r="EC658" s="87"/>
      <c r="ED658" s="87"/>
      <c r="EE658" s="87"/>
      <c r="EF658" s="87"/>
      <c r="EG658" s="87"/>
      <c r="EH658" s="87"/>
      <c r="EI658" s="87"/>
      <c r="EJ658" s="139"/>
      <c r="EK658" s="139"/>
      <c r="EL658" s="139"/>
      <c r="EM658" s="139"/>
      <c r="EN658" s="139"/>
      <c r="EO658" s="139"/>
      <c r="EP658" s="139"/>
      <c r="EQ658" s="139"/>
      <c r="ER658" s="139"/>
      <c r="ES658" s="139"/>
      <c r="ET658" s="139"/>
      <c r="EU658" s="139"/>
      <c r="EV658" s="139"/>
      <c r="EW658" s="139"/>
      <c r="EX658" s="139"/>
      <c r="EY658" s="139"/>
      <c r="EZ658" s="139"/>
      <c r="FA658" s="139"/>
      <c r="FB658" s="139"/>
      <c r="FC658" s="139"/>
      <c r="FD658" s="139"/>
      <c r="FE658" s="139"/>
      <c r="FF658" s="139"/>
      <c r="FG658" s="139"/>
      <c r="FH658" s="139"/>
      <c r="FI658" s="139"/>
      <c r="FJ658" s="139"/>
      <c r="FK658" s="139"/>
      <c r="FL658" s="139"/>
      <c r="FM658" s="139"/>
      <c r="FN658" s="139"/>
      <c r="FO658" s="139"/>
      <c r="FP658" s="139"/>
      <c r="FQ658" s="139"/>
      <c r="FR658" s="139"/>
      <c r="FS658" s="139"/>
      <c r="FT658" s="139"/>
      <c r="FU658" s="139"/>
      <c r="FV658" s="139"/>
      <c r="FW658" s="139"/>
      <c r="FX658" s="139"/>
      <c r="FY658" s="139"/>
      <c r="FZ658" s="139"/>
      <c r="GA658" s="139"/>
      <c r="GB658" s="139"/>
      <c r="GC658" s="139"/>
      <c r="GD658" s="139"/>
      <c r="GE658" s="139"/>
      <c r="GF658" s="139"/>
      <c r="GG658" s="139"/>
      <c r="GH658" s="139"/>
      <c r="GI658" s="139"/>
      <c r="GJ658" s="139"/>
      <c r="GK658" s="139"/>
      <c r="GL658" s="139"/>
      <c r="GM658" s="139"/>
      <c r="GN658" s="139"/>
      <c r="GO658" s="139"/>
      <c r="GP658" s="139"/>
      <c r="GQ658" s="139"/>
      <c r="GR658" s="139"/>
      <c r="GS658" s="139"/>
      <c r="GT658" s="139"/>
      <c r="GU658" s="139"/>
      <c r="GV658" s="139"/>
      <c r="GW658" s="139"/>
      <c r="GX658" s="139"/>
      <c r="GY658" s="139"/>
      <c r="GZ658" s="139"/>
      <c r="HA658" s="139"/>
      <c r="HB658" s="139"/>
      <c r="HC658" s="139"/>
      <c r="HD658" s="139"/>
      <c r="HE658" s="139"/>
      <c r="HF658" s="139"/>
      <c r="HG658" s="139"/>
      <c r="HH658" s="139"/>
      <c r="HI658" s="139"/>
      <c r="HJ658" s="139"/>
      <c r="HK658" s="139"/>
      <c r="HL658" s="139" t="s">
        <v>2006</v>
      </c>
      <c r="HM658" s="139" t="s">
        <v>297</v>
      </c>
      <c r="HN658" s="87" t="s">
        <v>12</v>
      </c>
      <c r="HO658" s="87"/>
      <c r="HP658" s="87"/>
      <c r="HQ658" s="87"/>
      <c r="HR658" s="87"/>
      <c r="HS658" s="87"/>
      <c r="HT658" s="87"/>
      <c r="HU658" s="87"/>
      <c r="HV658" s="87"/>
      <c r="HW658" s="87"/>
      <c r="HX658" s="87"/>
      <c r="HY658" s="87"/>
      <c r="HZ658" s="140"/>
      <c r="IA658" s="87"/>
      <c r="IB658" s="87"/>
      <c r="IC658" s="87"/>
      <c r="ID658" s="87"/>
      <c r="IE658" s="87"/>
      <c r="IF658" s="87"/>
      <c r="IG658" s="87"/>
      <c r="IH658" s="87"/>
      <c r="II658" s="87"/>
      <c r="IJ658" s="87"/>
      <c r="IK658" s="87"/>
      <c r="IL658" s="87"/>
      <c r="IM658" s="87"/>
      <c r="IN658" s="87"/>
      <c r="IO658" s="87"/>
      <c r="IP658" s="87"/>
      <c r="IQ658" s="87"/>
      <c r="IR658" s="87"/>
      <c r="IS658" s="87"/>
      <c r="IT658" s="87"/>
      <c r="IU658" s="87"/>
      <c r="IV658" s="87"/>
      <c r="IW658" s="87"/>
      <c r="IX658" s="87"/>
      <c r="IY658" s="87"/>
      <c r="IZ658" s="87"/>
      <c r="JA658" s="87"/>
      <c r="JB658" s="87"/>
      <c r="JC658" s="87"/>
      <c r="JD658" s="87"/>
      <c r="JE658" s="87"/>
      <c r="JF658" s="87"/>
      <c r="JG658" s="87"/>
      <c r="JH658" s="87"/>
      <c r="JI658" s="87"/>
      <c r="JJ658" s="87"/>
      <c r="JK658" s="87"/>
      <c r="JL658" s="87"/>
      <c r="JM658" s="87"/>
      <c r="JN658" s="87"/>
      <c r="JO658" s="87"/>
      <c r="JP658" s="87"/>
      <c r="JQ658" s="146"/>
      <c r="JR658" s="87"/>
      <c r="JS658" s="87"/>
      <c r="JT658" s="87"/>
      <c r="JU658" s="87"/>
      <c r="JV658" s="87"/>
      <c r="JW658" s="87"/>
      <c r="JX658" s="87"/>
      <c r="JY658" s="87"/>
      <c r="JZ658" s="87"/>
      <c r="KA658" s="146"/>
      <c r="KB658" s="87"/>
      <c r="KC658" s="87"/>
      <c r="KD658" s="87"/>
      <c r="KE658" s="87"/>
      <c r="KF658" s="87"/>
      <c r="KG658" s="87"/>
      <c r="KH658" s="87"/>
      <c r="KI658" s="87"/>
      <c r="KJ658" s="87"/>
      <c r="KK658" s="87"/>
      <c r="KL658" s="87"/>
      <c r="KM658" s="87"/>
      <c r="KN658" s="87"/>
      <c r="KO658" s="87"/>
      <c r="KP658" s="87"/>
      <c r="KQ658" s="87"/>
      <c r="KR658" s="87"/>
      <c r="KS658" s="146"/>
      <c r="KT658" s="146"/>
      <c r="KU658" s="146"/>
      <c r="KV658" s="146"/>
      <c r="KW658" s="87"/>
      <c r="KX658" s="87"/>
      <c r="KY658" s="87"/>
      <c r="KZ658" s="87"/>
      <c r="LA658" s="87"/>
      <c r="LB658" s="87"/>
      <c r="LC658" s="87"/>
      <c r="LD658" s="87"/>
      <c r="LE658" s="87"/>
      <c r="LF658" s="87"/>
      <c r="LG658" s="87"/>
      <c r="LH658" s="87"/>
      <c r="LI658" s="87"/>
      <c r="LJ658" s="87"/>
      <c r="LK658" s="87"/>
      <c r="LL658" s="87"/>
      <c r="LM658" s="87"/>
      <c r="LN658" s="87"/>
      <c r="LO658" s="87"/>
      <c r="LP658" s="87"/>
      <c r="LQ658" s="87"/>
      <c r="LR658" s="87"/>
      <c r="LS658" s="87"/>
      <c r="LT658" s="87"/>
      <c r="LU658" s="87"/>
      <c r="LV658" s="87"/>
      <c r="LW658" s="87"/>
      <c r="LX658" s="87"/>
      <c r="LY658" s="87"/>
      <c r="LZ658" s="87"/>
      <c r="MA658" s="87"/>
      <c r="MB658" s="87"/>
      <c r="MC658" s="87"/>
      <c r="MD658" s="87"/>
      <c r="ME658" s="87"/>
      <c r="MF658" s="87"/>
      <c r="MG658" s="87"/>
      <c r="MH658" s="87"/>
      <c r="MI658" s="87"/>
      <c r="MJ658" s="87"/>
      <c r="MK658" s="87"/>
      <c r="ML658" s="87"/>
      <c r="MM658" s="87"/>
      <c r="MN658" s="87"/>
      <c r="MO658" s="87"/>
      <c r="MP658" s="87"/>
      <c r="MQ658" s="87"/>
      <c r="MR658" s="87"/>
      <c r="MS658" s="87"/>
      <c r="MT658" s="87"/>
      <c r="MU658" s="87"/>
      <c r="MV658" s="87"/>
      <c r="MW658" s="87"/>
      <c r="MX658" s="87"/>
      <c r="MY658" s="87"/>
      <c r="MZ658" s="87" t="s">
        <v>1968</v>
      </c>
      <c r="NA658" s="87">
        <v>625</v>
      </c>
      <c r="NB658" s="87" t="s">
        <v>1969</v>
      </c>
      <c r="NC658" s="87" t="s">
        <v>1973</v>
      </c>
      <c r="ND658" s="87" t="s">
        <v>1974</v>
      </c>
      <c r="NE658" s="87" t="s">
        <v>1975</v>
      </c>
      <c r="NF658" s="87" t="s">
        <v>1976</v>
      </c>
      <c r="NG658" s="87" t="s">
        <v>1977</v>
      </c>
      <c r="NH658" s="87"/>
      <c r="NI658" s="87"/>
      <c r="NJ658" s="87"/>
      <c r="NK658" s="87" t="s">
        <v>2025</v>
      </c>
      <c r="NL658" s="87" t="s">
        <v>2026</v>
      </c>
      <c r="NM658" s="87" t="s">
        <v>1751</v>
      </c>
      <c r="NN658" s="87" t="s">
        <v>2027</v>
      </c>
      <c r="NO658" s="87"/>
      <c r="NP658" s="87"/>
      <c r="NQ658" s="87"/>
      <c r="NR658" s="87"/>
      <c r="NS658" s="87"/>
      <c r="NT658" s="87"/>
      <c r="NU658" s="87"/>
      <c r="NV658" s="87" t="s">
        <v>2007</v>
      </c>
      <c r="NW658" s="87" t="s">
        <v>6</v>
      </c>
      <c r="NX658" s="87">
        <v>4.13</v>
      </c>
      <c r="NY658" s="87" t="s">
        <v>1446</v>
      </c>
      <c r="NZ658" s="87">
        <v>0.71</v>
      </c>
      <c r="OA658" s="87"/>
      <c r="OB658" s="87"/>
      <c r="OC658" s="87">
        <v>32</v>
      </c>
      <c r="OD658" s="87"/>
      <c r="OE658" s="87"/>
      <c r="OF658" s="87"/>
      <c r="OG658" s="87"/>
      <c r="OH658" s="87"/>
      <c r="OI658" s="87"/>
      <c r="OJ658" s="87"/>
      <c r="OK658" s="87"/>
      <c r="OL658" s="87"/>
      <c r="OM658" s="87"/>
      <c r="ON658" s="87"/>
      <c r="OO658" s="87"/>
      <c r="OP658" s="87"/>
      <c r="OQ658" s="87"/>
      <c r="OR658" s="87"/>
      <c r="OS658" s="87"/>
      <c r="OT658" s="87" t="s">
        <v>1980</v>
      </c>
      <c r="OU658" s="144"/>
      <c r="OV658" s="87"/>
      <c r="OW658" s="87">
        <v>2009</v>
      </c>
      <c r="OX658" s="87">
        <v>2010</v>
      </c>
      <c r="OY658" s="87"/>
      <c r="OZ658" s="87"/>
      <c r="PA658" s="87" t="s">
        <v>1981</v>
      </c>
      <c r="PB658" s="140">
        <v>46133</v>
      </c>
      <c r="PC658" s="87"/>
      <c r="PD658" s="87"/>
      <c r="PE658" s="87"/>
      <c r="PF658" s="87"/>
      <c r="PG658" s="138"/>
    </row>
    <row r="659" spans="1:423">
      <c r="A659" t="s">
        <v>36</v>
      </c>
      <c r="B659" t="s">
        <v>1956</v>
      </c>
      <c r="C659" t="s">
        <v>1957</v>
      </c>
      <c r="D659" t="s">
        <v>245</v>
      </c>
      <c r="E659" t="s">
        <v>1993</v>
      </c>
      <c r="F659" t="s">
        <v>1961</v>
      </c>
      <c r="G659" t="s">
        <v>2</v>
      </c>
      <c r="H659" t="s">
        <v>30</v>
      </c>
      <c r="I659">
        <v>-8.8170000000000002</v>
      </c>
      <c r="J659">
        <v>-75.2</v>
      </c>
      <c r="L659" t="s">
        <v>1957</v>
      </c>
      <c r="M659" t="s">
        <v>245</v>
      </c>
      <c r="N659" t="s">
        <v>1960</v>
      </c>
      <c r="O659" t="s">
        <v>1961</v>
      </c>
      <c r="P659" t="s">
        <v>2</v>
      </c>
      <c r="Q659" t="s">
        <v>30</v>
      </c>
      <c r="R659">
        <v>-8.5169999999999995</v>
      </c>
      <c r="S659">
        <v>-74.766999999999996</v>
      </c>
      <c r="U659" t="s">
        <v>1957</v>
      </c>
      <c r="V659" t="s">
        <v>245</v>
      </c>
      <c r="W659" t="s">
        <v>1982</v>
      </c>
      <c r="X659" t="s">
        <v>1961</v>
      </c>
      <c r="Y659" t="s">
        <v>2</v>
      </c>
      <c r="Z659" t="s">
        <v>30</v>
      </c>
      <c r="AA659">
        <v>-8.3670000000000009</v>
      </c>
      <c r="AB659">
        <v>-74.7</v>
      </c>
      <c r="AV659" t="s">
        <v>1962</v>
      </c>
      <c r="AW659">
        <v>625</v>
      </c>
      <c r="AX659" t="s">
        <v>29</v>
      </c>
      <c r="AY659">
        <v>2</v>
      </c>
      <c r="AZ659" t="s">
        <v>1963</v>
      </c>
      <c r="BA659">
        <v>2009</v>
      </c>
      <c r="BB659">
        <v>2010</v>
      </c>
      <c r="BC659" t="s">
        <v>1964</v>
      </c>
      <c r="BD659" t="s">
        <v>2036</v>
      </c>
      <c r="BE659" t="s">
        <v>2008</v>
      </c>
      <c r="BF659" t="s">
        <v>299</v>
      </c>
      <c r="BG659" t="s">
        <v>1779</v>
      </c>
      <c r="BH659" t="s">
        <v>2009</v>
      </c>
      <c r="BI659" t="s">
        <v>29</v>
      </c>
      <c r="BJ659" t="s">
        <v>29</v>
      </c>
      <c r="BK659" t="s">
        <v>29</v>
      </c>
      <c r="EJ659" s="9"/>
      <c r="EK659" s="9"/>
      <c r="EL659" s="9"/>
      <c r="EM659" s="9"/>
      <c r="EN659" s="9"/>
      <c r="EO659" s="9"/>
      <c r="EP659" s="9"/>
      <c r="EQ659" s="9"/>
      <c r="ER659" s="9"/>
      <c r="ES659" s="9"/>
      <c r="ET659" s="9"/>
      <c r="EU659" s="9"/>
      <c r="EV659" s="9"/>
      <c r="EW659" s="9"/>
      <c r="EX659" s="9"/>
      <c r="EY659" s="9"/>
      <c r="EZ659" s="9"/>
      <c r="FA659" s="9"/>
      <c r="FB659" s="9"/>
      <c r="FC659" s="9"/>
      <c r="FD659" s="9"/>
      <c r="FE659" s="9"/>
      <c r="FF659" s="9"/>
      <c r="FG659" s="9"/>
      <c r="FH659" s="9"/>
      <c r="FI659" s="9"/>
      <c r="FJ659" s="9"/>
      <c r="FK659" s="9"/>
      <c r="FL659" s="9"/>
      <c r="FM659" s="9"/>
      <c r="FN659" s="9"/>
      <c r="FO659" s="9"/>
      <c r="FP659" s="9"/>
      <c r="FQ659" s="9"/>
      <c r="FR659" s="9"/>
      <c r="FS659" s="9"/>
      <c r="FT659" s="9"/>
      <c r="FU659" s="9"/>
      <c r="FV659" s="9"/>
      <c r="FW659" s="9"/>
      <c r="FX659" s="9"/>
      <c r="FY659" s="9"/>
      <c r="FZ659" s="9"/>
      <c r="GA659" s="9"/>
      <c r="GB659" s="9"/>
      <c r="GC659" s="9"/>
      <c r="GD659" s="9"/>
      <c r="GE659" s="9"/>
      <c r="GF659" s="9"/>
      <c r="GG659" s="9"/>
      <c r="GH659" s="9"/>
      <c r="GI659" s="9"/>
      <c r="GJ659" s="9"/>
      <c r="GK659" s="9"/>
      <c r="GL659" s="9"/>
      <c r="GM659" s="9"/>
      <c r="GN659" s="9"/>
      <c r="GO659" s="9"/>
      <c r="GP659" s="9"/>
      <c r="GQ659" s="9"/>
      <c r="GR659" s="9"/>
      <c r="GS659" s="9"/>
      <c r="GT659" s="9"/>
      <c r="GU659" s="9"/>
      <c r="GV659" s="9"/>
      <c r="GW659" s="9"/>
      <c r="GX659" s="9"/>
      <c r="GY659" s="9"/>
      <c r="GZ659" s="9"/>
      <c r="HA659" s="9"/>
      <c r="HB659" s="9"/>
      <c r="HC659" s="9"/>
      <c r="HD659" s="9"/>
      <c r="HE659" s="9"/>
      <c r="HF659" s="9"/>
      <c r="HG659" s="9"/>
      <c r="HH659" s="9"/>
      <c r="HI659" s="9"/>
      <c r="HJ659" s="9"/>
      <c r="HK659" s="9"/>
      <c r="HL659" s="9" t="s">
        <v>2010</v>
      </c>
      <c r="HM659" s="9" t="s">
        <v>232</v>
      </c>
      <c r="HZ659" s="58"/>
      <c r="JQ659" s="9"/>
      <c r="KA659" s="9"/>
      <c r="KS659" s="9"/>
      <c r="KT659" s="9"/>
      <c r="KU659" s="9"/>
      <c r="KV659" s="9"/>
      <c r="MZ659" t="s">
        <v>1968</v>
      </c>
      <c r="NA659">
        <v>625</v>
      </c>
      <c r="NB659" t="s">
        <v>1969</v>
      </c>
      <c r="NC659" t="s">
        <v>1973</v>
      </c>
      <c r="ND659" t="s">
        <v>1974</v>
      </c>
      <c r="NE659" t="s">
        <v>1975</v>
      </c>
      <c r="NF659" t="s">
        <v>1976</v>
      </c>
      <c r="NG659" t="s">
        <v>1977</v>
      </c>
      <c r="NK659" t="s">
        <v>2025</v>
      </c>
      <c r="NL659" t="s">
        <v>2026</v>
      </c>
      <c r="NM659" t="s">
        <v>1751</v>
      </c>
      <c r="NN659" t="s">
        <v>2027</v>
      </c>
      <c r="NV659" t="s">
        <v>2011</v>
      </c>
      <c r="NW659" t="s">
        <v>6</v>
      </c>
      <c r="NX659">
        <v>3.06</v>
      </c>
      <c r="NY659" t="s">
        <v>1446</v>
      </c>
      <c r="NZ659">
        <v>0.76</v>
      </c>
      <c r="OC659">
        <v>32</v>
      </c>
      <c r="OT659" t="s">
        <v>1980</v>
      </c>
      <c r="OU659" s="19"/>
      <c r="OW659">
        <v>2009</v>
      </c>
      <c r="OX659">
        <v>2010</v>
      </c>
      <c r="PA659" t="s">
        <v>1981</v>
      </c>
      <c r="PB659" s="58">
        <v>46133</v>
      </c>
    </row>
    <row r="660" spans="1:423">
      <c r="A660" s="87" t="s">
        <v>36</v>
      </c>
      <c r="B660" s="87" t="s">
        <v>1956</v>
      </c>
      <c r="C660" s="87" t="s">
        <v>1957</v>
      </c>
      <c r="D660" s="87" t="s">
        <v>1936</v>
      </c>
      <c r="E660" s="87" t="s">
        <v>1958</v>
      </c>
      <c r="F660" s="87" t="s">
        <v>1959</v>
      </c>
      <c r="G660" s="87" t="s">
        <v>2</v>
      </c>
      <c r="H660" s="87" t="s">
        <v>30</v>
      </c>
      <c r="I660" s="87">
        <v>-8.9</v>
      </c>
      <c r="J660" s="87">
        <v>-74.983000000000004</v>
      </c>
      <c r="K660" s="87"/>
      <c r="L660" s="87" t="s">
        <v>1957</v>
      </c>
      <c r="M660" s="87" t="s">
        <v>245</v>
      </c>
      <c r="N660" s="87" t="s">
        <v>1960</v>
      </c>
      <c r="O660" s="87" t="s">
        <v>1961</v>
      </c>
      <c r="P660" s="87" t="s">
        <v>2</v>
      </c>
      <c r="Q660" s="87" t="s">
        <v>30</v>
      </c>
      <c r="R660" s="87">
        <v>-8.5169999999999995</v>
      </c>
      <c r="S660" s="87">
        <v>-74.766999999999996</v>
      </c>
      <c r="T660" s="87"/>
      <c r="U660" s="87"/>
      <c r="V660" s="87"/>
      <c r="W660" s="87"/>
      <c r="X660" s="87"/>
      <c r="Y660" s="87"/>
      <c r="Z660" s="87"/>
      <c r="AA660" s="87"/>
      <c r="AB660" s="87"/>
      <c r="AC660" s="87"/>
      <c r="AD660" s="87"/>
      <c r="AE660" s="87"/>
      <c r="AF660" s="87"/>
      <c r="AG660" s="87"/>
      <c r="AH660" s="87"/>
      <c r="AI660" s="87"/>
      <c r="AJ660" s="87"/>
      <c r="AK660" s="87"/>
      <c r="AL660" s="87"/>
      <c r="AM660" s="87"/>
      <c r="AN660" s="87"/>
      <c r="AO660" s="87"/>
      <c r="AP660" s="87"/>
      <c r="AQ660" s="87"/>
      <c r="AR660" s="87"/>
      <c r="AS660" s="87"/>
      <c r="AT660" s="87"/>
      <c r="AU660" s="87"/>
      <c r="AV660" s="87" t="s">
        <v>1962</v>
      </c>
      <c r="AW660" s="87">
        <v>625</v>
      </c>
      <c r="AX660" s="87" t="s">
        <v>29</v>
      </c>
      <c r="AY660" s="87">
        <v>2</v>
      </c>
      <c r="AZ660" s="87" t="s">
        <v>1963</v>
      </c>
      <c r="BA660" s="87">
        <v>2009</v>
      </c>
      <c r="BB660" s="87">
        <v>2010</v>
      </c>
      <c r="BC660" s="87" t="s">
        <v>1964</v>
      </c>
      <c r="BD660" s="87" t="s">
        <v>1966</v>
      </c>
      <c r="BE660" s="87" t="s">
        <v>1965</v>
      </c>
      <c r="BF660" s="87" t="s">
        <v>39</v>
      </c>
      <c r="BG660" s="87" t="s">
        <v>1743</v>
      </c>
      <c r="BH660" s="87"/>
      <c r="BI660" s="87"/>
      <c r="BJ660" s="87"/>
      <c r="BK660" s="87"/>
      <c r="BL660" s="87"/>
      <c r="BM660" s="87"/>
      <c r="BN660" s="87"/>
      <c r="BO660" s="87"/>
      <c r="BP660" s="87"/>
      <c r="BQ660" s="87"/>
      <c r="BR660" s="87"/>
      <c r="BS660" s="87"/>
      <c r="BT660" s="87"/>
      <c r="BU660" s="87"/>
      <c r="BV660" s="87"/>
      <c r="BW660" s="87"/>
      <c r="BX660" s="87"/>
      <c r="BY660" s="87"/>
      <c r="BZ660" s="87"/>
      <c r="CA660" s="87"/>
      <c r="CB660" s="87"/>
      <c r="CC660" s="87"/>
      <c r="CD660" s="87"/>
      <c r="CE660" s="87"/>
      <c r="CF660" s="87"/>
      <c r="CG660" s="87"/>
      <c r="CH660" s="87"/>
      <c r="CI660" s="87"/>
      <c r="CJ660" s="87"/>
      <c r="CK660" s="87"/>
      <c r="CL660" s="87"/>
      <c r="CM660" s="87"/>
      <c r="CN660" s="87"/>
      <c r="CO660" s="87"/>
      <c r="CP660" s="87"/>
      <c r="CQ660" s="87"/>
      <c r="CR660" s="87"/>
      <c r="CS660" s="87"/>
      <c r="CT660" s="87"/>
      <c r="CU660" s="87"/>
      <c r="CV660" s="87"/>
      <c r="CW660" s="87"/>
      <c r="CX660" s="87"/>
      <c r="CY660" s="87"/>
      <c r="CZ660" s="87"/>
      <c r="DA660" s="87"/>
      <c r="DB660" s="87"/>
      <c r="DC660" s="87"/>
      <c r="DD660" s="87"/>
      <c r="DE660" s="87"/>
      <c r="DF660" s="87"/>
      <c r="DG660" s="87"/>
      <c r="DH660" s="87"/>
      <c r="DI660" s="87"/>
      <c r="DJ660" s="87"/>
      <c r="DK660" s="87"/>
      <c r="DL660" s="87"/>
      <c r="DM660" s="87"/>
      <c r="DN660" s="87"/>
      <c r="DO660" s="87"/>
      <c r="DP660" s="87"/>
      <c r="DQ660" s="87"/>
      <c r="DR660" s="87"/>
      <c r="DS660" s="87"/>
      <c r="DT660" s="87"/>
      <c r="DU660" s="87"/>
      <c r="DV660" s="87"/>
      <c r="DW660" s="87"/>
      <c r="DX660" s="87"/>
      <c r="DY660" s="87"/>
      <c r="DZ660" s="87"/>
      <c r="EA660" s="87"/>
      <c r="EB660" s="87"/>
      <c r="EC660" s="87"/>
      <c r="ED660" s="87"/>
      <c r="EE660" s="87"/>
      <c r="EF660" s="87"/>
      <c r="EG660" s="87"/>
      <c r="EH660" s="87"/>
      <c r="EI660" s="87"/>
      <c r="EJ660" s="139"/>
      <c r="EK660" s="139"/>
      <c r="EL660" s="139"/>
      <c r="EM660" s="139"/>
      <c r="EN660" s="139"/>
      <c r="EO660" s="139"/>
      <c r="EP660" s="139"/>
      <c r="EQ660" s="139"/>
      <c r="ER660" s="139"/>
      <c r="ES660" s="139"/>
      <c r="ET660" s="139"/>
      <c r="EU660" s="139"/>
      <c r="EV660" s="139"/>
      <c r="EW660" s="139"/>
      <c r="EX660" s="139"/>
      <c r="EY660" s="139"/>
      <c r="EZ660" s="139"/>
      <c r="FA660" s="139"/>
      <c r="FB660" s="139"/>
      <c r="FC660" s="139"/>
      <c r="FD660" s="139"/>
      <c r="FE660" s="139"/>
      <c r="FF660" s="139"/>
      <c r="FG660" s="139"/>
      <c r="FH660" s="139"/>
      <c r="FI660" s="139"/>
      <c r="FJ660" s="139"/>
      <c r="FK660" s="139"/>
      <c r="FL660" s="139"/>
      <c r="FM660" s="139"/>
      <c r="FN660" s="139"/>
      <c r="FO660" s="139"/>
      <c r="FP660" s="139"/>
      <c r="FQ660" s="139"/>
      <c r="FR660" s="139"/>
      <c r="FS660" s="139"/>
      <c r="FT660" s="139"/>
      <c r="FU660" s="139"/>
      <c r="FV660" s="139"/>
      <c r="FW660" s="139"/>
      <c r="FX660" s="139"/>
      <c r="FY660" s="139"/>
      <c r="FZ660" s="139"/>
      <c r="GA660" s="139"/>
      <c r="GB660" s="139"/>
      <c r="GC660" s="139"/>
      <c r="GD660" s="139"/>
      <c r="GE660" s="139"/>
      <c r="GF660" s="139"/>
      <c r="GG660" s="139"/>
      <c r="GH660" s="139"/>
      <c r="GI660" s="139"/>
      <c r="GJ660" s="139"/>
      <c r="GK660" s="139"/>
      <c r="GL660" s="139"/>
      <c r="GM660" s="139"/>
      <c r="GN660" s="139"/>
      <c r="GO660" s="139"/>
      <c r="GP660" s="139"/>
      <c r="GQ660" s="139"/>
      <c r="GR660" s="139"/>
      <c r="GS660" s="139"/>
      <c r="GT660" s="139"/>
      <c r="GU660" s="139"/>
      <c r="GV660" s="139"/>
      <c r="GW660" s="139"/>
      <c r="GX660" s="139"/>
      <c r="GY660" s="139"/>
      <c r="GZ660" s="139"/>
      <c r="HA660" s="139"/>
      <c r="HB660" s="139"/>
      <c r="HC660" s="139"/>
      <c r="HD660" s="139"/>
      <c r="HE660" s="139"/>
      <c r="HF660" s="139"/>
      <c r="HG660" s="139"/>
      <c r="HH660" s="139"/>
      <c r="HI660" s="139"/>
      <c r="HJ660" s="139"/>
      <c r="HK660" s="139"/>
      <c r="HL660" s="139" t="s">
        <v>1967</v>
      </c>
      <c r="HM660" s="139" t="s">
        <v>232</v>
      </c>
      <c r="HN660" s="87"/>
      <c r="HO660" s="87"/>
      <c r="HP660" s="87"/>
      <c r="HQ660" s="87"/>
      <c r="HR660" s="87"/>
      <c r="HS660" s="87"/>
      <c r="HT660" s="87"/>
      <c r="HU660" s="87"/>
      <c r="HV660" s="87"/>
      <c r="HW660" s="87"/>
      <c r="HX660" s="87"/>
      <c r="HY660" s="87"/>
      <c r="HZ660" s="140"/>
      <c r="IA660" s="87"/>
      <c r="IB660" s="87"/>
      <c r="IC660" s="87"/>
      <c r="ID660" s="87"/>
      <c r="IE660" s="87"/>
      <c r="IF660" s="87"/>
      <c r="IG660" s="87"/>
      <c r="IH660" s="87"/>
      <c r="II660" s="87"/>
      <c r="IJ660" s="87"/>
      <c r="IK660" s="87"/>
      <c r="IL660" s="87"/>
      <c r="IM660" s="87"/>
      <c r="IN660" s="87"/>
      <c r="IO660" s="87"/>
      <c r="IP660" s="87"/>
      <c r="IQ660" s="87"/>
      <c r="IR660" s="87"/>
      <c r="IS660" s="87"/>
      <c r="IT660" s="87"/>
      <c r="IU660" s="87"/>
      <c r="IV660" s="87"/>
      <c r="IW660" s="87"/>
      <c r="IX660" s="87"/>
      <c r="IY660" s="87"/>
      <c r="IZ660" s="87"/>
      <c r="JA660" s="87">
        <v>20</v>
      </c>
      <c r="JB660" s="87">
        <v>95</v>
      </c>
      <c r="JC660" s="87"/>
      <c r="JD660" s="87"/>
      <c r="JE660" s="87"/>
      <c r="JF660" s="87"/>
      <c r="JG660" s="87"/>
      <c r="JH660" s="87"/>
      <c r="JI660" s="87"/>
      <c r="JJ660" s="87"/>
      <c r="JK660" s="87"/>
      <c r="JL660" s="87"/>
      <c r="JM660" s="87"/>
      <c r="JN660" s="87"/>
      <c r="JO660" s="87"/>
      <c r="JP660" s="87"/>
      <c r="JQ660" s="146"/>
      <c r="JR660" s="87"/>
      <c r="JS660" s="87"/>
      <c r="JT660" s="87"/>
      <c r="JU660" s="87"/>
      <c r="JV660" s="87"/>
      <c r="JW660" s="87"/>
      <c r="JX660" s="87"/>
      <c r="JY660" s="87"/>
      <c r="JZ660" s="87"/>
      <c r="KA660" s="146"/>
      <c r="KB660" s="87"/>
      <c r="KC660" s="87"/>
      <c r="KD660" s="87"/>
      <c r="KE660" s="87"/>
      <c r="KF660" s="87"/>
      <c r="KG660" s="87"/>
      <c r="KH660" s="87"/>
      <c r="KI660" s="87"/>
      <c r="KJ660" s="87"/>
      <c r="KK660" s="87"/>
      <c r="KL660" s="87"/>
      <c r="KM660" s="87"/>
      <c r="KN660" s="87"/>
      <c r="KO660" s="87"/>
      <c r="KP660" s="87"/>
      <c r="KQ660" s="87"/>
      <c r="KR660" s="87"/>
      <c r="KS660" s="146"/>
      <c r="KT660" s="146"/>
      <c r="KU660" s="146"/>
      <c r="KV660" s="146"/>
      <c r="KW660" s="87"/>
      <c r="KX660" s="87"/>
      <c r="KY660" s="87"/>
      <c r="KZ660" s="87"/>
      <c r="LA660" s="87"/>
      <c r="LB660" s="87"/>
      <c r="LC660" s="87"/>
      <c r="LD660" s="87"/>
      <c r="LE660" s="87"/>
      <c r="LF660" s="87"/>
      <c r="LG660" s="87"/>
      <c r="LH660" s="87"/>
      <c r="LI660" s="87"/>
      <c r="LJ660" s="87"/>
      <c r="LK660" s="87"/>
      <c r="LL660" s="87"/>
      <c r="LM660" s="87"/>
      <c r="LN660" s="87"/>
      <c r="LO660" s="87"/>
      <c r="LP660" s="87"/>
      <c r="LQ660" s="87"/>
      <c r="LR660" s="87"/>
      <c r="LS660" s="87"/>
      <c r="LT660" s="87"/>
      <c r="LU660" s="87"/>
      <c r="LV660" s="87"/>
      <c r="LW660" s="87"/>
      <c r="LX660" s="87"/>
      <c r="LY660" s="87"/>
      <c r="LZ660" s="87"/>
      <c r="MA660" s="87"/>
      <c r="MB660" s="87"/>
      <c r="MC660" s="87"/>
      <c r="MD660" s="87"/>
      <c r="ME660" s="87"/>
      <c r="MF660" s="87"/>
      <c r="MG660" s="87"/>
      <c r="MH660" s="87"/>
      <c r="MI660" s="87"/>
      <c r="MJ660" s="87"/>
      <c r="MK660" s="87"/>
      <c r="ML660" s="87"/>
      <c r="MM660" s="87"/>
      <c r="MN660" s="87"/>
      <c r="MO660" s="87"/>
      <c r="MP660" s="87"/>
      <c r="MQ660" s="87"/>
      <c r="MR660" s="87"/>
      <c r="MS660" s="87"/>
      <c r="MT660" s="87"/>
      <c r="MU660" s="87"/>
      <c r="MV660" s="87"/>
      <c r="MW660" s="87"/>
      <c r="MX660" s="87"/>
      <c r="MY660" s="87"/>
      <c r="MZ660" s="87" t="s">
        <v>1968</v>
      </c>
      <c r="NA660" s="87">
        <v>625</v>
      </c>
      <c r="NB660" s="87" t="s">
        <v>1969</v>
      </c>
      <c r="NC660" s="87" t="s">
        <v>1973</v>
      </c>
      <c r="ND660" s="87" t="s">
        <v>1974</v>
      </c>
      <c r="NE660" s="87" t="s">
        <v>1975</v>
      </c>
      <c r="NF660" s="87" t="s">
        <v>1976</v>
      </c>
      <c r="NG660" s="87" t="s">
        <v>1977</v>
      </c>
      <c r="NH660" s="87"/>
      <c r="NI660" s="87"/>
      <c r="NJ660" s="87"/>
      <c r="NK660" s="87" t="s">
        <v>2028</v>
      </c>
      <c r="NL660" s="87" t="s">
        <v>2029</v>
      </c>
      <c r="NM660" s="87" t="s">
        <v>2016</v>
      </c>
      <c r="NN660" s="87" t="s">
        <v>2027</v>
      </c>
      <c r="NO660" s="87"/>
      <c r="NP660" s="87"/>
      <c r="NQ660" s="87"/>
      <c r="NR660" s="87"/>
      <c r="NS660" s="87"/>
      <c r="NT660" s="87"/>
      <c r="NU660" s="87"/>
      <c r="NV660" s="87" t="s">
        <v>1978</v>
      </c>
      <c r="NW660" s="87" t="s">
        <v>6</v>
      </c>
      <c r="NX660" s="87">
        <v>148</v>
      </c>
      <c r="NY660" s="87" t="s">
        <v>1446</v>
      </c>
      <c r="NZ660" s="87">
        <v>28.4</v>
      </c>
      <c r="OA660" s="87"/>
      <c r="OB660" s="87"/>
      <c r="OC660" s="87">
        <v>8</v>
      </c>
      <c r="OD660" s="87"/>
      <c r="OE660" s="87"/>
      <c r="OF660" s="87"/>
      <c r="OG660" s="87"/>
      <c r="OH660" s="87"/>
      <c r="OI660" s="87"/>
      <c r="OJ660" s="87"/>
      <c r="OK660" s="87"/>
      <c r="OL660" s="87"/>
      <c r="OM660" s="87"/>
      <c r="ON660" s="87"/>
      <c r="OO660" s="87"/>
      <c r="OP660" s="87"/>
      <c r="OQ660" s="87"/>
      <c r="OR660" s="87"/>
      <c r="OS660" s="87"/>
      <c r="OT660" s="87" t="s">
        <v>1980</v>
      </c>
      <c r="OU660" s="144"/>
      <c r="OV660" s="87"/>
      <c r="OW660" s="87">
        <v>2009</v>
      </c>
      <c r="OX660" s="87">
        <v>2010</v>
      </c>
      <c r="OY660" s="87"/>
      <c r="OZ660" s="87"/>
      <c r="PA660" s="87" t="s">
        <v>1981</v>
      </c>
      <c r="PB660" s="140">
        <v>46133</v>
      </c>
      <c r="PC660" s="87"/>
      <c r="PD660" s="87"/>
      <c r="PE660" s="87"/>
      <c r="PF660" s="87"/>
      <c r="PG660" s="138"/>
    </row>
    <row r="661" spans="1:423">
      <c r="A661" t="s">
        <v>36</v>
      </c>
      <c r="B661" t="s">
        <v>1956</v>
      </c>
      <c r="C661" t="s">
        <v>1957</v>
      </c>
      <c r="D661" t="s">
        <v>245</v>
      </c>
      <c r="E661" t="s">
        <v>1960</v>
      </c>
      <c r="F661" t="s">
        <v>1961</v>
      </c>
      <c r="G661" t="s">
        <v>2</v>
      </c>
      <c r="H661" t="s">
        <v>30</v>
      </c>
      <c r="I661">
        <v>-8.5169999999999995</v>
      </c>
      <c r="J661">
        <v>-74.766999999999996</v>
      </c>
      <c r="L661" t="s">
        <v>1957</v>
      </c>
      <c r="M661" t="s">
        <v>245</v>
      </c>
      <c r="N661" t="s">
        <v>1982</v>
      </c>
      <c r="O661" t="s">
        <v>1961</v>
      </c>
      <c r="P661" t="s">
        <v>2</v>
      </c>
      <c r="Q661" t="s">
        <v>30</v>
      </c>
      <c r="R661">
        <v>-8.3670000000000009</v>
      </c>
      <c r="S661">
        <v>-74.7</v>
      </c>
      <c r="AV661" t="s">
        <v>1962</v>
      </c>
      <c r="AW661">
        <v>625</v>
      </c>
      <c r="AX661" t="s">
        <v>29</v>
      </c>
      <c r="AY661">
        <v>2</v>
      </c>
      <c r="AZ661" t="s">
        <v>1963</v>
      </c>
      <c r="BA661">
        <v>2009</v>
      </c>
      <c r="BB661">
        <v>2010</v>
      </c>
      <c r="BC661" t="s">
        <v>1964</v>
      </c>
      <c r="BD661" t="s">
        <v>1990</v>
      </c>
      <c r="BE661" t="s">
        <v>1984</v>
      </c>
      <c r="BF661" t="s">
        <v>64</v>
      </c>
      <c r="BG661" t="s">
        <v>1233</v>
      </c>
      <c r="BH661" t="s">
        <v>1985</v>
      </c>
      <c r="BI661" t="s">
        <v>29</v>
      </c>
      <c r="BJ661" t="s">
        <v>29</v>
      </c>
      <c r="BK661" t="s">
        <v>29</v>
      </c>
      <c r="EE661" t="s">
        <v>1986</v>
      </c>
      <c r="EF661" t="s">
        <v>1987</v>
      </c>
      <c r="EG661">
        <v>0.24</v>
      </c>
      <c r="EH661" t="s">
        <v>1990</v>
      </c>
      <c r="EJ661" s="9"/>
      <c r="EK661" s="9"/>
      <c r="EL661" s="9"/>
      <c r="EM661" s="9"/>
      <c r="EN661" s="9"/>
      <c r="EO661" s="9"/>
      <c r="EP661" s="9"/>
      <c r="EQ661" s="9"/>
      <c r="ER661" s="9"/>
      <c r="ES661" s="9"/>
      <c r="ET661" s="9"/>
      <c r="EU661" s="9"/>
      <c r="EV661" s="9"/>
      <c r="EW661" s="9"/>
      <c r="EX661" s="9"/>
      <c r="EY661" s="9"/>
      <c r="EZ661" s="9"/>
      <c r="FA661" s="9"/>
      <c r="FB661" s="9"/>
      <c r="FC661" s="9"/>
      <c r="FD661" s="9"/>
      <c r="FE661" s="9"/>
      <c r="FF661" s="9"/>
      <c r="FG661" s="9"/>
      <c r="FH661" s="9"/>
      <c r="FI661" s="9"/>
      <c r="FJ661" s="9"/>
      <c r="FK661" s="9"/>
      <c r="FL661" s="9"/>
      <c r="FM661" s="9"/>
      <c r="FN661" s="9"/>
      <c r="FO661" s="9"/>
      <c r="FP661" s="9"/>
      <c r="FQ661" s="9"/>
      <c r="FR661" s="9"/>
      <c r="FS661" s="9"/>
      <c r="FT661" s="9"/>
      <c r="FU661" s="9"/>
      <c r="FV661" s="9"/>
      <c r="FW661" s="9"/>
      <c r="FX661" s="9"/>
      <c r="FY661" s="9"/>
      <c r="FZ661" s="9"/>
      <c r="GA661" s="9"/>
      <c r="GB661" s="9"/>
      <c r="GC661" s="9"/>
      <c r="GD661" s="9"/>
      <c r="GE661" s="9"/>
      <c r="GF661" s="9"/>
      <c r="GG661" s="9"/>
      <c r="GH661" s="9"/>
      <c r="GI661" s="9"/>
      <c r="GJ661" s="9"/>
      <c r="GK661" s="9"/>
      <c r="GL661" s="9"/>
      <c r="GM661" s="9"/>
      <c r="GN661" s="9"/>
      <c r="GO661" s="9"/>
      <c r="GP661" s="9"/>
      <c r="GQ661" s="9"/>
      <c r="GR661" s="9"/>
      <c r="GS661" s="9"/>
      <c r="GT661" s="9"/>
      <c r="GU661" s="9"/>
      <c r="GV661" s="9"/>
      <c r="GW661" s="9"/>
      <c r="GX661" s="9"/>
      <c r="GY661" s="9"/>
      <c r="GZ661" s="9"/>
      <c r="HA661" s="9"/>
      <c r="HB661" s="9"/>
      <c r="HC661" s="9"/>
      <c r="HD661" s="9"/>
      <c r="HE661" s="9"/>
      <c r="HF661" s="9"/>
      <c r="HG661" s="9"/>
      <c r="HH661" s="9"/>
      <c r="HI661" s="9"/>
      <c r="HJ661" s="9"/>
      <c r="HK661" s="9"/>
      <c r="HL661" s="9" t="s">
        <v>1988</v>
      </c>
      <c r="HM661" s="9" t="s">
        <v>232</v>
      </c>
      <c r="HZ661" s="58"/>
      <c r="IW661" t="s">
        <v>1989</v>
      </c>
      <c r="IX661" t="s">
        <v>1990</v>
      </c>
      <c r="IY661" t="s">
        <v>1991</v>
      </c>
      <c r="JA661">
        <v>6</v>
      </c>
      <c r="JB661">
        <v>77.5</v>
      </c>
      <c r="JC661">
        <v>75</v>
      </c>
      <c r="JD661">
        <v>80</v>
      </c>
      <c r="JE661">
        <v>7.5</v>
      </c>
      <c r="JF661">
        <v>6</v>
      </c>
      <c r="JG661">
        <v>9</v>
      </c>
      <c r="JQ661" s="9"/>
      <c r="KA661" s="9"/>
      <c r="KS661" s="9"/>
      <c r="KT661" s="9"/>
      <c r="KU661" s="9"/>
      <c r="KV661" s="9"/>
      <c r="MZ661" t="s">
        <v>1968</v>
      </c>
      <c r="NA661">
        <v>625</v>
      </c>
      <c r="NB661" t="s">
        <v>1969</v>
      </c>
      <c r="NC661" t="s">
        <v>1973</v>
      </c>
      <c r="ND661" t="s">
        <v>1974</v>
      </c>
      <c r="NE661" t="s">
        <v>1975</v>
      </c>
      <c r="NF661" t="s">
        <v>1976</v>
      </c>
      <c r="NG661" t="s">
        <v>1977</v>
      </c>
      <c r="NK661" t="s">
        <v>2028</v>
      </c>
      <c r="NL661" t="s">
        <v>2029</v>
      </c>
      <c r="NM661" t="s">
        <v>2016</v>
      </c>
      <c r="NN661" t="s">
        <v>2027</v>
      </c>
      <c r="NV661" t="s">
        <v>1992</v>
      </c>
      <c r="NW661" t="s">
        <v>6</v>
      </c>
      <c r="NX661">
        <v>24.4</v>
      </c>
      <c r="NY661" t="s">
        <v>1446</v>
      </c>
      <c r="NZ661">
        <v>4.0999999999999996</v>
      </c>
      <c r="OC661">
        <v>31</v>
      </c>
      <c r="OT661" t="s">
        <v>1980</v>
      </c>
      <c r="OU661" s="19"/>
      <c r="OW661">
        <v>2009</v>
      </c>
      <c r="OX661">
        <v>2010</v>
      </c>
      <c r="PA661" t="s">
        <v>1981</v>
      </c>
      <c r="PB661" s="58">
        <v>46133</v>
      </c>
    </row>
    <row r="662" spans="1:423">
      <c r="A662" s="87" t="s">
        <v>36</v>
      </c>
      <c r="B662" s="87" t="s">
        <v>1956</v>
      </c>
      <c r="C662" s="87" t="s">
        <v>1957</v>
      </c>
      <c r="D662" s="87" t="s">
        <v>245</v>
      </c>
      <c r="E662" s="87" t="s">
        <v>1993</v>
      </c>
      <c r="F662" s="87" t="s">
        <v>1961</v>
      </c>
      <c r="G662" s="87" t="s">
        <v>2</v>
      </c>
      <c r="H662" s="87" t="s">
        <v>30</v>
      </c>
      <c r="I662" s="87">
        <v>-8.8170000000000002</v>
      </c>
      <c r="J662" s="87">
        <v>-75.2</v>
      </c>
      <c r="K662" s="87"/>
      <c r="L662" s="87" t="s">
        <v>1957</v>
      </c>
      <c r="M662" s="87" t="s">
        <v>245</v>
      </c>
      <c r="N662" s="87" t="s">
        <v>1960</v>
      </c>
      <c r="O662" s="87" t="s">
        <v>1961</v>
      </c>
      <c r="P662" s="87" t="s">
        <v>2</v>
      </c>
      <c r="Q662" s="87" t="s">
        <v>30</v>
      </c>
      <c r="R662" s="87">
        <v>-8.5169999999999995</v>
      </c>
      <c r="S662" s="87">
        <v>-74.766999999999996</v>
      </c>
      <c r="T662" s="87"/>
      <c r="U662" s="87"/>
      <c r="V662" s="87"/>
      <c r="W662" s="87"/>
      <c r="X662" s="87"/>
      <c r="Y662" s="87"/>
      <c r="Z662" s="87"/>
      <c r="AA662" s="87"/>
      <c r="AB662" s="87"/>
      <c r="AC662" s="87"/>
      <c r="AD662" s="87"/>
      <c r="AE662" s="87"/>
      <c r="AF662" s="87"/>
      <c r="AG662" s="87"/>
      <c r="AH662" s="87"/>
      <c r="AI662" s="87"/>
      <c r="AJ662" s="87"/>
      <c r="AK662" s="87"/>
      <c r="AL662" s="87"/>
      <c r="AM662" s="87"/>
      <c r="AN662" s="87"/>
      <c r="AO662" s="87"/>
      <c r="AP662" s="87"/>
      <c r="AQ662" s="87"/>
      <c r="AR662" s="87"/>
      <c r="AS662" s="87"/>
      <c r="AT662" s="87"/>
      <c r="AU662" s="87"/>
      <c r="AV662" s="87" t="s">
        <v>1962</v>
      </c>
      <c r="AW662" s="87">
        <v>625</v>
      </c>
      <c r="AX662" s="87" t="s">
        <v>29</v>
      </c>
      <c r="AY662" s="87">
        <v>2</v>
      </c>
      <c r="AZ662" s="87" t="s">
        <v>1963</v>
      </c>
      <c r="BA662" s="87">
        <v>2009</v>
      </c>
      <c r="BB662" s="87">
        <v>2010</v>
      </c>
      <c r="BC662" s="87" t="s">
        <v>1964</v>
      </c>
      <c r="BD662" s="87" t="s">
        <v>1983</v>
      </c>
      <c r="BE662" s="87" t="s">
        <v>1994</v>
      </c>
      <c r="BF662" s="87" t="s">
        <v>57</v>
      </c>
      <c r="BG662" s="87" t="s">
        <v>1233</v>
      </c>
      <c r="BH662" s="87" t="s">
        <v>1995</v>
      </c>
      <c r="BI662" s="87" t="s">
        <v>29</v>
      </c>
      <c r="BJ662" s="87" t="s">
        <v>29</v>
      </c>
      <c r="BK662" s="87" t="s">
        <v>29</v>
      </c>
      <c r="BL662" s="87"/>
      <c r="BM662" s="87"/>
      <c r="BN662" s="87"/>
      <c r="BO662" s="87"/>
      <c r="BP662" s="87"/>
      <c r="BQ662" s="87"/>
      <c r="BR662" s="87"/>
      <c r="BS662" s="87"/>
      <c r="BT662" s="87"/>
      <c r="BU662" s="87"/>
      <c r="BV662" s="87"/>
      <c r="BW662" s="87"/>
      <c r="BX662" s="87"/>
      <c r="BY662" s="87"/>
      <c r="BZ662" s="87"/>
      <c r="CA662" s="87"/>
      <c r="CB662" s="87"/>
      <c r="CC662" s="87"/>
      <c r="CD662" s="87"/>
      <c r="CE662" s="87"/>
      <c r="CF662" s="87"/>
      <c r="CG662" s="87"/>
      <c r="CH662" s="87"/>
      <c r="CI662" s="87"/>
      <c r="CJ662" s="87"/>
      <c r="CK662" s="87"/>
      <c r="CL662" s="87"/>
      <c r="CM662" s="87"/>
      <c r="CN662" s="87"/>
      <c r="CO662" s="87"/>
      <c r="CP662" s="87"/>
      <c r="CQ662" s="87"/>
      <c r="CR662" s="87"/>
      <c r="CS662" s="87"/>
      <c r="CT662" s="87"/>
      <c r="CU662" s="87"/>
      <c r="CV662" s="87"/>
      <c r="CW662" s="87"/>
      <c r="CX662" s="87"/>
      <c r="CY662" s="87"/>
      <c r="CZ662" s="87"/>
      <c r="DA662" s="87"/>
      <c r="DB662" s="87"/>
      <c r="DC662" s="87"/>
      <c r="DD662" s="87"/>
      <c r="DE662" s="87"/>
      <c r="DF662" s="87"/>
      <c r="DG662" s="87"/>
      <c r="DH662" s="87"/>
      <c r="DI662" s="87"/>
      <c r="DJ662" s="87"/>
      <c r="DK662" s="87"/>
      <c r="DL662" s="87"/>
      <c r="DM662" s="87"/>
      <c r="DN662" s="87"/>
      <c r="DO662" s="87"/>
      <c r="DP662" s="87"/>
      <c r="DQ662" s="87"/>
      <c r="DR662" s="87"/>
      <c r="DS662" s="87"/>
      <c r="DT662" s="87"/>
      <c r="DU662" s="87"/>
      <c r="DV662" s="87"/>
      <c r="DW662" s="87"/>
      <c r="DX662" s="87"/>
      <c r="DY662" s="87"/>
      <c r="DZ662" s="87"/>
      <c r="EA662" s="87"/>
      <c r="EB662" s="87"/>
      <c r="EC662" s="87"/>
      <c r="ED662" s="87"/>
      <c r="EE662" s="87" t="s">
        <v>1996</v>
      </c>
      <c r="EF662" s="87" t="s">
        <v>1987</v>
      </c>
      <c r="EG662" s="87">
        <v>0.24</v>
      </c>
      <c r="EH662" s="87" t="s">
        <v>2037</v>
      </c>
      <c r="EI662" s="87" t="s">
        <v>1997</v>
      </c>
      <c r="EJ662" s="139" t="s">
        <v>1987</v>
      </c>
      <c r="EK662" s="139">
        <v>0.24</v>
      </c>
      <c r="EL662" s="139"/>
      <c r="EM662" s="139" t="s">
        <v>1998</v>
      </c>
      <c r="EN662" s="139" t="s">
        <v>1987</v>
      </c>
      <c r="EO662" s="139" t="s">
        <v>29</v>
      </c>
      <c r="EP662" s="139"/>
      <c r="EQ662" s="139" t="s">
        <v>1999</v>
      </c>
      <c r="ER662" s="139" t="s">
        <v>1987</v>
      </c>
      <c r="ES662" s="139" t="s">
        <v>29</v>
      </c>
      <c r="ET662" s="139"/>
      <c r="EU662" s="139" t="s">
        <v>2000</v>
      </c>
      <c r="EV662" s="139" t="s">
        <v>1987</v>
      </c>
      <c r="EW662" s="139" t="s">
        <v>29</v>
      </c>
      <c r="EX662" s="139"/>
      <c r="EY662" s="139"/>
      <c r="EZ662" s="139"/>
      <c r="FA662" s="139"/>
      <c r="FB662" s="139"/>
      <c r="FC662" s="139"/>
      <c r="FD662" s="139"/>
      <c r="FE662" s="139"/>
      <c r="FF662" s="139"/>
      <c r="FG662" s="139"/>
      <c r="FH662" s="139"/>
      <c r="FI662" s="139"/>
      <c r="FJ662" s="139"/>
      <c r="FK662" s="139"/>
      <c r="FL662" s="139"/>
      <c r="FM662" s="139"/>
      <c r="FN662" s="139"/>
      <c r="FO662" s="139"/>
      <c r="FP662" s="139"/>
      <c r="FQ662" s="139"/>
      <c r="FR662" s="139"/>
      <c r="FS662" s="139"/>
      <c r="FT662" s="139"/>
      <c r="FU662" s="139"/>
      <c r="FV662" s="139"/>
      <c r="FW662" s="139"/>
      <c r="FX662" s="139"/>
      <c r="FY662" s="139"/>
      <c r="FZ662" s="139"/>
      <c r="GA662" s="139"/>
      <c r="GB662" s="139"/>
      <c r="GC662" s="139"/>
      <c r="GD662" s="139"/>
      <c r="GE662" s="139"/>
      <c r="GF662" s="139"/>
      <c r="GG662" s="139"/>
      <c r="GH662" s="139"/>
      <c r="GI662" s="139"/>
      <c r="GJ662" s="139"/>
      <c r="GK662" s="139"/>
      <c r="GL662" s="139"/>
      <c r="GM662" s="139"/>
      <c r="GN662" s="139"/>
      <c r="GO662" s="139"/>
      <c r="GP662" s="139"/>
      <c r="GQ662" s="139"/>
      <c r="GR662" s="139"/>
      <c r="GS662" s="139"/>
      <c r="GT662" s="139"/>
      <c r="GU662" s="139"/>
      <c r="GV662" s="139"/>
      <c r="GW662" s="139"/>
      <c r="GX662" s="139"/>
      <c r="GY662" s="139"/>
      <c r="GZ662" s="139"/>
      <c r="HA662" s="139"/>
      <c r="HB662" s="139"/>
      <c r="HC662" s="139"/>
      <c r="HD662" s="139"/>
      <c r="HE662" s="139"/>
      <c r="HF662" s="139"/>
      <c r="HG662" s="139"/>
      <c r="HH662" s="139"/>
      <c r="HI662" s="139"/>
      <c r="HJ662" s="139"/>
      <c r="HK662" s="139"/>
      <c r="HL662" s="139" t="s">
        <v>1988</v>
      </c>
      <c r="HM662" s="139" t="s">
        <v>232</v>
      </c>
      <c r="HN662" s="87"/>
      <c r="HO662" s="87"/>
      <c r="HP662" s="87"/>
      <c r="HQ662" s="87"/>
      <c r="HR662" s="87"/>
      <c r="HS662" s="87"/>
      <c r="HT662" s="87"/>
      <c r="HU662" s="87"/>
      <c r="HV662" s="87"/>
      <c r="HW662" s="87"/>
      <c r="HX662" s="87"/>
      <c r="HY662" s="87"/>
      <c r="HZ662" s="140"/>
      <c r="IA662" s="87"/>
      <c r="IB662" s="87"/>
      <c r="IC662" s="87"/>
      <c r="ID662" s="87"/>
      <c r="IE662" s="87"/>
      <c r="IF662" s="87"/>
      <c r="IG662" s="87"/>
      <c r="IH662" s="87"/>
      <c r="II662" s="87"/>
      <c r="IJ662" s="87"/>
      <c r="IK662" s="87"/>
      <c r="IL662" s="87"/>
      <c r="IM662" s="87"/>
      <c r="IN662" s="87"/>
      <c r="IO662" s="87"/>
      <c r="IP662" s="87"/>
      <c r="IQ662" s="87"/>
      <c r="IR662" s="87"/>
      <c r="IS662" s="87"/>
      <c r="IT662" s="87"/>
      <c r="IU662" s="87"/>
      <c r="IV662" s="87"/>
      <c r="IW662" s="87" t="s">
        <v>2001</v>
      </c>
      <c r="IX662" s="87" t="s">
        <v>1990</v>
      </c>
      <c r="IY662" s="87" t="s">
        <v>2002</v>
      </c>
      <c r="IZ662" s="87"/>
      <c r="JA662" s="87"/>
      <c r="JB662" s="87">
        <v>50</v>
      </c>
      <c r="JC662" s="87"/>
      <c r="JD662" s="87"/>
      <c r="JE662" s="87">
        <v>12</v>
      </c>
      <c r="JF662" s="87"/>
      <c r="JG662" s="87"/>
      <c r="JH662" s="87"/>
      <c r="JI662" s="87"/>
      <c r="JJ662" s="87"/>
      <c r="JK662" s="87"/>
      <c r="JL662" s="87"/>
      <c r="JM662" s="87"/>
      <c r="JN662" s="87"/>
      <c r="JO662" s="87"/>
      <c r="JP662" s="87"/>
      <c r="JQ662" s="146"/>
      <c r="JR662" s="87"/>
      <c r="JS662" s="87"/>
      <c r="JT662" s="87"/>
      <c r="JU662" s="87"/>
      <c r="JV662" s="87"/>
      <c r="JW662" s="87"/>
      <c r="JX662" s="87"/>
      <c r="JY662" s="87"/>
      <c r="JZ662" s="87"/>
      <c r="KA662" s="146"/>
      <c r="KB662" s="87"/>
      <c r="KC662" s="87"/>
      <c r="KD662" s="87"/>
      <c r="KE662" s="87"/>
      <c r="KF662" s="87"/>
      <c r="KG662" s="87"/>
      <c r="KH662" s="87"/>
      <c r="KI662" s="87"/>
      <c r="KJ662" s="87"/>
      <c r="KK662" s="87"/>
      <c r="KL662" s="87"/>
      <c r="KM662" s="87"/>
      <c r="KN662" s="87"/>
      <c r="KO662" s="87"/>
      <c r="KP662" s="87"/>
      <c r="KQ662" s="87"/>
      <c r="KR662" s="87"/>
      <c r="KS662" s="146"/>
      <c r="KT662" s="146"/>
      <c r="KU662" s="146"/>
      <c r="KV662" s="146"/>
      <c r="KW662" s="87"/>
      <c r="KX662" s="87"/>
      <c r="KY662" s="87"/>
      <c r="KZ662" s="87"/>
      <c r="LA662" s="87"/>
      <c r="LB662" s="87"/>
      <c r="LC662" s="87"/>
      <c r="LD662" s="87"/>
      <c r="LE662" s="87"/>
      <c r="LF662" s="87"/>
      <c r="LG662" s="87"/>
      <c r="LH662" s="87"/>
      <c r="LI662" s="87"/>
      <c r="LJ662" s="87"/>
      <c r="LK662" s="87"/>
      <c r="LL662" s="87"/>
      <c r="LM662" s="87"/>
      <c r="LN662" s="87"/>
      <c r="LO662" s="87"/>
      <c r="LP662" s="87"/>
      <c r="LQ662" s="87"/>
      <c r="LR662" s="87"/>
      <c r="LS662" s="87"/>
      <c r="LT662" s="87"/>
      <c r="LU662" s="87"/>
      <c r="LV662" s="87"/>
      <c r="LW662" s="87"/>
      <c r="LX662" s="87"/>
      <c r="LY662" s="87"/>
      <c r="LZ662" s="87"/>
      <c r="MA662" s="87"/>
      <c r="MB662" s="87"/>
      <c r="MC662" s="87"/>
      <c r="MD662" s="87"/>
      <c r="ME662" s="87"/>
      <c r="MF662" s="87"/>
      <c r="MG662" s="87"/>
      <c r="MH662" s="87"/>
      <c r="MI662" s="87"/>
      <c r="MJ662" s="87"/>
      <c r="MK662" s="87"/>
      <c r="ML662" s="87"/>
      <c r="MM662" s="87"/>
      <c r="MN662" s="87"/>
      <c r="MO662" s="87"/>
      <c r="MP662" s="87"/>
      <c r="MQ662" s="87"/>
      <c r="MR662" s="87"/>
      <c r="MS662" s="87"/>
      <c r="MT662" s="87"/>
      <c r="MU662" s="87"/>
      <c r="MV662" s="87"/>
      <c r="MW662" s="87"/>
      <c r="MX662" s="87"/>
      <c r="MY662" s="87"/>
      <c r="MZ662" s="87" t="s">
        <v>1968</v>
      </c>
      <c r="NA662" s="87">
        <v>625</v>
      </c>
      <c r="NB662" s="87" t="s">
        <v>1969</v>
      </c>
      <c r="NC662" s="87" t="s">
        <v>1973</v>
      </c>
      <c r="ND662" s="87" t="s">
        <v>1974</v>
      </c>
      <c r="NE662" s="87" t="s">
        <v>1975</v>
      </c>
      <c r="NF662" s="87" t="s">
        <v>1976</v>
      </c>
      <c r="NG662" s="87" t="s">
        <v>1977</v>
      </c>
      <c r="NH662" s="87"/>
      <c r="NI662" s="87"/>
      <c r="NJ662" s="87"/>
      <c r="NK662" s="87" t="s">
        <v>2028</v>
      </c>
      <c r="NL662" s="87" t="s">
        <v>2029</v>
      </c>
      <c r="NM662" s="87" t="s">
        <v>2016</v>
      </c>
      <c r="NN662" s="87" t="s">
        <v>2027</v>
      </c>
      <c r="NO662" s="87"/>
      <c r="NP662" s="87"/>
      <c r="NQ662" s="87"/>
      <c r="NR662" s="87"/>
      <c r="NS662" s="87"/>
      <c r="NT662" s="87"/>
      <c r="NU662" s="87"/>
      <c r="NV662" s="87" t="s">
        <v>2003</v>
      </c>
      <c r="NW662" s="87" t="s">
        <v>6</v>
      </c>
      <c r="NX662" s="87">
        <v>8.3800000000000008</v>
      </c>
      <c r="NY662" s="87" t="s">
        <v>1446</v>
      </c>
      <c r="NZ662" s="87">
        <v>1.62</v>
      </c>
      <c r="OA662" s="87"/>
      <c r="OB662" s="87"/>
      <c r="OC662" s="87">
        <v>32</v>
      </c>
      <c r="OD662" s="87"/>
      <c r="OE662" s="87"/>
      <c r="OF662" s="87"/>
      <c r="OG662" s="87"/>
      <c r="OH662" s="87"/>
      <c r="OI662" s="87"/>
      <c r="OJ662" s="87"/>
      <c r="OK662" s="87"/>
      <c r="OL662" s="87"/>
      <c r="OM662" s="87"/>
      <c r="ON662" s="87"/>
      <c r="OO662" s="87"/>
      <c r="OP662" s="87"/>
      <c r="OQ662" s="87"/>
      <c r="OR662" s="87"/>
      <c r="OS662" s="87"/>
      <c r="OT662" s="87" t="s">
        <v>1980</v>
      </c>
      <c r="OU662" s="144"/>
      <c r="OV662" s="87"/>
      <c r="OW662" s="87">
        <v>2009</v>
      </c>
      <c r="OX662" s="87">
        <v>2010</v>
      </c>
      <c r="OY662" s="87"/>
      <c r="OZ662" s="87"/>
      <c r="PA662" s="87" t="s">
        <v>1981</v>
      </c>
      <c r="PB662" s="140">
        <v>46133</v>
      </c>
      <c r="PC662" s="87"/>
      <c r="PD662" s="87"/>
      <c r="PE662" s="87"/>
      <c r="PF662" s="87"/>
      <c r="PG662" s="138"/>
    </row>
    <row r="663" spans="1:423">
      <c r="A663" t="s">
        <v>36</v>
      </c>
      <c r="B663" t="s">
        <v>1956</v>
      </c>
      <c r="C663" t="s">
        <v>1957</v>
      </c>
      <c r="D663" t="s">
        <v>245</v>
      </c>
      <c r="E663" t="s">
        <v>1993</v>
      </c>
      <c r="F663" t="s">
        <v>1961</v>
      </c>
      <c r="G663" t="s">
        <v>2</v>
      </c>
      <c r="H663" t="s">
        <v>30</v>
      </c>
      <c r="I663">
        <v>-8.8170000000000002</v>
      </c>
      <c r="J663">
        <v>-75.2</v>
      </c>
      <c r="L663" t="s">
        <v>1957</v>
      </c>
      <c r="M663" t="s">
        <v>245</v>
      </c>
      <c r="N663" t="s">
        <v>1960</v>
      </c>
      <c r="O663" t="s">
        <v>1961</v>
      </c>
      <c r="P663" t="s">
        <v>2</v>
      </c>
      <c r="Q663" t="s">
        <v>30</v>
      </c>
      <c r="R663">
        <v>-8.5169999999999995</v>
      </c>
      <c r="S663">
        <v>-74.766999999999996</v>
      </c>
      <c r="U663" t="s">
        <v>1957</v>
      </c>
      <c r="V663" t="s">
        <v>245</v>
      </c>
      <c r="W663" t="s">
        <v>1982</v>
      </c>
      <c r="X663" t="s">
        <v>1961</v>
      </c>
      <c r="Y663" t="s">
        <v>2</v>
      </c>
      <c r="Z663" t="s">
        <v>30</v>
      </c>
      <c r="AA663">
        <v>-8.3670000000000009</v>
      </c>
      <c r="AB663">
        <v>-74.7</v>
      </c>
      <c r="AV663" t="s">
        <v>1962</v>
      </c>
      <c r="AW663">
        <v>625</v>
      </c>
      <c r="AX663" t="s">
        <v>29</v>
      </c>
      <c r="AY663">
        <v>2</v>
      </c>
      <c r="AZ663" t="s">
        <v>1963</v>
      </c>
      <c r="BA663">
        <v>2009</v>
      </c>
      <c r="BB663">
        <v>2010</v>
      </c>
      <c r="BC663" t="s">
        <v>1964</v>
      </c>
      <c r="BD663" t="s">
        <v>19</v>
      </c>
      <c r="BE663" t="s">
        <v>2004</v>
      </c>
      <c r="BF663" t="s">
        <v>24</v>
      </c>
      <c r="BG663" t="s">
        <v>1233</v>
      </c>
      <c r="BH663" t="s">
        <v>2005</v>
      </c>
      <c r="BI663" t="s">
        <v>29</v>
      </c>
      <c r="BJ663" t="s">
        <v>29</v>
      </c>
      <c r="BK663" t="s">
        <v>29</v>
      </c>
      <c r="EJ663" s="9"/>
      <c r="EK663" s="9"/>
      <c r="EL663" s="9"/>
      <c r="EM663" s="9"/>
      <c r="EN663" s="9"/>
      <c r="EO663" s="9"/>
      <c r="EP663" s="9"/>
      <c r="EQ663" s="9"/>
      <c r="ER663" s="9"/>
      <c r="ES663" s="9"/>
      <c r="ET663" s="9"/>
      <c r="EU663" s="9"/>
      <c r="EV663" s="9"/>
      <c r="EW663" s="9"/>
      <c r="EX663" s="9"/>
      <c r="EY663" s="9"/>
      <c r="EZ663" s="9"/>
      <c r="FA663" s="9"/>
      <c r="FB663" s="9"/>
      <c r="FC663" s="9"/>
      <c r="FD663" s="9"/>
      <c r="FE663" s="9"/>
      <c r="FF663" s="9"/>
      <c r="FG663" s="9"/>
      <c r="FH663" s="9"/>
      <c r="FI663" s="9"/>
      <c r="FJ663" s="9"/>
      <c r="FK663" s="9"/>
      <c r="FL663" s="9"/>
      <c r="FM663" s="9"/>
      <c r="FN663" s="9"/>
      <c r="FO663" s="9"/>
      <c r="FP663" s="9"/>
      <c r="FQ663" s="9"/>
      <c r="FR663" s="9"/>
      <c r="FS663" s="9"/>
      <c r="FT663" s="9"/>
      <c r="FU663" s="9"/>
      <c r="FV663" s="9"/>
      <c r="FW663" s="9"/>
      <c r="FX663" s="9"/>
      <c r="FY663" s="9"/>
      <c r="FZ663" s="9"/>
      <c r="GA663" s="9"/>
      <c r="GB663" s="9"/>
      <c r="GC663" s="9"/>
      <c r="GD663" s="9"/>
      <c r="GE663" s="9"/>
      <c r="GF663" s="9"/>
      <c r="GG663" s="9"/>
      <c r="GH663" s="9"/>
      <c r="GI663" s="9"/>
      <c r="GJ663" s="9"/>
      <c r="GK663" s="9"/>
      <c r="GL663" s="9"/>
      <c r="GM663" s="9"/>
      <c r="GN663" s="9"/>
      <c r="GO663" s="9"/>
      <c r="GP663" s="9"/>
      <c r="GQ663" s="9"/>
      <c r="GR663" s="9"/>
      <c r="GS663" s="9"/>
      <c r="GT663" s="9"/>
      <c r="GU663" s="9"/>
      <c r="GV663" s="9"/>
      <c r="GW663" s="9"/>
      <c r="GX663" s="9"/>
      <c r="GY663" s="9"/>
      <c r="GZ663" s="9"/>
      <c r="HA663" s="9"/>
      <c r="HB663" s="9"/>
      <c r="HC663" s="9"/>
      <c r="HD663" s="9"/>
      <c r="HE663" s="9"/>
      <c r="HF663" s="9"/>
      <c r="HG663" s="9"/>
      <c r="HH663" s="9"/>
      <c r="HI663" s="9"/>
      <c r="HJ663" s="9"/>
      <c r="HK663" s="9"/>
      <c r="HL663" s="9" t="s">
        <v>2006</v>
      </c>
      <c r="HM663" s="9" t="s">
        <v>297</v>
      </c>
      <c r="HN663" t="s">
        <v>12</v>
      </c>
      <c r="HZ663" s="58"/>
      <c r="JQ663" s="9"/>
      <c r="KA663" s="9"/>
      <c r="KS663" s="9"/>
      <c r="KT663" s="9"/>
      <c r="KU663" s="9"/>
      <c r="KV663" s="9"/>
      <c r="MZ663" t="s">
        <v>1968</v>
      </c>
      <c r="NA663">
        <v>625</v>
      </c>
      <c r="NB663" t="s">
        <v>1969</v>
      </c>
      <c r="NC663" t="s">
        <v>1973</v>
      </c>
      <c r="ND663" t="s">
        <v>1974</v>
      </c>
      <c r="NE663" t="s">
        <v>1975</v>
      </c>
      <c r="NF663" t="s">
        <v>1976</v>
      </c>
      <c r="NG663" t="s">
        <v>1977</v>
      </c>
      <c r="NK663" t="s">
        <v>2028</v>
      </c>
      <c r="NL663" t="s">
        <v>2029</v>
      </c>
      <c r="NM663" t="s">
        <v>2016</v>
      </c>
      <c r="NN663" t="s">
        <v>2027</v>
      </c>
      <c r="NV663" t="s">
        <v>2007</v>
      </c>
      <c r="NW663" t="s">
        <v>6</v>
      </c>
      <c r="NX663">
        <v>4.72</v>
      </c>
      <c r="NY663" t="s">
        <v>1446</v>
      </c>
      <c r="NZ663">
        <v>1.1100000000000001</v>
      </c>
      <c r="OC663">
        <v>32</v>
      </c>
      <c r="OT663" t="s">
        <v>1980</v>
      </c>
      <c r="OU663" s="19"/>
      <c r="OW663">
        <v>2009</v>
      </c>
      <c r="OX663">
        <v>2010</v>
      </c>
      <c r="PA663" t="s">
        <v>1981</v>
      </c>
      <c r="PB663" s="58">
        <v>46133</v>
      </c>
    </row>
    <row r="664" spans="1:423">
      <c r="A664" s="87" t="s">
        <v>36</v>
      </c>
      <c r="B664" s="87" t="s">
        <v>1956</v>
      </c>
      <c r="C664" s="87" t="s">
        <v>1957</v>
      </c>
      <c r="D664" s="87" t="s">
        <v>245</v>
      </c>
      <c r="E664" s="87" t="s">
        <v>1993</v>
      </c>
      <c r="F664" s="87" t="s">
        <v>1961</v>
      </c>
      <c r="G664" s="87" t="s">
        <v>2</v>
      </c>
      <c r="H664" s="87" t="s">
        <v>30</v>
      </c>
      <c r="I664" s="87">
        <v>-8.8170000000000002</v>
      </c>
      <c r="J664" s="87">
        <v>-75.2</v>
      </c>
      <c r="K664" s="87"/>
      <c r="L664" s="87" t="s">
        <v>1957</v>
      </c>
      <c r="M664" s="87" t="s">
        <v>245</v>
      </c>
      <c r="N664" s="87" t="s">
        <v>1960</v>
      </c>
      <c r="O664" s="87" t="s">
        <v>1961</v>
      </c>
      <c r="P664" s="87" t="s">
        <v>2</v>
      </c>
      <c r="Q664" s="87" t="s">
        <v>30</v>
      </c>
      <c r="R664" s="87">
        <v>-8.5169999999999995</v>
      </c>
      <c r="S664" s="87">
        <v>-74.766999999999996</v>
      </c>
      <c r="T664" s="87"/>
      <c r="U664" s="87" t="s">
        <v>1957</v>
      </c>
      <c r="V664" s="87" t="s">
        <v>245</v>
      </c>
      <c r="W664" s="87" t="s">
        <v>1982</v>
      </c>
      <c r="X664" s="87" t="s">
        <v>1961</v>
      </c>
      <c r="Y664" s="87" t="s">
        <v>2</v>
      </c>
      <c r="Z664" s="87" t="s">
        <v>30</v>
      </c>
      <c r="AA664" s="87">
        <v>-8.3670000000000009</v>
      </c>
      <c r="AB664" s="87">
        <v>-74.7</v>
      </c>
      <c r="AC664" s="87"/>
      <c r="AD664" s="87"/>
      <c r="AE664" s="87"/>
      <c r="AF664" s="87"/>
      <c r="AG664" s="87"/>
      <c r="AH664" s="87"/>
      <c r="AI664" s="87"/>
      <c r="AJ664" s="87"/>
      <c r="AK664" s="87"/>
      <c r="AL664" s="87"/>
      <c r="AM664" s="87"/>
      <c r="AN664" s="87"/>
      <c r="AO664" s="87"/>
      <c r="AP664" s="87"/>
      <c r="AQ664" s="87"/>
      <c r="AR664" s="87"/>
      <c r="AS664" s="87"/>
      <c r="AT664" s="87"/>
      <c r="AU664" s="87"/>
      <c r="AV664" s="87" t="s">
        <v>1962</v>
      </c>
      <c r="AW664" s="87">
        <v>625</v>
      </c>
      <c r="AX664" s="87" t="s">
        <v>29</v>
      </c>
      <c r="AY664" s="87">
        <v>2</v>
      </c>
      <c r="AZ664" s="87" t="s">
        <v>1963</v>
      </c>
      <c r="BA664" s="87">
        <v>2009</v>
      </c>
      <c r="BB664" s="87">
        <v>2010</v>
      </c>
      <c r="BC664" s="87" t="s">
        <v>1964</v>
      </c>
      <c r="BD664" s="87" t="s">
        <v>2036</v>
      </c>
      <c r="BE664" s="87" t="s">
        <v>2008</v>
      </c>
      <c r="BF664" s="87" t="s">
        <v>299</v>
      </c>
      <c r="BG664" s="87" t="s">
        <v>1779</v>
      </c>
      <c r="BH664" s="87" t="s">
        <v>2009</v>
      </c>
      <c r="BI664" s="87" t="s">
        <v>29</v>
      </c>
      <c r="BJ664" s="87" t="s">
        <v>29</v>
      </c>
      <c r="BK664" s="87" t="s">
        <v>29</v>
      </c>
      <c r="BL664" s="87"/>
      <c r="BM664" s="87"/>
      <c r="BN664" s="87"/>
      <c r="BO664" s="87"/>
      <c r="BP664" s="87"/>
      <c r="BQ664" s="87"/>
      <c r="BR664" s="87"/>
      <c r="BS664" s="87"/>
      <c r="BT664" s="87"/>
      <c r="BU664" s="87"/>
      <c r="BV664" s="87"/>
      <c r="BW664" s="87"/>
      <c r="BX664" s="87"/>
      <c r="BY664" s="87"/>
      <c r="BZ664" s="87"/>
      <c r="CA664" s="87"/>
      <c r="CB664" s="87"/>
      <c r="CC664" s="87"/>
      <c r="CD664" s="87"/>
      <c r="CE664" s="87"/>
      <c r="CF664" s="87"/>
      <c r="CG664" s="87"/>
      <c r="CH664" s="87"/>
      <c r="CI664" s="87"/>
      <c r="CJ664" s="87"/>
      <c r="CK664" s="87"/>
      <c r="CL664" s="87"/>
      <c r="CM664" s="87"/>
      <c r="CN664" s="87"/>
      <c r="CO664" s="87"/>
      <c r="CP664" s="87"/>
      <c r="CQ664" s="87"/>
      <c r="CR664" s="87"/>
      <c r="CS664" s="87"/>
      <c r="CT664" s="87"/>
      <c r="CU664" s="87"/>
      <c r="CV664" s="87"/>
      <c r="CW664" s="87"/>
      <c r="CX664" s="87"/>
      <c r="CY664" s="87"/>
      <c r="CZ664" s="87"/>
      <c r="DA664" s="87"/>
      <c r="DB664" s="87"/>
      <c r="DC664" s="87"/>
      <c r="DD664" s="87"/>
      <c r="DE664" s="87"/>
      <c r="DF664" s="87"/>
      <c r="DG664" s="87"/>
      <c r="DH664" s="87"/>
      <c r="DI664" s="87"/>
      <c r="DJ664" s="87"/>
      <c r="DK664" s="87"/>
      <c r="DL664" s="87"/>
      <c r="DM664" s="87"/>
      <c r="DN664" s="87"/>
      <c r="DO664" s="87"/>
      <c r="DP664" s="87"/>
      <c r="DQ664" s="87"/>
      <c r="DR664" s="87"/>
      <c r="DS664" s="87"/>
      <c r="DT664" s="87"/>
      <c r="DU664" s="87"/>
      <c r="DV664" s="87"/>
      <c r="DW664" s="87"/>
      <c r="DX664" s="87"/>
      <c r="DY664" s="87"/>
      <c r="DZ664" s="87"/>
      <c r="EA664" s="87"/>
      <c r="EB664" s="87"/>
      <c r="EC664" s="87"/>
      <c r="ED664" s="87"/>
      <c r="EE664" s="87"/>
      <c r="EF664" s="87"/>
      <c r="EG664" s="87"/>
      <c r="EH664" s="87"/>
      <c r="EI664" s="87"/>
      <c r="EJ664" s="139"/>
      <c r="EK664" s="139"/>
      <c r="EL664" s="139"/>
      <c r="EM664" s="139"/>
      <c r="EN664" s="139"/>
      <c r="EO664" s="139"/>
      <c r="EP664" s="139"/>
      <c r="EQ664" s="139"/>
      <c r="ER664" s="139"/>
      <c r="ES664" s="139"/>
      <c r="ET664" s="139"/>
      <c r="EU664" s="139"/>
      <c r="EV664" s="139"/>
      <c r="EW664" s="139"/>
      <c r="EX664" s="139"/>
      <c r="EY664" s="139"/>
      <c r="EZ664" s="139"/>
      <c r="FA664" s="139"/>
      <c r="FB664" s="139"/>
      <c r="FC664" s="139"/>
      <c r="FD664" s="139"/>
      <c r="FE664" s="139"/>
      <c r="FF664" s="139"/>
      <c r="FG664" s="139"/>
      <c r="FH664" s="139"/>
      <c r="FI664" s="139"/>
      <c r="FJ664" s="139"/>
      <c r="FK664" s="139"/>
      <c r="FL664" s="139"/>
      <c r="FM664" s="139"/>
      <c r="FN664" s="139"/>
      <c r="FO664" s="139"/>
      <c r="FP664" s="139"/>
      <c r="FQ664" s="139"/>
      <c r="FR664" s="139"/>
      <c r="FS664" s="139"/>
      <c r="FT664" s="139"/>
      <c r="FU664" s="139"/>
      <c r="FV664" s="139"/>
      <c r="FW664" s="139"/>
      <c r="FX664" s="139"/>
      <c r="FY664" s="139"/>
      <c r="FZ664" s="139"/>
      <c r="GA664" s="139"/>
      <c r="GB664" s="139"/>
      <c r="GC664" s="139"/>
      <c r="GD664" s="139"/>
      <c r="GE664" s="139"/>
      <c r="GF664" s="139"/>
      <c r="GG664" s="139"/>
      <c r="GH664" s="139"/>
      <c r="GI664" s="139"/>
      <c r="GJ664" s="139"/>
      <c r="GK664" s="139"/>
      <c r="GL664" s="139"/>
      <c r="GM664" s="139"/>
      <c r="GN664" s="139"/>
      <c r="GO664" s="139"/>
      <c r="GP664" s="139"/>
      <c r="GQ664" s="139"/>
      <c r="GR664" s="139"/>
      <c r="GS664" s="139"/>
      <c r="GT664" s="139"/>
      <c r="GU664" s="139"/>
      <c r="GV664" s="139"/>
      <c r="GW664" s="139"/>
      <c r="GX664" s="139"/>
      <c r="GY664" s="139"/>
      <c r="GZ664" s="139"/>
      <c r="HA664" s="139"/>
      <c r="HB664" s="139"/>
      <c r="HC664" s="139"/>
      <c r="HD664" s="139"/>
      <c r="HE664" s="139"/>
      <c r="HF664" s="139"/>
      <c r="HG664" s="139"/>
      <c r="HH664" s="139"/>
      <c r="HI664" s="139"/>
      <c r="HJ664" s="139"/>
      <c r="HK664" s="139"/>
      <c r="HL664" s="139" t="s">
        <v>2010</v>
      </c>
      <c r="HM664" s="139" t="s">
        <v>232</v>
      </c>
      <c r="HN664" s="87"/>
      <c r="HO664" s="87"/>
      <c r="HP664" s="87"/>
      <c r="HQ664" s="87"/>
      <c r="HR664" s="87"/>
      <c r="HS664" s="87"/>
      <c r="HT664" s="87"/>
      <c r="HU664" s="87"/>
      <c r="HV664" s="87"/>
      <c r="HW664" s="87"/>
      <c r="HX664" s="87"/>
      <c r="HY664" s="87"/>
      <c r="HZ664" s="140"/>
      <c r="IA664" s="87"/>
      <c r="IB664" s="87"/>
      <c r="IC664" s="87"/>
      <c r="ID664" s="87"/>
      <c r="IE664" s="87"/>
      <c r="IF664" s="87"/>
      <c r="IG664" s="87"/>
      <c r="IH664" s="87"/>
      <c r="II664" s="87"/>
      <c r="IJ664" s="87"/>
      <c r="IK664" s="87"/>
      <c r="IL664" s="87"/>
      <c r="IM664" s="87"/>
      <c r="IN664" s="87"/>
      <c r="IO664" s="87"/>
      <c r="IP664" s="87"/>
      <c r="IQ664" s="87"/>
      <c r="IR664" s="87"/>
      <c r="IS664" s="87"/>
      <c r="IT664" s="87"/>
      <c r="IU664" s="87"/>
      <c r="IV664" s="87"/>
      <c r="IW664" s="87"/>
      <c r="IX664" s="87"/>
      <c r="IY664" s="87"/>
      <c r="IZ664" s="87"/>
      <c r="JA664" s="87"/>
      <c r="JB664" s="87"/>
      <c r="JC664" s="87"/>
      <c r="JD664" s="87"/>
      <c r="JE664" s="87"/>
      <c r="JF664" s="87"/>
      <c r="JG664" s="87"/>
      <c r="JH664" s="87"/>
      <c r="JI664" s="87"/>
      <c r="JJ664" s="87"/>
      <c r="JK664" s="87"/>
      <c r="JL664" s="87"/>
      <c r="JM664" s="87"/>
      <c r="JN664" s="87"/>
      <c r="JO664" s="87"/>
      <c r="JP664" s="87"/>
      <c r="JQ664" s="146"/>
      <c r="JR664" s="87"/>
      <c r="JS664" s="87"/>
      <c r="JT664" s="87"/>
      <c r="JU664" s="87"/>
      <c r="JV664" s="87"/>
      <c r="JW664" s="87"/>
      <c r="JX664" s="87"/>
      <c r="JY664" s="87"/>
      <c r="JZ664" s="87"/>
      <c r="KA664" s="146"/>
      <c r="KB664" s="87"/>
      <c r="KC664" s="87"/>
      <c r="KD664" s="87"/>
      <c r="KE664" s="87"/>
      <c r="KF664" s="87"/>
      <c r="KG664" s="87"/>
      <c r="KH664" s="87"/>
      <c r="KI664" s="87"/>
      <c r="KJ664" s="87"/>
      <c r="KK664" s="87"/>
      <c r="KL664" s="87"/>
      <c r="KM664" s="87"/>
      <c r="KN664" s="87"/>
      <c r="KO664" s="87"/>
      <c r="KP664" s="87"/>
      <c r="KQ664" s="87"/>
      <c r="KR664" s="87"/>
      <c r="KS664" s="146"/>
      <c r="KT664" s="146"/>
      <c r="KU664" s="146"/>
      <c r="KV664" s="146"/>
      <c r="KW664" s="87"/>
      <c r="KX664" s="87"/>
      <c r="KY664" s="87"/>
      <c r="KZ664" s="87"/>
      <c r="LA664" s="87"/>
      <c r="LB664" s="87"/>
      <c r="LC664" s="87"/>
      <c r="LD664" s="87"/>
      <c r="LE664" s="87"/>
      <c r="LF664" s="87"/>
      <c r="LG664" s="87"/>
      <c r="LH664" s="87"/>
      <c r="LI664" s="87"/>
      <c r="LJ664" s="87"/>
      <c r="LK664" s="87"/>
      <c r="LL664" s="87"/>
      <c r="LM664" s="87"/>
      <c r="LN664" s="87"/>
      <c r="LO664" s="87"/>
      <c r="LP664" s="87"/>
      <c r="LQ664" s="87"/>
      <c r="LR664" s="87"/>
      <c r="LS664" s="87"/>
      <c r="LT664" s="87"/>
      <c r="LU664" s="87"/>
      <c r="LV664" s="87"/>
      <c r="LW664" s="87"/>
      <c r="LX664" s="87"/>
      <c r="LY664" s="87"/>
      <c r="LZ664" s="87"/>
      <c r="MA664" s="87"/>
      <c r="MB664" s="87"/>
      <c r="MC664" s="87"/>
      <c r="MD664" s="87"/>
      <c r="ME664" s="87"/>
      <c r="MF664" s="87"/>
      <c r="MG664" s="87"/>
      <c r="MH664" s="87"/>
      <c r="MI664" s="87"/>
      <c r="MJ664" s="87"/>
      <c r="MK664" s="87"/>
      <c r="ML664" s="87"/>
      <c r="MM664" s="87"/>
      <c r="MN664" s="87"/>
      <c r="MO664" s="87"/>
      <c r="MP664" s="87"/>
      <c r="MQ664" s="87"/>
      <c r="MR664" s="87"/>
      <c r="MS664" s="87"/>
      <c r="MT664" s="87"/>
      <c r="MU664" s="87"/>
      <c r="MV664" s="87"/>
      <c r="MW664" s="87"/>
      <c r="MX664" s="87"/>
      <c r="MY664" s="87"/>
      <c r="MZ664" s="87" t="s">
        <v>1968</v>
      </c>
      <c r="NA664" s="87">
        <v>625</v>
      </c>
      <c r="NB664" s="87" t="s">
        <v>1969</v>
      </c>
      <c r="NC664" s="87" t="s">
        <v>1973</v>
      </c>
      <c r="ND664" s="87" t="s">
        <v>1974</v>
      </c>
      <c r="NE664" s="87" t="s">
        <v>1975</v>
      </c>
      <c r="NF664" s="87" t="s">
        <v>1976</v>
      </c>
      <c r="NG664" s="87" t="s">
        <v>1977</v>
      </c>
      <c r="NH664" s="87"/>
      <c r="NI664" s="87"/>
      <c r="NJ664" s="87"/>
      <c r="NK664" s="87" t="s">
        <v>2028</v>
      </c>
      <c r="NL664" s="87" t="s">
        <v>2029</v>
      </c>
      <c r="NM664" s="87" t="s">
        <v>2016</v>
      </c>
      <c r="NN664" s="87" t="s">
        <v>2027</v>
      </c>
      <c r="NO664" s="87"/>
      <c r="NP664" s="87"/>
      <c r="NQ664" s="87"/>
      <c r="NR664" s="87"/>
      <c r="NS664" s="87"/>
      <c r="NT664" s="87"/>
      <c r="NU664" s="87"/>
      <c r="NV664" s="87" t="s">
        <v>2011</v>
      </c>
      <c r="NW664" s="87" t="s">
        <v>6</v>
      </c>
      <c r="NX664" s="87">
        <v>3.34</v>
      </c>
      <c r="NY664" s="87" t="s">
        <v>1446</v>
      </c>
      <c r="NZ664" s="87">
        <v>0.9</v>
      </c>
      <c r="OA664" s="87"/>
      <c r="OB664" s="87"/>
      <c r="OC664" s="87">
        <v>32</v>
      </c>
      <c r="OD664" s="87"/>
      <c r="OE664" s="87"/>
      <c r="OF664" s="87"/>
      <c r="OG664" s="87"/>
      <c r="OH664" s="87"/>
      <c r="OI664" s="87"/>
      <c r="OJ664" s="87"/>
      <c r="OK664" s="87"/>
      <c r="OL664" s="87"/>
      <c r="OM664" s="87"/>
      <c r="ON664" s="87"/>
      <c r="OO664" s="87"/>
      <c r="OP664" s="87"/>
      <c r="OQ664" s="87"/>
      <c r="OR664" s="87"/>
      <c r="OS664" s="87"/>
      <c r="OT664" s="87" t="s">
        <v>1980</v>
      </c>
      <c r="OU664" s="144"/>
      <c r="OV664" s="87"/>
      <c r="OW664" s="87">
        <v>2009</v>
      </c>
      <c r="OX664" s="87">
        <v>2010</v>
      </c>
      <c r="OY664" s="87"/>
      <c r="OZ664" s="87"/>
      <c r="PA664" s="87" t="s">
        <v>1981</v>
      </c>
      <c r="PB664" s="140">
        <v>46133</v>
      </c>
      <c r="PC664" s="87"/>
      <c r="PD664" s="87"/>
      <c r="PE664" s="87"/>
      <c r="PF664" s="87"/>
      <c r="PG664" s="138"/>
    </row>
    <row r="665" spans="1:423">
      <c r="A665" t="s">
        <v>36</v>
      </c>
      <c r="B665" t="s">
        <v>1956</v>
      </c>
      <c r="C665" t="s">
        <v>1957</v>
      </c>
      <c r="D665" t="s">
        <v>1936</v>
      </c>
      <c r="E665" t="s">
        <v>1958</v>
      </c>
      <c r="F665" t="s">
        <v>1959</v>
      </c>
      <c r="G665" t="s">
        <v>2</v>
      </c>
      <c r="H665" t="s">
        <v>30</v>
      </c>
      <c r="I665">
        <v>-8.9</v>
      </c>
      <c r="J665">
        <v>-74.983000000000004</v>
      </c>
      <c r="L665" t="s">
        <v>1957</v>
      </c>
      <c r="M665" t="s">
        <v>245</v>
      </c>
      <c r="N665" t="s">
        <v>1960</v>
      </c>
      <c r="O665" t="s">
        <v>1961</v>
      </c>
      <c r="P665" t="s">
        <v>2</v>
      </c>
      <c r="Q665" t="s">
        <v>30</v>
      </c>
      <c r="R665">
        <v>-8.5169999999999995</v>
      </c>
      <c r="S665">
        <v>-74.766999999999996</v>
      </c>
      <c r="AV665" t="s">
        <v>1962</v>
      </c>
      <c r="AW665">
        <v>625</v>
      </c>
      <c r="AX665" t="s">
        <v>29</v>
      </c>
      <c r="AY665">
        <v>2</v>
      </c>
      <c r="AZ665" t="s">
        <v>1963</v>
      </c>
      <c r="BA665">
        <v>2009</v>
      </c>
      <c r="BB665">
        <v>2010</v>
      </c>
      <c r="BC665" t="s">
        <v>1964</v>
      </c>
      <c r="BD665" t="s">
        <v>1966</v>
      </c>
      <c r="BE665" t="s">
        <v>1965</v>
      </c>
      <c r="BF665" t="s">
        <v>39</v>
      </c>
      <c r="BG665" t="s">
        <v>1743</v>
      </c>
      <c r="EJ665" s="9"/>
      <c r="EK665" s="9"/>
      <c r="EL665" s="9"/>
      <c r="EM665" s="9"/>
      <c r="EN665" s="9"/>
      <c r="EO665" s="9"/>
      <c r="EP665" s="9"/>
      <c r="EQ665" s="9"/>
      <c r="ER665" s="9"/>
      <c r="ES665" s="9"/>
      <c r="ET665" s="9"/>
      <c r="EU665" s="9"/>
      <c r="EV665" s="9"/>
      <c r="EW665" s="9"/>
      <c r="EX665" s="9"/>
      <c r="EY665" s="9"/>
      <c r="EZ665" s="9"/>
      <c r="FA665" s="9"/>
      <c r="FB665" s="9"/>
      <c r="FC665" s="9"/>
      <c r="FD665" s="9"/>
      <c r="FE665" s="9"/>
      <c r="FF665" s="9"/>
      <c r="FG665" s="9"/>
      <c r="FH665" s="9"/>
      <c r="FI665" s="9"/>
      <c r="FJ665" s="9"/>
      <c r="FK665" s="9"/>
      <c r="FL665" s="9"/>
      <c r="FM665" s="9"/>
      <c r="FN665" s="9"/>
      <c r="FO665" s="9"/>
      <c r="FP665" s="9"/>
      <c r="FQ665" s="9"/>
      <c r="FR665" s="9"/>
      <c r="FS665" s="9"/>
      <c r="FT665" s="9"/>
      <c r="FU665" s="9"/>
      <c r="FV665" s="9"/>
      <c r="FW665" s="9"/>
      <c r="FX665" s="9"/>
      <c r="FY665" s="9"/>
      <c r="FZ665" s="9"/>
      <c r="GA665" s="9"/>
      <c r="GB665" s="9"/>
      <c r="GC665" s="9"/>
      <c r="GD665" s="9"/>
      <c r="GE665" s="9"/>
      <c r="GF665" s="9"/>
      <c r="GG665" s="9"/>
      <c r="GH665" s="9"/>
      <c r="GI665" s="9"/>
      <c r="GJ665" s="9"/>
      <c r="GK665" s="9"/>
      <c r="GL665" s="9"/>
      <c r="GM665" s="9"/>
      <c r="GN665" s="9"/>
      <c r="GO665" s="9"/>
      <c r="GP665" s="9"/>
      <c r="GQ665" s="9"/>
      <c r="GR665" s="9"/>
      <c r="GS665" s="9"/>
      <c r="GT665" s="9"/>
      <c r="GU665" s="9"/>
      <c r="GV665" s="9"/>
      <c r="GW665" s="9"/>
      <c r="GX665" s="9"/>
      <c r="GY665" s="9"/>
      <c r="GZ665" s="9"/>
      <c r="HA665" s="9"/>
      <c r="HB665" s="9"/>
      <c r="HC665" s="9"/>
      <c r="HD665" s="9"/>
      <c r="HE665" s="9"/>
      <c r="HF665" s="9"/>
      <c r="HG665" s="9"/>
      <c r="HH665" s="9"/>
      <c r="HI665" s="9"/>
      <c r="HJ665" s="9"/>
      <c r="HK665" s="9"/>
      <c r="HL665" s="9" t="s">
        <v>1967</v>
      </c>
      <c r="HM665" s="9" t="s">
        <v>232</v>
      </c>
      <c r="HZ665" s="58"/>
      <c r="JA665">
        <v>20</v>
      </c>
      <c r="JB665">
        <v>95</v>
      </c>
      <c r="JQ665" s="9"/>
      <c r="KA665" s="9"/>
      <c r="KS665" s="9"/>
      <c r="KT665" s="9"/>
      <c r="KU665" s="9"/>
      <c r="KV665" s="9"/>
      <c r="MZ665" t="s">
        <v>1968</v>
      </c>
      <c r="NA665">
        <v>625</v>
      </c>
      <c r="NB665" t="s">
        <v>1969</v>
      </c>
      <c r="NC665" t="s">
        <v>1973</v>
      </c>
      <c r="ND665" t="s">
        <v>1974</v>
      </c>
      <c r="NE665" t="s">
        <v>1975</v>
      </c>
      <c r="NF665" t="s">
        <v>1976</v>
      </c>
      <c r="NG665" t="s">
        <v>1977</v>
      </c>
      <c r="NK665" t="s">
        <v>1839</v>
      </c>
      <c r="NL665" t="s">
        <v>2030</v>
      </c>
      <c r="NM665" t="s">
        <v>1751</v>
      </c>
      <c r="NN665" t="s">
        <v>2031</v>
      </c>
      <c r="NV665" t="s">
        <v>1978</v>
      </c>
      <c r="NW665" t="s">
        <v>1979</v>
      </c>
      <c r="NX665">
        <v>0.121</v>
      </c>
      <c r="NY665" t="s">
        <v>29</v>
      </c>
      <c r="NZ665" t="s">
        <v>29</v>
      </c>
      <c r="OC665">
        <v>8</v>
      </c>
      <c r="OT665" t="s">
        <v>1980</v>
      </c>
      <c r="OU665" s="19"/>
      <c r="OW665">
        <v>2009</v>
      </c>
      <c r="OX665">
        <v>2010</v>
      </c>
      <c r="PA665" t="s">
        <v>1981</v>
      </c>
      <c r="PB665" s="58">
        <v>46133</v>
      </c>
    </row>
    <row r="666" spans="1:423">
      <c r="A666" s="87" t="s">
        <v>36</v>
      </c>
      <c r="B666" s="87" t="s">
        <v>1956</v>
      </c>
      <c r="C666" s="87" t="s">
        <v>1957</v>
      </c>
      <c r="D666" s="87" t="s">
        <v>245</v>
      </c>
      <c r="E666" s="87" t="s">
        <v>1960</v>
      </c>
      <c r="F666" s="87" t="s">
        <v>1961</v>
      </c>
      <c r="G666" s="87" t="s">
        <v>2</v>
      </c>
      <c r="H666" s="87" t="s">
        <v>30</v>
      </c>
      <c r="I666" s="87">
        <v>-8.5169999999999995</v>
      </c>
      <c r="J666" s="87">
        <v>-74.766999999999996</v>
      </c>
      <c r="K666" s="87"/>
      <c r="L666" s="87" t="s">
        <v>1957</v>
      </c>
      <c r="M666" s="87" t="s">
        <v>245</v>
      </c>
      <c r="N666" s="87" t="s">
        <v>1982</v>
      </c>
      <c r="O666" s="87" t="s">
        <v>1961</v>
      </c>
      <c r="P666" s="87" t="s">
        <v>2</v>
      </c>
      <c r="Q666" s="87" t="s">
        <v>30</v>
      </c>
      <c r="R666" s="87">
        <v>-8.3670000000000009</v>
      </c>
      <c r="S666" s="87">
        <v>-74.7</v>
      </c>
      <c r="T666" s="87"/>
      <c r="U666" s="87"/>
      <c r="V666" s="87"/>
      <c r="W666" s="87"/>
      <c r="X666" s="87"/>
      <c r="Y666" s="87"/>
      <c r="Z666" s="87"/>
      <c r="AA666" s="87"/>
      <c r="AB666" s="87"/>
      <c r="AC666" s="87"/>
      <c r="AD666" s="87"/>
      <c r="AE666" s="87"/>
      <c r="AF666" s="87"/>
      <c r="AG666" s="87"/>
      <c r="AH666" s="87"/>
      <c r="AI666" s="87"/>
      <c r="AJ666" s="87"/>
      <c r="AK666" s="87"/>
      <c r="AL666" s="87"/>
      <c r="AM666" s="87"/>
      <c r="AN666" s="87"/>
      <c r="AO666" s="87"/>
      <c r="AP666" s="87"/>
      <c r="AQ666" s="87"/>
      <c r="AR666" s="87"/>
      <c r="AS666" s="87"/>
      <c r="AT666" s="87"/>
      <c r="AU666" s="87"/>
      <c r="AV666" s="87" t="s">
        <v>1962</v>
      </c>
      <c r="AW666" s="87">
        <v>625</v>
      </c>
      <c r="AX666" s="87" t="s">
        <v>29</v>
      </c>
      <c r="AY666" s="87">
        <v>2</v>
      </c>
      <c r="AZ666" s="87" t="s">
        <v>1963</v>
      </c>
      <c r="BA666" s="87">
        <v>2009</v>
      </c>
      <c r="BB666" s="87">
        <v>2010</v>
      </c>
      <c r="BC666" s="87" t="s">
        <v>1964</v>
      </c>
      <c r="BD666" s="87" t="s">
        <v>1990</v>
      </c>
      <c r="BE666" s="87" t="s">
        <v>1984</v>
      </c>
      <c r="BF666" s="87" t="s">
        <v>64</v>
      </c>
      <c r="BG666" s="87" t="s">
        <v>1233</v>
      </c>
      <c r="BH666" s="87" t="s">
        <v>1985</v>
      </c>
      <c r="BI666" s="87" t="s">
        <v>29</v>
      </c>
      <c r="BJ666" s="87" t="s">
        <v>29</v>
      </c>
      <c r="BK666" s="87" t="s">
        <v>29</v>
      </c>
      <c r="BL666" s="87"/>
      <c r="BM666" s="87"/>
      <c r="BN666" s="87"/>
      <c r="BO666" s="87"/>
      <c r="BP666" s="87"/>
      <c r="BQ666" s="87"/>
      <c r="BR666" s="87"/>
      <c r="BS666" s="87"/>
      <c r="BT666" s="87"/>
      <c r="BU666" s="87"/>
      <c r="BV666" s="87"/>
      <c r="BW666" s="87"/>
      <c r="BX666" s="87"/>
      <c r="BY666" s="87"/>
      <c r="BZ666" s="87"/>
      <c r="CA666" s="87"/>
      <c r="CB666" s="87"/>
      <c r="CC666" s="87"/>
      <c r="CD666" s="87"/>
      <c r="CE666" s="87"/>
      <c r="CF666" s="87"/>
      <c r="CG666" s="87"/>
      <c r="CH666" s="87"/>
      <c r="CI666" s="87"/>
      <c r="CJ666" s="87"/>
      <c r="CK666" s="87"/>
      <c r="CL666" s="87"/>
      <c r="CM666" s="87"/>
      <c r="CN666" s="87"/>
      <c r="CO666" s="87"/>
      <c r="CP666" s="87"/>
      <c r="CQ666" s="87"/>
      <c r="CR666" s="87"/>
      <c r="CS666" s="87"/>
      <c r="CT666" s="87"/>
      <c r="CU666" s="87"/>
      <c r="CV666" s="87"/>
      <c r="CW666" s="87"/>
      <c r="CX666" s="87"/>
      <c r="CY666" s="87"/>
      <c r="CZ666" s="87"/>
      <c r="DA666" s="87"/>
      <c r="DB666" s="87"/>
      <c r="DC666" s="87"/>
      <c r="DD666" s="87"/>
      <c r="DE666" s="87"/>
      <c r="DF666" s="87"/>
      <c r="DG666" s="87"/>
      <c r="DH666" s="87"/>
      <c r="DI666" s="87"/>
      <c r="DJ666" s="87"/>
      <c r="DK666" s="87"/>
      <c r="DL666" s="87"/>
      <c r="DM666" s="87"/>
      <c r="DN666" s="87"/>
      <c r="DO666" s="87"/>
      <c r="DP666" s="87"/>
      <c r="DQ666" s="87"/>
      <c r="DR666" s="87"/>
      <c r="DS666" s="87"/>
      <c r="DT666" s="87"/>
      <c r="DU666" s="87"/>
      <c r="DV666" s="87"/>
      <c r="DW666" s="87"/>
      <c r="DX666" s="87"/>
      <c r="DY666" s="87"/>
      <c r="DZ666" s="87"/>
      <c r="EA666" s="87"/>
      <c r="EB666" s="87"/>
      <c r="EC666" s="87"/>
      <c r="ED666" s="87"/>
      <c r="EE666" s="87" t="s">
        <v>1986</v>
      </c>
      <c r="EF666" s="87" t="s">
        <v>1987</v>
      </c>
      <c r="EG666" s="87">
        <v>0.24</v>
      </c>
      <c r="EH666" s="87" t="s">
        <v>1990</v>
      </c>
      <c r="EI666" s="87"/>
      <c r="EJ666" s="139"/>
      <c r="EK666" s="139"/>
      <c r="EL666" s="139"/>
      <c r="EM666" s="139"/>
      <c r="EN666" s="139"/>
      <c r="EO666" s="139"/>
      <c r="EP666" s="139"/>
      <c r="EQ666" s="139"/>
      <c r="ER666" s="139"/>
      <c r="ES666" s="139"/>
      <c r="ET666" s="139"/>
      <c r="EU666" s="139"/>
      <c r="EV666" s="139"/>
      <c r="EW666" s="139"/>
      <c r="EX666" s="139"/>
      <c r="EY666" s="139"/>
      <c r="EZ666" s="139"/>
      <c r="FA666" s="139"/>
      <c r="FB666" s="139"/>
      <c r="FC666" s="139"/>
      <c r="FD666" s="139"/>
      <c r="FE666" s="139"/>
      <c r="FF666" s="139"/>
      <c r="FG666" s="139"/>
      <c r="FH666" s="139"/>
      <c r="FI666" s="139"/>
      <c r="FJ666" s="139"/>
      <c r="FK666" s="139"/>
      <c r="FL666" s="139"/>
      <c r="FM666" s="139"/>
      <c r="FN666" s="139"/>
      <c r="FO666" s="139"/>
      <c r="FP666" s="139"/>
      <c r="FQ666" s="139"/>
      <c r="FR666" s="139"/>
      <c r="FS666" s="139"/>
      <c r="FT666" s="139"/>
      <c r="FU666" s="139"/>
      <c r="FV666" s="139"/>
      <c r="FW666" s="139"/>
      <c r="FX666" s="139"/>
      <c r="FY666" s="139"/>
      <c r="FZ666" s="139"/>
      <c r="GA666" s="139"/>
      <c r="GB666" s="139"/>
      <c r="GC666" s="139"/>
      <c r="GD666" s="139"/>
      <c r="GE666" s="139"/>
      <c r="GF666" s="139"/>
      <c r="GG666" s="139"/>
      <c r="GH666" s="139"/>
      <c r="GI666" s="139"/>
      <c r="GJ666" s="139"/>
      <c r="GK666" s="139"/>
      <c r="GL666" s="139"/>
      <c r="GM666" s="139"/>
      <c r="GN666" s="139"/>
      <c r="GO666" s="139"/>
      <c r="GP666" s="139"/>
      <c r="GQ666" s="139"/>
      <c r="GR666" s="139"/>
      <c r="GS666" s="139"/>
      <c r="GT666" s="139"/>
      <c r="GU666" s="139"/>
      <c r="GV666" s="139"/>
      <c r="GW666" s="139"/>
      <c r="GX666" s="139"/>
      <c r="GY666" s="139"/>
      <c r="GZ666" s="139"/>
      <c r="HA666" s="139"/>
      <c r="HB666" s="139"/>
      <c r="HC666" s="139"/>
      <c r="HD666" s="139"/>
      <c r="HE666" s="139"/>
      <c r="HF666" s="139"/>
      <c r="HG666" s="139"/>
      <c r="HH666" s="139"/>
      <c r="HI666" s="139"/>
      <c r="HJ666" s="139"/>
      <c r="HK666" s="139"/>
      <c r="HL666" s="139" t="s">
        <v>1988</v>
      </c>
      <c r="HM666" s="139" t="s">
        <v>232</v>
      </c>
      <c r="HN666" s="87"/>
      <c r="HO666" s="87"/>
      <c r="HP666" s="87"/>
      <c r="HQ666" s="87"/>
      <c r="HR666" s="87"/>
      <c r="HS666" s="87"/>
      <c r="HT666" s="87"/>
      <c r="HU666" s="87"/>
      <c r="HV666" s="87"/>
      <c r="HW666" s="87"/>
      <c r="HX666" s="87"/>
      <c r="HY666" s="87"/>
      <c r="HZ666" s="140"/>
      <c r="IA666" s="87"/>
      <c r="IB666" s="87"/>
      <c r="IC666" s="87"/>
      <c r="ID666" s="87"/>
      <c r="IE666" s="87"/>
      <c r="IF666" s="87"/>
      <c r="IG666" s="87"/>
      <c r="IH666" s="87"/>
      <c r="II666" s="87"/>
      <c r="IJ666" s="87"/>
      <c r="IK666" s="87"/>
      <c r="IL666" s="87"/>
      <c r="IM666" s="87"/>
      <c r="IN666" s="87"/>
      <c r="IO666" s="87"/>
      <c r="IP666" s="87"/>
      <c r="IQ666" s="87"/>
      <c r="IR666" s="87"/>
      <c r="IS666" s="87"/>
      <c r="IT666" s="87"/>
      <c r="IU666" s="87"/>
      <c r="IV666" s="87"/>
      <c r="IW666" s="87" t="s">
        <v>1989</v>
      </c>
      <c r="IX666" s="87" t="s">
        <v>1990</v>
      </c>
      <c r="IY666" s="87" t="s">
        <v>1991</v>
      </c>
      <c r="IZ666" s="87"/>
      <c r="JA666" s="87">
        <v>6</v>
      </c>
      <c r="JB666" s="87">
        <v>77.5</v>
      </c>
      <c r="JC666" s="87">
        <v>75</v>
      </c>
      <c r="JD666" s="87">
        <v>80</v>
      </c>
      <c r="JE666" s="87">
        <v>7.5</v>
      </c>
      <c r="JF666" s="87">
        <v>6</v>
      </c>
      <c r="JG666" s="87">
        <v>9</v>
      </c>
      <c r="JH666" s="87"/>
      <c r="JI666" s="87"/>
      <c r="JJ666" s="87"/>
      <c r="JK666" s="87"/>
      <c r="JL666" s="87"/>
      <c r="JM666" s="87"/>
      <c r="JN666" s="87"/>
      <c r="JO666" s="87"/>
      <c r="JP666" s="87"/>
      <c r="JQ666" s="146"/>
      <c r="JR666" s="87"/>
      <c r="JS666" s="87"/>
      <c r="JT666" s="87"/>
      <c r="JU666" s="87"/>
      <c r="JV666" s="87"/>
      <c r="JW666" s="87"/>
      <c r="JX666" s="87"/>
      <c r="JY666" s="87"/>
      <c r="JZ666" s="87"/>
      <c r="KA666" s="146"/>
      <c r="KB666" s="87"/>
      <c r="KC666" s="87"/>
      <c r="KD666" s="87"/>
      <c r="KE666" s="87"/>
      <c r="KF666" s="87"/>
      <c r="KG666" s="87"/>
      <c r="KH666" s="87"/>
      <c r="KI666" s="87"/>
      <c r="KJ666" s="87"/>
      <c r="KK666" s="87"/>
      <c r="KL666" s="87"/>
      <c r="KM666" s="87"/>
      <c r="KN666" s="87"/>
      <c r="KO666" s="87"/>
      <c r="KP666" s="87"/>
      <c r="KQ666" s="87"/>
      <c r="KR666" s="87"/>
      <c r="KS666" s="146"/>
      <c r="KT666" s="146"/>
      <c r="KU666" s="146"/>
      <c r="KV666" s="146"/>
      <c r="KW666" s="87"/>
      <c r="KX666" s="87"/>
      <c r="KY666" s="87"/>
      <c r="KZ666" s="87"/>
      <c r="LA666" s="87"/>
      <c r="LB666" s="87"/>
      <c r="LC666" s="87"/>
      <c r="LD666" s="87"/>
      <c r="LE666" s="87"/>
      <c r="LF666" s="87"/>
      <c r="LG666" s="87"/>
      <c r="LH666" s="87"/>
      <c r="LI666" s="87"/>
      <c r="LJ666" s="87"/>
      <c r="LK666" s="87"/>
      <c r="LL666" s="87"/>
      <c r="LM666" s="87"/>
      <c r="LN666" s="87"/>
      <c r="LO666" s="87"/>
      <c r="LP666" s="87"/>
      <c r="LQ666" s="87"/>
      <c r="LR666" s="87"/>
      <c r="LS666" s="87"/>
      <c r="LT666" s="87"/>
      <c r="LU666" s="87"/>
      <c r="LV666" s="87"/>
      <c r="LW666" s="87"/>
      <c r="LX666" s="87"/>
      <c r="LY666" s="87"/>
      <c r="LZ666" s="87"/>
      <c r="MA666" s="87"/>
      <c r="MB666" s="87"/>
      <c r="MC666" s="87"/>
      <c r="MD666" s="87"/>
      <c r="ME666" s="87"/>
      <c r="MF666" s="87"/>
      <c r="MG666" s="87"/>
      <c r="MH666" s="87"/>
      <c r="MI666" s="87"/>
      <c r="MJ666" s="87"/>
      <c r="MK666" s="87"/>
      <c r="ML666" s="87"/>
      <c r="MM666" s="87"/>
      <c r="MN666" s="87"/>
      <c r="MO666" s="87"/>
      <c r="MP666" s="87"/>
      <c r="MQ666" s="87"/>
      <c r="MR666" s="87"/>
      <c r="MS666" s="87"/>
      <c r="MT666" s="87"/>
      <c r="MU666" s="87"/>
      <c r="MV666" s="87"/>
      <c r="MW666" s="87"/>
      <c r="MX666" s="87"/>
      <c r="MY666" s="87"/>
      <c r="MZ666" s="87" t="s">
        <v>1968</v>
      </c>
      <c r="NA666" s="87">
        <v>625</v>
      </c>
      <c r="NB666" s="87" t="s">
        <v>1969</v>
      </c>
      <c r="NC666" s="87" t="s">
        <v>1973</v>
      </c>
      <c r="ND666" s="87" t="s">
        <v>1974</v>
      </c>
      <c r="NE666" s="87" t="s">
        <v>1975</v>
      </c>
      <c r="NF666" s="87" t="s">
        <v>1976</v>
      </c>
      <c r="NG666" s="87" t="s">
        <v>1977</v>
      </c>
      <c r="NH666" s="87"/>
      <c r="NI666" s="87"/>
      <c r="NJ666" s="87"/>
      <c r="NK666" s="87" t="s">
        <v>1839</v>
      </c>
      <c r="NL666" s="87" t="s">
        <v>2030</v>
      </c>
      <c r="NM666" s="87" t="s">
        <v>1751</v>
      </c>
      <c r="NN666" s="87" t="s">
        <v>2031</v>
      </c>
      <c r="NO666" s="87"/>
      <c r="NP666" s="87"/>
      <c r="NQ666" s="87"/>
      <c r="NR666" s="87"/>
      <c r="NS666" s="87"/>
      <c r="NT666" s="87"/>
      <c r="NU666" s="87"/>
      <c r="NV666" s="87" t="s">
        <v>1992</v>
      </c>
      <c r="NW666" s="87" t="s">
        <v>1979</v>
      </c>
      <c r="NX666" s="87">
        <v>8.5999999999999993E-2</v>
      </c>
      <c r="NY666" s="87" t="s">
        <v>29</v>
      </c>
      <c r="NZ666" s="87" t="s">
        <v>29</v>
      </c>
      <c r="OA666" s="87"/>
      <c r="OB666" s="87"/>
      <c r="OC666" s="87">
        <v>31</v>
      </c>
      <c r="OD666" s="87"/>
      <c r="OE666" s="87"/>
      <c r="OF666" s="87"/>
      <c r="OG666" s="87"/>
      <c r="OH666" s="87"/>
      <c r="OI666" s="87"/>
      <c r="OJ666" s="87"/>
      <c r="OK666" s="87"/>
      <c r="OL666" s="87"/>
      <c r="OM666" s="87"/>
      <c r="ON666" s="87"/>
      <c r="OO666" s="87"/>
      <c r="OP666" s="87"/>
      <c r="OQ666" s="87"/>
      <c r="OR666" s="87"/>
      <c r="OS666" s="87"/>
      <c r="OT666" s="87" t="s">
        <v>1980</v>
      </c>
      <c r="OU666" s="144"/>
      <c r="OV666" s="87"/>
      <c r="OW666" s="87">
        <v>2009</v>
      </c>
      <c r="OX666" s="87">
        <v>2010</v>
      </c>
      <c r="OY666" s="87"/>
      <c r="OZ666" s="87"/>
      <c r="PA666" s="87" t="s">
        <v>1981</v>
      </c>
      <c r="PB666" s="140">
        <v>46133</v>
      </c>
      <c r="PC666" s="87"/>
      <c r="PD666" s="87"/>
      <c r="PE666" s="87"/>
      <c r="PF666" s="87"/>
      <c r="PG666" s="138"/>
    </row>
    <row r="667" spans="1:423">
      <c r="A667" t="s">
        <v>36</v>
      </c>
      <c r="B667" t="s">
        <v>1956</v>
      </c>
      <c r="C667" t="s">
        <v>1957</v>
      </c>
      <c r="D667" t="s">
        <v>245</v>
      </c>
      <c r="E667" t="s">
        <v>1993</v>
      </c>
      <c r="F667" t="s">
        <v>1961</v>
      </c>
      <c r="G667" t="s">
        <v>2</v>
      </c>
      <c r="H667" t="s">
        <v>30</v>
      </c>
      <c r="I667">
        <v>-8.8170000000000002</v>
      </c>
      <c r="J667">
        <v>-75.2</v>
      </c>
      <c r="L667" t="s">
        <v>1957</v>
      </c>
      <c r="M667" t="s">
        <v>245</v>
      </c>
      <c r="N667" t="s">
        <v>1960</v>
      </c>
      <c r="O667" t="s">
        <v>1961</v>
      </c>
      <c r="P667" t="s">
        <v>2</v>
      </c>
      <c r="Q667" t="s">
        <v>30</v>
      </c>
      <c r="R667">
        <v>-8.5169999999999995</v>
      </c>
      <c r="S667">
        <v>-74.766999999999996</v>
      </c>
      <c r="AV667" t="s">
        <v>1962</v>
      </c>
      <c r="AW667">
        <v>625</v>
      </c>
      <c r="AX667" t="s">
        <v>29</v>
      </c>
      <c r="AY667">
        <v>2</v>
      </c>
      <c r="AZ667" t="s">
        <v>1963</v>
      </c>
      <c r="BA667">
        <v>2009</v>
      </c>
      <c r="BB667">
        <v>2010</v>
      </c>
      <c r="BC667" t="s">
        <v>1964</v>
      </c>
      <c r="BD667" t="s">
        <v>1983</v>
      </c>
      <c r="BE667" t="s">
        <v>1994</v>
      </c>
      <c r="BF667" t="s">
        <v>57</v>
      </c>
      <c r="BG667" t="s">
        <v>1233</v>
      </c>
      <c r="BH667" t="s">
        <v>1995</v>
      </c>
      <c r="BI667" t="s">
        <v>29</v>
      </c>
      <c r="BJ667" t="s">
        <v>29</v>
      </c>
      <c r="BK667" t="s">
        <v>29</v>
      </c>
      <c r="EE667" t="s">
        <v>1996</v>
      </c>
      <c r="EF667" t="s">
        <v>1987</v>
      </c>
      <c r="EG667">
        <v>0.24</v>
      </c>
      <c r="EH667" t="s">
        <v>2037</v>
      </c>
      <c r="EI667" t="s">
        <v>1997</v>
      </c>
      <c r="EJ667" s="9" t="s">
        <v>1987</v>
      </c>
      <c r="EK667" s="9">
        <v>0.24</v>
      </c>
      <c r="EL667" s="9"/>
      <c r="EM667" s="9" t="s">
        <v>1998</v>
      </c>
      <c r="EN667" s="9" t="s">
        <v>1987</v>
      </c>
      <c r="EO667" s="9" t="s">
        <v>29</v>
      </c>
      <c r="EP667" s="9"/>
      <c r="EQ667" s="9" t="s">
        <v>1999</v>
      </c>
      <c r="ER667" s="9" t="s">
        <v>1987</v>
      </c>
      <c r="ES667" s="9" t="s">
        <v>29</v>
      </c>
      <c r="ET667" s="9"/>
      <c r="EU667" s="9" t="s">
        <v>2000</v>
      </c>
      <c r="EV667" s="9" t="s">
        <v>1987</v>
      </c>
      <c r="EW667" s="9" t="s">
        <v>29</v>
      </c>
      <c r="EX667" s="9"/>
      <c r="EY667" s="9"/>
      <c r="EZ667" s="9"/>
      <c r="FA667" s="9"/>
      <c r="FB667" s="9"/>
      <c r="FC667" s="9"/>
      <c r="FD667" s="9"/>
      <c r="FE667" s="9"/>
      <c r="FF667" s="9"/>
      <c r="FG667" s="9"/>
      <c r="FH667" s="9"/>
      <c r="FI667" s="9"/>
      <c r="FJ667" s="9"/>
      <c r="FK667" s="9"/>
      <c r="FL667" s="9"/>
      <c r="FM667" s="9"/>
      <c r="FN667" s="9"/>
      <c r="FO667" s="9"/>
      <c r="FP667" s="9"/>
      <c r="FQ667" s="9"/>
      <c r="FR667" s="9"/>
      <c r="FS667" s="9"/>
      <c r="FT667" s="9"/>
      <c r="FU667" s="9"/>
      <c r="FV667" s="9"/>
      <c r="FW667" s="9"/>
      <c r="FX667" s="9"/>
      <c r="FY667" s="9"/>
      <c r="FZ667" s="9"/>
      <c r="GA667" s="9"/>
      <c r="GB667" s="9"/>
      <c r="GC667" s="9"/>
      <c r="GD667" s="9"/>
      <c r="GE667" s="9"/>
      <c r="GF667" s="9"/>
      <c r="GG667" s="9"/>
      <c r="GH667" s="9"/>
      <c r="GI667" s="9"/>
      <c r="GJ667" s="9"/>
      <c r="GK667" s="9"/>
      <c r="GL667" s="9"/>
      <c r="GM667" s="9"/>
      <c r="GN667" s="9"/>
      <c r="GO667" s="9"/>
      <c r="GP667" s="9"/>
      <c r="GQ667" s="9"/>
      <c r="GR667" s="9"/>
      <c r="GS667" s="9"/>
      <c r="GT667" s="9"/>
      <c r="GU667" s="9"/>
      <c r="GV667" s="9"/>
      <c r="GW667" s="9"/>
      <c r="GX667" s="9"/>
      <c r="GY667" s="9"/>
      <c r="GZ667" s="9"/>
      <c r="HA667" s="9"/>
      <c r="HB667" s="9"/>
      <c r="HC667" s="9"/>
      <c r="HD667" s="9"/>
      <c r="HE667" s="9"/>
      <c r="HF667" s="9"/>
      <c r="HG667" s="9"/>
      <c r="HH667" s="9"/>
      <c r="HI667" s="9"/>
      <c r="HJ667" s="9"/>
      <c r="HK667" s="9"/>
      <c r="HL667" s="9" t="s">
        <v>1988</v>
      </c>
      <c r="HM667" s="9" t="s">
        <v>232</v>
      </c>
      <c r="HZ667" s="58"/>
      <c r="IW667" t="s">
        <v>2001</v>
      </c>
      <c r="IX667" t="s">
        <v>1990</v>
      </c>
      <c r="IY667" t="s">
        <v>2002</v>
      </c>
      <c r="JB667">
        <v>50</v>
      </c>
      <c r="JE667">
        <v>12</v>
      </c>
      <c r="JQ667" s="9"/>
      <c r="KA667" s="9"/>
      <c r="KS667" s="9"/>
      <c r="KT667" s="9"/>
      <c r="KU667" s="9"/>
      <c r="KV667" s="9"/>
      <c r="MZ667" t="s">
        <v>1968</v>
      </c>
      <c r="NA667">
        <v>625</v>
      </c>
      <c r="NB667" t="s">
        <v>1969</v>
      </c>
      <c r="NC667" t="s">
        <v>1973</v>
      </c>
      <c r="ND667" t="s">
        <v>1974</v>
      </c>
      <c r="NE667" t="s">
        <v>1975</v>
      </c>
      <c r="NF667" t="s">
        <v>1976</v>
      </c>
      <c r="NG667" t="s">
        <v>1977</v>
      </c>
      <c r="NK667" t="s">
        <v>1839</v>
      </c>
      <c r="NL667" t="s">
        <v>2030</v>
      </c>
      <c r="NM667" t="s">
        <v>1751</v>
      </c>
      <c r="NN667" t="s">
        <v>2031</v>
      </c>
      <c r="NV667" t="s">
        <v>2003</v>
      </c>
      <c r="NW667" t="s">
        <v>1979</v>
      </c>
      <c r="NX667">
        <v>0.03</v>
      </c>
      <c r="NY667" t="s">
        <v>29</v>
      </c>
      <c r="NZ667" t="s">
        <v>29</v>
      </c>
      <c r="OC667">
        <v>32</v>
      </c>
      <c r="OT667" t="s">
        <v>1980</v>
      </c>
      <c r="OU667" s="19"/>
      <c r="OW667">
        <v>2009</v>
      </c>
      <c r="OX667">
        <v>2010</v>
      </c>
      <c r="PA667" t="s">
        <v>1981</v>
      </c>
      <c r="PB667" s="58">
        <v>46133</v>
      </c>
    </row>
    <row r="668" spans="1:423">
      <c r="A668" s="87" t="s">
        <v>36</v>
      </c>
      <c r="B668" s="87" t="s">
        <v>1956</v>
      </c>
      <c r="C668" s="87" t="s">
        <v>1957</v>
      </c>
      <c r="D668" s="87" t="s">
        <v>245</v>
      </c>
      <c r="E668" s="87" t="s">
        <v>1993</v>
      </c>
      <c r="F668" s="87" t="s">
        <v>1961</v>
      </c>
      <c r="G668" s="87" t="s">
        <v>2</v>
      </c>
      <c r="H668" s="87" t="s">
        <v>30</v>
      </c>
      <c r="I668" s="87">
        <v>-8.8170000000000002</v>
      </c>
      <c r="J668" s="87">
        <v>-75.2</v>
      </c>
      <c r="K668" s="87"/>
      <c r="L668" s="87" t="s">
        <v>1957</v>
      </c>
      <c r="M668" s="87" t="s">
        <v>245</v>
      </c>
      <c r="N668" s="87" t="s">
        <v>1960</v>
      </c>
      <c r="O668" s="87" t="s">
        <v>1961</v>
      </c>
      <c r="P668" s="87" t="s">
        <v>2</v>
      </c>
      <c r="Q668" s="87" t="s">
        <v>30</v>
      </c>
      <c r="R668" s="87">
        <v>-8.5169999999999995</v>
      </c>
      <c r="S668" s="87">
        <v>-74.766999999999996</v>
      </c>
      <c r="T668" s="87"/>
      <c r="U668" s="87" t="s">
        <v>1957</v>
      </c>
      <c r="V668" s="87" t="s">
        <v>245</v>
      </c>
      <c r="W668" s="87" t="s">
        <v>1982</v>
      </c>
      <c r="X668" s="87" t="s">
        <v>1961</v>
      </c>
      <c r="Y668" s="87" t="s">
        <v>2</v>
      </c>
      <c r="Z668" s="87" t="s">
        <v>30</v>
      </c>
      <c r="AA668" s="87">
        <v>-8.3670000000000009</v>
      </c>
      <c r="AB668" s="87">
        <v>-74.7</v>
      </c>
      <c r="AC668" s="87"/>
      <c r="AD668" s="87"/>
      <c r="AE668" s="87"/>
      <c r="AF668" s="87"/>
      <c r="AG668" s="87"/>
      <c r="AH668" s="87"/>
      <c r="AI668" s="87"/>
      <c r="AJ668" s="87"/>
      <c r="AK668" s="87"/>
      <c r="AL668" s="87"/>
      <c r="AM668" s="87"/>
      <c r="AN668" s="87"/>
      <c r="AO668" s="87"/>
      <c r="AP668" s="87"/>
      <c r="AQ668" s="87"/>
      <c r="AR668" s="87"/>
      <c r="AS668" s="87"/>
      <c r="AT668" s="87"/>
      <c r="AU668" s="87"/>
      <c r="AV668" s="87" t="s">
        <v>1962</v>
      </c>
      <c r="AW668" s="87">
        <v>625</v>
      </c>
      <c r="AX668" s="87" t="s">
        <v>29</v>
      </c>
      <c r="AY668" s="87">
        <v>2</v>
      </c>
      <c r="AZ668" s="87" t="s">
        <v>1963</v>
      </c>
      <c r="BA668" s="87">
        <v>2009</v>
      </c>
      <c r="BB668" s="87">
        <v>2010</v>
      </c>
      <c r="BC668" s="87" t="s">
        <v>1964</v>
      </c>
      <c r="BD668" s="87" t="s">
        <v>19</v>
      </c>
      <c r="BE668" s="87" t="s">
        <v>2004</v>
      </c>
      <c r="BF668" s="87" t="s">
        <v>24</v>
      </c>
      <c r="BG668" s="87" t="s">
        <v>1233</v>
      </c>
      <c r="BH668" s="87" t="s">
        <v>2005</v>
      </c>
      <c r="BI668" s="87" t="s">
        <v>29</v>
      </c>
      <c r="BJ668" s="87" t="s">
        <v>29</v>
      </c>
      <c r="BK668" s="87" t="s">
        <v>29</v>
      </c>
      <c r="BL668" s="87"/>
      <c r="BM668" s="87"/>
      <c r="BN668" s="87"/>
      <c r="BO668" s="87"/>
      <c r="BP668" s="87"/>
      <c r="BQ668" s="87"/>
      <c r="BR668" s="87"/>
      <c r="BS668" s="87"/>
      <c r="BT668" s="87"/>
      <c r="BU668" s="87"/>
      <c r="BV668" s="87"/>
      <c r="BW668" s="87"/>
      <c r="BX668" s="87"/>
      <c r="BY668" s="87"/>
      <c r="BZ668" s="87"/>
      <c r="CA668" s="87"/>
      <c r="CB668" s="87"/>
      <c r="CC668" s="87"/>
      <c r="CD668" s="87"/>
      <c r="CE668" s="87"/>
      <c r="CF668" s="87"/>
      <c r="CG668" s="87"/>
      <c r="CH668" s="87"/>
      <c r="CI668" s="87"/>
      <c r="CJ668" s="87"/>
      <c r="CK668" s="87"/>
      <c r="CL668" s="87"/>
      <c r="CM668" s="87"/>
      <c r="CN668" s="87"/>
      <c r="CO668" s="87"/>
      <c r="CP668" s="87"/>
      <c r="CQ668" s="87"/>
      <c r="CR668" s="87"/>
      <c r="CS668" s="87"/>
      <c r="CT668" s="87"/>
      <c r="CU668" s="87"/>
      <c r="CV668" s="87"/>
      <c r="CW668" s="87"/>
      <c r="CX668" s="87"/>
      <c r="CY668" s="87"/>
      <c r="CZ668" s="87"/>
      <c r="DA668" s="87"/>
      <c r="DB668" s="87"/>
      <c r="DC668" s="87"/>
      <c r="DD668" s="87"/>
      <c r="DE668" s="87"/>
      <c r="DF668" s="87"/>
      <c r="DG668" s="87"/>
      <c r="DH668" s="87"/>
      <c r="DI668" s="87"/>
      <c r="DJ668" s="87"/>
      <c r="DK668" s="87"/>
      <c r="DL668" s="87"/>
      <c r="DM668" s="87"/>
      <c r="DN668" s="87"/>
      <c r="DO668" s="87"/>
      <c r="DP668" s="87"/>
      <c r="DQ668" s="87"/>
      <c r="DR668" s="87"/>
      <c r="DS668" s="87"/>
      <c r="DT668" s="87"/>
      <c r="DU668" s="87"/>
      <c r="DV668" s="87"/>
      <c r="DW668" s="87"/>
      <c r="DX668" s="87"/>
      <c r="DY668" s="87"/>
      <c r="DZ668" s="87"/>
      <c r="EA668" s="87"/>
      <c r="EB668" s="87"/>
      <c r="EC668" s="87"/>
      <c r="ED668" s="87"/>
      <c r="EE668" s="87"/>
      <c r="EF668" s="87"/>
      <c r="EG668" s="87"/>
      <c r="EH668" s="87"/>
      <c r="EI668" s="87"/>
      <c r="EJ668" s="139"/>
      <c r="EK668" s="139"/>
      <c r="EL668" s="139"/>
      <c r="EM668" s="139"/>
      <c r="EN668" s="139"/>
      <c r="EO668" s="139"/>
      <c r="EP668" s="139"/>
      <c r="EQ668" s="139"/>
      <c r="ER668" s="139"/>
      <c r="ES668" s="139"/>
      <c r="ET668" s="139"/>
      <c r="EU668" s="139"/>
      <c r="EV668" s="139"/>
      <c r="EW668" s="139"/>
      <c r="EX668" s="139"/>
      <c r="EY668" s="139"/>
      <c r="EZ668" s="139"/>
      <c r="FA668" s="139"/>
      <c r="FB668" s="139"/>
      <c r="FC668" s="139"/>
      <c r="FD668" s="139"/>
      <c r="FE668" s="139"/>
      <c r="FF668" s="139"/>
      <c r="FG668" s="139"/>
      <c r="FH668" s="139"/>
      <c r="FI668" s="139"/>
      <c r="FJ668" s="139"/>
      <c r="FK668" s="139"/>
      <c r="FL668" s="139"/>
      <c r="FM668" s="139"/>
      <c r="FN668" s="139"/>
      <c r="FO668" s="139"/>
      <c r="FP668" s="139"/>
      <c r="FQ668" s="139"/>
      <c r="FR668" s="139"/>
      <c r="FS668" s="139"/>
      <c r="FT668" s="139"/>
      <c r="FU668" s="139"/>
      <c r="FV668" s="139"/>
      <c r="FW668" s="139"/>
      <c r="FX668" s="139"/>
      <c r="FY668" s="139"/>
      <c r="FZ668" s="139"/>
      <c r="GA668" s="139"/>
      <c r="GB668" s="139"/>
      <c r="GC668" s="139"/>
      <c r="GD668" s="139"/>
      <c r="GE668" s="139"/>
      <c r="GF668" s="139"/>
      <c r="GG668" s="139"/>
      <c r="GH668" s="139"/>
      <c r="GI668" s="139"/>
      <c r="GJ668" s="139"/>
      <c r="GK668" s="139"/>
      <c r="GL668" s="139"/>
      <c r="GM668" s="139"/>
      <c r="GN668" s="139"/>
      <c r="GO668" s="139"/>
      <c r="GP668" s="139"/>
      <c r="GQ668" s="139"/>
      <c r="GR668" s="139"/>
      <c r="GS668" s="139"/>
      <c r="GT668" s="139"/>
      <c r="GU668" s="139"/>
      <c r="GV668" s="139"/>
      <c r="GW668" s="139"/>
      <c r="GX668" s="139"/>
      <c r="GY668" s="139"/>
      <c r="GZ668" s="139"/>
      <c r="HA668" s="139"/>
      <c r="HB668" s="139"/>
      <c r="HC668" s="139"/>
      <c r="HD668" s="139"/>
      <c r="HE668" s="139"/>
      <c r="HF668" s="139"/>
      <c r="HG668" s="139"/>
      <c r="HH668" s="139"/>
      <c r="HI668" s="139"/>
      <c r="HJ668" s="139"/>
      <c r="HK668" s="139"/>
      <c r="HL668" s="139" t="s">
        <v>2006</v>
      </c>
      <c r="HM668" s="139" t="s">
        <v>297</v>
      </c>
      <c r="HN668" s="87" t="s">
        <v>12</v>
      </c>
      <c r="HO668" s="87"/>
      <c r="HP668" s="87"/>
      <c r="HQ668" s="87"/>
      <c r="HR668" s="87"/>
      <c r="HS668" s="87"/>
      <c r="HT668" s="87"/>
      <c r="HU668" s="87"/>
      <c r="HV668" s="87"/>
      <c r="HW668" s="87"/>
      <c r="HX668" s="87"/>
      <c r="HY668" s="87"/>
      <c r="HZ668" s="140"/>
      <c r="IA668" s="87"/>
      <c r="IB668" s="87"/>
      <c r="IC668" s="87"/>
      <c r="ID668" s="87"/>
      <c r="IE668" s="87"/>
      <c r="IF668" s="87"/>
      <c r="IG668" s="87"/>
      <c r="IH668" s="87"/>
      <c r="II668" s="87"/>
      <c r="IJ668" s="87"/>
      <c r="IK668" s="87"/>
      <c r="IL668" s="87"/>
      <c r="IM668" s="87"/>
      <c r="IN668" s="87"/>
      <c r="IO668" s="87"/>
      <c r="IP668" s="87"/>
      <c r="IQ668" s="87"/>
      <c r="IR668" s="87"/>
      <c r="IS668" s="87"/>
      <c r="IT668" s="87"/>
      <c r="IU668" s="87"/>
      <c r="IV668" s="87"/>
      <c r="IW668" s="87"/>
      <c r="IX668" s="87"/>
      <c r="IY668" s="87"/>
      <c r="IZ668" s="87"/>
      <c r="JA668" s="87"/>
      <c r="JB668" s="87"/>
      <c r="JC668" s="87"/>
      <c r="JD668" s="87"/>
      <c r="JE668" s="87"/>
      <c r="JF668" s="87"/>
      <c r="JG668" s="87"/>
      <c r="JH668" s="87"/>
      <c r="JI668" s="87"/>
      <c r="JJ668" s="87"/>
      <c r="JK668" s="87"/>
      <c r="JL668" s="87"/>
      <c r="JM668" s="87"/>
      <c r="JN668" s="87"/>
      <c r="JO668" s="87"/>
      <c r="JP668" s="87"/>
      <c r="JQ668" s="146"/>
      <c r="JR668" s="87"/>
      <c r="JS668" s="87"/>
      <c r="JT668" s="87"/>
      <c r="JU668" s="87"/>
      <c r="JV668" s="87"/>
      <c r="JW668" s="87"/>
      <c r="JX668" s="87"/>
      <c r="JY668" s="87"/>
      <c r="JZ668" s="87"/>
      <c r="KA668" s="146"/>
      <c r="KB668" s="87"/>
      <c r="KC668" s="87"/>
      <c r="KD668" s="87"/>
      <c r="KE668" s="87"/>
      <c r="KF668" s="87"/>
      <c r="KG668" s="87"/>
      <c r="KH668" s="87"/>
      <c r="KI668" s="87"/>
      <c r="KJ668" s="87"/>
      <c r="KK668" s="87"/>
      <c r="KL668" s="87"/>
      <c r="KM668" s="87"/>
      <c r="KN668" s="87"/>
      <c r="KO668" s="87"/>
      <c r="KP668" s="87"/>
      <c r="KQ668" s="87"/>
      <c r="KR668" s="87"/>
      <c r="KS668" s="146"/>
      <c r="KT668" s="146"/>
      <c r="KU668" s="146"/>
      <c r="KV668" s="146"/>
      <c r="KW668" s="87"/>
      <c r="KX668" s="87"/>
      <c r="KY668" s="87"/>
      <c r="KZ668" s="87"/>
      <c r="LA668" s="87"/>
      <c r="LB668" s="87"/>
      <c r="LC668" s="87"/>
      <c r="LD668" s="87"/>
      <c r="LE668" s="87"/>
      <c r="LF668" s="87"/>
      <c r="LG668" s="87"/>
      <c r="LH668" s="87"/>
      <c r="LI668" s="87"/>
      <c r="LJ668" s="87"/>
      <c r="LK668" s="87"/>
      <c r="LL668" s="87"/>
      <c r="LM668" s="87"/>
      <c r="LN668" s="87"/>
      <c r="LO668" s="87"/>
      <c r="LP668" s="87"/>
      <c r="LQ668" s="87"/>
      <c r="LR668" s="87"/>
      <c r="LS668" s="87"/>
      <c r="LT668" s="87"/>
      <c r="LU668" s="87"/>
      <c r="LV668" s="87"/>
      <c r="LW668" s="87"/>
      <c r="LX668" s="87"/>
      <c r="LY668" s="87"/>
      <c r="LZ668" s="87"/>
      <c r="MA668" s="87"/>
      <c r="MB668" s="87"/>
      <c r="MC668" s="87"/>
      <c r="MD668" s="87"/>
      <c r="ME668" s="87"/>
      <c r="MF668" s="87"/>
      <c r="MG668" s="87"/>
      <c r="MH668" s="87"/>
      <c r="MI668" s="87"/>
      <c r="MJ668" s="87"/>
      <c r="MK668" s="87"/>
      <c r="ML668" s="87"/>
      <c r="MM668" s="87"/>
      <c r="MN668" s="87"/>
      <c r="MO668" s="87"/>
      <c r="MP668" s="87"/>
      <c r="MQ668" s="87"/>
      <c r="MR668" s="87"/>
      <c r="MS668" s="87"/>
      <c r="MT668" s="87"/>
      <c r="MU668" s="87"/>
      <c r="MV668" s="87"/>
      <c r="MW668" s="87"/>
      <c r="MX668" s="87"/>
      <c r="MY668" s="87"/>
      <c r="MZ668" s="87" t="s">
        <v>1968</v>
      </c>
      <c r="NA668" s="87">
        <v>625</v>
      </c>
      <c r="NB668" s="87" t="s">
        <v>1969</v>
      </c>
      <c r="NC668" s="87" t="s">
        <v>1973</v>
      </c>
      <c r="ND668" s="87" t="s">
        <v>1974</v>
      </c>
      <c r="NE668" s="87" t="s">
        <v>1975</v>
      </c>
      <c r="NF668" s="87" t="s">
        <v>1976</v>
      </c>
      <c r="NG668" s="87" t="s">
        <v>1977</v>
      </c>
      <c r="NH668" s="87"/>
      <c r="NI668" s="87"/>
      <c r="NJ668" s="87"/>
      <c r="NK668" s="87" t="s">
        <v>1839</v>
      </c>
      <c r="NL668" s="87" t="s">
        <v>2030</v>
      </c>
      <c r="NM668" s="87" t="s">
        <v>1751</v>
      </c>
      <c r="NN668" s="87" t="s">
        <v>2031</v>
      </c>
      <c r="NO668" s="87"/>
      <c r="NP668" s="87"/>
      <c r="NQ668" s="87"/>
      <c r="NR668" s="87"/>
      <c r="NS668" s="87"/>
      <c r="NT668" s="87"/>
      <c r="NU668" s="87"/>
      <c r="NV668" s="87" t="s">
        <v>2007</v>
      </c>
      <c r="NW668" s="87" t="s">
        <v>1979</v>
      </c>
      <c r="NX668" s="87">
        <v>1.6E-2</v>
      </c>
      <c r="NY668" s="87" t="s">
        <v>29</v>
      </c>
      <c r="NZ668" s="87" t="s">
        <v>29</v>
      </c>
      <c r="OA668" s="87"/>
      <c r="OB668" s="87"/>
      <c r="OC668" s="87">
        <v>32</v>
      </c>
      <c r="OD668" s="87"/>
      <c r="OE668" s="87"/>
      <c r="OF668" s="87"/>
      <c r="OG668" s="87"/>
      <c r="OH668" s="87"/>
      <c r="OI668" s="87"/>
      <c r="OJ668" s="87"/>
      <c r="OK668" s="87"/>
      <c r="OL668" s="87"/>
      <c r="OM668" s="87"/>
      <c r="ON668" s="87"/>
      <c r="OO668" s="87"/>
      <c r="OP668" s="87"/>
      <c r="OQ668" s="87"/>
      <c r="OR668" s="87"/>
      <c r="OS668" s="87"/>
      <c r="OT668" s="87" t="s">
        <v>1980</v>
      </c>
      <c r="OU668" s="144"/>
      <c r="OV668" s="87"/>
      <c r="OW668" s="87">
        <v>2009</v>
      </c>
      <c r="OX668" s="87">
        <v>2010</v>
      </c>
      <c r="OY668" s="87"/>
      <c r="OZ668" s="87"/>
      <c r="PA668" s="87" t="s">
        <v>1981</v>
      </c>
      <c r="PB668" s="140">
        <v>46133</v>
      </c>
      <c r="PC668" s="87"/>
      <c r="PD668" s="87"/>
      <c r="PE668" s="87"/>
      <c r="PF668" s="87"/>
      <c r="PG668" s="138"/>
    </row>
    <row r="669" spans="1:423">
      <c r="A669" t="s">
        <v>36</v>
      </c>
      <c r="B669" t="s">
        <v>1956</v>
      </c>
      <c r="C669" t="s">
        <v>1957</v>
      </c>
      <c r="D669" t="s">
        <v>245</v>
      </c>
      <c r="E669" t="s">
        <v>1993</v>
      </c>
      <c r="F669" t="s">
        <v>1961</v>
      </c>
      <c r="G669" t="s">
        <v>2</v>
      </c>
      <c r="H669" t="s">
        <v>30</v>
      </c>
      <c r="I669">
        <v>-8.8170000000000002</v>
      </c>
      <c r="J669">
        <v>-75.2</v>
      </c>
      <c r="L669" t="s">
        <v>1957</v>
      </c>
      <c r="M669" t="s">
        <v>245</v>
      </c>
      <c r="N669" t="s">
        <v>1960</v>
      </c>
      <c r="O669" t="s">
        <v>1961</v>
      </c>
      <c r="P669" t="s">
        <v>2</v>
      </c>
      <c r="Q669" t="s">
        <v>30</v>
      </c>
      <c r="R669">
        <v>-8.5169999999999995</v>
      </c>
      <c r="S669">
        <v>-74.766999999999996</v>
      </c>
      <c r="U669" t="s">
        <v>1957</v>
      </c>
      <c r="V669" t="s">
        <v>245</v>
      </c>
      <c r="W669" t="s">
        <v>1982</v>
      </c>
      <c r="X669" t="s">
        <v>1961</v>
      </c>
      <c r="Y669" t="s">
        <v>2</v>
      </c>
      <c r="Z669" t="s">
        <v>30</v>
      </c>
      <c r="AA669">
        <v>-8.3670000000000009</v>
      </c>
      <c r="AB669">
        <v>-74.7</v>
      </c>
      <c r="AV669" t="s">
        <v>1962</v>
      </c>
      <c r="AW669">
        <v>625</v>
      </c>
      <c r="AX669" t="s">
        <v>29</v>
      </c>
      <c r="AY669">
        <v>2</v>
      </c>
      <c r="AZ669" t="s">
        <v>1963</v>
      </c>
      <c r="BA669">
        <v>2009</v>
      </c>
      <c r="BB669">
        <v>2010</v>
      </c>
      <c r="BC669" t="s">
        <v>1964</v>
      </c>
      <c r="BD669" t="s">
        <v>2036</v>
      </c>
      <c r="BE669" t="s">
        <v>2008</v>
      </c>
      <c r="BF669" t="s">
        <v>299</v>
      </c>
      <c r="BG669" t="s">
        <v>1779</v>
      </c>
      <c r="BH669" t="s">
        <v>2009</v>
      </c>
      <c r="BI669" t="s">
        <v>29</v>
      </c>
      <c r="BJ669" t="s">
        <v>29</v>
      </c>
      <c r="BK669" t="s">
        <v>29</v>
      </c>
      <c r="EJ669" s="9"/>
      <c r="EK669" s="9"/>
      <c r="EL669" s="9"/>
      <c r="EM669" s="9"/>
      <c r="EN669" s="9"/>
      <c r="EO669" s="9"/>
      <c r="EP669" s="9"/>
      <c r="EQ669" s="9"/>
      <c r="ER669" s="9"/>
      <c r="ES669" s="9"/>
      <c r="ET669" s="9"/>
      <c r="EU669" s="9"/>
      <c r="EV669" s="9"/>
      <c r="EW669" s="9"/>
      <c r="EX669" s="9"/>
      <c r="EY669" s="9"/>
      <c r="EZ669" s="9"/>
      <c r="FA669" s="9"/>
      <c r="FB669" s="9"/>
      <c r="FC669" s="9"/>
      <c r="FD669" s="9"/>
      <c r="FE669" s="9"/>
      <c r="FF669" s="9"/>
      <c r="FG669" s="9"/>
      <c r="FH669" s="9"/>
      <c r="FI669" s="9"/>
      <c r="FJ669" s="9"/>
      <c r="FK669" s="9"/>
      <c r="FL669" s="9"/>
      <c r="FM669" s="9"/>
      <c r="FN669" s="9"/>
      <c r="FO669" s="9"/>
      <c r="FP669" s="9"/>
      <c r="FQ669" s="9"/>
      <c r="FR669" s="9"/>
      <c r="FS669" s="9"/>
      <c r="FT669" s="9"/>
      <c r="FU669" s="9"/>
      <c r="FV669" s="9"/>
      <c r="FW669" s="9"/>
      <c r="FX669" s="9"/>
      <c r="FY669" s="9"/>
      <c r="FZ669" s="9"/>
      <c r="GA669" s="9"/>
      <c r="GB669" s="9"/>
      <c r="GC669" s="9"/>
      <c r="GD669" s="9"/>
      <c r="GE669" s="9"/>
      <c r="GF669" s="9"/>
      <c r="GG669" s="9"/>
      <c r="GH669" s="9"/>
      <c r="GI669" s="9"/>
      <c r="GJ669" s="9"/>
      <c r="GK669" s="9"/>
      <c r="GL669" s="9"/>
      <c r="GM669" s="9"/>
      <c r="GN669" s="9"/>
      <c r="GO669" s="9"/>
      <c r="GP669" s="9"/>
      <c r="GQ669" s="9"/>
      <c r="GR669" s="9"/>
      <c r="GS669" s="9"/>
      <c r="GT669" s="9"/>
      <c r="GU669" s="9"/>
      <c r="GV669" s="9"/>
      <c r="GW669" s="9"/>
      <c r="GX669" s="9"/>
      <c r="GY669" s="9"/>
      <c r="GZ669" s="9"/>
      <c r="HA669" s="9"/>
      <c r="HB669" s="9"/>
      <c r="HC669" s="9"/>
      <c r="HD669" s="9"/>
      <c r="HE669" s="9"/>
      <c r="HF669" s="9"/>
      <c r="HG669" s="9"/>
      <c r="HH669" s="9"/>
      <c r="HI669" s="9"/>
      <c r="HJ669" s="9"/>
      <c r="HK669" s="9"/>
      <c r="HL669" s="9" t="s">
        <v>2010</v>
      </c>
      <c r="HM669" s="9" t="s">
        <v>232</v>
      </c>
      <c r="HZ669" s="58"/>
      <c r="JQ669" s="9"/>
      <c r="KA669" s="9"/>
      <c r="KS669" s="9"/>
      <c r="KT669" s="9"/>
      <c r="KU669" s="9"/>
      <c r="KV669" s="9"/>
      <c r="MZ669" t="s">
        <v>1968</v>
      </c>
      <c r="NA669">
        <v>625</v>
      </c>
      <c r="NB669" t="s">
        <v>1969</v>
      </c>
      <c r="NC669" t="s">
        <v>1973</v>
      </c>
      <c r="ND669" t="s">
        <v>1974</v>
      </c>
      <c r="NE669" t="s">
        <v>1975</v>
      </c>
      <c r="NF669" t="s">
        <v>1976</v>
      </c>
      <c r="NG669" t="s">
        <v>1977</v>
      </c>
      <c r="NK669" t="s">
        <v>1839</v>
      </c>
      <c r="NL669" t="s">
        <v>2030</v>
      </c>
      <c r="NM669" t="s">
        <v>1751</v>
      </c>
      <c r="NN669" t="s">
        <v>2031</v>
      </c>
      <c r="NV669" t="s">
        <v>2011</v>
      </c>
      <c r="NW669" t="s">
        <v>1979</v>
      </c>
      <c r="NX669">
        <v>0.01</v>
      </c>
      <c r="NY669" t="s">
        <v>29</v>
      </c>
      <c r="NZ669" t="s">
        <v>29</v>
      </c>
      <c r="OC669">
        <v>32</v>
      </c>
      <c r="OT669" t="s">
        <v>1980</v>
      </c>
      <c r="OU669" s="19"/>
      <c r="OW669">
        <v>2009</v>
      </c>
      <c r="OX669">
        <v>2010</v>
      </c>
      <c r="PA669" t="s">
        <v>1981</v>
      </c>
      <c r="PB669" s="58">
        <v>46133</v>
      </c>
    </row>
    <row r="670" spans="1:423">
      <c r="A670" s="87" t="s">
        <v>36</v>
      </c>
      <c r="B670" s="87" t="s">
        <v>1956</v>
      </c>
      <c r="C670" s="87" t="s">
        <v>1957</v>
      </c>
      <c r="D670" s="87" t="s">
        <v>1936</v>
      </c>
      <c r="E670" s="87" t="s">
        <v>1958</v>
      </c>
      <c r="F670" s="87" t="s">
        <v>1959</v>
      </c>
      <c r="G670" s="87" t="s">
        <v>2</v>
      </c>
      <c r="H670" s="87" t="s">
        <v>30</v>
      </c>
      <c r="I670" s="87">
        <v>-8.9</v>
      </c>
      <c r="J670" s="87">
        <v>-74.983000000000004</v>
      </c>
      <c r="K670" s="87"/>
      <c r="L670" s="87" t="s">
        <v>1957</v>
      </c>
      <c r="M670" s="87" t="s">
        <v>245</v>
      </c>
      <c r="N670" s="87" t="s">
        <v>1960</v>
      </c>
      <c r="O670" s="87" t="s">
        <v>1961</v>
      </c>
      <c r="P670" s="87" t="s">
        <v>2</v>
      </c>
      <c r="Q670" s="87" t="s">
        <v>30</v>
      </c>
      <c r="R670" s="87">
        <v>-8.5169999999999995</v>
      </c>
      <c r="S670" s="87">
        <v>-74.766999999999996</v>
      </c>
      <c r="T670" s="87"/>
      <c r="U670" s="87"/>
      <c r="V670" s="87"/>
      <c r="W670" s="87"/>
      <c r="X670" s="87"/>
      <c r="Y670" s="87"/>
      <c r="Z670" s="87"/>
      <c r="AA670" s="87"/>
      <c r="AB670" s="87"/>
      <c r="AC670" s="87"/>
      <c r="AD670" s="87"/>
      <c r="AE670" s="87"/>
      <c r="AF670" s="87"/>
      <c r="AG670" s="87"/>
      <c r="AH670" s="87"/>
      <c r="AI670" s="87"/>
      <c r="AJ670" s="87"/>
      <c r="AK670" s="87"/>
      <c r="AL670" s="87"/>
      <c r="AM670" s="87"/>
      <c r="AN670" s="87"/>
      <c r="AO670" s="87"/>
      <c r="AP670" s="87"/>
      <c r="AQ670" s="87"/>
      <c r="AR670" s="87"/>
      <c r="AS670" s="87"/>
      <c r="AT670" s="87"/>
      <c r="AU670" s="87"/>
      <c r="AV670" s="87" t="s">
        <v>1962</v>
      </c>
      <c r="AW670" s="87">
        <v>625</v>
      </c>
      <c r="AX670" s="87" t="s">
        <v>29</v>
      </c>
      <c r="AY670" s="87">
        <v>2</v>
      </c>
      <c r="AZ670" s="87" t="s">
        <v>1963</v>
      </c>
      <c r="BA670" s="87">
        <v>2009</v>
      </c>
      <c r="BB670" s="87">
        <v>2010</v>
      </c>
      <c r="BC670" s="87" t="s">
        <v>1964</v>
      </c>
      <c r="BD670" s="87" t="s">
        <v>1966</v>
      </c>
      <c r="BE670" s="87" t="s">
        <v>1965</v>
      </c>
      <c r="BF670" s="87" t="s">
        <v>39</v>
      </c>
      <c r="BG670" s="87" t="s">
        <v>1743</v>
      </c>
      <c r="BH670" s="87"/>
      <c r="BI670" s="87"/>
      <c r="BJ670" s="87"/>
      <c r="BK670" s="87"/>
      <c r="BL670" s="87"/>
      <c r="BM670" s="87"/>
      <c r="BN670" s="87"/>
      <c r="BO670" s="87"/>
      <c r="BP670" s="87"/>
      <c r="BQ670" s="87"/>
      <c r="BR670" s="87"/>
      <c r="BS670" s="87"/>
      <c r="BT670" s="87"/>
      <c r="BU670" s="87"/>
      <c r="BV670" s="87"/>
      <c r="BW670" s="87"/>
      <c r="BX670" s="87"/>
      <c r="BY670" s="87"/>
      <c r="BZ670" s="87"/>
      <c r="CA670" s="87"/>
      <c r="CB670" s="87"/>
      <c r="CC670" s="87"/>
      <c r="CD670" s="87"/>
      <c r="CE670" s="87"/>
      <c r="CF670" s="87"/>
      <c r="CG670" s="87"/>
      <c r="CH670" s="87"/>
      <c r="CI670" s="87"/>
      <c r="CJ670" s="87"/>
      <c r="CK670" s="87"/>
      <c r="CL670" s="87"/>
      <c r="CM670" s="87"/>
      <c r="CN670" s="87"/>
      <c r="CO670" s="87"/>
      <c r="CP670" s="87"/>
      <c r="CQ670" s="87"/>
      <c r="CR670" s="87"/>
      <c r="CS670" s="87"/>
      <c r="CT670" s="87"/>
      <c r="CU670" s="87"/>
      <c r="CV670" s="87"/>
      <c r="CW670" s="87"/>
      <c r="CX670" s="87"/>
      <c r="CY670" s="87"/>
      <c r="CZ670" s="87"/>
      <c r="DA670" s="87"/>
      <c r="DB670" s="87"/>
      <c r="DC670" s="87"/>
      <c r="DD670" s="87"/>
      <c r="DE670" s="87"/>
      <c r="DF670" s="87"/>
      <c r="DG670" s="87"/>
      <c r="DH670" s="87"/>
      <c r="DI670" s="87"/>
      <c r="DJ670" s="87"/>
      <c r="DK670" s="87"/>
      <c r="DL670" s="87"/>
      <c r="DM670" s="87"/>
      <c r="DN670" s="87"/>
      <c r="DO670" s="87"/>
      <c r="DP670" s="87"/>
      <c r="DQ670" s="87"/>
      <c r="DR670" s="87"/>
      <c r="DS670" s="87"/>
      <c r="DT670" s="87"/>
      <c r="DU670" s="87"/>
      <c r="DV670" s="87"/>
      <c r="DW670" s="87"/>
      <c r="DX670" s="87"/>
      <c r="DY670" s="87"/>
      <c r="DZ670" s="87"/>
      <c r="EA670" s="87"/>
      <c r="EB670" s="87"/>
      <c r="EC670" s="87"/>
      <c r="ED670" s="87"/>
      <c r="EE670" s="87"/>
      <c r="EF670" s="87"/>
      <c r="EG670" s="87"/>
      <c r="EH670" s="87"/>
      <c r="EI670" s="87"/>
      <c r="EJ670" s="139"/>
      <c r="EK670" s="139"/>
      <c r="EL670" s="139"/>
      <c r="EM670" s="139"/>
      <c r="EN670" s="139"/>
      <c r="EO670" s="139"/>
      <c r="EP670" s="139"/>
      <c r="EQ670" s="139"/>
      <c r="ER670" s="139"/>
      <c r="ES670" s="139"/>
      <c r="ET670" s="139"/>
      <c r="EU670" s="139"/>
      <c r="EV670" s="139"/>
      <c r="EW670" s="139"/>
      <c r="EX670" s="139"/>
      <c r="EY670" s="139"/>
      <c r="EZ670" s="139"/>
      <c r="FA670" s="139"/>
      <c r="FB670" s="139"/>
      <c r="FC670" s="139"/>
      <c r="FD670" s="139"/>
      <c r="FE670" s="139"/>
      <c r="FF670" s="139"/>
      <c r="FG670" s="139"/>
      <c r="FH670" s="139"/>
      <c r="FI670" s="139"/>
      <c r="FJ670" s="139"/>
      <c r="FK670" s="139"/>
      <c r="FL670" s="139"/>
      <c r="FM670" s="139"/>
      <c r="FN670" s="139"/>
      <c r="FO670" s="139"/>
      <c r="FP670" s="139"/>
      <c r="FQ670" s="139"/>
      <c r="FR670" s="139"/>
      <c r="FS670" s="139"/>
      <c r="FT670" s="139"/>
      <c r="FU670" s="139"/>
      <c r="FV670" s="139"/>
      <c r="FW670" s="139"/>
      <c r="FX670" s="139"/>
      <c r="FY670" s="139"/>
      <c r="FZ670" s="139"/>
      <c r="GA670" s="139"/>
      <c r="GB670" s="139"/>
      <c r="GC670" s="139"/>
      <c r="GD670" s="139"/>
      <c r="GE670" s="139"/>
      <c r="GF670" s="139"/>
      <c r="GG670" s="139"/>
      <c r="GH670" s="139"/>
      <c r="GI670" s="139"/>
      <c r="GJ670" s="139"/>
      <c r="GK670" s="139"/>
      <c r="GL670" s="139"/>
      <c r="GM670" s="139"/>
      <c r="GN670" s="139"/>
      <c r="GO670" s="139"/>
      <c r="GP670" s="139"/>
      <c r="GQ670" s="139"/>
      <c r="GR670" s="139"/>
      <c r="GS670" s="139"/>
      <c r="GT670" s="139"/>
      <c r="GU670" s="139"/>
      <c r="GV670" s="139"/>
      <c r="GW670" s="139"/>
      <c r="GX670" s="139"/>
      <c r="GY670" s="139"/>
      <c r="GZ670" s="139"/>
      <c r="HA670" s="139"/>
      <c r="HB670" s="139"/>
      <c r="HC670" s="139"/>
      <c r="HD670" s="139"/>
      <c r="HE670" s="139"/>
      <c r="HF670" s="139"/>
      <c r="HG670" s="139"/>
      <c r="HH670" s="139"/>
      <c r="HI670" s="139"/>
      <c r="HJ670" s="139"/>
      <c r="HK670" s="139"/>
      <c r="HL670" s="139" t="s">
        <v>1967</v>
      </c>
      <c r="HM670" s="139" t="s">
        <v>232</v>
      </c>
      <c r="HN670" s="87"/>
      <c r="HO670" s="87"/>
      <c r="HP670" s="87"/>
      <c r="HQ670" s="87"/>
      <c r="HR670" s="87"/>
      <c r="HS670" s="87"/>
      <c r="HT670" s="87"/>
      <c r="HU670" s="87"/>
      <c r="HV670" s="87"/>
      <c r="HW670" s="87"/>
      <c r="HX670" s="87"/>
      <c r="HY670" s="87"/>
      <c r="HZ670" s="140"/>
      <c r="IA670" s="87"/>
      <c r="IB670" s="87"/>
      <c r="IC670" s="87"/>
      <c r="ID670" s="87"/>
      <c r="IE670" s="87"/>
      <c r="IF670" s="87"/>
      <c r="IG670" s="87"/>
      <c r="IH670" s="87"/>
      <c r="II670" s="87"/>
      <c r="IJ670" s="87"/>
      <c r="IK670" s="87"/>
      <c r="IL670" s="87"/>
      <c r="IM670" s="87"/>
      <c r="IN670" s="87"/>
      <c r="IO670" s="87"/>
      <c r="IP670" s="87"/>
      <c r="IQ670" s="87"/>
      <c r="IR670" s="87"/>
      <c r="IS670" s="87"/>
      <c r="IT670" s="87"/>
      <c r="IU670" s="87"/>
      <c r="IV670" s="87"/>
      <c r="IW670" s="87"/>
      <c r="IX670" s="87"/>
      <c r="IY670" s="87"/>
      <c r="IZ670" s="87"/>
      <c r="JA670" s="87">
        <v>20</v>
      </c>
      <c r="JB670" s="87">
        <v>95</v>
      </c>
      <c r="JC670" s="87"/>
      <c r="JD670" s="87"/>
      <c r="JE670" s="87"/>
      <c r="JF670" s="87"/>
      <c r="JG670" s="87"/>
      <c r="JH670" s="87"/>
      <c r="JI670" s="87"/>
      <c r="JJ670" s="87"/>
      <c r="JK670" s="87"/>
      <c r="JL670" s="87"/>
      <c r="JM670" s="87"/>
      <c r="JN670" s="87"/>
      <c r="JO670" s="87"/>
      <c r="JP670" s="87"/>
      <c r="JQ670" s="146"/>
      <c r="JR670" s="87"/>
      <c r="JS670" s="87"/>
      <c r="JT670" s="87"/>
      <c r="JU670" s="87"/>
      <c r="JV670" s="87"/>
      <c r="JW670" s="87"/>
      <c r="JX670" s="87"/>
      <c r="JY670" s="87"/>
      <c r="JZ670" s="87"/>
      <c r="KA670" s="146"/>
      <c r="KB670" s="87"/>
      <c r="KC670" s="87"/>
      <c r="KD670" s="87"/>
      <c r="KE670" s="87"/>
      <c r="KF670" s="87"/>
      <c r="KG670" s="87"/>
      <c r="KH670" s="87"/>
      <c r="KI670" s="87"/>
      <c r="KJ670" s="87"/>
      <c r="KK670" s="87"/>
      <c r="KL670" s="87"/>
      <c r="KM670" s="87"/>
      <c r="KN670" s="87"/>
      <c r="KO670" s="87"/>
      <c r="KP670" s="87"/>
      <c r="KQ670" s="87"/>
      <c r="KR670" s="87"/>
      <c r="KS670" s="146"/>
      <c r="KT670" s="146"/>
      <c r="KU670" s="146"/>
      <c r="KV670" s="146"/>
      <c r="KW670" s="87"/>
      <c r="KX670" s="87"/>
      <c r="KY670" s="87"/>
      <c r="KZ670" s="87"/>
      <c r="LA670" s="87"/>
      <c r="LB670" s="87"/>
      <c r="LC670" s="87"/>
      <c r="LD670" s="87"/>
      <c r="LE670" s="87"/>
      <c r="LF670" s="87"/>
      <c r="LG670" s="87"/>
      <c r="LH670" s="87"/>
      <c r="LI670" s="87"/>
      <c r="LJ670" s="87"/>
      <c r="LK670" s="87"/>
      <c r="LL670" s="87"/>
      <c r="LM670" s="87"/>
      <c r="LN670" s="87"/>
      <c r="LO670" s="87"/>
      <c r="LP670" s="87"/>
      <c r="LQ670" s="87"/>
      <c r="LR670" s="87"/>
      <c r="LS670" s="87"/>
      <c r="LT670" s="87"/>
      <c r="LU670" s="87"/>
      <c r="LV670" s="87"/>
      <c r="LW670" s="87"/>
      <c r="LX670" s="87"/>
      <c r="LY670" s="87"/>
      <c r="LZ670" s="87"/>
      <c r="MA670" s="87"/>
      <c r="MB670" s="87"/>
      <c r="MC670" s="87"/>
      <c r="MD670" s="87"/>
      <c r="ME670" s="87"/>
      <c r="MF670" s="87"/>
      <c r="MG670" s="87"/>
      <c r="MH670" s="87"/>
      <c r="MI670" s="87"/>
      <c r="MJ670" s="87"/>
      <c r="MK670" s="87"/>
      <c r="ML670" s="87"/>
      <c r="MM670" s="87"/>
      <c r="MN670" s="87"/>
      <c r="MO670" s="87"/>
      <c r="MP670" s="87"/>
      <c r="MQ670" s="87"/>
      <c r="MR670" s="87"/>
      <c r="MS670" s="87"/>
      <c r="MT670" s="87"/>
      <c r="MU670" s="87"/>
      <c r="MV670" s="87"/>
      <c r="MW670" s="87"/>
      <c r="MX670" s="87"/>
      <c r="MY670" s="87"/>
      <c r="MZ670" s="87" t="s">
        <v>1968</v>
      </c>
      <c r="NA670" s="87">
        <v>625</v>
      </c>
      <c r="NB670" s="87" t="s">
        <v>1969</v>
      </c>
      <c r="NC670" s="87" t="s">
        <v>1973</v>
      </c>
      <c r="ND670" s="87" t="s">
        <v>1974</v>
      </c>
      <c r="NE670" s="87" t="s">
        <v>1975</v>
      </c>
      <c r="NF670" s="87" t="s">
        <v>1976</v>
      </c>
      <c r="NG670" s="87" t="s">
        <v>1977</v>
      </c>
      <c r="NH670" s="87"/>
      <c r="NI670" s="87"/>
      <c r="NJ670" s="87"/>
      <c r="NK670" s="87" t="s">
        <v>2032</v>
      </c>
      <c r="NL670" s="87" t="s">
        <v>2033</v>
      </c>
      <c r="NM670" s="87" t="s">
        <v>2019</v>
      </c>
      <c r="NN670" s="87" t="s">
        <v>2020</v>
      </c>
      <c r="NO670" s="87"/>
      <c r="NP670" s="87"/>
      <c r="NQ670" s="87"/>
      <c r="NR670" s="87"/>
      <c r="NS670" s="87"/>
      <c r="NT670" s="87"/>
      <c r="NU670" s="87"/>
      <c r="NV670" s="87" t="s">
        <v>1978</v>
      </c>
      <c r="NW670" s="87" t="s">
        <v>6</v>
      </c>
      <c r="NX670" s="87">
        <v>0.64800000000000002</v>
      </c>
      <c r="NY670" s="87" t="s">
        <v>1446</v>
      </c>
      <c r="NZ670" s="87">
        <v>0.155</v>
      </c>
      <c r="OA670" s="87"/>
      <c r="OB670" s="87"/>
      <c r="OC670" s="87">
        <v>8</v>
      </c>
      <c r="OD670" s="87"/>
      <c r="OE670" s="87"/>
      <c r="OF670" s="87"/>
      <c r="OG670" s="87"/>
      <c r="OH670" s="87"/>
      <c r="OI670" s="87"/>
      <c r="OJ670" s="87"/>
      <c r="OK670" s="87"/>
      <c r="OL670" s="87"/>
      <c r="OM670" s="87"/>
      <c r="ON670" s="87"/>
      <c r="OO670" s="87"/>
      <c r="OP670" s="87"/>
      <c r="OQ670" s="87"/>
      <c r="OR670" s="87"/>
      <c r="OS670" s="87"/>
      <c r="OT670" s="87" t="s">
        <v>1980</v>
      </c>
      <c r="OU670" s="144"/>
      <c r="OV670" s="87"/>
      <c r="OW670" s="87">
        <v>2009</v>
      </c>
      <c r="OX670" s="87">
        <v>2010</v>
      </c>
      <c r="OY670" s="87"/>
      <c r="OZ670" s="87"/>
      <c r="PA670" s="87" t="s">
        <v>1981</v>
      </c>
      <c r="PB670" s="140">
        <v>46133</v>
      </c>
      <c r="PC670" s="87"/>
      <c r="PD670" s="87"/>
      <c r="PE670" s="87"/>
      <c r="PF670" s="87"/>
      <c r="PG670" s="138"/>
    </row>
    <row r="671" spans="1:423">
      <c r="A671" t="s">
        <v>36</v>
      </c>
      <c r="B671" t="s">
        <v>1956</v>
      </c>
      <c r="C671" t="s">
        <v>1957</v>
      </c>
      <c r="D671" t="s">
        <v>245</v>
      </c>
      <c r="E671" t="s">
        <v>1960</v>
      </c>
      <c r="F671" t="s">
        <v>1961</v>
      </c>
      <c r="G671" t="s">
        <v>2</v>
      </c>
      <c r="H671" t="s">
        <v>30</v>
      </c>
      <c r="I671">
        <v>-8.5169999999999995</v>
      </c>
      <c r="J671">
        <v>-74.766999999999996</v>
      </c>
      <c r="L671" t="s">
        <v>1957</v>
      </c>
      <c r="M671" t="s">
        <v>245</v>
      </c>
      <c r="N671" t="s">
        <v>1982</v>
      </c>
      <c r="O671" t="s">
        <v>1961</v>
      </c>
      <c r="P671" t="s">
        <v>2</v>
      </c>
      <c r="Q671" t="s">
        <v>30</v>
      </c>
      <c r="R671">
        <v>-8.3670000000000009</v>
      </c>
      <c r="S671">
        <v>-74.7</v>
      </c>
      <c r="AV671" t="s">
        <v>1962</v>
      </c>
      <c r="AW671">
        <v>625</v>
      </c>
      <c r="AX671" t="s">
        <v>29</v>
      </c>
      <c r="AY671">
        <v>2</v>
      </c>
      <c r="AZ671" t="s">
        <v>1963</v>
      </c>
      <c r="BA671">
        <v>2009</v>
      </c>
      <c r="BB671">
        <v>2010</v>
      </c>
      <c r="BC671" t="s">
        <v>1964</v>
      </c>
      <c r="BD671" t="s">
        <v>1990</v>
      </c>
      <c r="BE671" t="s">
        <v>1984</v>
      </c>
      <c r="BF671" t="s">
        <v>64</v>
      </c>
      <c r="BG671" t="s">
        <v>1233</v>
      </c>
      <c r="BH671" t="s">
        <v>1985</v>
      </c>
      <c r="BI671" t="s">
        <v>29</v>
      </c>
      <c r="BJ671" t="s">
        <v>29</v>
      </c>
      <c r="BK671" t="s">
        <v>29</v>
      </c>
      <c r="EE671" t="s">
        <v>1986</v>
      </c>
      <c r="EF671" t="s">
        <v>1987</v>
      </c>
      <c r="EG671">
        <v>0.24</v>
      </c>
      <c r="EH671" t="s">
        <v>1990</v>
      </c>
      <c r="EJ671" s="9"/>
      <c r="EK671" s="9"/>
      <c r="EL671" s="9"/>
      <c r="EM671" s="9"/>
      <c r="EN671" s="9"/>
      <c r="EO671" s="9"/>
      <c r="EP671" s="9"/>
      <c r="EQ671" s="9"/>
      <c r="ER671" s="9"/>
      <c r="ES671" s="9"/>
      <c r="ET671" s="9"/>
      <c r="EU671" s="9"/>
      <c r="EV671" s="9"/>
      <c r="EW671" s="9"/>
      <c r="EX671" s="9"/>
      <c r="EY671" s="9"/>
      <c r="EZ671" s="9"/>
      <c r="FA671" s="9"/>
      <c r="FB671" s="9"/>
      <c r="FC671" s="9"/>
      <c r="FD671" s="9"/>
      <c r="FE671" s="9"/>
      <c r="FF671" s="9"/>
      <c r="FG671" s="9"/>
      <c r="FH671" s="9"/>
      <c r="FI671" s="9"/>
      <c r="FJ671" s="9"/>
      <c r="FK671" s="9"/>
      <c r="FL671" s="9"/>
      <c r="FM671" s="9"/>
      <c r="FN671" s="9"/>
      <c r="FO671" s="9"/>
      <c r="FP671" s="9"/>
      <c r="FQ671" s="9"/>
      <c r="FR671" s="9"/>
      <c r="FS671" s="9"/>
      <c r="FT671" s="9"/>
      <c r="FU671" s="9"/>
      <c r="FV671" s="9"/>
      <c r="FW671" s="9"/>
      <c r="FX671" s="9"/>
      <c r="FY671" s="9"/>
      <c r="FZ671" s="9"/>
      <c r="GA671" s="9"/>
      <c r="GB671" s="9"/>
      <c r="GC671" s="9"/>
      <c r="GD671" s="9"/>
      <c r="GE671" s="9"/>
      <c r="GF671" s="9"/>
      <c r="GG671" s="9"/>
      <c r="GH671" s="9"/>
      <c r="GI671" s="9"/>
      <c r="GJ671" s="9"/>
      <c r="GK671" s="9"/>
      <c r="GL671" s="9"/>
      <c r="GM671" s="9"/>
      <c r="GN671" s="9"/>
      <c r="GO671" s="9"/>
      <c r="GP671" s="9"/>
      <c r="GQ671" s="9"/>
      <c r="GR671" s="9"/>
      <c r="GS671" s="9"/>
      <c r="GT671" s="9"/>
      <c r="GU671" s="9"/>
      <c r="GV671" s="9"/>
      <c r="GW671" s="9"/>
      <c r="GX671" s="9"/>
      <c r="GY671" s="9"/>
      <c r="GZ671" s="9"/>
      <c r="HA671" s="9"/>
      <c r="HB671" s="9"/>
      <c r="HC671" s="9"/>
      <c r="HD671" s="9"/>
      <c r="HE671" s="9"/>
      <c r="HF671" s="9"/>
      <c r="HG671" s="9"/>
      <c r="HH671" s="9"/>
      <c r="HI671" s="9"/>
      <c r="HJ671" s="9"/>
      <c r="HK671" s="9"/>
      <c r="HL671" s="9" t="s">
        <v>1988</v>
      </c>
      <c r="HM671" s="9" t="s">
        <v>232</v>
      </c>
      <c r="HZ671" s="58"/>
      <c r="IW671" t="s">
        <v>1989</v>
      </c>
      <c r="IX671" t="s">
        <v>1990</v>
      </c>
      <c r="IY671" t="s">
        <v>1991</v>
      </c>
      <c r="JA671">
        <v>6</v>
      </c>
      <c r="JB671">
        <v>77.5</v>
      </c>
      <c r="JC671">
        <v>75</v>
      </c>
      <c r="JD671">
        <v>80</v>
      </c>
      <c r="JE671">
        <v>7.5</v>
      </c>
      <c r="JF671">
        <v>6</v>
      </c>
      <c r="JG671">
        <v>9</v>
      </c>
      <c r="JQ671" s="9"/>
      <c r="KA671" s="9"/>
      <c r="KS671" s="9"/>
      <c r="KT671" s="9"/>
      <c r="KU671" s="9"/>
      <c r="KV671" s="9"/>
      <c r="MZ671" t="s">
        <v>1968</v>
      </c>
      <c r="NA671">
        <v>625</v>
      </c>
      <c r="NB671" t="s">
        <v>1969</v>
      </c>
      <c r="NC671" t="s">
        <v>1973</v>
      </c>
      <c r="ND671" t="s">
        <v>1974</v>
      </c>
      <c r="NE671" t="s">
        <v>1975</v>
      </c>
      <c r="NF671" t="s">
        <v>1976</v>
      </c>
      <c r="NG671" t="s">
        <v>1977</v>
      </c>
      <c r="NK671" t="s">
        <v>2032</v>
      </c>
      <c r="NL671" t="s">
        <v>2033</v>
      </c>
      <c r="NM671" t="s">
        <v>2019</v>
      </c>
      <c r="NN671" t="s">
        <v>2020</v>
      </c>
      <c r="NV671" t="s">
        <v>1992</v>
      </c>
      <c r="NW671" t="s">
        <v>6</v>
      </c>
      <c r="NX671">
        <v>0.18099999999999999</v>
      </c>
      <c r="NY671" t="s">
        <v>1446</v>
      </c>
      <c r="NZ671">
        <v>3.3000000000000002E-2</v>
      </c>
      <c r="OC671">
        <v>31</v>
      </c>
      <c r="OT671" t="s">
        <v>1980</v>
      </c>
      <c r="OU671" s="19"/>
      <c r="OW671">
        <v>2009</v>
      </c>
      <c r="OX671">
        <v>2010</v>
      </c>
      <c r="PA671" t="s">
        <v>1981</v>
      </c>
      <c r="PB671" s="58">
        <v>46133</v>
      </c>
    </row>
    <row r="672" spans="1:423">
      <c r="A672" s="87" t="s">
        <v>36</v>
      </c>
      <c r="B672" s="87" t="s">
        <v>1956</v>
      </c>
      <c r="C672" s="87" t="s">
        <v>1957</v>
      </c>
      <c r="D672" s="87" t="s">
        <v>245</v>
      </c>
      <c r="E672" s="87" t="s">
        <v>1993</v>
      </c>
      <c r="F672" s="87" t="s">
        <v>1961</v>
      </c>
      <c r="G672" s="87" t="s">
        <v>2</v>
      </c>
      <c r="H672" s="87" t="s">
        <v>30</v>
      </c>
      <c r="I672" s="87">
        <v>-8.8170000000000002</v>
      </c>
      <c r="J672" s="87">
        <v>-75.2</v>
      </c>
      <c r="K672" s="87"/>
      <c r="L672" s="87" t="s">
        <v>1957</v>
      </c>
      <c r="M672" s="87" t="s">
        <v>245</v>
      </c>
      <c r="N672" s="87" t="s">
        <v>1960</v>
      </c>
      <c r="O672" s="87" t="s">
        <v>1961</v>
      </c>
      <c r="P672" s="87" t="s">
        <v>2</v>
      </c>
      <c r="Q672" s="87" t="s">
        <v>30</v>
      </c>
      <c r="R672" s="87">
        <v>-8.5169999999999995</v>
      </c>
      <c r="S672" s="87">
        <v>-74.766999999999996</v>
      </c>
      <c r="T672" s="87"/>
      <c r="U672" s="87"/>
      <c r="V672" s="87"/>
      <c r="W672" s="87"/>
      <c r="X672" s="87"/>
      <c r="Y672" s="87"/>
      <c r="Z672" s="87"/>
      <c r="AA672" s="87"/>
      <c r="AB672" s="87"/>
      <c r="AC672" s="87"/>
      <c r="AD672" s="87"/>
      <c r="AE672" s="87"/>
      <c r="AF672" s="87"/>
      <c r="AG672" s="87"/>
      <c r="AH672" s="87"/>
      <c r="AI672" s="87"/>
      <c r="AJ672" s="87"/>
      <c r="AK672" s="87"/>
      <c r="AL672" s="87"/>
      <c r="AM672" s="87"/>
      <c r="AN672" s="87"/>
      <c r="AO672" s="87"/>
      <c r="AP672" s="87"/>
      <c r="AQ672" s="87"/>
      <c r="AR672" s="87"/>
      <c r="AS672" s="87"/>
      <c r="AT672" s="87"/>
      <c r="AU672" s="87"/>
      <c r="AV672" s="87" t="s">
        <v>1962</v>
      </c>
      <c r="AW672" s="87">
        <v>625</v>
      </c>
      <c r="AX672" s="87" t="s">
        <v>29</v>
      </c>
      <c r="AY672" s="87">
        <v>2</v>
      </c>
      <c r="AZ672" s="87" t="s">
        <v>1963</v>
      </c>
      <c r="BA672" s="87">
        <v>2009</v>
      </c>
      <c r="BB672" s="87">
        <v>2010</v>
      </c>
      <c r="BC672" s="87" t="s">
        <v>1964</v>
      </c>
      <c r="BD672" s="87" t="s">
        <v>1983</v>
      </c>
      <c r="BE672" s="87" t="s">
        <v>1994</v>
      </c>
      <c r="BF672" s="87" t="s">
        <v>57</v>
      </c>
      <c r="BG672" s="87" t="s">
        <v>1233</v>
      </c>
      <c r="BH672" s="87" t="s">
        <v>1995</v>
      </c>
      <c r="BI672" s="87" t="s">
        <v>29</v>
      </c>
      <c r="BJ672" s="87" t="s">
        <v>29</v>
      </c>
      <c r="BK672" s="87" t="s">
        <v>29</v>
      </c>
      <c r="BL672" s="87"/>
      <c r="BM672" s="87"/>
      <c r="BN672" s="87"/>
      <c r="BO672" s="87"/>
      <c r="BP672" s="87"/>
      <c r="BQ672" s="87"/>
      <c r="BR672" s="87"/>
      <c r="BS672" s="87"/>
      <c r="BT672" s="87"/>
      <c r="BU672" s="87"/>
      <c r="BV672" s="87"/>
      <c r="BW672" s="87"/>
      <c r="BX672" s="87"/>
      <c r="BY672" s="87"/>
      <c r="BZ672" s="87"/>
      <c r="CA672" s="87"/>
      <c r="CB672" s="87"/>
      <c r="CC672" s="87"/>
      <c r="CD672" s="87"/>
      <c r="CE672" s="87"/>
      <c r="CF672" s="87"/>
      <c r="CG672" s="87"/>
      <c r="CH672" s="87"/>
      <c r="CI672" s="87"/>
      <c r="CJ672" s="87"/>
      <c r="CK672" s="87"/>
      <c r="CL672" s="87"/>
      <c r="CM672" s="87"/>
      <c r="CN672" s="87"/>
      <c r="CO672" s="87"/>
      <c r="CP672" s="87"/>
      <c r="CQ672" s="87"/>
      <c r="CR672" s="87"/>
      <c r="CS672" s="87"/>
      <c r="CT672" s="87"/>
      <c r="CU672" s="87"/>
      <c r="CV672" s="87"/>
      <c r="CW672" s="87"/>
      <c r="CX672" s="87"/>
      <c r="CY672" s="87"/>
      <c r="CZ672" s="87"/>
      <c r="DA672" s="87"/>
      <c r="DB672" s="87"/>
      <c r="DC672" s="87"/>
      <c r="DD672" s="87"/>
      <c r="DE672" s="87"/>
      <c r="DF672" s="87"/>
      <c r="DG672" s="87"/>
      <c r="DH672" s="87"/>
      <c r="DI672" s="87"/>
      <c r="DJ672" s="87"/>
      <c r="DK672" s="87"/>
      <c r="DL672" s="87"/>
      <c r="DM672" s="87"/>
      <c r="DN672" s="87"/>
      <c r="DO672" s="87"/>
      <c r="DP672" s="87"/>
      <c r="DQ672" s="87"/>
      <c r="DR672" s="87"/>
      <c r="DS672" s="87"/>
      <c r="DT672" s="87"/>
      <c r="DU672" s="87"/>
      <c r="DV672" s="87"/>
      <c r="DW672" s="87"/>
      <c r="DX672" s="87"/>
      <c r="DY672" s="87"/>
      <c r="DZ672" s="87"/>
      <c r="EA672" s="87"/>
      <c r="EB672" s="87"/>
      <c r="EC672" s="87"/>
      <c r="ED672" s="87"/>
      <c r="EE672" s="87" t="s">
        <v>1996</v>
      </c>
      <c r="EF672" s="87" t="s">
        <v>1987</v>
      </c>
      <c r="EG672" s="87">
        <v>0.24</v>
      </c>
      <c r="EH672" s="87" t="s">
        <v>2037</v>
      </c>
      <c r="EI672" s="87" t="s">
        <v>1997</v>
      </c>
      <c r="EJ672" s="139" t="s">
        <v>1987</v>
      </c>
      <c r="EK672" s="139">
        <v>0.24</v>
      </c>
      <c r="EL672" s="139"/>
      <c r="EM672" s="139" t="s">
        <v>1998</v>
      </c>
      <c r="EN672" s="139" t="s">
        <v>1987</v>
      </c>
      <c r="EO672" s="139" t="s">
        <v>29</v>
      </c>
      <c r="EP672" s="139"/>
      <c r="EQ672" s="139" t="s">
        <v>1999</v>
      </c>
      <c r="ER672" s="139" t="s">
        <v>1987</v>
      </c>
      <c r="ES672" s="139" t="s">
        <v>29</v>
      </c>
      <c r="ET672" s="139"/>
      <c r="EU672" s="139" t="s">
        <v>2000</v>
      </c>
      <c r="EV672" s="139" t="s">
        <v>1987</v>
      </c>
      <c r="EW672" s="139" t="s">
        <v>29</v>
      </c>
      <c r="EX672" s="139"/>
      <c r="EY672" s="139"/>
      <c r="EZ672" s="139"/>
      <c r="FA672" s="139"/>
      <c r="FB672" s="139"/>
      <c r="FC672" s="139"/>
      <c r="FD672" s="139"/>
      <c r="FE672" s="139"/>
      <c r="FF672" s="139"/>
      <c r="FG672" s="139"/>
      <c r="FH672" s="139"/>
      <c r="FI672" s="139"/>
      <c r="FJ672" s="139"/>
      <c r="FK672" s="139"/>
      <c r="FL672" s="139"/>
      <c r="FM672" s="139"/>
      <c r="FN672" s="139"/>
      <c r="FO672" s="139"/>
      <c r="FP672" s="139"/>
      <c r="FQ672" s="139"/>
      <c r="FR672" s="139"/>
      <c r="FS672" s="139"/>
      <c r="FT672" s="139"/>
      <c r="FU672" s="139"/>
      <c r="FV672" s="139"/>
      <c r="FW672" s="139"/>
      <c r="FX672" s="139"/>
      <c r="FY672" s="139"/>
      <c r="FZ672" s="139"/>
      <c r="GA672" s="139"/>
      <c r="GB672" s="139"/>
      <c r="GC672" s="139"/>
      <c r="GD672" s="139"/>
      <c r="GE672" s="139"/>
      <c r="GF672" s="139"/>
      <c r="GG672" s="139"/>
      <c r="GH672" s="139"/>
      <c r="GI672" s="139"/>
      <c r="GJ672" s="139"/>
      <c r="GK672" s="139"/>
      <c r="GL672" s="139"/>
      <c r="GM672" s="139"/>
      <c r="GN672" s="139"/>
      <c r="GO672" s="139"/>
      <c r="GP672" s="139"/>
      <c r="GQ672" s="139"/>
      <c r="GR672" s="139"/>
      <c r="GS672" s="139"/>
      <c r="GT672" s="139"/>
      <c r="GU672" s="139"/>
      <c r="GV672" s="139"/>
      <c r="GW672" s="139"/>
      <c r="GX672" s="139"/>
      <c r="GY672" s="139"/>
      <c r="GZ672" s="139"/>
      <c r="HA672" s="139"/>
      <c r="HB672" s="139"/>
      <c r="HC672" s="139"/>
      <c r="HD672" s="139"/>
      <c r="HE672" s="139"/>
      <c r="HF672" s="139"/>
      <c r="HG672" s="139"/>
      <c r="HH672" s="139"/>
      <c r="HI672" s="139"/>
      <c r="HJ672" s="139"/>
      <c r="HK672" s="139"/>
      <c r="HL672" s="139" t="s">
        <v>1988</v>
      </c>
      <c r="HM672" s="139" t="s">
        <v>232</v>
      </c>
      <c r="HN672" s="87"/>
      <c r="HO672" s="87"/>
      <c r="HP672" s="87"/>
      <c r="HQ672" s="87"/>
      <c r="HR672" s="87"/>
      <c r="HS672" s="87"/>
      <c r="HT672" s="87"/>
      <c r="HU672" s="87"/>
      <c r="HV672" s="87"/>
      <c r="HW672" s="87"/>
      <c r="HX672" s="87"/>
      <c r="HY672" s="87"/>
      <c r="HZ672" s="140"/>
      <c r="IA672" s="87"/>
      <c r="IB672" s="87"/>
      <c r="IC672" s="87"/>
      <c r="ID672" s="87"/>
      <c r="IE672" s="87"/>
      <c r="IF672" s="87"/>
      <c r="IG672" s="87"/>
      <c r="IH672" s="87"/>
      <c r="II672" s="87"/>
      <c r="IJ672" s="87"/>
      <c r="IK672" s="87"/>
      <c r="IL672" s="87"/>
      <c r="IM672" s="87"/>
      <c r="IN672" s="87"/>
      <c r="IO672" s="87"/>
      <c r="IP672" s="87"/>
      <c r="IQ672" s="87"/>
      <c r="IR672" s="87"/>
      <c r="IS672" s="87"/>
      <c r="IT672" s="87"/>
      <c r="IU672" s="87"/>
      <c r="IV672" s="87"/>
      <c r="IW672" s="87" t="s">
        <v>2001</v>
      </c>
      <c r="IX672" s="87" t="s">
        <v>1990</v>
      </c>
      <c r="IY672" s="87" t="s">
        <v>2002</v>
      </c>
      <c r="IZ672" s="87"/>
      <c r="JA672" s="87"/>
      <c r="JB672" s="87">
        <v>50</v>
      </c>
      <c r="JC672" s="87"/>
      <c r="JD672" s="87"/>
      <c r="JE672" s="87">
        <v>12</v>
      </c>
      <c r="JF672" s="87"/>
      <c r="JG672" s="87"/>
      <c r="JH672" s="87"/>
      <c r="JI672" s="87"/>
      <c r="JJ672" s="87"/>
      <c r="JK672" s="87"/>
      <c r="JL672" s="87"/>
      <c r="JM672" s="87"/>
      <c r="JN672" s="87"/>
      <c r="JO672" s="87"/>
      <c r="JP672" s="87"/>
      <c r="JQ672" s="146"/>
      <c r="JR672" s="87"/>
      <c r="JS672" s="87"/>
      <c r="JT672" s="87"/>
      <c r="JU672" s="87"/>
      <c r="JV672" s="87"/>
      <c r="JW672" s="87"/>
      <c r="JX672" s="87"/>
      <c r="JY672" s="87"/>
      <c r="JZ672" s="87"/>
      <c r="KA672" s="146"/>
      <c r="KB672" s="87"/>
      <c r="KC672" s="87"/>
      <c r="KD672" s="87"/>
      <c r="KE672" s="87"/>
      <c r="KF672" s="87"/>
      <c r="KG672" s="87"/>
      <c r="KH672" s="87"/>
      <c r="KI672" s="87"/>
      <c r="KJ672" s="87"/>
      <c r="KK672" s="87"/>
      <c r="KL672" s="87"/>
      <c r="KM672" s="87"/>
      <c r="KN672" s="87"/>
      <c r="KO672" s="87"/>
      <c r="KP672" s="87"/>
      <c r="KQ672" s="87"/>
      <c r="KR672" s="87"/>
      <c r="KS672" s="146"/>
      <c r="KT672" s="146"/>
      <c r="KU672" s="146"/>
      <c r="KV672" s="146"/>
      <c r="KW672" s="87"/>
      <c r="KX672" s="87"/>
      <c r="KY672" s="87"/>
      <c r="KZ672" s="87"/>
      <c r="LA672" s="87"/>
      <c r="LB672" s="87"/>
      <c r="LC672" s="87"/>
      <c r="LD672" s="87"/>
      <c r="LE672" s="87"/>
      <c r="LF672" s="87"/>
      <c r="LG672" s="87"/>
      <c r="LH672" s="87"/>
      <c r="LI672" s="87"/>
      <c r="LJ672" s="87"/>
      <c r="LK672" s="87"/>
      <c r="LL672" s="87"/>
      <c r="LM672" s="87"/>
      <c r="LN672" s="87"/>
      <c r="LO672" s="87"/>
      <c r="LP672" s="87"/>
      <c r="LQ672" s="87"/>
      <c r="LR672" s="87"/>
      <c r="LS672" s="87"/>
      <c r="LT672" s="87"/>
      <c r="LU672" s="87"/>
      <c r="LV672" s="87"/>
      <c r="LW672" s="87"/>
      <c r="LX672" s="87"/>
      <c r="LY672" s="87"/>
      <c r="LZ672" s="87"/>
      <c r="MA672" s="87"/>
      <c r="MB672" s="87"/>
      <c r="MC672" s="87"/>
      <c r="MD672" s="87"/>
      <c r="ME672" s="87"/>
      <c r="MF672" s="87"/>
      <c r="MG672" s="87"/>
      <c r="MH672" s="87"/>
      <c r="MI672" s="87"/>
      <c r="MJ672" s="87"/>
      <c r="MK672" s="87"/>
      <c r="ML672" s="87"/>
      <c r="MM672" s="87"/>
      <c r="MN672" s="87"/>
      <c r="MO672" s="87"/>
      <c r="MP672" s="87"/>
      <c r="MQ672" s="87"/>
      <c r="MR672" s="87"/>
      <c r="MS672" s="87"/>
      <c r="MT672" s="87"/>
      <c r="MU672" s="87"/>
      <c r="MV672" s="87"/>
      <c r="MW672" s="87"/>
      <c r="MX672" s="87"/>
      <c r="MY672" s="87"/>
      <c r="MZ672" s="87" t="s">
        <v>1968</v>
      </c>
      <c r="NA672" s="87">
        <v>625</v>
      </c>
      <c r="NB672" s="87" t="s">
        <v>1969</v>
      </c>
      <c r="NC672" s="87" t="s">
        <v>1973</v>
      </c>
      <c r="ND672" s="87" t="s">
        <v>1974</v>
      </c>
      <c r="NE672" s="87" t="s">
        <v>1975</v>
      </c>
      <c r="NF672" s="87" t="s">
        <v>1976</v>
      </c>
      <c r="NG672" s="87" t="s">
        <v>1977</v>
      </c>
      <c r="NH672" s="87"/>
      <c r="NI672" s="87"/>
      <c r="NJ672" s="87"/>
      <c r="NK672" s="87" t="s">
        <v>2032</v>
      </c>
      <c r="NL672" s="87" t="s">
        <v>2033</v>
      </c>
      <c r="NM672" s="87" t="s">
        <v>2019</v>
      </c>
      <c r="NN672" s="87" t="s">
        <v>2020</v>
      </c>
      <c r="NO672" s="87"/>
      <c r="NP672" s="87"/>
      <c r="NQ672" s="87"/>
      <c r="NR672" s="87"/>
      <c r="NS672" s="87"/>
      <c r="NT672" s="87"/>
      <c r="NU672" s="87"/>
      <c r="NV672" s="87" t="s">
        <v>2003</v>
      </c>
      <c r="NW672" s="87" t="s">
        <v>6</v>
      </c>
      <c r="NX672" s="87">
        <v>0.16600000000000001</v>
      </c>
      <c r="NY672" s="87" t="s">
        <v>1446</v>
      </c>
      <c r="NZ672" s="87">
        <v>0.04</v>
      </c>
      <c r="OA672" s="87"/>
      <c r="OB672" s="87"/>
      <c r="OC672" s="87">
        <v>32</v>
      </c>
      <c r="OD672" s="87"/>
      <c r="OE672" s="87"/>
      <c r="OF672" s="87"/>
      <c r="OG672" s="87"/>
      <c r="OH672" s="87"/>
      <c r="OI672" s="87"/>
      <c r="OJ672" s="87"/>
      <c r="OK672" s="87"/>
      <c r="OL672" s="87"/>
      <c r="OM672" s="87"/>
      <c r="ON672" s="87"/>
      <c r="OO672" s="87"/>
      <c r="OP672" s="87"/>
      <c r="OQ672" s="87"/>
      <c r="OR672" s="87"/>
      <c r="OS672" s="87"/>
      <c r="OT672" s="87" t="s">
        <v>1980</v>
      </c>
      <c r="OU672" s="144"/>
      <c r="OV672" s="87"/>
      <c r="OW672" s="87">
        <v>2009</v>
      </c>
      <c r="OX672" s="87">
        <v>2010</v>
      </c>
      <c r="OY672" s="87"/>
      <c r="OZ672" s="87"/>
      <c r="PA672" s="87" t="s">
        <v>1981</v>
      </c>
      <c r="PB672" s="140">
        <v>46133</v>
      </c>
      <c r="PC672" s="87"/>
      <c r="PD672" s="87"/>
      <c r="PE672" s="87"/>
      <c r="PF672" s="87"/>
      <c r="PG672" s="138"/>
    </row>
    <row r="673" spans="1:423">
      <c r="A673" t="s">
        <v>36</v>
      </c>
      <c r="B673" t="s">
        <v>1956</v>
      </c>
      <c r="C673" t="s">
        <v>1957</v>
      </c>
      <c r="D673" t="s">
        <v>245</v>
      </c>
      <c r="E673" t="s">
        <v>1993</v>
      </c>
      <c r="F673" t="s">
        <v>1961</v>
      </c>
      <c r="G673" t="s">
        <v>2</v>
      </c>
      <c r="H673" t="s">
        <v>30</v>
      </c>
      <c r="I673">
        <v>-8.8170000000000002</v>
      </c>
      <c r="J673">
        <v>-75.2</v>
      </c>
      <c r="L673" t="s">
        <v>1957</v>
      </c>
      <c r="M673" t="s">
        <v>245</v>
      </c>
      <c r="N673" t="s">
        <v>1960</v>
      </c>
      <c r="O673" t="s">
        <v>1961</v>
      </c>
      <c r="P673" t="s">
        <v>2</v>
      </c>
      <c r="Q673" t="s">
        <v>30</v>
      </c>
      <c r="R673">
        <v>-8.5169999999999995</v>
      </c>
      <c r="S673">
        <v>-74.766999999999996</v>
      </c>
      <c r="U673" t="s">
        <v>1957</v>
      </c>
      <c r="V673" t="s">
        <v>245</v>
      </c>
      <c r="W673" t="s">
        <v>1982</v>
      </c>
      <c r="X673" t="s">
        <v>1961</v>
      </c>
      <c r="Y673" t="s">
        <v>2</v>
      </c>
      <c r="Z673" t="s">
        <v>30</v>
      </c>
      <c r="AA673">
        <v>-8.3670000000000009</v>
      </c>
      <c r="AB673">
        <v>-74.7</v>
      </c>
      <c r="AV673" t="s">
        <v>1962</v>
      </c>
      <c r="AW673">
        <v>625</v>
      </c>
      <c r="AX673" t="s">
        <v>29</v>
      </c>
      <c r="AY673">
        <v>2</v>
      </c>
      <c r="AZ673" t="s">
        <v>1963</v>
      </c>
      <c r="BA673">
        <v>2009</v>
      </c>
      <c r="BB673">
        <v>2010</v>
      </c>
      <c r="BC673" t="s">
        <v>1964</v>
      </c>
      <c r="BD673" t="s">
        <v>19</v>
      </c>
      <c r="BE673" t="s">
        <v>2004</v>
      </c>
      <c r="BF673" t="s">
        <v>24</v>
      </c>
      <c r="BG673" t="s">
        <v>1233</v>
      </c>
      <c r="BH673" t="s">
        <v>2005</v>
      </c>
      <c r="BI673" t="s">
        <v>29</v>
      </c>
      <c r="BJ673" t="s">
        <v>29</v>
      </c>
      <c r="BK673" t="s">
        <v>29</v>
      </c>
      <c r="EJ673" s="9"/>
      <c r="EK673" s="9"/>
      <c r="EL673" s="9"/>
      <c r="EM673" s="9"/>
      <c r="EN673" s="9"/>
      <c r="EO673" s="9"/>
      <c r="EP673" s="9"/>
      <c r="EQ673" s="9"/>
      <c r="ER673" s="9"/>
      <c r="ES673" s="9"/>
      <c r="ET673" s="9"/>
      <c r="EU673" s="9"/>
      <c r="EV673" s="9"/>
      <c r="EW673" s="9"/>
      <c r="EX673" s="9"/>
      <c r="EY673" s="9"/>
      <c r="EZ673" s="9"/>
      <c r="FA673" s="9"/>
      <c r="FB673" s="9"/>
      <c r="FC673" s="9"/>
      <c r="FD673" s="9"/>
      <c r="FE673" s="9"/>
      <c r="FF673" s="9"/>
      <c r="FG673" s="9"/>
      <c r="FH673" s="9"/>
      <c r="FI673" s="9"/>
      <c r="FJ673" s="9"/>
      <c r="FK673" s="9"/>
      <c r="FL673" s="9"/>
      <c r="FM673" s="9"/>
      <c r="FN673" s="9"/>
      <c r="FO673" s="9"/>
      <c r="FP673" s="9"/>
      <c r="FQ673" s="9"/>
      <c r="FR673" s="9"/>
      <c r="FS673" s="9"/>
      <c r="FT673" s="9"/>
      <c r="FU673" s="9"/>
      <c r="FV673" s="9"/>
      <c r="FW673" s="9"/>
      <c r="FX673" s="9"/>
      <c r="FY673" s="9"/>
      <c r="FZ673" s="9"/>
      <c r="GA673" s="9"/>
      <c r="GB673" s="9"/>
      <c r="GC673" s="9"/>
      <c r="GD673" s="9"/>
      <c r="GE673" s="9"/>
      <c r="GF673" s="9"/>
      <c r="GG673" s="9"/>
      <c r="GH673" s="9"/>
      <c r="GI673" s="9"/>
      <c r="GJ673" s="9"/>
      <c r="GK673" s="9"/>
      <c r="GL673" s="9"/>
      <c r="GM673" s="9"/>
      <c r="GN673" s="9"/>
      <c r="GO673" s="9"/>
      <c r="GP673" s="9"/>
      <c r="GQ673" s="9"/>
      <c r="GR673" s="9"/>
      <c r="GS673" s="9"/>
      <c r="GT673" s="9"/>
      <c r="GU673" s="9"/>
      <c r="GV673" s="9"/>
      <c r="GW673" s="9"/>
      <c r="GX673" s="9"/>
      <c r="GY673" s="9"/>
      <c r="GZ673" s="9"/>
      <c r="HA673" s="9"/>
      <c r="HB673" s="9"/>
      <c r="HC673" s="9"/>
      <c r="HD673" s="9"/>
      <c r="HE673" s="9"/>
      <c r="HF673" s="9"/>
      <c r="HG673" s="9"/>
      <c r="HH673" s="9"/>
      <c r="HI673" s="9"/>
      <c r="HJ673" s="9"/>
      <c r="HK673" s="9"/>
      <c r="HL673" s="9" t="s">
        <v>2006</v>
      </c>
      <c r="HM673" s="9" t="s">
        <v>297</v>
      </c>
      <c r="HN673" t="s">
        <v>12</v>
      </c>
      <c r="HZ673" s="58"/>
      <c r="JQ673" s="9"/>
      <c r="KA673" s="9"/>
      <c r="KS673" s="9"/>
      <c r="KT673" s="9"/>
      <c r="KU673" s="9"/>
      <c r="KV673" s="9"/>
      <c r="MZ673" t="s">
        <v>1968</v>
      </c>
      <c r="NA673">
        <v>625</v>
      </c>
      <c r="NB673" t="s">
        <v>1969</v>
      </c>
      <c r="NC673" t="s">
        <v>1973</v>
      </c>
      <c r="ND673" t="s">
        <v>1974</v>
      </c>
      <c r="NE673" t="s">
        <v>1975</v>
      </c>
      <c r="NF673" t="s">
        <v>1976</v>
      </c>
      <c r="NG673" t="s">
        <v>1977</v>
      </c>
      <c r="NK673" t="s">
        <v>2032</v>
      </c>
      <c r="NL673" t="s">
        <v>2033</v>
      </c>
      <c r="NM673" t="s">
        <v>2019</v>
      </c>
      <c r="NN673" t="s">
        <v>2020</v>
      </c>
      <c r="NV673" t="s">
        <v>2007</v>
      </c>
      <c r="NW673" t="s">
        <v>6</v>
      </c>
      <c r="NX673">
        <v>0.14099999999999999</v>
      </c>
      <c r="NY673" t="s">
        <v>1446</v>
      </c>
      <c r="NZ673">
        <v>2.7E-2</v>
      </c>
      <c r="OC673">
        <v>32</v>
      </c>
      <c r="OT673" t="s">
        <v>1980</v>
      </c>
      <c r="OU673" s="19"/>
      <c r="OW673">
        <v>2009</v>
      </c>
      <c r="OX673">
        <v>2010</v>
      </c>
      <c r="PA673" t="s">
        <v>1981</v>
      </c>
      <c r="PB673" s="58">
        <v>46133</v>
      </c>
    </row>
    <row r="674" spans="1:423">
      <c r="A674" s="87" t="s">
        <v>36</v>
      </c>
      <c r="B674" s="87" t="s">
        <v>1956</v>
      </c>
      <c r="C674" s="87" t="s">
        <v>1957</v>
      </c>
      <c r="D674" s="87" t="s">
        <v>245</v>
      </c>
      <c r="E674" s="87" t="s">
        <v>1993</v>
      </c>
      <c r="F674" s="87" t="s">
        <v>1961</v>
      </c>
      <c r="G674" s="87" t="s">
        <v>2</v>
      </c>
      <c r="H674" s="87" t="s">
        <v>30</v>
      </c>
      <c r="I674" s="87">
        <v>-8.8170000000000002</v>
      </c>
      <c r="J674" s="87">
        <v>-75.2</v>
      </c>
      <c r="K674" s="87"/>
      <c r="L674" s="87" t="s">
        <v>1957</v>
      </c>
      <c r="M674" s="87" t="s">
        <v>245</v>
      </c>
      <c r="N674" s="87" t="s">
        <v>1960</v>
      </c>
      <c r="O674" s="87" t="s">
        <v>1961</v>
      </c>
      <c r="P674" s="87" t="s">
        <v>2</v>
      </c>
      <c r="Q674" s="87" t="s">
        <v>30</v>
      </c>
      <c r="R674" s="87">
        <v>-8.5169999999999995</v>
      </c>
      <c r="S674" s="87">
        <v>-74.766999999999996</v>
      </c>
      <c r="T674" s="87"/>
      <c r="U674" s="87" t="s">
        <v>1957</v>
      </c>
      <c r="V674" s="87" t="s">
        <v>245</v>
      </c>
      <c r="W674" s="87" t="s">
        <v>1982</v>
      </c>
      <c r="X674" s="87" t="s">
        <v>1961</v>
      </c>
      <c r="Y674" s="87" t="s">
        <v>2</v>
      </c>
      <c r="Z674" s="87" t="s">
        <v>30</v>
      </c>
      <c r="AA674" s="87">
        <v>-8.3670000000000009</v>
      </c>
      <c r="AB674" s="87">
        <v>-74.7</v>
      </c>
      <c r="AC674" s="87"/>
      <c r="AD674" s="87"/>
      <c r="AE674" s="87"/>
      <c r="AF674" s="87"/>
      <c r="AG674" s="87"/>
      <c r="AH674" s="87"/>
      <c r="AI674" s="87"/>
      <c r="AJ674" s="87"/>
      <c r="AK674" s="87"/>
      <c r="AL674" s="87"/>
      <c r="AM674" s="87"/>
      <c r="AN674" s="87"/>
      <c r="AO674" s="87"/>
      <c r="AP674" s="87"/>
      <c r="AQ674" s="87"/>
      <c r="AR674" s="87"/>
      <c r="AS674" s="87"/>
      <c r="AT674" s="87"/>
      <c r="AU674" s="87"/>
      <c r="AV674" s="87" t="s">
        <v>1962</v>
      </c>
      <c r="AW674" s="87">
        <v>625</v>
      </c>
      <c r="AX674" s="87" t="s">
        <v>29</v>
      </c>
      <c r="AY674" s="87">
        <v>2</v>
      </c>
      <c r="AZ674" s="87" t="s">
        <v>1963</v>
      </c>
      <c r="BA674" s="87">
        <v>2009</v>
      </c>
      <c r="BB674" s="87">
        <v>2010</v>
      </c>
      <c r="BC674" s="87" t="s">
        <v>1964</v>
      </c>
      <c r="BD674" s="87" t="s">
        <v>2036</v>
      </c>
      <c r="BE674" s="87" t="s">
        <v>2008</v>
      </c>
      <c r="BF674" s="87" t="s">
        <v>299</v>
      </c>
      <c r="BG674" s="87" t="s">
        <v>1779</v>
      </c>
      <c r="BH674" s="87" t="s">
        <v>2009</v>
      </c>
      <c r="BI674" s="87" t="s">
        <v>29</v>
      </c>
      <c r="BJ674" s="87" t="s">
        <v>29</v>
      </c>
      <c r="BK674" s="87" t="s">
        <v>29</v>
      </c>
      <c r="BL674" s="87"/>
      <c r="BM674" s="87"/>
      <c r="BN674" s="87"/>
      <c r="BO674" s="87"/>
      <c r="BP674" s="87"/>
      <c r="BQ674" s="87"/>
      <c r="BR674" s="87"/>
      <c r="BS674" s="87"/>
      <c r="BT674" s="87"/>
      <c r="BU674" s="87"/>
      <c r="BV674" s="87"/>
      <c r="BW674" s="87"/>
      <c r="BX674" s="87"/>
      <c r="BY674" s="87"/>
      <c r="BZ674" s="87"/>
      <c r="CA674" s="87"/>
      <c r="CB674" s="87"/>
      <c r="CC674" s="87"/>
      <c r="CD674" s="87"/>
      <c r="CE674" s="87"/>
      <c r="CF674" s="87"/>
      <c r="CG674" s="87"/>
      <c r="CH674" s="87"/>
      <c r="CI674" s="87"/>
      <c r="CJ674" s="87"/>
      <c r="CK674" s="87"/>
      <c r="CL674" s="87"/>
      <c r="CM674" s="87"/>
      <c r="CN674" s="87"/>
      <c r="CO674" s="87"/>
      <c r="CP674" s="87"/>
      <c r="CQ674" s="87"/>
      <c r="CR674" s="87"/>
      <c r="CS674" s="87"/>
      <c r="CT674" s="87"/>
      <c r="CU674" s="87"/>
      <c r="CV674" s="87"/>
      <c r="CW674" s="87"/>
      <c r="CX674" s="87"/>
      <c r="CY674" s="87"/>
      <c r="CZ674" s="87"/>
      <c r="DA674" s="87"/>
      <c r="DB674" s="87"/>
      <c r="DC674" s="87"/>
      <c r="DD674" s="87"/>
      <c r="DE674" s="87"/>
      <c r="DF674" s="87"/>
      <c r="DG674" s="87"/>
      <c r="DH674" s="87"/>
      <c r="DI674" s="87"/>
      <c r="DJ674" s="87"/>
      <c r="DK674" s="87"/>
      <c r="DL674" s="87"/>
      <c r="DM674" s="87"/>
      <c r="DN674" s="87"/>
      <c r="DO674" s="87"/>
      <c r="DP674" s="87"/>
      <c r="DQ674" s="87"/>
      <c r="DR674" s="87"/>
      <c r="DS674" s="87"/>
      <c r="DT674" s="87"/>
      <c r="DU674" s="87"/>
      <c r="DV674" s="87"/>
      <c r="DW674" s="87"/>
      <c r="DX674" s="87"/>
      <c r="DY674" s="87"/>
      <c r="DZ674" s="87"/>
      <c r="EA674" s="87"/>
      <c r="EB674" s="87"/>
      <c r="EC674" s="87"/>
      <c r="ED674" s="87"/>
      <c r="EE674" s="87"/>
      <c r="EF674" s="87"/>
      <c r="EG674" s="87"/>
      <c r="EH674" s="87"/>
      <c r="EI674" s="87"/>
      <c r="EJ674" s="139"/>
      <c r="EK674" s="139"/>
      <c r="EL674" s="139"/>
      <c r="EM674" s="139"/>
      <c r="EN674" s="139"/>
      <c r="EO674" s="139"/>
      <c r="EP674" s="139"/>
      <c r="EQ674" s="139"/>
      <c r="ER674" s="139"/>
      <c r="ES674" s="139"/>
      <c r="ET674" s="139"/>
      <c r="EU674" s="139"/>
      <c r="EV674" s="139"/>
      <c r="EW674" s="139"/>
      <c r="EX674" s="139"/>
      <c r="EY674" s="139"/>
      <c r="EZ674" s="139"/>
      <c r="FA674" s="139"/>
      <c r="FB674" s="139"/>
      <c r="FC674" s="139"/>
      <c r="FD674" s="139"/>
      <c r="FE674" s="139"/>
      <c r="FF674" s="139"/>
      <c r="FG674" s="139"/>
      <c r="FH674" s="139"/>
      <c r="FI674" s="139"/>
      <c r="FJ674" s="139"/>
      <c r="FK674" s="139"/>
      <c r="FL674" s="139"/>
      <c r="FM674" s="139"/>
      <c r="FN674" s="139"/>
      <c r="FO674" s="139"/>
      <c r="FP674" s="139"/>
      <c r="FQ674" s="139"/>
      <c r="FR674" s="139"/>
      <c r="FS674" s="139"/>
      <c r="FT674" s="139"/>
      <c r="FU674" s="139"/>
      <c r="FV674" s="139"/>
      <c r="FW674" s="139"/>
      <c r="FX674" s="139"/>
      <c r="FY674" s="139"/>
      <c r="FZ674" s="139"/>
      <c r="GA674" s="139"/>
      <c r="GB674" s="139"/>
      <c r="GC674" s="139"/>
      <c r="GD674" s="139"/>
      <c r="GE674" s="139"/>
      <c r="GF674" s="139"/>
      <c r="GG674" s="139"/>
      <c r="GH674" s="139"/>
      <c r="GI674" s="139"/>
      <c r="GJ674" s="139"/>
      <c r="GK674" s="139"/>
      <c r="GL674" s="139"/>
      <c r="GM674" s="139"/>
      <c r="GN674" s="139"/>
      <c r="GO674" s="139"/>
      <c r="GP674" s="139"/>
      <c r="GQ674" s="139"/>
      <c r="GR674" s="139"/>
      <c r="GS674" s="139"/>
      <c r="GT674" s="139"/>
      <c r="GU674" s="139"/>
      <c r="GV674" s="139"/>
      <c r="GW674" s="139"/>
      <c r="GX674" s="139"/>
      <c r="GY674" s="139"/>
      <c r="GZ674" s="139"/>
      <c r="HA674" s="139"/>
      <c r="HB674" s="139"/>
      <c r="HC674" s="139"/>
      <c r="HD674" s="139"/>
      <c r="HE674" s="139"/>
      <c r="HF674" s="139"/>
      <c r="HG674" s="139"/>
      <c r="HH674" s="139"/>
      <c r="HI674" s="139"/>
      <c r="HJ674" s="139"/>
      <c r="HK674" s="139"/>
      <c r="HL674" s="139" t="s">
        <v>2010</v>
      </c>
      <c r="HM674" s="139" t="s">
        <v>232</v>
      </c>
      <c r="HN674" s="87"/>
      <c r="HO674" s="87"/>
      <c r="HP674" s="87"/>
      <c r="HQ674" s="87"/>
      <c r="HR674" s="87"/>
      <c r="HS674" s="87"/>
      <c r="HT674" s="87"/>
      <c r="HU674" s="87"/>
      <c r="HV674" s="87"/>
      <c r="HW674" s="87"/>
      <c r="HX674" s="87"/>
      <c r="HY674" s="87"/>
      <c r="HZ674" s="140"/>
      <c r="IA674" s="87"/>
      <c r="IB674" s="87"/>
      <c r="IC674" s="87"/>
      <c r="ID674" s="87"/>
      <c r="IE674" s="87"/>
      <c r="IF674" s="87"/>
      <c r="IG674" s="87"/>
      <c r="IH674" s="87"/>
      <c r="II674" s="87"/>
      <c r="IJ674" s="87"/>
      <c r="IK674" s="87"/>
      <c r="IL674" s="87"/>
      <c r="IM674" s="87"/>
      <c r="IN674" s="87"/>
      <c r="IO674" s="87"/>
      <c r="IP674" s="87"/>
      <c r="IQ674" s="87"/>
      <c r="IR674" s="87"/>
      <c r="IS674" s="87"/>
      <c r="IT674" s="87"/>
      <c r="IU674" s="87"/>
      <c r="IV674" s="87"/>
      <c r="IW674" s="87"/>
      <c r="IX674" s="87"/>
      <c r="IY674" s="87"/>
      <c r="IZ674" s="87"/>
      <c r="JA674" s="87"/>
      <c r="JB674" s="87"/>
      <c r="JC674" s="87"/>
      <c r="JD674" s="87"/>
      <c r="JE674" s="87"/>
      <c r="JF674" s="87"/>
      <c r="JG674" s="87"/>
      <c r="JH674" s="87"/>
      <c r="JI674" s="87"/>
      <c r="JJ674" s="87"/>
      <c r="JK674" s="87"/>
      <c r="JL674" s="87"/>
      <c r="JM674" s="87"/>
      <c r="JN674" s="87"/>
      <c r="JO674" s="87"/>
      <c r="JP674" s="87"/>
      <c r="JQ674" s="146"/>
      <c r="JR674" s="87"/>
      <c r="JS674" s="87"/>
      <c r="JT674" s="87"/>
      <c r="JU674" s="87"/>
      <c r="JV674" s="87"/>
      <c r="JW674" s="87"/>
      <c r="JX674" s="87"/>
      <c r="JY674" s="87"/>
      <c r="JZ674" s="87"/>
      <c r="KA674" s="146"/>
      <c r="KB674" s="87"/>
      <c r="KC674" s="87"/>
      <c r="KD674" s="87"/>
      <c r="KE674" s="87"/>
      <c r="KF674" s="87"/>
      <c r="KG674" s="87"/>
      <c r="KH674" s="87"/>
      <c r="KI674" s="87"/>
      <c r="KJ674" s="87"/>
      <c r="KK674" s="87"/>
      <c r="KL674" s="87"/>
      <c r="KM674" s="87"/>
      <c r="KN674" s="87"/>
      <c r="KO674" s="87"/>
      <c r="KP674" s="87"/>
      <c r="KQ674" s="87"/>
      <c r="KR674" s="87"/>
      <c r="KS674" s="146"/>
      <c r="KT674" s="146"/>
      <c r="KU674" s="146"/>
      <c r="KV674" s="146"/>
      <c r="KW674" s="87"/>
      <c r="KX674" s="87"/>
      <c r="KY674" s="87"/>
      <c r="KZ674" s="87"/>
      <c r="LA674" s="87"/>
      <c r="LB674" s="87"/>
      <c r="LC674" s="87"/>
      <c r="LD674" s="87"/>
      <c r="LE674" s="87"/>
      <c r="LF674" s="87"/>
      <c r="LG674" s="87"/>
      <c r="LH674" s="87"/>
      <c r="LI674" s="87"/>
      <c r="LJ674" s="87"/>
      <c r="LK674" s="87"/>
      <c r="LL674" s="87"/>
      <c r="LM674" s="87"/>
      <c r="LN674" s="87"/>
      <c r="LO674" s="87"/>
      <c r="LP674" s="87"/>
      <c r="LQ674" s="87"/>
      <c r="LR674" s="87"/>
      <c r="LS674" s="87"/>
      <c r="LT674" s="87"/>
      <c r="LU674" s="87"/>
      <c r="LV674" s="87"/>
      <c r="LW674" s="87"/>
      <c r="LX674" s="87"/>
      <c r="LY674" s="87"/>
      <c r="LZ674" s="87"/>
      <c r="MA674" s="87"/>
      <c r="MB674" s="87"/>
      <c r="MC674" s="87"/>
      <c r="MD674" s="87"/>
      <c r="ME674" s="87"/>
      <c r="MF674" s="87"/>
      <c r="MG674" s="87"/>
      <c r="MH674" s="87"/>
      <c r="MI674" s="87"/>
      <c r="MJ674" s="87"/>
      <c r="MK674" s="87"/>
      <c r="ML674" s="87"/>
      <c r="MM674" s="87"/>
      <c r="MN674" s="87"/>
      <c r="MO674" s="87"/>
      <c r="MP674" s="87"/>
      <c r="MQ674" s="87"/>
      <c r="MR674" s="87"/>
      <c r="MS674" s="87"/>
      <c r="MT674" s="87"/>
      <c r="MU674" s="87"/>
      <c r="MV674" s="87"/>
      <c r="MW674" s="87"/>
      <c r="MX674" s="87"/>
      <c r="MY674" s="87"/>
      <c r="MZ674" s="87" t="s">
        <v>1968</v>
      </c>
      <c r="NA674" s="87">
        <v>625</v>
      </c>
      <c r="NB674" s="87" t="s">
        <v>1969</v>
      </c>
      <c r="NC674" s="87" t="s">
        <v>1973</v>
      </c>
      <c r="ND674" s="87" t="s">
        <v>1974</v>
      </c>
      <c r="NE674" s="87" t="s">
        <v>1975</v>
      </c>
      <c r="NF674" s="87" t="s">
        <v>1976</v>
      </c>
      <c r="NG674" s="87" t="s">
        <v>1977</v>
      </c>
      <c r="NH674" s="87"/>
      <c r="NI674" s="87"/>
      <c r="NJ674" s="87"/>
      <c r="NK674" s="87" t="s">
        <v>2032</v>
      </c>
      <c r="NL674" s="87" t="s">
        <v>2033</v>
      </c>
      <c r="NM674" s="87" t="s">
        <v>2019</v>
      </c>
      <c r="NN674" s="87" t="s">
        <v>2020</v>
      </c>
      <c r="NO674" s="87"/>
      <c r="NP674" s="87"/>
      <c r="NQ674" s="87"/>
      <c r="NR674" s="87"/>
      <c r="NS674" s="87"/>
      <c r="NT674" s="87"/>
      <c r="NU674" s="87"/>
      <c r="NV674" s="87" t="s">
        <v>2011</v>
      </c>
      <c r="NW674" s="87" t="s">
        <v>6</v>
      </c>
      <c r="NX674" s="87">
        <v>0.13900000000000001</v>
      </c>
      <c r="NY674" s="87" t="s">
        <v>1446</v>
      </c>
      <c r="NZ674" s="87">
        <v>2.9000000000000001E-2</v>
      </c>
      <c r="OA674" s="87"/>
      <c r="OB674" s="87"/>
      <c r="OC674" s="87">
        <v>32</v>
      </c>
      <c r="OD674" s="87"/>
      <c r="OE674" s="87"/>
      <c r="OF674" s="87"/>
      <c r="OG674" s="87"/>
      <c r="OH674" s="87"/>
      <c r="OI674" s="87"/>
      <c r="OJ674" s="87"/>
      <c r="OK674" s="87"/>
      <c r="OL674" s="87"/>
      <c r="OM674" s="87"/>
      <c r="ON674" s="87"/>
      <c r="OO674" s="87"/>
      <c r="OP674" s="87"/>
      <c r="OQ674" s="87"/>
      <c r="OR674" s="87"/>
      <c r="OS674" s="87"/>
      <c r="OT674" s="87" t="s">
        <v>1980</v>
      </c>
      <c r="OU674" s="144"/>
      <c r="OV674" s="87"/>
      <c r="OW674" s="87">
        <v>2009</v>
      </c>
      <c r="OX674" s="87">
        <v>2010</v>
      </c>
      <c r="OY674" s="87"/>
      <c r="OZ674" s="87"/>
      <c r="PA674" s="87" t="s">
        <v>1981</v>
      </c>
      <c r="PB674" s="140">
        <v>46133</v>
      </c>
      <c r="PC674" s="87"/>
      <c r="PD674" s="87"/>
      <c r="PE674" s="87"/>
      <c r="PF674" s="87"/>
      <c r="PG674" s="138"/>
    </row>
    <row r="675" spans="1:423">
      <c r="A675" t="s">
        <v>36</v>
      </c>
      <c r="B675" t="s">
        <v>1956</v>
      </c>
      <c r="C675" t="s">
        <v>1957</v>
      </c>
      <c r="D675" t="s">
        <v>1936</v>
      </c>
      <c r="E675" t="s">
        <v>1958</v>
      </c>
      <c r="F675" t="s">
        <v>1959</v>
      </c>
      <c r="G675" t="s">
        <v>2</v>
      </c>
      <c r="H675" t="s">
        <v>30</v>
      </c>
      <c r="I675">
        <v>-8.9</v>
      </c>
      <c r="J675">
        <v>-74.983000000000004</v>
      </c>
      <c r="L675" t="s">
        <v>1957</v>
      </c>
      <c r="M675" t="s">
        <v>245</v>
      </c>
      <c r="N675" t="s">
        <v>1960</v>
      </c>
      <c r="O675" t="s">
        <v>1961</v>
      </c>
      <c r="P675" t="s">
        <v>2</v>
      </c>
      <c r="Q675" t="s">
        <v>30</v>
      </c>
      <c r="R675">
        <v>-8.5169999999999995</v>
      </c>
      <c r="S675">
        <v>-74.766999999999996</v>
      </c>
      <c r="AV675" t="s">
        <v>1962</v>
      </c>
      <c r="AW675">
        <v>625</v>
      </c>
      <c r="AX675" t="s">
        <v>29</v>
      </c>
      <c r="AY675">
        <v>2</v>
      </c>
      <c r="AZ675" t="s">
        <v>1963</v>
      </c>
      <c r="BA675">
        <v>2009</v>
      </c>
      <c r="BB675">
        <v>2010</v>
      </c>
      <c r="BC675" t="s">
        <v>1964</v>
      </c>
      <c r="BD675" t="s">
        <v>1966</v>
      </c>
      <c r="BE675" t="s">
        <v>1965</v>
      </c>
      <c r="BF675" t="s">
        <v>39</v>
      </c>
      <c r="BG675" t="s">
        <v>1743</v>
      </c>
      <c r="EJ675" s="9"/>
      <c r="EK675" s="9"/>
      <c r="EL675" s="9"/>
      <c r="EM675" s="9"/>
      <c r="EN675" s="9"/>
      <c r="EO675" s="9"/>
      <c r="EP675" s="9"/>
      <c r="EQ675" s="9"/>
      <c r="ER675" s="9"/>
      <c r="ES675" s="9"/>
      <c r="ET675" s="9"/>
      <c r="EU675" s="9"/>
      <c r="EV675" s="9"/>
      <c r="EW675" s="9"/>
      <c r="EX675" s="9"/>
      <c r="EY675" s="9"/>
      <c r="EZ675" s="9"/>
      <c r="FA675" s="9"/>
      <c r="FB675" s="9"/>
      <c r="FC675" s="9"/>
      <c r="FD675" s="9"/>
      <c r="FE675" s="9"/>
      <c r="FF675" s="9"/>
      <c r="FG675" s="9"/>
      <c r="FH675" s="9"/>
      <c r="FI675" s="9"/>
      <c r="FJ675" s="9"/>
      <c r="FK675" s="9"/>
      <c r="FL675" s="9"/>
      <c r="FM675" s="9"/>
      <c r="FN675" s="9"/>
      <c r="FO675" s="9"/>
      <c r="FP675" s="9"/>
      <c r="FQ675" s="9"/>
      <c r="FR675" s="9"/>
      <c r="FS675" s="9"/>
      <c r="FT675" s="9"/>
      <c r="FU675" s="9"/>
      <c r="FV675" s="9"/>
      <c r="FW675" s="9"/>
      <c r="FX675" s="9"/>
      <c r="FY675" s="9"/>
      <c r="FZ675" s="9"/>
      <c r="GA675" s="9"/>
      <c r="GB675" s="9"/>
      <c r="GC675" s="9"/>
      <c r="GD675" s="9"/>
      <c r="GE675" s="9"/>
      <c r="GF675" s="9"/>
      <c r="GG675" s="9"/>
      <c r="GH675" s="9"/>
      <c r="GI675" s="9"/>
      <c r="GJ675" s="9"/>
      <c r="GK675" s="9"/>
      <c r="GL675" s="9"/>
      <c r="GM675" s="9"/>
      <c r="GN675" s="9"/>
      <c r="GO675" s="9"/>
      <c r="GP675" s="9"/>
      <c r="GQ675" s="9"/>
      <c r="GR675" s="9"/>
      <c r="GS675" s="9"/>
      <c r="GT675" s="9"/>
      <c r="GU675" s="9"/>
      <c r="GV675" s="9"/>
      <c r="GW675" s="9"/>
      <c r="GX675" s="9"/>
      <c r="GY675" s="9"/>
      <c r="GZ675" s="9"/>
      <c r="HA675" s="9"/>
      <c r="HB675" s="9"/>
      <c r="HC675" s="9"/>
      <c r="HD675" s="9"/>
      <c r="HE675" s="9"/>
      <c r="HF675" s="9"/>
      <c r="HG675" s="9"/>
      <c r="HH675" s="9"/>
      <c r="HI675" s="9"/>
      <c r="HJ675" s="9"/>
      <c r="HK675" s="9"/>
      <c r="HL675" s="9" t="s">
        <v>1967</v>
      </c>
      <c r="HM675" s="9" t="s">
        <v>232</v>
      </c>
      <c r="HZ675" s="58"/>
      <c r="JA675">
        <v>20</v>
      </c>
      <c r="JB675">
        <v>95</v>
      </c>
      <c r="JQ675" s="9"/>
      <c r="KA675" s="9"/>
      <c r="KS675" s="9"/>
      <c r="KT675" s="9"/>
      <c r="KU675" s="9"/>
      <c r="KV675" s="9"/>
      <c r="MZ675" t="s">
        <v>1968</v>
      </c>
      <c r="NA675">
        <v>625</v>
      </c>
      <c r="NB675" t="s">
        <v>1969</v>
      </c>
      <c r="NC675" t="s">
        <v>1973</v>
      </c>
      <c r="ND675" t="s">
        <v>1974</v>
      </c>
      <c r="NE675" t="s">
        <v>1975</v>
      </c>
      <c r="NF675" t="s">
        <v>1976</v>
      </c>
      <c r="NG675" t="s">
        <v>1977</v>
      </c>
      <c r="NK675" t="s">
        <v>2034</v>
      </c>
      <c r="NL675" t="s">
        <v>2035</v>
      </c>
      <c r="NM675" t="s">
        <v>2023</v>
      </c>
      <c r="NN675" t="s">
        <v>2024</v>
      </c>
      <c r="NV675" t="s">
        <v>1978</v>
      </c>
      <c r="NW675" t="s">
        <v>6</v>
      </c>
      <c r="NX675">
        <v>0.90900000000000003</v>
      </c>
      <c r="NY675" t="s">
        <v>1446</v>
      </c>
      <c r="NZ675">
        <v>3.1E-2</v>
      </c>
      <c r="OC675">
        <v>8</v>
      </c>
      <c r="OT675" t="s">
        <v>1980</v>
      </c>
      <c r="OU675" s="19"/>
      <c r="OW675">
        <v>2009</v>
      </c>
      <c r="OX675">
        <v>2010</v>
      </c>
      <c r="PA675" t="s">
        <v>1981</v>
      </c>
      <c r="PB675" s="58">
        <v>46133</v>
      </c>
    </row>
    <row r="676" spans="1:423">
      <c r="A676" s="87" t="s">
        <v>36</v>
      </c>
      <c r="B676" s="87" t="s">
        <v>1956</v>
      </c>
      <c r="C676" s="87" t="s">
        <v>1957</v>
      </c>
      <c r="D676" s="87" t="s">
        <v>245</v>
      </c>
      <c r="E676" s="87" t="s">
        <v>1960</v>
      </c>
      <c r="F676" s="87" t="s">
        <v>1961</v>
      </c>
      <c r="G676" s="87" t="s">
        <v>2</v>
      </c>
      <c r="H676" s="87" t="s">
        <v>30</v>
      </c>
      <c r="I676" s="87">
        <v>-8.5169999999999995</v>
      </c>
      <c r="J676" s="87">
        <v>-74.766999999999996</v>
      </c>
      <c r="K676" s="87"/>
      <c r="L676" s="87" t="s">
        <v>1957</v>
      </c>
      <c r="M676" s="87" t="s">
        <v>245</v>
      </c>
      <c r="N676" s="87" t="s">
        <v>1982</v>
      </c>
      <c r="O676" s="87" t="s">
        <v>1961</v>
      </c>
      <c r="P676" s="87" t="s">
        <v>2</v>
      </c>
      <c r="Q676" s="87" t="s">
        <v>30</v>
      </c>
      <c r="R676" s="87">
        <v>-8.3670000000000009</v>
      </c>
      <c r="S676" s="87">
        <v>-74.7</v>
      </c>
      <c r="T676" s="87"/>
      <c r="U676" s="87"/>
      <c r="V676" s="87"/>
      <c r="W676" s="87"/>
      <c r="X676" s="87"/>
      <c r="Y676" s="87"/>
      <c r="Z676" s="87"/>
      <c r="AA676" s="87"/>
      <c r="AB676" s="87"/>
      <c r="AC676" s="87"/>
      <c r="AD676" s="87"/>
      <c r="AE676" s="87"/>
      <c r="AF676" s="87"/>
      <c r="AG676" s="87"/>
      <c r="AH676" s="87"/>
      <c r="AI676" s="87"/>
      <c r="AJ676" s="87"/>
      <c r="AK676" s="87"/>
      <c r="AL676" s="87"/>
      <c r="AM676" s="87"/>
      <c r="AN676" s="87"/>
      <c r="AO676" s="87"/>
      <c r="AP676" s="87"/>
      <c r="AQ676" s="87"/>
      <c r="AR676" s="87"/>
      <c r="AS676" s="87"/>
      <c r="AT676" s="87"/>
      <c r="AU676" s="87"/>
      <c r="AV676" s="87" t="s">
        <v>1962</v>
      </c>
      <c r="AW676" s="87">
        <v>625</v>
      </c>
      <c r="AX676" s="87" t="s">
        <v>29</v>
      </c>
      <c r="AY676" s="87">
        <v>2</v>
      </c>
      <c r="AZ676" s="87" t="s">
        <v>1963</v>
      </c>
      <c r="BA676" s="87">
        <v>2009</v>
      </c>
      <c r="BB676" s="87">
        <v>2010</v>
      </c>
      <c r="BC676" s="87" t="s">
        <v>1964</v>
      </c>
      <c r="BD676" s="87" t="s">
        <v>1990</v>
      </c>
      <c r="BE676" s="87" t="s">
        <v>1984</v>
      </c>
      <c r="BF676" s="87" t="s">
        <v>64</v>
      </c>
      <c r="BG676" s="87" t="s">
        <v>1233</v>
      </c>
      <c r="BH676" s="87" t="s">
        <v>1985</v>
      </c>
      <c r="BI676" s="87" t="s">
        <v>29</v>
      </c>
      <c r="BJ676" s="87" t="s">
        <v>29</v>
      </c>
      <c r="BK676" s="87" t="s">
        <v>29</v>
      </c>
      <c r="BL676" s="87"/>
      <c r="BM676" s="87"/>
      <c r="BN676" s="87"/>
      <c r="BO676" s="87"/>
      <c r="BP676" s="87"/>
      <c r="BQ676" s="87"/>
      <c r="BR676" s="87"/>
      <c r="BS676" s="87"/>
      <c r="BT676" s="87"/>
      <c r="BU676" s="87"/>
      <c r="BV676" s="87"/>
      <c r="BW676" s="87"/>
      <c r="BX676" s="87"/>
      <c r="BY676" s="87"/>
      <c r="BZ676" s="87"/>
      <c r="CA676" s="87"/>
      <c r="CB676" s="87"/>
      <c r="CC676" s="87"/>
      <c r="CD676" s="87"/>
      <c r="CE676" s="87"/>
      <c r="CF676" s="87"/>
      <c r="CG676" s="87"/>
      <c r="CH676" s="87"/>
      <c r="CI676" s="87"/>
      <c r="CJ676" s="87"/>
      <c r="CK676" s="87"/>
      <c r="CL676" s="87"/>
      <c r="CM676" s="87"/>
      <c r="CN676" s="87"/>
      <c r="CO676" s="87"/>
      <c r="CP676" s="87"/>
      <c r="CQ676" s="87"/>
      <c r="CR676" s="87"/>
      <c r="CS676" s="87"/>
      <c r="CT676" s="87"/>
      <c r="CU676" s="87"/>
      <c r="CV676" s="87"/>
      <c r="CW676" s="87"/>
      <c r="CX676" s="87"/>
      <c r="CY676" s="87"/>
      <c r="CZ676" s="87"/>
      <c r="DA676" s="87"/>
      <c r="DB676" s="87"/>
      <c r="DC676" s="87"/>
      <c r="DD676" s="87"/>
      <c r="DE676" s="87"/>
      <c r="DF676" s="87"/>
      <c r="DG676" s="87"/>
      <c r="DH676" s="87"/>
      <c r="DI676" s="87"/>
      <c r="DJ676" s="87"/>
      <c r="DK676" s="87"/>
      <c r="DL676" s="87"/>
      <c r="DM676" s="87"/>
      <c r="DN676" s="87"/>
      <c r="DO676" s="87"/>
      <c r="DP676" s="87"/>
      <c r="DQ676" s="87"/>
      <c r="DR676" s="87"/>
      <c r="DS676" s="87"/>
      <c r="DT676" s="87"/>
      <c r="DU676" s="87"/>
      <c r="DV676" s="87"/>
      <c r="DW676" s="87"/>
      <c r="DX676" s="87"/>
      <c r="DY676" s="87"/>
      <c r="DZ676" s="87"/>
      <c r="EA676" s="87"/>
      <c r="EB676" s="87"/>
      <c r="EC676" s="87"/>
      <c r="ED676" s="87"/>
      <c r="EE676" s="87" t="s">
        <v>1986</v>
      </c>
      <c r="EF676" s="87" t="s">
        <v>1987</v>
      </c>
      <c r="EG676" s="87">
        <v>0.24</v>
      </c>
      <c r="EH676" s="87" t="s">
        <v>1990</v>
      </c>
      <c r="EI676" s="87"/>
      <c r="EJ676" s="139"/>
      <c r="EK676" s="139"/>
      <c r="EL676" s="139"/>
      <c r="EM676" s="139"/>
      <c r="EN676" s="139"/>
      <c r="EO676" s="139"/>
      <c r="EP676" s="139"/>
      <c r="EQ676" s="139"/>
      <c r="ER676" s="139"/>
      <c r="ES676" s="139"/>
      <c r="ET676" s="139"/>
      <c r="EU676" s="139"/>
      <c r="EV676" s="139"/>
      <c r="EW676" s="139"/>
      <c r="EX676" s="139"/>
      <c r="EY676" s="139"/>
      <c r="EZ676" s="139"/>
      <c r="FA676" s="139"/>
      <c r="FB676" s="139"/>
      <c r="FC676" s="139"/>
      <c r="FD676" s="139"/>
      <c r="FE676" s="139"/>
      <c r="FF676" s="139"/>
      <c r="FG676" s="139"/>
      <c r="FH676" s="139"/>
      <c r="FI676" s="139"/>
      <c r="FJ676" s="139"/>
      <c r="FK676" s="139"/>
      <c r="FL676" s="139"/>
      <c r="FM676" s="139"/>
      <c r="FN676" s="139"/>
      <c r="FO676" s="139"/>
      <c r="FP676" s="139"/>
      <c r="FQ676" s="139"/>
      <c r="FR676" s="139"/>
      <c r="FS676" s="139"/>
      <c r="FT676" s="139"/>
      <c r="FU676" s="139"/>
      <c r="FV676" s="139"/>
      <c r="FW676" s="139"/>
      <c r="FX676" s="139"/>
      <c r="FY676" s="139"/>
      <c r="FZ676" s="139"/>
      <c r="GA676" s="139"/>
      <c r="GB676" s="139"/>
      <c r="GC676" s="139"/>
      <c r="GD676" s="139"/>
      <c r="GE676" s="139"/>
      <c r="GF676" s="139"/>
      <c r="GG676" s="139"/>
      <c r="GH676" s="139"/>
      <c r="GI676" s="139"/>
      <c r="GJ676" s="139"/>
      <c r="GK676" s="139"/>
      <c r="GL676" s="139"/>
      <c r="GM676" s="139"/>
      <c r="GN676" s="139"/>
      <c r="GO676" s="139"/>
      <c r="GP676" s="139"/>
      <c r="GQ676" s="139"/>
      <c r="GR676" s="139"/>
      <c r="GS676" s="139"/>
      <c r="GT676" s="139"/>
      <c r="GU676" s="139"/>
      <c r="GV676" s="139"/>
      <c r="GW676" s="139"/>
      <c r="GX676" s="139"/>
      <c r="GY676" s="139"/>
      <c r="GZ676" s="139"/>
      <c r="HA676" s="139"/>
      <c r="HB676" s="139"/>
      <c r="HC676" s="139"/>
      <c r="HD676" s="139"/>
      <c r="HE676" s="139"/>
      <c r="HF676" s="139"/>
      <c r="HG676" s="139"/>
      <c r="HH676" s="139"/>
      <c r="HI676" s="139"/>
      <c r="HJ676" s="139"/>
      <c r="HK676" s="139"/>
      <c r="HL676" s="139" t="s">
        <v>1988</v>
      </c>
      <c r="HM676" s="139" t="s">
        <v>232</v>
      </c>
      <c r="HN676" s="87"/>
      <c r="HO676" s="87"/>
      <c r="HP676" s="87"/>
      <c r="HQ676" s="87"/>
      <c r="HR676" s="87"/>
      <c r="HS676" s="87"/>
      <c r="HT676" s="87"/>
      <c r="HU676" s="87"/>
      <c r="HV676" s="87"/>
      <c r="HW676" s="87"/>
      <c r="HX676" s="87"/>
      <c r="HY676" s="87"/>
      <c r="HZ676" s="140"/>
      <c r="IA676" s="87"/>
      <c r="IB676" s="87"/>
      <c r="IC676" s="87"/>
      <c r="ID676" s="87"/>
      <c r="IE676" s="87"/>
      <c r="IF676" s="87"/>
      <c r="IG676" s="87"/>
      <c r="IH676" s="87"/>
      <c r="II676" s="87"/>
      <c r="IJ676" s="87"/>
      <c r="IK676" s="87"/>
      <c r="IL676" s="87"/>
      <c r="IM676" s="87"/>
      <c r="IN676" s="87"/>
      <c r="IO676" s="87"/>
      <c r="IP676" s="87"/>
      <c r="IQ676" s="87"/>
      <c r="IR676" s="87"/>
      <c r="IS676" s="87"/>
      <c r="IT676" s="87"/>
      <c r="IU676" s="87"/>
      <c r="IV676" s="87"/>
      <c r="IW676" s="87" t="s">
        <v>1989</v>
      </c>
      <c r="IX676" s="87" t="s">
        <v>1990</v>
      </c>
      <c r="IY676" s="87" t="s">
        <v>1991</v>
      </c>
      <c r="IZ676" s="87"/>
      <c r="JA676" s="87">
        <v>6</v>
      </c>
      <c r="JB676" s="87">
        <v>77.5</v>
      </c>
      <c r="JC676" s="87">
        <v>75</v>
      </c>
      <c r="JD676" s="87">
        <v>80</v>
      </c>
      <c r="JE676" s="87">
        <v>7.5</v>
      </c>
      <c r="JF676" s="87">
        <v>6</v>
      </c>
      <c r="JG676" s="87">
        <v>9</v>
      </c>
      <c r="JH676" s="87"/>
      <c r="JI676" s="87"/>
      <c r="JJ676" s="87"/>
      <c r="JK676" s="87"/>
      <c r="JL676" s="87"/>
      <c r="JM676" s="87"/>
      <c r="JN676" s="87"/>
      <c r="JO676" s="87"/>
      <c r="JP676" s="87"/>
      <c r="JQ676" s="146"/>
      <c r="JR676" s="87"/>
      <c r="JS676" s="87"/>
      <c r="JT676" s="87"/>
      <c r="JU676" s="87"/>
      <c r="JV676" s="87"/>
      <c r="JW676" s="87"/>
      <c r="JX676" s="87"/>
      <c r="JY676" s="87"/>
      <c r="JZ676" s="87"/>
      <c r="KA676" s="146"/>
      <c r="KB676" s="87"/>
      <c r="KC676" s="87"/>
      <c r="KD676" s="87"/>
      <c r="KE676" s="87"/>
      <c r="KF676" s="87"/>
      <c r="KG676" s="87"/>
      <c r="KH676" s="87"/>
      <c r="KI676" s="87"/>
      <c r="KJ676" s="87"/>
      <c r="KK676" s="87"/>
      <c r="KL676" s="87"/>
      <c r="KM676" s="87"/>
      <c r="KN676" s="87"/>
      <c r="KO676" s="87"/>
      <c r="KP676" s="87"/>
      <c r="KQ676" s="87"/>
      <c r="KR676" s="87"/>
      <c r="KS676" s="146"/>
      <c r="KT676" s="146"/>
      <c r="KU676" s="146"/>
      <c r="KV676" s="146"/>
      <c r="KW676" s="87"/>
      <c r="KX676" s="87"/>
      <c r="KY676" s="87"/>
      <c r="KZ676" s="87"/>
      <c r="LA676" s="87"/>
      <c r="LB676" s="87"/>
      <c r="LC676" s="87"/>
      <c r="LD676" s="87"/>
      <c r="LE676" s="87"/>
      <c r="LF676" s="87"/>
      <c r="LG676" s="87"/>
      <c r="LH676" s="87"/>
      <c r="LI676" s="87"/>
      <c r="LJ676" s="87"/>
      <c r="LK676" s="87"/>
      <c r="LL676" s="87"/>
      <c r="LM676" s="87"/>
      <c r="LN676" s="87"/>
      <c r="LO676" s="87"/>
      <c r="LP676" s="87"/>
      <c r="LQ676" s="87"/>
      <c r="LR676" s="87"/>
      <c r="LS676" s="87"/>
      <c r="LT676" s="87"/>
      <c r="LU676" s="87"/>
      <c r="LV676" s="87"/>
      <c r="LW676" s="87"/>
      <c r="LX676" s="87"/>
      <c r="LY676" s="87"/>
      <c r="LZ676" s="87"/>
      <c r="MA676" s="87"/>
      <c r="MB676" s="87"/>
      <c r="MC676" s="87"/>
      <c r="MD676" s="87"/>
      <c r="ME676" s="87"/>
      <c r="MF676" s="87"/>
      <c r="MG676" s="87"/>
      <c r="MH676" s="87"/>
      <c r="MI676" s="87"/>
      <c r="MJ676" s="87"/>
      <c r="MK676" s="87"/>
      <c r="ML676" s="87"/>
      <c r="MM676" s="87"/>
      <c r="MN676" s="87"/>
      <c r="MO676" s="87"/>
      <c r="MP676" s="87"/>
      <c r="MQ676" s="87"/>
      <c r="MR676" s="87"/>
      <c r="MS676" s="87"/>
      <c r="MT676" s="87"/>
      <c r="MU676" s="87"/>
      <c r="MV676" s="87"/>
      <c r="MW676" s="87"/>
      <c r="MX676" s="87"/>
      <c r="MY676" s="87"/>
      <c r="MZ676" s="87" t="s">
        <v>1968</v>
      </c>
      <c r="NA676" s="87">
        <v>625</v>
      </c>
      <c r="NB676" s="87" t="s">
        <v>1969</v>
      </c>
      <c r="NC676" s="87" t="s">
        <v>1973</v>
      </c>
      <c r="ND676" s="87" t="s">
        <v>1974</v>
      </c>
      <c r="NE676" s="87" t="s">
        <v>1975</v>
      </c>
      <c r="NF676" s="87" t="s">
        <v>1976</v>
      </c>
      <c r="NG676" s="87" t="s">
        <v>1977</v>
      </c>
      <c r="NH676" s="87"/>
      <c r="NI676" s="87"/>
      <c r="NJ676" s="87"/>
      <c r="NK676" s="87" t="s">
        <v>2034</v>
      </c>
      <c r="NL676" s="87" t="s">
        <v>2035</v>
      </c>
      <c r="NM676" s="87" t="s">
        <v>2023</v>
      </c>
      <c r="NN676" s="87" t="s">
        <v>2024</v>
      </c>
      <c r="NO676" s="87"/>
      <c r="NP676" s="87"/>
      <c r="NQ676" s="87"/>
      <c r="NR676" s="87"/>
      <c r="NS676" s="87"/>
      <c r="NT676" s="87"/>
      <c r="NU676" s="87"/>
      <c r="NV676" s="87" t="s">
        <v>1992</v>
      </c>
      <c r="NW676" s="87" t="s">
        <v>6</v>
      </c>
      <c r="NX676" s="87">
        <v>0.88300000000000001</v>
      </c>
      <c r="NY676" s="87" t="s">
        <v>1446</v>
      </c>
      <c r="NZ676" s="87">
        <v>1.7999999999999999E-2</v>
      </c>
      <c r="OA676" s="87"/>
      <c r="OB676" s="87"/>
      <c r="OC676" s="87">
        <v>31</v>
      </c>
      <c r="OD676" s="87"/>
      <c r="OE676" s="87"/>
      <c r="OF676" s="87"/>
      <c r="OG676" s="87"/>
      <c r="OH676" s="87"/>
      <c r="OI676" s="87"/>
      <c r="OJ676" s="87"/>
      <c r="OK676" s="87"/>
      <c r="OL676" s="87"/>
      <c r="OM676" s="87"/>
      <c r="ON676" s="87"/>
      <c r="OO676" s="87"/>
      <c r="OP676" s="87"/>
      <c r="OQ676" s="87"/>
      <c r="OR676" s="87"/>
      <c r="OS676" s="87"/>
      <c r="OT676" s="87" t="s">
        <v>1980</v>
      </c>
      <c r="OU676" s="144"/>
      <c r="OV676" s="87"/>
      <c r="OW676" s="87">
        <v>2009</v>
      </c>
      <c r="OX676" s="87">
        <v>2010</v>
      </c>
      <c r="OY676" s="87"/>
      <c r="OZ676" s="87"/>
      <c r="PA676" s="87" t="s">
        <v>1981</v>
      </c>
      <c r="PB676" s="140">
        <v>46133</v>
      </c>
      <c r="PC676" s="87"/>
      <c r="PD676" s="87"/>
      <c r="PE676" s="87"/>
      <c r="PF676" s="87"/>
      <c r="PG676" s="138"/>
    </row>
    <row r="677" spans="1:423">
      <c r="A677" t="s">
        <v>36</v>
      </c>
      <c r="B677" t="s">
        <v>1956</v>
      </c>
      <c r="C677" t="s">
        <v>1957</v>
      </c>
      <c r="D677" t="s">
        <v>245</v>
      </c>
      <c r="E677" t="s">
        <v>1993</v>
      </c>
      <c r="F677" t="s">
        <v>1961</v>
      </c>
      <c r="G677" t="s">
        <v>2</v>
      </c>
      <c r="H677" t="s">
        <v>30</v>
      </c>
      <c r="I677">
        <v>-8.8170000000000002</v>
      </c>
      <c r="J677">
        <v>-75.2</v>
      </c>
      <c r="L677" t="s">
        <v>1957</v>
      </c>
      <c r="M677" t="s">
        <v>245</v>
      </c>
      <c r="N677" t="s">
        <v>1960</v>
      </c>
      <c r="O677" t="s">
        <v>1961</v>
      </c>
      <c r="P677" t="s">
        <v>2</v>
      </c>
      <c r="Q677" t="s">
        <v>30</v>
      </c>
      <c r="R677">
        <v>-8.5169999999999995</v>
      </c>
      <c r="S677">
        <v>-74.766999999999996</v>
      </c>
      <c r="AV677" t="s">
        <v>1962</v>
      </c>
      <c r="AW677">
        <v>625</v>
      </c>
      <c r="AX677" t="s">
        <v>29</v>
      </c>
      <c r="AY677">
        <v>2</v>
      </c>
      <c r="AZ677" t="s">
        <v>1963</v>
      </c>
      <c r="BA677">
        <v>2009</v>
      </c>
      <c r="BB677">
        <v>2010</v>
      </c>
      <c r="BC677" t="s">
        <v>1964</v>
      </c>
      <c r="BD677" t="s">
        <v>1983</v>
      </c>
      <c r="BE677" t="s">
        <v>1994</v>
      </c>
      <c r="BF677" t="s">
        <v>57</v>
      </c>
      <c r="BG677" t="s">
        <v>1233</v>
      </c>
      <c r="BH677" t="s">
        <v>1995</v>
      </c>
      <c r="BI677" t="s">
        <v>29</v>
      </c>
      <c r="BJ677" t="s">
        <v>29</v>
      </c>
      <c r="BK677" t="s">
        <v>29</v>
      </c>
      <c r="EE677" t="s">
        <v>1996</v>
      </c>
      <c r="EF677" t="s">
        <v>1987</v>
      </c>
      <c r="EG677">
        <v>0.24</v>
      </c>
      <c r="EH677" t="s">
        <v>2037</v>
      </c>
      <c r="EI677" t="s">
        <v>1997</v>
      </c>
      <c r="EJ677" s="9" t="s">
        <v>1987</v>
      </c>
      <c r="EK677" s="9">
        <v>0.24</v>
      </c>
      <c r="EL677" s="9"/>
      <c r="EM677" s="9" t="s">
        <v>1998</v>
      </c>
      <c r="EN677" s="9" t="s">
        <v>1987</v>
      </c>
      <c r="EO677" s="9" t="s">
        <v>29</v>
      </c>
      <c r="EP677" s="9"/>
      <c r="EQ677" s="9" t="s">
        <v>1999</v>
      </c>
      <c r="ER677" s="9" t="s">
        <v>1987</v>
      </c>
      <c r="ES677" s="9" t="s">
        <v>29</v>
      </c>
      <c r="ET677" s="9"/>
      <c r="EU677" s="9" t="s">
        <v>2000</v>
      </c>
      <c r="EV677" s="9" t="s">
        <v>1987</v>
      </c>
      <c r="EW677" s="9" t="s">
        <v>29</v>
      </c>
      <c r="EX677" s="9"/>
      <c r="EY677" s="9"/>
      <c r="EZ677" s="9"/>
      <c r="FA677" s="9"/>
      <c r="FB677" s="9"/>
      <c r="FC677" s="9"/>
      <c r="FD677" s="9"/>
      <c r="FE677" s="9"/>
      <c r="FF677" s="9"/>
      <c r="FG677" s="9"/>
      <c r="FH677" s="9"/>
      <c r="FI677" s="9"/>
      <c r="FJ677" s="9"/>
      <c r="FK677" s="9"/>
      <c r="FL677" s="9"/>
      <c r="FM677" s="9"/>
      <c r="FN677" s="9"/>
      <c r="FO677" s="9"/>
      <c r="FP677" s="9"/>
      <c r="FQ677" s="9"/>
      <c r="FR677" s="9"/>
      <c r="FS677" s="9"/>
      <c r="FT677" s="9"/>
      <c r="FU677" s="9"/>
      <c r="FV677" s="9"/>
      <c r="FW677" s="9"/>
      <c r="FX677" s="9"/>
      <c r="FY677" s="9"/>
      <c r="FZ677" s="9"/>
      <c r="GA677" s="9"/>
      <c r="GB677" s="9"/>
      <c r="GC677" s="9"/>
      <c r="GD677" s="9"/>
      <c r="GE677" s="9"/>
      <c r="GF677" s="9"/>
      <c r="GG677" s="9"/>
      <c r="GH677" s="9"/>
      <c r="GI677" s="9"/>
      <c r="GJ677" s="9"/>
      <c r="GK677" s="9"/>
      <c r="GL677" s="9"/>
      <c r="GM677" s="9"/>
      <c r="GN677" s="9"/>
      <c r="GO677" s="9"/>
      <c r="GP677" s="9"/>
      <c r="GQ677" s="9"/>
      <c r="GR677" s="9"/>
      <c r="GS677" s="9"/>
      <c r="GT677" s="9"/>
      <c r="GU677" s="9"/>
      <c r="GV677" s="9"/>
      <c r="GW677" s="9"/>
      <c r="GX677" s="9"/>
      <c r="GY677" s="9"/>
      <c r="GZ677" s="9"/>
      <c r="HA677" s="9"/>
      <c r="HB677" s="9"/>
      <c r="HC677" s="9"/>
      <c r="HD677" s="9"/>
      <c r="HE677" s="9"/>
      <c r="HF677" s="9"/>
      <c r="HG677" s="9"/>
      <c r="HH677" s="9"/>
      <c r="HI677" s="9"/>
      <c r="HJ677" s="9"/>
      <c r="HK677" s="9"/>
      <c r="HL677" s="9" t="s">
        <v>1988</v>
      </c>
      <c r="HM677" s="9" t="s">
        <v>232</v>
      </c>
      <c r="HZ677" s="58"/>
      <c r="IW677" t="s">
        <v>2001</v>
      </c>
      <c r="IX677" t="s">
        <v>1990</v>
      </c>
      <c r="IY677" t="s">
        <v>2002</v>
      </c>
      <c r="JB677">
        <v>50</v>
      </c>
      <c r="JE677">
        <v>12</v>
      </c>
      <c r="JQ677" s="9"/>
      <c r="KA677" s="9"/>
      <c r="KS677" s="9"/>
      <c r="KT677" s="9"/>
      <c r="KU677" s="9"/>
      <c r="KV677" s="9"/>
      <c r="MZ677" t="s">
        <v>1968</v>
      </c>
      <c r="NA677">
        <v>625</v>
      </c>
      <c r="NB677" t="s">
        <v>1969</v>
      </c>
      <c r="NC677" t="s">
        <v>1973</v>
      </c>
      <c r="ND677" t="s">
        <v>1974</v>
      </c>
      <c r="NE677" t="s">
        <v>1975</v>
      </c>
      <c r="NF677" t="s">
        <v>1976</v>
      </c>
      <c r="NG677" t="s">
        <v>1977</v>
      </c>
      <c r="NK677" t="s">
        <v>2034</v>
      </c>
      <c r="NL677" t="s">
        <v>2035</v>
      </c>
      <c r="NM677" t="s">
        <v>2023</v>
      </c>
      <c r="NN677" t="s">
        <v>2024</v>
      </c>
      <c r="NV677" t="s">
        <v>2003</v>
      </c>
      <c r="NW677" t="s">
        <v>6</v>
      </c>
      <c r="NX677">
        <v>0.80800000000000005</v>
      </c>
      <c r="NY677" t="s">
        <v>1446</v>
      </c>
      <c r="NZ677">
        <v>6.6000000000000003E-2</v>
      </c>
      <c r="OC677">
        <v>32</v>
      </c>
      <c r="OT677" t="s">
        <v>1980</v>
      </c>
      <c r="OU677" s="19"/>
      <c r="OW677">
        <v>2009</v>
      </c>
      <c r="OX677">
        <v>2010</v>
      </c>
      <c r="PA677" t="s">
        <v>1981</v>
      </c>
      <c r="PB677" s="58">
        <v>46133</v>
      </c>
    </row>
    <row r="678" spans="1:423">
      <c r="A678" s="87" t="s">
        <v>36</v>
      </c>
      <c r="B678" s="87" t="s">
        <v>1956</v>
      </c>
      <c r="C678" s="87" t="s">
        <v>1957</v>
      </c>
      <c r="D678" s="87" t="s">
        <v>245</v>
      </c>
      <c r="E678" s="87" t="s">
        <v>1993</v>
      </c>
      <c r="F678" s="87" t="s">
        <v>1961</v>
      </c>
      <c r="G678" s="87" t="s">
        <v>2</v>
      </c>
      <c r="H678" s="87" t="s">
        <v>30</v>
      </c>
      <c r="I678" s="87">
        <v>-8.8170000000000002</v>
      </c>
      <c r="J678" s="87">
        <v>-75.2</v>
      </c>
      <c r="K678" s="87"/>
      <c r="L678" s="87" t="s">
        <v>1957</v>
      </c>
      <c r="M678" s="87" t="s">
        <v>245</v>
      </c>
      <c r="N678" s="87" t="s">
        <v>1960</v>
      </c>
      <c r="O678" s="87" t="s">
        <v>1961</v>
      </c>
      <c r="P678" s="87" t="s">
        <v>2</v>
      </c>
      <c r="Q678" s="87" t="s">
        <v>30</v>
      </c>
      <c r="R678" s="87">
        <v>-8.5169999999999995</v>
      </c>
      <c r="S678" s="87">
        <v>-74.766999999999996</v>
      </c>
      <c r="T678" s="87"/>
      <c r="U678" s="87" t="s">
        <v>1957</v>
      </c>
      <c r="V678" s="87" t="s">
        <v>245</v>
      </c>
      <c r="W678" s="87" t="s">
        <v>1982</v>
      </c>
      <c r="X678" s="87" t="s">
        <v>1961</v>
      </c>
      <c r="Y678" s="87" t="s">
        <v>2</v>
      </c>
      <c r="Z678" s="87" t="s">
        <v>30</v>
      </c>
      <c r="AA678" s="87">
        <v>-8.3670000000000009</v>
      </c>
      <c r="AB678" s="87">
        <v>-74.7</v>
      </c>
      <c r="AC678" s="87"/>
      <c r="AD678" s="87"/>
      <c r="AE678" s="87"/>
      <c r="AF678" s="87"/>
      <c r="AG678" s="87"/>
      <c r="AH678" s="87"/>
      <c r="AI678" s="87"/>
      <c r="AJ678" s="87"/>
      <c r="AK678" s="87"/>
      <c r="AL678" s="87"/>
      <c r="AM678" s="87"/>
      <c r="AN678" s="87"/>
      <c r="AO678" s="87"/>
      <c r="AP678" s="87"/>
      <c r="AQ678" s="87"/>
      <c r="AR678" s="87"/>
      <c r="AS678" s="87"/>
      <c r="AT678" s="87"/>
      <c r="AU678" s="87"/>
      <c r="AV678" s="87" t="s">
        <v>1962</v>
      </c>
      <c r="AW678" s="87">
        <v>625</v>
      </c>
      <c r="AX678" s="87" t="s">
        <v>29</v>
      </c>
      <c r="AY678" s="87">
        <v>2</v>
      </c>
      <c r="AZ678" s="87" t="s">
        <v>1963</v>
      </c>
      <c r="BA678" s="87">
        <v>2009</v>
      </c>
      <c r="BB678" s="87">
        <v>2010</v>
      </c>
      <c r="BC678" s="87" t="s">
        <v>1964</v>
      </c>
      <c r="BD678" s="87" t="s">
        <v>19</v>
      </c>
      <c r="BE678" s="87" t="s">
        <v>2004</v>
      </c>
      <c r="BF678" s="87" t="s">
        <v>24</v>
      </c>
      <c r="BG678" s="87" t="s">
        <v>1233</v>
      </c>
      <c r="BH678" s="87" t="s">
        <v>2005</v>
      </c>
      <c r="BI678" s="87" t="s">
        <v>29</v>
      </c>
      <c r="BJ678" s="87" t="s">
        <v>29</v>
      </c>
      <c r="BK678" s="87" t="s">
        <v>29</v>
      </c>
      <c r="BL678" s="87"/>
      <c r="BM678" s="87"/>
      <c r="BN678" s="87"/>
      <c r="BO678" s="87"/>
      <c r="BP678" s="87"/>
      <c r="BQ678" s="87"/>
      <c r="BR678" s="87"/>
      <c r="BS678" s="87"/>
      <c r="BT678" s="87"/>
      <c r="BU678" s="87"/>
      <c r="BV678" s="87"/>
      <c r="BW678" s="87"/>
      <c r="BX678" s="87"/>
      <c r="BY678" s="87"/>
      <c r="BZ678" s="87"/>
      <c r="CA678" s="87"/>
      <c r="CB678" s="87"/>
      <c r="CC678" s="87"/>
      <c r="CD678" s="87"/>
      <c r="CE678" s="87"/>
      <c r="CF678" s="87"/>
      <c r="CG678" s="87"/>
      <c r="CH678" s="87"/>
      <c r="CI678" s="87"/>
      <c r="CJ678" s="87"/>
      <c r="CK678" s="87"/>
      <c r="CL678" s="87"/>
      <c r="CM678" s="87"/>
      <c r="CN678" s="87"/>
      <c r="CO678" s="87"/>
      <c r="CP678" s="87"/>
      <c r="CQ678" s="87"/>
      <c r="CR678" s="87"/>
      <c r="CS678" s="87"/>
      <c r="CT678" s="87"/>
      <c r="CU678" s="87"/>
      <c r="CV678" s="87"/>
      <c r="CW678" s="87"/>
      <c r="CX678" s="87"/>
      <c r="CY678" s="87"/>
      <c r="CZ678" s="87"/>
      <c r="DA678" s="87"/>
      <c r="DB678" s="87"/>
      <c r="DC678" s="87"/>
      <c r="DD678" s="87"/>
      <c r="DE678" s="87"/>
      <c r="DF678" s="87"/>
      <c r="DG678" s="87"/>
      <c r="DH678" s="87"/>
      <c r="DI678" s="87"/>
      <c r="DJ678" s="87"/>
      <c r="DK678" s="87"/>
      <c r="DL678" s="87"/>
      <c r="DM678" s="87"/>
      <c r="DN678" s="87"/>
      <c r="DO678" s="87"/>
      <c r="DP678" s="87"/>
      <c r="DQ678" s="87"/>
      <c r="DR678" s="87"/>
      <c r="DS678" s="87"/>
      <c r="DT678" s="87"/>
      <c r="DU678" s="87"/>
      <c r="DV678" s="87"/>
      <c r="DW678" s="87"/>
      <c r="DX678" s="87"/>
      <c r="DY678" s="87"/>
      <c r="DZ678" s="87"/>
      <c r="EA678" s="87"/>
      <c r="EB678" s="87"/>
      <c r="EC678" s="87"/>
      <c r="ED678" s="87"/>
      <c r="EE678" s="87"/>
      <c r="EF678" s="87"/>
      <c r="EG678" s="87"/>
      <c r="EH678" s="87"/>
      <c r="EI678" s="87"/>
      <c r="EJ678" s="139"/>
      <c r="EK678" s="139"/>
      <c r="EL678" s="139"/>
      <c r="EM678" s="139"/>
      <c r="EN678" s="139"/>
      <c r="EO678" s="139"/>
      <c r="EP678" s="139"/>
      <c r="EQ678" s="139"/>
      <c r="ER678" s="139"/>
      <c r="ES678" s="139"/>
      <c r="ET678" s="139"/>
      <c r="EU678" s="139"/>
      <c r="EV678" s="139"/>
      <c r="EW678" s="139"/>
      <c r="EX678" s="139"/>
      <c r="EY678" s="139"/>
      <c r="EZ678" s="139"/>
      <c r="FA678" s="139"/>
      <c r="FB678" s="139"/>
      <c r="FC678" s="139"/>
      <c r="FD678" s="139"/>
      <c r="FE678" s="139"/>
      <c r="FF678" s="139"/>
      <c r="FG678" s="139"/>
      <c r="FH678" s="139"/>
      <c r="FI678" s="139"/>
      <c r="FJ678" s="139"/>
      <c r="FK678" s="139"/>
      <c r="FL678" s="139"/>
      <c r="FM678" s="139"/>
      <c r="FN678" s="139"/>
      <c r="FO678" s="139"/>
      <c r="FP678" s="139"/>
      <c r="FQ678" s="139"/>
      <c r="FR678" s="139"/>
      <c r="FS678" s="139"/>
      <c r="FT678" s="139"/>
      <c r="FU678" s="139"/>
      <c r="FV678" s="139"/>
      <c r="FW678" s="139"/>
      <c r="FX678" s="139"/>
      <c r="FY678" s="139"/>
      <c r="FZ678" s="139"/>
      <c r="GA678" s="139"/>
      <c r="GB678" s="139"/>
      <c r="GC678" s="139"/>
      <c r="GD678" s="139"/>
      <c r="GE678" s="139"/>
      <c r="GF678" s="139"/>
      <c r="GG678" s="139"/>
      <c r="GH678" s="139"/>
      <c r="GI678" s="139"/>
      <c r="GJ678" s="139"/>
      <c r="GK678" s="139"/>
      <c r="GL678" s="139"/>
      <c r="GM678" s="139"/>
      <c r="GN678" s="139"/>
      <c r="GO678" s="139"/>
      <c r="GP678" s="139"/>
      <c r="GQ678" s="139"/>
      <c r="GR678" s="139"/>
      <c r="GS678" s="139"/>
      <c r="GT678" s="139"/>
      <c r="GU678" s="139"/>
      <c r="GV678" s="139"/>
      <c r="GW678" s="139"/>
      <c r="GX678" s="139"/>
      <c r="GY678" s="139"/>
      <c r="GZ678" s="139"/>
      <c r="HA678" s="139"/>
      <c r="HB678" s="139"/>
      <c r="HC678" s="139"/>
      <c r="HD678" s="139"/>
      <c r="HE678" s="139"/>
      <c r="HF678" s="139"/>
      <c r="HG678" s="139"/>
      <c r="HH678" s="139"/>
      <c r="HI678" s="139"/>
      <c r="HJ678" s="139"/>
      <c r="HK678" s="139"/>
      <c r="HL678" s="139" t="s">
        <v>2006</v>
      </c>
      <c r="HM678" s="139" t="s">
        <v>297</v>
      </c>
      <c r="HN678" s="87" t="s">
        <v>12</v>
      </c>
      <c r="HO678" s="87"/>
      <c r="HP678" s="87"/>
      <c r="HQ678" s="87"/>
      <c r="HR678" s="87"/>
      <c r="HS678" s="87"/>
      <c r="HT678" s="87"/>
      <c r="HU678" s="87"/>
      <c r="HV678" s="87"/>
      <c r="HW678" s="87"/>
      <c r="HX678" s="87"/>
      <c r="HY678" s="87"/>
      <c r="HZ678" s="140"/>
      <c r="IA678" s="87"/>
      <c r="IB678" s="87"/>
      <c r="IC678" s="87"/>
      <c r="ID678" s="87"/>
      <c r="IE678" s="87"/>
      <c r="IF678" s="87"/>
      <c r="IG678" s="87"/>
      <c r="IH678" s="87"/>
      <c r="II678" s="87"/>
      <c r="IJ678" s="87"/>
      <c r="IK678" s="87"/>
      <c r="IL678" s="87"/>
      <c r="IM678" s="87"/>
      <c r="IN678" s="87"/>
      <c r="IO678" s="87"/>
      <c r="IP678" s="87"/>
      <c r="IQ678" s="87"/>
      <c r="IR678" s="87"/>
      <c r="IS678" s="87"/>
      <c r="IT678" s="87"/>
      <c r="IU678" s="87"/>
      <c r="IV678" s="87"/>
      <c r="IW678" s="87"/>
      <c r="IX678" s="87"/>
      <c r="IY678" s="87"/>
      <c r="IZ678" s="87"/>
      <c r="JA678" s="87"/>
      <c r="JB678" s="87"/>
      <c r="JC678" s="87"/>
      <c r="JD678" s="87"/>
      <c r="JE678" s="87"/>
      <c r="JF678" s="87"/>
      <c r="JG678" s="87"/>
      <c r="JH678" s="87"/>
      <c r="JI678" s="87"/>
      <c r="JJ678" s="87"/>
      <c r="JK678" s="87"/>
      <c r="JL678" s="87"/>
      <c r="JM678" s="87"/>
      <c r="JN678" s="87"/>
      <c r="JO678" s="87"/>
      <c r="JP678" s="87"/>
      <c r="JQ678" s="146"/>
      <c r="JR678" s="87"/>
      <c r="JS678" s="87"/>
      <c r="JT678" s="87"/>
      <c r="JU678" s="87"/>
      <c r="JV678" s="87"/>
      <c r="JW678" s="87"/>
      <c r="JX678" s="87"/>
      <c r="JY678" s="87"/>
      <c r="JZ678" s="87"/>
      <c r="KA678" s="146"/>
      <c r="KB678" s="87"/>
      <c r="KC678" s="87"/>
      <c r="KD678" s="87"/>
      <c r="KE678" s="87"/>
      <c r="KF678" s="87"/>
      <c r="KG678" s="87"/>
      <c r="KH678" s="87"/>
      <c r="KI678" s="87"/>
      <c r="KJ678" s="87"/>
      <c r="KK678" s="87"/>
      <c r="KL678" s="87"/>
      <c r="KM678" s="87"/>
      <c r="KN678" s="87"/>
      <c r="KO678" s="87"/>
      <c r="KP678" s="87"/>
      <c r="KQ678" s="87"/>
      <c r="KR678" s="87"/>
      <c r="KS678" s="146"/>
      <c r="KT678" s="146"/>
      <c r="KU678" s="146"/>
      <c r="KV678" s="146"/>
      <c r="KW678" s="87"/>
      <c r="KX678" s="87"/>
      <c r="KY678" s="87"/>
      <c r="KZ678" s="87"/>
      <c r="LA678" s="87"/>
      <c r="LB678" s="87"/>
      <c r="LC678" s="87"/>
      <c r="LD678" s="87"/>
      <c r="LE678" s="87"/>
      <c r="LF678" s="87"/>
      <c r="LG678" s="87"/>
      <c r="LH678" s="87"/>
      <c r="LI678" s="87"/>
      <c r="LJ678" s="87"/>
      <c r="LK678" s="87"/>
      <c r="LL678" s="87"/>
      <c r="LM678" s="87"/>
      <c r="LN678" s="87"/>
      <c r="LO678" s="87"/>
      <c r="LP678" s="87"/>
      <c r="LQ678" s="87"/>
      <c r="LR678" s="87"/>
      <c r="LS678" s="87"/>
      <c r="LT678" s="87"/>
      <c r="LU678" s="87"/>
      <c r="LV678" s="87"/>
      <c r="LW678" s="87"/>
      <c r="LX678" s="87"/>
      <c r="LY678" s="87"/>
      <c r="LZ678" s="87"/>
      <c r="MA678" s="87"/>
      <c r="MB678" s="87"/>
      <c r="MC678" s="87"/>
      <c r="MD678" s="87"/>
      <c r="ME678" s="87"/>
      <c r="MF678" s="87"/>
      <c r="MG678" s="87"/>
      <c r="MH678" s="87"/>
      <c r="MI678" s="87"/>
      <c r="MJ678" s="87"/>
      <c r="MK678" s="87"/>
      <c r="ML678" s="87"/>
      <c r="MM678" s="87"/>
      <c r="MN678" s="87"/>
      <c r="MO678" s="87"/>
      <c r="MP678" s="87"/>
      <c r="MQ678" s="87"/>
      <c r="MR678" s="87"/>
      <c r="MS678" s="87"/>
      <c r="MT678" s="87"/>
      <c r="MU678" s="87"/>
      <c r="MV678" s="87"/>
      <c r="MW678" s="87"/>
      <c r="MX678" s="87"/>
      <c r="MY678" s="87"/>
      <c r="MZ678" s="87" t="s">
        <v>1968</v>
      </c>
      <c r="NA678" s="87">
        <v>625</v>
      </c>
      <c r="NB678" s="87" t="s">
        <v>1969</v>
      </c>
      <c r="NC678" s="87" t="s">
        <v>1973</v>
      </c>
      <c r="ND678" s="87" t="s">
        <v>1974</v>
      </c>
      <c r="NE678" s="87" t="s">
        <v>1975</v>
      </c>
      <c r="NF678" s="87" t="s">
        <v>1976</v>
      </c>
      <c r="NG678" s="87" t="s">
        <v>1977</v>
      </c>
      <c r="NH678" s="87"/>
      <c r="NI678" s="87"/>
      <c r="NJ678" s="87"/>
      <c r="NK678" s="87" t="s">
        <v>2034</v>
      </c>
      <c r="NL678" s="87" t="s">
        <v>2035</v>
      </c>
      <c r="NM678" s="87" t="s">
        <v>2023</v>
      </c>
      <c r="NN678" s="87" t="s">
        <v>2024</v>
      </c>
      <c r="NO678" s="87"/>
      <c r="NP678" s="87"/>
      <c r="NQ678" s="87"/>
      <c r="NR678" s="87"/>
      <c r="NS678" s="87"/>
      <c r="NT678" s="87"/>
      <c r="NU678" s="87"/>
      <c r="NV678" s="87" t="s">
        <v>2007</v>
      </c>
      <c r="NW678" s="87" t="s">
        <v>6</v>
      </c>
      <c r="NX678" s="87">
        <v>0.60599999999999998</v>
      </c>
      <c r="NY678" s="87" t="s">
        <v>1446</v>
      </c>
      <c r="NZ678" s="87">
        <v>8.1000000000000003E-2</v>
      </c>
      <c r="OA678" s="87"/>
      <c r="OB678" s="87"/>
      <c r="OC678" s="87">
        <v>32</v>
      </c>
      <c r="OD678" s="87"/>
      <c r="OE678" s="87"/>
      <c r="OF678" s="87"/>
      <c r="OG678" s="87"/>
      <c r="OH678" s="87"/>
      <c r="OI678" s="87"/>
      <c r="OJ678" s="87"/>
      <c r="OK678" s="87"/>
      <c r="OL678" s="87"/>
      <c r="OM678" s="87"/>
      <c r="ON678" s="87"/>
      <c r="OO678" s="87"/>
      <c r="OP678" s="87"/>
      <c r="OQ678" s="87"/>
      <c r="OR678" s="87"/>
      <c r="OS678" s="87"/>
      <c r="OT678" s="87" t="s">
        <v>1980</v>
      </c>
      <c r="OU678" s="144"/>
      <c r="OV678" s="87"/>
      <c r="OW678" s="87">
        <v>2009</v>
      </c>
      <c r="OX678" s="87">
        <v>2010</v>
      </c>
      <c r="OY678" s="87"/>
      <c r="OZ678" s="87"/>
      <c r="PA678" s="87" t="s">
        <v>1981</v>
      </c>
      <c r="PB678" s="140">
        <v>46133</v>
      </c>
      <c r="PC678" s="87"/>
      <c r="PD678" s="87"/>
      <c r="PE678" s="87"/>
      <c r="PF678" s="87"/>
      <c r="PG678" s="138"/>
    </row>
    <row r="679" spans="1:423">
      <c r="A679" t="s">
        <v>36</v>
      </c>
      <c r="B679" t="s">
        <v>1956</v>
      </c>
      <c r="C679" t="s">
        <v>1957</v>
      </c>
      <c r="D679" t="s">
        <v>245</v>
      </c>
      <c r="E679" t="s">
        <v>1993</v>
      </c>
      <c r="F679" t="s">
        <v>1961</v>
      </c>
      <c r="G679" t="s">
        <v>2</v>
      </c>
      <c r="H679" t="s">
        <v>30</v>
      </c>
      <c r="I679">
        <v>-8.8170000000000002</v>
      </c>
      <c r="J679">
        <v>-75.2</v>
      </c>
      <c r="L679" t="s">
        <v>1957</v>
      </c>
      <c r="M679" t="s">
        <v>245</v>
      </c>
      <c r="N679" t="s">
        <v>1960</v>
      </c>
      <c r="O679" t="s">
        <v>1961</v>
      </c>
      <c r="P679" t="s">
        <v>2</v>
      </c>
      <c r="Q679" t="s">
        <v>30</v>
      </c>
      <c r="R679">
        <v>-8.5169999999999995</v>
      </c>
      <c r="S679">
        <v>-74.766999999999996</v>
      </c>
      <c r="U679" t="s">
        <v>1957</v>
      </c>
      <c r="V679" t="s">
        <v>245</v>
      </c>
      <c r="W679" t="s">
        <v>1982</v>
      </c>
      <c r="X679" t="s">
        <v>1961</v>
      </c>
      <c r="Y679" t="s">
        <v>2</v>
      </c>
      <c r="Z679" t="s">
        <v>30</v>
      </c>
      <c r="AA679">
        <v>-8.3670000000000009</v>
      </c>
      <c r="AB679">
        <v>-74.7</v>
      </c>
      <c r="AV679" t="s">
        <v>1962</v>
      </c>
      <c r="AW679">
        <v>625</v>
      </c>
      <c r="AX679" t="s">
        <v>29</v>
      </c>
      <c r="AY679">
        <v>2</v>
      </c>
      <c r="AZ679" t="s">
        <v>1963</v>
      </c>
      <c r="BA679">
        <v>2009</v>
      </c>
      <c r="BB679">
        <v>2010</v>
      </c>
      <c r="BC679" t="s">
        <v>1964</v>
      </c>
      <c r="BD679" t="s">
        <v>2036</v>
      </c>
      <c r="BE679" t="s">
        <v>2008</v>
      </c>
      <c r="BF679" t="s">
        <v>299</v>
      </c>
      <c r="BG679" t="s">
        <v>1779</v>
      </c>
      <c r="BH679" t="s">
        <v>2009</v>
      </c>
      <c r="BI679" t="s">
        <v>29</v>
      </c>
      <c r="BJ679" t="s">
        <v>29</v>
      </c>
      <c r="BK679" t="s">
        <v>29</v>
      </c>
      <c r="EJ679" s="9"/>
      <c r="EK679" s="9"/>
      <c r="EL679" s="9"/>
      <c r="EM679" s="9"/>
      <c r="EN679" s="9"/>
      <c r="EO679" s="9"/>
      <c r="EP679" s="9"/>
      <c r="EQ679" s="9"/>
      <c r="ER679" s="9"/>
      <c r="ES679" s="9"/>
      <c r="ET679" s="9"/>
      <c r="EU679" s="9"/>
      <c r="EV679" s="9"/>
      <c r="EW679" s="9"/>
      <c r="EX679" s="9"/>
      <c r="EY679" s="9"/>
      <c r="EZ679" s="9"/>
      <c r="FA679" s="9"/>
      <c r="FB679" s="9"/>
      <c r="FC679" s="9"/>
      <c r="FD679" s="9"/>
      <c r="FE679" s="9"/>
      <c r="FF679" s="9"/>
      <c r="FG679" s="9"/>
      <c r="FH679" s="9"/>
      <c r="FI679" s="9"/>
      <c r="FJ679" s="9"/>
      <c r="FK679" s="9"/>
      <c r="FL679" s="9"/>
      <c r="FM679" s="9"/>
      <c r="FN679" s="9"/>
      <c r="FO679" s="9"/>
      <c r="FP679" s="9"/>
      <c r="FQ679" s="9"/>
      <c r="FR679" s="9"/>
      <c r="FS679" s="9"/>
      <c r="FT679" s="9"/>
      <c r="FU679" s="9"/>
      <c r="FV679" s="9"/>
      <c r="FW679" s="9"/>
      <c r="FX679" s="9"/>
      <c r="FY679" s="9"/>
      <c r="FZ679" s="9"/>
      <c r="GA679" s="9"/>
      <c r="GB679" s="9"/>
      <c r="GC679" s="9"/>
      <c r="GD679" s="9"/>
      <c r="GE679" s="9"/>
      <c r="GF679" s="9"/>
      <c r="GG679" s="9"/>
      <c r="GH679" s="9"/>
      <c r="GI679" s="9"/>
      <c r="GJ679" s="9"/>
      <c r="GK679" s="9"/>
      <c r="GL679" s="9"/>
      <c r="GM679" s="9"/>
      <c r="GN679" s="9"/>
      <c r="GO679" s="9"/>
      <c r="GP679" s="9"/>
      <c r="GQ679" s="9"/>
      <c r="GR679" s="9"/>
      <c r="GS679" s="9"/>
      <c r="GT679" s="9"/>
      <c r="GU679" s="9"/>
      <c r="GV679" s="9"/>
      <c r="GW679" s="9"/>
      <c r="GX679" s="9"/>
      <c r="GY679" s="9"/>
      <c r="GZ679" s="9"/>
      <c r="HA679" s="9"/>
      <c r="HB679" s="9"/>
      <c r="HC679" s="9"/>
      <c r="HD679" s="9"/>
      <c r="HE679" s="9"/>
      <c r="HF679" s="9"/>
      <c r="HG679" s="9"/>
      <c r="HH679" s="9"/>
      <c r="HI679" s="9"/>
      <c r="HJ679" s="9"/>
      <c r="HK679" s="9"/>
      <c r="HL679" s="9" t="s">
        <v>2010</v>
      </c>
      <c r="HM679" s="9" t="s">
        <v>232</v>
      </c>
      <c r="HZ679" s="58"/>
      <c r="JQ679" s="9"/>
      <c r="KA679" s="9"/>
      <c r="KS679" s="9"/>
      <c r="KT679" s="9"/>
      <c r="KU679" s="9"/>
      <c r="KV679" s="9"/>
      <c r="MZ679" t="s">
        <v>1968</v>
      </c>
      <c r="NA679">
        <v>625</v>
      </c>
      <c r="NB679" t="s">
        <v>1969</v>
      </c>
      <c r="NC679" t="s">
        <v>1973</v>
      </c>
      <c r="ND679" t="s">
        <v>1974</v>
      </c>
      <c r="NE679" t="s">
        <v>1975</v>
      </c>
      <c r="NF679" t="s">
        <v>1976</v>
      </c>
      <c r="NG679" t="s">
        <v>1977</v>
      </c>
      <c r="NK679" t="s">
        <v>2034</v>
      </c>
      <c r="NL679" t="s">
        <v>2035</v>
      </c>
      <c r="NM679" t="s">
        <v>2023</v>
      </c>
      <c r="NN679" t="s">
        <v>2024</v>
      </c>
      <c r="NV679" t="s">
        <v>2011</v>
      </c>
      <c r="NW679" t="s">
        <v>6</v>
      </c>
      <c r="NX679">
        <v>0.55400000000000005</v>
      </c>
      <c r="NY679" t="s">
        <v>1446</v>
      </c>
      <c r="NZ679">
        <v>8.2000000000000003E-2</v>
      </c>
      <c r="OC679">
        <v>32</v>
      </c>
      <c r="OT679" t="s">
        <v>1980</v>
      </c>
      <c r="OU679" s="19"/>
      <c r="OW679">
        <v>2009</v>
      </c>
      <c r="OX679">
        <v>2010</v>
      </c>
      <c r="PA679" t="s">
        <v>1981</v>
      </c>
      <c r="PB679" s="58">
        <v>46133</v>
      </c>
    </row>
    <row r="680" spans="1:423">
      <c r="A680" s="87" t="s">
        <v>36</v>
      </c>
      <c r="B680" s="87" t="s">
        <v>2038</v>
      </c>
      <c r="C680" s="87" t="s">
        <v>1885</v>
      </c>
      <c r="D680" s="87" t="s">
        <v>2039</v>
      </c>
      <c r="E680" s="87" t="s">
        <v>2040</v>
      </c>
      <c r="F680" s="87" t="s">
        <v>1959</v>
      </c>
      <c r="G680" s="87" t="s">
        <v>2</v>
      </c>
      <c r="H680" s="87" t="s">
        <v>2081</v>
      </c>
      <c r="I680" s="87">
        <v>10.3622</v>
      </c>
      <c r="J680" s="87">
        <v>76.980199999999996</v>
      </c>
      <c r="K680" s="87">
        <v>3000</v>
      </c>
      <c r="L680" s="87" t="s">
        <v>1885</v>
      </c>
      <c r="M680" s="87" t="s">
        <v>2039</v>
      </c>
      <c r="N680" s="87" t="s">
        <v>2051</v>
      </c>
      <c r="O680" s="87" t="s">
        <v>1959</v>
      </c>
      <c r="P680" s="87" t="s">
        <v>2</v>
      </c>
      <c r="Q680" s="87" t="s">
        <v>2081</v>
      </c>
      <c r="R680" s="87">
        <v>10.385</v>
      </c>
      <c r="S680" s="87">
        <v>76.95</v>
      </c>
      <c r="T680" s="87">
        <v>1000</v>
      </c>
      <c r="U680" s="87" t="s">
        <v>1885</v>
      </c>
      <c r="V680" s="87" t="s">
        <v>2039</v>
      </c>
      <c r="W680" s="87" t="s">
        <v>2052</v>
      </c>
      <c r="X680" s="87" t="s">
        <v>1959</v>
      </c>
      <c r="Y680" s="87" t="s">
        <v>2</v>
      </c>
      <c r="Z680" s="87" t="s">
        <v>2081</v>
      </c>
      <c r="AA680" s="87">
        <v>10.234999999999999</v>
      </c>
      <c r="AB680" s="87">
        <v>76.89</v>
      </c>
      <c r="AC680" s="87">
        <v>1500</v>
      </c>
      <c r="AD680" s="87"/>
      <c r="AE680" s="87"/>
      <c r="AF680" s="87"/>
      <c r="AG680" s="87"/>
      <c r="AH680" s="87"/>
      <c r="AI680" s="87"/>
      <c r="AJ680" s="87"/>
      <c r="AK680" s="87"/>
      <c r="AL680" s="87"/>
      <c r="AM680" s="87"/>
      <c r="AN680" s="87"/>
      <c r="AO680" s="87"/>
      <c r="AP680" s="87"/>
      <c r="AQ680" s="87"/>
      <c r="AR680" s="87"/>
      <c r="AS680" s="87"/>
      <c r="AT680" s="87"/>
      <c r="AU680" s="87"/>
      <c r="AV680" s="87" t="s">
        <v>2130</v>
      </c>
      <c r="AW680" s="87" t="s">
        <v>29</v>
      </c>
      <c r="AX680" s="87">
        <v>29850000</v>
      </c>
      <c r="AY680" s="87">
        <v>1</v>
      </c>
      <c r="AZ680" s="87" t="s">
        <v>2041</v>
      </c>
      <c r="BA680" s="87">
        <v>2005</v>
      </c>
      <c r="BB680" s="87">
        <v>2005</v>
      </c>
      <c r="BC680" s="87" t="s">
        <v>2042</v>
      </c>
      <c r="BD680" s="87" t="s">
        <v>1836</v>
      </c>
      <c r="BE680" s="87" t="s">
        <v>2131</v>
      </c>
      <c r="BF680" s="87" t="s">
        <v>39</v>
      </c>
      <c r="BG680" s="87" t="s">
        <v>1743</v>
      </c>
      <c r="BH680" s="87"/>
      <c r="BI680" s="87"/>
      <c r="BJ680" s="87"/>
      <c r="BK680" s="87"/>
      <c r="BL680" s="87"/>
      <c r="BM680" s="87"/>
      <c r="BN680" s="87"/>
      <c r="BO680" s="87"/>
      <c r="BP680" s="87"/>
      <c r="BQ680" s="87"/>
      <c r="BR680" s="87"/>
      <c r="BS680" s="87"/>
      <c r="BT680" s="87"/>
      <c r="BU680" s="87"/>
      <c r="BV680" s="87"/>
      <c r="BW680" s="87"/>
      <c r="BX680" s="87"/>
      <c r="BY680" s="87"/>
      <c r="BZ680" s="87"/>
      <c r="CA680" s="87"/>
      <c r="CB680" s="87"/>
      <c r="CC680" s="87"/>
      <c r="CD680" s="87"/>
      <c r="CE680" s="87"/>
      <c r="CF680" s="87"/>
      <c r="CG680" s="87"/>
      <c r="CH680" s="87"/>
      <c r="CI680" s="87"/>
      <c r="CJ680" s="87"/>
      <c r="CK680" s="87"/>
      <c r="CL680" s="87"/>
      <c r="CM680" s="87"/>
      <c r="CN680" s="87"/>
      <c r="CO680" s="87"/>
      <c r="CP680" s="87"/>
      <c r="CQ680" s="87"/>
      <c r="CR680" s="87"/>
      <c r="CS680" s="87"/>
      <c r="CT680" s="87"/>
      <c r="CU680" s="87"/>
      <c r="CV680" s="87"/>
      <c r="CW680" s="87"/>
      <c r="CX680" s="87"/>
      <c r="CY680" s="87"/>
      <c r="CZ680" s="87"/>
      <c r="DA680" s="87"/>
      <c r="DB680" s="87"/>
      <c r="DC680" s="87"/>
      <c r="DD680" s="87"/>
      <c r="DE680" s="87"/>
      <c r="DF680" s="87"/>
      <c r="DG680" s="87"/>
      <c r="DH680" s="87"/>
      <c r="DI680" s="87"/>
      <c r="DJ680" s="87"/>
      <c r="DK680" s="87"/>
      <c r="DL680" s="87"/>
      <c r="DM680" s="87"/>
      <c r="DN680" s="87"/>
      <c r="DO680" s="87"/>
      <c r="DP680" s="87"/>
      <c r="DQ680" s="87"/>
      <c r="DR680" s="87"/>
      <c r="DS680" s="87"/>
      <c r="DT680" s="87"/>
      <c r="DU680" s="87"/>
      <c r="DV680" s="87"/>
      <c r="DW680" s="87"/>
      <c r="DX680" s="87"/>
      <c r="DY680" s="87"/>
      <c r="DZ680" s="87"/>
      <c r="EA680" s="87"/>
      <c r="EB680" s="87"/>
      <c r="EC680" s="87"/>
      <c r="ED680" s="87"/>
      <c r="EE680" s="87" t="s">
        <v>2043</v>
      </c>
      <c r="EF680" s="87" t="s">
        <v>2044</v>
      </c>
      <c r="EG680" s="87" t="s">
        <v>29</v>
      </c>
      <c r="EH680" s="87"/>
      <c r="EI680" s="87" t="s">
        <v>2045</v>
      </c>
      <c r="EJ680" s="139" t="s">
        <v>2044</v>
      </c>
      <c r="EK680" s="139" t="s">
        <v>29</v>
      </c>
      <c r="EL680" s="139"/>
      <c r="EM680" s="139" t="s">
        <v>2046</v>
      </c>
      <c r="EN680" s="139" t="s">
        <v>2044</v>
      </c>
      <c r="EO680" s="139" t="s">
        <v>29</v>
      </c>
      <c r="EP680" s="139"/>
      <c r="EQ680" s="139"/>
      <c r="ER680" s="139"/>
      <c r="ES680" s="139"/>
      <c r="ET680" s="139"/>
      <c r="EU680" s="139"/>
      <c r="EV680" s="139"/>
      <c r="EW680" s="139"/>
      <c r="EX680" s="139"/>
      <c r="EY680" s="139"/>
      <c r="EZ680" s="139"/>
      <c r="FA680" s="139"/>
      <c r="FB680" s="139"/>
      <c r="FC680" s="139"/>
      <c r="FD680" s="139"/>
      <c r="FE680" s="139"/>
      <c r="FF680" s="139"/>
      <c r="FG680" s="139"/>
      <c r="FH680" s="139"/>
      <c r="FI680" s="139"/>
      <c r="FJ680" s="139"/>
      <c r="FK680" s="139"/>
      <c r="FL680" s="139"/>
      <c r="FM680" s="139"/>
      <c r="FN680" s="139"/>
      <c r="FO680" s="139"/>
      <c r="FP680" s="139"/>
      <c r="FQ680" s="139"/>
      <c r="FR680" s="139"/>
      <c r="FS680" s="139"/>
      <c r="FT680" s="139"/>
      <c r="FU680" s="139"/>
      <c r="FV680" s="139"/>
      <c r="FW680" s="139"/>
      <c r="FX680" s="139"/>
      <c r="FY680" s="139"/>
      <c r="FZ680" s="139"/>
      <c r="GA680" s="139"/>
      <c r="GB680" s="139"/>
      <c r="GC680" s="139"/>
      <c r="GD680" s="139"/>
      <c r="GE680" s="139"/>
      <c r="GF680" s="139"/>
      <c r="GG680" s="139"/>
      <c r="GH680" s="139"/>
      <c r="GI680" s="139"/>
      <c r="GJ680" s="139"/>
      <c r="GK680" s="139"/>
      <c r="GL680" s="139"/>
      <c r="GM680" s="139"/>
      <c r="GN680" s="139"/>
      <c r="GO680" s="139"/>
      <c r="GP680" s="139"/>
      <c r="GQ680" s="139"/>
      <c r="GR680" s="139"/>
      <c r="GS680" s="139"/>
      <c r="GT680" s="139"/>
      <c r="GU680" s="139"/>
      <c r="GV680" s="139"/>
      <c r="GW680" s="139"/>
      <c r="GX680" s="139"/>
      <c r="GY680" s="139"/>
      <c r="GZ680" s="139"/>
      <c r="HA680" s="139"/>
      <c r="HB680" s="139"/>
      <c r="HC680" s="139"/>
      <c r="HD680" s="139"/>
      <c r="HE680" s="139"/>
      <c r="HF680" s="139"/>
      <c r="HG680" s="139"/>
      <c r="HH680" s="139"/>
      <c r="HI680" s="139"/>
      <c r="HJ680" s="139"/>
      <c r="HK680" s="139"/>
      <c r="HL680" s="139"/>
      <c r="HM680" s="139"/>
      <c r="HN680" s="87"/>
      <c r="HO680" s="87"/>
      <c r="HP680" s="87"/>
      <c r="HQ680" s="87"/>
      <c r="HR680" s="87"/>
      <c r="HS680" s="87"/>
      <c r="HT680" s="87"/>
      <c r="HU680" s="87"/>
      <c r="HV680" s="87"/>
      <c r="HW680" s="87"/>
      <c r="HX680" s="87"/>
      <c r="HY680" s="87"/>
      <c r="HZ680" s="140"/>
      <c r="IA680" s="87"/>
      <c r="IB680" s="87"/>
      <c r="IC680" s="87"/>
      <c r="ID680" s="87"/>
      <c r="IE680" s="87"/>
      <c r="IF680" s="87"/>
      <c r="IG680" s="87"/>
      <c r="IH680" s="87"/>
      <c r="II680" s="87"/>
      <c r="IJ680" s="87"/>
      <c r="IK680" s="87"/>
      <c r="IL680" s="87"/>
      <c r="IM680" s="87"/>
      <c r="IN680" s="87"/>
      <c r="IO680" s="87"/>
      <c r="IP680" s="87"/>
      <c r="IQ680" s="87"/>
      <c r="IR680" s="87"/>
      <c r="IS680" s="87"/>
      <c r="IT680" s="87"/>
      <c r="IU680" s="87"/>
      <c r="IV680" s="87"/>
      <c r="IW680" s="87"/>
      <c r="IX680" s="87"/>
      <c r="IY680" s="87"/>
      <c r="IZ680" s="87"/>
      <c r="JA680" s="87"/>
      <c r="JB680" s="87"/>
      <c r="JC680" s="87"/>
      <c r="JD680" s="87"/>
      <c r="JE680" s="87"/>
      <c r="JF680" s="87"/>
      <c r="JG680" s="87"/>
      <c r="JH680" s="87"/>
      <c r="JI680" s="87"/>
      <c r="JJ680" s="87"/>
      <c r="JK680" s="87"/>
      <c r="JL680" s="87"/>
      <c r="JM680" s="87"/>
      <c r="JN680" s="87"/>
      <c r="JO680" s="87"/>
      <c r="JP680" s="87"/>
      <c r="JQ680" s="146"/>
      <c r="JR680" s="87"/>
      <c r="JS680" s="87"/>
      <c r="JT680" s="87"/>
      <c r="JU680" s="87"/>
      <c r="JV680" s="87"/>
      <c r="JW680" s="87"/>
      <c r="JX680" s="87"/>
      <c r="JY680" s="87"/>
      <c r="JZ680" s="87"/>
      <c r="KA680" s="146"/>
      <c r="KB680" s="87"/>
      <c r="KC680" s="87"/>
      <c r="KD680" s="87"/>
      <c r="KE680" s="87"/>
      <c r="KF680" s="87"/>
      <c r="KG680" s="87"/>
      <c r="KH680" s="87"/>
      <c r="KI680" s="87"/>
      <c r="KJ680" s="87"/>
      <c r="KK680" s="87"/>
      <c r="KL680" s="87"/>
      <c r="KM680" s="87"/>
      <c r="KN680" s="87"/>
      <c r="KO680" s="87"/>
      <c r="KP680" s="87"/>
      <c r="KQ680" s="87"/>
      <c r="KR680" s="87"/>
      <c r="KS680" s="146"/>
      <c r="KT680" s="146"/>
      <c r="KU680" s="146"/>
      <c r="KV680" s="146"/>
      <c r="KW680" s="87"/>
      <c r="KX680" s="87"/>
      <c r="KY680" s="87"/>
      <c r="KZ680" s="87"/>
      <c r="LA680" s="87"/>
      <c r="LB680" s="87"/>
      <c r="LC680" s="87"/>
      <c r="LD680" s="87"/>
      <c r="LE680" s="87"/>
      <c r="LF680" s="87"/>
      <c r="LG680" s="87"/>
      <c r="LH680" s="87"/>
      <c r="LI680" s="87"/>
      <c r="LJ680" s="87"/>
      <c r="LK680" s="87"/>
      <c r="LL680" s="87"/>
      <c r="LM680" s="87"/>
      <c r="LN680" s="87"/>
      <c r="LO680" s="87"/>
      <c r="LP680" s="87"/>
      <c r="LQ680" s="87"/>
      <c r="LR680" s="87"/>
      <c r="LS680" s="87"/>
      <c r="LT680" s="87"/>
      <c r="LU680" s="87"/>
      <c r="LV680" s="87"/>
      <c r="LW680" s="87"/>
      <c r="LX680" s="87"/>
      <c r="LY680" s="87"/>
      <c r="LZ680" s="87"/>
      <c r="MA680" s="87"/>
      <c r="MB680" s="87"/>
      <c r="MC680" s="87"/>
      <c r="MD680" s="87"/>
      <c r="ME680" s="87"/>
      <c r="MF680" s="87"/>
      <c r="MG680" s="87"/>
      <c r="MH680" s="87"/>
      <c r="MI680" s="87"/>
      <c r="MJ680" s="87"/>
      <c r="MK680" s="87"/>
      <c r="ML680" s="87"/>
      <c r="MM680" s="87"/>
      <c r="MN680" s="87"/>
      <c r="MO680" s="87"/>
      <c r="MP680" s="87"/>
      <c r="MQ680" s="87"/>
      <c r="MR680" s="87"/>
      <c r="MS680" s="87"/>
      <c r="MT680" s="87"/>
      <c r="MU680" s="87"/>
      <c r="MV680" s="87"/>
      <c r="MW680" s="87"/>
      <c r="MX680" s="87"/>
      <c r="MY680" s="87"/>
      <c r="MZ680" s="87" t="s">
        <v>2132</v>
      </c>
      <c r="NA680" s="87" t="s">
        <v>29</v>
      </c>
      <c r="NB680" s="87" t="s">
        <v>2047</v>
      </c>
      <c r="NC680" s="87" t="s">
        <v>2048</v>
      </c>
      <c r="ND680" s="87"/>
      <c r="NE680" s="87"/>
      <c r="NF680" s="87"/>
      <c r="NG680" s="87"/>
      <c r="NH680" s="87"/>
      <c r="NI680" s="87"/>
      <c r="NJ680" s="87"/>
      <c r="NK680" s="87" t="s">
        <v>2140</v>
      </c>
      <c r="NL680" s="87" t="s">
        <v>2141</v>
      </c>
      <c r="NM680" s="87" t="s">
        <v>203</v>
      </c>
      <c r="NN680" s="87" t="s">
        <v>2073</v>
      </c>
      <c r="NO680" s="87"/>
      <c r="NP680" s="87"/>
      <c r="NQ680" s="87"/>
      <c r="NR680" s="87"/>
      <c r="NS680" s="87"/>
      <c r="NT680" s="87"/>
      <c r="NU680" s="87"/>
      <c r="NV680" s="87" t="s">
        <v>1828</v>
      </c>
      <c r="NW680" s="87" t="s">
        <v>6</v>
      </c>
      <c r="NX680" s="87">
        <v>9.33</v>
      </c>
      <c r="NY680" s="87" t="s">
        <v>1446</v>
      </c>
      <c r="NZ680" s="87">
        <v>3.81</v>
      </c>
      <c r="OA680" s="87"/>
      <c r="OB680" s="87"/>
      <c r="OC680" s="87">
        <v>3</v>
      </c>
      <c r="OD680" s="87"/>
      <c r="OE680" s="87"/>
      <c r="OF680" s="87"/>
      <c r="OG680" s="87"/>
      <c r="OH680" s="87"/>
      <c r="OI680" s="87"/>
      <c r="OJ680" s="87"/>
      <c r="OK680" s="87"/>
      <c r="OL680" s="87"/>
      <c r="OM680" s="87"/>
      <c r="ON680" s="87"/>
      <c r="OO680" s="87"/>
      <c r="OP680" s="87"/>
      <c r="OQ680" s="87"/>
      <c r="OR680" s="87"/>
      <c r="OS680" s="87"/>
      <c r="OT680" s="87" t="s">
        <v>2074</v>
      </c>
      <c r="OU680" s="87" t="s">
        <v>6</v>
      </c>
      <c r="OV680" s="87">
        <v>2005</v>
      </c>
      <c r="OW680" s="87">
        <v>2005</v>
      </c>
      <c r="OX680" s="87">
        <v>2005</v>
      </c>
      <c r="OY680" s="87"/>
      <c r="OZ680" s="87"/>
      <c r="PA680" s="87" t="s">
        <v>1981</v>
      </c>
      <c r="PB680" s="140" t="s">
        <v>2049</v>
      </c>
      <c r="PC680" s="87"/>
      <c r="PD680" s="87"/>
      <c r="PE680" s="87"/>
      <c r="PF680" s="87"/>
      <c r="PG680" s="138" t="s">
        <v>2050</v>
      </c>
    </row>
    <row r="681" spans="1:423">
      <c r="A681" t="s">
        <v>36</v>
      </c>
      <c r="B681" t="s">
        <v>2038</v>
      </c>
      <c r="C681" t="s">
        <v>1885</v>
      </c>
      <c r="D681" t="s">
        <v>245</v>
      </c>
      <c r="E681" t="s">
        <v>2053</v>
      </c>
      <c r="F681" t="s">
        <v>1961</v>
      </c>
      <c r="G681" t="s">
        <v>2</v>
      </c>
      <c r="H681" t="s">
        <v>2081</v>
      </c>
      <c r="I681">
        <v>10.37</v>
      </c>
      <c r="J681">
        <v>76.984999999999999</v>
      </c>
      <c r="K681">
        <v>500</v>
      </c>
      <c r="L681" t="s">
        <v>1885</v>
      </c>
      <c r="M681" t="s">
        <v>245</v>
      </c>
      <c r="N681" t="s">
        <v>2056</v>
      </c>
      <c r="O681" t="s">
        <v>1961</v>
      </c>
      <c r="P681" t="s">
        <v>2</v>
      </c>
      <c r="Q681" t="s">
        <v>2081</v>
      </c>
      <c r="R681">
        <v>10.3512</v>
      </c>
      <c r="S681">
        <v>76.938400000000001</v>
      </c>
      <c r="T681">
        <v>400</v>
      </c>
      <c r="U681" t="s">
        <v>1885</v>
      </c>
      <c r="V681" t="s">
        <v>245</v>
      </c>
      <c r="W681" t="s">
        <v>2057</v>
      </c>
      <c r="X681" t="s">
        <v>1961</v>
      </c>
      <c r="Y681" t="s">
        <v>2</v>
      </c>
      <c r="Z681" t="s">
        <v>2081</v>
      </c>
      <c r="AA681">
        <v>10.279</v>
      </c>
      <c r="AB681">
        <v>76.8874</v>
      </c>
      <c r="AC681">
        <v>500</v>
      </c>
      <c r="AD681" t="s">
        <v>1885</v>
      </c>
      <c r="AE681" t="s">
        <v>245</v>
      </c>
      <c r="AF681" t="s">
        <v>2058</v>
      </c>
      <c r="AG681" t="s">
        <v>1961</v>
      </c>
      <c r="AH681" t="s">
        <v>2</v>
      </c>
      <c r="AI681" t="s">
        <v>2081</v>
      </c>
      <c r="AJ681">
        <v>10.345000000000001</v>
      </c>
      <c r="AK681">
        <v>76.924999999999997</v>
      </c>
      <c r="AL681">
        <v>300</v>
      </c>
      <c r="AV681" t="s">
        <v>2130</v>
      </c>
      <c r="AW681" t="s">
        <v>29</v>
      </c>
      <c r="AX681">
        <v>2316000</v>
      </c>
      <c r="AY681">
        <v>1</v>
      </c>
      <c r="AZ681" t="s">
        <v>2041</v>
      </c>
      <c r="BA681">
        <v>2005</v>
      </c>
      <c r="BB681">
        <v>2005</v>
      </c>
      <c r="BC681" t="s">
        <v>2042</v>
      </c>
      <c r="BD681" t="s">
        <v>2054</v>
      </c>
      <c r="BE681" t="s">
        <v>2133</v>
      </c>
      <c r="BF681" t="s">
        <v>64</v>
      </c>
      <c r="BG681" t="s">
        <v>1743</v>
      </c>
      <c r="EE681" t="s">
        <v>2043</v>
      </c>
      <c r="EF681" t="s">
        <v>2044</v>
      </c>
      <c r="EG681" t="s">
        <v>29</v>
      </c>
      <c r="EI681" t="s">
        <v>2045</v>
      </c>
      <c r="EJ681" s="9" t="s">
        <v>2044</v>
      </c>
      <c r="EK681" s="9" t="s">
        <v>29</v>
      </c>
      <c r="EL681" s="9"/>
      <c r="EM681" s="9" t="s">
        <v>2046</v>
      </c>
      <c r="EN681" s="9" t="s">
        <v>2044</v>
      </c>
      <c r="EO681" s="9" t="s">
        <v>29</v>
      </c>
      <c r="EP681" s="9"/>
      <c r="EQ681" s="9"/>
      <c r="ER681" s="9"/>
      <c r="ES681" s="9"/>
      <c r="ET681" s="9"/>
      <c r="EU681" s="9"/>
      <c r="EV681" s="9"/>
      <c r="EW681" s="9"/>
      <c r="EX681" s="9"/>
      <c r="EY681" s="9"/>
      <c r="EZ681" s="9"/>
      <c r="FA681" s="9"/>
      <c r="FB681" s="9"/>
      <c r="FC681" s="9"/>
      <c r="FD681" s="9"/>
      <c r="FE681" s="9"/>
      <c r="FF681" s="9"/>
      <c r="FG681" s="9"/>
      <c r="FH681" s="9"/>
      <c r="FI681" s="9"/>
      <c r="FJ681" s="9"/>
      <c r="FK681" s="9"/>
      <c r="FL681" s="9"/>
      <c r="FM681" s="9"/>
      <c r="FN681" s="9"/>
      <c r="FO681" s="9"/>
      <c r="FP681" s="9"/>
      <c r="FQ681" s="9"/>
      <c r="FR681" s="9"/>
      <c r="FS681" s="9"/>
      <c r="FT681" s="9"/>
      <c r="FU681" s="9"/>
      <c r="FV681" s="9"/>
      <c r="FW681" s="9"/>
      <c r="FX681" s="9"/>
      <c r="FY681" s="9"/>
      <c r="FZ681" s="9"/>
      <c r="GA681" s="9"/>
      <c r="GB681" s="9"/>
      <c r="GC681" s="9"/>
      <c r="GD681" s="9"/>
      <c r="GE681" s="9"/>
      <c r="GF681" s="9"/>
      <c r="GG681" s="9"/>
      <c r="GH681" s="9"/>
      <c r="GI681" s="9"/>
      <c r="GJ681" s="9"/>
      <c r="GK681" s="9"/>
      <c r="GL681" s="9"/>
      <c r="GM681" s="9"/>
      <c r="GN681" s="9"/>
      <c r="GO681" s="9"/>
      <c r="GP681" s="9"/>
      <c r="GQ681" s="9"/>
      <c r="GR681" s="9"/>
      <c r="GS681" s="9"/>
      <c r="GT681" s="9"/>
      <c r="GU681" s="9"/>
      <c r="GV681" s="9"/>
      <c r="GW681" s="9"/>
      <c r="GX681" s="9"/>
      <c r="GY681" s="9"/>
      <c r="GZ681" s="9"/>
      <c r="HA681" s="9"/>
      <c r="HB681" s="9"/>
      <c r="HC681" s="9"/>
      <c r="HD681" s="9"/>
      <c r="HE681" s="9"/>
      <c r="HF681" s="9"/>
      <c r="HG681" s="9"/>
      <c r="HH681" s="9"/>
      <c r="HI681" s="9"/>
      <c r="HJ681" s="9"/>
      <c r="HK681" s="9"/>
      <c r="HL681" s="9"/>
      <c r="HM681" s="9"/>
      <c r="HZ681" s="58"/>
      <c r="JQ681" s="9"/>
      <c r="KA681" s="9"/>
      <c r="KS681" s="9"/>
      <c r="KT681" s="9"/>
      <c r="KU681" s="9"/>
      <c r="KV681" s="9"/>
      <c r="MZ681" t="s">
        <v>2134</v>
      </c>
      <c r="NA681" t="s">
        <v>29</v>
      </c>
      <c r="NB681" t="s">
        <v>2047</v>
      </c>
      <c r="NC681" t="s">
        <v>2048</v>
      </c>
      <c r="NK681" t="s">
        <v>2140</v>
      </c>
      <c r="NL681" t="s">
        <v>2141</v>
      </c>
      <c r="NM681" t="s">
        <v>203</v>
      </c>
      <c r="NN681" t="s">
        <v>2073</v>
      </c>
      <c r="NV681" t="s">
        <v>2055</v>
      </c>
      <c r="NW681" t="s">
        <v>6</v>
      </c>
      <c r="NX681">
        <v>7.88</v>
      </c>
      <c r="NY681" t="s">
        <v>1446</v>
      </c>
      <c r="NZ681">
        <v>3.73</v>
      </c>
      <c r="OC681">
        <v>4</v>
      </c>
      <c r="OT681" t="s">
        <v>2074</v>
      </c>
      <c r="OU681" t="s">
        <v>6</v>
      </c>
      <c r="OV681">
        <v>2005</v>
      </c>
      <c r="OW681">
        <v>2005</v>
      </c>
      <c r="OX681">
        <v>2005</v>
      </c>
      <c r="PA681" t="s">
        <v>1981</v>
      </c>
      <c r="PB681" s="58" t="s">
        <v>2049</v>
      </c>
      <c r="PG681" t="s">
        <v>2050</v>
      </c>
    </row>
    <row r="682" spans="1:423">
      <c r="A682" s="87" t="s">
        <v>36</v>
      </c>
      <c r="B682" s="87" t="s">
        <v>2038</v>
      </c>
      <c r="C682" s="87" t="s">
        <v>1885</v>
      </c>
      <c r="D682" s="87" t="s">
        <v>245</v>
      </c>
      <c r="E682" s="87" t="s">
        <v>2059</v>
      </c>
      <c r="F682" s="87" t="s">
        <v>1961</v>
      </c>
      <c r="G682" s="87" t="s">
        <v>2</v>
      </c>
      <c r="H682" s="87" t="s">
        <v>2081</v>
      </c>
      <c r="I682" s="87">
        <v>10.33</v>
      </c>
      <c r="J682" s="87">
        <v>76.965000000000003</v>
      </c>
      <c r="K682" s="87">
        <v>500</v>
      </c>
      <c r="L682" s="87" t="s">
        <v>1885</v>
      </c>
      <c r="M682" s="87" t="s">
        <v>245</v>
      </c>
      <c r="N682" s="87" t="s">
        <v>2063</v>
      </c>
      <c r="O682" s="87" t="s">
        <v>1961</v>
      </c>
      <c r="P682" s="87" t="s">
        <v>2</v>
      </c>
      <c r="Q682" s="87" t="s">
        <v>2081</v>
      </c>
      <c r="R682" s="87">
        <v>10.308299999999999</v>
      </c>
      <c r="S682" s="87">
        <v>76.899900000000002</v>
      </c>
      <c r="T682" s="87">
        <v>500</v>
      </c>
      <c r="U682" s="87" t="s">
        <v>1885</v>
      </c>
      <c r="V682" s="87" t="s">
        <v>245</v>
      </c>
      <c r="W682" s="87" t="s">
        <v>2064</v>
      </c>
      <c r="X682" s="87" t="s">
        <v>1961</v>
      </c>
      <c r="Y682" s="87" t="s">
        <v>2</v>
      </c>
      <c r="Z682" s="87" t="s">
        <v>2081</v>
      </c>
      <c r="AA682" s="87">
        <v>10.31</v>
      </c>
      <c r="AB682" s="87">
        <v>76.94</v>
      </c>
      <c r="AC682" s="87">
        <v>300</v>
      </c>
      <c r="AD682" s="87"/>
      <c r="AE682" s="87"/>
      <c r="AF682" s="87"/>
      <c r="AG682" s="87"/>
      <c r="AH682" s="87"/>
      <c r="AI682" s="87"/>
      <c r="AJ682" s="87"/>
      <c r="AK682" s="87"/>
      <c r="AL682" s="87"/>
      <c r="AM682" s="87"/>
      <c r="AN682" s="87"/>
      <c r="AO682" s="87"/>
      <c r="AP682" s="87"/>
      <c r="AQ682" s="87"/>
      <c r="AR682" s="87"/>
      <c r="AS682" s="87"/>
      <c r="AT682" s="87"/>
      <c r="AU682" s="87"/>
      <c r="AV682" s="87" t="s">
        <v>2130</v>
      </c>
      <c r="AW682" s="87" t="s">
        <v>29</v>
      </c>
      <c r="AX682" s="87">
        <v>1671000</v>
      </c>
      <c r="AY682" s="87">
        <v>1</v>
      </c>
      <c r="AZ682" s="87" t="s">
        <v>2041</v>
      </c>
      <c r="BA682" s="87">
        <v>2005</v>
      </c>
      <c r="BB682" s="87">
        <v>2005</v>
      </c>
      <c r="BC682" s="87" t="s">
        <v>2042</v>
      </c>
      <c r="BD682" s="87" t="s">
        <v>2054</v>
      </c>
      <c r="BE682" s="87" t="s">
        <v>2135</v>
      </c>
      <c r="BF682" s="87" t="s">
        <v>57</v>
      </c>
      <c r="BG682" s="87" t="s">
        <v>1743</v>
      </c>
      <c r="BH682" s="87"/>
      <c r="BI682" s="87"/>
      <c r="BJ682" s="87"/>
      <c r="BK682" s="87"/>
      <c r="BL682" s="87"/>
      <c r="BM682" s="87"/>
      <c r="BN682" s="87"/>
      <c r="BO682" s="87"/>
      <c r="BP682" s="87"/>
      <c r="BQ682" s="87"/>
      <c r="BR682" s="87"/>
      <c r="BS682" s="87"/>
      <c r="BT682" s="87"/>
      <c r="BU682" s="87"/>
      <c r="BV682" s="87"/>
      <c r="BW682" s="87"/>
      <c r="BX682" s="87"/>
      <c r="BY682" s="87"/>
      <c r="BZ682" s="87"/>
      <c r="CA682" s="87"/>
      <c r="CB682" s="87"/>
      <c r="CC682" s="87"/>
      <c r="CD682" s="87"/>
      <c r="CE682" s="87"/>
      <c r="CF682" s="87"/>
      <c r="CG682" s="87"/>
      <c r="CH682" s="87"/>
      <c r="CI682" s="87"/>
      <c r="CJ682" s="87"/>
      <c r="CK682" s="87"/>
      <c r="CL682" s="87"/>
      <c r="CM682" s="87"/>
      <c r="CN682" s="87"/>
      <c r="CO682" s="87"/>
      <c r="CP682" s="87"/>
      <c r="CQ682" s="87"/>
      <c r="CR682" s="87"/>
      <c r="CS682" s="87"/>
      <c r="CT682" s="87"/>
      <c r="CU682" s="87"/>
      <c r="CV682" s="87"/>
      <c r="CW682" s="87"/>
      <c r="CX682" s="87"/>
      <c r="CY682" s="87"/>
      <c r="CZ682" s="87"/>
      <c r="DA682" s="87"/>
      <c r="DB682" s="87"/>
      <c r="DC682" s="87"/>
      <c r="DD682" s="87"/>
      <c r="DE682" s="87"/>
      <c r="DF682" s="87"/>
      <c r="DG682" s="87"/>
      <c r="DH682" s="87"/>
      <c r="DI682" s="87"/>
      <c r="DJ682" s="87"/>
      <c r="DK682" s="87"/>
      <c r="DL682" s="87"/>
      <c r="DM682" s="87"/>
      <c r="DN682" s="87"/>
      <c r="DO682" s="87"/>
      <c r="DP682" s="87"/>
      <c r="DQ682" s="87"/>
      <c r="DR682" s="87"/>
      <c r="DS682" s="87"/>
      <c r="DT682" s="87"/>
      <c r="DU682" s="87"/>
      <c r="DV682" s="87"/>
      <c r="DW682" s="87"/>
      <c r="DX682" s="87"/>
      <c r="DY682" s="87"/>
      <c r="DZ682" s="87"/>
      <c r="EA682" s="87"/>
      <c r="EB682" s="87"/>
      <c r="EC682" s="87"/>
      <c r="ED682" s="87"/>
      <c r="EE682" s="87" t="s">
        <v>2043</v>
      </c>
      <c r="EF682" s="87" t="s">
        <v>2044</v>
      </c>
      <c r="EG682" s="87" t="s">
        <v>29</v>
      </c>
      <c r="EH682" s="87"/>
      <c r="EI682" s="87" t="s">
        <v>2045</v>
      </c>
      <c r="EJ682" s="139" t="s">
        <v>2044</v>
      </c>
      <c r="EK682" s="139" t="s">
        <v>29</v>
      </c>
      <c r="EL682" s="139"/>
      <c r="EM682" s="139" t="s">
        <v>2046</v>
      </c>
      <c r="EN682" s="139" t="s">
        <v>2044</v>
      </c>
      <c r="EO682" s="139" t="s">
        <v>29</v>
      </c>
      <c r="EP682" s="139"/>
      <c r="EQ682" s="139" t="s">
        <v>2060</v>
      </c>
      <c r="ER682" s="139" t="s">
        <v>2044</v>
      </c>
      <c r="ES682" s="139" t="s">
        <v>29</v>
      </c>
      <c r="ET682" s="139"/>
      <c r="EU682" s="139" t="s">
        <v>2061</v>
      </c>
      <c r="EV682" s="139" t="s">
        <v>2044</v>
      </c>
      <c r="EW682" s="139" t="s">
        <v>29</v>
      </c>
      <c r="EX682" s="139"/>
      <c r="EY682" s="139"/>
      <c r="EZ682" s="139"/>
      <c r="FA682" s="139"/>
      <c r="FB682" s="139"/>
      <c r="FC682" s="139"/>
      <c r="FD682" s="139"/>
      <c r="FE682" s="139"/>
      <c r="FF682" s="139"/>
      <c r="FG682" s="139"/>
      <c r="FH682" s="139"/>
      <c r="FI682" s="139"/>
      <c r="FJ682" s="139"/>
      <c r="FK682" s="139"/>
      <c r="FL682" s="139"/>
      <c r="FM682" s="139"/>
      <c r="FN682" s="139"/>
      <c r="FO682" s="139"/>
      <c r="FP682" s="139"/>
      <c r="FQ682" s="139"/>
      <c r="FR682" s="139"/>
      <c r="FS682" s="139"/>
      <c r="FT682" s="139"/>
      <c r="FU682" s="139"/>
      <c r="FV682" s="139"/>
      <c r="FW682" s="139"/>
      <c r="FX682" s="139"/>
      <c r="FY682" s="139"/>
      <c r="FZ682" s="139"/>
      <c r="GA682" s="139"/>
      <c r="GB682" s="139"/>
      <c r="GC682" s="139"/>
      <c r="GD682" s="139"/>
      <c r="GE682" s="139"/>
      <c r="GF682" s="139"/>
      <c r="GG682" s="139"/>
      <c r="GH682" s="139"/>
      <c r="GI682" s="139"/>
      <c r="GJ682" s="139"/>
      <c r="GK682" s="139"/>
      <c r="GL682" s="139"/>
      <c r="GM682" s="139"/>
      <c r="GN682" s="139"/>
      <c r="GO682" s="139"/>
      <c r="GP682" s="139"/>
      <c r="GQ682" s="139"/>
      <c r="GR682" s="139"/>
      <c r="GS682" s="139"/>
      <c r="GT682" s="139"/>
      <c r="GU682" s="139"/>
      <c r="GV682" s="139"/>
      <c r="GW682" s="139"/>
      <c r="GX682" s="139"/>
      <c r="GY682" s="139"/>
      <c r="GZ682" s="139"/>
      <c r="HA682" s="139"/>
      <c r="HB682" s="139"/>
      <c r="HC682" s="139"/>
      <c r="HD682" s="139"/>
      <c r="HE682" s="139"/>
      <c r="HF682" s="139"/>
      <c r="HG682" s="139"/>
      <c r="HH682" s="139"/>
      <c r="HI682" s="139"/>
      <c r="HJ682" s="139"/>
      <c r="HK682" s="139"/>
      <c r="HL682" s="139"/>
      <c r="HM682" s="139"/>
      <c r="HN682" s="87"/>
      <c r="HO682" s="87"/>
      <c r="HP682" s="87"/>
      <c r="HQ682" s="87"/>
      <c r="HR682" s="87"/>
      <c r="HS682" s="87"/>
      <c r="HT682" s="87"/>
      <c r="HU682" s="87"/>
      <c r="HV682" s="87"/>
      <c r="HW682" s="87"/>
      <c r="HX682" s="87"/>
      <c r="HY682" s="87"/>
      <c r="HZ682" s="140"/>
      <c r="IA682" s="87"/>
      <c r="IB682" s="87"/>
      <c r="IC682" s="87"/>
      <c r="ID682" s="87"/>
      <c r="IE682" s="87"/>
      <c r="IF682" s="87"/>
      <c r="IG682" s="87"/>
      <c r="IH682" s="87"/>
      <c r="II682" s="87"/>
      <c r="IJ682" s="87"/>
      <c r="IK682" s="87"/>
      <c r="IL682" s="87"/>
      <c r="IM682" s="87"/>
      <c r="IN682" s="87"/>
      <c r="IO682" s="87"/>
      <c r="IP682" s="87"/>
      <c r="IQ682" s="87"/>
      <c r="IR682" s="87"/>
      <c r="IS682" s="87"/>
      <c r="IT682" s="87"/>
      <c r="IU682" s="87"/>
      <c r="IV682" s="87"/>
      <c r="IW682" s="87"/>
      <c r="IX682" s="87"/>
      <c r="IY682" s="87"/>
      <c r="IZ682" s="87"/>
      <c r="JA682" s="87"/>
      <c r="JB682" s="87"/>
      <c r="JC682" s="87"/>
      <c r="JD682" s="87"/>
      <c r="JE682" s="87"/>
      <c r="JF682" s="87"/>
      <c r="JG682" s="87"/>
      <c r="JH682" s="87"/>
      <c r="JI682" s="87"/>
      <c r="JJ682" s="87"/>
      <c r="JK682" s="87"/>
      <c r="JL682" s="87"/>
      <c r="JM682" s="87"/>
      <c r="JN682" s="87"/>
      <c r="JO682" s="87"/>
      <c r="JP682" s="87"/>
      <c r="JQ682" s="146"/>
      <c r="JR682" s="87"/>
      <c r="JS682" s="87"/>
      <c r="JT682" s="87"/>
      <c r="JU682" s="87"/>
      <c r="JV682" s="87"/>
      <c r="JW682" s="87"/>
      <c r="JX682" s="87"/>
      <c r="JY682" s="87"/>
      <c r="JZ682" s="87"/>
      <c r="KA682" s="146"/>
      <c r="KB682" s="87"/>
      <c r="KC682" s="87"/>
      <c r="KD682" s="87"/>
      <c r="KE682" s="87"/>
      <c r="KF682" s="87"/>
      <c r="KG682" s="87"/>
      <c r="KH682" s="87"/>
      <c r="KI682" s="87"/>
      <c r="KJ682" s="87"/>
      <c r="KK682" s="87"/>
      <c r="KL682" s="87"/>
      <c r="KM682" s="87"/>
      <c r="KN682" s="87"/>
      <c r="KO682" s="87"/>
      <c r="KP682" s="87"/>
      <c r="KQ682" s="87"/>
      <c r="KR682" s="87"/>
      <c r="KS682" s="146"/>
      <c r="KT682" s="146"/>
      <c r="KU682" s="146"/>
      <c r="KV682" s="146"/>
      <c r="KW682" s="87"/>
      <c r="KX682" s="87"/>
      <c r="KY682" s="87"/>
      <c r="KZ682" s="87"/>
      <c r="LA682" s="87"/>
      <c r="LB682" s="87"/>
      <c r="LC682" s="87"/>
      <c r="LD682" s="87"/>
      <c r="LE682" s="87"/>
      <c r="LF682" s="87"/>
      <c r="LG682" s="87"/>
      <c r="LH682" s="87"/>
      <c r="LI682" s="87"/>
      <c r="LJ682" s="87"/>
      <c r="LK682" s="87"/>
      <c r="LL682" s="87"/>
      <c r="LM682" s="87"/>
      <c r="LN682" s="87"/>
      <c r="LO682" s="87"/>
      <c r="LP682" s="87"/>
      <c r="LQ682" s="87"/>
      <c r="LR682" s="87"/>
      <c r="LS682" s="87"/>
      <c r="LT682" s="87"/>
      <c r="LU682" s="87"/>
      <c r="LV682" s="87"/>
      <c r="LW682" s="87"/>
      <c r="LX682" s="87"/>
      <c r="LY682" s="87"/>
      <c r="LZ682" s="87"/>
      <c r="MA682" s="87"/>
      <c r="MB682" s="87"/>
      <c r="MC682" s="87"/>
      <c r="MD682" s="87"/>
      <c r="ME682" s="87"/>
      <c r="MF682" s="87"/>
      <c r="MG682" s="87"/>
      <c r="MH682" s="87"/>
      <c r="MI682" s="87"/>
      <c r="MJ682" s="87"/>
      <c r="MK682" s="87"/>
      <c r="ML682" s="87"/>
      <c r="MM682" s="87"/>
      <c r="MN682" s="87"/>
      <c r="MO682" s="87"/>
      <c r="MP682" s="87"/>
      <c r="MQ682" s="87"/>
      <c r="MR682" s="87"/>
      <c r="MS682" s="87"/>
      <c r="MT682" s="87"/>
      <c r="MU682" s="87"/>
      <c r="MV682" s="87"/>
      <c r="MW682" s="87"/>
      <c r="MX682" s="87"/>
      <c r="MY682" s="87"/>
      <c r="MZ682" s="87" t="s">
        <v>2136</v>
      </c>
      <c r="NA682" s="87" t="s">
        <v>29</v>
      </c>
      <c r="NB682" s="87" t="s">
        <v>2047</v>
      </c>
      <c r="NC682" s="87" t="s">
        <v>2048</v>
      </c>
      <c r="ND682" s="87"/>
      <c r="NE682" s="87"/>
      <c r="NF682" s="87"/>
      <c r="NG682" s="87"/>
      <c r="NH682" s="87"/>
      <c r="NI682" s="87"/>
      <c r="NJ682" s="87"/>
      <c r="NK682" s="87" t="s">
        <v>2140</v>
      </c>
      <c r="NL682" s="87" t="s">
        <v>2141</v>
      </c>
      <c r="NM682" s="87" t="s">
        <v>203</v>
      </c>
      <c r="NN682" s="87" t="s">
        <v>2073</v>
      </c>
      <c r="NO682" s="87"/>
      <c r="NP682" s="87"/>
      <c r="NQ682" s="87"/>
      <c r="NR682" s="87"/>
      <c r="NS682" s="87"/>
      <c r="NT682" s="87"/>
      <c r="NU682" s="87"/>
      <c r="NV682" s="87" t="s">
        <v>2062</v>
      </c>
      <c r="NW682" s="87" t="s">
        <v>6</v>
      </c>
      <c r="NX682" s="87">
        <v>6.67</v>
      </c>
      <c r="NY682" s="87" t="s">
        <v>1446</v>
      </c>
      <c r="NZ682" s="87">
        <v>2.4</v>
      </c>
      <c r="OA682" s="87"/>
      <c r="OB682" s="87"/>
      <c r="OC682" s="87">
        <v>3</v>
      </c>
      <c r="OD682" s="87"/>
      <c r="OE682" s="87"/>
      <c r="OF682" s="87"/>
      <c r="OG682" s="87"/>
      <c r="OH682" s="87"/>
      <c r="OI682" s="87"/>
      <c r="OJ682" s="87"/>
      <c r="OK682" s="87"/>
      <c r="OL682" s="87"/>
      <c r="OM682" s="87"/>
      <c r="ON682" s="87"/>
      <c r="OO682" s="87"/>
      <c r="OP682" s="87"/>
      <c r="OQ682" s="87"/>
      <c r="OR682" s="87"/>
      <c r="OS682" s="87"/>
      <c r="OT682" s="87" t="s">
        <v>2074</v>
      </c>
      <c r="OU682" s="87" t="s">
        <v>6</v>
      </c>
      <c r="OV682" s="87">
        <v>2005</v>
      </c>
      <c r="OW682" s="87">
        <v>2005</v>
      </c>
      <c r="OX682" s="87">
        <v>2005</v>
      </c>
      <c r="OY682" s="87"/>
      <c r="OZ682" s="87"/>
      <c r="PA682" s="87" t="s">
        <v>1981</v>
      </c>
      <c r="PB682" s="140" t="s">
        <v>2049</v>
      </c>
      <c r="PC682" s="87"/>
      <c r="PD682" s="87"/>
      <c r="PE682" s="87"/>
      <c r="PF682" s="87"/>
      <c r="PG682" s="138" t="s">
        <v>2050</v>
      </c>
    </row>
    <row r="683" spans="1:423">
      <c r="A683" t="s">
        <v>36</v>
      </c>
      <c r="B683" t="s">
        <v>2038</v>
      </c>
      <c r="C683" t="s">
        <v>1885</v>
      </c>
      <c r="D683" t="s">
        <v>245</v>
      </c>
      <c r="E683" t="s">
        <v>2065</v>
      </c>
      <c r="F683" t="s">
        <v>1804</v>
      </c>
      <c r="G683" t="s">
        <v>2</v>
      </c>
      <c r="H683" t="s">
        <v>2081</v>
      </c>
      <c r="I683">
        <v>10.29</v>
      </c>
      <c r="J683">
        <v>76.875</v>
      </c>
      <c r="K683">
        <v>600</v>
      </c>
      <c r="L683" t="s">
        <v>1885</v>
      </c>
      <c r="M683" t="s">
        <v>245</v>
      </c>
      <c r="N683" t="s">
        <v>2071</v>
      </c>
      <c r="O683" t="s">
        <v>1804</v>
      </c>
      <c r="P683" t="s">
        <v>2</v>
      </c>
      <c r="Q683" t="s">
        <v>2081</v>
      </c>
      <c r="R683">
        <v>10.348000000000001</v>
      </c>
      <c r="S683">
        <v>76.935000000000002</v>
      </c>
      <c r="T683">
        <v>600</v>
      </c>
      <c r="AV683" t="s">
        <v>2130</v>
      </c>
      <c r="AW683" t="s">
        <v>29</v>
      </c>
      <c r="AX683">
        <v>1838000</v>
      </c>
      <c r="AY683">
        <v>1</v>
      </c>
      <c r="AZ683" t="s">
        <v>2041</v>
      </c>
      <c r="BA683">
        <v>2005</v>
      </c>
      <c r="BB683">
        <v>2005</v>
      </c>
      <c r="BC683" t="s">
        <v>2042</v>
      </c>
      <c r="BD683" t="s">
        <v>1983</v>
      </c>
      <c r="BE683" t="s">
        <v>2137</v>
      </c>
      <c r="BF683" t="s">
        <v>48</v>
      </c>
      <c r="BG683" t="s">
        <v>1233</v>
      </c>
      <c r="BH683" t="s">
        <v>1821</v>
      </c>
      <c r="BI683" t="s">
        <v>29</v>
      </c>
      <c r="BJ683" t="s">
        <v>29</v>
      </c>
      <c r="BK683" t="s">
        <v>29</v>
      </c>
      <c r="EE683" t="s">
        <v>2066</v>
      </c>
      <c r="EF683" t="s">
        <v>29</v>
      </c>
      <c r="EG683" t="s">
        <v>29</v>
      </c>
      <c r="EI683" t="s">
        <v>2046</v>
      </c>
      <c r="EJ683" s="9" t="s">
        <v>29</v>
      </c>
      <c r="EK683" s="9" t="s">
        <v>29</v>
      </c>
      <c r="EL683" s="9"/>
      <c r="EM683" s="9" t="s">
        <v>2043</v>
      </c>
      <c r="EN683" s="9" t="s">
        <v>29</v>
      </c>
      <c r="EO683" s="9" t="s">
        <v>29</v>
      </c>
      <c r="EP683" s="9"/>
      <c r="EQ683" s="9" t="s">
        <v>2045</v>
      </c>
      <c r="ER683" s="9" t="s">
        <v>29</v>
      </c>
      <c r="ES683" s="9" t="s">
        <v>29</v>
      </c>
      <c r="ET683" s="9"/>
      <c r="EU683" s="9" t="s">
        <v>2072</v>
      </c>
      <c r="EV683" s="9" t="s">
        <v>29</v>
      </c>
      <c r="EW683" s="9" t="s">
        <v>29</v>
      </c>
      <c r="EX683" s="9"/>
      <c r="EY683" s="9"/>
      <c r="EZ683" s="9"/>
      <c r="FA683" s="9"/>
      <c r="FB683" s="9"/>
      <c r="FC683" s="9"/>
      <c r="FD683" s="9"/>
      <c r="FE683" s="9"/>
      <c r="FF683" s="9"/>
      <c r="FG683" s="9"/>
      <c r="FH683" s="9"/>
      <c r="FI683" s="9"/>
      <c r="FJ683" s="9"/>
      <c r="FK683" s="9"/>
      <c r="FL683" s="9"/>
      <c r="FM683" s="9"/>
      <c r="FN683" s="9"/>
      <c r="FO683" s="9"/>
      <c r="FP683" s="9"/>
      <c r="FQ683" s="9"/>
      <c r="FR683" s="9"/>
      <c r="FS683" s="9"/>
      <c r="FT683" s="9"/>
      <c r="FU683" s="9"/>
      <c r="FV683" s="9"/>
      <c r="FW683" s="9"/>
      <c r="FX683" s="9"/>
      <c r="FY683" s="9"/>
      <c r="FZ683" s="9"/>
      <c r="GA683" s="9"/>
      <c r="GB683" s="9"/>
      <c r="GC683" s="9"/>
      <c r="GD683" s="9"/>
      <c r="GE683" s="9"/>
      <c r="GF683" s="9"/>
      <c r="GG683" s="9"/>
      <c r="GH683" s="9"/>
      <c r="GI683" s="9"/>
      <c r="GJ683" s="9"/>
      <c r="GK683" s="9"/>
      <c r="GL683" s="9"/>
      <c r="GM683" s="9"/>
      <c r="GN683" s="9"/>
      <c r="GO683" s="9"/>
      <c r="GP683" s="9"/>
      <c r="GQ683" s="9"/>
      <c r="GR683" s="9"/>
      <c r="GS683" s="9"/>
      <c r="GT683" s="9"/>
      <c r="GU683" s="9"/>
      <c r="GV683" s="9"/>
      <c r="GW683" s="9"/>
      <c r="GX683" s="9"/>
      <c r="GY683" s="9"/>
      <c r="GZ683" s="9"/>
      <c r="HA683" s="9"/>
      <c r="HB683" s="9"/>
      <c r="HC683" s="9"/>
      <c r="HD683" s="9"/>
      <c r="HE683" s="9"/>
      <c r="HF683" s="9"/>
      <c r="HG683" s="9"/>
      <c r="HH683" s="9"/>
      <c r="HI683" s="9"/>
      <c r="HJ683" s="9"/>
      <c r="HK683" s="9"/>
      <c r="HL683" s="9"/>
      <c r="HM683" s="9"/>
      <c r="HZ683" s="58"/>
      <c r="IW683" t="s">
        <v>2067</v>
      </c>
      <c r="IX683" t="s">
        <v>1990</v>
      </c>
      <c r="JK683" t="s">
        <v>2068</v>
      </c>
      <c r="JL683" t="s">
        <v>2069</v>
      </c>
      <c r="JQ683" s="9"/>
      <c r="KA683" s="9"/>
      <c r="KF683" t="s">
        <v>2138</v>
      </c>
      <c r="KG683" t="s">
        <v>1548</v>
      </c>
      <c r="KS683" s="9"/>
      <c r="KT683" s="9"/>
      <c r="KU683" s="9"/>
      <c r="KV683" s="9"/>
      <c r="MZ683" t="s">
        <v>2139</v>
      </c>
      <c r="NA683" t="s">
        <v>29</v>
      </c>
      <c r="NB683" t="s">
        <v>2047</v>
      </c>
      <c r="NC683" t="s">
        <v>2048</v>
      </c>
      <c r="NK683" t="s">
        <v>2140</v>
      </c>
      <c r="NL683" t="s">
        <v>2141</v>
      </c>
      <c r="NM683" t="s">
        <v>203</v>
      </c>
      <c r="NN683" t="s">
        <v>2073</v>
      </c>
      <c r="NV683" t="s">
        <v>2070</v>
      </c>
      <c r="NW683" t="s">
        <v>6</v>
      </c>
      <c r="NX683">
        <v>11.5</v>
      </c>
      <c r="NY683" t="s">
        <v>1446</v>
      </c>
      <c r="NZ683">
        <v>3.82</v>
      </c>
      <c r="OC683">
        <v>2</v>
      </c>
      <c r="OT683" t="s">
        <v>2074</v>
      </c>
      <c r="OU683" t="s">
        <v>6</v>
      </c>
      <c r="OV683">
        <v>2005</v>
      </c>
      <c r="OW683">
        <v>2005</v>
      </c>
      <c r="OX683">
        <v>2005</v>
      </c>
      <c r="PA683" t="s">
        <v>1981</v>
      </c>
      <c r="PB683" s="58" t="s">
        <v>2049</v>
      </c>
      <c r="PG683" t="s">
        <v>2050</v>
      </c>
    </row>
    <row r="684" spans="1:423">
      <c r="A684" s="87" t="s">
        <v>36</v>
      </c>
      <c r="B684" s="87" t="s">
        <v>2038</v>
      </c>
      <c r="C684" s="87" t="s">
        <v>1885</v>
      </c>
      <c r="D684" s="87" t="s">
        <v>2039</v>
      </c>
      <c r="E684" s="87" t="s">
        <v>2040</v>
      </c>
      <c r="F684" s="87" t="s">
        <v>1959</v>
      </c>
      <c r="G684" s="87" t="s">
        <v>2</v>
      </c>
      <c r="H684" s="87" t="s">
        <v>2081</v>
      </c>
      <c r="I684" s="87">
        <v>10.3622</v>
      </c>
      <c r="J684" s="87">
        <v>76.980199999999996</v>
      </c>
      <c r="K684" s="87">
        <v>3000</v>
      </c>
      <c r="L684" s="87" t="s">
        <v>1885</v>
      </c>
      <c r="M684" s="87" t="s">
        <v>2039</v>
      </c>
      <c r="N684" s="87" t="s">
        <v>2051</v>
      </c>
      <c r="O684" s="87" t="s">
        <v>1959</v>
      </c>
      <c r="P684" s="87" t="s">
        <v>2</v>
      </c>
      <c r="Q684" s="87" t="s">
        <v>2081</v>
      </c>
      <c r="R684" s="87">
        <v>10.385</v>
      </c>
      <c r="S684" s="87">
        <v>76.95</v>
      </c>
      <c r="T684" s="87">
        <v>1000</v>
      </c>
      <c r="U684" s="87" t="s">
        <v>1885</v>
      </c>
      <c r="V684" s="87" t="s">
        <v>2039</v>
      </c>
      <c r="W684" s="87" t="s">
        <v>2052</v>
      </c>
      <c r="X684" s="87" t="s">
        <v>1959</v>
      </c>
      <c r="Y684" s="87" t="s">
        <v>2</v>
      </c>
      <c r="Z684" s="87" t="s">
        <v>2081</v>
      </c>
      <c r="AA684" s="87">
        <v>10.234999999999999</v>
      </c>
      <c r="AB684" s="87">
        <v>76.89</v>
      </c>
      <c r="AC684" s="87">
        <v>1500</v>
      </c>
      <c r="AD684" s="87"/>
      <c r="AE684" s="87"/>
      <c r="AF684" s="87"/>
      <c r="AG684" s="87"/>
      <c r="AH684" s="87"/>
      <c r="AI684" s="87"/>
      <c r="AJ684" s="87"/>
      <c r="AK684" s="87"/>
      <c r="AL684" s="87"/>
      <c r="AM684" s="87"/>
      <c r="AN684" s="87"/>
      <c r="AO684" s="87"/>
      <c r="AP684" s="87"/>
      <c r="AQ684" s="87"/>
      <c r="AR684" s="87"/>
      <c r="AS684" s="87"/>
      <c r="AT684" s="87"/>
      <c r="AU684" s="87"/>
      <c r="AV684" s="87" t="s">
        <v>2130</v>
      </c>
      <c r="AW684" s="87" t="s">
        <v>29</v>
      </c>
      <c r="AX684" s="87">
        <v>29850000</v>
      </c>
      <c r="AY684" s="87">
        <v>1</v>
      </c>
      <c r="AZ684" s="87" t="s">
        <v>2041</v>
      </c>
      <c r="BA684" s="87">
        <v>2005</v>
      </c>
      <c r="BB684" s="87">
        <v>2005</v>
      </c>
      <c r="BC684" s="87" t="s">
        <v>2042</v>
      </c>
      <c r="BD684" s="87" t="s">
        <v>1836</v>
      </c>
      <c r="BE684" s="87" t="s">
        <v>2131</v>
      </c>
      <c r="BF684" s="87" t="s">
        <v>39</v>
      </c>
      <c r="BG684" s="87" t="s">
        <v>1743</v>
      </c>
      <c r="BH684" s="87"/>
      <c r="BI684" s="87"/>
      <c r="BJ684" s="87"/>
      <c r="BK684" s="87"/>
      <c r="BL684" s="87"/>
      <c r="BM684" s="87"/>
      <c r="BN684" s="87"/>
      <c r="BO684" s="87"/>
      <c r="BP684" s="87"/>
      <c r="BQ684" s="87"/>
      <c r="BR684" s="87"/>
      <c r="BS684" s="87"/>
      <c r="BT684" s="87"/>
      <c r="BU684" s="87"/>
      <c r="BV684" s="87"/>
      <c r="BW684" s="87"/>
      <c r="BX684" s="87"/>
      <c r="BY684" s="87"/>
      <c r="BZ684" s="87"/>
      <c r="CA684" s="87"/>
      <c r="CB684" s="87"/>
      <c r="CC684" s="87"/>
      <c r="CD684" s="87"/>
      <c r="CE684" s="87"/>
      <c r="CF684" s="87"/>
      <c r="CG684" s="87"/>
      <c r="CH684" s="87"/>
      <c r="CI684" s="87"/>
      <c r="CJ684" s="87"/>
      <c r="CK684" s="87"/>
      <c r="CL684" s="87"/>
      <c r="CM684" s="87"/>
      <c r="CN684" s="87"/>
      <c r="CO684" s="87"/>
      <c r="CP684" s="87"/>
      <c r="CQ684" s="87"/>
      <c r="CR684" s="87"/>
      <c r="CS684" s="87"/>
      <c r="CT684" s="87"/>
      <c r="CU684" s="87"/>
      <c r="CV684" s="87"/>
      <c r="CW684" s="87"/>
      <c r="CX684" s="87"/>
      <c r="CY684" s="87"/>
      <c r="CZ684" s="87"/>
      <c r="DA684" s="87"/>
      <c r="DB684" s="87"/>
      <c r="DC684" s="87"/>
      <c r="DD684" s="87"/>
      <c r="DE684" s="87"/>
      <c r="DF684" s="87"/>
      <c r="DG684" s="87"/>
      <c r="DH684" s="87"/>
      <c r="DI684" s="87"/>
      <c r="DJ684" s="87"/>
      <c r="DK684" s="87"/>
      <c r="DL684" s="87"/>
      <c r="DM684" s="87"/>
      <c r="DN684" s="87"/>
      <c r="DO684" s="87"/>
      <c r="DP684" s="87"/>
      <c r="DQ684" s="87"/>
      <c r="DR684" s="87"/>
      <c r="DS684" s="87"/>
      <c r="DT684" s="87"/>
      <c r="DU684" s="87"/>
      <c r="DV684" s="87"/>
      <c r="DW684" s="87"/>
      <c r="DX684" s="87"/>
      <c r="DY684" s="87"/>
      <c r="DZ684" s="87"/>
      <c r="EA684" s="87"/>
      <c r="EB684" s="87"/>
      <c r="EC684" s="87"/>
      <c r="ED684" s="87"/>
      <c r="EE684" s="87" t="s">
        <v>2043</v>
      </c>
      <c r="EF684" s="87" t="s">
        <v>2044</v>
      </c>
      <c r="EG684" s="87" t="s">
        <v>29</v>
      </c>
      <c r="EH684" s="87"/>
      <c r="EI684" s="87" t="s">
        <v>2045</v>
      </c>
      <c r="EJ684" s="139" t="s">
        <v>2044</v>
      </c>
      <c r="EK684" s="139" t="s">
        <v>29</v>
      </c>
      <c r="EL684" s="139"/>
      <c r="EM684" s="139" t="s">
        <v>2046</v>
      </c>
      <c r="EN684" s="139" t="s">
        <v>2044</v>
      </c>
      <c r="EO684" s="139" t="s">
        <v>29</v>
      </c>
      <c r="EP684" s="139"/>
      <c r="EQ684" s="139"/>
      <c r="ER684" s="139"/>
      <c r="ES684" s="139"/>
      <c r="ET684" s="139"/>
      <c r="EU684" s="139"/>
      <c r="EV684" s="139"/>
      <c r="EW684" s="139"/>
      <c r="EX684" s="139"/>
      <c r="EY684" s="139"/>
      <c r="EZ684" s="139"/>
      <c r="FA684" s="139"/>
      <c r="FB684" s="139"/>
      <c r="FC684" s="139"/>
      <c r="FD684" s="139"/>
      <c r="FE684" s="139"/>
      <c r="FF684" s="139"/>
      <c r="FG684" s="139"/>
      <c r="FH684" s="139"/>
      <c r="FI684" s="139"/>
      <c r="FJ684" s="139"/>
      <c r="FK684" s="139"/>
      <c r="FL684" s="139"/>
      <c r="FM684" s="139"/>
      <c r="FN684" s="139"/>
      <c r="FO684" s="139"/>
      <c r="FP684" s="139"/>
      <c r="FQ684" s="139"/>
      <c r="FR684" s="139"/>
      <c r="FS684" s="139"/>
      <c r="FT684" s="139"/>
      <c r="FU684" s="139"/>
      <c r="FV684" s="139"/>
      <c r="FW684" s="139"/>
      <c r="FX684" s="139"/>
      <c r="FY684" s="139"/>
      <c r="FZ684" s="139"/>
      <c r="GA684" s="139"/>
      <c r="GB684" s="139"/>
      <c r="GC684" s="139"/>
      <c r="GD684" s="139"/>
      <c r="GE684" s="139"/>
      <c r="GF684" s="139"/>
      <c r="GG684" s="139"/>
      <c r="GH684" s="139"/>
      <c r="GI684" s="139"/>
      <c r="GJ684" s="139"/>
      <c r="GK684" s="139"/>
      <c r="GL684" s="139"/>
      <c r="GM684" s="139"/>
      <c r="GN684" s="139"/>
      <c r="GO684" s="139"/>
      <c r="GP684" s="139"/>
      <c r="GQ684" s="139"/>
      <c r="GR684" s="139"/>
      <c r="GS684" s="139"/>
      <c r="GT684" s="139"/>
      <c r="GU684" s="139"/>
      <c r="GV684" s="139"/>
      <c r="GW684" s="139"/>
      <c r="GX684" s="139"/>
      <c r="GY684" s="139"/>
      <c r="GZ684" s="139"/>
      <c r="HA684" s="139"/>
      <c r="HB684" s="139"/>
      <c r="HC684" s="139"/>
      <c r="HD684" s="139"/>
      <c r="HE684" s="139"/>
      <c r="HF684" s="139"/>
      <c r="HG684" s="139"/>
      <c r="HH684" s="139"/>
      <c r="HI684" s="139"/>
      <c r="HJ684" s="139"/>
      <c r="HK684" s="139"/>
      <c r="HL684" s="139"/>
      <c r="HM684" s="139"/>
      <c r="HN684" s="87"/>
      <c r="HO684" s="87"/>
      <c r="HP684" s="87"/>
      <c r="HQ684" s="87"/>
      <c r="HR684" s="87"/>
      <c r="HS684" s="87"/>
      <c r="HT684" s="87"/>
      <c r="HU684" s="87"/>
      <c r="HV684" s="87"/>
      <c r="HW684" s="87"/>
      <c r="HX684" s="87"/>
      <c r="HY684" s="87"/>
      <c r="HZ684" s="140"/>
      <c r="IA684" s="87"/>
      <c r="IB684" s="87"/>
      <c r="IC684" s="87"/>
      <c r="ID684" s="87"/>
      <c r="IE684" s="87"/>
      <c r="IF684" s="87"/>
      <c r="IG684" s="87"/>
      <c r="IH684" s="87"/>
      <c r="II684" s="87"/>
      <c r="IJ684" s="87"/>
      <c r="IK684" s="87"/>
      <c r="IL684" s="87"/>
      <c r="IM684" s="87"/>
      <c r="IN684" s="87"/>
      <c r="IO684" s="87"/>
      <c r="IP684" s="87"/>
      <c r="IQ684" s="87"/>
      <c r="IR684" s="87"/>
      <c r="IS684" s="87"/>
      <c r="IT684" s="87"/>
      <c r="IU684" s="87"/>
      <c r="IV684" s="87"/>
      <c r="IW684" s="87"/>
      <c r="IX684" s="87"/>
      <c r="IY684" s="87"/>
      <c r="IZ684" s="87"/>
      <c r="JA684" s="87"/>
      <c r="JB684" s="87"/>
      <c r="JC684" s="87"/>
      <c r="JD684" s="87"/>
      <c r="JE684" s="87"/>
      <c r="JF684" s="87"/>
      <c r="JG684" s="87"/>
      <c r="JH684" s="87"/>
      <c r="JI684" s="87"/>
      <c r="JJ684" s="87"/>
      <c r="JK684" s="87"/>
      <c r="JL684" s="87"/>
      <c r="JM684" s="87"/>
      <c r="JN684" s="87"/>
      <c r="JO684" s="87"/>
      <c r="JP684" s="87"/>
      <c r="JQ684" s="146"/>
      <c r="JR684" s="87"/>
      <c r="JS684" s="87"/>
      <c r="JT684" s="87"/>
      <c r="JU684" s="87"/>
      <c r="JV684" s="87"/>
      <c r="JW684" s="87"/>
      <c r="JX684" s="87"/>
      <c r="JY684" s="87"/>
      <c r="JZ684" s="87"/>
      <c r="KA684" s="146"/>
      <c r="KB684" s="87"/>
      <c r="KC684" s="87"/>
      <c r="KD684" s="87"/>
      <c r="KE684" s="87"/>
      <c r="KF684" s="87"/>
      <c r="KG684" s="87"/>
      <c r="KH684" s="87"/>
      <c r="KI684" s="87"/>
      <c r="KJ684" s="87"/>
      <c r="KK684" s="87"/>
      <c r="KL684" s="87"/>
      <c r="KM684" s="87"/>
      <c r="KN684" s="87"/>
      <c r="KO684" s="87"/>
      <c r="KP684" s="87"/>
      <c r="KQ684" s="87"/>
      <c r="KR684" s="87"/>
      <c r="KS684" s="146"/>
      <c r="KT684" s="146"/>
      <c r="KU684" s="146"/>
      <c r="KV684" s="146"/>
      <c r="KW684" s="87"/>
      <c r="KX684" s="87"/>
      <c r="KY684" s="87"/>
      <c r="KZ684" s="87"/>
      <c r="LA684" s="87"/>
      <c r="LB684" s="87"/>
      <c r="LC684" s="87"/>
      <c r="LD684" s="87"/>
      <c r="LE684" s="87"/>
      <c r="LF684" s="87"/>
      <c r="LG684" s="87"/>
      <c r="LH684" s="87"/>
      <c r="LI684" s="87"/>
      <c r="LJ684" s="87"/>
      <c r="LK684" s="87"/>
      <c r="LL684" s="87"/>
      <c r="LM684" s="87"/>
      <c r="LN684" s="87"/>
      <c r="LO684" s="87"/>
      <c r="LP684" s="87"/>
      <c r="LQ684" s="87"/>
      <c r="LR684" s="87"/>
      <c r="LS684" s="87"/>
      <c r="LT684" s="87"/>
      <c r="LU684" s="87"/>
      <c r="LV684" s="87"/>
      <c r="LW684" s="87"/>
      <c r="LX684" s="87"/>
      <c r="LY684" s="87"/>
      <c r="LZ684" s="87"/>
      <c r="MA684" s="87"/>
      <c r="MB684" s="87"/>
      <c r="MC684" s="87"/>
      <c r="MD684" s="87"/>
      <c r="ME684" s="87"/>
      <c r="MF684" s="87"/>
      <c r="MG684" s="87"/>
      <c r="MH684" s="87"/>
      <c r="MI684" s="87"/>
      <c r="MJ684" s="87"/>
      <c r="MK684" s="87"/>
      <c r="ML684" s="87"/>
      <c r="MM684" s="87"/>
      <c r="MN684" s="87"/>
      <c r="MO684" s="87"/>
      <c r="MP684" s="87"/>
      <c r="MQ684" s="87"/>
      <c r="MR684" s="87"/>
      <c r="MS684" s="87"/>
      <c r="MT684" s="87"/>
      <c r="MU684" s="87"/>
      <c r="MV684" s="87"/>
      <c r="MW684" s="87"/>
      <c r="MX684" s="87"/>
      <c r="MY684" s="87"/>
      <c r="MZ684" s="87" t="s">
        <v>2132</v>
      </c>
      <c r="NA684" s="87" t="s">
        <v>29</v>
      </c>
      <c r="NB684" s="87" t="s">
        <v>2047</v>
      </c>
      <c r="NC684" s="87" t="s">
        <v>2048</v>
      </c>
      <c r="ND684" s="87"/>
      <c r="NE684" s="87"/>
      <c r="NF684" s="87"/>
      <c r="NG684" s="87"/>
      <c r="NH684" s="87"/>
      <c r="NI684" s="87"/>
      <c r="NJ684" s="87"/>
      <c r="NK684" s="87" t="s">
        <v>2142</v>
      </c>
      <c r="NL684" s="87" t="s">
        <v>2143</v>
      </c>
      <c r="NM684" s="87" t="s">
        <v>1751</v>
      </c>
      <c r="NN684" s="87" t="s">
        <v>2075</v>
      </c>
      <c r="NO684" s="87"/>
      <c r="NP684" s="87"/>
      <c r="NQ684" s="87"/>
      <c r="NR684" s="87"/>
      <c r="NS684" s="87"/>
      <c r="NT684" s="87"/>
      <c r="NU684" s="87"/>
      <c r="NV684" s="87" t="s">
        <v>1828</v>
      </c>
      <c r="NW684" s="87" t="s">
        <v>6</v>
      </c>
      <c r="NX684" s="87">
        <v>2.63</v>
      </c>
      <c r="NY684" s="87" t="s">
        <v>1446</v>
      </c>
      <c r="NZ684" s="87">
        <v>0.53</v>
      </c>
      <c r="OA684" s="87"/>
      <c r="OB684" s="87"/>
      <c r="OC684" s="87">
        <v>3</v>
      </c>
      <c r="OD684" s="87"/>
      <c r="OE684" s="87"/>
      <c r="OF684" s="87"/>
      <c r="OG684" s="87"/>
      <c r="OH684" s="87"/>
      <c r="OI684" s="87"/>
      <c r="OJ684" s="87"/>
      <c r="OK684" s="87"/>
      <c r="OL684" s="87"/>
      <c r="OM684" s="87"/>
      <c r="ON684" s="87"/>
      <c r="OO684" s="87"/>
      <c r="OP684" s="87"/>
      <c r="OQ684" s="87"/>
      <c r="OR684" s="87"/>
      <c r="OS684" s="87"/>
      <c r="OT684" s="87" t="s">
        <v>2076</v>
      </c>
      <c r="OU684" s="87" t="s">
        <v>6</v>
      </c>
      <c r="OV684" s="87">
        <v>2005</v>
      </c>
      <c r="OW684" s="87">
        <v>2005</v>
      </c>
      <c r="OX684" s="87">
        <v>2005</v>
      </c>
      <c r="OY684" s="87"/>
      <c r="OZ684" s="87"/>
      <c r="PA684" s="87" t="s">
        <v>1981</v>
      </c>
      <c r="PB684" s="140" t="s">
        <v>2049</v>
      </c>
      <c r="PC684" s="87"/>
      <c r="PD684" s="87"/>
      <c r="PE684" s="87"/>
      <c r="PF684" s="87"/>
      <c r="PG684" s="138" t="s">
        <v>2050</v>
      </c>
    </row>
    <row r="685" spans="1:423">
      <c r="A685" t="s">
        <v>36</v>
      </c>
      <c r="B685" t="s">
        <v>2038</v>
      </c>
      <c r="C685" t="s">
        <v>1885</v>
      </c>
      <c r="D685" t="s">
        <v>245</v>
      </c>
      <c r="E685" t="s">
        <v>2053</v>
      </c>
      <c r="F685" t="s">
        <v>1961</v>
      </c>
      <c r="G685" t="s">
        <v>2</v>
      </c>
      <c r="H685" t="s">
        <v>2081</v>
      </c>
      <c r="I685">
        <v>10.37</v>
      </c>
      <c r="J685">
        <v>76.984999999999999</v>
      </c>
      <c r="K685">
        <v>500</v>
      </c>
      <c r="L685" t="s">
        <v>1885</v>
      </c>
      <c r="M685" t="s">
        <v>245</v>
      </c>
      <c r="N685" t="s">
        <v>2056</v>
      </c>
      <c r="O685" t="s">
        <v>1961</v>
      </c>
      <c r="P685" t="s">
        <v>2</v>
      </c>
      <c r="Q685" t="s">
        <v>2081</v>
      </c>
      <c r="R685">
        <v>10.3512</v>
      </c>
      <c r="S685">
        <v>76.938400000000001</v>
      </c>
      <c r="T685">
        <v>400</v>
      </c>
      <c r="U685" t="s">
        <v>1885</v>
      </c>
      <c r="V685" t="s">
        <v>245</v>
      </c>
      <c r="W685" t="s">
        <v>2057</v>
      </c>
      <c r="X685" t="s">
        <v>1961</v>
      </c>
      <c r="Y685" t="s">
        <v>2</v>
      </c>
      <c r="Z685" t="s">
        <v>2081</v>
      </c>
      <c r="AA685">
        <v>10.279</v>
      </c>
      <c r="AB685">
        <v>76.8874</v>
      </c>
      <c r="AC685">
        <v>500</v>
      </c>
      <c r="AD685" t="s">
        <v>1885</v>
      </c>
      <c r="AE685" t="s">
        <v>245</v>
      </c>
      <c r="AF685" t="s">
        <v>2058</v>
      </c>
      <c r="AG685" t="s">
        <v>1961</v>
      </c>
      <c r="AH685" t="s">
        <v>2</v>
      </c>
      <c r="AI685" t="s">
        <v>2081</v>
      </c>
      <c r="AJ685">
        <v>10.345000000000001</v>
      </c>
      <c r="AK685">
        <v>76.924999999999997</v>
      </c>
      <c r="AL685">
        <v>300</v>
      </c>
      <c r="AV685" t="s">
        <v>2130</v>
      </c>
      <c r="AW685" t="s">
        <v>29</v>
      </c>
      <c r="AX685">
        <v>2316000</v>
      </c>
      <c r="AY685">
        <v>1</v>
      </c>
      <c r="AZ685" t="s">
        <v>2041</v>
      </c>
      <c r="BA685">
        <v>2005</v>
      </c>
      <c r="BB685">
        <v>2005</v>
      </c>
      <c r="BC685" t="s">
        <v>2042</v>
      </c>
      <c r="BD685" t="s">
        <v>2054</v>
      </c>
      <c r="BE685" t="s">
        <v>2133</v>
      </c>
      <c r="BF685" t="s">
        <v>64</v>
      </c>
      <c r="BG685" t="s">
        <v>1743</v>
      </c>
      <c r="EE685" t="s">
        <v>2043</v>
      </c>
      <c r="EF685" t="s">
        <v>2044</v>
      </c>
      <c r="EG685" t="s">
        <v>29</v>
      </c>
      <c r="EI685" t="s">
        <v>2045</v>
      </c>
      <c r="EJ685" s="9" t="s">
        <v>2044</v>
      </c>
      <c r="EK685" s="9" t="s">
        <v>29</v>
      </c>
      <c r="EL685" s="9"/>
      <c r="EM685" s="9" t="s">
        <v>2046</v>
      </c>
      <c r="EN685" s="9" t="s">
        <v>2044</v>
      </c>
      <c r="EO685" s="9" t="s">
        <v>29</v>
      </c>
      <c r="EP685" s="9"/>
      <c r="EQ685" s="9"/>
      <c r="ER685" s="9"/>
      <c r="ES685" s="9"/>
      <c r="ET685" s="9"/>
      <c r="EU685" s="9"/>
      <c r="EV685" s="9"/>
      <c r="EW685" s="9"/>
      <c r="EX685" s="9"/>
      <c r="EY685" s="9"/>
      <c r="EZ685" s="9"/>
      <c r="FA685" s="9"/>
      <c r="FB685" s="9"/>
      <c r="FC685" s="9"/>
      <c r="FD685" s="9"/>
      <c r="FE685" s="9"/>
      <c r="FF685" s="9"/>
      <c r="FG685" s="9"/>
      <c r="FH685" s="9"/>
      <c r="FI685" s="9"/>
      <c r="FJ685" s="9"/>
      <c r="FK685" s="9"/>
      <c r="FL685" s="9"/>
      <c r="FM685" s="9"/>
      <c r="FN685" s="9"/>
      <c r="FO685" s="9"/>
      <c r="FP685" s="9"/>
      <c r="FQ685" s="9"/>
      <c r="FR685" s="9"/>
      <c r="FS685" s="9"/>
      <c r="FT685" s="9"/>
      <c r="FU685" s="9"/>
      <c r="FV685" s="9"/>
      <c r="FW685" s="9"/>
      <c r="FX685" s="9"/>
      <c r="FY685" s="9"/>
      <c r="FZ685" s="9"/>
      <c r="GA685" s="9"/>
      <c r="GB685" s="9"/>
      <c r="GC685" s="9"/>
      <c r="GD685" s="9"/>
      <c r="GE685" s="9"/>
      <c r="GF685" s="9"/>
      <c r="GG685" s="9"/>
      <c r="GH685" s="9"/>
      <c r="GI685" s="9"/>
      <c r="GJ685" s="9"/>
      <c r="GK685" s="9"/>
      <c r="GL685" s="9"/>
      <c r="GM685" s="9"/>
      <c r="GN685" s="9"/>
      <c r="GO685" s="9"/>
      <c r="GP685" s="9"/>
      <c r="GQ685" s="9"/>
      <c r="GR685" s="9"/>
      <c r="GS685" s="9"/>
      <c r="GT685" s="9"/>
      <c r="GU685" s="9"/>
      <c r="GV685" s="9"/>
      <c r="GW685" s="9"/>
      <c r="GX685" s="9"/>
      <c r="GY685" s="9"/>
      <c r="GZ685" s="9"/>
      <c r="HA685" s="9"/>
      <c r="HB685" s="9"/>
      <c r="HC685" s="9"/>
      <c r="HD685" s="9"/>
      <c r="HE685" s="9"/>
      <c r="HF685" s="9"/>
      <c r="HG685" s="9"/>
      <c r="HH685" s="9"/>
      <c r="HI685" s="9"/>
      <c r="HJ685" s="9"/>
      <c r="HK685" s="9"/>
      <c r="HL685" s="9"/>
      <c r="HM685" s="9"/>
      <c r="HZ685" s="58"/>
      <c r="JQ685" s="9"/>
      <c r="KA685" s="9"/>
      <c r="KS685" s="9"/>
      <c r="KT685" s="9"/>
      <c r="KU685" s="9"/>
      <c r="KV685" s="9"/>
      <c r="MZ685" t="s">
        <v>2134</v>
      </c>
      <c r="NA685" t="s">
        <v>29</v>
      </c>
      <c r="NB685" t="s">
        <v>2047</v>
      </c>
      <c r="NC685" t="s">
        <v>2048</v>
      </c>
      <c r="NK685" t="s">
        <v>2142</v>
      </c>
      <c r="NL685" t="s">
        <v>2143</v>
      </c>
      <c r="NM685" t="s">
        <v>1751</v>
      </c>
      <c r="NN685" t="s">
        <v>2075</v>
      </c>
      <c r="NV685" t="s">
        <v>2055</v>
      </c>
      <c r="NW685" t="s">
        <v>6</v>
      </c>
      <c r="NX685">
        <v>2.7</v>
      </c>
      <c r="NY685" t="s">
        <v>1446</v>
      </c>
      <c r="NZ685">
        <v>0.66</v>
      </c>
      <c r="OC685">
        <v>4</v>
      </c>
      <c r="OT685" t="s">
        <v>2076</v>
      </c>
      <c r="OU685" t="s">
        <v>6</v>
      </c>
      <c r="OV685">
        <v>2005</v>
      </c>
      <c r="OW685">
        <v>2005</v>
      </c>
      <c r="OX685">
        <v>2005</v>
      </c>
      <c r="PA685" t="s">
        <v>1981</v>
      </c>
      <c r="PB685" s="58" t="s">
        <v>2049</v>
      </c>
      <c r="PG685" t="s">
        <v>2050</v>
      </c>
    </row>
    <row r="686" spans="1:423">
      <c r="A686" s="87" t="s">
        <v>36</v>
      </c>
      <c r="B686" s="87" t="s">
        <v>2038</v>
      </c>
      <c r="C686" s="87" t="s">
        <v>1885</v>
      </c>
      <c r="D686" s="87" t="s">
        <v>245</v>
      </c>
      <c r="E686" s="87" t="s">
        <v>2059</v>
      </c>
      <c r="F686" s="87" t="s">
        <v>1961</v>
      </c>
      <c r="G686" s="87" t="s">
        <v>2</v>
      </c>
      <c r="H686" s="87" t="s">
        <v>2081</v>
      </c>
      <c r="I686" s="87">
        <v>10.33</v>
      </c>
      <c r="J686" s="87">
        <v>76.965000000000003</v>
      </c>
      <c r="K686" s="87">
        <v>500</v>
      </c>
      <c r="L686" s="87" t="s">
        <v>1885</v>
      </c>
      <c r="M686" s="87" t="s">
        <v>245</v>
      </c>
      <c r="N686" s="87" t="s">
        <v>2063</v>
      </c>
      <c r="O686" s="87" t="s">
        <v>1961</v>
      </c>
      <c r="P686" s="87" t="s">
        <v>2</v>
      </c>
      <c r="Q686" s="87" t="s">
        <v>2081</v>
      </c>
      <c r="R686" s="87">
        <v>10.308299999999999</v>
      </c>
      <c r="S686" s="87">
        <v>76.899900000000002</v>
      </c>
      <c r="T686" s="87">
        <v>500</v>
      </c>
      <c r="U686" s="87" t="s">
        <v>1885</v>
      </c>
      <c r="V686" s="87" t="s">
        <v>245</v>
      </c>
      <c r="W686" s="87" t="s">
        <v>2064</v>
      </c>
      <c r="X686" s="87" t="s">
        <v>1961</v>
      </c>
      <c r="Y686" s="87" t="s">
        <v>2</v>
      </c>
      <c r="Z686" s="87" t="s">
        <v>2081</v>
      </c>
      <c r="AA686" s="87">
        <v>10.31</v>
      </c>
      <c r="AB686" s="87">
        <v>76.94</v>
      </c>
      <c r="AC686" s="87">
        <v>300</v>
      </c>
      <c r="AD686" s="87"/>
      <c r="AE686" s="87"/>
      <c r="AF686" s="87"/>
      <c r="AG686" s="87"/>
      <c r="AH686" s="87"/>
      <c r="AI686" s="87"/>
      <c r="AJ686" s="87"/>
      <c r="AK686" s="87"/>
      <c r="AL686" s="87"/>
      <c r="AM686" s="87"/>
      <c r="AN686" s="87"/>
      <c r="AO686" s="87"/>
      <c r="AP686" s="87"/>
      <c r="AQ686" s="87"/>
      <c r="AR686" s="87"/>
      <c r="AS686" s="87"/>
      <c r="AT686" s="87"/>
      <c r="AU686" s="87"/>
      <c r="AV686" s="87" t="s">
        <v>2130</v>
      </c>
      <c r="AW686" s="87" t="s">
        <v>29</v>
      </c>
      <c r="AX686" s="87">
        <v>1671000</v>
      </c>
      <c r="AY686" s="87">
        <v>1</v>
      </c>
      <c r="AZ686" s="87" t="s">
        <v>2041</v>
      </c>
      <c r="BA686" s="87">
        <v>2005</v>
      </c>
      <c r="BB686" s="87">
        <v>2005</v>
      </c>
      <c r="BC686" s="87" t="s">
        <v>2042</v>
      </c>
      <c r="BD686" s="87" t="s">
        <v>2054</v>
      </c>
      <c r="BE686" s="87" t="s">
        <v>2135</v>
      </c>
      <c r="BF686" s="87" t="s">
        <v>57</v>
      </c>
      <c r="BG686" s="87" t="s">
        <v>1743</v>
      </c>
      <c r="BH686" s="87"/>
      <c r="BI686" s="87"/>
      <c r="BJ686" s="87"/>
      <c r="BK686" s="87"/>
      <c r="BL686" s="87"/>
      <c r="BM686" s="87"/>
      <c r="BN686" s="87"/>
      <c r="BO686" s="87"/>
      <c r="BP686" s="87"/>
      <c r="BQ686" s="87"/>
      <c r="BR686" s="87"/>
      <c r="BS686" s="87"/>
      <c r="BT686" s="87"/>
      <c r="BU686" s="87"/>
      <c r="BV686" s="87"/>
      <c r="BW686" s="87"/>
      <c r="BX686" s="87"/>
      <c r="BY686" s="87"/>
      <c r="BZ686" s="87"/>
      <c r="CA686" s="87"/>
      <c r="CB686" s="87"/>
      <c r="CC686" s="87"/>
      <c r="CD686" s="87"/>
      <c r="CE686" s="87"/>
      <c r="CF686" s="87"/>
      <c r="CG686" s="87"/>
      <c r="CH686" s="87"/>
      <c r="CI686" s="87"/>
      <c r="CJ686" s="87"/>
      <c r="CK686" s="87"/>
      <c r="CL686" s="87"/>
      <c r="CM686" s="87"/>
      <c r="CN686" s="87"/>
      <c r="CO686" s="87"/>
      <c r="CP686" s="87"/>
      <c r="CQ686" s="87"/>
      <c r="CR686" s="87"/>
      <c r="CS686" s="87"/>
      <c r="CT686" s="87"/>
      <c r="CU686" s="87"/>
      <c r="CV686" s="87"/>
      <c r="CW686" s="87"/>
      <c r="CX686" s="87"/>
      <c r="CY686" s="87"/>
      <c r="CZ686" s="87"/>
      <c r="DA686" s="87"/>
      <c r="DB686" s="87"/>
      <c r="DC686" s="87"/>
      <c r="DD686" s="87"/>
      <c r="DE686" s="87"/>
      <c r="DF686" s="87"/>
      <c r="DG686" s="87"/>
      <c r="DH686" s="87"/>
      <c r="DI686" s="87"/>
      <c r="DJ686" s="87"/>
      <c r="DK686" s="87"/>
      <c r="DL686" s="87"/>
      <c r="DM686" s="87"/>
      <c r="DN686" s="87"/>
      <c r="DO686" s="87"/>
      <c r="DP686" s="87"/>
      <c r="DQ686" s="87"/>
      <c r="DR686" s="87"/>
      <c r="DS686" s="87"/>
      <c r="DT686" s="87"/>
      <c r="DU686" s="87"/>
      <c r="DV686" s="87"/>
      <c r="DW686" s="87"/>
      <c r="DX686" s="87"/>
      <c r="DY686" s="87"/>
      <c r="DZ686" s="87"/>
      <c r="EA686" s="87"/>
      <c r="EB686" s="87"/>
      <c r="EC686" s="87"/>
      <c r="ED686" s="87"/>
      <c r="EE686" s="87" t="s">
        <v>2043</v>
      </c>
      <c r="EF686" s="87" t="s">
        <v>2044</v>
      </c>
      <c r="EG686" s="87" t="s">
        <v>29</v>
      </c>
      <c r="EH686" s="87"/>
      <c r="EI686" s="87" t="s">
        <v>2045</v>
      </c>
      <c r="EJ686" s="139" t="s">
        <v>2044</v>
      </c>
      <c r="EK686" s="139" t="s">
        <v>29</v>
      </c>
      <c r="EL686" s="139"/>
      <c r="EM686" s="139" t="s">
        <v>2046</v>
      </c>
      <c r="EN686" s="139" t="s">
        <v>2044</v>
      </c>
      <c r="EO686" s="139" t="s">
        <v>29</v>
      </c>
      <c r="EP686" s="139"/>
      <c r="EQ686" s="139" t="s">
        <v>2060</v>
      </c>
      <c r="ER686" s="139" t="s">
        <v>2044</v>
      </c>
      <c r="ES686" s="139" t="s">
        <v>29</v>
      </c>
      <c r="ET686" s="139"/>
      <c r="EU686" s="139" t="s">
        <v>2061</v>
      </c>
      <c r="EV686" s="139" t="s">
        <v>2044</v>
      </c>
      <c r="EW686" s="139" t="s">
        <v>29</v>
      </c>
      <c r="EX686" s="139"/>
      <c r="EY686" s="139"/>
      <c r="EZ686" s="139"/>
      <c r="FA686" s="139"/>
      <c r="FB686" s="139"/>
      <c r="FC686" s="139"/>
      <c r="FD686" s="139"/>
      <c r="FE686" s="139"/>
      <c r="FF686" s="139"/>
      <c r="FG686" s="139"/>
      <c r="FH686" s="139"/>
      <c r="FI686" s="139"/>
      <c r="FJ686" s="139"/>
      <c r="FK686" s="139"/>
      <c r="FL686" s="139"/>
      <c r="FM686" s="139"/>
      <c r="FN686" s="139"/>
      <c r="FO686" s="139"/>
      <c r="FP686" s="139"/>
      <c r="FQ686" s="139"/>
      <c r="FR686" s="139"/>
      <c r="FS686" s="139"/>
      <c r="FT686" s="139"/>
      <c r="FU686" s="139"/>
      <c r="FV686" s="139"/>
      <c r="FW686" s="139"/>
      <c r="FX686" s="139"/>
      <c r="FY686" s="139"/>
      <c r="FZ686" s="139"/>
      <c r="GA686" s="139"/>
      <c r="GB686" s="139"/>
      <c r="GC686" s="139"/>
      <c r="GD686" s="139"/>
      <c r="GE686" s="139"/>
      <c r="GF686" s="139"/>
      <c r="GG686" s="139"/>
      <c r="GH686" s="139"/>
      <c r="GI686" s="139"/>
      <c r="GJ686" s="139"/>
      <c r="GK686" s="139"/>
      <c r="GL686" s="139"/>
      <c r="GM686" s="139"/>
      <c r="GN686" s="139"/>
      <c r="GO686" s="139"/>
      <c r="GP686" s="139"/>
      <c r="GQ686" s="139"/>
      <c r="GR686" s="139"/>
      <c r="GS686" s="139"/>
      <c r="GT686" s="139"/>
      <c r="GU686" s="139"/>
      <c r="GV686" s="139"/>
      <c r="GW686" s="139"/>
      <c r="GX686" s="139"/>
      <c r="GY686" s="139"/>
      <c r="GZ686" s="139"/>
      <c r="HA686" s="139"/>
      <c r="HB686" s="139"/>
      <c r="HC686" s="139"/>
      <c r="HD686" s="139"/>
      <c r="HE686" s="139"/>
      <c r="HF686" s="139"/>
      <c r="HG686" s="139"/>
      <c r="HH686" s="139"/>
      <c r="HI686" s="139"/>
      <c r="HJ686" s="139"/>
      <c r="HK686" s="139"/>
      <c r="HL686" s="139"/>
      <c r="HM686" s="139"/>
      <c r="HN686" s="87"/>
      <c r="HO686" s="87"/>
      <c r="HP686" s="87"/>
      <c r="HQ686" s="87"/>
      <c r="HR686" s="87"/>
      <c r="HS686" s="87"/>
      <c r="HT686" s="87"/>
      <c r="HU686" s="87"/>
      <c r="HV686" s="87"/>
      <c r="HW686" s="87"/>
      <c r="HX686" s="87"/>
      <c r="HY686" s="87"/>
      <c r="HZ686" s="140"/>
      <c r="IA686" s="87"/>
      <c r="IB686" s="87"/>
      <c r="IC686" s="87"/>
      <c r="ID686" s="87"/>
      <c r="IE686" s="87"/>
      <c r="IF686" s="87"/>
      <c r="IG686" s="87"/>
      <c r="IH686" s="87"/>
      <c r="II686" s="87"/>
      <c r="IJ686" s="87"/>
      <c r="IK686" s="87"/>
      <c r="IL686" s="87"/>
      <c r="IM686" s="87"/>
      <c r="IN686" s="87"/>
      <c r="IO686" s="87"/>
      <c r="IP686" s="87"/>
      <c r="IQ686" s="87"/>
      <c r="IR686" s="87"/>
      <c r="IS686" s="87"/>
      <c r="IT686" s="87"/>
      <c r="IU686" s="87"/>
      <c r="IV686" s="87"/>
      <c r="IW686" s="87"/>
      <c r="IX686" s="87"/>
      <c r="IY686" s="87"/>
      <c r="IZ686" s="87"/>
      <c r="JA686" s="87"/>
      <c r="JB686" s="87"/>
      <c r="JC686" s="87"/>
      <c r="JD686" s="87"/>
      <c r="JE686" s="87"/>
      <c r="JF686" s="87"/>
      <c r="JG686" s="87"/>
      <c r="JH686" s="87"/>
      <c r="JI686" s="87"/>
      <c r="JJ686" s="87"/>
      <c r="JK686" s="87"/>
      <c r="JL686" s="87"/>
      <c r="JM686" s="87"/>
      <c r="JN686" s="87"/>
      <c r="JO686" s="87"/>
      <c r="JP686" s="87"/>
      <c r="JQ686" s="146"/>
      <c r="JR686" s="87"/>
      <c r="JS686" s="87"/>
      <c r="JT686" s="87"/>
      <c r="JU686" s="87"/>
      <c r="JV686" s="87"/>
      <c r="JW686" s="87"/>
      <c r="JX686" s="87"/>
      <c r="JY686" s="87"/>
      <c r="JZ686" s="87"/>
      <c r="KA686" s="146"/>
      <c r="KB686" s="87"/>
      <c r="KC686" s="87"/>
      <c r="KD686" s="87"/>
      <c r="KE686" s="87"/>
      <c r="KF686" s="87"/>
      <c r="KG686" s="87"/>
      <c r="KH686" s="87"/>
      <c r="KI686" s="87"/>
      <c r="KJ686" s="87"/>
      <c r="KK686" s="87"/>
      <c r="KL686" s="87"/>
      <c r="KM686" s="87"/>
      <c r="KN686" s="87"/>
      <c r="KO686" s="87"/>
      <c r="KP686" s="87"/>
      <c r="KQ686" s="87"/>
      <c r="KR686" s="87"/>
      <c r="KS686" s="146"/>
      <c r="KT686" s="146"/>
      <c r="KU686" s="146"/>
      <c r="KV686" s="146"/>
      <c r="KW686" s="87"/>
      <c r="KX686" s="87"/>
      <c r="KY686" s="87"/>
      <c r="KZ686" s="87"/>
      <c r="LA686" s="87"/>
      <c r="LB686" s="87"/>
      <c r="LC686" s="87"/>
      <c r="LD686" s="87"/>
      <c r="LE686" s="87"/>
      <c r="LF686" s="87"/>
      <c r="LG686" s="87"/>
      <c r="LH686" s="87"/>
      <c r="LI686" s="87"/>
      <c r="LJ686" s="87"/>
      <c r="LK686" s="87"/>
      <c r="LL686" s="87"/>
      <c r="LM686" s="87"/>
      <c r="LN686" s="87"/>
      <c r="LO686" s="87"/>
      <c r="LP686" s="87"/>
      <c r="LQ686" s="87"/>
      <c r="LR686" s="87"/>
      <c r="LS686" s="87"/>
      <c r="LT686" s="87"/>
      <c r="LU686" s="87"/>
      <c r="LV686" s="87"/>
      <c r="LW686" s="87"/>
      <c r="LX686" s="87"/>
      <c r="LY686" s="87"/>
      <c r="LZ686" s="87"/>
      <c r="MA686" s="87"/>
      <c r="MB686" s="87"/>
      <c r="MC686" s="87"/>
      <c r="MD686" s="87"/>
      <c r="ME686" s="87"/>
      <c r="MF686" s="87"/>
      <c r="MG686" s="87"/>
      <c r="MH686" s="87"/>
      <c r="MI686" s="87"/>
      <c r="MJ686" s="87"/>
      <c r="MK686" s="87"/>
      <c r="ML686" s="87"/>
      <c r="MM686" s="87"/>
      <c r="MN686" s="87"/>
      <c r="MO686" s="87"/>
      <c r="MP686" s="87"/>
      <c r="MQ686" s="87"/>
      <c r="MR686" s="87"/>
      <c r="MS686" s="87"/>
      <c r="MT686" s="87"/>
      <c r="MU686" s="87"/>
      <c r="MV686" s="87"/>
      <c r="MW686" s="87"/>
      <c r="MX686" s="87"/>
      <c r="MY686" s="87"/>
      <c r="MZ686" s="87" t="s">
        <v>2136</v>
      </c>
      <c r="NA686" s="87" t="s">
        <v>29</v>
      </c>
      <c r="NB686" s="87" t="s">
        <v>2047</v>
      </c>
      <c r="NC686" s="87" t="s">
        <v>2048</v>
      </c>
      <c r="ND686" s="87"/>
      <c r="NE686" s="87"/>
      <c r="NF686" s="87"/>
      <c r="NG686" s="87"/>
      <c r="NH686" s="87"/>
      <c r="NI686" s="87"/>
      <c r="NJ686" s="87"/>
      <c r="NK686" s="87" t="s">
        <v>2142</v>
      </c>
      <c r="NL686" s="87" t="s">
        <v>2143</v>
      </c>
      <c r="NM686" s="87" t="s">
        <v>1751</v>
      </c>
      <c r="NN686" s="87" t="s">
        <v>2075</v>
      </c>
      <c r="NO686" s="87"/>
      <c r="NP686" s="87"/>
      <c r="NQ686" s="87"/>
      <c r="NR686" s="87"/>
      <c r="NS686" s="87"/>
      <c r="NT686" s="87"/>
      <c r="NU686" s="87"/>
      <c r="NV686" s="87" t="s">
        <v>2062</v>
      </c>
      <c r="NW686" s="87" t="s">
        <v>6</v>
      </c>
      <c r="NX686" s="87">
        <v>2.4700000000000002</v>
      </c>
      <c r="NY686" s="87" t="s">
        <v>1446</v>
      </c>
      <c r="NZ686" s="87">
        <v>0.49</v>
      </c>
      <c r="OA686" s="87"/>
      <c r="OB686" s="87"/>
      <c r="OC686" s="87">
        <v>3</v>
      </c>
      <c r="OD686" s="87"/>
      <c r="OE686" s="87"/>
      <c r="OF686" s="87"/>
      <c r="OG686" s="87"/>
      <c r="OH686" s="87"/>
      <c r="OI686" s="87"/>
      <c r="OJ686" s="87"/>
      <c r="OK686" s="87"/>
      <c r="OL686" s="87"/>
      <c r="OM686" s="87"/>
      <c r="ON686" s="87"/>
      <c r="OO686" s="87"/>
      <c r="OP686" s="87"/>
      <c r="OQ686" s="87"/>
      <c r="OR686" s="87"/>
      <c r="OS686" s="87"/>
      <c r="OT686" s="87" t="s">
        <v>2076</v>
      </c>
      <c r="OU686" s="87" t="s">
        <v>6</v>
      </c>
      <c r="OV686" s="87">
        <v>2005</v>
      </c>
      <c r="OW686" s="87">
        <v>2005</v>
      </c>
      <c r="OX686" s="87">
        <v>2005</v>
      </c>
      <c r="OY686" s="87"/>
      <c r="OZ686" s="87"/>
      <c r="PA686" s="87" t="s">
        <v>1981</v>
      </c>
      <c r="PB686" s="140" t="s">
        <v>2049</v>
      </c>
      <c r="PC686" s="87"/>
      <c r="PD686" s="87"/>
      <c r="PE686" s="87"/>
      <c r="PF686" s="87"/>
      <c r="PG686" s="138" t="s">
        <v>2050</v>
      </c>
    </row>
    <row r="687" spans="1:423">
      <c r="A687" t="s">
        <v>36</v>
      </c>
      <c r="B687" t="s">
        <v>2038</v>
      </c>
      <c r="C687" t="s">
        <v>1885</v>
      </c>
      <c r="D687" t="s">
        <v>245</v>
      </c>
      <c r="E687" t="s">
        <v>2065</v>
      </c>
      <c r="F687" t="s">
        <v>1804</v>
      </c>
      <c r="G687" t="s">
        <v>2</v>
      </c>
      <c r="H687" t="s">
        <v>2081</v>
      </c>
      <c r="I687">
        <v>10.29</v>
      </c>
      <c r="J687">
        <v>76.875</v>
      </c>
      <c r="K687">
        <v>600</v>
      </c>
      <c r="L687" t="s">
        <v>1885</v>
      </c>
      <c r="M687" t="s">
        <v>245</v>
      </c>
      <c r="N687" t="s">
        <v>2071</v>
      </c>
      <c r="O687" t="s">
        <v>1804</v>
      </c>
      <c r="P687" t="s">
        <v>2</v>
      </c>
      <c r="Q687" t="s">
        <v>2081</v>
      </c>
      <c r="R687">
        <v>10.348000000000001</v>
      </c>
      <c r="S687">
        <v>76.935000000000002</v>
      </c>
      <c r="T687">
        <v>600</v>
      </c>
      <c r="AV687" t="s">
        <v>2130</v>
      </c>
      <c r="AW687" t="s">
        <v>29</v>
      </c>
      <c r="AX687">
        <v>1838000</v>
      </c>
      <c r="AY687">
        <v>1</v>
      </c>
      <c r="AZ687" t="s">
        <v>2041</v>
      </c>
      <c r="BA687">
        <v>2005</v>
      </c>
      <c r="BB687">
        <v>2005</v>
      </c>
      <c r="BC687" t="s">
        <v>2042</v>
      </c>
      <c r="BD687" t="s">
        <v>1983</v>
      </c>
      <c r="BE687" t="s">
        <v>2137</v>
      </c>
      <c r="BF687" t="s">
        <v>48</v>
      </c>
      <c r="BG687" t="s">
        <v>1233</v>
      </c>
      <c r="BH687" t="s">
        <v>1821</v>
      </c>
      <c r="BI687" t="s">
        <v>29</v>
      </c>
      <c r="BJ687" t="s">
        <v>29</v>
      </c>
      <c r="BK687" t="s">
        <v>29</v>
      </c>
      <c r="EE687" t="s">
        <v>2066</v>
      </c>
      <c r="EF687" t="s">
        <v>29</v>
      </c>
      <c r="EG687" t="s">
        <v>29</v>
      </c>
      <c r="EI687" t="s">
        <v>2046</v>
      </c>
      <c r="EJ687" s="9" t="s">
        <v>29</v>
      </c>
      <c r="EK687" s="9" t="s">
        <v>29</v>
      </c>
      <c r="EL687" s="9"/>
      <c r="EM687" s="9" t="s">
        <v>2043</v>
      </c>
      <c r="EN687" s="9" t="s">
        <v>29</v>
      </c>
      <c r="EO687" s="9" t="s">
        <v>29</v>
      </c>
      <c r="EP687" s="9"/>
      <c r="EQ687" s="9" t="s">
        <v>2045</v>
      </c>
      <c r="ER687" s="9" t="s">
        <v>29</v>
      </c>
      <c r="ES687" s="9" t="s">
        <v>29</v>
      </c>
      <c r="ET687" s="9"/>
      <c r="EU687" s="9" t="s">
        <v>2072</v>
      </c>
      <c r="EV687" s="9" t="s">
        <v>29</v>
      </c>
      <c r="EW687" s="9" t="s">
        <v>29</v>
      </c>
      <c r="EX687" s="9"/>
      <c r="EY687" s="9"/>
      <c r="EZ687" s="9"/>
      <c r="FA687" s="9"/>
      <c r="FB687" s="9"/>
      <c r="FC687" s="9"/>
      <c r="FD687" s="9"/>
      <c r="FE687" s="9"/>
      <c r="FF687" s="9"/>
      <c r="FG687" s="9"/>
      <c r="FH687" s="9"/>
      <c r="FI687" s="9"/>
      <c r="FJ687" s="9"/>
      <c r="FK687" s="9"/>
      <c r="FL687" s="9"/>
      <c r="FM687" s="9"/>
      <c r="FN687" s="9"/>
      <c r="FO687" s="9"/>
      <c r="FP687" s="9"/>
      <c r="FQ687" s="9"/>
      <c r="FR687" s="9"/>
      <c r="FS687" s="9"/>
      <c r="FT687" s="9"/>
      <c r="FU687" s="9"/>
      <c r="FV687" s="9"/>
      <c r="FW687" s="9"/>
      <c r="FX687" s="9"/>
      <c r="FY687" s="9"/>
      <c r="FZ687" s="9"/>
      <c r="GA687" s="9"/>
      <c r="GB687" s="9"/>
      <c r="GC687" s="9"/>
      <c r="GD687" s="9"/>
      <c r="GE687" s="9"/>
      <c r="GF687" s="9"/>
      <c r="GG687" s="9"/>
      <c r="GH687" s="9"/>
      <c r="GI687" s="9"/>
      <c r="GJ687" s="9"/>
      <c r="GK687" s="9"/>
      <c r="GL687" s="9"/>
      <c r="GM687" s="9"/>
      <c r="GN687" s="9"/>
      <c r="GO687" s="9"/>
      <c r="GP687" s="9"/>
      <c r="GQ687" s="9"/>
      <c r="GR687" s="9"/>
      <c r="GS687" s="9"/>
      <c r="GT687" s="9"/>
      <c r="GU687" s="9"/>
      <c r="GV687" s="9"/>
      <c r="GW687" s="9"/>
      <c r="GX687" s="9"/>
      <c r="GY687" s="9"/>
      <c r="GZ687" s="9"/>
      <c r="HA687" s="9"/>
      <c r="HB687" s="9"/>
      <c r="HC687" s="9"/>
      <c r="HD687" s="9"/>
      <c r="HE687" s="9"/>
      <c r="HF687" s="9"/>
      <c r="HG687" s="9"/>
      <c r="HH687" s="9"/>
      <c r="HI687" s="9"/>
      <c r="HJ687" s="9"/>
      <c r="HK687" s="9"/>
      <c r="HL687" s="9"/>
      <c r="HM687" s="9"/>
      <c r="HZ687" s="58"/>
      <c r="IW687" t="s">
        <v>2067</v>
      </c>
      <c r="IX687" t="s">
        <v>1990</v>
      </c>
      <c r="JK687" t="s">
        <v>2068</v>
      </c>
      <c r="JL687" t="s">
        <v>2069</v>
      </c>
      <c r="JQ687" s="9"/>
      <c r="KA687" s="9"/>
      <c r="KF687" t="s">
        <v>2138</v>
      </c>
      <c r="KG687" t="s">
        <v>1548</v>
      </c>
      <c r="KS687" s="9"/>
      <c r="KT687" s="9"/>
      <c r="KU687" s="9"/>
      <c r="KV687" s="9"/>
      <c r="MZ687" t="s">
        <v>2139</v>
      </c>
      <c r="NA687" t="s">
        <v>29</v>
      </c>
      <c r="NB687" t="s">
        <v>2047</v>
      </c>
      <c r="NC687" t="s">
        <v>2048</v>
      </c>
      <c r="NK687" t="s">
        <v>2142</v>
      </c>
      <c r="NL687" t="s">
        <v>2143</v>
      </c>
      <c r="NM687" t="s">
        <v>1751</v>
      </c>
      <c r="NN687" t="s">
        <v>2075</v>
      </c>
      <c r="NV687" t="s">
        <v>2070</v>
      </c>
      <c r="NW687" t="s">
        <v>6</v>
      </c>
      <c r="NX687">
        <v>3.15</v>
      </c>
      <c r="NY687" t="s">
        <v>1446</v>
      </c>
      <c r="NZ687">
        <v>0.85</v>
      </c>
      <c r="OC687">
        <v>2</v>
      </c>
      <c r="OT687" t="s">
        <v>2076</v>
      </c>
      <c r="OU687" t="s">
        <v>6</v>
      </c>
      <c r="OV687">
        <v>2005</v>
      </c>
      <c r="OW687">
        <v>2005</v>
      </c>
      <c r="OX687">
        <v>2005</v>
      </c>
      <c r="PA687" t="s">
        <v>1981</v>
      </c>
      <c r="PB687" s="58" t="s">
        <v>2049</v>
      </c>
      <c r="PG687" t="s">
        <v>2050</v>
      </c>
    </row>
    <row r="688" spans="1:423">
      <c r="A688" s="87" t="s">
        <v>36</v>
      </c>
      <c r="B688" s="87" t="s">
        <v>2038</v>
      </c>
      <c r="C688" s="87" t="s">
        <v>1885</v>
      </c>
      <c r="D688" s="87" t="s">
        <v>2039</v>
      </c>
      <c r="E688" s="87" t="s">
        <v>2040</v>
      </c>
      <c r="F688" s="87" t="s">
        <v>1959</v>
      </c>
      <c r="G688" s="87" t="s">
        <v>2</v>
      </c>
      <c r="H688" s="87" t="s">
        <v>2081</v>
      </c>
      <c r="I688" s="87">
        <v>10.3622</v>
      </c>
      <c r="J688" s="87">
        <v>76.980199999999996</v>
      </c>
      <c r="K688" s="87">
        <v>3000</v>
      </c>
      <c r="L688" s="87" t="s">
        <v>1885</v>
      </c>
      <c r="M688" s="87" t="s">
        <v>2039</v>
      </c>
      <c r="N688" s="87" t="s">
        <v>2051</v>
      </c>
      <c r="O688" s="87" t="s">
        <v>1959</v>
      </c>
      <c r="P688" s="87" t="s">
        <v>2</v>
      </c>
      <c r="Q688" s="87" t="s">
        <v>2081</v>
      </c>
      <c r="R688" s="87">
        <v>10.385</v>
      </c>
      <c r="S688" s="87">
        <v>76.95</v>
      </c>
      <c r="T688" s="87">
        <v>1000</v>
      </c>
      <c r="U688" s="87" t="s">
        <v>1885</v>
      </c>
      <c r="V688" s="87" t="s">
        <v>2039</v>
      </c>
      <c r="W688" s="87" t="s">
        <v>2052</v>
      </c>
      <c r="X688" s="87" t="s">
        <v>1959</v>
      </c>
      <c r="Y688" s="87" t="s">
        <v>2</v>
      </c>
      <c r="Z688" s="87" t="s">
        <v>2081</v>
      </c>
      <c r="AA688" s="87">
        <v>10.234999999999999</v>
      </c>
      <c r="AB688" s="87">
        <v>76.89</v>
      </c>
      <c r="AC688" s="87">
        <v>1500</v>
      </c>
      <c r="AD688" s="87"/>
      <c r="AE688" s="87"/>
      <c r="AF688" s="87"/>
      <c r="AG688" s="87"/>
      <c r="AH688" s="87"/>
      <c r="AI688" s="87"/>
      <c r="AJ688" s="87"/>
      <c r="AK688" s="87"/>
      <c r="AL688" s="87"/>
      <c r="AM688" s="87"/>
      <c r="AN688" s="87"/>
      <c r="AO688" s="87"/>
      <c r="AP688" s="87"/>
      <c r="AQ688" s="87"/>
      <c r="AR688" s="87"/>
      <c r="AS688" s="87"/>
      <c r="AT688" s="87"/>
      <c r="AU688" s="87"/>
      <c r="AV688" s="87" t="s">
        <v>2130</v>
      </c>
      <c r="AW688" s="87" t="s">
        <v>29</v>
      </c>
      <c r="AX688" s="87">
        <v>29850000</v>
      </c>
      <c r="AY688" s="87">
        <v>1</v>
      </c>
      <c r="AZ688" s="87" t="s">
        <v>2041</v>
      </c>
      <c r="BA688" s="87">
        <v>2005</v>
      </c>
      <c r="BB688" s="87">
        <v>2005</v>
      </c>
      <c r="BC688" s="87" t="s">
        <v>2042</v>
      </c>
      <c r="BD688" s="87" t="s">
        <v>1836</v>
      </c>
      <c r="BE688" s="87" t="s">
        <v>2131</v>
      </c>
      <c r="BF688" s="87" t="s">
        <v>39</v>
      </c>
      <c r="BG688" s="87" t="s">
        <v>1743</v>
      </c>
      <c r="BH688" s="87"/>
      <c r="BI688" s="87"/>
      <c r="BJ688" s="87"/>
      <c r="BK688" s="87"/>
      <c r="BL688" s="87"/>
      <c r="BM688" s="87"/>
      <c r="BN688" s="87"/>
      <c r="BO688" s="87"/>
      <c r="BP688" s="87"/>
      <c r="BQ688" s="87"/>
      <c r="BR688" s="87"/>
      <c r="BS688" s="87"/>
      <c r="BT688" s="87"/>
      <c r="BU688" s="87"/>
      <c r="BV688" s="87"/>
      <c r="BW688" s="87"/>
      <c r="BX688" s="87"/>
      <c r="BY688" s="87"/>
      <c r="BZ688" s="87"/>
      <c r="CA688" s="87"/>
      <c r="CB688" s="87"/>
      <c r="CC688" s="87"/>
      <c r="CD688" s="87"/>
      <c r="CE688" s="87"/>
      <c r="CF688" s="87"/>
      <c r="CG688" s="87"/>
      <c r="CH688" s="87"/>
      <c r="CI688" s="87"/>
      <c r="CJ688" s="87"/>
      <c r="CK688" s="87"/>
      <c r="CL688" s="87"/>
      <c r="CM688" s="87"/>
      <c r="CN688" s="87"/>
      <c r="CO688" s="87"/>
      <c r="CP688" s="87"/>
      <c r="CQ688" s="87"/>
      <c r="CR688" s="87"/>
      <c r="CS688" s="87"/>
      <c r="CT688" s="87"/>
      <c r="CU688" s="87"/>
      <c r="CV688" s="87"/>
      <c r="CW688" s="87"/>
      <c r="CX688" s="87"/>
      <c r="CY688" s="87"/>
      <c r="CZ688" s="87"/>
      <c r="DA688" s="87"/>
      <c r="DB688" s="87"/>
      <c r="DC688" s="87"/>
      <c r="DD688" s="87"/>
      <c r="DE688" s="87"/>
      <c r="DF688" s="87"/>
      <c r="DG688" s="87"/>
      <c r="DH688" s="87"/>
      <c r="DI688" s="87"/>
      <c r="DJ688" s="87"/>
      <c r="DK688" s="87"/>
      <c r="DL688" s="87"/>
      <c r="DM688" s="87"/>
      <c r="DN688" s="87"/>
      <c r="DO688" s="87"/>
      <c r="DP688" s="87"/>
      <c r="DQ688" s="87"/>
      <c r="DR688" s="87"/>
      <c r="DS688" s="87"/>
      <c r="DT688" s="87"/>
      <c r="DU688" s="87"/>
      <c r="DV688" s="87"/>
      <c r="DW688" s="87"/>
      <c r="DX688" s="87"/>
      <c r="DY688" s="87"/>
      <c r="DZ688" s="87"/>
      <c r="EA688" s="87"/>
      <c r="EB688" s="87"/>
      <c r="EC688" s="87"/>
      <c r="ED688" s="87"/>
      <c r="EE688" s="87" t="s">
        <v>2043</v>
      </c>
      <c r="EF688" s="87" t="s">
        <v>2044</v>
      </c>
      <c r="EG688" s="87" t="s">
        <v>29</v>
      </c>
      <c r="EH688" s="87"/>
      <c r="EI688" s="87" t="s">
        <v>2045</v>
      </c>
      <c r="EJ688" s="139" t="s">
        <v>2044</v>
      </c>
      <c r="EK688" s="139" t="s">
        <v>29</v>
      </c>
      <c r="EL688" s="139"/>
      <c r="EM688" s="139" t="s">
        <v>2046</v>
      </c>
      <c r="EN688" s="139" t="s">
        <v>2044</v>
      </c>
      <c r="EO688" s="139" t="s">
        <v>29</v>
      </c>
      <c r="EP688" s="139"/>
      <c r="EQ688" s="139"/>
      <c r="ER688" s="139"/>
      <c r="ES688" s="139"/>
      <c r="ET688" s="139"/>
      <c r="EU688" s="139"/>
      <c r="EV688" s="139"/>
      <c r="EW688" s="139"/>
      <c r="EX688" s="139"/>
      <c r="EY688" s="139"/>
      <c r="EZ688" s="139"/>
      <c r="FA688" s="139"/>
      <c r="FB688" s="139"/>
      <c r="FC688" s="139"/>
      <c r="FD688" s="139"/>
      <c r="FE688" s="139"/>
      <c r="FF688" s="139"/>
      <c r="FG688" s="139"/>
      <c r="FH688" s="139"/>
      <c r="FI688" s="139"/>
      <c r="FJ688" s="139"/>
      <c r="FK688" s="139"/>
      <c r="FL688" s="139"/>
      <c r="FM688" s="139"/>
      <c r="FN688" s="139"/>
      <c r="FO688" s="139"/>
      <c r="FP688" s="139"/>
      <c r="FQ688" s="139"/>
      <c r="FR688" s="139"/>
      <c r="FS688" s="139"/>
      <c r="FT688" s="139"/>
      <c r="FU688" s="139"/>
      <c r="FV688" s="139"/>
      <c r="FW688" s="139"/>
      <c r="FX688" s="139"/>
      <c r="FY688" s="139"/>
      <c r="FZ688" s="139"/>
      <c r="GA688" s="139"/>
      <c r="GB688" s="139"/>
      <c r="GC688" s="139"/>
      <c r="GD688" s="139"/>
      <c r="GE688" s="139"/>
      <c r="GF688" s="139"/>
      <c r="GG688" s="139"/>
      <c r="GH688" s="139"/>
      <c r="GI688" s="139"/>
      <c r="GJ688" s="139"/>
      <c r="GK688" s="139"/>
      <c r="GL688" s="139"/>
      <c r="GM688" s="139"/>
      <c r="GN688" s="139"/>
      <c r="GO688" s="139"/>
      <c r="GP688" s="139"/>
      <c r="GQ688" s="139"/>
      <c r="GR688" s="139"/>
      <c r="GS688" s="139"/>
      <c r="GT688" s="139"/>
      <c r="GU688" s="139"/>
      <c r="GV688" s="139"/>
      <c r="GW688" s="139"/>
      <c r="GX688" s="139"/>
      <c r="GY688" s="139"/>
      <c r="GZ688" s="139"/>
      <c r="HA688" s="139"/>
      <c r="HB688" s="139"/>
      <c r="HC688" s="139"/>
      <c r="HD688" s="139"/>
      <c r="HE688" s="139"/>
      <c r="HF688" s="139"/>
      <c r="HG688" s="139"/>
      <c r="HH688" s="139"/>
      <c r="HI688" s="139"/>
      <c r="HJ688" s="139"/>
      <c r="HK688" s="139"/>
      <c r="HL688" s="139"/>
      <c r="HM688" s="139"/>
      <c r="HN688" s="87"/>
      <c r="HO688" s="87"/>
      <c r="HP688" s="87"/>
      <c r="HQ688" s="87"/>
      <c r="HR688" s="87"/>
      <c r="HS688" s="87"/>
      <c r="HT688" s="87"/>
      <c r="HU688" s="87"/>
      <c r="HV688" s="87"/>
      <c r="HW688" s="87"/>
      <c r="HX688" s="87"/>
      <c r="HY688" s="87"/>
      <c r="HZ688" s="140"/>
      <c r="IA688" s="87"/>
      <c r="IB688" s="87"/>
      <c r="IC688" s="87"/>
      <c r="ID688" s="87"/>
      <c r="IE688" s="87"/>
      <c r="IF688" s="87"/>
      <c r="IG688" s="87"/>
      <c r="IH688" s="87"/>
      <c r="II688" s="87"/>
      <c r="IJ688" s="87"/>
      <c r="IK688" s="87"/>
      <c r="IL688" s="87"/>
      <c r="IM688" s="87"/>
      <c r="IN688" s="87"/>
      <c r="IO688" s="87"/>
      <c r="IP688" s="87"/>
      <c r="IQ688" s="87"/>
      <c r="IR688" s="87"/>
      <c r="IS688" s="87"/>
      <c r="IT688" s="87"/>
      <c r="IU688" s="87"/>
      <c r="IV688" s="87"/>
      <c r="IW688" s="87"/>
      <c r="IX688" s="87"/>
      <c r="IY688" s="87"/>
      <c r="IZ688" s="87"/>
      <c r="JA688" s="87"/>
      <c r="JB688" s="87"/>
      <c r="JC688" s="87"/>
      <c r="JD688" s="87"/>
      <c r="JE688" s="87"/>
      <c r="JF688" s="87"/>
      <c r="JG688" s="87"/>
      <c r="JH688" s="87"/>
      <c r="JI688" s="87"/>
      <c r="JJ688" s="87"/>
      <c r="JK688" s="87"/>
      <c r="JL688" s="87"/>
      <c r="JM688" s="87"/>
      <c r="JN688" s="87"/>
      <c r="JO688" s="87"/>
      <c r="JP688" s="87"/>
      <c r="JQ688" s="146"/>
      <c r="JR688" s="87"/>
      <c r="JS688" s="87"/>
      <c r="JT688" s="87"/>
      <c r="JU688" s="87"/>
      <c r="JV688" s="87"/>
      <c r="JW688" s="87"/>
      <c r="JX688" s="87"/>
      <c r="JY688" s="87"/>
      <c r="JZ688" s="87"/>
      <c r="KA688" s="146"/>
      <c r="KB688" s="87"/>
      <c r="KC688" s="87"/>
      <c r="KD688" s="87"/>
      <c r="KE688" s="87"/>
      <c r="KF688" s="87"/>
      <c r="KG688" s="87"/>
      <c r="KH688" s="87"/>
      <c r="KI688" s="87"/>
      <c r="KJ688" s="87"/>
      <c r="KK688" s="87"/>
      <c r="KL688" s="87"/>
      <c r="KM688" s="87"/>
      <c r="KN688" s="87"/>
      <c r="KO688" s="87"/>
      <c r="KP688" s="87"/>
      <c r="KQ688" s="87"/>
      <c r="KR688" s="87"/>
      <c r="KS688" s="146"/>
      <c r="KT688" s="146"/>
      <c r="KU688" s="146"/>
      <c r="KV688" s="146"/>
      <c r="KW688" s="87"/>
      <c r="KX688" s="87"/>
      <c r="KY688" s="87"/>
      <c r="KZ688" s="87"/>
      <c r="LA688" s="87"/>
      <c r="LB688" s="87"/>
      <c r="LC688" s="87"/>
      <c r="LD688" s="87"/>
      <c r="LE688" s="87"/>
      <c r="LF688" s="87"/>
      <c r="LG688" s="87"/>
      <c r="LH688" s="87"/>
      <c r="LI688" s="87"/>
      <c r="LJ688" s="87"/>
      <c r="LK688" s="87"/>
      <c r="LL688" s="87"/>
      <c r="LM688" s="87"/>
      <c r="LN688" s="87"/>
      <c r="LO688" s="87"/>
      <c r="LP688" s="87"/>
      <c r="LQ688" s="87"/>
      <c r="LR688" s="87"/>
      <c r="LS688" s="87"/>
      <c r="LT688" s="87"/>
      <c r="LU688" s="87"/>
      <c r="LV688" s="87"/>
      <c r="LW688" s="87"/>
      <c r="LX688" s="87"/>
      <c r="LY688" s="87"/>
      <c r="LZ688" s="87"/>
      <c r="MA688" s="87"/>
      <c r="MB688" s="87"/>
      <c r="MC688" s="87"/>
      <c r="MD688" s="87"/>
      <c r="ME688" s="87"/>
      <c r="MF688" s="87"/>
      <c r="MG688" s="87"/>
      <c r="MH688" s="87"/>
      <c r="MI688" s="87"/>
      <c r="MJ688" s="87"/>
      <c r="MK688" s="87"/>
      <c r="ML688" s="87"/>
      <c r="MM688" s="87"/>
      <c r="MN688" s="87"/>
      <c r="MO688" s="87"/>
      <c r="MP688" s="87"/>
      <c r="MQ688" s="87"/>
      <c r="MR688" s="87"/>
      <c r="MS688" s="87"/>
      <c r="MT688" s="87"/>
      <c r="MU688" s="87"/>
      <c r="MV688" s="87"/>
      <c r="MW688" s="87"/>
      <c r="MX688" s="87"/>
      <c r="MY688" s="87"/>
      <c r="MZ688" s="87" t="s">
        <v>2132</v>
      </c>
      <c r="NA688" s="87" t="s">
        <v>29</v>
      </c>
      <c r="NB688" s="87" t="s">
        <v>2047</v>
      </c>
      <c r="NC688" s="87" t="s">
        <v>2048</v>
      </c>
      <c r="ND688" s="87"/>
      <c r="NE688" s="87"/>
      <c r="NF688" s="87"/>
      <c r="NG688" s="87"/>
      <c r="NH688" s="87"/>
      <c r="NI688" s="87"/>
      <c r="NJ688" s="87"/>
      <c r="NK688" s="87" t="s">
        <v>2144</v>
      </c>
      <c r="NL688" s="87" t="s">
        <v>2145</v>
      </c>
      <c r="NM688" s="87" t="s">
        <v>2077</v>
      </c>
      <c r="NN688" s="87" t="s">
        <v>2078</v>
      </c>
      <c r="NO688" s="87"/>
      <c r="NP688" s="87"/>
      <c r="NQ688" s="87"/>
      <c r="NR688" s="87"/>
      <c r="NS688" s="87"/>
      <c r="NT688" s="87"/>
      <c r="NU688" s="87"/>
      <c r="NV688" s="87" t="s">
        <v>1828</v>
      </c>
      <c r="NW688" s="87" t="s">
        <v>6</v>
      </c>
      <c r="NX688" s="87">
        <v>49</v>
      </c>
      <c r="NY688" s="87" t="s">
        <v>1446</v>
      </c>
      <c r="NZ688" s="87">
        <v>11.22</v>
      </c>
      <c r="OA688" s="87"/>
      <c r="OB688" s="87"/>
      <c r="OC688" s="87">
        <v>3</v>
      </c>
      <c r="OD688" s="87"/>
      <c r="OE688" s="87"/>
      <c r="OF688" s="87"/>
      <c r="OG688" s="87"/>
      <c r="OH688" s="87"/>
      <c r="OI688" s="87"/>
      <c r="OJ688" s="87"/>
      <c r="OK688" s="87"/>
      <c r="OL688" s="87"/>
      <c r="OM688" s="87"/>
      <c r="ON688" s="87"/>
      <c r="OO688" s="87"/>
      <c r="OP688" s="87"/>
      <c r="OQ688" s="87"/>
      <c r="OR688" s="87"/>
      <c r="OS688" s="87"/>
      <c r="OT688" s="87" t="s">
        <v>2079</v>
      </c>
      <c r="OU688" s="87" t="s">
        <v>6</v>
      </c>
      <c r="OV688" s="87">
        <v>2005</v>
      </c>
      <c r="OW688" s="87">
        <v>2005</v>
      </c>
      <c r="OX688" s="87">
        <v>2005</v>
      </c>
      <c r="OY688" s="87"/>
      <c r="OZ688" s="87"/>
      <c r="PA688" s="87" t="s">
        <v>1981</v>
      </c>
      <c r="PB688" s="140" t="s">
        <v>2049</v>
      </c>
      <c r="PC688" s="87"/>
      <c r="PD688" s="87"/>
      <c r="PE688" s="87"/>
      <c r="PF688" s="87"/>
      <c r="PG688" s="138" t="s">
        <v>2050</v>
      </c>
    </row>
    <row r="689" spans="1:423">
      <c r="A689" t="s">
        <v>36</v>
      </c>
      <c r="B689" t="s">
        <v>2038</v>
      </c>
      <c r="C689" t="s">
        <v>1885</v>
      </c>
      <c r="D689" t="s">
        <v>245</v>
      </c>
      <c r="E689" t="s">
        <v>2053</v>
      </c>
      <c r="F689" t="s">
        <v>1961</v>
      </c>
      <c r="G689" t="s">
        <v>2</v>
      </c>
      <c r="H689" t="s">
        <v>2081</v>
      </c>
      <c r="I689">
        <v>10.37</v>
      </c>
      <c r="J689">
        <v>76.984999999999999</v>
      </c>
      <c r="K689">
        <v>500</v>
      </c>
      <c r="L689" t="s">
        <v>1885</v>
      </c>
      <c r="M689" t="s">
        <v>245</v>
      </c>
      <c r="N689" t="s">
        <v>2056</v>
      </c>
      <c r="O689" t="s">
        <v>1961</v>
      </c>
      <c r="P689" t="s">
        <v>2</v>
      </c>
      <c r="Q689" t="s">
        <v>2081</v>
      </c>
      <c r="R689">
        <v>10.3512</v>
      </c>
      <c r="S689">
        <v>76.938400000000001</v>
      </c>
      <c r="T689">
        <v>400</v>
      </c>
      <c r="U689" t="s">
        <v>1885</v>
      </c>
      <c r="V689" t="s">
        <v>245</v>
      </c>
      <c r="W689" t="s">
        <v>2057</v>
      </c>
      <c r="X689" t="s">
        <v>1961</v>
      </c>
      <c r="Y689" t="s">
        <v>2</v>
      </c>
      <c r="Z689" t="s">
        <v>2081</v>
      </c>
      <c r="AA689">
        <v>10.279</v>
      </c>
      <c r="AB689">
        <v>76.8874</v>
      </c>
      <c r="AC689">
        <v>500</v>
      </c>
      <c r="AD689" t="s">
        <v>1885</v>
      </c>
      <c r="AE689" t="s">
        <v>245</v>
      </c>
      <c r="AF689" t="s">
        <v>2058</v>
      </c>
      <c r="AG689" t="s">
        <v>1961</v>
      </c>
      <c r="AH689" t="s">
        <v>2</v>
      </c>
      <c r="AI689" t="s">
        <v>2081</v>
      </c>
      <c r="AJ689">
        <v>10.345000000000001</v>
      </c>
      <c r="AK689">
        <v>76.924999999999997</v>
      </c>
      <c r="AL689">
        <v>300</v>
      </c>
      <c r="AV689" t="s">
        <v>2130</v>
      </c>
      <c r="AW689" t="s">
        <v>29</v>
      </c>
      <c r="AX689">
        <v>2316000</v>
      </c>
      <c r="AY689">
        <v>1</v>
      </c>
      <c r="AZ689" t="s">
        <v>2041</v>
      </c>
      <c r="BA689">
        <v>2005</v>
      </c>
      <c r="BB689">
        <v>2005</v>
      </c>
      <c r="BC689" t="s">
        <v>2042</v>
      </c>
      <c r="BD689" t="s">
        <v>2054</v>
      </c>
      <c r="BE689" t="s">
        <v>2133</v>
      </c>
      <c r="BF689" t="s">
        <v>64</v>
      </c>
      <c r="BG689" t="s">
        <v>1743</v>
      </c>
      <c r="EE689" t="s">
        <v>2043</v>
      </c>
      <c r="EF689" t="s">
        <v>2044</v>
      </c>
      <c r="EG689" t="s">
        <v>29</v>
      </c>
      <c r="EI689" t="s">
        <v>2045</v>
      </c>
      <c r="EJ689" s="9" t="s">
        <v>2044</v>
      </c>
      <c r="EK689" s="9" t="s">
        <v>29</v>
      </c>
      <c r="EL689" s="9"/>
      <c r="EM689" s="9" t="s">
        <v>2046</v>
      </c>
      <c r="EN689" s="9" t="s">
        <v>2044</v>
      </c>
      <c r="EO689" s="9" t="s">
        <v>29</v>
      </c>
      <c r="EP689" s="9"/>
      <c r="EQ689" s="9"/>
      <c r="ER689" s="9"/>
      <c r="ES689" s="9"/>
      <c r="ET689" s="9"/>
      <c r="EU689" s="9"/>
      <c r="EV689" s="9"/>
      <c r="EW689" s="9"/>
      <c r="EX689" s="9"/>
      <c r="EY689" s="9"/>
      <c r="EZ689" s="9"/>
      <c r="FA689" s="9"/>
      <c r="FB689" s="9"/>
      <c r="FC689" s="9"/>
      <c r="FD689" s="9"/>
      <c r="FE689" s="9"/>
      <c r="FF689" s="9"/>
      <c r="FG689" s="9"/>
      <c r="FH689" s="9"/>
      <c r="FI689" s="9"/>
      <c r="FJ689" s="9"/>
      <c r="FK689" s="9"/>
      <c r="FL689" s="9"/>
      <c r="FM689" s="9"/>
      <c r="FN689" s="9"/>
      <c r="FO689" s="9"/>
      <c r="FP689" s="9"/>
      <c r="FQ689" s="9"/>
      <c r="FR689" s="9"/>
      <c r="FS689" s="9"/>
      <c r="FT689" s="9"/>
      <c r="FU689" s="9"/>
      <c r="FV689" s="9"/>
      <c r="FW689" s="9"/>
      <c r="FX689" s="9"/>
      <c r="FY689" s="9"/>
      <c r="FZ689" s="9"/>
      <c r="GA689" s="9"/>
      <c r="GB689" s="9"/>
      <c r="GC689" s="9"/>
      <c r="GD689" s="9"/>
      <c r="GE689" s="9"/>
      <c r="GF689" s="9"/>
      <c r="GG689" s="9"/>
      <c r="GH689" s="9"/>
      <c r="GI689" s="9"/>
      <c r="GJ689" s="9"/>
      <c r="GK689" s="9"/>
      <c r="GL689" s="9"/>
      <c r="GM689" s="9"/>
      <c r="GN689" s="9"/>
      <c r="GO689" s="9"/>
      <c r="GP689" s="9"/>
      <c r="GQ689" s="9"/>
      <c r="GR689" s="9"/>
      <c r="GS689" s="9"/>
      <c r="GT689" s="9"/>
      <c r="GU689" s="9"/>
      <c r="GV689" s="9"/>
      <c r="GW689" s="9"/>
      <c r="GX689" s="9"/>
      <c r="GY689" s="9"/>
      <c r="GZ689" s="9"/>
      <c r="HA689" s="9"/>
      <c r="HB689" s="9"/>
      <c r="HC689" s="9"/>
      <c r="HD689" s="9"/>
      <c r="HE689" s="9"/>
      <c r="HF689" s="9"/>
      <c r="HG689" s="9"/>
      <c r="HH689" s="9"/>
      <c r="HI689" s="9"/>
      <c r="HJ689" s="9"/>
      <c r="HK689" s="9"/>
      <c r="HL689" s="9"/>
      <c r="HM689" s="9"/>
      <c r="HZ689" s="58"/>
      <c r="JQ689" s="9"/>
      <c r="KA689" s="9"/>
      <c r="KS689" s="9"/>
      <c r="KT689" s="9"/>
      <c r="KU689" s="9"/>
      <c r="KV689" s="9"/>
      <c r="MZ689" t="s">
        <v>2134</v>
      </c>
      <c r="NA689" t="s">
        <v>29</v>
      </c>
      <c r="NB689" t="s">
        <v>2047</v>
      </c>
      <c r="NC689" t="s">
        <v>2048</v>
      </c>
      <c r="NK689" t="s">
        <v>2144</v>
      </c>
      <c r="NL689" t="s">
        <v>2145</v>
      </c>
      <c r="NM689" t="s">
        <v>2077</v>
      </c>
      <c r="NN689" t="s">
        <v>2078</v>
      </c>
      <c r="NV689" t="s">
        <v>2055</v>
      </c>
      <c r="NW689" t="s">
        <v>6</v>
      </c>
      <c r="NX689">
        <v>56.25</v>
      </c>
      <c r="NY689" t="s">
        <v>1446</v>
      </c>
      <c r="NZ689">
        <v>11.65</v>
      </c>
      <c r="OC689">
        <v>4</v>
      </c>
      <c r="OT689" t="s">
        <v>2079</v>
      </c>
      <c r="OU689" t="s">
        <v>6</v>
      </c>
      <c r="OV689">
        <v>2005</v>
      </c>
      <c r="OW689">
        <v>2005</v>
      </c>
      <c r="OX689">
        <v>2005</v>
      </c>
      <c r="PA689" t="s">
        <v>1981</v>
      </c>
      <c r="PB689" s="58" t="s">
        <v>2049</v>
      </c>
      <c r="PG689" t="s">
        <v>2050</v>
      </c>
    </row>
    <row r="690" spans="1:423">
      <c r="A690" s="87" t="s">
        <v>36</v>
      </c>
      <c r="B690" s="87" t="s">
        <v>2038</v>
      </c>
      <c r="C690" s="87" t="s">
        <v>1885</v>
      </c>
      <c r="D690" s="87" t="s">
        <v>245</v>
      </c>
      <c r="E690" s="87" t="s">
        <v>2059</v>
      </c>
      <c r="F690" s="87" t="s">
        <v>1961</v>
      </c>
      <c r="G690" s="87" t="s">
        <v>2</v>
      </c>
      <c r="H690" s="87" t="s">
        <v>2081</v>
      </c>
      <c r="I690" s="87">
        <v>10.33</v>
      </c>
      <c r="J690" s="87">
        <v>76.965000000000003</v>
      </c>
      <c r="K690" s="87">
        <v>500</v>
      </c>
      <c r="L690" s="87" t="s">
        <v>1885</v>
      </c>
      <c r="M690" s="87" t="s">
        <v>245</v>
      </c>
      <c r="N690" s="87" t="s">
        <v>2063</v>
      </c>
      <c r="O690" s="87" t="s">
        <v>1961</v>
      </c>
      <c r="P690" s="87" t="s">
        <v>2</v>
      </c>
      <c r="Q690" s="87" t="s">
        <v>2081</v>
      </c>
      <c r="R690" s="87">
        <v>10.308299999999999</v>
      </c>
      <c r="S690" s="87">
        <v>76.899900000000002</v>
      </c>
      <c r="T690" s="87">
        <v>500</v>
      </c>
      <c r="U690" s="87" t="s">
        <v>1885</v>
      </c>
      <c r="V690" s="87" t="s">
        <v>245</v>
      </c>
      <c r="W690" s="87" t="s">
        <v>2064</v>
      </c>
      <c r="X690" s="87" t="s">
        <v>1961</v>
      </c>
      <c r="Y690" s="87" t="s">
        <v>2</v>
      </c>
      <c r="Z690" s="87" t="s">
        <v>2081</v>
      </c>
      <c r="AA690" s="87">
        <v>10.31</v>
      </c>
      <c r="AB690" s="87">
        <v>76.94</v>
      </c>
      <c r="AC690" s="87">
        <v>300</v>
      </c>
      <c r="AD690" s="87"/>
      <c r="AE690" s="87"/>
      <c r="AF690" s="87"/>
      <c r="AG690" s="87"/>
      <c r="AH690" s="87"/>
      <c r="AI690" s="87"/>
      <c r="AJ690" s="87"/>
      <c r="AK690" s="87"/>
      <c r="AL690" s="87"/>
      <c r="AM690" s="87"/>
      <c r="AN690" s="87"/>
      <c r="AO690" s="87"/>
      <c r="AP690" s="87"/>
      <c r="AQ690" s="87"/>
      <c r="AR690" s="87"/>
      <c r="AS690" s="87"/>
      <c r="AT690" s="87"/>
      <c r="AU690" s="87"/>
      <c r="AV690" s="87" t="s">
        <v>2130</v>
      </c>
      <c r="AW690" s="87" t="s">
        <v>29</v>
      </c>
      <c r="AX690" s="87">
        <v>1671000</v>
      </c>
      <c r="AY690" s="87">
        <v>1</v>
      </c>
      <c r="AZ690" s="87" t="s">
        <v>2041</v>
      </c>
      <c r="BA690" s="87">
        <v>2005</v>
      </c>
      <c r="BB690" s="87">
        <v>2005</v>
      </c>
      <c r="BC690" s="87" t="s">
        <v>2042</v>
      </c>
      <c r="BD690" s="87" t="s">
        <v>2054</v>
      </c>
      <c r="BE690" s="87" t="s">
        <v>2135</v>
      </c>
      <c r="BF690" s="87" t="s">
        <v>57</v>
      </c>
      <c r="BG690" s="87" t="s">
        <v>1743</v>
      </c>
      <c r="BH690" s="87"/>
      <c r="BI690" s="87"/>
      <c r="BJ690" s="87"/>
      <c r="BK690" s="87"/>
      <c r="BL690" s="87"/>
      <c r="BM690" s="87"/>
      <c r="BN690" s="87"/>
      <c r="BO690" s="87"/>
      <c r="BP690" s="87"/>
      <c r="BQ690" s="87"/>
      <c r="BR690" s="87"/>
      <c r="BS690" s="87"/>
      <c r="BT690" s="87"/>
      <c r="BU690" s="87"/>
      <c r="BV690" s="87"/>
      <c r="BW690" s="87"/>
      <c r="BX690" s="87"/>
      <c r="BY690" s="87"/>
      <c r="BZ690" s="87"/>
      <c r="CA690" s="87"/>
      <c r="CB690" s="87"/>
      <c r="CC690" s="87"/>
      <c r="CD690" s="87"/>
      <c r="CE690" s="87"/>
      <c r="CF690" s="87"/>
      <c r="CG690" s="87"/>
      <c r="CH690" s="87"/>
      <c r="CI690" s="87"/>
      <c r="CJ690" s="87"/>
      <c r="CK690" s="87"/>
      <c r="CL690" s="87"/>
      <c r="CM690" s="87"/>
      <c r="CN690" s="87"/>
      <c r="CO690" s="87"/>
      <c r="CP690" s="87"/>
      <c r="CQ690" s="87"/>
      <c r="CR690" s="87"/>
      <c r="CS690" s="87"/>
      <c r="CT690" s="87"/>
      <c r="CU690" s="87"/>
      <c r="CV690" s="87"/>
      <c r="CW690" s="87"/>
      <c r="CX690" s="87"/>
      <c r="CY690" s="87"/>
      <c r="CZ690" s="87"/>
      <c r="DA690" s="87"/>
      <c r="DB690" s="87"/>
      <c r="DC690" s="87"/>
      <c r="DD690" s="87"/>
      <c r="DE690" s="87"/>
      <c r="DF690" s="87"/>
      <c r="DG690" s="87"/>
      <c r="DH690" s="87"/>
      <c r="DI690" s="87"/>
      <c r="DJ690" s="87"/>
      <c r="DK690" s="87"/>
      <c r="DL690" s="87"/>
      <c r="DM690" s="87"/>
      <c r="DN690" s="87"/>
      <c r="DO690" s="87"/>
      <c r="DP690" s="87"/>
      <c r="DQ690" s="87"/>
      <c r="DR690" s="87"/>
      <c r="DS690" s="87"/>
      <c r="DT690" s="87"/>
      <c r="DU690" s="87"/>
      <c r="DV690" s="87"/>
      <c r="DW690" s="87"/>
      <c r="DX690" s="87"/>
      <c r="DY690" s="87"/>
      <c r="DZ690" s="87"/>
      <c r="EA690" s="87"/>
      <c r="EB690" s="87"/>
      <c r="EC690" s="87"/>
      <c r="ED690" s="87"/>
      <c r="EE690" s="87" t="s">
        <v>2043</v>
      </c>
      <c r="EF690" s="87" t="s">
        <v>2044</v>
      </c>
      <c r="EG690" s="87" t="s">
        <v>29</v>
      </c>
      <c r="EH690" s="87"/>
      <c r="EI690" s="87" t="s">
        <v>2045</v>
      </c>
      <c r="EJ690" s="139" t="s">
        <v>2044</v>
      </c>
      <c r="EK690" s="139" t="s">
        <v>29</v>
      </c>
      <c r="EL690" s="139"/>
      <c r="EM690" s="139" t="s">
        <v>2046</v>
      </c>
      <c r="EN690" s="139" t="s">
        <v>2044</v>
      </c>
      <c r="EO690" s="139" t="s">
        <v>29</v>
      </c>
      <c r="EP690" s="139"/>
      <c r="EQ690" s="139" t="s">
        <v>2060</v>
      </c>
      <c r="ER690" s="139" t="s">
        <v>2044</v>
      </c>
      <c r="ES690" s="139" t="s">
        <v>29</v>
      </c>
      <c r="ET690" s="139"/>
      <c r="EU690" s="139" t="s">
        <v>2061</v>
      </c>
      <c r="EV690" s="139" t="s">
        <v>2044</v>
      </c>
      <c r="EW690" s="139" t="s">
        <v>29</v>
      </c>
      <c r="EX690" s="139"/>
      <c r="EY690" s="139"/>
      <c r="EZ690" s="139"/>
      <c r="FA690" s="139"/>
      <c r="FB690" s="139"/>
      <c r="FC690" s="139"/>
      <c r="FD690" s="139"/>
      <c r="FE690" s="139"/>
      <c r="FF690" s="139"/>
      <c r="FG690" s="139"/>
      <c r="FH690" s="139"/>
      <c r="FI690" s="139"/>
      <c r="FJ690" s="139"/>
      <c r="FK690" s="139"/>
      <c r="FL690" s="139"/>
      <c r="FM690" s="139"/>
      <c r="FN690" s="139"/>
      <c r="FO690" s="139"/>
      <c r="FP690" s="139"/>
      <c r="FQ690" s="139"/>
      <c r="FR690" s="139"/>
      <c r="FS690" s="139"/>
      <c r="FT690" s="139"/>
      <c r="FU690" s="139"/>
      <c r="FV690" s="139"/>
      <c r="FW690" s="139"/>
      <c r="FX690" s="139"/>
      <c r="FY690" s="139"/>
      <c r="FZ690" s="139"/>
      <c r="GA690" s="139"/>
      <c r="GB690" s="139"/>
      <c r="GC690" s="139"/>
      <c r="GD690" s="139"/>
      <c r="GE690" s="139"/>
      <c r="GF690" s="139"/>
      <c r="GG690" s="139"/>
      <c r="GH690" s="139"/>
      <c r="GI690" s="139"/>
      <c r="GJ690" s="139"/>
      <c r="GK690" s="139"/>
      <c r="GL690" s="139"/>
      <c r="GM690" s="139"/>
      <c r="GN690" s="139"/>
      <c r="GO690" s="139"/>
      <c r="GP690" s="139"/>
      <c r="GQ690" s="139"/>
      <c r="GR690" s="139"/>
      <c r="GS690" s="139"/>
      <c r="GT690" s="139"/>
      <c r="GU690" s="139"/>
      <c r="GV690" s="139"/>
      <c r="GW690" s="139"/>
      <c r="GX690" s="139"/>
      <c r="GY690" s="139"/>
      <c r="GZ690" s="139"/>
      <c r="HA690" s="139"/>
      <c r="HB690" s="139"/>
      <c r="HC690" s="139"/>
      <c r="HD690" s="139"/>
      <c r="HE690" s="139"/>
      <c r="HF690" s="139"/>
      <c r="HG690" s="139"/>
      <c r="HH690" s="139"/>
      <c r="HI690" s="139"/>
      <c r="HJ690" s="139"/>
      <c r="HK690" s="139"/>
      <c r="HL690" s="139"/>
      <c r="HM690" s="139"/>
      <c r="HN690" s="87"/>
      <c r="HO690" s="87"/>
      <c r="HP690" s="87"/>
      <c r="HQ690" s="87"/>
      <c r="HR690" s="87"/>
      <c r="HS690" s="87"/>
      <c r="HT690" s="87"/>
      <c r="HU690" s="87"/>
      <c r="HV690" s="87"/>
      <c r="HW690" s="87"/>
      <c r="HX690" s="87"/>
      <c r="HY690" s="87"/>
      <c r="HZ690" s="140"/>
      <c r="IA690" s="87"/>
      <c r="IB690" s="87"/>
      <c r="IC690" s="87"/>
      <c r="ID690" s="87"/>
      <c r="IE690" s="87"/>
      <c r="IF690" s="87"/>
      <c r="IG690" s="87"/>
      <c r="IH690" s="87"/>
      <c r="II690" s="87"/>
      <c r="IJ690" s="87"/>
      <c r="IK690" s="87"/>
      <c r="IL690" s="87"/>
      <c r="IM690" s="87"/>
      <c r="IN690" s="87"/>
      <c r="IO690" s="87"/>
      <c r="IP690" s="87"/>
      <c r="IQ690" s="87"/>
      <c r="IR690" s="87"/>
      <c r="IS690" s="87"/>
      <c r="IT690" s="87"/>
      <c r="IU690" s="87"/>
      <c r="IV690" s="87"/>
      <c r="IW690" s="87"/>
      <c r="IX690" s="87"/>
      <c r="IY690" s="87"/>
      <c r="IZ690" s="87"/>
      <c r="JA690" s="87"/>
      <c r="JB690" s="87"/>
      <c r="JC690" s="87"/>
      <c r="JD690" s="87"/>
      <c r="JE690" s="87"/>
      <c r="JF690" s="87"/>
      <c r="JG690" s="87"/>
      <c r="JH690" s="87"/>
      <c r="JI690" s="87"/>
      <c r="JJ690" s="87"/>
      <c r="JK690" s="87"/>
      <c r="JL690" s="87"/>
      <c r="JM690" s="87"/>
      <c r="JN690" s="87"/>
      <c r="JO690" s="87"/>
      <c r="JP690" s="87"/>
      <c r="JQ690" s="146"/>
      <c r="JR690" s="87"/>
      <c r="JS690" s="87"/>
      <c r="JT690" s="87"/>
      <c r="JU690" s="87"/>
      <c r="JV690" s="87"/>
      <c r="JW690" s="87"/>
      <c r="JX690" s="87"/>
      <c r="JY690" s="87"/>
      <c r="JZ690" s="87"/>
      <c r="KA690" s="146"/>
      <c r="KB690" s="87"/>
      <c r="KC690" s="87"/>
      <c r="KD690" s="87"/>
      <c r="KE690" s="87"/>
      <c r="KF690" s="87"/>
      <c r="KG690" s="87"/>
      <c r="KH690" s="87"/>
      <c r="KI690" s="87"/>
      <c r="KJ690" s="87"/>
      <c r="KK690" s="87"/>
      <c r="KL690" s="87"/>
      <c r="KM690" s="87"/>
      <c r="KN690" s="87"/>
      <c r="KO690" s="87"/>
      <c r="KP690" s="87"/>
      <c r="KQ690" s="87"/>
      <c r="KR690" s="87"/>
      <c r="KS690" s="146"/>
      <c r="KT690" s="146"/>
      <c r="KU690" s="146"/>
      <c r="KV690" s="146"/>
      <c r="KW690" s="87"/>
      <c r="KX690" s="87"/>
      <c r="KY690" s="87"/>
      <c r="KZ690" s="87"/>
      <c r="LA690" s="87"/>
      <c r="LB690" s="87"/>
      <c r="LC690" s="87"/>
      <c r="LD690" s="87"/>
      <c r="LE690" s="87"/>
      <c r="LF690" s="87"/>
      <c r="LG690" s="87"/>
      <c r="LH690" s="87"/>
      <c r="LI690" s="87"/>
      <c r="LJ690" s="87"/>
      <c r="LK690" s="87"/>
      <c r="LL690" s="87"/>
      <c r="LM690" s="87"/>
      <c r="LN690" s="87"/>
      <c r="LO690" s="87"/>
      <c r="LP690" s="87"/>
      <c r="LQ690" s="87"/>
      <c r="LR690" s="87"/>
      <c r="LS690" s="87"/>
      <c r="LT690" s="87"/>
      <c r="LU690" s="87"/>
      <c r="LV690" s="87"/>
      <c r="LW690" s="87"/>
      <c r="LX690" s="87"/>
      <c r="LY690" s="87"/>
      <c r="LZ690" s="87"/>
      <c r="MA690" s="87"/>
      <c r="MB690" s="87"/>
      <c r="MC690" s="87"/>
      <c r="MD690" s="87"/>
      <c r="ME690" s="87"/>
      <c r="MF690" s="87"/>
      <c r="MG690" s="87"/>
      <c r="MH690" s="87"/>
      <c r="MI690" s="87"/>
      <c r="MJ690" s="87"/>
      <c r="MK690" s="87"/>
      <c r="ML690" s="87"/>
      <c r="MM690" s="87"/>
      <c r="MN690" s="87"/>
      <c r="MO690" s="87"/>
      <c r="MP690" s="87"/>
      <c r="MQ690" s="87"/>
      <c r="MR690" s="87"/>
      <c r="MS690" s="87"/>
      <c r="MT690" s="87"/>
      <c r="MU690" s="87"/>
      <c r="MV690" s="87"/>
      <c r="MW690" s="87"/>
      <c r="MX690" s="87"/>
      <c r="MY690" s="87"/>
      <c r="MZ690" s="87" t="s">
        <v>2136</v>
      </c>
      <c r="NA690" s="87" t="s">
        <v>29</v>
      </c>
      <c r="NB690" s="87" t="s">
        <v>2047</v>
      </c>
      <c r="NC690" s="87" t="s">
        <v>2048</v>
      </c>
      <c r="ND690" s="87"/>
      <c r="NE690" s="87"/>
      <c r="NF690" s="87"/>
      <c r="NG690" s="87"/>
      <c r="NH690" s="87"/>
      <c r="NI690" s="87"/>
      <c r="NJ690" s="87"/>
      <c r="NK690" s="87" t="s">
        <v>2144</v>
      </c>
      <c r="NL690" s="87" t="s">
        <v>2145</v>
      </c>
      <c r="NM690" s="87" t="s">
        <v>2077</v>
      </c>
      <c r="NN690" s="87" t="s">
        <v>2078</v>
      </c>
      <c r="NO690" s="87"/>
      <c r="NP690" s="87"/>
      <c r="NQ690" s="87"/>
      <c r="NR690" s="87"/>
      <c r="NS690" s="87"/>
      <c r="NT690" s="87"/>
      <c r="NU690" s="87"/>
      <c r="NV690" s="87" t="s">
        <v>2062</v>
      </c>
      <c r="NW690" s="87" t="s">
        <v>6</v>
      </c>
      <c r="NX690" s="87">
        <v>50</v>
      </c>
      <c r="NY690" s="87" t="s">
        <v>1446</v>
      </c>
      <c r="NZ690" s="87">
        <v>7.57</v>
      </c>
      <c r="OA690" s="87"/>
      <c r="OB690" s="87"/>
      <c r="OC690" s="87">
        <v>3</v>
      </c>
      <c r="OD690" s="87"/>
      <c r="OE690" s="87"/>
      <c r="OF690" s="87"/>
      <c r="OG690" s="87"/>
      <c r="OH690" s="87"/>
      <c r="OI690" s="87"/>
      <c r="OJ690" s="87"/>
      <c r="OK690" s="87"/>
      <c r="OL690" s="87"/>
      <c r="OM690" s="87"/>
      <c r="ON690" s="87"/>
      <c r="OO690" s="87"/>
      <c r="OP690" s="87"/>
      <c r="OQ690" s="87"/>
      <c r="OR690" s="87"/>
      <c r="OS690" s="87"/>
      <c r="OT690" s="87" t="s">
        <v>2079</v>
      </c>
      <c r="OU690" s="87" t="s">
        <v>6</v>
      </c>
      <c r="OV690" s="87">
        <v>2005</v>
      </c>
      <c r="OW690" s="87">
        <v>2005</v>
      </c>
      <c r="OX690" s="87">
        <v>2005</v>
      </c>
      <c r="OY690" s="87"/>
      <c r="OZ690" s="87"/>
      <c r="PA690" s="87" t="s">
        <v>1981</v>
      </c>
      <c r="PB690" s="140" t="s">
        <v>2049</v>
      </c>
      <c r="PC690" s="87"/>
      <c r="PD690" s="87"/>
      <c r="PE690" s="87"/>
      <c r="PF690" s="87"/>
      <c r="PG690" s="138" t="s">
        <v>2050</v>
      </c>
    </row>
    <row r="691" spans="1:423">
      <c r="A691" t="s">
        <v>36</v>
      </c>
      <c r="B691" t="s">
        <v>2038</v>
      </c>
      <c r="C691" t="s">
        <v>1885</v>
      </c>
      <c r="D691" t="s">
        <v>245</v>
      </c>
      <c r="E691" t="s">
        <v>2065</v>
      </c>
      <c r="F691" t="s">
        <v>1804</v>
      </c>
      <c r="G691" t="s">
        <v>2</v>
      </c>
      <c r="H691" t="s">
        <v>2081</v>
      </c>
      <c r="I691">
        <v>10.29</v>
      </c>
      <c r="J691">
        <v>76.875</v>
      </c>
      <c r="K691">
        <v>600</v>
      </c>
      <c r="L691" t="s">
        <v>1885</v>
      </c>
      <c r="M691" t="s">
        <v>245</v>
      </c>
      <c r="N691" t="s">
        <v>2071</v>
      </c>
      <c r="O691" t="s">
        <v>1804</v>
      </c>
      <c r="P691" t="s">
        <v>2</v>
      </c>
      <c r="Q691" t="s">
        <v>2081</v>
      </c>
      <c r="R691">
        <v>10.348000000000001</v>
      </c>
      <c r="S691">
        <v>76.935000000000002</v>
      </c>
      <c r="T691">
        <v>600</v>
      </c>
      <c r="AV691" t="s">
        <v>2130</v>
      </c>
      <c r="AW691" t="s">
        <v>29</v>
      </c>
      <c r="AX691">
        <v>1838000</v>
      </c>
      <c r="AY691">
        <v>1</v>
      </c>
      <c r="AZ691" t="s">
        <v>2041</v>
      </c>
      <c r="BA691">
        <v>2005</v>
      </c>
      <c r="BB691">
        <v>2005</v>
      </c>
      <c r="BC691" t="s">
        <v>2042</v>
      </c>
      <c r="BD691" t="s">
        <v>1983</v>
      </c>
      <c r="BE691" t="s">
        <v>2137</v>
      </c>
      <c r="BF691" t="s">
        <v>48</v>
      </c>
      <c r="BG691" t="s">
        <v>1233</v>
      </c>
      <c r="BH691" t="s">
        <v>1821</v>
      </c>
      <c r="BI691" t="s">
        <v>29</v>
      </c>
      <c r="BJ691" t="s">
        <v>29</v>
      </c>
      <c r="BK691" t="s">
        <v>29</v>
      </c>
      <c r="EE691" t="s">
        <v>2066</v>
      </c>
      <c r="EF691" t="s">
        <v>29</v>
      </c>
      <c r="EG691" t="s">
        <v>29</v>
      </c>
      <c r="EI691" t="s">
        <v>2046</v>
      </c>
      <c r="EJ691" s="9" t="s">
        <v>29</v>
      </c>
      <c r="EK691" s="9" t="s">
        <v>29</v>
      </c>
      <c r="EL691" s="9"/>
      <c r="EM691" s="9" t="s">
        <v>2043</v>
      </c>
      <c r="EN691" s="9" t="s">
        <v>29</v>
      </c>
      <c r="EO691" s="9" t="s">
        <v>29</v>
      </c>
      <c r="EP691" s="9"/>
      <c r="EQ691" s="9" t="s">
        <v>2045</v>
      </c>
      <c r="ER691" s="9" t="s">
        <v>29</v>
      </c>
      <c r="ES691" s="9" t="s">
        <v>29</v>
      </c>
      <c r="ET691" s="9"/>
      <c r="EU691" s="9" t="s">
        <v>2072</v>
      </c>
      <c r="EV691" s="9" t="s">
        <v>29</v>
      </c>
      <c r="EW691" s="9" t="s">
        <v>29</v>
      </c>
      <c r="EX691" s="9"/>
      <c r="EY691" s="9"/>
      <c r="EZ691" s="9"/>
      <c r="FA691" s="9"/>
      <c r="FB691" s="9"/>
      <c r="FC691" s="9"/>
      <c r="FD691" s="9"/>
      <c r="FE691" s="9"/>
      <c r="FF691" s="9"/>
      <c r="FG691" s="9"/>
      <c r="FH691" s="9"/>
      <c r="FI691" s="9"/>
      <c r="FJ691" s="9"/>
      <c r="FK691" s="9"/>
      <c r="FL691" s="9"/>
      <c r="FM691" s="9"/>
      <c r="FN691" s="9"/>
      <c r="FO691" s="9"/>
      <c r="FP691" s="9"/>
      <c r="FQ691" s="9"/>
      <c r="FR691" s="9"/>
      <c r="FS691" s="9"/>
      <c r="FT691" s="9"/>
      <c r="FU691" s="9"/>
      <c r="FV691" s="9"/>
      <c r="FW691" s="9"/>
      <c r="FX691" s="9"/>
      <c r="FY691" s="9"/>
      <c r="FZ691" s="9"/>
      <c r="GA691" s="9"/>
      <c r="GB691" s="9"/>
      <c r="GC691" s="9"/>
      <c r="GD691" s="9"/>
      <c r="GE691" s="9"/>
      <c r="GF691" s="9"/>
      <c r="GG691" s="9"/>
      <c r="GH691" s="9"/>
      <c r="GI691" s="9"/>
      <c r="GJ691" s="9"/>
      <c r="GK691" s="9"/>
      <c r="GL691" s="9"/>
      <c r="GM691" s="9"/>
      <c r="GN691" s="9"/>
      <c r="GO691" s="9"/>
      <c r="GP691" s="9"/>
      <c r="GQ691" s="9"/>
      <c r="GR691" s="9"/>
      <c r="GS691" s="9"/>
      <c r="GT691" s="9"/>
      <c r="GU691" s="9"/>
      <c r="GV691" s="9"/>
      <c r="GW691" s="9"/>
      <c r="GX691" s="9"/>
      <c r="GY691" s="9"/>
      <c r="GZ691" s="9"/>
      <c r="HA691" s="9"/>
      <c r="HB691" s="9"/>
      <c r="HC691" s="9"/>
      <c r="HD691" s="9"/>
      <c r="HE691" s="9"/>
      <c r="HF691" s="9"/>
      <c r="HG691" s="9"/>
      <c r="HH691" s="9"/>
      <c r="HI691" s="9"/>
      <c r="HJ691" s="9"/>
      <c r="HK691" s="9"/>
      <c r="HL691" s="9"/>
      <c r="HM691" s="9"/>
      <c r="HZ691" s="58"/>
      <c r="IW691" t="s">
        <v>2067</v>
      </c>
      <c r="IX691" t="s">
        <v>1990</v>
      </c>
      <c r="JK691" t="s">
        <v>2068</v>
      </c>
      <c r="JL691" t="s">
        <v>2069</v>
      </c>
      <c r="JQ691" s="9"/>
      <c r="KA691" s="9"/>
      <c r="KF691" t="s">
        <v>2138</v>
      </c>
      <c r="KG691" t="s">
        <v>1548</v>
      </c>
      <c r="KS691" s="9"/>
      <c r="KT691" s="9"/>
      <c r="KU691" s="9"/>
      <c r="KV691" s="9"/>
      <c r="MZ691" t="s">
        <v>2139</v>
      </c>
      <c r="NA691" t="s">
        <v>29</v>
      </c>
      <c r="NB691" t="s">
        <v>2047</v>
      </c>
      <c r="NC691" t="s">
        <v>2048</v>
      </c>
      <c r="NK691" t="s">
        <v>2144</v>
      </c>
      <c r="NL691" t="s">
        <v>2145</v>
      </c>
      <c r="NM691" t="s">
        <v>2077</v>
      </c>
      <c r="NN691" t="s">
        <v>2078</v>
      </c>
      <c r="NV691" t="s">
        <v>2070</v>
      </c>
      <c r="NW691" t="s">
        <v>6</v>
      </c>
      <c r="NX691">
        <v>52.5</v>
      </c>
      <c r="NY691" t="s">
        <v>1446</v>
      </c>
      <c r="NZ691">
        <v>12.23</v>
      </c>
      <c r="OC691">
        <v>2</v>
      </c>
      <c r="OT691" t="s">
        <v>2079</v>
      </c>
      <c r="OU691" t="s">
        <v>6</v>
      </c>
      <c r="OV691">
        <v>2005</v>
      </c>
      <c r="OW691">
        <v>2005</v>
      </c>
      <c r="OX691">
        <v>2005</v>
      </c>
      <c r="PA691" t="s">
        <v>1981</v>
      </c>
      <c r="PB691" s="58" t="s">
        <v>2049</v>
      </c>
      <c r="PG691" t="s">
        <v>2050</v>
      </c>
    </row>
    <row r="692" spans="1:423">
      <c r="A692" s="87" t="s">
        <v>36</v>
      </c>
      <c r="B692" s="87" t="s">
        <v>2038</v>
      </c>
      <c r="C692" s="87" t="s">
        <v>1885</v>
      </c>
      <c r="D692" s="87" t="s">
        <v>2039</v>
      </c>
      <c r="E692" s="87" t="s">
        <v>2040</v>
      </c>
      <c r="F692" s="87" t="s">
        <v>1959</v>
      </c>
      <c r="G692" s="87" t="s">
        <v>2</v>
      </c>
      <c r="H692" s="87" t="s">
        <v>2081</v>
      </c>
      <c r="I692" s="87">
        <v>10.3622</v>
      </c>
      <c r="J692" s="87">
        <v>76.980199999999996</v>
      </c>
      <c r="K692" s="87">
        <v>3000</v>
      </c>
      <c r="L692" s="87" t="s">
        <v>1885</v>
      </c>
      <c r="M692" s="87" t="s">
        <v>2039</v>
      </c>
      <c r="N692" s="87" t="s">
        <v>2051</v>
      </c>
      <c r="O692" s="87" t="s">
        <v>1959</v>
      </c>
      <c r="P692" s="87" t="s">
        <v>2</v>
      </c>
      <c r="Q692" s="87" t="s">
        <v>2081</v>
      </c>
      <c r="R692" s="87">
        <v>10.385</v>
      </c>
      <c r="S692" s="87">
        <v>76.95</v>
      </c>
      <c r="T692" s="87">
        <v>1000</v>
      </c>
      <c r="U692" s="87" t="s">
        <v>1885</v>
      </c>
      <c r="V692" s="87" t="s">
        <v>2039</v>
      </c>
      <c r="W692" s="87" t="s">
        <v>2052</v>
      </c>
      <c r="X692" s="87" t="s">
        <v>1959</v>
      </c>
      <c r="Y692" s="87" t="s">
        <v>2</v>
      </c>
      <c r="Z692" s="87" t="s">
        <v>2081</v>
      </c>
      <c r="AA692" s="87">
        <v>10.234999999999999</v>
      </c>
      <c r="AB692" s="87">
        <v>76.89</v>
      </c>
      <c r="AC692" s="87">
        <v>1500</v>
      </c>
      <c r="AD692" s="87"/>
      <c r="AE692" s="87"/>
      <c r="AF692" s="87"/>
      <c r="AG692" s="87"/>
      <c r="AH692" s="87"/>
      <c r="AI692" s="87"/>
      <c r="AJ692" s="87"/>
      <c r="AK692" s="87"/>
      <c r="AL692" s="87"/>
      <c r="AM692" s="87"/>
      <c r="AN692" s="87"/>
      <c r="AO692" s="87"/>
      <c r="AP692" s="87"/>
      <c r="AQ692" s="87"/>
      <c r="AR692" s="87"/>
      <c r="AS692" s="87"/>
      <c r="AT692" s="87"/>
      <c r="AU692" s="87"/>
      <c r="AV692" s="87" t="s">
        <v>2130</v>
      </c>
      <c r="AW692" s="87" t="s">
        <v>29</v>
      </c>
      <c r="AX692" s="87">
        <v>29850000</v>
      </c>
      <c r="AY692" s="87">
        <v>1</v>
      </c>
      <c r="AZ692" s="87" t="s">
        <v>2041</v>
      </c>
      <c r="BA692" s="87">
        <v>2005</v>
      </c>
      <c r="BB692" s="87">
        <v>2005</v>
      </c>
      <c r="BC692" s="87" t="s">
        <v>2042</v>
      </c>
      <c r="BD692" s="87" t="s">
        <v>1836</v>
      </c>
      <c r="BE692" s="87" t="s">
        <v>2131</v>
      </c>
      <c r="BF692" s="87" t="s">
        <v>39</v>
      </c>
      <c r="BG692" s="87" t="s">
        <v>1743</v>
      </c>
      <c r="BH692" s="87"/>
      <c r="BI692" s="87"/>
      <c r="BJ692" s="87"/>
      <c r="BK692" s="87"/>
      <c r="BL692" s="87"/>
      <c r="BM692" s="87"/>
      <c r="BN692" s="87"/>
      <c r="BO692" s="87"/>
      <c r="BP692" s="87"/>
      <c r="BQ692" s="87"/>
      <c r="BR692" s="87"/>
      <c r="BS692" s="87"/>
      <c r="BT692" s="87"/>
      <c r="BU692" s="87"/>
      <c r="BV692" s="87"/>
      <c r="BW692" s="87"/>
      <c r="BX692" s="87"/>
      <c r="BY692" s="87"/>
      <c r="BZ692" s="87"/>
      <c r="CA692" s="87"/>
      <c r="CB692" s="87"/>
      <c r="CC692" s="87"/>
      <c r="CD692" s="87"/>
      <c r="CE692" s="87"/>
      <c r="CF692" s="87"/>
      <c r="CG692" s="87"/>
      <c r="CH692" s="87"/>
      <c r="CI692" s="87"/>
      <c r="CJ692" s="87"/>
      <c r="CK692" s="87"/>
      <c r="CL692" s="87"/>
      <c r="CM692" s="87"/>
      <c r="CN692" s="87"/>
      <c r="CO692" s="87"/>
      <c r="CP692" s="87"/>
      <c r="CQ692" s="87"/>
      <c r="CR692" s="87"/>
      <c r="CS692" s="87"/>
      <c r="CT692" s="87"/>
      <c r="CU692" s="87"/>
      <c r="CV692" s="87"/>
      <c r="CW692" s="87"/>
      <c r="CX692" s="87"/>
      <c r="CY692" s="87"/>
      <c r="CZ692" s="87"/>
      <c r="DA692" s="87"/>
      <c r="DB692" s="87"/>
      <c r="DC692" s="87"/>
      <c r="DD692" s="87"/>
      <c r="DE692" s="87"/>
      <c r="DF692" s="87"/>
      <c r="DG692" s="87"/>
      <c r="DH692" s="87"/>
      <c r="DI692" s="87"/>
      <c r="DJ692" s="87"/>
      <c r="DK692" s="87"/>
      <c r="DL692" s="87"/>
      <c r="DM692" s="87"/>
      <c r="DN692" s="87"/>
      <c r="DO692" s="87"/>
      <c r="DP692" s="87"/>
      <c r="DQ692" s="87"/>
      <c r="DR692" s="87"/>
      <c r="DS692" s="87"/>
      <c r="DT692" s="87"/>
      <c r="DU692" s="87"/>
      <c r="DV692" s="87"/>
      <c r="DW692" s="87"/>
      <c r="DX692" s="87"/>
      <c r="DY692" s="87"/>
      <c r="DZ692" s="87"/>
      <c r="EA692" s="87"/>
      <c r="EB692" s="87"/>
      <c r="EC692" s="87"/>
      <c r="ED692" s="87"/>
      <c r="EE692" s="87" t="s">
        <v>2043</v>
      </c>
      <c r="EF692" s="87" t="s">
        <v>2044</v>
      </c>
      <c r="EG692" s="87" t="s">
        <v>29</v>
      </c>
      <c r="EH692" s="87"/>
      <c r="EI692" s="87" t="s">
        <v>2045</v>
      </c>
      <c r="EJ692" s="139" t="s">
        <v>2044</v>
      </c>
      <c r="EK692" s="139" t="s">
        <v>29</v>
      </c>
      <c r="EL692" s="139"/>
      <c r="EM692" s="139" t="s">
        <v>2046</v>
      </c>
      <c r="EN692" s="139" t="s">
        <v>2044</v>
      </c>
      <c r="EO692" s="139" t="s">
        <v>29</v>
      </c>
      <c r="EP692" s="139"/>
      <c r="EQ692" s="139"/>
      <c r="ER692" s="139"/>
      <c r="ES692" s="139"/>
      <c r="ET692" s="139"/>
      <c r="EU692" s="139"/>
      <c r="EV692" s="139"/>
      <c r="EW692" s="139"/>
      <c r="EX692" s="139"/>
      <c r="EY692" s="139"/>
      <c r="EZ692" s="139"/>
      <c r="FA692" s="139"/>
      <c r="FB692" s="139"/>
      <c r="FC692" s="139"/>
      <c r="FD692" s="139"/>
      <c r="FE692" s="139"/>
      <c r="FF692" s="139"/>
      <c r="FG692" s="139"/>
      <c r="FH692" s="139"/>
      <c r="FI692" s="139"/>
      <c r="FJ692" s="139"/>
      <c r="FK692" s="139"/>
      <c r="FL692" s="139"/>
      <c r="FM692" s="139"/>
      <c r="FN692" s="139"/>
      <c r="FO692" s="139"/>
      <c r="FP692" s="139"/>
      <c r="FQ692" s="139"/>
      <c r="FR692" s="139"/>
      <c r="FS692" s="139"/>
      <c r="FT692" s="139"/>
      <c r="FU692" s="139"/>
      <c r="FV692" s="139"/>
      <c r="FW692" s="139"/>
      <c r="FX692" s="139"/>
      <c r="FY692" s="139"/>
      <c r="FZ692" s="139"/>
      <c r="GA692" s="139"/>
      <c r="GB692" s="139"/>
      <c r="GC692" s="139"/>
      <c r="GD692" s="139"/>
      <c r="GE692" s="139"/>
      <c r="GF692" s="139"/>
      <c r="GG692" s="139"/>
      <c r="GH692" s="139"/>
      <c r="GI692" s="139"/>
      <c r="GJ692" s="139"/>
      <c r="GK692" s="139"/>
      <c r="GL692" s="139"/>
      <c r="GM692" s="139"/>
      <c r="GN692" s="139"/>
      <c r="GO692" s="139"/>
      <c r="GP692" s="139"/>
      <c r="GQ692" s="139"/>
      <c r="GR692" s="139"/>
      <c r="GS692" s="139"/>
      <c r="GT692" s="139"/>
      <c r="GU692" s="139"/>
      <c r="GV692" s="139"/>
      <c r="GW692" s="139"/>
      <c r="GX692" s="139"/>
      <c r="GY692" s="139"/>
      <c r="GZ692" s="139"/>
      <c r="HA692" s="139"/>
      <c r="HB692" s="139"/>
      <c r="HC692" s="139"/>
      <c r="HD692" s="139"/>
      <c r="HE692" s="139"/>
      <c r="HF692" s="139"/>
      <c r="HG692" s="139"/>
      <c r="HH692" s="139"/>
      <c r="HI692" s="139"/>
      <c r="HJ692" s="139"/>
      <c r="HK692" s="139"/>
      <c r="HL692" s="139"/>
      <c r="HM692" s="139"/>
      <c r="HN692" s="87"/>
      <c r="HO692" s="87"/>
      <c r="HP692" s="87"/>
      <c r="HQ692" s="87"/>
      <c r="HR692" s="87"/>
      <c r="HS692" s="87"/>
      <c r="HT692" s="87"/>
      <c r="HU692" s="87"/>
      <c r="HV692" s="87"/>
      <c r="HW692" s="87"/>
      <c r="HX692" s="87"/>
      <c r="HY692" s="87"/>
      <c r="HZ692" s="140"/>
      <c r="IA692" s="87"/>
      <c r="IB692" s="87"/>
      <c r="IC692" s="87"/>
      <c r="ID692" s="87"/>
      <c r="IE692" s="87"/>
      <c r="IF692" s="87"/>
      <c r="IG692" s="87"/>
      <c r="IH692" s="87"/>
      <c r="II692" s="87"/>
      <c r="IJ692" s="87"/>
      <c r="IK692" s="87"/>
      <c r="IL692" s="87"/>
      <c r="IM692" s="87"/>
      <c r="IN692" s="87"/>
      <c r="IO692" s="87"/>
      <c r="IP692" s="87"/>
      <c r="IQ692" s="87"/>
      <c r="IR692" s="87"/>
      <c r="IS692" s="87"/>
      <c r="IT692" s="87"/>
      <c r="IU692" s="87"/>
      <c r="IV692" s="87"/>
      <c r="IW692" s="87"/>
      <c r="IX692" s="87"/>
      <c r="IY692" s="87"/>
      <c r="IZ692" s="87"/>
      <c r="JA692" s="87"/>
      <c r="JB692" s="87"/>
      <c r="JC692" s="87"/>
      <c r="JD692" s="87"/>
      <c r="JE692" s="87"/>
      <c r="JF692" s="87"/>
      <c r="JG692" s="87"/>
      <c r="JH692" s="87"/>
      <c r="JI692" s="87"/>
      <c r="JJ692" s="87"/>
      <c r="JK692" s="87"/>
      <c r="JL692" s="87"/>
      <c r="JM692" s="87"/>
      <c r="JN692" s="87"/>
      <c r="JO692" s="87"/>
      <c r="JP692" s="87"/>
      <c r="JQ692" s="146"/>
      <c r="JR692" s="87"/>
      <c r="JS692" s="87"/>
      <c r="JT692" s="87"/>
      <c r="JU692" s="87"/>
      <c r="JV692" s="87"/>
      <c r="JW692" s="87"/>
      <c r="JX692" s="87"/>
      <c r="JY692" s="87"/>
      <c r="JZ692" s="87"/>
      <c r="KA692" s="146"/>
      <c r="KB692" s="87"/>
      <c r="KC692" s="87"/>
      <c r="KD692" s="87"/>
      <c r="KE692" s="87"/>
      <c r="KF692" s="87"/>
      <c r="KG692" s="87"/>
      <c r="KH692" s="87"/>
      <c r="KI692" s="87"/>
      <c r="KJ692" s="87"/>
      <c r="KK692" s="87"/>
      <c r="KL692" s="87"/>
      <c r="KM692" s="87"/>
      <c r="KN692" s="87"/>
      <c r="KO692" s="87"/>
      <c r="KP692" s="87"/>
      <c r="KQ692" s="87"/>
      <c r="KR692" s="87"/>
      <c r="KS692" s="146"/>
      <c r="KT692" s="146"/>
      <c r="KU692" s="146"/>
      <c r="KV692" s="146"/>
      <c r="KW692" s="87"/>
      <c r="KX692" s="87"/>
      <c r="KY692" s="87"/>
      <c r="KZ692" s="87"/>
      <c r="LA692" s="87"/>
      <c r="LB692" s="87"/>
      <c r="LC692" s="87"/>
      <c r="LD692" s="87"/>
      <c r="LE692" s="87"/>
      <c r="LF692" s="87"/>
      <c r="LG692" s="87"/>
      <c r="LH692" s="87"/>
      <c r="LI692" s="87"/>
      <c r="LJ692" s="87"/>
      <c r="LK692" s="87"/>
      <c r="LL692" s="87"/>
      <c r="LM692" s="87"/>
      <c r="LN692" s="87"/>
      <c r="LO692" s="87"/>
      <c r="LP692" s="87"/>
      <c r="LQ692" s="87"/>
      <c r="LR692" s="87"/>
      <c r="LS692" s="87"/>
      <c r="LT692" s="87"/>
      <c r="LU692" s="87"/>
      <c r="LV692" s="87"/>
      <c r="LW692" s="87"/>
      <c r="LX692" s="87"/>
      <c r="LY692" s="87"/>
      <c r="LZ692" s="87"/>
      <c r="MA692" s="87"/>
      <c r="MB692" s="87"/>
      <c r="MC692" s="87"/>
      <c r="MD692" s="87"/>
      <c r="ME692" s="87"/>
      <c r="MF692" s="87"/>
      <c r="MG692" s="87"/>
      <c r="MH692" s="87"/>
      <c r="MI692" s="87"/>
      <c r="MJ692" s="87"/>
      <c r="MK692" s="87"/>
      <c r="ML692" s="87"/>
      <c r="MM692" s="87"/>
      <c r="MN692" s="87"/>
      <c r="MO692" s="87"/>
      <c r="MP692" s="87"/>
      <c r="MQ692" s="87"/>
      <c r="MR692" s="87"/>
      <c r="MS692" s="87"/>
      <c r="MT692" s="87"/>
      <c r="MU692" s="87"/>
      <c r="MV692" s="87"/>
      <c r="MW692" s="87"/>
      <c r="MX692" s="87"/>
      <c r="MY692" s="87"/>
      <c r="MZ692" s="87" t="s">
        <v>2132</v>
      </c>
      <c r="NA692" s="87" t="s">
        <v>29</v>
      </c>
      <c r="NB692" s="87" t="s">
        <v>2047</v>
      </c>
      <c r="NC692" s="87" t="s">
        <v>2048</v>
      </c>
      <c r="ND692" s="87"/>
      <c r="NE692" s="87"/>
      <c r="NF692" s="87"/>
      <c r="NG692" s="87"/>
      <c r="NH692" s="87"/>
      <c r="NI692" s="87"/>
      <c r="NJ692" s="87"/>
      <c r="NK692" s="87" t="s">
        <v>2146</v>
      </c>
      <c r="NL692" s="87" t="s">
        <v>2147</v>
      </c>
      <c r="NM692" s="87" t="s">
        <v>2016</v>
      </c>
      <c r="NN692" s="87" t="s">
        <v>2080</v>
      </c>
      <c r="NO692" s="87"/>
      <c r="NP692" s="87"/>
      <c r="NQ692" s="87"/>
      <c r="NR692" s="87"/>
      <c r="NS692" s="87"/>
      <c r="NT692" s="87"/>
      <c r="NU692" s="87"/>
      <c r="NV692" s="87" t="s">
        <v>1828</v>
      </c>
      <c r="NW692" s="87" t="s">
        <v>6</v>
      </c>
      <c r="NX692" s="87">
        <v>81.67</v>
      </c>
      <c r="NY692" s="87" t="s">
        <v>1446</v>
      </c>
      <c r="NZ692" s="87">
        <v>26.5</v>
      </c>
      <c r="OA692" s="87"/>
      <c r="OB692" s="87"/>
      <c r="OC692" s="87">
        <v>3</v>
      </c>
      <c r="OD692" s="87"/>
      <c r="OE692" s="87"/>
      <c r="OF692" s="87"/>
      <c r="OG692" s="87"/>
      <c r="OH692" s="87"/>
      <c r="OI692" s="87"/>
      <c r="OJ692" s="87"/>
      <c r="OK692" s="87"/>
      <c r="OL692" s="87"/>
      <c r="OM692" s="87"/>
      <c r="ON692" s="87"/>
      <c r="OO692" s="87"/>
      <c r="OP692" s="87"/>
      <c r="OQ692" s="87"/>
      <c r="OR692" s="87"/>
      <c r="OS692" s="87"/>
      <c r="OT692" s="87" t="s">
        <v>2079</v>
      </c>
      <c r="OU692" s="87" t="s">
        <v>6</v>
      </c>
      <c r="OV692" s="87">
        <v>2005</v>
      </c>
      <c r="OW692" s="87">
        <v>2005</v>
      </c>
      <c r="OX692" s="87">
        <v>2005</v>
      </c>
      <c r="OY692" s="87"/>
      <c r="OZ692" s="87"/>
      <c r="PA692" s="87" t="s">
        <v>1981</v>
      </c>
      <c r="PB692" s="140" t="s">
        <v>2049</v>
      </c>
      <c r="PC692" s="87"/>
      <c r="PD692" s="87"/>
      <c r="PE692" s="87"/>
      <c r="PF692" s="87"/>
      <c r="PG692" s="138" t="s">
        <v>2050</v>
      </c>
    </row>
    <row r="693" spans="1:423">
      <c r="A693" t="s">
        <v>36</v>
      </c>
      <c r="B693" t="s">
        <v>2038</v>
      </c>
      <c r="C693" t="s">
        <v>1885</v>
      </c>
      <c r="D693" t="s">
        <v>245</v>
      </c>
      <c r="E693" t="s">
        <v>2053</v>
      </c>
      <c r="F693" t="s">
        <v>1961</v>
      </c>
      <c r="G693" t="s">
        <v>2</v>
      </c>
      <c r="H693" t="s">
        <v>2081</v>
      </c>
      <c r="I693">
        <v>10.37</v>
      </c>
      <c r="J693">
        <v>76.984999999999999</v>
      </c>
      <c r="K693">
        <v>500</v>
      </c>
      <c r="L693" t="s">
        <v>1885</v>
      </c>
      <c r="M693" t="s">
        <v>245</v>
      </c>
      <c r="N693" t="s">
        <v>2056</v>
      </c>
      <c r="O693" t="s">
        <v>1961</v>
      </c>
      <c r="P693" t="s">
        <v>2</v>
      </c>
      <c r="Q693" t="s">
        <v>2081</v>
      </c>
      <c r="R693">
        <v>10.3512</v>
      </c>
      <c r="S693">
        <v>76.938400000000001</v>
      </c>
      <c r="T693">
        <v>400</v>
      </c>
      <c r="U693" t="s">
        <v>1885</v>
      </c>
      <c r="V693" t="s">
        <v>245</v>
      </c>
      <c r="W693" t="s">
        <v>2057</v>
      </c>
      <c r="X693" t="s">
        <v>1961</v>
      </c>
      <c r="Y693" t="s">
        <v>2</v>
      </c>
      <c r="Z693" t="s">
        <v>2081</v>
      </c>
      <c r="AA693">
        <v>10.279</v>
      </c>
      <c r="AB693">
        <v>76.8874</v>
      </c>
      <c r="AC693">
        <v>500</v>
      </c>
      <c r="AD693" t="s">
        <v>1885</v>
      </c>
      <c r="AE693" t="s">
        <v>245</v>
      </c>
      <c r="AF693" t="s">
        <v>2058</v>
      </c>
      <c r="AG693" t="s">
        <v>1961</v>
      </c>
      <c r="AH693" t="s">
        <v>2</v>
      </c>
      <c r="AI693" t="s">
        <v>2081</v>
      </c>
      <c r="AJ693">
        <v>10.345000000000001</v>
      </c>
      <c r="AK693">
        <v>76.924999999999997</v>
      </c>
      <c r="AL693">
        <v>300</v>
      </c>
      <c r="AV693" t="s">
        <v>2130</v>
      </c>
      <c r="AW693" t="s">
        <v>29</v>
      </c>
      <c r="AX693">
        <v>2316000</v>
      </c>
      <c r="AY693">
        <v>1</v>
      </c>
      <c r="AZ693" t="s">
        <v>2041</v>
      </c>
      <c r="BA693">
        <v>2005</v>
      </c>
      <c r="BB693">
        <v>2005</v>
      </c>
      <c r="BC693" t="s">
        <v>2042</v>
      </c>
      <c r="BD693" t="s">
        <v>2054</v>
      </c>
      <c r="BE693" t="s">
        <v>2133</v>
      </c>
      <c r="BF693" t="s">
        <v>64</v>
      </c>
      <c r="BG693" t="s">
        <v>1743</v>
      </c>
      <c r="EE693" t="s">
        <v>2043</v>
      </c>
      <c r="EF693" t="s">
        <v>2044</v>
      </c>
      <c r="EG693" t="s">
        <v>29</v>
      </c>
      <c r="EI693" t="s">
        <v>2045</v>
      </c>
      <c r="EJ693" s="9" t="s">
        <v>2044</v>
      </c>
      <c r="EK693" s="9" t="s">
        <v>29</v>
      </c>
      <c r="EL693" s="9"/>
      <c r="EM693" s="9" t="s">
        <v>2046</v>
      </c>
      <c r="EN693" s="9" t="s">
        <v>2044</v>
      </c>
      <c r="EO693" s="9" t="s">
        <v>29</v>
      </c>
      <c r="EP693" s="9"/>
      <c r="EQ693" s="9"/>
      <c r="ER693" s="9"/>
      <c r="ES693" s="9"/>
      <c r="ET693" s="9"/>
      <c r="EU693" s="9"/>
      <c r="EV693" s="9"/>
      <c r="EW693" s="9"/>
      <c r="EX693" s="9"/>
      <c r="EY693" s="9"/>
      <c r="EZ693" s="9"/>
      <c r="FA693" s="9"/>
      <c r="FB693" s="9"/>
      <c r="FC693" s="9"/>
      <c r="FD693" s="9"/>
      <c r="FE693" s="9"/>
      <c r="FF693" s="9"/>
      <c r="FG693" s="9"/>
      <c r="FH693" s="9"/>
      <c r="FI693" s="9"/>
      <c r="FJ693" s="9"/>
      <c r="FK693" s="9"/>
      <c r="FL693" s="9"/>
      <c r="FM693" s="9"/>
      <c r="FN693" s="9"/>
      <c r="FO693" s="9"/>
      <c r="FP693" s="9"/>
      <c r="FQ693" s="9"/>
      <c r="FR693" s="9"/>
      <c r="FS693" s="9"/>
      <c r="FT693" s="9"/>
      <c r="FU693" s="9"/>
      <c r="FV693" s="9"/>
      <c r="FW693" s="9"/>
      <c r="FX693" s="9"/>
      <c r="FY693" s="9"/>
      <c r="FZ693" s="9"/>
      <c r="GA693" s="9"/>
      <c r="GB693" s="9"/>
      <c r="GC693" s="9"/>
      <c r="GD693" s="9"/>
      <c r="GE693" s="9"/>
      <c r="GF693" s="9"/>
      <c r="GG693" s="9"/>
      <c r="GH693" s="9"/>
      <c r="GI693" s="9"/>
      <c r="GJ693" s="9"/>
      <c r="GK693" s="9"/>
      <c r="GL693" s="9"/>
      <c r="GM693" s="9"/>
      <c r="GN693" s="9"/>
      <c r="GO693" s="9"/>
      <c r="GP693" s="9"/>
      <c r="GQ693" s="9"/>
      <c r="GR693" s="9"/>
      <c r="GS693" s="9"/>
      <c r="GT693" s="9"/>
      <c r="GU693" s="9"/>
      <c r="GV693" s="9"/>
      <c r="GW693" s="9"/>
      <c r="GX693" s="9"/>
      <c r="GY693" s="9"/>
      <c r="GZ693" s="9"/>
      <c r="HA693" s="9"/>
      <c r="HB693" s="9"/>
      <c r="HC693" s="9"/>
      <c r="HD693" s="9"/>
      <c r="HE693" s="9"/>
      <c r="HF693" s="9"/>
      <c r="HG693" s="9"/>
      <c r="HH693" s="9"/>
      <c r="HI693" s="9"/>
      <c r="HJ693" s="9"/>
      <c r="HK693" s="9"/>
      <c r="HL693" s="9"/>
      <c r="HM693" s="9"/>
      <c r="HZ693" s="58"/>
      <c r="JQ693" s="9"/>
      <c r="KA693" s="9"/>
      <c r="KS693" s="9"/>
      <c r="KT693" s="9"/>
      <c r="KU693" s="9"/>
      <c r="KV693" s="9"/>
      <c r="MZ693" t="s">
        <v>2134</v>
      </c>
      <c r="NA693" t="s">
        <v>29</v>
      </c>
      <c r="NB693" t="s">
        <v>2047</v>
      </c>
      <c r="NC693" t="s">
        <v>2048</v>
      </c>
      <c r="NK693" t="s">
        <v>2146</v>
      </c>
      <c r="NL693" t="s">
        <v>2147</v>
      </c>
      <c r="NM693" t="s">
        <v>2016</v>
      </c>
      <c r="NN693" t="s">
        <v>2080</v>
      </c>
      <c r="NV693" t="s">
        <v>2055</v>
      </c>
      <c r="NW693" t="s">
        <v>6</v>
      </c>
      <c r="NX693">
        <v>80</v>
      </c>
      <c r="NY693" t="s">
        <v>1446</v>
      </c>
      <c r="NZ693">
        <v>14.08</v>
      </c>
      <c r="OC693">
        <v>4</v>
      </c>
      <c r="OT693" t="s">
        <v>2079</v>
      </c>
      <c r="OU693" t="s">
        <v>6</v>
      </c>
      <c r="OV693">
        <v>2005</v>
      </c>
      <c r="OW693">
        <v>2005</v>
      </c>
      <c r="OX693">
        <v>2005</v>
      </c>
      <c r="PA693" t="s">
        <v>1981</v>
      </c>
      <c r="PB693" s="58" t="s">
        <v>2049</v>
      </c>
      <c r="PG693" t="s">
        <v>2050</v>
      </c>
    </row>
    <row r="694" spans="1:423">
      <c r="A694" s="87" t="s">
        <v>36</v>
      </c>
      <c r="B694" s="87" t="s">
        <v>2038</v>
      </c>
      <c r="C694" s="87" t="s">
        <v>1885</v>
      </c>
      <c r="D694" s="87" t="s">
        <v>245</v>
      </c>
      <c r="E694" s="87" t="s">
        <v>2059</v>
      </c>
      <c r="F694" s="87" t="s">
        <v>1961</v>
      </c>
      <c r="G694" s="87" t="s">
        <v>2</v>
      </c>
      <c r="H694" s="87" t="s">
        <v>2081</v>
      </c>
      <c r="I694" s="87">
        <v>10.33</v>
      </c>
      <c r="J694" s="87">
        <v>76.965000000000003</v>
      </c>
      <c r="K694" s="87">
        <v>500</v>
      </c>
      <c r="L694" s="87" t="s">
        <v>1885</v>
      </c>
      <c r="M694" s="87" t="s">
        <v>245</v>
      </c>
      <c r="N694" s="87" t="s">
        <v>2063</v>
      </c>
      <c r="O694" s="87" t="s">
        <v>1961</v>
      </c>
      <c r="P694" s="87" t="s">
        <v>2</v>
      </c>
      <c r="Q694" s="87" t="s">
        <v>2081</v>
      </c>
      <c r="R694" s="87">
        <v>10.308299999999999</v>
      </c>
      <c r="S694" s="87">
        <v>76.899900000000002</v>
      </c>
      <c r="T694" s="87">
        <v>500</v>
      </c>
      <c r="U694" s="87" t="s">
        <v>1885</v>
      </c>
      <c r="V694" s="87" t="s">
        <v>245</v>
      </c>
      <c r="W694" s="87" t="s">
        <v>2064</v>
      </c>
      <c r="X694" s="87" t="s">
        <v>1961</v>
      </c>
      <c r="Y694" s="87" t="s">
        <v>2</v>
      </c>
      <c r="Z694" s="87" t="s">
        <v>2081</v>
      </c>
      <c r="AA694" s="87">
        <v>10.31</v>
      </c>
      <c r="AB694" s="87">
        <v>76.94</v>
      </c>
      <c r="AC694" s="87">
        <v>300</v>
      </c>
      <c r="AD694" s="87"/>
      <c r="AE694" s="87"/>
      <c r="AF694" s="87"/>
      <c r="AG694" s="87"/>
      <c r="AH694" s="87"/>
      <c r="AI694" s="87"/>
      <c r="AJ694" s="87"/>
      <c r="AK694" s="87"/>
      <c r="AL694" s="87"/>
      <c r="AM694" s="87"/>
      <c r="AN694" s="87"/>
      <c r="AO694" s="87"/>
      <c r="AP694" s="87"/>
      <c r="AQ694" s="87"/>
      <c r="AR694" s="87"/>
      <c r="AS694" s="87"/>
      <c r="AT694" s="87"/>
      <c r="AU694" s="87"/>
      <c r="AV694" s="87" t="s">
        <v>2130</v>
      </c>
      <c r="AW694" s="87" t="s">
        <v>29</v>
      </c>
      <c r="AX694" s="87">
        <v>1671000</v>
      </c>
      <c r="AY694" s="87">
        <v>1</v>
      </c>
      <c r="AZ694" s="87" t="s">
        <v>2041</v>
      </c>
      <c r="BA694" s="87">
        <v>2005</v>
      </c>
      <c r="BB694" s="87">
        <v>2005</v>
      </c>
      <c r="BC694" s="87" t="s">
        <v>2042</v>
      </c>
      <c r="BD694" s="87" t="s">
        <v>2054</v>
      </c>
      <c r="BE694" s="87" t="s">
        <v>2135</v>
      </c>
      <c r="BF694" s="87" t="s">
        <v>57</v>
      </c>
      <c r="BG694" s="87" t="s">
        <v>1743</v>
      </c>
      <c r="BH694" s="87"/>
      <c r="BI694" s="87"/>
      <c r="BJ694" s="87"/>
      <c r="BK694" s="87"/>
      <c r="BL694" s="87"/>
      <c r="BM694" s="87"/>
      <c r="BN694" s="87"/>
      <c r="BO694" s="87"/>
      <c r="BP694" s="87"/>
      <c r="BQ694" s="87"/>
      <c r="BR694" s="87"/>
      <c r="BS694" s="87"/>
      <c r="BT694" s="87"/>
      <c r="BU694" s="87"/>
      <c r="BV694" s="87"/>
      <c r="BW694" s="87"/>
      <c r="BX694" s="87"/>
      <c r="BY694" s="87"/>
      <c r="BZ694" s="87"/>
      <c r="CA694" s="87"/>
      <c r="CB694" s="87"/>
      <c r="CC694" s="87"/>
      <c r="CD694" s="87"/>
      <c r="CE694" s="87"/>
      <c r="CF694" s="87"/>
      <c r="CG694" s="87"/>
      <c r="CH694" s="87"/>
      <c r="CI694" s="87"/>
      <c r="CJ694" s="87"/>
      <c r="CK694" s="87"/>
      <c r="CL694" s="87"/>
      <c r="CM694" s="87"/>
      <c r="CN694" s="87"/>
      <c r="CO694" s="87"/>
      <c r="CP694" s="87"/>
      <c r="CQ694" s="87"/>
      <c r="CR694" s="87"/>
      <c r="CS694" s="87"/>
      <c r="CT694" s="87"/>
      <c r="CU694" s="87"/>
      <c r="CV694" s="87"/>
      <c r="CW694" s="87"/>
      <c r="CX694" s="87"/>
      <c r="CY694" s="87"/>
      <c r="CZ694" s="87"/>
      <c r="DA694" s="87"/>
      <c r="DB694" s="87"/>
      <c r="DC694" s="87"/>
      <c r="DD694" s="87"/>
      <c r="DE694" s="87"/>
      <c r="DF694" s="87"/>
      <c r="DG694" s="87"/>
      <c r="DH694" s="87"/>
      <c r="DI694" s="87"/>
      <c r="DJ694" s="87"/>
      <c r="DK694" s="87"/>
      <c r="DL694" s="87"/>
      <c r="DM694" s="87"/>
      <c r="DN694" s="87"/>
      <c r="DO694" s="87"/>
      <c r="DP694" s="87"/>
      <c r="DQ694" s="87"/>
      <c r="DR694" s="87"/>
      <c r="DS694" s="87"/>
      <c r="DT694" s="87"/>
      <c r="DU694" s="87"/>
      <c r="DV694" s="87"/>
      <c r="DW694" s="87"/>
      <c r="DX694" s="87"/>
      <c r="DY694" s="87"/>
      <c r="DZ694" s="87"/>
      <c r="EA694" s="87"/>
      <c r="EB694" s="87"/>
      <c r="EC694" s="87"/>
      <c r="ED694" s="87"/>
      <c r="EE694" s="87" t="s">
        <v>2043</v>
      </c>
      <c r="EF694" s="87" t="s">
        <v>2044</v>
      </c>
      <c r="EG694" s="87" t="s">
        <v>29</v>
      </c>
      <c r="EH694" s="87"/>
      <c r="EI694" s="87" t="s">
        <v>2045</v>
      </c>
      <c r="EJ694" s="139" t="s">
        <v>2044</v>
      </c>
      <c r="EK694" s="139" t="s">
        <v>29</v>
      </c>
      <c r="EL694" s="139"/>
      <c r="EM694" s="139" t="s">
        <v>2046</v>
      </c>
      <c r="EN694" s="139" t="s">
        <v>2044</v>
      </c>
      <c r="EO694" s="139" t="s">
        <v>29</v>
      </c>
      <c r="EP694" s="139"/>
      <c r="EQ694" s="139" t="s">
        <v>2060</v>
      </c>
      <c r="ER694" s="139" t="s">
        <v>2044</v>
      </c>
      <c r="ES694" s="139" t="s">
        <v>29</v>
      </c>
      <c r="ET694" s="139"/>
      <c r="EU694" s="139" t="s">
        <v>2061</v>
      </c>
      <c r="EV694" s="139" t="s">
        <v>2044</v>
      </c>
      <c r="EW694" s="139" t="s">
        <v>29</v>
      </c>
      <c r="EX694" s="139"/>
      <c r="EY694" s="139"/>
      <c r="EZ694" s="139"/>
      <c r="FA694" s="139"/>
      <c r="FB694" s="139"/>
      <c r="FC694" s="139"/>
      <c r="FD694" s="139"/>
      <c r="FE694" s="139"/>
      <c r="FF694" s="139"/>
      <c r="FG694" s="139"/>
      <c r="FH694" s="139"/>
      <c r="FI694" s="139"/>
      <c r="FJ694" s="139"/>
      <c r="FK694" s="139"/>
      <c r="FL694" s="139"/>
      <c r="FM694" s="139"/>
      <c r="FN694" s="139"/>
      <c r="FO694" s="139"/>
      <c r="FP694" s="139"/>
      <c r="FQ694" s="139"/>
      <c r="FR694" s="139"/>
      <c r="FS694" s="139"/>
      <c r="FT694" s="139"/>
      <c r="FU694" s="139"/>
      <c r="FV694" s="139"/>
      <c r="FW694" s="139"/>
      <c r="FX694" s="139"/>
      <c r="FY694" s="139"/>
      <c r="FZ694" s="139"/>
      <c r="GA694" s="139"/>
      <c r="GB694" s="139"/>
      <c r="GC694" s="139"/>
      <c r="GD694" s="139"/>
      <c r="GE694" s="139"/>
      <c r="GF694" s="139"/>
      <c r="GG694" s="139"/>
      <c r="GH694" s="139"/>
      <c r="GI694" s="139"/>
      <c r="GJ694" s="139"/>
      <c r="GK694" s="139"/>
      <c r="GL694" s="139"/>
      <c r="GM694" s="139"/>
      <c r="GN694" s="139"/>
      <c r="GO694" s="139"/>
      <c r="GP694" s="139"/>
      <c r="GQ694" s="139"/>
      <c r="GR694" s="139"/>
      <c r="GS694" s="139"/>
      <c r="GT694" s="139"/>
      <c r="GU694" s="139"/>
      <c r="GV694" s="139"/>
      <c r="GW694" s="139"/>
      <c r="GX694" s="139"/>
      <c r="GY694" s="139"/>
      <c r="GZ694" s="139"/>
      <c r="HA694" s="139"/>
      <c r="HB694" s="139"/>
      <c r="HC694" s="139"/>
      <c r="HD694" s="139"/>
      <c r="HE694" s="139"/>
      <c r="HF694" s="139"/>
      <c r="HG694" s="139"/>
      <c r="HH694" s="139"/>
      <c r="HI694" s="139"/>
      <c r="HJ694" s="139"/>
      <c r="HK694" s="139"/>
      <c r="HL694" s="139"/>
      <c r="HM694" s="139"/>
      <c r="HN694" s="87"/>
      <c r="HO694" s="87"/>
      <c r="HP694" s="87"/>
      <c r="HQ694" s="87"/>
      <c r="HR694" s="87"/>
      <c r="HS694" s="87"/>
      <c r="HT694" s="87"/>
      <c r="HU694" s="87"/>
      <c r="HV694" s="87"/>
      <c r="HW694" s="87"/>
      <c r="HX694" s="87"/>
      <c r="HY694" s="87"/>
      <c r="HZ694" s="140"/>
      <c r="IA694" s="87"/>
      <c r="IB694" s="87"/>
      <c r="IC694" s="87"/>
      <c r="ID694" s="87"/>
      <c r="IE694" s="87"/>
      <c r="IF694" s="87"/>
      <c r="IG694" s="87"/>
      <c r="IH694" s="87"/>
      <c r="II694" s="87"/>
      <c r="IJ694" s="87"/>
      <c r="IK694" s="87"/>
      <c r="IL694" s="87"/>
      <c r="IM694" s="87"/>
      <c r="IN694" s="87"/>
      <c r="IO694" s="87"/>
      <c r="IP694" s="87"/>
      <c r="IQ694" s="87"/>
      <c r="IR694" s="87"/>
      <c r="IS694" s="87"/>
      <c r="IT694" s="87"/>
      <c r="IU694" s="87"/>
      <c r="IV694" s="87"/>
      <c r="IW694" s="87"/>
      <c r="IX694" s="87"/>
      <c r="IY694" s="87"/>
      <c r="IZ694" s="87"/>
      <c r="JA694" s="87"/>
      <c r="JB694" s="87"/>
      <c r="JC694" s="87"/>
      <c r="JD694" s="87"/>
      <c r="JE694" s="87"/>
      <c r="JF694" s="87"/>
      <c r="JG694" s="87"/>
      <c r="JH694" s="87"/>
      <c r="JI694" s="87"/>
      <c r="JJ694" s="87"/>
      <c r="JK694" s="87"/>
      <c r="JL694" s="87"/>
      <c r="JM694" s="87"/>
      <c r="JN694" s="87"/>
      <c r="JO694" s="87"/>
      <c r="JP694" s="87"/>
      <c r="JQ694" s="146"/>
      <c r="JR694" s="87"/>
      <c r="JS694" s="87"/>
      <c r="JT694" s="87"/>
      <c r="JU694" s="87"/>
      <c r="JV694" s="87"/>
      <c r="JW694" s="87"/>
      <c r="JX694" s="87"/>
      <c r="JY694" s="87"/>
      <c r="JZ694" s="87"/>
      <c r="KA694" s="146"/>
      <c r="KB694" s="87"/>
      <c r="KC694" s="87"/>
      <c r="KD694" s="87"/>
      <c r="KE694" s="87"/>
      <c r="KF694" s="87"/>
      <c r="KG694" s="87"/>
      <c r="KH694" s="87"/>
      <c r="KI694" s="87"/>
      <c r="KJ694" s="87"/>
      <c r="KK694" s="87"/>
      <c r="KL694" s="87"/>
      <c r="KM694" s="87"/>
      <c r="KN694" s="87"/>
      <c r="KO694" s="87"/>
      <c r="KP694" s="87"/>
      <c r="KQ694" s="87"/>
      <c r="KR694" s="87"/>
      <c r="KS694" s="146"/>
      <c r="KT694" s="146"/>
      <c r="KU694" s="146"/>
      <c r="KV694" s="146"/>
      <c r="KW694" s="87"/>
      <c r="KX694" s="87"/>
      <c r="KY694" s="87"/>
      <c r="KZ694" s="87"/>
      <c r="LA694" s="87"/>
      <c r="LB694" s="87"/>
      <c r="LC694" s="87"/>
      <c r="LD694" s="87"/>
      <c r="LE694" s="87"/>
      <c r="LF694" s="87"/>
      <c r="LG694" s="87"/>
      <c r="LH694" s="87"/>
      <c r="LI694" s="87"/>
      <c r="LJ694" s="87"/>
      <c r="LK694" s="87"/>
      <c r="LL694" s="87"/>
      <c r="LM694" s="87"/>
      <c r="LN694" s="87"/>
      <c r="LO694" s="87"/>
      <c r="LP694" s="87"/>
      <c r="LQ694" s="87"/>
      <c r="LR694" s="87"/>
      <c r="LS694" s="87"/>
      <c r="LT694" s="87"/>
      <c r="LU694" s="87"/>
      <c r="LV694" s="87"/>
      <c r="LW694" s="87"/>
      <c r="LX694" s="87"/>
      <c r="LY694" s="87"/>
      <c r="LZ694" s="87"/>
      <c r="MA694" s="87"/>
      <c r="MB694" s="87"/>
      <c r="MC694" s="87"/>
      <c r="MD694" s="87"/>
      <c r="ME694" s="87"/>
      <c r="MF694" s="87"/>
      <c r="MG694" s="87"/>
      <c r="MH694" s="87"/>
      <c r="MI694" s="87"/>
      <c r="MJ694" s="87"/>
      <c r="MK694" s="87"/>
      <c r="ML694" s="87"/>
      <c r="MM694" s="87"/>
      <c r="MN694" s="87"/>
      <c r="MO694" s="87"/>
      <c r="MP694" s="87"/>
      <c r="MQ694" s="87"/>
      <c r="MR694" s="87"/>
      <c r="MS694" s="87"/>
      <c r="MT694" s="87"/>
      <c r="MU694" s="87"/>
      <c r="MV694" s="87"/>
      <c r="MW694" s="87"/>
      <c r="MX694" s="87"/>
      <c r="MY694" s="87"/>
      <c r="MZ694" s="87" t="s">
        <v>2136</v>
      </c>
      <c r="NA694" s="87" t="s">
        <v>29</v>
      </c>
      <c r="NB694" s="87" t="s">
        <v>2047</v>
      </c>
      <c r="NC694" s="87" t="s">
        <v>2048</v>
      </c>
      <c r="ND694" s="87"/>
      <c r="NE694" s="87"/>
      <c r="NF694" s="87"/>
      <c r="NG694" s="87"/>
      <c r="NH694" s="87"/>
      <c r="NI694" s="87"/>
      <c r="NJ694" s="87"/>
      <c r="NK694" s="87" t="s">
        <v>2146</v>
      </c>
      <c r="NL694" s="87" t="s">
        <v>2147</v>
      </c>
      <c r="NM694" s="87" t="s">
        <v>2016</v>
      </c>
      <c r="NN694" s="87" t="s">
        <v>2080</v>
      </c>
      <c r="NO694" s="87"/>
      <c r="NP694" s="87"/>
      <c r="NQ694" s="87"/>
      <c r="NR694" s="87"/>
      <c r="NS694" s="87"/>
      <c r="NT694" s="87"/>
      <c r="NU694" s="87"/>
      <c r="NV694" s="87" t="s">
        <v>2062</v>
      </c>
      <c r="NW694" s="87" t="s">
        <v>6</v>
      </c>
      <c r="NX694" s="87">
        <v>75</v>
      </c>
      <c r="NY694" s="87" t="s">
        <v>1446</v>
      </c>
      <c r="NZ694" s="87">
        <v>12.08</v>
      </c>
      <c r="OA694" s="87"/>
      <c r="OB694" s="87"/>
      <c r="OC694" s="87">
        <v>3</v>
      </c>
      <c r="OD694" s="87"/>
      <c r="OE694" s="87"/>
      <c r="OF694" s="87"/>
      <c r="OG694" s="87"/>
      <c r="OH694" s="87"/>
      <c r="OI694" s="87"/>
      <c r="OJ694" s="87"/>
      <c r="OK694" s="87"/>
      <c r="OL694" s="87"/>
      <c r="OM694" s="87"/>
      <c r="ON694" s="87"/>
      <c r="OO694" s="87"/>
      <c r="OP694" s="87"/>
      <c r="OQ694" s="87"/>
      <c r="OR694" s="87"/>
      <c r="OS694" s="87"/>
      <c r="OT694" s="87" t="s">
        <v>2079</v>
      </c>
      <c r="OU694" s="87" t="s">
        <v>6</v>
      </c>
      <c r="OV694" s="87">
        <v>2005</v>
      </c>
      <c r="OW694" s="87">
        <v>2005</v>
      </c>
      <c r="OX694" s="87">
        <v>2005</v>
      </c>
      <c r="OY694" s="87"/>
      <c r="OZ694" s="87"/>
      <c r="PA694" s="87" t="s">
        <v>1981</v>
      </c>
      <c r="PB694" s="140" t="s">
        <v>2049</v>
      </c>
      <c r="PC694" s="87"/>
      <c r="PD694" s="87"/>
      <c r="PE694" s="87"/>
      <c r="PF694" s="87"/>
      <c r="PG694" s="138" t="s">
        <v>2050</v>
      </c>
    </row>
    <row r="695" spans="1:423">
      <c r="A695" t="s">
        <v>36</v>
      </c>
      <c r="B695" t="s">
        <v>2038</v>
      </c>
      <c r="C695" t="s">
        <v>1885</v>
      </c>
      <c r="D695" t="s">
        <v>245</v>
      </c>
      <c r="E695" t="s">
        <v>2065</v>
      </c>
      <c r="F695" t="s">
        <v>1804</v>
      </c>
      <c r="G695" t="s">
        <v>2</v>
      </c>
      <c r="H695" t="s">
        <v>2081</v>
      </c>
      <c r="I695">
        <v>10.29</v>
      </c>
      <c r="J695">
        <v>76.875</v>
      </c>
      <c r="K695">
        <v>600</v>
      </c>
      <c r="L695" t="s">
        <v>1885</v>
      </c>
      <c r="M695" t="s">
        <v>245</v>
      </c>
      <c r="N695" t="s">
        <v>2071</v>
      </c>
      <c r="O695" t="s">
        <v>1804</v>
      </c>
      <c r="P695" t="s">
        <v>2</v>
      </c>
      <c r="Q695" t="s">
        <v>2081</v>
      </c>
      <c r="R695">
        <v>10.348000000000001</v>
      </c>
      <c r="S695">
        <v>76.935000000000002</v>
      </c>
      <c r="T695">
        <v>600</v>
      </c>
      <c r="AV695" t="s">
        <v>2130</v>
      </c>
      <c r="AW695" t="s">
        <v>29</v>
      </c>
      <c r="AX695">
        <v>1838000</v>
      </c>
      <c r="AY695">
        <v>1</v>
      </c>
      <c r="AZ695" t="s">
        <v>2041</v>
      </c>
      <c r="BA695">
        <v>2005</v>
      </c>
      <c r="BB695">
        <v>2005</v>
      </c>
      <c r="BC695" t="s">
        <v>2042</v>
      </c>
      <c r="BD695" t="s">
        <v>1983</v>
      </c>
      <c r="BE695" t="s">
        <v>2137</v>
      </c>
      <c r="BF695" t="s">
        <v>48</v>
      </c>
      <c r="BG695" t="s">
        <v>1233</v>
      </c>
      <c r="BH695" t="s">
        <v>1821</v>
      </c>
      <c r="BI695" t="s">
        <v>29</v>
      </c>
      <c r="BJ695" t="s">
        <v>29</v>
      </c>
      <c r="BK695" t="s">
        <v>29</v>
      </c>
      <c r="EE695" t="s">
        <v>2066</v>
      </c>
      <c r="EF695" t="s">
        <v>29</v>
      </c>
      <c r="EG695" t="s">
        <v>29</v>
      </c>
      <c r="EI695" t="s">
        <v>2046</v>
      </c>
      <c r="EJ695" s="9" t="s">
        <v>29</v>
      </c>
      <c r="EK695" s="9" t="s">
        <v>29</v>
      </c>
      <c r="EL695" s="9"/>
      <c r="EM695" s="9" t="s">
        <v>2043</v>
      </c>
      <c r="EN695" s="9" t="s">
        <v>29</v>
      </c>
      <c r="EO695" s="9" t="s">
        <v>29</v>
      </c>
      <c r="EP695" s="9"/>
      <c r="EQ695" s="9" t="s">
        <v>2045</v>
      </c>
      <c r="ER695" s="9" t="s">
        <v>29</v>
      </c>
      <c r="ES695" s="9" t="s">
        <v>29</v>
      </c>
      <c r="ET695" s="9"/>
      <c r="EU695" s="9" t="s">
        <v>2072</v>
      </c>
      <c r="EV695" s="9" t="s">
        <v>29</v>
      </c>
      <c r="EW695" s="9" t="s">
        <v>29</v>
      </c>
      <c r="EX695" s="9"/>
      <c r="EY695" s="9"/>
      <c r="EZ695" s="9"/>
      <c r="FA695" s="9"/>
      <c r="FB695" s="9"/>
      <c r="FC695" s="9"/>
      <c r="FD695" s="9"/>
      <c r="FE695" s="9"/>
      <c r="FF695" s="9"/>
      <c r="FG695" s="9"/>
      <c r="FH695" s="9"/>
      <c r="FI695" s="9"/>
      <c r="FJ695" s="9"/>
      <c r="FK695" s="9"/>
      <c r="FL695" s="9"/>
      <c r="FM695" s="9"/>
      <c r="FN695" s="9"/>
      <c r="FO695" s="9"/>
      <c r="FP695" s="9"/>
      <c r="FQ695" s="9"/>
      <c r="FR695" s="9"/>
      <c r="FS695" s="9"/>
      <c r="FT695" s="9"/>
      <c r="FU695" s="9"/>
      <c r="FV695" s="9"/>
      <c r="FW695" s="9"/>
      <c r="FX695" s="9"/>
      <c r="FY695" s="9"/>
      <c r="FZ695" s="9"/>
      <c r="GA695" s="9"/>
      <c r="GB695" s="9"/>
      <c r="GC695" s="9"/>
      <c r="GD695" s="9"/>
      <c r="GE695" s="9"/>
      <c r="GF695" s="9"/>
      <c r="GG695" s="9"/>
      <c r="GH695" s="9"/>
      <c r="GI695" s="9"/>
      <c r="GJ695" s="9"/>
      <c r="GK695" s="9"/>
      <c r="GL695" s="9"/>
      <c r="GM695" s="9"/>
      <c r="GN695" s="9"/>
      <c r="GO695" s="9"/>
      <c r="GP695" s="9"/>
      <c r="GQ695" s="9"/>
      <c r="GR695" s="9"/>
      <c r="GS695" s="9"/>
      <c r="GT695" s="9"/>
      <c r="GU695" s="9"/>
      <c r="GV695" s="9"/>
      <c r="GW695" s="9"/>
      <c r="GX695" s="9"/>
      <c r="GY695" s="9"/>
      <c r="GZ695" s="9"/>
      <c r="HA695" s="9"/>
      <c r="HB695" s="9"/>
      <c r="HC695" s="9"/>
      <c r="HD695" s="9"/>
      <c r="HE695" s="9"/>
      <c r="HF695" s="9"/>
      <c r="HG695" s="9"/>
      <c r="HH695" s="9"/>
      <c r="HI695" s="9"/>
      <c r="HJ695" s="9"/>
      <c r="HK695" s="9"/>
      <c r="HL695" s="9"/>
      <c r="HM695" s="9"/>
      <c r="HZ695" s="58"/>
      <c r="IW695" t="s">
        <v>2067</v>
      </c>
      <c r="IX695" t="s">
        <v>1990</v>
      </c>
      <c r="JK695" t="s">
        <v>2068</v>
      </c>
      <c r="JL695" t="s">
        <v>2069</v>
      </c>
      <c r="JQ695" s="9"/>
      <c r="KA695" s="9"/>
      <c r="KF695" t="s">
        <v>2138</v>
      </c>
      <c r="KG695" t="s">
        <v>1548</v>
      </c>
      <c r="KS695" s="9"/>
      <c r="KT695" s="9"/>
      <c r="KU695" s="9"/>
      <c r="KV695" s="9"/>
      <c r="MZ695" t="s">
        <v>2139</v>
      </c>
      <c r="NA695" t="s">
        <v>29</v>
      </c>
      <c r="NB695" t="s">
        <v>2047</v>
      </c>
      <c r="NC695" t="s">
        <v>2048</v>
      </c>
      <c r="NK695" t="s">
        <v>2146</v>
      </c>
      <c r="NL695" t="s">
        <v>2147</v>
      </c>
      <c r="NM695" t="s">
        <v>2016</v>
      </c>
      <c r="NN695" t="s">
        <v>2080</v>
      </c>
      <c r="NV695" t="s">
        <v>2070</v>
      </c>
      <c r="NW695" t="s">
        <v>6</v>
      </c>
      <c r="NX695">
        <v>87.5</v>
      </c>
      <c r="NY695" t="s">
        <v>1446</v>
      </c>
      <c r="NZ695">
        <v>26.77</v>
      </c>
      <c r="OC695">
        <v>2</v>
      </c>
      <c r="OT695" t="s">
        <v>2079</v>
      </c>
      <c r="OU695" t="s">
        <v>6</v>
      </c>
      <c r="OV695">
        <v>2005</v>
      </c>
      <c r="OW695">
        <v>2005</v>
      </c>
      <c r="OX695">
        <v>2005</v>
      </c>
      <c r="PA695" t="s">
        <v>1981</v>
      </c>
      <c r="PB695" s="58" t="s">
        <v>2049</v>
      </c>
      <c r="PG695" t="s">
        <v>2050</v>
      </c>
    </row>
    <row r="696" spans="1:423" s="141" customFormat="1">
      <c r="A696" s="87" t="s">
        <v>248</v>
      </c>
      <c r="B696" s="141" t="s">
        <v>2165</v>
      </c>
      <c r="C696" s="141" t="s">
        <v>2164</v>
      </c>
      <c r="D696" s="141" t="s">
        <v>245</v>
      </c>
      <c r="E696" s="141" t="s">
        <v>2182</v>
      </c>
      <c r="F696" s="141" t="s">
        <v>243</v>
      </c>
      <c r="G696" s="141" t="s">
        <v>2</v>
      </c>
      <c r="H696" s="141" t="s">
        <v>30</v>
      </c>
      <c r="I696" s="141">
        <v>-13.06</v>
      </c>
      <c r="J696" s="141">
        <v>34.299999999999997</v>
      </c>
      <c r="K696" s="141" t="s">
        <v>29</v>
      </c>
      <c r="AV696" s="141" t="s">
        <v>2162</v>
      </c>
      <c r="AW696" s="141">
        <v>1300</v>
      </c>
      <c r="AX696" s="141">
        <v>3900</v>
      </c>
      <c r="AY696" s="141">
        <v>3</v>
      </c>
      <c r="AZ696" s="141" t="s">
        <v>2161</v>
      </c>
      <c r="BA696" s="141">
        <v>2011</v>
      </c>
      <c r="BB696" s="141">
        <v>2014</v>
      </c>
      <c r="BD696" s="141" t="s">
        <v>19</v>
      </c>
      <c r="BE696" s="141" t="s">
        <v>2176</v>
      </c>
      <c r="BF696" s="141" t="s">
        <v>39</v>
      </c>
      <c r="BG696" s="141" t="s">
        <v>1233</v>
      </c>
      <c r="BH696" s="141" t="s">
        <v>23</v>
      </c>
      <c r="BI696" s="141" t="s">
        <v>2157</v>
      </c>
      <c r="BJ696" s="141" t="s">
        <v>22</v>
      </c>
      <c r="BK696" s="141">
        <v>53333</v>
      </c>
      <c r="EJ696" s="145"/>
      <c r="EK696" s="145"/>
      <c r="EL696" s="145"/>
      <c r="EM696" s="145"/>
      <c r="EN696" s="145"/>
      <c r="EO696" s="145"/>
      <c r="EP696" s="145"/>
      <c r="EQ696" s="145"/>
      <c r="ER696" s="145"/>
      <c r="ES696" s="145"/>
      <c r="ET696" s="145"/>
      <c r="EU696" s="145"/>
      <c r="EV696" s="145"/>
      <c r="EW696" s="145"/>
      <c r="EX696" s="145"/>
      <c r="EY696" s="145"/>
      <c r="EZ696" s="145"/>
      <c r="FA696" s="145"/>
      <c r="FB696" s="145"/>
      <c r="FC696" s="145"/>
      <c r="FD696" s="145"/>
      <c r="FE696" s="145"/>
      <c r="FF696" s="145"/>
      <c r="FG696" s="145"/>
      <c r="FH696" s="145"/>
      <c r="FI696" s="145"/>
      <c r="FJ696" s="145"/>
      <c r="FK696" s="145"/>
      <c r="FL696" s="145"/>
      <c r="FM696" s="145"/>
      <c r="FN696" s="145"/>
      <c r="FO696" s="145"/>
      <c r="FP696" s="145"/>
      <c r="FQ696" s="145"/>
      <c r="FR696" s="145"/>
      <c r="FS696" s="145"/>
      <c r="FT696" s="145"/>
      <c r="FU696" s="145"/>
      <c r="FV696" s="145"/>
      <c r="FW696" s="145"/>
      <c r="FX696" s="145"/>
      <c r="FY696" s="145"/>
      <c r="FZ696" s="145"/>
      <c r="GA696" s="145"/>
      <c r="GB696" s="145"/>
      <c r="GC696" s="145"/>
      <c r="GD696" s="145"/>
      <c r="GE696" s="145"/>
      <c r="GF696" s="145"/>
      <c r="GG696" s="145"/>
      <c r="GH696" s="145"/>
      <c r="GI696" s="145"/>
      <c r="GJ696" s="145"/>
      <c r="GK696" s="145"/>
      <c r="GL696" s="145"/>
      <c r="GM696" s="145"/>
      <c r="GN696" s="145"/>
      <c r="GO696" s="145"/>
      <c r="GP696" s="145"/>
      <c r="GQ696" s="145"/>
      <c r="GR696" s="145"/>
      <c r="GS696" s="145"/>
      <c r="GT696" s="145"/>
      <c r="GU696" s="145"/>
      <c r="GV696" s="145"/>
      <c r="GW696" s="145"/>
      <c r="GX696" s="145"/>
      <c r="GY696" s="145"/>
      <c r="GZ696" s="145"/>
      <c r="HA696" s="145"/>
      <c r="HB696" s="145"/>
      <c r="HC696" s="145"/>
      <c r="HD696" s="145"/>
      <c r="HE696" s="145"/>
      <c r="HF696" s="145"/>
      <c r="HG696" s="145"/>
      <c r="HH696" s="145"/>
      <c r="HI696" s="145"/>
      <c r="HJ696" s="145"/>
      <c r="HK696" s="145"/>
      <c r="HL696" s="145" t="s">
        <v>2171</v>
      </c>
      <c r="HM696" s="145" t="s">
        <v>232</v>
      </c>
      <c r="HU696" s="142"/>
      <c r="HV696" s="142"/>
      <c r="HZ696" s="142"/>
      <c r="IP696" s="141" t="s">
        <v>2176</v>
      </c>
      <c r="IQ696" s="141" t="s">
        <v>19</v>
      </c>
      <c r="IT696" s="141">
        <v>2011</v>
      </c>
      <c r="JK696" s="141" t="s">
        <v>2154</v>
      </c>
      <c r="JM696" s="141" t="s">
        <v>14</v>
      </c>
      <c r="JQ696" s="141" t="s">
        <v>13</v>
      </c>
      <c r="JR696" s="141">
        <v>309</v>
      </c>
      <c r="JS696" s="141">
        <v>93</v>
      </c>
      <c r="KF696" s="141" t="s">
        <v>2153</v>
      </c>
      <c r="KG696" s="141" t="s">
        <v>12</v>
      </c>
      <c r="KH696" s="141" t="s">
        <v>29</v>
      </c>
      <c r="KI696" s="141" t="s">
        <v>29</v>
      </c>
      <c r="KK696" s="141" t="s">
        <v>222</v>
      </c>
      <c r="KL696" s="141" t="s">
        <v>2168</v>
      </c>
      <c r="KM696" s="141" t="s">
        <v>220</v>
      </c>
      <c r="KN696" s="141">
        <v>7.5</v>
      </c>
      <c r="KO696" s="141" t="s">
        <v>222</v>
      </c>
      <c r="KP696" s="141" t="s">
        <v>2167</v>
      </c>
      <c r="KQ696" s="141" t="s">
        <v>220</v>
      </c>
      <c r="KR696" s="141">
        <v>2</v>
      </c>
      <c r="MZ696" s="141" t="s">
        <v>2151</v>
      </c>
      <c r="NA696" s="141">
        <v>1300</v>
      </c>
      <c r="NB696" s="141" t="s">
        <v>2175</v>
      </c>
      <c r="NC696" s="141" t="s">
        <v>168</v>
      </c>
      <c r="NK696" s="141" t="s">
        <v>2218</v>
      </c>
      <c r="NL696" s="141" t="s">
        <v>2217</v>
      </c>
      <c r="NM696" s="141" t="s">
        <v>1518</v>
      </c>
      <c r="NN696" s="141" t="s">
        <v>265</v>
      </c>
      <c r="NV696" s="141" t="s">
        <v>745</v>
      </c>
      <c r="NW696" s="141" t="s">
        <v>6</v>
      </c>
      <c r="NX696" s="141">
        <v>2615.7600000000002</v>
      </c>
      <c r="NY696" s="141" t="s">
        <v>234</v>
      </c>
      <c r="NZ696" s="141" t="s">
        <v>234</v>
      </c>
      <c r="OC696" s="141">
        <v>4</v>
      </c>
      <c r="OT696" s="141" t="s">
        <v>2199</v>
      </c>
      <c r="OU696" s="141" t="s">
        <v>2188</v>
      </c>
      <c r="OW696" s="141">
        <v>2011</v>
      </c>
      <c r="OX696" s="141">
        <v>2014</v>
      </c>
      <c r="PA696" s="141" t="s">
        <v>1169</v>
      </c>
      <c r="PB696" s="142">
        <v>46134</v>
      </c>
    </row>
    <row r="697" spans="1:423" s="141" customFormat="1">
      <c r="A697" t="s">
        <v>248</v>
      </c>
      <c r="B697" s="141" t="s">
        <v>2165</v>
      </c>
      <c r="C697" s="141" t="s">
        <v>2164</v>
      </c>
      <c r="D697" s="141" t="s">
        <v>245</v>
      </c>
      <c r="E697" s="141" t="s">
        <v>2182</v>
      </c>
      <c r="F697" s="141" t="s">
        <v>243</v>
      </c>
      <c r="G697" s="141" t="s">
        <v>2</v>
      </c>
      <c r="H697" s="141" t="s">
        <v>30</v>
      </c>
      <c r="I697" s="141">
        <v>-13.06</v>
      </c>
      <c r="J697" s="141">
        <v>34.299999999999997</v>
      </c>
      <c r="K697" s="141" t="s">
        <v>29</v>
      </c>
      <c r="AV697" s="141" t="s">
        <v>2162</v>
      </c>
      <c r="AW697" s="141">
        <v>1300</v>
      </c>
      <c r="AX697" s="141">
        <v>3900</v>
      </c>
      <c r="AY697" s="141">
        <v>3</v>
      </c>
      <c r="AZ697" s="141" t="s">
        <v>2161</v>
      </c>
      <c r="BA697" s="141">
        <v>2011</v>
      </c>
      <c r="BB697" s="141">
        <v>2014</v>
      </c>
      <c r="BD697" s="141" t="s">
        <v>274</v>
      </c>
      <c r="BE697" s="141" t="s">
        <v>2186</v>
      </c>
      <c r="BF697" s="141" t="s">
        <v>64</v>
      </c>
      <c r="BG697" s="141" t="s">
        <v>1233</v>
      </c>
      <c r="BH697" s="141" t="s">
        <v>2005</v>
      </c>
      <c r="BI697" s="141" t="s">
        <v>2181</v>
      </c>
      <c r="BJ697" s="141" t="s">
        <v>22</v>
      </c>
      <c r="BK697" s="141">
        <v>12300</v>
      </c>
      <c r="BL697" s="141" t="s">
        <v>56</v>
      </c>
      <c r="BM697" s="141" t="s">
        <v>2173</v>
      </c>
      <c r="BN697" s="141" t="s">
        <v>2172</v>
      </c>
      <c r="BO697" s="141" t="s">
        <v>22</v>
      </c>
      <c r="BP697" s="141">
        <v>24700</v>
      </c>
      <c r="BQ697" s="141" t="s">
        <v>275</v>
      </c>
      <c r="BR697" s="141" t="s">
        <v>250</v>
      </c>
      <c r="BS697" s="141" t="s">
        <v>2187</v>
      </c>
      <c r="BT697" s="141" t="s">
        <v>22</v>
      </c>
      <c r="BU697" s="141">
        <v>355556</v>
      </c>
      <c r="BV697" s="141" t="s">
        <v>56</v>
      </c>
      <c r="BW697" s="141" t="s">
        <v>2173</v>
      </c>
      <c r="BX697" s="141" t="s">
        <v>2172</v>
      </c>
      <c r="BY697" s="141" t="s">
        <v>22</v>
      </c>
      <c r="BZ697" s="141">
        <v>24700</v>
      </c>
      <c r="CA697" s="141" t="s">
        <v>275</v>
      </c>
      <c r="CB697" s="141" t="s">
        <v>23</v>
      </c>
      <c r="CC697" s="141" t="s">
        <v>2157</v>
      </c>
      <c r="CD697" s="141" t="s">
        <v>22</v>
      </c>
      <c r="CE697" s="141">
        <v>53333</v>
      </c>
      <c r="EJ697" s="145"/>
      <c r="EK697" s="145"/>
      <c r="EL697" s="145"/>
      <c r="EM697" s="145"/>
      <c r="EN697" s="145"/>
      <c r="EO697" s="145"/>
      <c r="EP697" s="145"/>
      <c r="EQ697" s="145"/>
      <c r="ER697" s="145"/>
      <c r="ES697" s="145"/>
      <c r="ET697" s="145"/>
      <c r="EU697" s="145"/>
      <c r="EV697" s="145"/>
      <c r="EW697" s="145"/>
      <c r="EX697" s="145"/>
      <c r="EY697" s="145"/>
      <c r="EZ697" s="145"/>
      <c r="FA697" s="145"/>
      <c r="FB697" s="145"/>
      <c r="FC697" s="145"/>
      <c r="FD697" s="145"/>
      <c r="FE697" s="145"/>
      <c r="FF697" s="145"/>
      <c r="FG697" s="145"/>
      <c r="FH697" s="145"/>
      <c r="FI697" s="145"/>
      <c r="FJ697" s="145"/>
      <c r="FK697" s="145"/>
      <c r="FL697" s="145"/>
      <c r="FM697" s="145"/>
      <c r="FN697" s="145"/>
      <c r="FO697" s="145"/>
      <c r="FP697" s="145"/>
      <c r="FQ697" s="145"/>
      <c r="FR697" s="145"/>
      <c r="FS697" s="145"/>
      <c r="FT697" s="145"/>
      <c r="FU697" s="145"/>
      <c r="FV697" s="145"/>
      <c r="FW697" s="145"/>
      <c r="FX697" s="145"/>
      <c r="FY697" s="145"/>
      <c r="FZ697" s="145"/>
      <c r="GA697" s="145"/>
      <c r="GB697" s="145"/>
      <c r="GC697" s="145"/>
      <c r="GD697" s="145"/>
      <c r="GE697" s="145"/>
      <c r="GF697" s="145"/>
      <c r="GG697" s="145"/>
      <c r="GH697" s="145"/>
      <c r="GI697" s="145"/>
      <c r="GJ697" s="145"/>
      <c r="GK697" s="145"/>
      <c r="GL697" s="145"/>
      <c r="GM697" s="145"/>
      <c r="GN697" s="145"/>
      <c r="GO697" s="145"/>
      <c r="GP697" s="145"/>
      <c r="GQ697" s="145"/>
      <c r="GR697" s="145"/>
      <c r="GS697" s="145"/>
      <c r="GT697" s="145"/>
      <c r="GU697" s="145"/>
      <c r="GV697" s="145"/>
      <c r="GW697" s="145"/>
      <c r="GX697" s="145"/>
      <c r="GY697" s="145"/>
      <c r="GZ697" s="145"/>
      <c r="HA697" s="145"/>
      <c r="HB697" s="145"/>
      <c r="HC697" s="145"/>
      <c r="HD697" s="145"/>
      <c r="HE697" s="145"/>
      <c r="HF697" s="145"/>
      <c r="HG697" s="145"/>
      <c r="HH697" s="145"/>
      <c r="HI697" s="145"/>
      <c r="HJ697" s="145"/>
      <c r="HK697" s="145"/>
      <c r="HL697" s="145" t="s">
        <v>2171</v>
      </c>
      <c r="HM697" s="145" t="s">
        <v>232</v>
      </c>
      <c r="HU697" s="142"/>
      <c r="HV697" s="142"/>
      <c r="HZ697" s="142"/>
      <c r="IP697" s="141" t="s">
        <v>2186</v>
      </c>
      <c r="IQ697" s="141" t="s">
        <v>273</v>
      </c>
      <c r="IR697" s="141" t="s">
        <v>2169</v>
      </c>
      <c r="IT697" s="141">
        <v>2011</v>
      </c>
      <c r="IV697" s="141" t="s">
        <v>29</v>
      </c>
      <c r="JK697" s="141" t="s">
        <v>2154</v>
      </c>
      <c r="JM697" s="141" t="s">
        <v>14</v>
      </c>
      <c r="JQ697" s="141" t="s">
        <v>13</v>
      </c>
      <c r="JR697" s="141">
        <v>103</v>
      </c>
      <c r="JS697" s="141">
        <v>31</v>
      </c>
      <c r="KF697" s="141" t="s">
        <v>2153</v>
      </c>
      <c r="KG697" s="141" t="s">
        <v>12</v>
      </c>
      <c r="KH697" s="141" t="s">
        <v>29</v>
      </c>
      <c r="KI697" s="141" t="s">
        <v>29</v>
      </c>
      <c r="KK697" s="141" t="s">
        <v>222</v>
      </c>
      <c r="KL697" s="141" t="s">
        <v>2168</v>
      </c>
      <c r="KM697" s="141" t="s">
        <v>220</v>
      </c>
      <c r="KN697" s="141">
        <v>7.5</v>
      </c>
      <c r="KO697" s="141" t="s">
        <v>222</v>
      </c>
      <c r="KP697" s="141" t="s">
        <v>2167</v>
      </c>
      <c r="KQ697" s="141" t="s">
        <v>220</v>
      </c>
      <c r="KR697" s="141">
        <v>1</v>
      </c>
      <c r="KS697" s="141" t="s">
        <v>219</v>
      </c>
      <c r="KT697" s="141" t="s">
        <v>2185</v>
      </c>
      <c r="KU697" s="141" t="s">
        <v>2184</v>
      </c>
      <c r="KV697" s="141">
        <v>100</v>
      </c>
      <c r="MZ697" s="141" t="s">
        <v>2151</v>
      </c>
      <c r="NA697" s="141">
        <v>1300</v>
      </c>
      <c r="NB697" s="141" t="s">
        <v>2183</v>
      </c>
      <c r="NC697" s="141" t="s">
        <v>168</v>
      </c>
      <c r="ND697" s="141" t="s">
        <v>2201</v>
      </c>
      <c r="NE697" s="141" t="s">
        <v>2197</v>
      </c>
      <c r="NF697" s="141" t="s">
        <v>2204</v>
      </c>
      <c r="NK697" s="141" t="s">
        <v>2218</v>
      </c>
      <c r="NL697" s="141" t="s">
        <v>2217</v>
      </c>
      <c r="NM697" s="141" t="s">
        <v>1518</v>
      </c>
      <c r="NN697" s="141" t="s">
        <v>265</v>
      </c>
      <c r="NW697" s="141" t="s">
        <v>6</v>
      </c>
      <c r="NX697" s="141">
        <v>1742.42</v>
      </c>
      <c r="NY697" s="141" t="s">
        <v>234</v>
      </c>
      <c r="NZ697" s="141" t="s">
        <v>234</v>
      </c>
      <c r="OC697" s="141">
        <v>4</v>
      </c>
      <c r="OT697" s="141" t="s">
        <v>2199</v>
      </c>
      <c r="OU697" s="141" t="s">
        <v>2188</v>
      </c>
      <c r="OW697" s="141">
        <v>2011</v>
      </c>
      <c r="OX697" s="141">
        <v>2014</v>
      </c>
      <c r="PA697" s="141" t="s">
        <v>1169</v>
      </c>
      <c r="PB697" s="142">
        <v>46134</v>
      </c>
    </row>
    <row r="698" spans="1:423" s="141" customFormat="1">
      <c r="A698" t="s">
        <v>248</v>
      </c>
      <c r="B698" s="141" t="s">
        <v>2165</v>
      </c>
      <c r="C698" s="141" t="s">
        <v>2164</v>
      </c>
      <c r="D698" s="141" t="s">
        <v>245</v>
      </c>
      <c r="E698" s="141" t="s">
        <v>2182</v>
      </c>
      <c r="F698" s="141" t="s">
        <v>243</v>
      </c>
      <c r="G698" s="141" t="s">
        <v>2</v>
      </c>
      <c r="H698" s="141" t="s">
        <v>30</v>
      </c>
      <c r="I698" s="141">
        <v>-13.06</v>
      </c>
      <c r="J698" s="141">
        <v>34.299999999999997</v>
      </c>
      <c r="K698" s="141" t="s">
        <v>29</v>
      </c>
      <c r="AV698" s="141" t="s">
        <v>2162</v>
      </c>
      <c r="AW698" s="141">
        <v>1300</v>
      </c>
      <c r="AX698" s="141">
        <v>3900</v>
      </c>
      <c r="AY698" s="141">
        <v>3</v>
      </c>
      <c r="AZ698" s="141" t="s">
        <v>2161</v>
      </c>
      <c r="BA698" s="141">
        <v>2011</v>
      </c>
      <c r="BB698" s="141">
        <v>2014</v>
      </c>
      <c r="BD698" s="141" t="s">
        <v>274</v>
      </c>
      <c r="BE698" s="141" t="s">
        <v>2179</v>
      </c>
      <c r="BF698" s="141" t="s">
        <v>57</v>
      </c>
      <c r="BG698" s="141" t="s">
        <v>1233</v>
      </c>
      <c r="BH698" s="141" t="s">
        <v>2005</v>
      </c>
      <c r="BI698" s="141" t="s">
        <v>2181</v>
      </c>
      <c r="BJ698" s="141" t="s">
        <v>22</v>
      </c>
      <c r="BK698" s="141">
        <v>12300</v>
      </c>
      <c r="BL698" s="141" t="s">
        <v>275</v>
      </c>
      <c r="BM698" s="141" t="s">
        <v>271</v>
      </c>
      <c r="BN698" s="141" t="s">
        <v>2180</v>
      </c>
      <c r="BO698" s="141" t="s">
        <v>22</v>
      </c>
      <c r="BP698" s="141">
        <v>266667</v>
      </c>
      <c r="BQ698" s="141" t="s">
        <v>275</v>
      </c>
      <c r="BR698" s="141" t="s">
        <v>23</v>
      </c>
      <c r="BS698" s="141" t="s">
        <v>2157</v>
      </c>
      <c r="BT698" s="141" t="s">
        <v>22</v>
      </c>
      <c r="BU698" s="141">
        <v>53333</v>
      </c>
      <c r="EJ698" s="145"/>
      <c r="EK698" s="145"/>
      <c r="EL698" s="145"/>
      <c r="EM698" s="145"/>
      <c r="EN698" s="145"/>
      <c r="EO698" s="145"/>
      <c r="EP698" s="145"/>
      <c r="EQ698" s="145"/>
      <c r="ER698" s="145"/>
      <c r="ES698" s="145"/>
      <c r="ET698" s="145"/>
      <c r="EU698" s="145"/>
      <c r="EV698" s="145"/>
      <c r="EW698" s="145"/>
      <c r="EX698" s="145"/>
      <c r="EY698" s="145"/>
      <c r="EZ698" s="145"/>
      <c r="FA698" s="145"/>
      <c r="FB698" s="145"/>
      <c r="FC698" s="145"/>
      <c r="FD698" s="145"/>
      <c r="FE698" s="145"/>
      <c r="FF698" s="145"/>
      <c r="FG698" s="145"/>
      <c r="FH698" s="145"/>
      <c r="FI698" s="145"/>
      <c r="FJ698" s="145"/>
      <c r="FK698" s="145"/>
      <c r="FL698" s="145"/>
      <c r="FM698" s="145"/>
      <c r="FN698" s="145"/>
      <c r="FO698" s="145"/>
      <c r="FP698" s="145"/>
      <c r="FQ698" s="145"/>
      <c r="FR698" s="145"/>
      <c r="FS698" s="145"/>
      <c r="FT698" s="145"/>
      <c r="FU698" s="145"/>
      <c r="FV698" s="145"/>
      <c r="FW698" s="145"/>
      <c r="FX698" s="145"/>
      <c r="FY698" s="145"/>
      <c r="FZ698" s="145"/>
      <c r="GA698" s="145"/>
      <c r="GB698" s="145"/>
      <c r="GC698" s="145"/>
      <c r="GD698" s="145"/>
      <c r="GE698" s="145"/>
      <c r="GF698" s="145"/>
      <c r="GG698" s="145"/>
      <c r="GH698" s="145"/>
      <c r="GI698" s="145"/>
      <c r="GJ698" s="145"/>
      <c r="GK698" s="145"/>
      <c r="GL698" s="145"/>
      <c r="GM698" s="145"/>
      <c r="GN698" s="145"/>
      <c r="GO698" s="145"/>
      <c r="GP698" s="145"/>
      <c r="GQ698" s="145"/>
      <c r="GR698" s="145"/>
      <c r="GS698" s="145"/>
      <c r="GT698" s="145"/>
      <c r="GU698" s="145"/>
      <c r="GV698" s="145"/>
      <c r="GW698" s="145"/>
      <c r="GX698" s="145"/>
      <c r="GY698" s="145"/>
      <c r="GZ698" s="145"/>
      <c r="HA698" s="145"/>
      <c r="HB698" s="145"/>
      <c r="HC698" s="145"/>
      <c r="HD698" s="145"/>
      <c r="HE698" s="145"/>
      <c r="HF698" s="145"/>
      <c r="HG698" s="145"/>
      <c r="HH698" s="145"/>
      <c r="HI698" s="145"/>
      <c r="HJ698" s="145"/>
      <c r="HK698" s="145"/>
      <c r="HL698" s="145" t="s">
        <v>2156</v>
      </c>
      <c r="HM698" s="145" t="s">
        <v>297</v>
      </c>
      <c r="HN698" s="141" t="s">
        <v>29</v>
      </c>
      <c r="HO698" s="141" t="s">
        <v>29</v>
      </c>
      <c r="HP698" s="141" t="s">
        <v>29</v>
      </c>
      <c r="HQ698" s="141" t="s">
        <v>29</v>
      </c>
      <c r="HZ698" s="142"/>
      <c r="IP698" s="141" t="s">
        <v>2179</v>
      </c>
      <c r="IQ698" s="141" t="s">
        <v>273</v>
      </c>
      <c r="IT698" s="141">
        <v>2011</v>
      </c>
      <c r="IV698" s="141" t="s">
        <v>29</v>
      </c>
      <c r="JK698" s="141" t="s">
        <v>2154</v>
      </c>
      <c r="JM698" s="141" t="s">
        <v>14</v>
      </c>
      <c r="JQ698" s="141" t="s">
        <v>13</v>
      </c>
      <c r="JR698" s="141">
        <v>124</v>
      </c>
      <c r="JS698" s="141">
        <v>50</v>
      </c>
      <c r="KF698" s="141" t="s">
        <v>2153</v>
      </c>
      <c r="KG698" s="141" t="s">
        <v>12</v>
      </c>
      <c r="KH698" s="141" t="s">
        <v>29</v>
      </c>
      <c r="KI698" s="141" t="s">
        <v>29</v>
      </c>
      <c r="KK698" s="141" t="s">
        <v>2152</v>
      </c>
      <c r="MZ698" s="141" t="s">
        <v>2151</v>
      </c>
      <c r="NA698" s="141">
        <v>1300</v>
      </c>
      <c r="NB698" s="141" t="s">
        <v>2178</v>
      </c>
      <c r="NC698" s="141" t="s">
        <v>168</v>
      </c>
      <c r="ND698" s="141" t="s">
        <v>2201</v>
      </c>
      <c r="NE698" s="141" t="s">
        <v>271</v>
      </c>
      <c r="NK698" s="141" t="s">
        <v>2218</v>
      </c>
      <c r="NL698" s="141" t="s">
        <v>2217</v>
      </c>
      <c r="NM698" s="141" t="s">
        <v>1518</v>
      </c>
      <c r="NN698" s="141" t="s">
        <v>265</v>
      </c>
      <c r="NW698" s="141" t="s">
        <v>6</v>
      </c>
      <c r="NX698" s="141">
        <v>1614.17</v>
      </c>
      <c r="NY698" s="141" t="s">
        <v>234</v>
      </c>
      <c r="NZ698" s="141" t="s">
        <v>234</v>
      </c>
      <c r="OC698" s="141">
        <v>4</v>
      </c>
      <c r="OT698" s="141" t="s">
        <v>2199</v>
      </c>
      <c r="OU698" s="141" t="s">
        <v>2188</v>
      </c>
      <c r="OW698" s="141">
        <v>2011</v>
      </c>
      <c r="OX698" s="141">
        <v>2014</v>
      </c>
      <c r="PA698" s="141" t="s">
        <v>1169</v>
      </c>
      <c r="PB698" s="142">
        <v>46134</v>
      </c>
    </row>
    <row r="699" spans="1:423" s="141" customFormat="1">
      <c r="A699" s="87" t="s">
        <v>248</v>
      </c>
      <c r="B699" s="141" t="s">
        <v>2165</v>
      </c>
      <c r="C699" s="141" t="s">
        <v>2164</v>
      </c>
      <c r="D699" s="141" t="s">
        <v>245</v>
      </c>
      <c r="E699" s="141" t="s">
        <v>2163</v>
      </c>
      <c r="F699" s="141" t="s">
        <v>243</v>
      </c>
      <c r="G699" s="141" t="s">
        <v>2</v>
      </c>
      <c r="H699" s="141" t="s">
        <v>30</v>
      </c>
      <c r="I699" s="141">
        <v>-13.47</v>
      </c>
      <c r="J699" s="141">
        <v>33.71</v>
      </c>
      <c r="K699" s="141" t="s">
        <v>29</v>
      </c>
      <c r="AV699" s="141" t="s">
        <v>2162</v>
      </c>
      <c r="AW699" s="141">
        <v>2500</v>
      </c>
      <c r="AX699" s="141">
        <v>7500</v>
      </c>
      <c r="AY699" s="141">
        <v>3</v>
      </c>
      <c r="AZ699" s="141" t="s">
        <v>2161</v>
      </c>
      <c r="BA699" s="141">
        <v>2011</v>
      </c>
      <c r="BB699" s="141">
        <v>2014</v>
      </c>
      <c r="BD699" s="141" t="s">
        <v>19</v>
      </c>
      <c r="BE699" s="141" t="s">
        <v>2176</v>
      </c>
      <c r="BF699" s="141" t="s">
        <v>24</v>
      </c>
      <c r="BG699" s="141" t="s">
        <v>1233</v>
      </c>
      <c r="BH699" s="141" t="s">
        <v>23</v>
      </c>
      <c r="BI699" s="141" t="s">
        <v>2157</v>
      </c>
      <c r="BJ699" s="141" t="s">
        <v>22</v>
      </c>
      <c r="BK699" s="141">
        <v>53333</v>
      </c>
      <c r="EJ699" s="145"/>
      <c r="EK699" s="145"/>
      <c r="EL699" s="145"/>
      <c r="EM699" s="145"/>
      <c r="EN699" s="145"/>
      <c r="EO699" s="145"/>
      <c r="EP699" s="145"/>
      <c r="EQ699" s="145"/>
      <c r="ER699" s="145"/>
      <c r="ES699" s="145"/>
      <c r="ET699" s="145"/>
      <c r="EU699" s="145"/>
      <c r="EV699" s="145"/>
      <c r="EW699" s="145"/>
      <c r="EX699" s="145"/>
      <c r="EY699" s="145"/>
      <c r="EZ699" s="145"/>
      <c r="FA699" s="145"/>
      <c r="FB699" s="145"/>
      <c r="FC699" s="145"/>
      <c r="FD699" s="145"/>
      <c r="FE699" s="145"/>
      <c r="FF699" s="145"/>
      <c r="FG699" s="145"/>
      <c r="FH699" s="145"/>
      <c r="FI699" s="145"/>
      <c r="FJ699" s="145"/>
      <c r="FK699" s="145"/>
      <c r="FL699" s="145"/>
      <c r="FM699" s="145"/>
      <c r="FN699" s="145"/>
      <c r="FO699" s="145"/>
      <c r="FP699" s="145"/>
      <c r="FQ699" s="145"/>
      <c r="FR699" s="145"/>
      <c r="FS699" s="145"/>
      <c r="FT699" s="145"/>
      <c r="FU699" s="145"/>
      <c r="FV699" s="145"/>
      <c r="FW699" s="145"/>
      <c r="FX699" s="145"/>
      <c r="FY699" s="145"/>
      <c r="FZ699" s="145"/>
      <c r="GA699" s="145"/>
      <c r="GB699" s="145"/>
      <c r="GC699" s="145"/>
      <c r="GD699" s="145"/>
      <c r="GE699" s="145"/>
      <c r="GF699" s="145"/>
      <c r="GG699" s="145"/>
      <c r="GH699" s="145"/>
      <c r="GI699" s="145"/>
      <c r="GJ699" s="145"/>
      <c r="GK699" s="145"/>
      <c r="GL699" s="145"/>
      <c r="GM699" s="145"/>
      <c r="GN699" s="145"/>
      <c r="GO699" s="145"/>
      <c r="GP699" s="145"/>
      <c r="GQ699" s="145"/>
      <c r="GR699" s="145"/>
      <c r="GS699" s="145"/>
      <c r="GT699" s="145"/>
      <c r="GU699" s="145"/>
      <c r="GV699" s="145"/>
      <c r="GW699" s="145"/>
      <c r="GX699" s="145"/>
      <c r="GY699" s="145"/>
      <c r="GZ699" s="145"/>
      <c r="HA699" s="145"/>
      <c r="HB699" s="145"/>
      <c r="HC699" s="145"/>
      <c r="HD699" s="145"/>
      <c r="HE699" s="145"/>
      <c r="HF699" s="145"/>
      <c r="HG699" s="145"/>
      <c r="HH699" s="145"/>
      <c r="HI699" s="145"/>
      <c r="HJ699" s="145"/>
      <c r="HK699" s="145"/>
      <c r="HL699" s="145" t="s">
        <v>2171</v>
      </c>
      <c r="HM699" s="145" t="s">
        <v>232</v>
      </c>
      <c r="HZ699" s="142"/>
      <c r="IP699" s="141" t="s">
        <v>2176</v>
      </c>
      <c r="IQ699" s="141" t="s">
        <v>19</v>
      </c>
      <c r="IT699" s="141">
        <v>2011</v>
      </c>
      <c r="JK699" s="141" t="s">
        <v>2154</v>
      </c>
      <c r="JM699" s="141" t="s">
        <v>14</v>
      </c>
      <c r="JQ699" s="141" t="s">
        <v>13</v>
      </c>
      <c r="JR699" s="141">
        <v>309</v>
      </c>
      <c r="JS699" s="141">
        <v>93</v>
      </c>
      <c r="KF699" s="141" t="s">
        <v>2153</v>
      </c>
      <c r="KG699" s="141" t="s">
        <v>12</v>
      </c>
      <c r="KH699" s="141" t="s">
        <v>29</v>
      </c>
      <c r="KI699" s="141" t="s">
        <v>29</v>
      </c>
      <c r="KK699" s="141" t="s">
        <v>222</v>
      </c>
      <c r="KL699" s="141" t="s">
        <v>2168</v>
      </c>
      <c r="KM699" s="141" t="s">
        <v>220</v>
      </c>
      <c r="KN699" s="141">
        <v>7.5</v>
      </c>
      <c r="KO699" s="141" t="s">
        <v>222</v>
      </c>
      <c r="KP699" s="141" t="s">
        <v>2167</v>
      </c>
      <c r="KQ699" s="141" t="s">
        <v>220</v>
      </c>
      <c r="KR699" s="141">
        <v>2</v>
      </c>
      <c r="MZ699" s="141" t="s">
        <v>2151</v>
      </c>
      <c r="NA699" s="141">
        <v>2500</v>
      </c>
      <c r="NB699" s="141" t="s">
        <v>2175</v>
      </c>
      <c r="NC699" s="141" t="s">
        <v>168</v>
      </c>
      <c r="NK699" s="141" t="s">
        <v>2218</v>
      </c>
      <c r="NL699" s="141" t="s">
        <v>2217</v>
      </c>
      <c r="NM699" s="141" t="s">
        <v>1518</v>
      </c>
      <c r="NN699" s="141" t="s">
        <v>265</v>
      </c>
      <c r="NV699" s="141" t="s">
        <v>2174</v>
      </c>
      <c r="NW699" s="141" t="s">
        <v>6</v>
      </c>
      <c r="NX699" s="141">
        <v>2573</v>
      </c>
      <c r="NY699" s="141" t="s">
        <v>234</v>
      </c>
      <c r="NZ699" s="141" t="s">
        <v>234</v>
      </c>
      <c r="OC699" s="141">
        <v>4</v>
      </c>
      <c r="OT699" s="141" t="s">
        <v>2189</v>
      </c>
      <c r="OU699" s="141" t="s">
        <v>2188</v>
      </c>
      <c r="OW699" s="141">
        <v>2011</v>
      </c>
      <c r="OX699" s="141">
        <v>2014</v>
      </c>
      <c r="PA699" s="141" t="s">
        <v>1169</v>
      </c>
      <c r="PB699" s="142">
        <v>46134</v>
      </c>
    </row>
    <row r="700" spans="1:423" s="141" customFormat="1">
      <c r="A700" t="s">
        <v>248</v>
      </c>
      <c r="B700" s="141" t="s">
        <v>2165</v>
      </c>
      <c r="C700" s="141" t="s">
        <v>2164</v>
      </c>
      <c r="D700" s="141" t="s">
        <v>245</v>
      </c>
      <c r="E700" s="141" t="s">
        <v>2163</v>
      </c>
      <c r="F700" s="141" t="s">
        <v>243</v>
      </c>
      <c r="G700" s="141" t="s">
        <v>2</v>
      </c>
      <c r="H700" s="141" t="s">
        <v>30</v>
      </c>
      <c r="I700" s="141">
        <v>-13.47</v>
      </c>
      <c r="J700" s="141">
        <v>33.71</v>
      </c>
      <c r="K700" s="141" t="s">
        <v>29</v>
      </c>
      <c r="AV700" s="141" t="s">
        <v>2162</v>
      </c>
      <c r="AW700" s="141">
        <v>2500</v>
      </c>
      <c r="AX700" s="141">
        <v>7500</v>
      </c>
      <c r="AY700" s="141">
        <v>3</v>
      </c>
      <c r="AZ700" s="141" t="s">
        <v>2161</v>
      </c>
      <c r="BA700" s="141">
        <v>2011</v>
      </c>
      <c r="BB700" s="141">
        <v>2014</v>
      </c>
      <c r="BD700" s="141" t="s">
        <v>274</v>
      </c>
      <c r="BE700" s="141" t="s">
        <v>2170</v>
      </c>
      <c r="BF700" s="141" t="s">
        <v>48</v>
      </c>
      <c r="BG700" s="141" t="s">
        <v>1233</v>
      </c>
      <c r="BH700" s="141" t="s">
        <v>2160</v>
      </c>
      <c r="BI700" s="141" t="s">
        <v>2159</v>
      </c>
      <c r="BJ700" s="141" t="s">
        <v>22</v>
      </c>
      <c r="BK700" s="141">
        <v>3700</v>
      </c>
      <c r="BL700" s="141" t="s">
        <v>56</v>
      </c>
      <c r="BM700" s="141" t="s">
        <v>2173</v>
      </c>
      <c r="BN700" s="141" t="s">
        <v>2172</v>
      </c>
      <c r="BO700" s="141" t="s">
        <v>22</v>
      </c>
      <c r="BP700" s="141">
        <v>18500</v>
      </c>
      <c r="BQ700" s="141" t="s">
        <v>275</v>
      </c>
      <c r="BR700" s="141" t="s">
        <v>1659</v>
      </c>
      <c r="BS700" s="141" t="s">
        <v>2158</v>
      </c>
      <c r="BT700" s="141" t="s">
        <v>22</v>
      </c>
      <c r="BU700" s="141">
        <v>222200</v>
      </c>
      <c r="BV700" s="141" t="s">
        <v>275</v>
      </c>
      <c r="BW700" s="141" t="s">
        <v>23</v>
      </c>
      <c r="BX700" s="141" t="s">
        <v>2157</v>
      </c>
      <c r="BY700" s="141" t="s">
        <v>22</v>
      </c>
      <c r="BZ700" s="141">
        <v>53333</v>
      </c>
      <c r="EJ700" s="145"/>
      <c r="EK700" s="145"/>
      <c r="EL700" s="145"/>
      <c r="EM700" s="145"/>
      <c r="EN700" s="145"/>
      <c r="EO700" s="145"/>
      <c r="EP700" s="145"/>
      <c r="EQ700" s="145"/>
      <c r="ER700" s="145"/>
      <c r="ES700" s="145"/>
      <c r="ET700" s="145"/>
      <c r="EU700" s="145"/>
      <c r="EV700" s="145"/>
      <c r="EW700" s="145"/>
      <c r="EX700" s="145"/>
      <c r="EY700" s="145"/>
      <c r="EZ700" s="145"/>
      <c r="FA700" s="145"/>
      <c r="FB700" s="145"/>
      <c r="FC700" s="145"/>
      <c r="FD700" s="145"/>
      <c r="FE700" s="145"/>
      <c r="FF700" s="145"/>
      <c r="FG700" s="145"/>
      <c r="FH700" s="145"/>
      <c r="FI700" s="145"/>
      <c r="FJ700" s="145"/>
      <c r="FK700" s="145"/>
      <c r="FL700" s="145"/>
      <c r="FM700" s="145"/>
      <c r="FN700" s="145"/>
      <c r="FO700" s="145"/>
      <c r="FP700" s="145"/>
      <c r="FQ700" s="145"/>
      <c r="FR700" s="145"/>
      <c r="FS700" s="145"/>
      <c r="FT700" s="145"/>
      <c r="FU700" s="145"/>
      <c r="FV700" s="145"/>
      <c r="FW700" s="145"/>
      <c r="FX700" s="145"/>
      <c r="FY700" s="145"/>
      <c r="FZ700" s="145"/>
      <c r="GA700" s="145"/>
      <c r="GB700" s="145"/>
      <c r="GC700" s="145"/>
      <c r="GD700" s="145"/>
      <c r="GE700" s="145"/>
      <c r="GF700" s="145"/>
      <c r="GG700" s="145"/>
      <c r="GH700" s="145"/>
      <c r="GI700" s="145"/>
      <c r="GJ700" s="145"/>
      <c r="GK700" s="145"/>
      <c r="GL700" s="145"/>
      <c r="GM700" s="145"/>
      <c r="GN700" s="145"/>
      <c r="GO700" s="145"/>
      <c r="GP700" s="145"/>
      <c r="GQ700" s="145"/>
      <c r="GR700" s="145"/>
      <c r="GS700" s="145"/>
      <c r="GT700" s="145"/>
      <c r="GU700" s="145"/>
      <c r="GV700" s="145"/>
      <c r="GW700" s="145"/>
      <c r="GX700" s="145"/>
      <c r="GY700" s="145"/>
      <c r="GZ700" s="145"/>
      <c r="HA700" s="145"/>
      <c r="HB700" s="145"/>
      <c r="HC700" s="145"/>
      <c r="HD700" s="145"/>
      <c r="HE700" s="145"/>
      <c r="HF700" s="145"/>
      <c r="HG700" s="145"/>
      <c r="HH700" s="145"/>
      <c r="HI700" s="145"/>
      <c r="HJ700" s="145"/>
      <c r="HK700" s="145"/>
      <c r="HL700" s="145" t="s">
        <v>2171</v>
      </c>
      <c r="HM700" s="145" t="s">
        <v>232</v>
      </c>
      <c r="HZ700" s="142"/>
      <c r="IP700" s="141" t="s">
        <v>2170</v>
      </c>
      <c r="IQ700" s="141" t="s">
        <v>273</v>
      </c>
      <c r="IR700" s="141" t="s">
        <v>2169</v>
      </c>
      <c r="IT700" s="141">
        <v>2011</v>
      </c>
      <c r="IV700" s="141" t="s">
        <v>29</v>
      </c>
      <c r="JK700" s="141" t="s">
        <v>2154</v>
      </c>
      <c r="JM700" s="141" t="s">
        <v>14</v>
      </c>
      <c r="JQ700" s="141" t="s">
        <v>13</v>
      </c>
      <c r="JR700" s="141">
        <v>131</v>
      </c>
      <c r="JS700" s="141">
        <v>59</v>
      </c>
      <c r="KF700" s="141" t="s">
        <v>2153</v>
      </c>
      <c r="KG700" s="141" t="s">
        <v>12</v>
      </c>
      <c r="KH700" s="141" t="s">
        <v>29</v>
      </c>
      <c r="KI700" s="141" t="s">
        <v>29</v>
      </c>
      <c r="KK700" s="141" t="s">
        <v>222</v>
      </c>
      <c r="KL700" s="141" t="s">
        <v>2168</v>
      </c>
      <c r="KM700" s="141" t="s">
        <v>220</v>
      </c>
      <c r="KN700" s="141">
        <v>7.5</v>
      </c>
      <c r="KO700" s="141" t="s">
        <v>222</v>
      </c>
      <c r="KP700" s="141" t="s">
        <v>2167</v>
      </c>
      <c r="KQ700" s="141" t="s">
        <v>220</v>
      </c>
      <c r="KR700" s="141">
        <v>1</v>
      </c>
      <c r="MZ700" s="141" t="s">
        <v>2151</v>
      </c>
      <c r="NA700" s="141">
        <v>2500</v>
      </c>
      <c r="NB700" s="141" t="s">
        <v>2166</v>
      </c>
      <c r="NC700" s="141" t="s">
        <v>168</v>
      </c>
      <c r="ND700" s="141" t="s">
        <v>2194</v>
      </c>
      <c r="NE700" s="141" t="s">
        <v>2197</v>
      </c>
      <c r="NF700" s="141" t="s">
        <v>2193</v>
      </c>
      <c r="NK700" s="141" t="s">
        <v>2218</v>
      </c>
      <c r="NL700" s="141" t="s">
        <v>2217</v>
      </c>
      <c r="NM700" s="141" t="s">
        <v>1518</v>
      </c>
      <c r="NN700" s="141" t="s">
        <v>265</v>
      </c>
      <c r="NW700" s="141" t="s">
        <v>6</v>
      </c>
      <c r="NX700" s="141">
        <v>2160.09</v>
      </c>
      <c r="NY700" s="141" t="s">
        <v>234</v>
      </c>
      <c r="NZ700" s="141" t="s">
        <v>234</v>
      </c>
      <c r="OC700" s="141">
        <v>4</v>
      </c>
      <c r="OT700" s="141" t="s">
        <v>2189</v>
      </c>
      <c r="OU700" s="141" t="s">
        <v>2188</v>
      </c>
      <c r="OW700" s="141">
        <v>2011</v>
      </c>
      <c r="OX700" s="141">
        <v>2014</v>
      </c>
      <c r="PA700" s="141" t="s">
        <v>1169</v>
      </c>
      <c r="PB700" s="142">
        <v>46134</v>
      </c>
    </row>
    <row r="701" spans="1:423" s="141" customFormat="1">
      <c r="A701" t="s">
        <v>248</v>
      </c>
      <c r="B701" s="141" t="s">
        <v>2165</v>
      </c>
      <c r="C701" s="141" t="s">
        <v>2164</v>
      </c>
      <c r="D701" s="141" t="s">
        <v>245</v>
      </c>
      <c r="E701" s="141" t="s">
        <v>2163</v>
      </c>
      <c r="F701" s="141" t="s">
        <v>243</v>
      </c>
      <c r="G701" s="141" t="s">
        <v>2</v>
      </c>
      <c r="H701" s="141" t="s">
        <v>30</v>
      </c>
      <c r="I701" s="141">
        <v>-13.47</v>
      </c>
      <c r="J701" s="141">
        <v>33.71</v>
      </c>
      <c r="K701" s="141" t="s">
        <v>29</v>
      </c>
      <c r="AV701" s="141" t="s">
        <v>2162</v>
      </c>
      <c r="AW701" s="141">
        <v>2500</v>
      </c>
      <c r="AX701" s="141">
        <v>7500</v>
      </c>
      <c r="AY701" s="141">
        <v>3</v>
      </c>
      <c r="AZ701" s="141" t="s">
        <v>2161</v>
      </c>
      <c r="BA701" s="141">
        <v>2011</v>
      </c>
      <c r="BB701" s="141">
        <v>2014</v>
      </c>
      <c r="BD701" s="141" t="s">
        <v>274</v>
      </c>
      <c r="BE701" s="141" t="s">
        <v>2155</v>
      </c>
      <c r="BF701" s="141" t="s">
        <v>43</v>
      </c>
      <c r="BG701" s="141" t="s">
        <v>1233</v>
      </c>
      <c r="BH701" s="141" t="s">
        <v>2160</v>
      </c>
      <c r="BI701" s="141" t="s">
        <v>2159</v>
      </c>
      <c r="BJ701" s="141" t="s">
        <v>22</v>
      </c>
      <c r="BK701" s="141">
        <v>3700</v>
      </c>
      <c r="BL701" s="141" t="s">
        <v>275</v>
      </c>
      <c r="BM701" s="141" t="s">
        <v>1659</v>
      </c>
      <c r="BN701" s="141" t="s">
        <v>2158</v>
      </c>
      <c r="BO701" s="141" t="s">
        <v>22</v>
      </c>
      <c r="BP701" s="141">
        <v>177800</v>
      </c>
      <c r="BQ701" s="141" t="s">
        <v>275</v>
      </c>
      <c r="BR701" s="141" t="s">
        <v>23</v>
      </c>
      <c r="BS701" s="141" t="s">
        <v>2157</v>
      </c>
      <c r="BT701" s="141" t="s">
        <v>22</v>
      </c>
      <c r="BU701" s="141">
        <v>53333</v>
      </c>
      <c r="EJ701" s="145"/>
      <c r="EK701" s="145"/>
      <c r="EL701" s="145"/>
      <c r="EM701" s="145"/>
      <c r="EN701" s="145"/>
      <c r="EO701" s="145"/>
      <c r="EP701" s="145"/>
      <c r="EQ701" s="145"/>
      <c r="ER701" s="145"/>
      <c r="ES701" s="145"/>
      <c r="ET701" s="145"/>
      <c r="EU701" s="145"/>
      <c r="EV701" s="145"/>
      <c r="EW701" s="145"/>
      <c r="EX701" s="145"/>
      <c r="EY701" s="145"/>
      <c r="EZ701" s="145"/>
      <c r="FA701" s="145"/>
      <c r="FB701" s="145"/>
      <c r="FC701" s="145"/>
      <c r="FD701" s="145"/>
      <c r="FE701" s="145"/>
      <c r="FF701" s="145"/>
      <c r="FG701" s="145"/>
      <c r="FH701" s="145"/>
      <c r="FI701" s="145"/>
      <c r="FJ701" s="145"/>
      <c r="FK701" s="145"/>
      <c r="FL701" s="145"/>
      <c r="FM701" s="145"/>
      <c r="FN701" s="145"/>
      <c r="FO701" s="145"/>
      <c r="FP701" s="145"/>
      <c r="FQ701" s="145"/>
      <c r="FR701" s="145"/>
      <c r="FS701" s="145"/>
      <c r="FT701" s="145"/>
      <c r="FU701" s="145"/>
      <c r="FV701" s="145"/>
      <c r="FW701" s="145"/>
      <c r="FX701" s="145"/>
      <c r="FY701" s="145"/>
      <c r="FZ701" s="145"/>
      <c r="GA701" s="145"/>
      <c r="GB701" s="145"/>
      <c r="GC701" s="145"/>
      <c r="GD701" s="145"/>
      <c r="GE701" s="145"/>
      <c r="GF701" s="145"/>
      <c r="GG701" s="145"/>
      <c r="GH701" s="145"/>
      <c r="GI701" s="145"/>
      <c r="GJ701" s="145"/>
      <c r="GK701" s="145"/>
      <c r="GL701" s="145"/>
      <c r="GM701" s="145"/>
      <c r="GN701" s="145"/>
      <c r="GO701" s="145"/>
      <c r="GP701" s="145"/>
      <c r="GQ701" s="145"/>
      <c r="GR701" s="145"/>
      <c r="GS701" s="145"/>
      <c r="GT701" s="145"/>
      <c r="GU701" s="145"/>
      <c r="GV701" s="145"/>
      <c r="GW701" s="145"/>
      <c r="GX701" s="145"/>
      <c r="GY701" s="145"/>
      <c r="GZ701" s="145"/>
      <c r="HA701" s="145"/>
      <c r="HB701" s="145"/>
      <c r="HC701" s="145"/>
      <c r="HD701" s="145"/>
      <c r="HE701" s="145"/>
      <c r="HF701" s="145"/>
      <c r="HG701" s="145"/>
      <c r="HH701" s="145"/>
      <c r="HI701" s="145"/>
      <c r="HJ701" s="145"/>
      <c r="HK701" s="145"/>
      <c r="HL701" s="145" t="s">
        <v>2156</v>
      </c>
      <c r="HM701" s="145" t="s">
        <v>297</v>
      </c>
      <c r="HN701" s="141" t="s">
        <v>29</v>
      </c>
      <c r="HO701" s="141" t="s">
        <v>29</v>
      </c>
      <c r="HP701" s="141" t="s">
        <v>29</v>
      </c>
      <c r="HQ701" s="141" t="s">
        <v>29</v>
      </c>
      <c r="HZ701" s="142"/>
      <c r="IP701" s="141" t="s">
        <v>2155</v>
      </c>
      <c r="IQ701" s="141" t="s">
        <v>273</v>
      </c>
      <c r="IR701" s="141" t="s">
        <v>836</v>
      </c>
      <c r="IT701" s="141">
        <v>2011</v>
      </c>
      <c r="IV701" s="141" t="s">
        <v>29</v>
      </c>
      <c r="JK701" s="141" t="s">
        <v>2154</v>
      </c>
      <c r="JM701" s="141" t="s">
        <v>14</v>
      </c>
      <c r="JQ701" s="141" t="s">
        <v>13</v>
      </c>
      <c r="JR701" s="141">
        <v>131</v>
      </c>
      <c r="JS701" s="141">
        <v>59</v>
      </c>
      <c r="KF701" s="141" t="s">
        <v>2153</v>
      </c>
      <c r="KG701" s="141" t="s">
        <v>12</v>
      </c>
      <c r="KH701" s="141" t="s">
        <v>29</v>
      </c>
      <c r="KI701" s="141" t="s">
        <v>29</v>
      </c>
      <c r="KK701" s="141" t="s">
        <v>2152</v>
      </c>
      <c r="MZ701" s="141" t="s">
        <v>2151</v>
      </c>
      <c r="NA701" s="141">
        <v>2500</v>
      </c>
      <c r="NB701" s="141" t="s">
        <v>2150</v>
      </c>
      <c r="NC701" s="141" t="s">
        <v>168</v>
      </c>
      <c r="ND701" s="141" t="s">
        <v>2194</v>
      </c>
      <c r="NE701" s="141" t="s">
        <v>2193</v>
      </c>
      <c r="NK701" s="141" t="s">
        <v>2218</v>
      </c>
      <c r="NL701" s="141" t="s">
        <v>2217</v>
      </c>
      <c r="NM701" s="141" t="s">
        <v>1518</v>
      </c>
      <c r="NN701" s="141" t="s">
        <v>265</v>
      </c>
      <c r="NW701" s="141" t="s">
        <v>6</v>
      </c>
      <c r="NX701" s="141">
        <v>2359.15</v>
      </c>
      <c r="NY701" s="141" t="s">
        <v>234</v>
      </c>
      <c r="NZ701" s="141" t="s">
        <v>234</v>
      </c>
      <c r="OC701" s="141">
        <v>4</v>
      </c>
      <c r="OT701" s="141" t="s">
        <v>2189</v>
      </c>
      <c r="OU701" s="141" t="s">
        <v>2188</v>
      </c>
      <c r="OW701" s="141">
        <v>2011</v>
      </c>
      <c r="OX701" s="141">
        <v>2014</v>
      </c>
      <c r="PA701" s="141" t="s">
        <v>1169</v>
      </c>
      <c r="PB701" s="142">
        <v>46134</v>
      </c>
    </row>
    <row r="702" spans="1:423" s="141" customFormat="1">
      <c r="A702" s="87" t="s">
        <v>248</v>
      </c>
      <c r="B702" s="141" t="s">
        <v>2165</v>
      </c>
      <c r="C702" s="141" t="s">
        <v>2164</v>
      </c>
      <c r="D702" s="141" t="s">
        <v>245</v>
      </c>
      <c r="E702" s="141" t="s">
        <v>2182</v>
      </c>
      <c r="F702" s="141" t="s">
        <v>243</v>
      </c>
      <c r="G702" s="141" t="s">
        <v>2</v>
      </c>
      <c r="H702" s="141" t="s">
        <v>30</v>
      </c>
      <c r="I702" s="141">
        <v>-13.06</v>
      </c>
      <c r="J702" s="141">
        <v>34.299999999999997</v>
      </c>
      <c r="K702" s="141" t="s">
        <v>29</v>
      </c>
      <c r="AV702" s="141" t="s">
        <v>2162</v>
      </c>
      <c r="AW702" s="141">
        <v>1300</v>
      </c>
      <c r="AX702" s="141">
        <v>3900</v>
      </c>
      <c r="AY702" s="141">
        <v>3</v>
      </c>
      <c r="AZ702" s="141" t="s">
        <v>2161</v>
      </c>
      <c r="BA702" s="141">
        <v>2011</v>
      </c>
      <c r="BB702" s="141">
        <v>2014</v>
      </c>
      <c r="BD702" s="141" t="s">
        <v>19</v>
      </c>
      <c r="BE702" s="141" t="s">
        <v>2176</v>
      </c>
      <c r="BF702" s="141" t="s">
        <v>39</v>
      </c>
      <c r="BG702" s="141" t="s">
        <v>1233</v>
      </c>
      <c r="BH702" s="141" t="s">
        <v>23</v>
      </c>
      <c r="BI702" s="141" t="s">
        <v>2157</v>
      </c>
      <c r="BJ702" s="141" t="s">
        <v>22</v>
      </c>
      <c r="BK702" s="141">
        <v>53333</v>
      </c>
      <c r="EJ702" s="145"/>
      <c r="EK702" s="145"/>
      <c r="EL702" s="145"/>
      <c r="EM702" s="145"/>
      <c r="EN702" s="145"/>
      <c r="EO702" s="145"/>
      <c r="EP702" s="145"/>
      <c r="EQ702" s="145"/>
      <c r="ER702" s="145"/>
      <c r="ES702" s="145"/>
      <c r="ET702" s="145"/>
      <c r="EU702" s="145"/>
      <c r="EV702" s="145"/>
      <c r="EW702" s="145"/>
      <c r="EX702" s="145"/>
      <c r="EY702" s="145"/>
      <c r="EZ702" s="145"/>
      <c r="FA702" s="145"/>
      <c r="FB702" s="145"/>
      <c r="FC702" s="145"/>
      <c r="FD702" s="145"/>
      <c r="FE702" s="145"/>
      <c r="FF702" s="145"/>
      <c r="FG702" s="145"/>
      <c r="FH702" s="145"/>
      <c r="FI702" s="145"/>
      <c r="FJ702" s="145"/>
      <c r="FK702" s="145"/>
      <c r="FL702" s="145"/>
      <c r="FM702" s="145"/>
      <c r="FN702" s="145"/>
      <c r="FO702" s="145"/>
      <c r="FP702" s="145"/>
      <c r="FQ702" s="145"/>
      <c r="FR702" s="145"/>
      <c r="FS702" s="145"/>
      <c r="FT702" s="145"/>
      <c r="FU702" s="145"/>
      <c r="FV702" s="145"/>
      <c r="FW702" s="145"/>
      <c r="FX702" s="145"/>
      <c r="FY702" s="145"/>
      <c r="FZ702" s="145"/>
      <c r="GA702" s="145"/>
      <c r="GB702" s="145"/>
      <c r="GC702" s="145"/>
      <c r="GD702" s="145"/>
      <c r="GE702" s="145"/>
      <c r="GF702" s="145"/>
      <c r="GG702" s="145"/>
      <c r="GH702" s="145"/>
      <c r="GI702" s="145"/>
      <c r="GJ702" s="145"/>
      <c r="GK702" s="145"/>
      <c r="GL702" s="145"/>
      <c r="GM702" s="145"/>
      <c r="GN702" s="145"/>
      <c r="GO702" s="145"/>
      <c r="GP702" s="145"/>
      <c r="GQ702" s="145"/>
      <c r="GR702" s="145"/>
      <c r="GS702" s="145"/>
      <c r="GT702" s="145"/>
      <c r="GU702" s="145"/>
      <c r="GV702" s="145"/>
      <c r="GW702" s="145"/>
      <c r="GX702" s="145"/>
      <c r="GY702" s="145"/>
      <c r="GZ702" s="145"/>
      <c r="HA702" s="145"/>
      <c r="HB702" s="145"/>
      <c r="HC702" s="145"/>
      <c r="HD702" s="145"/>
      <c r="HE702" s="145"/>
      <c r="HF702" s="145"/>
      <c r="HG702" s="145"/>
      <c r="HH702" s="145"/>
      <c r="HI702" s="145"/>
      <c r="HJ702" s="145"/>
      <c r="HK702" s="145"/>
      <c r="HL702" s="145" t="s">
        <v>2171</v>
      </c>
      <c r="HM702" s="145" t="s">
        <v>232</v>
      </c>
      <c r="HU702" s="142"/>
      <c r="HV702" s="142"/>
      <c r="HZ702" s="142"/>
      <c r="IP702" s="141" t="s">
        <v>2176</v>
      </c>
      <c r="IQ702" s="141" t="s">
        <v>19</v>
      </c>
      <c r="IT702" s="141">
        <v>2011</v>
      </c>
      <c r="JK702" s="141" t="s">
        <v>2154</v>
      </c>
      <c r="JM702" s="141" t="s">
        <v>14</v>
      </c>
      <c r="JQ702" s="141" t="s">
        <v>13</v>
      </c>
      <c r="JR702" s="141">
        <v>309</v>
      </c>
      <c r="JS702" s="141">
        <v>93</v>
      </c>
      <c r="KF702" s="141" t="s">
        <v>2153</v>
      </c>
      <c r="KG702" s="141" t="s">
        <v>12</v>
      </c>
      <c r="KH702" s="141" t="s">
        <v>29</v>
      </c>
      <c r="KI702" s="141" t="s">
        <v>29</v>
      </c>
      <c r="KK702" s="141" t="s">
        <v>222</v>
      </c>
      <c r="KL702" s="141" t="s">
        <v>2168</v>
      </c>
      <c r="KM702" s="141" t="s">
        <v>220</v>
      </c>
      <c r="KN702" s="141">
        <v>7.5</v>
      </c>
      <c r="KO702" s="141" t="s">
        <v>222</v>
      </c>
      <c r="KP702" s="141" t="s">
        <v>2167</v>
      </c>
      <c r="KQ702" s="141" t="s">
        <v>220</v>
      </c>
      <c r="KR702" s="141">
        <v>2</v>
      </c>
      <c r="MZ702" s="141" t="s">
        <v>2151</v>
      </c>
      <c r="NA702" s="141">
        <v>1300</v>
      </c>
      <c r="NJ702" s="141" t="s">
        <v>2210</v>
      </c>
      <c r="NK702" s="141" t="s">
        <v>2216</v>
      </c>
      <c r="NL702" s="141" t="s">
        <v>2208</v>
      </c>
      <c r="NM702" s="141" t="s">
        <v>671</v>
      </c>
      <c r="NN702" s="141" t="s">
        <v>265</v>
      </c>
      <c r="NV702" s="141" t="s">
        <v>745</v>
      </c>
      <c r="NW702" s="141" t="s">
        <v>6</v>
      </c>
      <c r="NX702" s="141">
        <v>449.66</v>
      </c>
      <c r="NY702" s="141" t="s">
        <v>234</v>
      </c>
      <c r="NZ702" s="141" t="s">
        <v>234</v>
      </c>
      <c r="OC702" s="141">
        <v>4</v>
      </c>
      <c r="OT702" s="141" t="s">
        <v>2199</v>
      </c>
      <c r="OU702" s="141" t="s">
        <v>2188</v>
      </c>
      <c r="OW702" s="141">
        <v>2011</v>
      </c>
      <c r="OX702" s="141">
        <v>2014</v>
      </c>
      <c r="PA702" s="141" t="s">
        <v>1169</v>
      </c>
      <c r="PB702" s="142">
        <v>46134</v>
      </c>
    </row>
    <row r="703" spans="1:423" s="141" customFormat="1">
      <c r="A703" t="s">
        <v>248</v>
      </c>
      <c r="B703" s="141" t="s">
        <v>2165</v>
      </c>
      <c r="C703" s="141" t="s">
        <v>2164</v>
      </c>
      <c r="D703" s="141" t="s">
        <v>245</v>
      </c>
      <c r="E703" s="141" t="s">
        <v>2182</v>
      </c>
      <c r="F703" s="141" t="s">
        <v>243</v>
      </c>
      <c r="G703" s="141" t="s">
        <v>2</v>
      </c>
      <c r="H703" s="141" t="s">
        <v>30</v>
      </c>
      <c r="I703" s="141">
        <v>-13.06</v>
      </c>
      <c r="J703" s="141">
        <v>34.299999999999997</v>
      </c>
      <c r="K703" s="141" t="s">
        <v>29</v>
      </c>
      <c r="AV703" s="141" t="s">
        <v>2162</v>
      </c>
      <c r="AW703" s="141">
        <v>1300</v>
      </c>
      <c r="AX703" s="141">
        <v>3900</v>
      </c>
      <c r="AY703" s="141">
        <v>3</v>
      </c>
      <c r="AZ703" s="141" t="s">
        <v>2161</v>
      </c>
      <c r="BA703" s="141">
        <v>2011</v>
      </c>
      <c r="BB703" s="141">
        <v>2014</v>
      </c>
      <c r="BD703" s="141" t="s">
        <v>274</v>
      </c>
      <c r="BE703" s="141" t="s">
        <v>2186</v>
      </c>
      <c r="BF703" s="141" t="s">
        <v>64</v>
      </c>
      <c r="BG703" s="141" t="s">
        <v>1233</v>
      </c>
      <c r="BH703" s="141" t="s">
        <v>2005</v>
      </c>
      <c r="BI703" s="141" t="s">
        <v>2181</v>
      </c>
      <c r="BJ703" s="141" t="s">
        <v>22</v>
      </c>
      <c r="BK703" s="141">
        <v>12300</v>
      </c>
      <c r="BL703" s="141" t="s">
        <v>56</v>
      </c>
      <c r="BM703" s="141" t="s">
        <v>2173</v>
      </c>
      <c r="BN703" s="141" t="s">
        <v>2172</v>
      </c>
      <c r="BO703" s="141" t="s">
        <v>22</v>
      </c>
      <c r="BP703" s="141">
        <v>24700</v>
      </c>
      <c r="BQ703" s="141" t="s">
        <v>275</v>
      </c>
      <c r="BR703" s="141" t="s">
        <v>250</v>
      </c>
      <c r="BS703" s="141" t="s">
        <v>2187</v>
      </c>
      <c r="BT703" s="141" t="s">
        <v>22</v>
      </c>
      <c r="BU703" s="141">
        <v>355556</v>
      </c>
      <c r="BV703" s="141" t="s">
        <v>56</v>
      </c>
      <c r="BW703" s="141" t="s">
        <v>2173</v>
      </c>
      <c r="BX703" s="141" t="s">
        <v>2172</v>
      </c>
      <c r="BY703" s="141" t="s">
        <v>22</v>
      </c>
      <c r="BZ703" s="141">
        <v>24700</v>
      </c>
      <c r="CA703" s="141" t="s">
        <v>275</v>
      </c>
      <c r="CB703" s="141" t="s">
        <v>23</v>
      </c>
      <c r="CC703" s="141" t="s">
        <v>2157</v>
      </c>
      <c r="CD703" s="141" t="s">
        <v>22</v>
      </c>
      <c r="CE703" s="141">
        <v>53333</v>
      </c>
      <c r="EJ703" s="145"/>
      <c r="EK703" s="145"/>
      <c r="EL703" s="145"/>
      <c r="EM703" s="145"/>
      <c r="EN703" s="145"/>
      <c r="EO703" s="145"/>
      <c r="EP703" s="145"/>
      <c r="EQ703" s="145"/>
      <c r="ER703" s="145"/>
      <c r="ES703" s="145"/>
      <c r="ET703" s="145"/>
      <c r="EU703" s="145"/>
      <c r="EV703" s="145"/>
      <c r="EW703" s="145"/>
      <c r="EX703" s="145"/>
      <c r="EY703" s="145"/>
      <c r="EZ703" s="145"/>
      <c r="FA703" s="145"/>
      <c r="FB703" s="145"/>
      <c r="FC703" s="145"/>
      <c r="FD703" s="145"/>
      <c r="FE703" s="145"/>
      <c r="FF703" s="145"/>
      <c r="FG703" s="145"/>
      <c r="FH703" s="145"/>
      <c r="FI703" s="145"/>
      <c r="FJ703" s="145"/>
      <c r="FK703" s="145"/>
      <c r="FL703" s="145"/>
      <c r="FM703" s="145"/>
      <c r="FN703" s="145"/>
      <c r="FO703" s="145"/>
      <c r="FP703" s="145"/>
      <c r="FQ703" s="145"/>
      <c r="FR703" s="145"/>
      <c r="FS703" s="145"/>
      <c r="FT703" s="145"/>
      <c r="FU703" s="145"/>
      <c r="FV703" s="145"/>
      <c r="FW703" s="145"/>
      <c r="FX703" s="145"/>
      <c r="FY703" s="145"/>
      <c r="FZ703" s="145"/>
      <c r="GA703" s="145"/>
      <c r="GB703" s="145"/>
      <c r="GC703" s="145"/>
      <c r="GD703" s="145"/>
      <c r="GE703" s="145"/>
      <c r="GF703" s="145"/>
      <c r="GG703" s="145"/>
      <c r="GH703" s="145"/>
      <c r="GI703" s="145"/>
      <c r="GJ703" s="145"/>
      <c r="GK703" s="145"/>
      <c r="GL703" s="145"/>
      <c r="GM703" s="145"/>
      <c r="GN703" s="145"/>
      <c r="GO703" s="145"/>
      <c r="GP703" s="145"/>
      <c r="GQ703" s="145"/>
      <c r="GR703" s="145"/>
      <c r="GS703" s="145"/>
      <c r="GT703" s="145"/>
      <c r="GU703" s="145"/>
      <c r="GV703" s="145"/>
      <c r="GW703" s="145"/>
      <c r="GX703" s="145"/>
      <c r="GY703" s="145"/>
      <c r="GZ703" s="145"/>
      <c r="HA703" s="145"/>
      <c r="HB703" s="145"/>
      <c r="HC703" s="145"/>
      <c r="HD703" s="145"/>
      <c r="HE703" s="145"/>
      <c r="HF703" s="145"/>
      <c r="HG703" s="145"/>
      <c r="HH703" s="145"/>
      <c r="HI703" s="145"/>
      <c r="HJ703" s="145"/>
      <c r="HK703" s="145"/>
      <c r="HL703" s="145" t="s">
        <v>2171</v>
      </c>
      <c r="HM703" s="145" t="s">
        <v>232</v>
      </c>
      <c r="HU703" s="142"/>
      <c r="HV703" s="142"/>
      <c r="HZ703" s="142"/>
      <c r="IP703" s="141" t="s">
        <v>2186</v>
      </c>
      <c r="IQ703" s="141" t="s">
        <v>273</v>
      </c>
      <c r="IR703" s="141" t="s">
        <v>2169</v>
      </c>
      <c r="IT703" s="141">
        <v>2011</v>
      </c>
      <c r="IV703" s="141" t="s">
        <v>29</v>
      </c>
      <c r="JK703" s="141" t="s">
        <v>2154</v>
      </c>
      <c r="JM703" s="141" t="s">
        <v>14</v>
      </c>
      <c r="JQ703" s="141" t="s">
        <v>13</v>
      </c>
      <c r="JR703" s="141">
        <v>103</v>
      </c>
      <c r="JS703" s="141">
        <v>31</v>
      </c>
      <c r="KF703" s="141" t="s">
        <v>2153</v>
      </c>
      <c r="KG703" s="141" t="s">
        <v>12</v>
      </c>
      <c r="KH703" s="141" t="s">
        <v>29</v>
      </c>
      <c r="KI703" s="141" t="s">
        <v>29</v>
      </c>
      <c r="KK703" s="141" t="s">
        <v>222</v>
      </c>
      <c r="KL703" s="141" t="s">
        <v>2168</v>
      </c>
      <c r="KM703" s="141" t="s">
        <v>220</v>
      </c>
      <c r="KN703" s="141">
        <v>7.5</v>
      </c>
      <c r="KO703" s="141" t="s">
        <v>222</v>
      </c>
      <c r="KP703" s="141" t="s">
        <v>2167</v>
      </c>
      <c r="KQ703" s="141" t="s">
        <v>220</v>
      </c>
      <c r="KR703" s="141">
        <v>1</v>
      </c>
      <c r="KS703" s="141" t="s">
        <v>219</v>
      </c>
      <c r="KT703" s="141" t="s">
        <v>2185</v>
      </c>
      <c r="KU703" s="141" t="s">
        <v>2184</v>
      </c>
      <c r="KV703" s="141">
        <v>100</v>
      </c>
      <c r="MZ703" s="141" t="s">
        <v>2151</v>
      </c>
      <c r="NA703" s="141">
        <v>1300</v>
      </c>
      <c r="NJ703" s="141" t="s">
        <v>2211</v>
      </c>
      <c r="NK703" s="141" t="s">
        <v>2216</v>
      </c>
      <c r="NL703" s="141" t="s">
        <v>2208</v>
      </c>
      <c r="NM703" s="141" t="s">
        <v>671</v>
      </c>
      <c r="NN703" s="141" t="s">
        <v>265</v>
      </c>
      <c r="NW703" s="141" t="s">
        <v>6</v>
      </c>
      <c r="NX703" s="141">
        <v>397.09</v>
      </c>
      <c r="NY703" s="141" t="s">
        <v>234</v>
      </c>
      <c r="NZ703" s="141" t="s">
        <v>234</v>
      </c>
      <c r="OC703" s="141">
        <v>4</v>
      </c>
      <c r="OT703" s="141" t="s">
        <v>2199</v>
      </c>
      <c r="OU703" s="141" t="s">
        <v>2188</v>
      </c>
      <c r="OW703" s="141">
        <v>2011</v>
      </c>
      <c r="OX703" s="141">
        <v>2014</v>
      </c>
      <c r="PA703" s="141" t="s">
        <v>1169</v>
      </c>
      <c r="PB703" s="142">
        <v>46134</v>
      </c>
    </row>
    <row r="704" spans="1:423" s="141" customFormat="1">
      <c r="A704" t="s">
        <v>248</v>
      </c>
      <c r="B704" s="141" t="s">
        <v>2165</v>
      </c>
      <c r="C704" s="141" t="s">
        <v>2164</v>
      </c>
      <c r="D704" s="141" t="s">
        <v>245</v>
      </c>
      <c r="E704" s="141" t="s">
        <v>2182</v>
      </c>
      <c r="F704" s="141" t="s">
        <v>243</v>
      </c>
      <c r="G704" s="141" t="s">
        <v>2</v>
      </c>
      <c r="H704" s="141" t="s">
        <v>30</v>
      </c>
      <c r="I704" s="141">
        <v>-13.06</v>
      </c>
      <c r="J704" s="141">
        <v>34.299999999999997</v>
      </c>
      <c r="K704" s="141" t="s">
        <v>29</v>
      </c>
      <c r="AV704" s="141" t="s">
        <v>2162</v>
      </c>
      <c r="AW704" s="141">
        <v>1300</v>
      </c>
      <c r="AX704" s="141">
        <v>3900</v>
      </c>
      <c r="AY704" s="141">
        <v>3</v>
      </c>
      <c r="AZ704" s="141" t="s">
        <v>2161</v>
      </c>
      <c r="BA704" s="141">
        <v>2011</v>
      </c>
      <c r="BB704" s="141">
        <v>2014</v>
      </c>
      <c r="BD704" s="141" t="s">
        <v>274</v>
      </c>
      <c r="BE704" s="141" t="s">
        <v>2179</v>
      </c>
      <c r="BF704" s="141" t="s">
        <v>57</v>
      </c>
      <c r="BG704" s="141" t="s">
        <v>1233</v>
      </c>
      <c r="BH704" s="141" t="s">
        <v>2005</v>
      </c>
      <c r="BI704" s="141" t="s">
        <v>2181</v>
      </c>
      <c r="BJ704" s="141" t="s">
        <v>22</v>
      </c>
      <c r="BK704" s="141">
        <v>12300</v>
      </c>
      <c r="BL704" s="141" t="s">
        <v>275</v>
      </c>
      <c r="BM704" s="141" t="s">
        <v>271</v>
      </c>
      <c r="BN704" s="141" t="s">
        <v>2180</v>
      </c>
      <c r="BO704" s="141" t="s">
        <v>22</v>
      </c>
      <c r="BP704" s="141">
        <v>266667</v>
      </c>
      <c r="BQ704" s="141" t="s">
        <v>275</v>
      </c>
      <c r="BR704" s="141" t="s">
        <v>23</v>
      </c>
      <c r="BS704" s="141" t="s">
        <v>2157</v>
      </c>
      <c r="BT704" s="141" t="s">
        <v>22</v>
      </c>
      <c r="BU704" s="141">
        <v>53333</v>
      </c>
      <c r="EJ704" s="145"/>
      <c r="EK704" s="145"/>
      <c r="EL704" s="145"/>
      <c r="EM704" s="145"/>
      <c r="EN704" s="145"/>
      <c r="EO704" s="145"/>
      <c r="EP704" s="145"/>
      <c r="EQ704" s="145"/>
      <c r="ER704" s="145"/>
      <c r="ES704" s="145"/>
      <c r="ET704" s="145"/>
      <c r="EU704" s="145"/>
      <c r="EV704" s="145"/>
      <c r="EW704" s="145"/>
      <c r="EX704" s="145"/>
      <c r="EY704" s="145"/>
      <c r="EZ704" s="145"/>
      <c r="FA704" s="145"/>
      <c r="FB704" s="145"/>
      <c r="FC704" s="145"/>
      <c r="FD704" s="145"/>
      <c r="FE704" s="145"/>
      <c r="FF704" s="145"/>
      <c r="FG704" s="145"/>
      <c r="FH704" s="145"/>
      <c r="FI704" s="145"/>
      <c r="FJ704" s="145"/>
      <c r="FK704" s="145"/>
      <c r="FL704" s="145"/>
      <c r="FM704" s="145"/>
      <c r="FN704" s="145"/>
      <c r="FO704" s="145"/>
      <c r="FP704" s="145"/>
      <c r="FQ704" s="145"/>
      <c r="FR704" s="145"/>
      <c r="FS704" s="145"/>
      <c r="FT704" s="145"/>
      <c r="FU704" s="145"/>
      <c r="FV704" s="145"/>
      <c r="FW704" s="145"/>
      <c r="FX704" s="145"/>
      <c r="FY704" s="145"/>
      <c r="FZ704" s="145"/>
      <c r="GA704" s="145"/>
      <c r="GB704" s="145"/>
      <c r="GC704" s="145"/>
      <c r="GD704" s="145"/>
      <c r="GE704" s="145"/>
      <c r="GF704" s="145"/>
      <c r="GG704" s="145"/>
      <c r="GH704" s="145"/>
      <c r="GI704" s="145"/>
      <c r="GJ704" s="145"/>
      <c r="GK704" s="145"/>
      <c r="GL704" s="145"/>
      <c r="GM704" s="145"/>
      <c r="GN704" s="145"/>
      <c r="GO704" s="145"/>
      <c r="GP704" s="145"/>
      <c r="GQ704" s="145"/>
      <c r="GR704" s="145"/>
      <c r="GS704" s="145"/>
      <c r="GT704" s="145"/>
      <c r="GU704" s="145"/>
      <c r="GV704" s="145"/>
      <c r="GW704" s="145"/>
      <c r="GX704" s="145"/>
      <c r="GY704" s="145"/>
      <c r="GZ704" s="145"/>
      <c r="HA704" s="145"/>
      <c r="HB704" s="145"/>
      <c r="HC704" s="145"/>
      <c r="HD704" s="145"/>
      <c r="HE704" s="145"/>
      <c r="HF704" s="145"/>
      <c r="HG704" s="145"/>
      <c r="HH704" s="145"/>
      <c r="HI704" s="145"/>
      <c r="HJ704" s="145"/>
      <c r="HK704" s="145"/>
      <c r="HL704" s="145" t="s">
        <v>2156</v>
      </c>
      <c r="HM704" s="145" t="s">
        <v>297</v>
      </c>
      <c r="HN704" s="141" t="s">
        <v>29</v>
      </c>
      <c r="HO704" s="141" t="s">
        <v>29</v>
      </c>
      <c r="HP704" s="141" t="s">
        <v>29</v>
      </c>
      <c r="HQ704" s="141" t="s">
        <v>29</v>
      </c>
      <c r="HZ704" s="142"/>
      <c r="IP704" s="141" t="s">
        <v>2179</v>
      </c>
      <c r="IQ704" s="141" t="s">
        <v>273</v>
      </c>
      <c r="IT704" s="141">
        <v>2011</v>
      </c>
      <c r="IV704" s="141" t="s">
        <v>29</v>
      </c>
      <c r="JK704" s="141" t="s">
        <v>2154</v>
      </c>
      <c r="JM704" s="141" t="s">
        <v>14</v>
      </c>
      <c r="JQ704" s="141" t="s">
        <v>13</v>
      </c>
      <c r="JR704" s="141">
        <v>124</v>
      </c>
      <c r="JS704" s="141">
        <v>50</v>
      </c>
      <c r="KF704" s="141" t="s">
        <v>2153</v>
      </c>
      <c r="KG704" s="141" t="s">
        <v>12</v>
      </c>
      <c r="KH704" s="141" t="s">
        <v>29</v>
      </c>
      <c r="KI704" s="141" t="s">
        <v>29</v>
      </c>
      <c r="KK704" s="141" t="s">
        <v>2152</v>
      </c>
      <c r="MZ704" s="141" t="s">
        <v>2151</v>
      </c>
      <c r="NA704" s="141">
        <v>1300</v>
      </c>
      <c r="NJ704" s="141" t="s">
        <v>2210</v>
      </c>
      <c r="NK704" s="141" t="s">
        <v>2216</v>
      </c>
      <c r="NL704" s="141" t="s">
        <v>2208</v>
      </c>
      <c r="NM704" s="141" t="s">
        <v>671</v>
      </c>
      <c r="NN704" s="141" t="s">
        <v>265</v>
      </c>
      <c r="NW704" s="141" t="s">
        <v>6</v>
      </c>
      <c r="NX704" s="141">
        <v>377.9</v>
      </c>
      <c r="NY704" s="141" t="s">
        <v>234</v>
      </c>
      <c r="NZ704" s="141" t="s">
        <v>234</v>
      </c>
      <c r="OC704" s="141">
        <v>4</v>
      </c>
      <c r="OT704" s="141" t="s">
        <v>2199</v>
      </c>
      <c r="OU704" s="141" t="s">
        <v>2188</v>
      </c>
      <c r="OW704" s="141">
        <v>2011</v>
      </c>
      <c r="OX704" s="141">
        <v>2014</v>
      </c>
      <c r="PA704" s="141" t="s">
        <v>1169</v>
      </c>
      <c r="PB704" s="142">
        <v>46134</v>
      </c>
    </row>
    <row r="705" spans="1:418" s="141" customFormat="1">
      <c r="A705" s="87" t="s">
        <v>248</v>
      </c>
      <c r="B705" s="141" t="s">
        <v>2165</v>
      </c>
      <c r="C705" s="141" t="s">
        <v>2164</v>
      </c>
      <c r="D705" s="141" t="s">
        <v>245</v>
      </c>
      <c r="E705" s="141" t="s">
        <v>2163</v>
      </c>
      <c r="F705" s="141" t="s">
        <v>243</v>
      </c>
      <c r="G705" s="141" t="s">
        <v>2</v>
      </c>
      <c r="H705" s="141" t="s">
        <v>30</v>
      </c>
      <c r="I705" s="141">
        <v>-13.47</v>
      </c>
      <c r="J705" s="141">
        <v>33.71</v>
      </c>
      <c r="K705" s="141" t="s">
        <v>29</v>
      </c>
      <c r="AV705" s="141" t="s">
        <v>2162</v>
      </c>
      <c r="AW705" s="141">
        <v>2500</v>
      </c>
      <c r="AX705" s="141">
        <v>7500</v>
      </c>
      <c r="AY705" s="141">
        <v>3</v>
      </c>
      <c r="AZ705" s="141" t="s">
        <v>2161</v>
      </c>
      <c r="BA705" s="141">
        <v>2011</v>
      </c>
      <c r="BB705" s="141">
        <v>2014</v>
      </c>
      <c r="BD705" s="141" t="s">
        <v>19</v>
      </c>
      <c r="BE705" s="141" t="s">
        <v>2176</v>
      </c>
      <c r="BF705" s="141" t="s">
        <v>24</v>
      </c>
      <c r="BG705" s="141" t="s">
        <v>1233</v>
      </c>
      <c r="BH705" s="141" t="s">
        <v>23</v>
      </c>
      <c r="BI705" s="141" t="s">
        <v>2157</v>
      </c>
      <c r="BJ705" s="141" t="s">
        <v>22</v>
      </c>
      <c r="BK705" s="141">
        <v>53333</v>
      </c>
      <c r="EJ705" s="145"/>
      <c r="EK705" s="145"/>
      <c r="EL705" s="145"/>
      <c r="EM705" s="145"/>
      <c r="EN705" s="145"/>
      <c r="EO705" s="145"/>
      <c r="EP705" s="145"/>
      <c r="EQ705" s="145"/>
      <c r="ER705" s="145"/>
      <c r="ES705" s="145"/>
      <c r="ET705" s="145"/>
      <c r="EU705" s="145"/>
      <c r="EV705" s="145"/>
      <c r="EW705" s="145"/>
      <c r="EX705" s="145"/>
      <c r="EY705" s="145"/>
      <c r="EZ705" s="145"/>
      <c r="FA705" s="145"/>
      <c r="FB705" s="145"/>
      <c r="FC705" s="145"/>
      <c r="FD705" s="145"/>
      <c r="FE705" s="145"/>
      <c r="FF705" s="145"/>
      <c r="FG705" s="145"/>
      <c r="FH705" s="145"/>
      <c r="FI705" s="145"/>
      <c r="FJ705" s="145"/>
      <c r="FK705" s="145"/>
      <c r="FL705" s="145"/>
      <c r="FM705" s="145"/>
      <c r="FN705" s="145"/>
      <c r="FO705" s="145"/>
      <c r="FP705" s="145"/>
      <c r="FQ705" s="145"/>
      <c r="FR705" s="145"/>
      <c r="FS705" s="145"/>
      <c r="FT705" s="145"/>
      <c r="FU705" s="145"/>
      <c r="FV705" s="145"/>
      <c r="FW705" s="145"/>
      <c r="FX705" s="145"/>
      <c r="FY705" s="145"/>
      <c r="FZ705" s="145"/>
      <c r="GA705" s="145"/>
      <c r="GB705" s="145"/>
      <c r="GC705" s="145"/>
      <c r="GD705" s="145"/>
      <c r="GE705" s="145"/>
      <c r="GF705" s="145"/>
      <c r="GG705" s="145"/>
      <c r="GH705" s="145"/>
      <c r="GI705" s="145"/>
      <c r="GJ705" s="145"/>
      <c r="GK705" s="145"/>
      <c r="GL705" s="145"/>
      <c r="GM705" s="145"/>
      <c r="GN705" s="145"/>
      <c r="GO705" s="145"/>
      <c r="GP705" s="145"/>
      <c r="GQ705" s="145"/>
      <c r="GR705" s="145"/>
      <c r="GS705" s="145"/>
      <c r="GT705" s="145"/>
      <c r="GU705" s="145"/>
      <c r="GV705" s="145"/>
      <c r="GW705" s="145"/>
      <c r="GX705" s="145"/>
      <c r="GY705" s="145"/>
      <c r="GZ705" s="145"/>
      <c r="HA705" s="145"/>
      <c r="HB705" s="145"/>
      <c r="HC705" s="145"/>
      <c r="HD705" s="145"/>
      <c r="HE705" s="145"/>
      <c r="HF705" s="145"/>
      <c r="HG705" s="145"/>
      <c r="HH705" s="145"/>
      <c r="HI705" s="145"/>
      <c r="HJ705" s="145"/>
      <c r="HK705" s="145"/>
      <c r="HL705" s="145" t="s">
        <v>2171</v>
      </c>
      <c r="HM705" s="145" t="s">
        <v>232</v>
      </c>
      <c r="HZ705" s="142"/>
      <c r="IP705" s="141" t="s">
        <v>2176</v>
      </c>
      <c r="IQ705" s="141" t="s">
        <v>19</v>
      </c>
      <c r="IT705" s="141">
        <v>2011</v>
      </c>
      <c r="JK705" s="141" t="s">
        <v>2154</v>
      </c>
      <c r="JM705" s="141" t="s">
        <v>14</v>
      </c>
      <c r="JQ705" s="141" t="s">
        <v>13</v>
      </c>
      <c r="JR705" s="141">
        <v>309</v>
      </c>
      <c r="JS705" s="141">
        <v>93</v>
      </c>
      <c r="KF705" s="141" t="s">
        <v>2153</v>
      </c>
      <c r="KG705" s="141" t="s">
        <v>12</v>
      </c>
      <c r="KH705" s="141" t="s">
        <v>29</v>
      </c>
      <c r="KI705" s="141" t="s">
        <v>29</v>
      </c>
      <c r="KK705" s="141" t="s">
        <v>222</v>
      </c>
      <c r="KL705" s="141" t="s">
        <v>2168</v>
      </c>
      <c r="KM705" s="141" t="s">
        <v>220</v>
      </c>
      <c r="KN705" s="141">
        <v>7.5</v>
      </c>
      <c r="KO705" s="141" t="s">
        <v>222</v>
      </c>
      <c r="KP705" s="141" t="s">
        <v>2167</v>
      </c>
      <c r="KQ705" s="141" t="s">
        <v>220</v>
      </c>
      <c r="KR705" s="141">
        <v>2</v>
      </c>
      <c r="MZ705" s="141" t="s">
        <v>2151</v>
      </c>
      <c r="NA705" s="141">
        <v>2500</v>
      </c>
      <c r="NJ705" s="141" t="s">
        <v>2210</v>
      </c>
      <c r="NK705" s="141" t="s">
        <v>2216</v>
      </c>
      <c r="NL705" s="141" t="s">
        <v>2208</v>
      </c>
      <c r="NM705" s="141" t="s">
        <v>671</v>
      </c>
      <c r="NN705" s="141" t="s">
        <v>265</v>
      </c>
      <c r="NV705" s="141" t="s">
        <v>2174</v>
      </c>
      <c r="NW705" s="141" t="s">
        <v>6</v>
      </c>
      <c r="NX705" s="141">
        <v>282.61</v>
      </c>
      <c r="NY705" s="141" t="s">
        <v>234</v>
      </c>
      <c r="NZ705" s="141" t="s">
        <v>234</v>
      </c>
      <c r="OC705" s="141">
        <v>4</v>
      </c>
      <c r="OT705" s="141" t="s">
        <v>2189</v>
      </c>
      <c r="OU705" s="141" t="s">
        <v>2188</v>
      </c>
      <c r="OW705" s="141">
        <v>2011</v>
      </c>
      <c r="OX705" s="141">
        <v>2014</v>
      </c>
      <c r="PA705" s="141" t="s">
        <v>1169</v>
      </c>
      <c r="PB705" s="142">
        <v>46134</v>
      </c>
    </row>
    <row r="706" spans="1:418" s="141" customFormat="1">
      <c r="A706" t="s">
        <v>248</v>
      </c>
      <c r="B706" s="141" t="s">
        <v>2165</v>
      </c>
      <c r="C706" s="141" t="s">
        <v>2164</v>
      </c>
      <c r="D706" s="141" t="s">
        <v>245</v>
      </c>
      <c r="E706" s="141" t="s">
        <v>2163</v>
      </c>
      <c r="F706" s="141" t="s">
        <v>243</v>
      </c>
      <c r="G706" s="141" t="s">
        <v>2</v>
      </c>
      <c r="H706" s="141" t="s">
        <v>30</v>
      </c>
      <c r="I706" s="141">
        <v>-13.47</v>
      </c>
      <c r="J706" s="141">
        <v>33.71</v>
      </c>
      <c r="K706" s="141" t="s">
        <v>29</v>
      </c>
      <c r="AV706" s="141" t="s">
        <v>2162</v>
      </c>
      <c r="AW706" s="141">
        <v>2500</v>
      </c>
      <c r="AX706" s="141">
        <v>7500</v>
      </c>
      <c r="AY706" s="141">
        <v>3</v>
      </c>
      <c r="AZ706" s="141" t="s">
        <v>2161</v>
      </c>
      <c r="BA706" s="141">
        <v>2011</v>
      </c>
      <c r="BB706" s="141">
        <v>2014</v>
      </c>
      <c r="BD706" s="141" t="s">
        <v>274</v>
      </c>
      <c r="BE706" s="141" t="s">
        <v>2170</v>
      </c>
      <c r="BF706" s="141" t="s">
        <v>48</v>
      </c>
      <c r="BG706" s="141" t="s">
        <v>1233</v>
      </c>
      <c r="BH706" s="141" t="s">
        <v>2160</v>
      </c>
      <c r="BI706" s="141" t="s">
        <v>2159</v>
      </c>
      <c r="BJ706" s="141" t="s">
        <v>22</v>
      </c>
      <c r="BK706" s="141">
        <v>3700</v>
      </c>
      <c r="BL706" s="141" t="s">
        <v>56</v>
      </c>
      <c r="BM706" s="141" t="s">
        <v>2173</v>
      </c>
      <c r="BN706" s="141" t="s">
        <v>2172</v>
      </c>
      <c r="BO706" s="141" t="s">
        <v>22</v>
      </c>
      <c r="BP706" s="141">
        <v>18500</v>
      </c>
      <c r="BQ706" s="141" t="s">
        <v>275</v>
      </c>
      <c r="BR706" s="141" t="s">
        <v>1659</v>
      </c>
      <c r="BS706" s="141" t="s">
        <v>2158</v>
      </c>
      <c r="BT706" s="141" t="s">
        <v>22</v>
      </c>
      <c r="BU706" s="141">
        <v>222200</v>
      </c>
      <c r="BV706" s="141" t="s">
        <v>275</v>
      </c>
      <c r="BW706" s="141" t="s">
        <v>23</v>
      </c>
      <c r="BX706" s="141" t="s">
        <v>2157</v>
      </c>
      <c r="BY706" s="141" t="s">
        <v>22</v>
      </c>
      <c r="BZ706" s="141">
        <v>53333</v>
      </c>
      <c r="EJ706" s="145"/>
      <c r="EK706" s="145"/>
      <c r="EL706" s="145"/>
      <c r="EM706" s="145"/>
      <c r="EN706" s="145"/>
      <c r="EO706" s="145"/>
      <c r="EP706" s="145"/>
      <c r="EQ706" s="145"/>
      <c r="ER706" s="145"/>
      <c r="ES706" s="145"/>
      <c r="ET706" s="145"/>
      <c r="EU706" s="145"/>
      <c r="EV706" s="145"/>
      <c r="EW706" s="145"/>
      <c r="EX706" s="145"/>
      <c r="EY706" s="145"/>
      <c r="EZ706" s="145"/>
      <c r="FA706" s="145"/>
      <c r="FB706" s="145"/>
      <c r="FC706" s="145"/>
      <c r="FD706" s="145"/>
      <c r="FE706" s="145"/>
      <c r="FF706" s="145"/>
      <c r="FG706" s="145"/>
      <c r="FH706" s="145"/>
      <c r="FI706" s="145"/>
      <c r="FJ706" s="145"/>
      <c r="FK706" s="145"/>
      <c r="FL706" s="145"/>
      <c r="FM706" s="145"/>
      <c r="FN706" s="145"/>
      <c r="FO706" s="145"/>
      <c r="FP706" s="145"/>
      <c r="FQ706" s="145"/>
      <c r="FR706" s="145"/>
      <c r="FS706" s="145"/>
      <c r="FT706" s="145"/>
      <c r="FU706" s="145"/>
      <c r="FV706" s="145"/>
      <c r="FW706" s="145"/>
      <c r="FX706" s="145"/>
      <c r="FY706" s="145"/>
      <c r="FZ706" s="145"/>
      <c r="GA706" s="145"/>
      <c r="GB706" s="145"/>
      <c r="GC706" s="145"/>
      <c r="GD706" s="145"/>
      <c r="GE706" s="145"/>
      <c r="GF706" s="145"/>
      <c r="GG706" s="145"/>
      <c r="GH706" s="145"/>
      <c r="GI706" s="145"/>
      <c r="GJ706" s="145"/>
      <c r="GK706" s="145"/>
      <c r="GL706" s="145"/>
      <c r="GM706" s="145"/>
      <c r="GN706" s="145"/>
      <c r="GO706" s="145"/>
      <c r="GP706" s="145"/>
      <c r="GQ706" s="145"/>
      <c r="GR706" s="145"/>
      <c r="GS706" s="145"/>
      <c r="GT706" s="145"/>
      <c r="GU706" s="145"/>
      <c r="GV706" s="145"/>
      <c r="GW706" s="145"/>
      <c r="GX706" s="145"/>
      <c r="GY706" s="145"/>
      <c r="GZ706" s="145"/>
      <c r="HA706" s="145"/>
      <c r="HB706" s="145"/>
      <c r="HC706" s="145"/>
      <c r="HD706" s="145"/>
      <c r="HE706" s="145"/>
      <c r="HF706" s="145"/>
      <c r="HG706" s="145"/>
      <c r="HH706" s="145"/>
      <c r="HI706" s="145"/>
      <c r="HJ706" s="145"/>
      <c r="HK706" s="145"/>
      <c r="HL706" s="145" t="s">
        <v>2171</v>
      </c>
      <c r="HM706" s="145" t="s">
        <v>232</v>
      </c>
      <c r="HZ706" s="142"/>
      <c r="IP706" s="141" t="s">
        <v>2170</v>
      </c>
      <c r="IQ706" s="141" t="s">
        <v>273</v>
      </c>
      <c r="IR706" s="141" t="s">
        <v>2169</v>
      </c>
      <c r="IT706" s="141">
        <v>2011</v>
      </c>
      <c r="IV706" s="141" t="s">
        <v>29</v>
      </c>
      <c r="JK706" s="141" t="s">
        <v>2154</v>
      </c>
      <c r="JM706" s="141" t="s">
        <v>14</v>
      </c>
      <c r="JQ706" s="141" t="s">
        <v>13</v>
      </c>
      <c r="JR706" s="141">
        <v>131</v>
      </c>
      <c r="JS706" s="141">
        <v>59</v>
      </c>
      <c r="KF706" s="141" t="s">
        <v>2153</v>
      </c>
      <c r="KG706" s="141" t="s">
        <v>12</v>
      </c>
      <c r="KH706" s="141" t="s">
        <v>29</v>
      </c>
      <c r="KI706" s="141" t="s">
        <v>29</v>
      </c>
      <c r="KK706" s="141" t="s">
        <v>222</v>
      </c>
      <c r="KL706" s="141" t="s">
        <v>2168</v>
      </c>
      <c r="KM706" s="141" t="s">
        <v>220</v>
      </c>
      <c r="KN706" s="141">
        <v>7.5</v>
      </c>
      <c r="KO706" s="141" t="s">
        <v>222</v>
      </c>
      <c r="KP706" s="141" t="s">
        <v>2167</v>
      </c>
      <c r="KQ706" s="141" t="s">
        <v>220</v>
      </c>
      <c r="KR706" s="141">
        <v>1</v>
      </c>
      <c r="MZ706" s="141" t="s">
        <v>2151</v>
      </c>
      <c r="NA706" s="141">
        <v>2500</v>
      </c>
      <c r="NJ706" s="141" t="s">
        <v>2210</v>
      </c>
      <c r="NK706" s="141" t="s">
        <v>2216</v>
      </c>
      <c r="NL706" s="141" t="s">
        <v>2208</v>
      </c>
      <c r="NM706" s="141" t="s">
        <v>671</v>
      </c>
      <c r="NN706" s="141" t="s">
        <v>265</v>
      </c>
      <c r="NW706" s="141" t="s">
        <v>6</v>
      </c>
      <c r="NX706" s="141">
        <v>238.69</v>
      </c>
      <c r="NY706" s="141" t="s">
        <v>234</v>
      </c>
      <c r="NZ706" s="141" t="s">
        <v>234</v>
      </c>
      <c r="OC706" s="141">
        <v>4</v>
      </c>
      <c r="OT706" s="141" t="s">
        <v>2189</v>
      </c>
      <c r="OU706" s="141" t="s">
        <v>2188</v>
      </c>
      <c r="OW706" s="141">
        <v>2011</v>
      </c>
      <c r="OX706" s="141">
        <v>2014</v>
      </c>
      <c r="PA706" s="141" t="s">
        <v>1169</v>
      </c>
      <c r="PB706" s="142">
        <v>46134</v>
      </c>
    </row>
    <row r="707" spans="1:418" s="141" customFormat="1">
      <c r="A707" t="s">
        <v>248</v>
      </c>
      <c r="B707" s="141" t="s">
        <v>2165</v>
      </c>
      <c r="C707" s="141" t="s">
        <v>2164</v>
      </c>
      <c r="D707" s="141" t="s">
        <v>245</v>
      </c>
      <c r="E707" s="141" t="s">
        <v>2163</v>
      </c>
      <c r="F707" s="141" t="s">
        <v>243</v>
      </c>
      <c r="G707" s="141" t="s">
        <v>2</v>
      </c>
      <c r="H707" s="141" t="s">
        <v>30</v>
      </c>
      <c r="I707" s="141">
        <v>-13.47</v>
      </c>
      <c r="J707" s="141">
        <v>33.71</v>
      </c>
      <c r="K707" s="141" t="s">
        <v>29</v>
      </c>
      <c r="AV707" s="141" t="s">
        <v>2162</v>
      </c>
      <c r="AW707" s="141">
        <v>2500</v>
      </c>
      <c r="AX707" s="141">
        <v>7500</v>
      </c>
      <c r="AY707" s="141">
        <v>3</v>
      </c>
      <c r="AZ707" s="141" t="s">
        <v>2161</v>
      </c>
      <c r="BA707" s="141">
        <v>2011</v>
      </c>
      <c r="BB707" s="141">
        <v>2014</v>
      </c>
      <c r="BD707" s="141" t="s">
        <v>274</v>
      </c>
      <c r="BE707" s="141" t="s">
        <v>2155</v>
      </c>
      <c r="BF707" s="141" t="s">
        <v>43</v>
      </c>
      <c r="BG707" s="141" t="s">
        <v>1233</v>
      </c>
      <c r="BH707" s="141" t="s">
        <v>2160</v>
      </c>
      <c r="BI707" s="141" t="s">
        <v>2159</v>
      </c>
      <c r="BJ707" s="141" t="s">
        <v>22</v>
      </c>
      <c r="BK707" s="141">
        <v>3700</v>
      </c>
      <c r="BL707" s="141" t="s">
        <v>275</v>
      </c>
      <c r="BM707" s="141" t="s">
        <v>1659</v>
      </c>
      <c r="BN707" s="141" t="s">
        <v>2158</v>
      </c>
      <c r="BO707" s="141" t="s">
        <v>22</v>
      </c>
      <c r="BP707" s="141">
        <v>177800</v>
      </c>
      <c r="BQ707" s="141" t="s">
        <v>275</v>
      </c>
      <c r="BR707" s="141" t="s">
        <v>23</v>
      </c>
      <c r="BS707" s="141" t="s">
        <v>2157</v>
      </c>
      <c r="BT707" s="141" t="s">
        <v>22</v>
      </c>
      <c r="BU707" s="141">
        <v>53333</v>
      </c>
      <c r="EJ707" s="145"/>
      <c r="EK707" s="145"/>
      <c r="EL707" s="145"/>
      <c r="EM707" s="145"/>
      <c r="EN707" s="145"/>
      <c r="EO707" s="145"/>
      <c r="EP707" s="145"/>
      <c r="EQ707" s="145"/>
      <c r="ER707" s="145"/>
      <c r="ES707" s="145"/>
      <c r="ET707" s="145"/>
      <c r="EU707" s="145"/>
      <c r="EV707" s="145"/>
      <c r="EW707" s="145"/>
      <c r="EX707" s="145"/>
      <c r="EY707" s="145"/>
      <c r="EZ707" s="145"/>
      <c r="FA707" s="145"/>
      <c r="FB707" s="145"/>
      <c r="FC707" s="145"/>
      <c r="FD707" s="145"/>
      <c r="FE707" s="145"/>
      <c r="FF707" s="145"/>
      <c r="FG707" s="145"/>
      <c r="FH707" s="145"/>
      <c r="FI707" s="145"/>
      <c r="FJ707" s="145"/>
      <c r="FK707" s="145"/>
      <c r="FL707" s="145"/>
      <c r="FM707" s="145"/>
      <c r="FN707" s="145"/>
      <c r="FO707" s="145"/>
      <c r="FP707" s="145"/>
      <c r="FQ707" s="145"/>
      <c r="FR707" s="145"/>
      <c r="FS707" s="145"/>
      <c r="FT707" s="145"/>
      <c r="FU707" s="145"/>
      <c r="FV707" s="145"/>
      <c r="FW707" s="145"/>
      <c r="FX707" s="145"/>
      <c r="FY707" s="145"/>
      <c r="FZ707" s="145"/>
      <c r="GA707" s="145"/>
      <c r="GB707" s="145"/>
      <c r="GC707" s="145"/>
      <c r="GD707" s="145"/>
      <c r="GE707" s="145"/>
      <c r="GF707" s="145"/>
      <c r="GG707" s="145"/>
      <c r="GH707" s="145"/>
      <c r="GI707" s="145"/>
      <c r="GJ707" s="145"/>
      <c r="GK707" s="145"/>
      <c r="GL707" s="145"/>
      <c r="GM707" s="145"/>
      <c r="GN707" s="145"/>
      <c r="GO707" s="145"/>
      <c r="GP707" s="145"/>
      <c r="GQ707" s="145"/>
      <c r="GR707" s="145"/>
      <c r="GS707" s="145"/>
      <c r="GT707" s="145"/>
      <c r="GU707" s="145"/>
      <c r="GV707" s="145"/>
      <c r="GW707" s="145"/>
      <c r="GX707" s="145"/>
      <c r="GY707" s="145"/>
      <c r="GZ707" s="145"/>
      <c r="HA707" s="145"/>
      <c r="HB707" s="145"/>
      <c r="HC707" s="145"/>
      <c r="HD707" s="145"/>
      <c r="HE707" s="145"/>
      <c r="HF707" s="145"/>
      <c r="HG707" s="145"/>
      <c r="HH707" s="145"/>
      <c r="HI707" s="145"/>
      <c r="HJ707" s="145"/>
      <c r="HK707" s="145"/>
      <c r="HL707" s="145" t="s">
        <v>2156</v>
      </c>
      <c r="HM707" s="145" t="s">
        <v>297</v>
      </c>
      <c r="HN707" s="141" t="s">
        <v>29</v>
      </c>
      <c r="HO707" s="141" t="s">
        <v>29</v>
      </c>
      <c r="HP707" s="141" t="s">
        <v>29</v>
      </c>
      <c r="HQ707" s="141" t="s">
        <v>29</v>
      </c>
      <c r="HZ707" s="142"/>
      <c r="IP707" s="141" t="s">
        <v>2155</v>
      </c>
      <c r="IQ707" s="141" t="s">
        <v>273</v>
      </c>
      <c r="IR707" s="141" t="s">
        <v>836</v>
      </c>
      <c r="IT707" s="141">
        <v>2011</v>
      </c>
      <c r="IV707" s="141" t="s">
        <v>29</v>
      </c>
      <c r="JK707" s="141" t="s">
        <v>2154</v>
      </c>
      <c r="JM707" s="141" t="s">
        <v>14</v>
      </c>
      <c r="JQ707" s="141" t="s">
        <v>13</v>
      </c>
      <c r="JR707" s="141">
        <v>131</v>
      </c>
      <c r="JS707" s="141">
        <v>59</v>
      </c>
      <c r="KF707" s="141" t="s">
        <v>2153</v>
      </c>
      <c r="KG707" s="141" t="s">
        <v>12</v>
      </c>
      <c r="KH707" s="141" t="s">
        <v>29</v>
      </c>
      <c r="KI707" s="141" t="s">
        <v>29</v>
      </c>
      <c r="KK707" s="141" t="s">
        <v>2152</v>
      </c>
      <c r="MZ707" s="141" t="s">
        <v>2151</v>
      </c>
      <c r="NA707" s="141">
        <v>2500</v>
      </c>
      <c r="NJ707" s="141" t="s">
        <v>2210</v>
      </c>
      <c r="NK707" s="141" t="s">
        <v>2216</v>
      </c>
      <c r="NL707" s="141" t="s">
        <v>2208</v>
      </c>
      <c r="NM707" s="141" t="s">
        <v>671</v>
      </c>
      <c r="NN707" s="141" t="s">
        <v>265</v>
      </c>
      <c r="NW707" s="141" t="s">
        <v>6</v>
      </c>
      <c r="NX707" s="141">
        <v>263.73</v>
      </c>
      <c r="NY707" s="141" t="s">
        <v>234</v>
      </c>
      <c r="NZ707" s="141" t="s">
        <v>234</v>
      </c>
      <c r="OC707" s="141">
        <v>4</v>
      </c>
      <c r="OT707" s="141" t="s">
        <v>2189</v>
      </c>
      <c r="OU707" s="141" t="s">
        <v>2188</v>
      </c>
      <c r="OW707" s="141">
        <v>2011</v>
      </c>
      <c r="OX707" s="141">
        <v>2014</v>
      </c>
      <c r="PA707" s="141" t="s">
        <v>1169</v>
      </c>
      <c r="PB707" s="142">
        <v>46134</v>
      </c>
    </row>
    <row r="708" spans="1:418" s="141" customFormat="1">
      <c r="A708" s="87" t="s">
        <v>248</v>
      </c>
      <c r="B708" s="141" t="s">
        <v>2165</v>
      </c>
      <c r="C708" s="141" t="s">
        <v>2164</v>
      </c>
      <c r="D708" s="141" t="s">
        <v>245</v>
      </c>
      <c r="E708" s="141" t="s">
        <v>2182</v>
      </c>
      <c r="F708" s="141" t="s">
        <v>243</v>
      </c>
      <c r="G708" s="141" t="s">
        <v>2</v>
      </c>
      <c r="H708" s="141" t="s">
        <v>30</v>
      </c>
      <c r="I708" s="141">
        <v>-13.06</v>
      </c>
      <c r="J708" s="141">
        <v>34.299999999999997</v>
      </c>
      <c r="K708" s="141" t="s">
        <v>29</v>
      </c>
      <c r="AV708" s="141" t="s">
        <v>2162</v>
      </c>
      <c r="AW708" s="141">
        <v>1300</v>
      </c>
      <c r="AX708" s="141">
        <v>3900</v>
      </c>
      <c r="AY708" s="141">
        <v>3</v>
      </c>
      <c r="AZ708" s="141" t="s">
        <v>2161</v>
      </c>
      <c r="BA708" s="141">
        <v>2011</v>
      </c>
      <c r="BB708" s="141">
        <v>2014</v>
      </c>
      <c r="BD708" s="141" t="s">
        <v>19</v>
      </c>
      <c r="BE708" s="141" t="s">
        <v>2176</v>
      </c>
      <c r="BF708" s="141" t="s">
        <v>39</v>
      </c>
      <c r="BG708" s="141" t="s">
        <v>1233</v>
      </c>
      <c r="BH708" s="141" t="s">
        <v>23</v>
      </c>
      <c r="BI708" s="141" t="s">
        <v>2157</v>
      </c>
      <c r="BJ708" s="141" t="s">
        <v>22</v>
      </c>
      <c r="BK708" s="141">
        <v>53333</v>
      </c>
      <c r="EJ708" s="145"/>
      <c r="EK708" s="145"/>
      <c r="EL708" s="145"/>
      <c r="EM708" s="145"/>
      <c r="EN708" s="145"/>
      <c r="EO708" s="145"/>
      <c r="EP708" s="145"/>
      <c r="EQ708" s="145"/>
      <c r="ER708" s="145"/>
      <c r="ES708" s="145"/>
      <c r="ET708" s="145"/>
      <c r="EU708" s="145"/>
      <c r="EV708" s="145"/>
      <c r="EW708" s="145"/>
      <c r="EX708" s="145"/>
      <c r="EY708" s="145"/>
      <c r="EZ708" s="145"/>
      <c r="FA708" s="145"/>
      <c r="FB708" s="145"/>
      <c r="FC708" s="145"/>
      <c r="FD708" s="145"/>
      <c r="FE708" s="145"/>
      <c r="FF708" s="145"/>
      <c r="FG708" s="145"/>
      <c r="FH708" s="145"/>
      <c r="FI708" s="145"/>
      <c r="FJ708" s="145"/>
      <c r="FK708" s="145"/>
      <c r="FL708" s="145"/>
      <c r="FM708" s="145"/>
      <c r="FN708" s="145"/>
      <c r="FO708" s="145"/>
      <c r="FP708" s="145"/>
      <c r="FQ708" s="145"/>
      <c r="FR708" s="145"/>
      <c r="FS708" s="145"/>
      <c r="FT708" s="145"/>
      <c r="FU708" s="145"/>
      <c r="FV708" s="145"/>
      <c r="FW708" s="145"/>
      <c r="FX708" s="145"/>
      <c r="FY708" s="145"/>
      <c r="FZ708" s="145"/>
      <c r="GA708" s="145"/>
      <c r="GB708" s="145"/>
      <c r="GC708" s="145"/>
      <c r="GD708" s="145"/>
      <c r="GE708" s="145"/>
      <c r="GF708" s="145"/>
      <c r="GG708" s="145"/>
      <c r="GH708" s="145"/>
      <c r="GI708" s="145"/>
      <c r="GJ708" s="145"/>
      <c r="GK708" s="145"/>
      <c r="GL708" s="145"/>
      <c r="GM708" s="145"/>
      <c r="GN708" s="145"/>
      <c r="GO708" s="145"/>
      <c r="GP708" s="145"/>
      <c r="GQ708" s="145"/>
      <c r="GR708" s="145"/>
      <c r="GS708" s="145"/>
      <c r="GT708" s="145"/>
      <c r="GU708" s="145"/>
      <c r="GV708" s="145"/>
      <c r="GW708" s="145"/>
      <c r="GX708" s="145"/>
      <c r="GY708" s="145"/>
      <c r="GZ708" s="145"/>
      <c r="HA708" s="145"/>
      <c r="HB708" s="145"/>
      <c r="HC708" s="145"/>
      <c r="HD708" s="145"/>
      <c r="HE708" s="145"/>
      <c r="HF708" s="145"/>
      <c r="HG708" s="145"/>
      <c r="HH708" s="145"/>
      <c r="HI708" s="145"/>
      <c r="HJ708" s="145"/>
      <c r="HK708" s="145"/>
      <c r="HL708" s="145" t="s">
        <v>2171</v>
      </c>
      <c r="HM708" s="145" t="s">
        <v>232</v>
      </c>
      <c r="HU708" s="142"/>
      <c r="HV708" s="142"/>
      <c r="HZ708" s="142"/>
      <c r="IP708" s="141" t="s">
        <v>2176</v>
      </c>
      <c r="IQ708" s="141" t="s">
        <v>19</v>
      </c>
      <c r="IT708" s="141">
        <v>2011</v>
      </c>
      <c r="JK708" s="141" t="s">
        <v>2154</v>
      </c>
      <c r="JM708" s="141" t="s">
        <v>14</v>
      </c>
      <c r="JQ708" s="141" t="s">
        <v>13</v>
      </c>
      <c r="JR708" s="141">
        <v>309</v>
      </c>
      <c r="JS708" s="141">
        <v>93</v>
      </c>
      <c r="KF708" s="141" t="s">
        <v>2153</v>
      </c>
      <c r="KG708" s="141" t="s">
        <v>12</v>
      </c>
      <c r="KH708" s="141" t="s">
        <v>29</v>
      </c>
      <c r="KI708" s="141" t="s">
        <v>29</v>
      </c>
      <c r="KK708" s="141" t="s">
        <v>222</v>
      </c>
      <c r="KL708" s="141" t="s">
        <v>2168</v>
      </c>
      <c r="KM708" s="141" t="s">
        <v>220</v>
      </c>
      <c r="KN708" s="141">
        <v>7.5</v>
      </c>
      <c r="KO708" s="141" t="s">
        <v>222</v>
      </c>
      <c r="KP708" s="141" t="s">
        <v>2167</v>
      </c>
      <c r="KQ708" s="141" t="s">
        <v>220</v>
      </c>
      <c r="KR708" s="141">
        <v>2</v>
      </c>
      <c r="MZ708" s="141" t="s">
        <v>2151</v>
      </c>
      <c r="NA708" s="141">
        <v>1300</v>
      </c>
      <c r="NJ708" s="141" t="s">
        <v>2196</v>
      </c>
      <c r="NK708" s="141" t="s">
        <v>2215</v>
      </c>
      <c r="NL708" s="141" t="s">
        <v>2212</v>
      </c>
      <c r="NM708" s="141" t="s">
        <v>2214</v>
      </c>
      <c r="NN708" s="141" t="s">
        <v>265</v>
      </c>
      <c r="NV708" s="141" t="s">
        <v>745</v>
      </c>
      <c r="NW708" s="141" t="s">
        <v>6</v>
      </c>
      <c r="NX708" s="141">
        <v>1379.77</v>
      </c>
      <c r="NY708" s="141" t="s">
        <v>234</v>
      </c>
      <c r="NZ708" s="141" t="s">
        <v>234</v>
      </c>
      <c r="OC708" s="141">
        <v>4</v>
      </c>
      <c r="OT708" s="141" t="s">
        <v>2199</v>
      </c>
      <c r="OU708" s="141" t="s">
        <v>2188</v>
      </c>
      <c r="OW708" s="141">
        <v>2011</v>
      </c>
      <c r="OX708" s="141">
        <v>2014</v>
      </c>
      <c r="PA708" s="141" t="s">
        <v>1169</v>
      </c>
      <c r="PB708" s="142">
        <v>46134</v>
      </c>
    </row>
    <row r="709" spans="1:418" s="141" customFormat="1">
      <c r="A709" t="s">
        <v>248</v>
      </c>
      <c r="B709" s="141" t="s">
        <v>2165</v>
      </c>
      <c r="C709" s="141" t="s">
        <v>2164</v>
      </c>
      <c r="D709" s="141" t="s">
        <v>245</v>
      </c>
      <c r="E709" s="141" t="s">
        <v>2182</v>
      </c>
      <c r="F709" s="141" t="s">
        <v>243</v>
      </c>
      <c r="G709" s="141" t="s">
        <v>2</v>
      </c>
      <c r="H709" s="141" t="s">
        <v>30</v>
      </c>
      <c r="I709" s="141">
        <v>-13.06</v>
      </c>
      <c r="J709" s="141">
        <v>34.299999999999997</v>
      </c>
      <c r="K709" s="141" t="s">
        <v>29</v>
      </c>
      <c r="AV709" s="141" t="s">
        <v>2162</v>
      </c>
      <c r="AW709" s="141">
        <v>1300</v>
      </c>
      <c r="AX709" s="141">
        <v>3900</v>
      </c>
      <c r="AY709" s="141">
        <v>3</v>
      </c>
      <c r="AZ709" s="141" t="s">
        <v>2161</v>
      </c>
      <c r="BA709" s="141">
        <v>2011</v>
      </c>
      <c r="BB709" s="141">
        <v>2014</v>
      </c>
      <c r="BD709" s="141" t="s">
        <v>274</v>
      </c>
      <c r="BE709" s="141" t="s">
        <v>2186</v>
      </c>
      <c r="BF709" s="141" t="s">
        <v>64</v>
      </c>
      <c r="BG709" s="141" t="s">
        <v>1233</v>
      </c>
      <c r="BH709" s="141" t="s">
        <v>2005</v>
      </c>
      <c r="BI709" s="141" t="s">
        <v>2181</v>
      </c>
      <c r="BJ709" s="141" t="s">
        <v>22</v>
      </c>
      <c r="BK709" s="141">
        <v>12300</v>
      </c>
      <c r="BL709" s="141" t="s">
        <v>56</v>
      </c>
      <c r="BM709" s="141" t="s">
        <v>2173</v>
      </c>
      <c r="BN709" s="141" t="s">
        <v>2172</v>
      </c>
      <c r="BO709" s="141" t="s">
        <v>22</v>
      </c>
      <c r="BP709" s="141">
        <v>24700</v>
      </c>
      <c r="BQ709" s="141" t="s">
        <v>275</v>
      </c>
      <c r="BR709" s="141" t="s">
        <v>250</v>
      </c>
      <c r="BS709" s="141" t="s">
        <v>2187</v>
      </c>
      <c r="BT709" s="141" t="s">
        <v>22</v>
      </c>
      <c r="BU709" s="141">
        <v>355556</v>
      </c>
      <c r="BV709" s="141" t="s">
        <v>56</v>
      </c>
      <c r="BW709" s="141" t="s">
        <v>2173</v>
      </c>
      <c r="BX709" s="141" t="s">
        <v>2172</v>
      </c>
      <c r="BY709" s="141" t="s">
        <v>22</v>
      </c>
      <c r="BZ709" s="141">
        <v>24700</v>
      </c>
      <c r="CA709" s="141" t="s">
        <v>275</v>
      </c>
      <c r="CB709" s="141" t="s">
        <v>23</v>
      </c>
      <c r="CC709" s="141" t="s">
        <v>2157</v>
      </c>
      <c r="CD709" s="141" t="s">
        <v>22</v>
      </c>
      <c r="CE709" s="141">
        <v>53333</v>
      </c>
      <c r="EJ709" s="145"/>
      <c r="EK709" s="145"/>
      <c r="EL709" s="145"/>
      <c r="EM709" s="145"/>
      <c r="EN709" s="145"/>
      <c r="EO709" s="145"/>
      <c r="EP709" s="145"/>
      <c r="EQ709" s="145"/>
      <c r="ER709" s="145"/>
      <c r="ES709" s="145"/>
      <c r="ET709" s="145"/>
      <c r="EU709" s="145"/>
      <c r="EV709" s="145"/>
      <c r="EW709" s="145"/>
      <c r="EX709" s="145"/>
      <c r="EY709" s="145"/>
      <c r="EZ709" s="145"/>
      <c r="FA709" s="145"/>
      <c r="FB709" s="145"/>
      <c r="FC709" s="145"/>
      <c r="FD709" s="145"/>
      <c r="FE709" s="145"/>
      <c r="FF709" s="145"/>
      <c r="FG709" s="145"/>
      <c r="FH709" s="145"/>
      <c r="FI709" s="145"/>
      <c r="FJ709" s="145"/>
      <c r="FK709" s="145"/>
      <c r="FL709" s="145"/>
      <c r="FM709" s="145"/>
      <c r="FN709" s="145"/>
      <c r="FO709" s="145"/>
      <c r="FP709" s="145"/>
      <c r="FQ709" s="145"/>
      <c r="FR709" s="145"/>
      <c r="FS709" s="145"/>
      <c r="FT709" s="145"/>
      <c r="FU709" s="145"/>
      <c r="FV709" s="145"/>
      <c r="FW709" s="145"/>
      <c r="FX709" s="145"/>
      <c r="FY709" s="145"/>
      <c r="FZ709" s="145"/>
      <c r="GA709" s="145"/>
      <c r="GB709" s="145"/>
      <c r="GC709" s="145"/>
      <c r="GD709" s="145"/>
      <c r="GE709" s="145"/>
      <c r="GF709" s="145"/>
      <c r="GG709" s="145"/>
      <c r="GH709" s="145"/>
      <c r="GI709" s="145"/>
      <c r="GJ709" s="145"/>
      <c r="GK709" s="145"/>
      <c r="GL709" s="145"/>
      <c r="GM709" s="145"/>
      <c r="GN709" s="145"/>
      <c r="GO709" s="145"/>
      <c r="GP709" s="145"/>
      <c r="GQ709" s="145"/>
      <c r="GR709" s="145"/>
      <c r="GS709" s="145"/>
      <c r="GT709" s="145"/>
      <c r="GU709" s="145"/>
      <c r="GV709" s="145"/>
      <c r="GW709" s="145"/>
      <c r="GX709" s="145"/>
      <c r="GY709" s="145"/>
      <c r="GZ709" s="145"/>
      <c r="HA709" s="145"/>
      <c r="HB709" s="145"/>
      <c r="HC709" s="145"/>
      <c r="HD709" s="145"/>
      <c r="HE709" s="145"/>
      <c r="HF709" s="145"/>
      <c r="HG709" s="145"/>
      <c r="HH709" s="145"/>
      <c r="HI709" s="145"/>
      <c r="HJ709" s="145"/>
      <c r="HK709" s="145"/>
      <c r="HL709" s="145" t="s">
        <v>2171</v>
      </c>
      <c r="HM709" s="145" t="s">
        <v>232</v>
      </c>
      <c r="HU709" s="142"/>
      <c r="HV709" s="142"/>
      <c r="HZ709" s="142"/>
      <c r="IP709" s="141" t="s">
        <v>2186</v>
      </c>
      <c r="IQ709" s="141" t="s">
        <v>273</v>
      </c>
      <c r="IR709" s="141" t="s">
        <v>2169</v>
      </c>
      <c r="IT709" s="141">
        <v>2011</v>
      </c>
      <c r="IV709" s="141" t="s">
        <v>29</v>
      </c>
      <c r="JK709" s="141" t="s">
        <v>2154</v>
      </c>
      <c r="JM709" s="141" t="s">
        <v>14</v>
      </c>
      <c r="JQ709" s="141" t="s">
        <v>13</v>
      </c>
      <c r="JR709" s="141">
        <v>103</v>
      </c>
      <c r="JS709" s="141">
        <v>31</v>
      </c>
      <c r="KF709" s="141" t="s">
        <v>2153</v>
      </c>
      <c r="KG709" s="141" t="s">
        <v>12</v>
      </c>
      <c r="KH709" s="141" t="s">
        <v>29</v>
      </c>
      <c r="KI709" s="141" t="s">
        <v>29</v>
      </c>
      <c r="KK709" s="141" t="s">
        <v>222</v>
      </c>
      <c r="KL709" s="141" t="s">
        <v>2168</v>
      </c>
      <c r="KM709" s="141" t="s">
        <v>220</v>
      </c>
      <c r="KN709" s="141">
        <v>7.5</v>
      </c>
      <c r="KO709" s="141" t="s">
        <v>222</v>
      </c>
      <c r="KP709" s="141" t="s">
        <v>2167</v>
      </c>
      <c r="KQ709" s="141" t="s">
        <v>220</v>
      </c>
      <c r="KR709" s="141">
        <v>1</v>
      </c>
      <c r="KS709" s="141" t="s">
        <v>219</v>
      </c>
      <c r="KT709" s="141" t="s">
        <v>2185</v>
      </c>
      <c r="KU709" s="141" t="s">
        <v>2184</v>
      </c>
      <c r="KV709" s="141">
        <v>100</v>
      </c>
      <c r="MZ709" s="141" t="s">
        <v>2151</v>
      </c>
      <c r="NA709" s="141">
        <v>1300</v>
      </c>
      <c r="NJ709" s="141" t="s">
        <v>2203</v>
      </c>
      <c r="NK709" s="141" t="s">
        <v>2215</v>
      </c>
      <c r="NL709" s="141" t="s">
        <v>2212</v>
      </c>
      <c r="NM709" s="141" t="s">
        <v>2214</v>
      </c>
      <c r="NN709" s="141" t="s">
        <v>265</v>
      </c>
      <c r="NW709" s="141" t="s">
        <v>6</v>
      </c>
      <c r="NX709" s="141">
        <v>1054.49</v>
      </c>
      <c r="NY709" s="141" t="s">
        <v>234</v>
      </c>
      <c r="NZ709" s="141" t="s">
        <v>234</v>
      </c>
      <c r="OC709" s="141">
        <v>4</v>
      </c>
      <c r="OT709" s="141" t="s">
        <v>2199</v>
      </c>
      <c r="OU709" s="141" t="s">
        <v>2188</v>
      </c>
      <c r="OW709" s="141">
        <v>2011</v>
      </c>
      <c r="OX709" s="141">
        <v>2014</v>
      </c>
      <c r="PA709" s="141" t="s">
        <v>1169</v>
      </c>
      <c r="PB709" s="142">
        <v>46134</v>
      </c>
    </row>
    <row r="710" spans="1:418" s="141" customFormat="1">
      <c r="A710" t="s">
        <v>248</v>
      </c>
      <c r="B710" s="141" t="s">
        <v>2165</v>
      </c>
      <c r="C710" s="141" t="s">
        <v>2164</v>
      </c>
      <c r="D710" s="141" t="s">
        <v>245</v>
      </c>
      <c r="E710" s="141" t="s">
        <v>2182</v>
      </c>
      <c r="F710" s="141" t="s">
        <v>243</v>
      </c>
      <c r="G710" s="141" t="s">
        <v>2</v>
      </c>
      <c r="H710" s="141" t="s">
        <v>30</v>
      </c>
      <c r="I710" s="141">
        <v>-13.06</v>
      </c>
      <c r="J710" s="141">
        <v>34.299999999999997</v>
      </c>
      <c r="K710" s="141" t="s">
        <v>29</v>
      </c>
      <c r="AV710" s="141" t="s">
        <v>2162</v>
      </c>
      <c r="AW710" s="141">
        <v>1300</v>
      </c>
      <c r="AX710" s="141">
        <v>3900</v>
      </c>
      <c r="AY710" s="141">
        <v>3</v>
      </c>
      <c r="AZ710" s="141" t="s">
        <v>2161</v>
      </c>
      <c r="BA710" s="141">
        <v>2011</v>
      </c>
      <c r="BB710" s="141">
        <v>2014</v>
      </c>
      <c r="BD710" s="141" t="s">
        <v>274</v>
      </c>
      <c r="BE710" s="141" t="s">
        <v>2179</v>
      </c>
      <c r="BF710" s="141" t="s">
        <v>57</v>
      </c>
      <c r="BG710" s="141" t="s">
        <v>1233</v>
      </c>
      <c r="BH710" s="141" t="s">
        <v>2005</v>
      </c>
      <c r="BI710" s="141" t="s">
        <v>2181</v>
      </c>
      <c r="BJ710" s="141" t="s">
        <v>22</v>
      </c>
      <c r="BK710" s="141">
        <v>12300</v>
      </c>
      <c r="BL710" s="141" t="s">
        <v>275</v>
      </c>
      <c r="BM710" s="141" t="s">
        <v>271</v>
      </c>
      <c r="BN710" s="141" t="s">
        <v>2180</v>
      </c>
      <c r="BO710" s="141" t="s">
        <v>22</v>
      </c>
      <c r="BP710" s="141">
        <v>266667</v>
      </c>
      <c r="BQ710" s="141" t="s">
        <v>275</v>
      </c>
      <c r="BR710" s="141" t="s">
        <v>23</v>
      </c>
      <c r="BS710" s="141" t="s">
        <v>2157</v>
      </c>
      <c r="BT710" s="141" t="s">
        <v>22</v>
      </c>
      <c r="BU710" s="141">
        <v>53333</v>
      </c>
      <c r="EJ710" s="145"/>
      <c r="EK710" s="145"/>
      <c r="EL710" s="145"/>
      <c r="EM710" s="145"/>
      <c r="EN710" s="145"/>
      <c r="EO710" s="145"/>
      <c r="EP710" s="145"/>
      <c r="EQ710" s="145"/>
      <c r="ER710" s="145"/>
      <c r="ES710" s="145"/>
      <c r="ET710" s="145"/>
      <c r="EU710" s="145"/>
      <c r="EV710" s="145"/>
      <c r="EW710" s="145"/>
      <c r="EX710" s="145"/>
      <c r="EY710" s="145"/>
      <c r="EZ710" s="145"/>
      <c r="FA710" s="145"/>
      <c r="FB710" s="145"/>
      <c r="FC710" s="145"/>
      <c r="FD710" s="145"/>
      <c r="FE710" s="145"/>
      <c r="FF710" s="145"/>
      <c r="FG710" s="145"/>
      <c r="FH710" s="145"/>
      <c r="FI710" s="145"/>
      <c r="FJ710" s="145"/>
      <c r="FK710" s="145"/>
      <c r="FL710" s="145"/>
      <c r="FM710" s="145"/>
      <c r="FN710" s="145"/>
      <c r="FO710" s="145"/>
      <c r="FP710" s="145"/>
      <c r="FQ710" s="145"/>
      <c r="FR710" s="145"/>
      <c r="FS710" s="145"/>
      <c r="FT710" s="145"/>
      <c r="FU710" s="145"/>
      <c r="FV710" s="145"/>
      <c r="FW710" s="145"/>
      <c r="FX710" s="145"/>
      <c r="FY710" s="145"/>
      <c r="FZ710" s="145"/>
      <c r="GA710" s="145"/>
      <c r="GB710" s="145"/>
      <c r="GC710" s="145"/>
      <c r="GD710" s="145"/>
      <c r="GE710" s="145"/>
      <c r="GF710" s="145"/>
      <c r="GG710" s="145"/>
      <c r="GH710" s="145"/>
      <c r="GI710" s="145"/>
      <c r="GJ710" s="145"/>
      <c r="GK710" s="145"/>
      <c r="GL710" s="145"/>
      <c r="GM710" s="145"/>
      <c r="GN710" s="145"/>
      <c r="GO710" s="145"/>
      <c r="GP710" s="145"/>
      <c r="GQ710" s="145"/>
      <c r="GR710" s="145"/>
      <c r="GS710" s="145"/>
      <c r="GT710" s="145"/>
      <c r="GU710" s="145"/>
      <c r="GV710" s="145"/>
      <c r="GW710" s="145"/>
      <c r="GX710" s="145"/>
      <c r="GY710" s="145"/>
      <c r="GZ710" s="145"/>
      <c r="HA710" s="145"/>
      <c r="HB710" s="145"/>
      <c r="HC710" s="145"/>
      <c r="HD710" s="145"/>
      <c r="HE710" s="145"/>
      <c r="HF710" s="145"/>
      <c r="HG710" s="145"/>
      <c r="HH710" s="145"/>
      <c r="HI710" s="145"/>
      <c r="HJ710" s="145"/>
      <c r="HK710" s="145"/>
      <c r="HL710" s="145" t="s">
        <v>2156</v>
      </c>
      <c r="HM710" s="145" t="s">
        <v>297</v>
      </c>
      <c r="HN710" s="141" t="s">
        <v>29</v>
      </c>
      <c r="HO710" s="141" t="s">
        <v>29</v>
      </c>
      <c r="HP710" s="141" t="s">
        <v>29</v>
      </c>
      <c r="HQ710" s="141" t="s">
        <v>29</v>
      </c>
      <c r="HZ710" s="142"/>
      <c r="IP710" s="141" t="s">
        <v>2179</v>
      </c>
      <c r="IQ710" s="141" t="s">
        <v>273</v>
      </c>
      <c r="IT710" s="141">
        <v>2011</v>
      </c>
      <c r="IV710" s="141" t="s">
        <v>29</v>
      </c>
      <c r="JK710" s="141" t="s">
        <v>2154</v>
      </c>
      <c r="JM710" s="141" t="s">
        <v>14</v>
      </c>
      <c r="JQ710" s="141" t="s">
        <v>13</v>
      </c>
      <c r="JR710" s="141">
        <v>124</v>
      </c>
      <c r="JS710" s="141">
        <v>50</v>
      </c>
      <c r="KF710" s="141" t="s">
        <v>2153</v>
      </c>
      <c r="KG710" s="141" t="s">
        <v>12</v>
      </c>
      <c r="KH710" s="141" t="s">
        <v>29</v>
      </c>
      <c r="KI710" s="141" t="s">
        <v>29</v>
      </c>
      <c r="KK710" s="141" t="s">
        <v>2152</v>
      </c>
      <c r="MZ710" s="141" t="s">
        <v>2151</v>
      </c>
      <c r="NA710" s="141">
        <v>1300</v>
      </c>
      <c r="NJ710" s="141" t="s">
        <v>2192</v>
      </c>
      <c r="NK710" s="141" t="s">
        <v>2215</v>
      </c>
      <c r="NL710" s="141" t="s">
        <v>2212</v>
      </c>
      <c r="NM710" s="141" t="s">
        <v>2214</v>
      </c>
      <c r="NN710" s="141" t="s">
        <v>265</v>
      </c>
      <c r="NW710" s="141" t="s">
        <v>6</v>
      </c>
      <c r="NX710" s="141">
        <v>890.16</v>
      </c>
      <c r="NY710" s="141" t="s">
        <v>234</v>
      </c>
      <c r="NZ710" s="141" t="s">
        <v>234</v>
      </c>
      <c r="OC710" s="141">
        <v>4</v>
      </c>
      <c r="OT710" s="141" t="s">
        <v>2199</v>
      </c>
      <c r="OU710" s="141" t="s">
        <v>2188</v>
      </c>
      <c r="OW710" s="141">
        <v>2011</v>
      </c>
      <c r="OX710" s="141">
        <v>2014</v>
      </c>
      <c r="PA710" s="141" t="s">
        <v>1169</v>
      </c>
      <c r="PB710" s="142">
        <v>46134</v>
      </c>
    </row>
    <row r="711" spans="1:418" s="141" customFormat="1">
      <c r="A711" s="87" t="s">
        <v>248</v>
      </c>
      <c r="B711" s="141" t="s">
        <v>2165</v>
      </c>
      <c r="C711" s="141" t="s">
        <v>2164</v>
      </c>
      <c r="D711" s="141" t="s">
        <v>245</v>
      </c>
      <c r="E711" s="141" t="s">
        <v>2163</v>
      </c>
      <c r="F711" s="141" t="s">
        <v>243</v>
      </c>
      <c r="G711" s="141" t="s">
        <v>2</v>
      </c>
      <c r="H711" s="141" t="s">
        <v>30</v>
      </c>
      <c r="I711" s="141">
        <v>-13.47</v>
      </c>
      <c r="J711" s="141">
        <v>33.71</v>
      </c>
      <c r="K711" s="141" t="s">
        <v>29</v>
      </c>
      <c r="AV711" s="141" t="s">
        <v>2162</v>
      </c>
      <c r="AW711" s="141">
        <v>2500</v>
      </c>
      <c r="AX711" s="141">
        <v>7500</v>
      </c>
      <c r="AY711" s="141">
        <v>3</v>
      </c>
      <c r="AZ711" s="141" t="s">
        <v>2161</v>
      </c>
      <c r="BA711" s="141">
        <v>2011</v>
      </c>
      <c r="BB711" s="141">
        <v>2014</v>
      </c>
      <c r="BD711" s="141" t="s">
        <v>19</v>
      </c>
      <c r="BE711" s="141" t="s">
        <v>2176</v>
      </c>
      <c r="BF711" s="141" t="s">
        <v>24</v>
      </c>
      <c r="BG711" s="141" t="s">
        <v>1233</v>
      </c>
      <c r="BH711" s="141" t="s">
        <v>23</v>
      </c>
      <c r="BI711" s="141" t="s">
        <v>2157</v>
      </c>
      <c r="BJ711" s="141" t="s">
        <v>22</v>
      </c>
      <c r="BK711" s="141">
        <v>53333</v>
      </c>
      <c r="EJ711" s="145"/>
      <c r="EK711" s="145"/>
      <c r="EL711" s="145"/>
      <c r="EM711" s="145"/>
      <c r="EN711" s="145"/>
      <c r="EO711" s="145"/>
      <c r="EP711" s="145"/>
      <c r="EQ711" s="145"/>
      <c r="ER711" s="145"/>
      <c r="ES711" s="145"/>
      <c r="ET711" s="145"/>
      <c r="EU711" s="145"/>
      <c r="EV711" s="145"/>
      <c r="EW711" s="145"/>
      <c r="EX711" s="145"/>
      <c r="EY711" s="145"/>
      <c r="EZ711" s="145"/>
      <c r="FA711" s="145"/>
      <c r="FB711" s="145"/>
      <c r="FC711" s="145"/>
      <c r="FD711" s="145"/>
      <c r="FE711" s="145"/>
      <c r="FF711" s="145"/>
      <c r="FG711" s="145"/>
      <c r="FH711" s="145"/>
      <c r="FI711" s="145"/>
      <c r="FJ711" s="145"/>
      <c r="FK711" s="145"/>
      <c r="FL711" s="145"/>
      <c r="FM711" s="145"/>
      <c r="FN711" s="145"/>
      <c r="FO711" s="145"/>
      <c r="FP711" s="145"/>
      <c r="FQ711" s="145"/>
      <c r="FR711" s="145"/>
      <c r="FS711" s="145"/>
      <c r="FT711" s="145"/>
      <c r="FU711" s="145"/>
      <c r="FV711" s="145"/>
      <c r="FW711" s="145"/>
      <c r="FX711" s="145"/>
      <c r="FY711" s="145"/>
      <c r="FZ711" s="145"/>
      <c r="GA711" s="145"/>
      <c r="GB711" s="145"/>
      <c r="GC711" s="145"/>
      <c r="GD711" s="145"/>
      <c r="GE711" s="145"/>
      <c r="GF711" s="145"/>
      <c r="GG711" s="145"/>
      <c r="GH711" s="145"/>
      <c r="GI711" s="145"/>
      <c r="GJ711" s="145"/>
      <c r="GK711" s="145"/>
      <c r="GL711" s="145"/>
      <c r="GM711" s="145"/>
      <c r="GN711" s="145"/>
      <c r="GO711" s="145"/>
      <c r="GP711" s="145"/>
      <c r="GQ711" s="145"/>
      <c r="GR711" s="145"/>
      <c r="GS711" s="145"/>
      <c r="GT711" s="145"/>
      <c r="GU711" s="145"/>
      <c r="GV711" s="145"/>
      <c r="GW711" s="145"/>
      <c r="GX711" s="145"/>
      <c r="GY711" s="145"/>
      <c r="GZ711" s="145"/>
      <c r="HA711" s="145"/>
      <c r="HB711" s="145"/>
      <c r="HC711" s="145"/>
      <c r="HD711" s="145"/>
      <c r="HE711" s="145"/>
      <c r="HF711" s="145"/>
      <c r="HG711" s="145"/>
      <c r="HH711" s="145"/>
      <c r="HI711" s="145"/>
      <c r="HJ711" s="145"/>
      <c r="HK711" s="145"/>
      <c r="HL711" s="145" t="s">
        <v>2171</v>
      </c>
      <c r="HM711" s="145" t="s">
        <v>232</v>
      </c>
      <c r="HZ711" s="142"/>
      <c r="IP711" s="141" t="s">
        <v>2176</v>
      </c>
      <c r="IQ711" s="141" t="s">
        <v>19</v>
      </c>
      <c r="IT711" s="141">
        <v>2011</v>
      </c>
      <c r="JK711" s="141" t="s">
        <v>2154</v>
      </c>
      <c r="JM711" s="141" t="s">
        <v>14</v>
      </c>
      <c r="JQ711" s="141" t="s">
        <v>13</v>
      </c>
      <c r="JR711" s="141">
        <v>309</v>
      </c>
      <c r="JS711" s="141">
        <v>93</v>
      </c>
      <c r="KF711" s="141" t="s">
        <v>2153</v>
      </c>
      <c r="KG711" s="141" t="s">
        <v>12</v>
      </c>
      <c r="KH711" s="141" t="s">
        <v>29</v>
      </c>
      <c r="KI711" s="141" t="s">
        <v>29</v>
      </c>
      <c r="KK711" s="141" t="s">
        <v>222</v>
      </c>
      <c r="KL711" s="141" t="s">
        <v>2168</v>
      </c>
      <c r="KM711" s="141" t="s">
        <v>220</v>
      </c>
      <c r="KN711" s="141">
        <v>7.5</v>
      </c>
      <c r="KO711" s="141" t="s">
        <v>222</v>
      </c>
      <c r="KP711" s="141" t="s">
        <v>2167</v>
      </c>
      <c r="KQ711" s="141" t="s">
        <v>220</v>
      </c>
      <c r="KR711" s="141">
        <v>2</v>
      </c>
      <c r="MZ711" s="141" t="s">
        <v>2151</v>
      </c>
      <c r="NA711" s="141">
        <v>2500</v>
      </c>
      <c r="NJ711" s="141" t="s">
        <v>2196</v>
      </c>
      <c r="NK711" s="141" t="s">
        <v>2215</v>
      </c>
      <c r="NL711" s="141" t="s">
        <v>2212</v>
      </c>
      <c r="NM711" s="141" t="s">
        <v>2214</v>
      </c>
      <c r="NN711" s="141" t="s">
        <v>265</v>
      </c>
      <c r="NV711" s="141" t="s">
        <v>2174</v>
      </c>
      <c r="NW711" s="141" t="s">
        <v>6</v>
      </c>
      <c r="NX711" s="141">
        <v>1212.73</v>
      </c>
      <c r="NY711" s="141" t="s">
        <v>234</v>
      </c>
      <c r="NZ711" s="141" t="s">
        <v>234</v>
      </c>
      <c r="OC711" s="141">
        <v>4</v>
      </c>
      <c r="OT711" s="141" t="s">
        <v>2189</v>
      </c>
      <c r="OU711" s="141" t="s">
        <v>2188</v>
      </c>
      <c r="OW711" s="141">
        <v>2011</v>
      </c>
      <c r="OX711" s="141">
        <v>2014</v>
      </c>
      <c r="PA711" s="141" t="s">
        <v>1169</v>
      </c>
      <c r="PB711" s="142">
        <v>46134</v>
      </c>
    </row>
    <row r="712" spans="1:418" s="141" customFormat="1">
      <c r="A712" t="s">
        <v>248</v>
      </c>
      <c r="B712" s="141" t="s">
        <v>2165</v>
      </c>
      <c r="C712" s="141" t="s">
        <v>2164</v>
      </c>
      <c r="D712" s="141" t="s">
        <v>245</v>
      </c>
      <c r="E712" s="141" t="s">
        <v>2163</v>
      </c>
      <c r="F712" s="141" t="s">
        <v>243</v>
      </c>
      <c r="G712" s="141" t="s">
        <v>2</v>
      </c>
      <c r="H712" s="141" t="s">
        <v>30</v>
      </c>
      <c r="I712" s="141">
        <v>-13.47</v>
      </c>
      <c r="J712" s="141">
        <v>33.71</v>
      </c>
      <c r="K712" s="141" t="s">
        <v>29</v>
      </c>
      <c r="AV712" s="141" t="s">
        <v>2162</v>
      </c>
      <c r="AW712" s="141">
        <v>2500</v>
      </c>
      <c r="AX712" s="141">
        <v>7500</v>
      </c>
      <c r="AY712" s="141">
        <v>3</v>
      </c>
      <c r="AZ712" s="141" t="s">
        <v>2161</v>
      </c>
      <c r="BA712" s="141">
        <v>2011</v>
      </c>
      <c r="BB712" s="141">
        <v>2014</v>
      </c>
      <c r="BD712" s="141" t="s">
        <v>274</v>
      </c>
      <c r="BE712" s="141" t="s">
        <v>2170</v>
      </c>
      <c r="BF712" s="141" t="s">
        <v>48</v>
      </c>
      <c r="BG712" s="141" t="s">
        <v>1233</v>
      </c>
      <c r="BH712" s="141" t="s">
        <v>2160</v>
      </c>
      <c r="BI712" s="141" t="s">
        <v>2159</v>
      </c>
      <c r="BJ712" s="141" t="s">
        <v>22</v>
      </c>
      <c r="BK712" s="141">
        <v>3700</v>
      </c>
      <c r="BL712" s="141" t="s">
        <v>56</v>
      </c>
      <c r="BM712" s="141" t="s">
        <v>2173</v>
      </c>
      <c r="BN712" s="141" t="s">
        <v>2172</v>
      </c>
      <c r="BO712" s="141" t="s">
        <v>22</v>
      </c>
      <c r="BP712" s="141">
        <v>18500</v>
      </c>
      <c r="BQ712" s="141" t="s">
        <v>275</v>
      </c>
      <c r="BR712" s="141" t="s">
        <v>1659</v>
      </c>
      <c r="BS712" s="141" t="s">
        <v>2158</v>
      </c>
      <c r="BT712" s="141" t="s">
        <v>22</v>
      </c>
      <c r="BU712" s="141">
        <v>222200</v>
      </c>
      <c r="BV712" s="141" t="s">
        <v>275</v>
      </c>
      <c r="BW712" s="141" t="s">
        <v>23</v>
      </c>
      <c r="BX712" s="141" t="s">
        <v>2157</v>
      </c>
      <c r="BY712" s="141" t="s">
        <v>22</v>
      </c>
      <c r="BZ712" s="141">
        <v>53333</v>
      </c>
      <c r="EJ712" s="145"/>
      <c r="EK712" s="145"/>
      <c r="EL712" s="145"/>
      <c r="EM712" s="145"/>
      <c r="EN712" s="145"/>
      <c r="EO712" s="145"/>
      <c r="EP712" s="145"/>
      <c r="EQ712" s="145"/>
      <c r="ER712" s="145"/>
      <c r="ES712" s="145"/>
      <c r="ET712" s="145"/>
      <c r="EU712" s="145"/>
      <c r="EV712" s="145"/>
      <c r="EW712" s="145"/>
      <c r="EX712" s="145"/>
      <c r="EY712" s="145"/>
      <c r="EZ712" s="145"/>
      <c r="FA712" s="145"/>
      <c r="FB712" s="145"/>
      <c r="FC712" s="145"/>
      <c r="FD712" s="145"/>
      <c r="FE712" s="145"/>
      <c r="FF712" s="145"/>
      <c r="FG712" s="145"/>
      <c r="FH712" s="145"/>
      <c r="FI712" s="145"/>
      <c r="FJ712" s="145"/>
      <c r="FK712" s="145"/>
      <c r="FL712" s="145"/>
      <c r="FM712" s="145"/>
      <c r="FN712" s="145"/>
      <c r="FO712" s="145"/>
      <c r="FP712" s="145"/>
      <c r="FQ712" s="145"/>
      <c r="FR712" s="145"/>
      <c r="FS712" s="145"/>
      <c r="FT712" s="145"/>
      <c r="FU712" s="145"/>
      <c r="FV712" s="145"/>
      <c r="FW712" s="145"/>
      <c r="FX712" s="145"/>
      <c r="FY712" s="145"/>
      <c r="FZ712" s="145"/>
      <c r="GA712" s="145"/>
      <c r="GB712" s="145"/>
      <c r="GC712" s="145"/>
      <c r="GD712" s="145"/>
      <c r="GE712" s="145"/>
      <c r="GF712" s="145"/>
      <c r="GG712" s="145"/>
      <c r="GH712" s="145"/>
      <c r="GI712" s="145"/>
      <c r="GJ712" s="145"/>
      <c r="GK712" s="145"/>
      <c r="GL712" s="145"/>
      <c r="GM712" s="145"/>
      <c r="GN712" s="145"/>
      <c r="GO712" s="145"/>
      <c r="GP712" s="145"/>
      <c r="GQ712" s="145"/>
      <c r="GR712" s="145"/>
      <c r="GS712" s="145"/>
      <c r="GT712" s="145"/>
      <c r="GU712" s="145"/>
      <c r="GV712" s="145"/>
      <c r="GW712" s="145"/>
      <c r="GX712" s="145"/>
      <c r="GY712" s="145"/>
      <c r="GZ712" s="145"/>
      <c r="HA712" s="145"/>
      <c r="HB712" s="145"/>
      <c r="HC712" s="145"/>
      <c r="HD712" s="145"/>
      <c r="HE712" s="145"/>
      <c r="HF712" s="145"/>
      <c r="HG712" s="145"/>
      <c r="HH712" s="145"/>
      <c r="HI712" s="145"/>
      <c r="HJ712" s="145"/>
      <c r="HK712" s="145"/>
      <c r="HL712" s="145" t="s">
        <v>2171</v>
      </c>
      <c r="HM712" s="145" t="s">
        <v>232</v>
      </c>
      <c r="HZ712" s="142"/>
      <c r="IP712" s="141" t="s">
        <v>2170</v>
      </c>
      <c r="IQ712" s="141" t="s">
        <v>273</v>
      </c>
      <c r="IR712" s="141" t="s">
        <v>2169</v>
      </c>
      <c r="IT712" s="141">
        <v>2011</v>
      </c>
      <c r="IV712" s="141" t="s">
        <v>29</v>
      </c>
      <c r="JK712" s="141" t="s">
        <v>2154</v>
      </c>
      <c r="JM712" s="141" t="s">
        <v>14</v>
      </c>
      <c r="JQ712" s="141" t="s">
        <v>13</v>
      </c>
      <c r="JR712" s="141">
        <v>131</v>
      </c>
      <c r="JS712" s="141">
        <v>59</v>
      </c>
      <c r="KF712" s="141" t="s">
        <v>2153</v>
      </c>
      <c r="KG712" s="141" t="s">
        <v>12</v>
      </c>
      <c r="KH712" s="141" t="s">
        <v>29</v>
      </c>
      <c r="KI712" s="141" t="s">
        <v>29</v>
      </c>
      <c r="KK712" s="141" t="s">
        <v>222</v>
      </c>
      <c r="KL712" s="141" t="s">
        <v>2168</v>
      </c>
      <c r="KM712" s="141" t="s">
        <v>220</v>
      </c>
      <c r="KN712" s="141">
        <v>7.5</v>
      </c>
      <c r="KO712" s="141" t="s">
        <v>222</v>
      </c>
      <c r="KP712" s="141" t="s">
        <v>2167</v>
      </c>
      <c r="KQ712" s="141" t="s">
        <v>220</v>
      </c>
      <c r="KR712" s="141">
        <v>1</v>
      </c>
      <c r="MZ712" s="141" t="s">
        <v>2151</v>
      </c>
      <c r="NA712" s="141">
        <v>2500</v>
      </c>
      <c r="NJ712" s="141" t="s">
        <v>2196</v>
      </c>
      <c r="NK712" s="141" t="s">
        <v>2215</v>
      </c>
      <c r="NL712" s="141" t="s">
        <v>2212</v>
      </c>
      <c r="NM712" s="141" t="s">
        <v>2214</v>
      </c>
      <c r="NN712" s="141" t="s">
        <v>265</v>
      </c>
      <c r="NW712" s="141" t="s">
        <v>6</v>
      </c>
      <c r="NX712" s="141">
        <v>1191.1099999999999</v>
      </c>
      <c r="NY712" s="141" t="s">
        <v>234</v>
      </c>
      <c r="NZ712" s="141" t="s">
        <v>234</v>
      </c>
      <c r="OC712" s="141">
        <v>4</v>
      </c>
      <c r="OT712" s="141" t="s">
        <v>2189</v>
      </c>
      <c r="OU712" s="141" t="s">
        <v>2188</v>
      </c>
      <c r="OW712" s="141">
        <v>2011</v>
      </c>
      <c r="OX712" s="141">
        <v>2014</v>
      </c>
      <c r="PA712" s="141" t="s">
        <v>1169</v>
      </c>
      <c r="PB712" s="142">
        <v>46134</v>
      </c>
    </row>
    <row r="713" spans="1:418" s="141" customFormat="1">
      <c r="A713" t="s">
        <v>248</v>
      </c>
      <c r="B713" s="141" t="s">
        <v>2165</v>
      </c>
      <c r="C713" s="141" t="s">
        <v>2164</v>
      </c>
      <c r="D713" s="141" t="s">
        <v>245</v>
      </c>
      <c r="E713" s="141" t="s">
        <v>2163</v>
      </c>
      <c r="F713" s="141" t="s">
        <v>243</v>
      </c>
      <c r="G713" s="141" t="s">
        <v>2</v>
      </c>
      <c r="H713" s="141" t="s">
        <v>30</v>
      </c>
      <c r="I713" s="141">
        <v>-13.47</v>
      </c>
      <c r="J713" s="141">
        <v>33.71</v>
      </c>
      <c r="K713" s="141" t="s">
        <v>29</v>
      </c>
      <c r="AV713" s="141" t="s">
        <v>2162</v>
      </c>
      <c r="AW713" s="141">
        <v>2500</v>
      </c>
      <c r="AX713" s="141">
        <v>7500</v>
      </c>
      <c r="AY713" s="141">
        <v>3</v>
      </c>
      <c r="AZ713" s="141" t="s">
        <v>2161</v>
      </c>
      <c r="BA713" s="141">
        <v>2011</v>
      </c>
      <c r="BB713" s="141">
        <v>2014</v>
      </c>
      <c r="BD713" s="141" t="s">
        <v>274</v>
      </c>
      <c r="BE713" s="141" t="s">
        <v>2155</v>
      </c>
      <c r="BF713" s="141" t="s">
        <v>43</v>
      </c>
      <c r="BG713" s="141" t="s">
        <v>1233</v>
      </c>
      <c r="BH713" s="141" t="s">
        <v>2160</v>
      </c>
      <c r="BI713" s="141" t="s">
        <v>2159</v>
      </c>
      <c r="BJ713" s="141" t="s">
        <v>22</v>
      </c>
      <c r="BK713" s="141">
        <v>3700</v>
      </c>
      <c r="BL713" s="141" t="s">
        <v>275</v>
      </c>
      <c r="BM713" s="141" t="s">
        <v>1659</v>
      </c>
      <c r="BN713" s="141" t="s">
        <v>2158</v>
      </c>
      <c r="BO713" s="141" t="s">
        <v>22</v>
      </c>
      <c r="BP713" s="141">
        <v>177800</v>
      </c>
      <c r="BQ713" s="141" t="s">
        <v>275</v>
      </c>
      <c r="BR713" s="141" t="s">
        <v>23</v>
      </c>
      <c r="BS713" s="141" t="s">
        <v>2157</v>
      </c>
      <c r="BT713" s="141" t="s">
        <v>22</v>
      </c>
      <c r="BU713" s="141">
        <v>53333</v>
      </c>
      <c r="EJ713" s="145"/>
      <c r="EK713" s="145"/>
      <c r="EL713" s="145"/>
      <c r="EM713" s="145"/>
      <c r="EN713" s="145"/>
      <c r="EO713" s="145"/>
      <c r="EP713" s="145"/>
      <c r="EQ713" s="145"/>
      <c r="ER713" s="145"/>
      <c r="ES713" s="145"/>
      <c r="ET713" s="145"/>
      <c r="EU713" s="145"/>
      <c r="EV713" s="145"/>
      <c r="EW713" s="145"/>
      <c r="EX713" s="145"/>
      <c r="EY713" s="145"/>
      <c r="EZ713" s="145"/>
      <c r="FA713" s="145"/>
      <c r="FB713" s="145"/>
      <c r="FC713" s="145"/>
      <c r="FD713" s="145"/>
      <c r="FE713" s="145"/>
      <c r="FF713" s="145"/>
      <c r="FG713" s="145"/>
      <c r="FH713" s="145"/>
      <c r="FI713" s="145"/>
      <c r="FJ713" s="145"/>
      <c r="FK713" s="145"/>
      <c r="FL713" s="145"/>
      <c r="FM713" s="145"/>
      <c r="FN713" s="145"/>
      <c r="FO713" s="145"/>
      <c r="FP713" s="145"/>
      <c r="FQ713" s="145"/>
      <c r="FR713" s="145"/>
      <c r="FS713" s="145"/>
      <c r="FT713" s="145"/>
      <c r="FU713" s="145"/>
      <c r="FV713" s="145"/>
      <c r="FW713" s="145"/>
      <c r="FX713" s="145"/>
      <c r="FY713" s="145"/>
      <c r="FZ713" s="145"/>
      <c r="GA713" s="145"/>
      <c r="GB713" s="145"/>
      <c r="GC713" s="145"/>
      <c r="GD713" s="145"/>
      <c r="GE713" s="145"/>
      <c r="GF713" s="145"/>
      <c r="GG713" s="145"/>
      <c r="GH713" s="145"/>
      <c r="GI713" s="145"/>
      <c r="GJ713" s="145"/>
      <c r="GK713" s="145"/>
      <c r="GL713" s="145"/>
      <c r="GM713" s="145"/>
      <c r="GN713" s="145"/>
      <c r="GO713" s="145"/>
      <c r="GP713" s="145"/>
      <c r="GQ713" s="145"/>
      <c r="GR713" s="145"/>
      <c r="GS713" s="145"/>
      <c r="GT713" s="145"/>
      <c r="GU713" s="145"/>
      <c r="GV713" s="145"/>
      <c r="GW713" s="145"/>
      <c r="GX713" s="145"/>
      <c r="GY713" s="145"/>
      <c r="GZ713" s="145"/>
      <c r="HA713" s="145"/>
      <c r="HB713" s="145"/>
      <c r="HC713" s="145"/>
      <c r="HD713" s="145"/>
      <c r="HE713" s="145"/>
      <c r="HF713" s="145"/>
      <c r="HG713" s="145"/>
      <c r="HH713" s="145"/>
      <c r="HI713" s="145"/>
      <c r="HJ713" s="145"/>
      <c r="HK713" s="145"/>
      <c r="HL713" s="145" t="s">
        <v>2156</v>
      </c>
      <c r="HM713" s="145" t="s">
        <v>297</v>
      </c>
      <c r="HN713" s="141" t="s">
        <v>29</v>
      </c>
      <c r="HO713" s="141" t="s">
        <v>29</v>
      </c>
      <c r="HP713" s="141" t="s">
        <v>29</v>
      </c>
      <c r="HQ713" s="141" t="s">
        <v>29</v>
      </c>
      <c r="HZ713" s="142"/>
      <c r="IP713" s="141" t="s">
        <v>2155</v>
      </c>
      <c r="IQ713" s="141" t="s">
        <v>273</v>
      </c>
      <c r="IR713" s="141" t="s">
        <v>836</v>
      </c>
      <c r="IT713" s="141">
        <v>2011</v>
      </c>
      <c r="IV713" s="141" t="s">
        <v>29</v>
      </c>
      <c r="JK713" s="141" t="s">
        <v>2154</v>
      </c>
      <c r="JM713" s="141" t="s">
        <v>14</v>
      </c>
      <c r="JQ713" s="141" t="s">
        <v>13</v>
      </c>
      <c r="JR713" s="141">
        <v>131</v>
      </c>
      <c r="JS713" s="141">
        <v>59</v>
      </c>
      <c r="KF713" s="141" t="s">
        <v>2153</v>
      </c>
      <c r="KG713" s="141" t="s">
        <v>12</v>
      </c>
      <c r="KH713" s="141" t="s">
        <v>29</v>
      </c>
      <c r="KI713" s="141" t="s">
        <v>29</v>
      </c>
      <c r="KK713" s="141" t="s">
        <v>2152</v>
      </c>
      <c r="MZ713" s="141" t="s">
        <v>2151</v>
      </c>
      <c r="NA713" s="141">
        <v>2500</v>
      </c>
      <c r="NJ713" s="141" t="s">
        <v>2192</v>
      </c>
      <c r="NK713" s="141" t="s">
        <v>2215</v>
      </c>
      <c r="NL713" s="141" t="s">
        <v>2212</v>
      </c>
      <c r="NM713" s="141" t="s">
        <v>2214</v>
      </c>
      <c r="NN713" s="141" t="s">
        <v>265</v>
      </c>
      <c r="NW713" s="141" t="s">
        <v>6</v>
      </c>
      <c r="NX713" s="141">
        <v>1046.0999999999999</v>
      </c>
      <c r="NY713" s="141" t="s">
        <v>234</v>
      </c>
      <c r="NZ713" s="141" t="s">
        <v>234</v>
      </c>
      <c r="OC713" s="141">
        <v>4</v>
      </c>
      <c r="OT713" s="141" t="s">
        <v>2189</v>
      </c>
      <c r="OU713" s="141" t="s">
        <v>2188</v>
      </c>
      <c r="OW713" s="141">
        <v>2011</v>
      </c>
      <c r="OX713" s="141">
        <v>2014</v>
      </c>
      <c r="PA713" s="141" t="s">
        <v>1169</v>
      </c>
      <c r="PB713" s="142">
        <v>46134</v>
      </c>
    </row>
    <row r="714" spans="1:418" s="141" customFormat="1">
      <c r="A714" s="87" t="s">
        <v>248</v>
      </c>
      <c r="B714" s="141" t="s">
        <v>2165</v>
      </c>
      <c r="C714" s="141" t="s">
        <v>2164</v>
      </c>
      <c r="D714" s="141" t="s">
        <v>245</v>
      </c>
      <c r="E714" s="141" t="s">
        <v>2182</v>
      </c>
      <c r="F714" s="141" t="s">
        <v>243</v>
      </c>
      <c r="G714" s="141" t="s">
        <v>2</v>
      </c>
      <c r="H714" s="141" t="s">
        <v>30</v>
      </c>
      <c r="I714" s="141">
        <v>-13.06</v>
      </c>
      <c r="J714" s="141">
        <v>34.299999999999997</v>
      </c>
      <c r="K714" s="141" t="s">
        <v>29</v>
      </c>
      <c r="AV714" s="141" t="s">
        <v>2162</v>
      </c>
      <c r="AW714" s="141">
        <v>1300</v>
      </c>
      <c r="AX714" s="141">
        <v>3900</v>
      </c>
      <c r="AY714" s="141">
        <v>3</v>
      </c>
      <c r="AZ714" s="141" t="s">
        <v>2161</v>
      </c>
      <c r="BA714" s="141">
        <v>2011</v>
      </c>
      <c r="BB714" s="141">
        <v>2014</v>
      </c>
      <c r="BD714" s="141" t="s">
        <v>19</v>
      </c>
      <c r="BE714" s="141" t="s">
        <v>2176</v>
      </c>
      <c r="BF714" s="141" t="s">
        <v>39</v>
      </c>
      <c r="BG714" s="141" t="s">
        <v>1233</v>
      </c>
      <c r="BH714" s="141" t="s">
        <v>23</v>
      </c>
      <c r="BI714" s="141" t="s">
        <v>2157</v>
      </c>
      <c r="BJ714" s="141" t="s">
        <v>22</v>
      </c>
      <c r="BK714" s="141">
        <v>53333</v>
      </c>
      <c r="EJ714" s="145"/>
      <c r="EK714" s="145"/>
      <c r="EL714" s="145"/>
      <c r="EM714" s="145"/>
      <c r="EN714" s="145"/>
      <c r="EO714" s="145"/>
      <c r="EP714" s="145"/>
      <c r="EQ714" s="145"/>
      <c r="ER714" s="145"/>
      <c r="ES714" s="145"/>
      <c r="ET714" s="145"/>
      <c r="EU714" s="145"/>
      <c r="EV714" s="145"/>
      <c r="EW714" s="145"/>
      <c r="EX714" s="145"/>
      <c r="EY714" s="145"/>
      <c r="EZ714" s="145"/>
      <c r="FA714" s="145"/>
      <c r="FB714" s="145"/>
      <c r="FC714" s="145"/>
      <c r="FD714" s="145"/>
      <c r="FE714" s="145"/>
      <c r="FF714" s="145"/>
      <c r="FG714" s="145"/>
      <c r="FH714" s="145"/>
      <c r="FI714" s="145"/>
      <c r="FJ714" s="145"/>
      <c r="FK714" s="145"/>
      <c r="FL714" s="145"/>
      <c r="FM714" s="145"/>
      <c r="FN714" s="145"/>
      <c r="FO714" s="145"/>
      <c r="FP714" s="145"/>
      <c r="FQ714" s="145"/>
      <c r="FR714" s="145"/>
      <c r="FS714" s="145"/>
      <c r="FT714" s="145"/>
      <c r="FU714" s="145"/>
      <c r="FV714" s="145"/>
      <c r="FW714" s="145"/>
      <c r="FX714" s="145"/>
      <c r="FY714" s="145"/>
      <c r="FZ714" s="145"/>
      <c r="GA714" s="145"/>
      <c r="GB714" s="145"/>
      <c r="GC714" s="145"/>
      <c r="GD714" s="145"/>
      <c r="GE714" s="145"/>
      <c r="GF714" s="145"/>
      <c r="GG714" s="145"/>
      <c r="GH714" s="145"/>
      <c r="GI714" s="145"/>
      <c r="GJ714" s="145"/>
      <c r="GK714" s="145"/>
      <c r="GL714" s="145"/>
      <c r="GM714" s="145"/>
      <c r="GN714" s="145"/>
      <c r="GO714" s="145"/>
      <c r="GP714" s="145"/>
      <c r="GQ714" s="145"/>
      <c r="GR714" s="145"/>
      <c r="GS714" s="145"/>
      <c r="GT714" s="145"/>
      <c r="GU714" s="145"/>
      <c r="GV714" s="145"/>
      <c r="GW714" s="145"/>
      <c r="GX714" s="145"/>
      <c r="GY714" s="145"/>
      <c r="GZ714" s="145"/>
      <c r="HA714" s="145"/>
      <c r="HB714" s="145"/>
      <c r="HC714" s="145"/>
      <c r="HD714" s="145"/>
      <c r="HE714" s="145"/>
      <c r="HF714" s="145"/>
      <c r="HG714" s="145"/>
      <c r="HH714" s="145"/>
      <c r="HI714" s="145"/>
      <c r="HJ714" s="145"/>
      <c r="HK714" s="145"/>
      <c r="HL714" s="145" t="s">
        <v>2171</v>
      </c>
      <c r="HM714" s="145" t="s">
        <v>232</v>
      </c>
      <c r="HZ714" s="142"/>
      <c r="IP714" s="141" t="s">
        <v>2176</v>
      </c>
      <c r="IQ714" s="141" t="s">
        <v>19</v>
      </c>
      <c r="IT714" s="141">
        <v>2011</v>
      </c>
      <c r="JK714" s="141" t="s">
        <v>2154</v>
      </c>
      <c r="JM714" s="141" t="s">
        <v>14</v>
      </c>
      <c r="JQ714" s="141" t="s">
        <v>13</v>
      </c>
      <c r="JR714" s="141">
        <v>309</v>
      </c>
      <c r="JS714" s="141">
        <v>93</v>
      </c>
      <c r="KF714" s="141" t="s">
        <v>2153</v>
      </c>
      <c r="KG714" s="141" t="s">
        <v>12</v>
      </c>
      <c r="KH714" s="141" t="s">
        <v>29</v>
      </c>
      <c r="KI714" s="141" t="s">
        <v>29</v>
      </c>
      <c r="KK714" s="141" t="s">
        <v>222</v>
      </c>
      <c r="KL714" s="141" t="s">
        <v>2168</v>
      </c>
      <c r="KM714" s="141" t="s">
        <v>220</v>
      </c>
      <c r="KN714" s="141">
        <v>7.5</v>
      </c>
      <c r="KO714" s="141" t="s">
        <v>222</v>
      </c>
      <c r="KP714" s="141" t="s">
        <v>2167</v>
      </c>
      <c r="KQ714" s="141" t="s">
        <v>220</v>
      </c>
      <c r="KR714" s="141">
        <v>2</v>
      </c>
      <c r="MZ714" s="141" t="s">
        <v>2151</v>
      </c>
      <c r="NA714" s="141">
        <v>1300</v>
      </c>
      <c r="NB714" s="141" t="s">
        <v>2175</v>
      </c>
      <c r="NC714" s="141" t="s">
        <v>168</v>
      </c>
      <c r="NJ714" s="141" t="s">
        <v>2196</v>
      </c>
      <c r="NK714" s="141" t="s">
        <v>2213</v>
      </c>
      <c r="NL714" s="141" t="s">
        <v>2375</v>
      </c>
      <c r="NM714" s="141" t="s">
        <v>1910</v>
      </c>
      <c r="NN714" s="141" t="s">
        <v>265</v>
      </c>
      <c r="NV714" s="141" t="s">
        <v>745</v>
      </c>
      <c r="NW714" s="141" t="s">
        <v>6</v>
      </c>
      <c r="NX714" s="141">
        <v>1235.99</v>
      </c>
      <c r="NY714" s="141" t="s">
        <v>234</v>
      </c>
      <c r="NZ714" s="141" t="s">
        <v>234</v>
      </c>
      <c r="OC714" s="141">
        <v>4</v>
      </c>
      <c r="OT714" s="141" t="s">
        <v>2199</v>
      </c>
      <c r="OU714" s="141" t="s">
        <v>2188</v>
      </c>
      <c r="OW714" s="141">
        <v>2011</v>
      </c>
      <c r="OX714" s="141">
        <v>2014</v>
      </c>
      <c r="PA714" s="141" t="s">
        <v>1169</v>
      </c>
      <c r="PB714" s="142">
        <v>46134</v>
      </c>
    </row>
    <row r="715" spans="1:418" s="141" customFormat="1">
      <c r="A715" t="s">
        <v>248</v>
      </c>
      <c r="B715" s="141" t="s">
        <v>2165</v>
      </c>
      <c r="C715" s="141" t="s">
        <v>2164</v>
      </c>
      <c r="D715" s="141" t="s">
        <v>245</v>
      </c>
      <c r="E715" s="141" t="s">
        <v>2182</v>
      </c>
      <c r="F715" s="141" t="s">
        <v>243</v>
      </c>
      <c r="G715" s="141" t="s">
        <v>2</v>
      </c>
      <c r="H715" s="141" t="s">
        <v>30</v>
      </c>
      <c r="I715" s="141">
        <v>-13.06</v>
      </c>
      <c r="J715" s="141">
        <v>34.299999999999997</v>
      </c>
      <c r="K715" s="141" t="s">
        <v>29</v>
      </c>
      <c r="AV715" s="141" t="s">
        <v>2162</v>
      </c>
      <c r="AW715" s="141">
        <v>1300</v>
      </c>
      <c r="AX715" s="141">
        <v>3900</v>
      </c>
      <c r="AY715" s="141">
        <v>3</v>
      </c>
      <c r="AZ715" s="141" t="s">
        <v>2161</v>
      </c>
      <c r="BA715" s="141">
        <v>2011</v>
      </c>
      <c r="BB715" s="141">
        <v>2014</v>
      </c>
      <c r="BD715" s="141" t="s">
        <v>274</v>
      </c>
      <c r="BE715" s="141" t="s">
        <v>2186</v>
      </c>
      <c r="BF715" s="141" t="s">
        <v>64</v>
      </c>
      <c r="BG715" s="141" t="s">
        <v>1233</v>
      </c>
      <c r="BH715" s="141" t="s">
        <v>2005</v>
      </c>
      <c r="BI715" s="141" t="s">
        <v>2181</v>
      </c>
      <c r="BJ715" s="141" t="s">
        <v>22</v>
      </c>
      <c r="BK715" s="141">
        <v>12300</v>
      </c>
      <c r="BL715" s="141" t="s">
        <v>56</v>
      </c>
      <c r="BM715" s="141" t="s">
        <v>2173</v>
      </c>
      <c r="BN715" s="141" t="s">
        <v>2172</v>
      </c>
      <c r="BO715" s="141" t="s">
        <v>22</v>
      </c>
      <c r="BP715" s="141">
        <v>24700</v>
      </c>
      <c r="BQ715" s="141" t="s">
        <v>275</v>
      </c>
      <c r="BR715" s="141" t="s">
        <v>250</v>
      </c>
      <c r="BS715" s="141" t="s">
        <v>2187</v>
      </c>
      <c r="BT715" s="141" t="s">
        <v>22</v>
      </c>
      <c r="BU715" s="141">
        <v>355556</v>
      </c>
      <c r="BV715" s="141" t="s">
        <v>56</v>
      </c>
      <c r="BW715" s="141" t="s">
        <v>2173</v>
      </c>
      <c r="BX715" s="141" t="s">
        <v>2172</v>
      </c>
      <c r="BY715" s="141" t="s">
        <v>22</v>
      </c>
      <c r="BZ715" s="141">
        <v>24700</v>
      </c>
      <c r="CA715" s="141" t="s">
        <v>275</v>
      </c>
      <c r="CB715" s="141" t="s">
        <v>23</v>
      </c>
      <c r="CC715" s="141" t="s">
        <v>2157</v>
      </c>
      <c r="CD715" s="141" t="s">
        <v>22</v>
      </c>
      <c r="CE715" s="141">
        <v>53333</v>
      </c>
      <c r="EJ715" s="145"/>
      <c r="EK715" s="145"/>
      <c r="EL715" s="145"/>
      <c r="EM715" s="145"/>
      <c r="EN715" s="145"/>
      <c r="EO715" s="145"/>
      <c r="EP715" s="145"/>
      <c r="EQ715" s="145"/>
      <c r="ER715" s="145"/>
      <c r="ES715" s="145"/>
      <c r="ET715" s="145"/>
      <c r="EU715" s="145"/>
      <c r="EV715" s="145"/>
      <c r="EW715" s="145"/>
      <c r="EX715" s="145"/>
      <c r="EY715" s="145"/>
      <c r="EZ715" s="145"/>
      <c r="FA715" s="145"/>
      <c r="FB715" s="145"/>
      <c r="FC715" s="145"/>
      <c r="FD715" s="145"/>
      <c r="FE715" s="145"/>
      <c r="FF715" s="145"/>
      <c r="FG715" s="145"/>
      <c r="FH715" s="145"/>
      <c r="FI715" s="145"/>
      <c r="FJ715" s="145"/>
      <c r="FK715" s="145"/>
      <c r="FL715" s="145"/>
      <c r="FM715" s="145"/>
      <c r="FN715" s="145"/>
      <c r="FO715" s="145"/>
      <c r="FP715" s="145"/>
      <c r="FQ715" s="145"/>
      <c r="FR715" s="145"/>
      <c r="FS715" s="145"/>
      <c r="FT715" s="145"/>
      <c r="FU715" s="145"/>
      <c r="FV715" s="145"/>
      <c r="FW715" s="145"/>
      <c r="FX715" s="145"/>
      <c r="FY715" s="145"/>
      <c r="FZ715" s="145"/>
      <c r="GA715" s="145"/>
      <c r="GB715" s="145"/>
      <c r="GC715" s="145"/>
      <c r="GD715" s="145"/>
      <c r="GE715" s="145"/>
      <c r="GF715" s="145"/>
      <c r="GG715" s="145"/>
      <c r="GH715" s="145"/>
      <c r="GI715" s="145"/>
      <c r="GJ715" s="145"/>
      <c r="GK715" s="145"/>
      <c r="GL715" s="145"/>
      <c r="GM715" s="145"/>
      <c r="GN715" s="145"/>
      <c r="GO715" s="145"/>
      <c r="GP715" s="145"/>
      <c r="GQ715" s="145"/>
      <c r="GR715" s="145"/>
      <c r="GS715" s="145"/>
      <c r="GT715" s="145"/>
      <c r="GU715" s="145"/>
      <c r="GV715" s="145"/>
      <c r="GW715" s="145"/>
      <c r="GX715" s="145"/>
      <c r="GY715" s="145"/>
      <c r="GZ715" s="145"/>
      <c r="HA715" s="145"/>
      <c r="HB715" s="145"/>
      <c r="HC715" s="145"/>
      <c r="HD715" s="145"/>
      <c r="HE715" s="145"/>
      <c r="HF715" s="145"/>
      <c r="HG715" s="145"/>
      <c r="HH715" s="145"/>
      <c r="HI715" s="145"/>
      <c r="HJ715" s="145"/>
      <c r="HK715" s="145"/>
      <c r="HL715" s="145" t="s">
        <v>2171</v>
      </c>
      <c r="HM715" s="145" t="s">
        <v>232</v>
      </c>
      <c r="HZ715" s="142"/>
      <c r="IP715" s="141" t="s">
        <v>2186</v>
      </c>
      <c r="IQ715" s="141" t="s">
        <v>273</v>
      </c>
      <c r="IR715" s="141" t="s">
        <v>2169</v>
      </c>
      <c r="IT715" s="141">
        <v>2011</v>
      </c>
      <c r="IV715" s="141" t="s">
        <v>29</v>
      </c>
      <c r="JK715" s="141" t="s">
        <v>2154</v>
      </c>
      <c r="JM715" s="141" t="s">
        <v>14</v>
      </c>
      <c r="JQ715" s="141" t="s">
        <v>13</v>
      </c>
      <c r="JR715" s="141">
        <v>103</v>
      </c>
      <c r="JS715" s="141">
        <v>31</v>
      </c>
      <c r="KF715" s="141" t="s">
        <v>2153</v>
      </c>
      <c r="KG715" s="141" t="s">
        <v>12</v>
      </c>
      <c r="KH715" s="141" t="s">
        <v>29</v>
      </c>
      <c r="KI715" s="141" t="s">
        <v>29</v>
      </c>
      <c r="KK715" s="141" t="s">
        <v>222</v>
      </c>
      <c r="KL715" s="141" t="s">
        <v>2168</v>
      </c>
      <c r="KM715" s="141" t="s">
        <v>220</v>
      </c>
      <c r="KN715" s="141">
        <v>7.5</v>
      </c>
      <c r="KO715" s="141" t="s">
        <v>222</v>
      </c>
      <c r="KP715" s="141" t="s">
        <v>2167</v>
      </c>
      <c r="KQ715" s="141" t="s">
        <v>220</v>
      </c>
      <c r="KR715" s="141">
        <v>1</v>
      </c>
      <c r="KS715" s="141" t="s">
        <v>219</v>
      </c>
      <c r="KT715" s="141" t="s">
        <v>2185</v>
      </c>
      <c r="KU715" s="141" t="s">
        <v>2184</v>
      </c>
      <c r="KV715" s="141">
        <v>100</v>
      </c>
      <c r="MZ715" s="141" t="s">
        <v>2151</v>
      </c>
      <c r="NA715" s="141">
        <v>1300</v>
      </c>
      <c r="NB715" s="141" t="s">
        <v>2183</v>
      </c>
      <c r="NC715" s="141" t="s">
        <v>168</v>
      </c>
      <c r="ND715" s="141" t="s">
        <v>2201</v>
      </c>
      <c r="NE715" s="141" t="s">
        <v>2197</v>
      </c>
      <c r="NF715" s="141" t="s">
        <v>2204</v>
      </c>
      <c r="NJ715" s="141" t="s">
        <v>2203</v>
      </c>
      <c r="NK715" s="141" t="s">
        <v>2213</v>
      </c>
      <c r="NL715" s="141" t="s">
        <v>2375</v>
      </c>
      <c r="NM715" s="141" t="s">
        <v>1910</v>
      </c>
      <c r="NN715" s="141" t="s">
        <v>265</v>
      </c>
      <c r="NW715" s="141" t="s">
        <v>6</v>
      </c>
      <c r="NX715" s="141">
        <v>687.93</v>
      </c>
      <c r="NY715" s="141" t="s">
        <v>234</v>
      </c>
      <c r="NZ715" s="141" t="s">
        <v>234</v>
      </c>
      <c r="OC715" s="141">
        <v>4</v>
      </c>
      <c r="OT715" s="141" t="s">
        <v>2199</v>
      </c>
      <c r="OU715" s="141" t="s">
        <v>2188</v>
      </c>
      <c r="OW715" s="141">
        <v>2011</v>
      </c>
      <c r="OX715" s="141">
        <v>2014</v>
      </c>
      <c r="PA715" s="141" t="s">
        <v>1169</v>
      </c>
      <c r="PB715" s="142">
        <v>46134</v>
      </c>
    </row>
    <row r="716" spans="1:418" s="141" customFormat="1">
      <c r="A716" t="s">
        <v>248</v>
      </c>
      <c r="B716" s="141" t="s">
        <v>2165</v>
      </c>
      <c r="C716" s="141" t="s">
        <v>2164</v>
      </c>
      <c r="D716" s="141" t="s">
        <v>245</v>
      </c>
      <c r="E716" s="141" t="s">
        <v>2182</v>
      </c>
      <c r="F716" s="141" t="s">
        <v>243</v>
      </c>
      <c r="G716" s="141" t="s">
        <v>2</v>
      </c>
      <c r="H716" s="141" t="s">
        <v>30</v>
      </c>
      <c r="I716" s="141">
        <v>-13.06</v>
      </c>
      <c r="J716" s="141">
        <v>34.299999999999997</v>
      </c>
      <c r="K716" s="141" t="s">
        <v>29</v>
      </c>
      <c r="AV716" s="141" t="s">
        <v>2162</v>
      </c>
      <c r="AW716" s="141">
        <v>1300</v>
      </c>
      <c r="AX716" s="141">
        <v>3900</v>
      </c>
      <c r="AY716" s="141">
        <v>3</v>
      </c>
      <c r="AZ716" s="141" t="s">
        <v>2161</v>
      </c>
      <c r="BA716" s="141">
        <v>2011</v>
      </c>
      <c r="BB716" s="141">
        <v>2014</v>
      </c>
      <c r="BD716" s="141" t="s">
        <v>274</v>
      </c>
      <c r="BE716" s="141" t="s">
        <v>2179</v>
      </c>
      <c r="BF716" s="141" t="s">
        <v>57</v>
      </c>
      <c r="BG716" s="141" t="s">
        <v>1233</v>
      </c>
      <c r="BH716" s="141" t="s">
        <v>2005</v>
      </c>
      <c r="BI716" s="141" t="s">
        <v>2181</v>
      </c>
      <c r="BJ716" s="141" t="s">
        <v>22</v>
      </c>
      <c r="BK716" s="141">
        <v>12300</v>
      </c>
      <c r="BL716" s="141" t="s">
        <v>275</v>
      </c>
      <c r="BM716" s="141" t="s">
        <v>271</v>
      </c>
      <c r="BN716" s="141" t="s">
        <v>2180</v>
      </c>
      <c r="BO716" s="141" t="s">
        <v>22</v>
      </c>
      <c r="BP716" s="141">
        <v>266667</v>
      </c>
      <c r="BQ716" s="141" t="s">
        <v>275</v>
      </c>
      <c r="BR716" s="141" t="s">
        <v>23</v>
      </c>
      <c r="BS716" s="141" t="s">
        <v>2157</v>
      </c>
      <c r="BT716" s="141" t="s">
        <v>22</v>
      </c>
      <c r="BU716" s="141">
        <v>53333</v>
      </c>
      <c r="EJ716" s="145"/>
      <c r="EK716" s="145"/>
      <c r="EL716" s="145"/>
      <c r="EM716" s="145"/>
      <c r="EN716" s="145"/>
      <c r="EO716" s="145"/>
      <c r="EP716" s="145"/>
      <c r="EQ716" s="145"/>
      <c r="ER716" s="145"/>
      <c r="ES716" s="145"/>
      <c r="ET716" s="145"/>
      <c r="EU716" s="145"/>
      <c r="EV716" s="145"/>
      <c r="EW716" s="145"/>
      <c r="EX716" s="145"/>
      <c r="EY716" s="145"/>
      <c r="EZ716" s="145"/>
      <c r="FA716" s="145"/>
      <c r="FB716" s="145"/>
      <c r="FC716" s="145"/>
      <c r="FD716" s="145"/>
      <c r="FE716" s="145"/>
      <c r="FF716" s="145"/>
      <c r="FG716" s="145"/>
      <c r="FH716" s="145"/>
      <c r="FI716" s="145"/>
      <c r="FJ716" s="145"/>
      <c r="FK716" s="145"/>
      <c r="FL716" s="145"/>
      <c r="FM716" s="145"/>
      <c r="FN716" s="145"/>
      <c r="FO716" s="145"/>
      <c r="FP716" s="145"/>
      <c r="FQ716" s="145"/>
      <c r="FR716" s="145"/>
      <c r="FS716" s="145"/>
      <c r="FT716" s="145"/>
      <c r="FU716" s="145"/>
      <c r="FV716" s="145"/>
      <c r="FW716" s="145"/>
      <c r="FX716" s="145"/>
      <c r="FY716" s="145"/>
      <c r="FZ716" s="145"/>
      <c r="GA716" s="145"/>
      <c r="GB716" s="145"/>
      <c r="GC716" s="145"/>
      <c r="GD716" s="145"/>
      <c r="GE716" s="145"/>
      <c r="GF716" s="145"/>
      <c r="GG716" s="145"/>
      <c r="GH716" s="145"/>
      <c r="GI716" s="145"/>
      <c r="GJ716" s="145"/>
      <c r="GK716" s="145"/>
      <c r="GL716" s="145"/>
      <c r="GM716" s="145"/>
      <c r="GN716" s="145"/>
      <c r="GO716" s="145"/>
      <c r="GP716" s="145"/>
      <c r="GQ716" s="145"/>
      <c r="GR716" s="145"/>
      <c r="GS716" s="145"/>
      <c r="GT716" s="145"/>
      <c r="GU716" s="145"/>
      <c r="GV716" s="145"/>
      <c r="GW716" s="145"/>
      <c r="GX716" s="145"/>
      <c r="GY716" s="145"/>
      <c r="GZ716" s="145"/>
      <c r="HA716" s="145"/>
      <c r="HB716" s="145"/>
      <c r="HC716" s="145"/>
      <c r="HD716" s="145"/>
      <c r="HE716" s="145"/>
      <c r="HF716" s="145"/>
      <c r="HG716" s="145"/>
      <c r="HH716" s="145"/>
      <c r="HI716" s="145"/>
      <c r="HJ716" s="145"/>
      <c r="HK716" s="145"/>
      <c r="HL716" s="145" t="s">
        <v>2156</v>
      </c>
      <c r="HM716" s="145" t="s">
        <v>297</v>
      </c>
      <c r="HN716" s="141" t="s">
        <v>29</v>
      </c>
      <c r="HO716" s="141" t="s">
        <v>29</v>
      </c>
      <c r="HP716" s="141" t="s">
        <v>29</v>
      </c>
      <c r="HQ716" s="141" t="s">
        <v>29</v>
      </c>
      <c r="HZ716" s="142"/>
      <c r="IP716" s="141" t="s">
        <v>2179</v>
      </c>
      <c r="IQ716" s="141" t="s">
        <v>273</v>
      </c>
      <c r="IT716" s="141">
        <v>2011</v>
      </c>
      <c r="IV716" s="141" t="s">
        <v>29</v>
      </c>
      <c r="JK716" s="141" t="s">
        <v>2154</v>
      </c>
      <c r="JM716" s="141" t="s">
        <v>14</v>
      </c>
      <c r="JQ716" s="141" t="s">
        <v>13</v>
      </c>
      <c r="JR716" s="141">
        <v>124</v>
      </c>
      <c r="JS716" s="141">
        <v>50</v>
      </c>
      <c r="KF716" s="141" t="s">
        <v>2153</v>
      </c>
      <c r="KG716" s="141" t="s">
        <v>12</v>
      </c>
      <c r="KH716" s="141" t="s">
        <v>29</v>
      </c>
      <c r="KI716" s="141" t="s">
        <v>29</v>
      </c>
      <c r="KK716" s="141" t="s">
        <v>2152</v>
      </c>
      <c r="MZ716" s="141" t="s">
        <v>2151</v>
      </c>
      <c r="NA716" s="141">
        <v>1300</v>
      </c>
      <c r="NB716" s="141" t="s">
        <v>2178</v>
      </c>
      <c r="NC716" s="141" t="s">
        <v>168</v>
      </c>
      <c r="ND716" s="141" t="s">
        <v>2201</v>
      </c>
      <c r="NE716" s="141" t="s">
        <v>271</v>
      </c>
      <c r="NJ716" s="141" t="s">
        <v>2192</v>
      </c>
      <c r="NK716" s="141" t="s">
        <v>2213</v>
      </c>
      <c r="NL716" s="141" t="s">
        <v>2375</v>
      </c>
      <c r="NM716" s="141" t="s">
        <v>1910</v>
      </c>
      <c r="NN716" s="141" t="s">
        <v>265</v>
      </c>
      <c r="NW716" s="141" t="s">
        <v>6</v>
      </c>
      <c r="NX716" s="141">
        <v>724.01</v>
      </c>
      <c r="NY716" s="141" t="s">
        <v>234</v>
      </c>
      <c r="NZ716" s="141" t="s">
        <v>234</v>
      </c>
      <c r="OC716" s="141">
        <v>4</v>
      </c>
      <c r="OT716" s="141" t="s">
        <v>2199</v>
      </c>
      <c r="OU716" s="141" t="s">
        <v>2188</v>
      </c>
      <c r="OW716" s="141">
        <v>2011</v>
      </c>
      <c r="OX716" s="141">
        <v>2014</v>
      </c>
      <c r="PA716" s="141" t="s">
        <v>1169</v>
      </c>
      <c r="PB716" s="142">
        <v>46134</v>
      </c>
    </row>
    <row r="717" spans="1:418" s="141" customFormat="1">
      <c r="A717" s="87" t="s">
        <v>248</v>
      </c>
      <c r="B717" s="141" t="s">
        <v>2165</v>
      </c>
      <c r="C717" s="141" t="s">
        <v>2164</v>
      </c>
      <c r="D717" s="141" t="s">
        <v>245</v>
      </c>
      <c r="E717" s="141" t="s">
        <v>2163</v>
      </c>
      <c r="F717" s="141" t="s">
        <v>243</v>
      </c>
      <c r="G717" s="141" t="s">
        <v>2</v>
      </c>
      <c r="H717" s="141" t="s">
        <v>30</v>
      </c>
      <c r="I717" s="141">
        <v>-13.47</v>
      </c>
      <c r="J717" s="141">
        <v>33.71</v>
      </c>
      <c r="K717" s="141" t="s">
        <v>29</v>
      </c>
      <c r="AV717" s="141" t="s">
        <v>2162</v>
      </c>
      <c r="AW717" s="141">
        <v>2500</v>
      </c>
      <c r="AX717" s="141">
        <v>7500</v>
      </c>
      <c r="AY717" s="141">
        <v>3</v>
      </c>
      <c r="AZ717" s="141" t="s">
        <v>2161</v>
      </c>
      <c r="BA717" s="141">
        <v>2011</v>
      </c>
      <c r="BB717" s="141">
        <v>2014</v>
      </c>
      <c r="BD717" s="141" t="s">
        <v>19</v>
      </c>
      <c r="BE717" s="141" t="s">
        <v>2176</v>
      </c>
      <c r="BF717" s="141" t="s">
        <v>24</v>
      </c>
      <c r="BG717" s="141" t="s">
        <v>1233</v>
      </c>
      <c r="BH717" s="141" t="s">
        <v>23</v>
      </c>
      <c r="BI717" s="141" t="s">
        <v>2157</v>
      </c>
      <c r="BJ717" s="141" t="s">
        <v>22</v>
      </c>
      <c r="BK717" s="141">
        <v>53333</v>
      </c>
      <c r="EJ717" s="145"/>
      <c r="EK717" s="145"/>
      <c r="EL717" s="145"/>
      <c r="EM717" s="145"/>
      <c r="EN717" s="145"/>
      <c r="EO717" s="145"/>
      <c r="EP717" s="145"/>
      <c r="EQ717" s="145"/>
      <c r="ER717" s="145"/>
      <c r="ES717" s="145"/>
      <c r="ET717" s="145"/>
      <c r="EU717" s="145"/>
      <c r="EV717" s="145"/>
      <c r="EW717" s="145"/>
      <c r="EX717" s="145"/>
      <c r="EY717" s="145"/>
      <c r="EZ717" s="145"/>
      <c r="FA717" s="145"/>
      <c r="FB717" s="145"/>
      <c r="FC717" s="145"/>
      <c r="FD717" s="145"/>
      <c r="FE717" s="145"/>
      <c r="FF717" s="145"/>
      <c r="FG717" s="145"/>
      <c r="FH717" s="145"/>
      <c r="FI717" s="145"/>
      <c r="FJ717" s="145"/>
      <c r="FK717" s="145"/>
      <c r="FL717" s="145"/>
      <c r="FM717" s="145"/>
      <c r="FN717" s="145"/>
      <c r="FO717" s="145"/>
      <c r="FP717" s="145"/>
      <c r="FQ717" s="145"/>
      <c r="FR717" s="145"/>
      <c r="FS717" s="145"/>
      <c r="FT717" s="145"/>
      <c r="FU717" s="145"/>
      <c r="FV717" s="145"/>
      <c r="FW717" s="145"/>
      <c r="FX717" s="145"/>
      <c r="FY717" s="145"/>
      <c r="FZ717" s="145"/>
      <c r="GA717" s="145"/>
      <c r="GB717" s="145"/>
      <c r="GC717" s="145"/>
      <c r="GD717" s="145"/>
      <c r="GE717" s="145"/>
      <c r="GF717" s="145"/>
      <c r="GG717" s="145"/>
      <c r="GH717" s="145"/>
      <c r="GI717" s="145"/>
      <c r="GJ717" s="145"/>
      <c r="GK717" s="145"/>
      <c r="GL717" s="145"/>
      <c r="GM717" s="145"/>
      <c r="GN717" s="145"/>
      <c r="GO717" s="145"/>
      <c r="GP717" s="145"/>
      <c r="GQ717" s="145"/>
      <c r="GR717" s="145"/>
      <c r="GS717" s="145"/>
      <c r="GT717" s="145"/>
      <c r="GU717" s="145"/>
      <c r="GV717" s="145"/>
      <c r="GW717" s="145"/>
      <c r="GX717" s="145"/>
      <c r="GY717" s="145"/>
      <c r="GZ717" s="145"/>
      <c r="HA717" s="145"/>
      <c r="HB717" s="145"/>
      <c r="HC717" s="145"/>
      <c r="HD717" s="145"/>
      <c r="HE717" s="145"/>
      <c r="HF717" s="145"/>
      <c r="HG717" s="145"/>
      <c r="HH717" s="145"/>
      <c r="HI717" s="145"/>
      <c r="HJ717" s="145"/>
      <c r="HK717" s="145"/>
      <c r="HL717" s="145" t="s">
        <v>2171</v>
      </c>
      <c r="HM717" s="145" t="s">
        <v>232</v>
      </c>
      <c r="HZ717" s="142"/>
      <c r="IP717" s="141" t="s">
        <v>2176</v>
      </c>
      <c r="IQ717" s="141" t="s">
        <v>19</v>
      </c>
      <c r="IT717" s="141">
        <v>2011</v>
      </c>
      <c r="JK717" s="141" t="s">
        <v>2154</v>
      </c>
      <c r="JM717" s="141" t="s">
        <v>14</v>
      </c>
      <c r="JQ717" s="141" t="s">
        <v>13</v>
      </c>
      <c r="JR717" s="141">
        <v>309</v>
      </c>
      <c r="JS717" s="141">
        <v>93</v>
      </c>
      <c r="KF717" s="141" t="s">
        <v>2153</v>
      </c>
      <c r="KG717" s="141" t="s">
        <v>12</v>
      </c>
      <c r="KH717" s="141" t="s">
        <v>29</v>
      </c>
      <c r="KI717" s="141" t="s">
        <v>29</v>
      </c>
      <c r="KK717" s="141" t="s">
        <v>222</v>
      </c>
      <c r="KL717" s="141" t="s">
        <v>2168</v>
      </c>
      <c r="KM717" s="141" t="s">
        <v>220</v>
      </c>
      <c r="KN717" s="141">
        <v>7.5</v>
      </c>
      <c r="KO717" s="141" t="s">
        <v>222</v>
      </c>
      <c r="KP717" s="141" t="s">
        <v>2167</v>
      </c>
      <c r="KQ717" s="141" t="s">
        <v>220</v>
      </c>
      <c r="KR717" s="141">
        <v>2</v>
      </c>
      <c r="MZ717" s="141" t="s">
        <v>2151</v>
      </c>
      <c r="NA717" s="141">
        <v>2500</v>
      </c>
      <c r="NB717" s="141" t="s">
        <v>2175</v>
      </c>
      <c r="NC717" s="141" t="s">
        <v>168</v>
      </c>
      <c r="NJ717" s="141" t="s">
        <v>2196</v>
      </c>
      <c r="NK717" s="141" t="s">
        <v>2213</v>
      </c>
      <c r="NL717" s="141" t="s">
        <v>2375</v>
      </c>
      <c r="NM717" s="141" t="s">
        <v>1910</v>
      </c>
      <c r="NN717" s="141" t="s">
        <v>265</v>
      </c>
      <c r="NV717" s="141" t="s">
        <v>2174</v>
      </c>
      <c r="NW717" s="141" t="s">
        <v>6</v>
      </c>
      <c r="NX717" s="141">
        <v>1360.27</v>
      </c>
      <c r="NY717" s="141" t="s">
        <v>234</v>
      </c>
      <c r="NZ717" s="141" t="s">
        <v>234</v>
      </c>
      <c r="OC717" s="141">
        <v>4</v>
      </c>
      <c r="OT717" s="141" t="s">
        <v>2189</v>
      </c>
      <c r="OU717" s="141" t="s">
        <v>2188</v>
      </c>
      <c r="OW717" s="141">
        <v>2011</v>
      </c>
      <c r="OX717" s="141">
        <v>2014</v>
      </c>
      <c r="PA717" s="141" t="s">
        <v>1169</v>
      </c>
      <c r="PB717" s="142">
        <v>46134</v>
      </c>
    </row>
    <row r="718" spans="1:418" s="141" customFormat="1">
      <c r="A718" t="s">
        <v>248</v>
      </c>
      <c r="B718" s="141" t="s">
        <v>2165</v>
      </c>
      <c r="C718" s="141" t="s">
        <v>2164</v>
      </c>
      <c r="D718" s="141" t="s">
        <v>245</v>
      </c>
      <c r="E718" s="141" t="s">
        <v>2163</v>
      </c>
      <c r="F718" s="141" t="s">
        <v>243</v>
      </c>
      <c r="G718" s="141" t="s">
        <v>2</v>
      </c>
      <c r="H718" s="141" t="s">
        <v>30</v>
      </c>
      <c r="I718" s="141">
        <v>-13.47</v>
      </c>
      <c r="J718" s="141">
        <v>33.71</v>
      </c>
      <c r="K718" s="141" t="s">
        <v>29</v>
      </c>
      <c r="AV718" s="141" t="s">
        <v>2162</v>
      </c>
      <c r="AW718" s="141">
        <v>2500</v>
      </c>
      <c r="AX718" s="141">
        <v>7500</v>
      </c>
      <c r="AY718" s="141">
        <v>3</v>
      </c>
      <c r="AZ718" s="141" t="s">
        <v>2161</v>
      </c>
      <c r="BA718" s="141">
        <v>2011</v>
      </c>
      <c r="BB718" s="141">
        <v>2014</v>
      </c>
      <c r="BD718" s="141" t="s">
        <v>274</v>
      </c>
      <c r="BE718" s="141" t="s">
        <v>2170</v>
      </c>
      <c r="BF718" s="141" t="s">
        <v>48</v>
      </c>
      <c r="BG718" s="141" t="s">
        <v>1233</v>
      </c>
      <c r="BH718" s="141" t="s">
        <v>2160</v>
      </c>
      <c r="BI718" s="141" t="s">
        <v>2159</v>
      </c>
      <c r="BJ718" s="141" t="s">
        <v>22</v>
      </c>
      <c r="BK718" s="141">
        <v>3700</v>
      </c>
      <c r="BL718" s="141" t="s">
        <v>56</v>
      </c>
      <c r="BM718" s="141" t="s">
        <v>2173</v>
      </c>
      <c r="BN718" s="141" t="s">
        <v>2172</v>
      </c>
      <c r="BO718" s="141" t="s">
        <v>22</v>
      </c>
      <c r="BP718" s="141">
        <v>18500</v>
      </c>
      <c r="BQ718" s="141" t="s">
        <v>275</v>
      </c>
      <c r="BR718" s="141" t="s">
        <v>1659</v>
      </c>
      <c r="BS718" s="141" t="s">
        <v>2158</v>
      </c>
      <c r="BT718" s="141" t="s">
        <v>22</v>
      </c>
      <c r="BU718" s="141">
        <v>222200</v>
      </c>
      <c r="BV718" s="141" t="s">
        <v>275</v>
      </c>
      <c r="BW718" s="141" t="s">
        <v>23</v>
      </c>
      <c r="BX718" s="141" t="s">
        <v>2157</v>
      </c>
      <c r="BY718" s="141" t="s">
        <v>22</v>
      </c>
      <c r="BZ718" s="141">
        <v>53333</v>
      </c>
      <c r="EJ718" s="145"/>
      <c r="EK718" s="145"/>
      <c r="EL718" s="145"/>
      <c r="EM718" s="145"/>
      <c r="EN718" s="145"/>
      <c r="EO718" s="145"/>
      <c r="EP718" s="145"/>
      <c r="EQ718" s="145"/>
      <c r="ER718" s="145"/>
      <c r="ES718" s="145"/>
      <c r="ET718" s="145"/>
      <c r="EU718" s="145"/>
      <c r="EV718" s="145"/>
      <c r="EW718" s="145"/>
      <c r="EX718" s="145"/>
      <c r="EY718" s="145"/>
      <c r="EZ718" s="145"/>
      <c r="FA718" s="145"/>
      <c r="FB718" s="145"/>
      <c r="FC718" s="145"/>
      <c r="FD718" s="145"/>
      <c r="FE718" s="145"/>
      <c r="FF718" s="145"/>
      <c r="FG718" s="145"/>
      <c r="FH718" s="145"/>
      <c r="FI718" s="145"/>
      <c r="FJ718" s="145"/>
      <c r="FK718" s="145"/>
      <c r="FL718" s="145"/>
      <c r="FM718" s="145"/>
      <c r="FN718" s="145"/>
      <c r="FO718" s="145"/>
      <c r="FP718" s="145"/>
      <c r="FQ718" s="145"/>
      <c r="FR718" s="145"/>
      <c r="FS718" s="145"/>
      <c r="FT718" s="145"/>
      <c r="FU718" s="145"/>
      <c r="FV718" s="145"/>
      <c r="FW718" s="145"/>
      <c r="FX718" s="145"/>
      <c r="FY718" s="145"/>
      <c r="FZ718" s="145"/>
      <c r="GA718" s="145"/>
      <c r="GB718" s="145"/>
      <c r="GC718" s="145"/>
      <c r="GD718" s="145"/>
      <c r="GE718" s="145"/>
      <c r="GF718" s="145"/>
      <c r="GG718" s="145"/>
      <c r="GH718" s="145"/>
      <c r="GI718" s="145"/>
      <c r="GJ718" s="145"/>
      <c r="GK718" s="145"/>
      <c r="GL718" s="145"/>
      <c r="GM718" s="145"/>
      <c r="GN718" s="145"/>
      <c r="GO718" s="145"/>
      <c r="GP718" s="145"/>
      <c r="GQ718" s="145"/>
      <c r="GR718" s="145"/>
      <c r="GS718" s="145"/>
      <c r="GT718" s="145"/>
      <c r="GU718" s="145"/>
      <c r="GV718" s="145"/>
      <c r="GW718" s="145"/>
      <c r="GX718" s="145"/>
      <c r="GY718" s="145"/>
      <c r="GZ718" s="145"/>
      <c r="HA718" s="145"/>
      <c r="HB718" s="145"/>
      <c r="HC718" s="145"/>
      <c r="HD718" s="145"/>
      <c r="HE718" s="145"/>
      <c r="HF718" s="145"/>
      <c r="HG718" s="145"/>
      <c r="HH718" s="145"/>
      <c r="HI718" s="145"/>
      <c r="HJ718" s="145"/>
      <c r="HK718" s="145"/>
      <c r="HL718" s="145" t="s">
        <v>2171</v>
      </c>
      <c r="HM718" s="145" t="s">
        <v>232</v>
      </c>
      <c r="HZ718" s="142"/>
      <c r="IP718" s="141" t="s">
        <v>2170</v>
      </c>
      <c r="IQ718" s="141" t="s">
        <v>273</v>
      </c>
      <c r="IR718" s="141" t="s">
        <v>2169</v>
      </c>
      <c r="IT718" s="141">
        <v>2011</v>
      </c>
      <c r="IV718" s="141" t="s">
        <v>29</v>
      </c>
      <c r="JK718" s="141" t="s">
        <v>2154</v>
      </c>
      <c r="JM718" s="141" t="s">
        <v>14</v>
      </c>
      <c r="JQ718" s="141" t="s">
        <v>13</v>
      </c>
      <c r="JR718" s="141">
        <v>131</v>
      </c>
      <c r="JS718" s="141">
        <v>59</v>
      </c>
      <c r="KF718" s="141" t="s">
        <v>2153</v>
      </c>
      <c r="KG718" s="141" t="s">
        <v>12</v>
      </c>
      <c r="KH718" s="141" t="s">
        <v>29</v>
      </c>
      <c r="KI718" s="141" t="s">
        <v>29</v>
      </c>
      <c r="KK718" s="141" t="s">
        <v>222</v>
      </c>
      <c r="KL718" s="141" t="s">
        <v>2168</v>
      </c>
      <c r="KM718" s="141" t="s">
        <v>220</v>
      </c>
      <c r="KN718" s="141">
        <v>7.5</v>
      </c>
      <c r="KO718" s="141" t="s">
        <v>222</v>
      </c>
      <c r="KP718" s="141" t="s">
        <v>2167</v>
      </c>
      <c r="KQ718" s="141" t="s">
        <v>220</v>
      </c>
      <c r="KR718" s="141">
        <v>1</v>
      </c>
      <c r="MZ718" s="141" t="s">
        <v>2151</v>
      </c>
      <c r="NA718" s="141">
        <v>2500</v>
      </c>
      <c r="NB718" s="141" t="s">
        <v>2166</v>
      </c>
      <c r="NC718" s="141" t="s">
        <v>168</v>
      </c>
      <c r="ND718" s="141" t="s">
        <v>2194</v>
      </c>
      <c r="NE718" s="141" t="s">
        <v>2197</v>
      </c>
      <c r="NF718" s="141" t="s">
        <v>2193</v>
      </c>
      <c r="NJ718" s="141" t="s">
        <v>2196</v>
      </c>
      <c r="NK718" s="141" t="s">
        <v>2213</v>
      </c>
      <c r="NL718" s="141" t="s">
        <v>2375</v>
      </c>
      <c r="NM718" s="141" t="s">
        <v>1910</v>
      </c>
      <c r="NN718" s="141" t="s">
        <v>265</v>
      </c>
      <c r="NW718" s="141" t="s">
        <v>6</v>
      </c>
      <c r="NX718" s="141">
        <v>968.97</v>
      </c>
      <c r="NY718" s="141" t="s">
        <v>234</v>
      </c>
      <c r="NZ718" s="141" t="s">
        <v>234</v>
      </c>
      <c r="OC718" s="141">
        <v>4</v>
      </c>
      <c r="OT718" s="141" t="s">
        <v>2189</v>
      </c>
      <c r="OU718" s="141" t="s">
        <v>2188</v>
      </c>
      <c r="OW718" s="141">
        <v>2011</v>
      </c>
      <c r="OX718" s="141">
        <v>2014</v>
      </c>
      <c r="PA718" s="141" t="s">
        <v>1169</v>
      </c>
      <c r="PB718" s="142">
        <v>46134</v>
      </c>
    </row>
    <row r="719" spans="1:418" s="141" customFormat="1">
      <c r="A719" t="s">
        <v>248</v>
      </c>
      <c r="B719" s="141" t="s">
        <v>2165</v>
      </c>
      <c r="C719" s="141" t="s">
        <v>2164</v>
      </c>
      <c r="D719" s="141" t="s">
        <v>245</v>
      </c>
      <c r="E719" s="141" t="s">
        <v>2163</v>
      </c>
      <c r="F719" s="141" t="s">
        <v>243</v>
      </c>
      <c r="G719" s="141" t="s">
        <v>2</v>
      </c>
      <c r="H719" s="141" t="s">
        <v>30</v>
      </c>
      <c r="I719" s="141">
        <v>-13.47</v>
      </c>
      <c r="J719" s="141">
        <v>33.71</v>
      </c>
      <c r="K719" s="141" t="s">
        <v>29</v>
      </c>
      <c r="AV719" s="141" t="s">
        <v>2162</v>
      </c>
      <c r="AW719" s="141">
        <v>2500</v>
      </c>
      <c r="AX719" s="141">
        <v>7500</v>
      </c>
      <c r="AY719" s="141">
        <v>3</v>
      </c>
      <c r="AZ719" s="141" t="s">
        <v>2161</v>
      </c>
      <c r="BA719" s="141">
        <v>2011</v>
      </c>
      <c r="BB719" s="141">
        <v>2014</v>
      </c>
      <c r="BD719" s="141" t="s">
        <v>274</v>
      </c>
      <c r="BE719" s="141" t="s">
        <v>2155</v>
      </c>
      <c r="BF719" s="141" t="s">
        <v>43</v>
      </c>
      <c r="BG719" s="141" t="s">
        <v>1233</v>
      </c>
      <c r="BH719" s="141" t="s">
        <v>2160</v>
      </c>
      <c r="BI719" s="141" t="s">
        <v>2159</v>
      </c>
      <c r="BJ719" s="141" t="s">
        <v>22</v>
      </c>
      <c r="BK719" s="141">
        <v>3700</v>
      </c>
      <c r="BL719" s="141" t="s">
        <v>275</v>
      </c>
      <c r="BM719" s="141" t="s">
        <v>1659</v>
      </c>
      <c r="BN719" s="141" t="s">
        <v>2158</v>
      </c>
      <c r="BO719" s="141" t="s">
        <v>22</v>
      </c>
      <c r="BP719" s="141">
        <v>177800</v>
      </c>
      <c r="BQ719" s="141" t="s">
        <v>275</v>
      </c>
      <c r="BR719" s="141" t="s">
        <v>23</v>
      </c>
      <c r="BS719" s="141" t="s">
        <v>2157</v>
      </c>
      <c r="BT719" s="141" t="s">
        <v>22</v>
      </c>
      <c r="BU719" s="141">
        <v>53333</v>
      </c>
      <c r="EJ719" s="145"/>
      <c r="EK719" s="145"/>
      <c r="EL719" s="145"/>
      <c r="EM719" s="145"/>
      <c r="EN719" s="145"/>
      <c r="EO719" s="145"/>
      <c r="EP719" s="145"/>
      <c r="EQ719" s="145"/>
      <c r="ER719" s="145"/>
      <c r="ES719" s="145"/>
      <c r="ET719" s="145"/>
      <c r="EU719" s="145"/>
      <c r="EV719" s="145"/>
      <c r="EW719" s="145"/>
      <c r="EX719" s="145"/>
      <c r="EY719" s="145"/>
      <c r="EZ719" s="145"/>
      <c r="FA719" s="145"/>
      <c r="FB719" s="145"/>
      <c r="FC719" s="145"/>
      <c r="FD719" s="145"/>
      <c r="FE719" s="145"/>
      <c r="FF719" s="145"/>
      <c r="FG719" s="145"/>
      <c r="FH719" s="145"/>
      <c r="FI719" s="145"/>
      <c r="FJ719" s="145"/>
      <c r="FK719" s="145"/>
      <c r="FL719" s="145"/>
      <c r="FM719" s="145"/>
      <c r="FN719" s="145"/>
      <c r="FO719" s="145"/>
      <c r="FP719" s="145"/>
      <c r="FQ719" s="145"/>
      <c r="FR719" s="145"/>
      <c r="FS719" s="145"/>
      <c r="FT719" s="145"/>
      <c r="FU719" s="145"/>
      <c r="FV719" s="145"/>
      <c r="FW719" s="145"/>
      <c r="FX719" s="145"/>
      <c r="FY719" s="145"/>
      <c r="FZ719" s="145"/>
      <c r="GA719" s="145"/>
      <c r="GB719" s="145"/>
      <c r="GC719" s="145"/>
      <c r="GD719" s="145"/>
      <c r="GE719" s="145"/>
      <c r="GF719" s="145"/>
      <c r="GG719" s="145"/>
      <c r="GH719" s="145"/>
      <c r="GI719" s="145"/>
      <c r="GJ719" s="145"/>
      <c r="GK719" s="145"/>
      <c r="GL719" s="145"/>
      <c r="GM719" s="145"/>
      <c r="GN719" s="145"/>
      <c r="GO719" s="145"/>
      <c r="GP719" s="145"/>
      <c r="GQ719" s="145"/>
      <c r="GR719" s="145"/>
      <c r="GS719" s="145"/>
      <c r="GT719" s="145"/>
      <c r="GU719" s="145"/>
      <c r="GV719" s="145"/>
      <c r="GW719" s="145"/>
      <c r="GX719" s="145"/>
      <c r="GY719" s="145"/>
      <c r="GZ719" s="145"/>
      <c r="HA719" s="145"/>
      <c r="HB719" s="145"/>
      <c r="HC719" s="145"/>
      <c r="HD719" s="145"/>
      <c r="HE719" s="145"/>
      <c r="HF719" s="145"/>
      <c r="HG719" s="145"/>
      <c r="HH719" s="145"/>
      <c r="HI719" s="145"/>
      <c r="HJ719" s="145"/>
      <c r="HK719" s="145"/>
      <c r="HL719" s="145" t="s">
        <v>2156</v>
      </c>
      <c r="HM719" s="145" t="s">
        <v>297</v>
      </c>
      <c r="HN719" s="141" t="s">
        <v>29</v>
      </c>
      <c r="HO719" s="141" t="s">
        <v>29</v>
      </c>
      <c r="HP719" s="141" t="s">
        <v>29</v>
      </c>
      <c r="HQ719" s="141" t="s">
        <v>29</v>
      </c>
      <c r="HZ719" s="142"/>
      <c r="IP719" s="141" t="s">
        <v>2155</v>
      </c>
      <c r="IQ719" s="141" t="s">
        <v>273</v>
      </c>
      <c r="IT719" s="141">
        <v>2011</v>
      </c>
      <c r="IV719" s="141" t="s">
        <v>29</v>
      </c>
      <c r="JK719" s="141" t="s">
        <v>2154</v>
      </c>
      <c r="JM719" s="141" t="s">
        <v>14</v>
      </c>
      <c r="JQ719" s="141" t="s">
        <v>13</v>
      </c>
      <c r="JR719" s="141">
        <v>131</v>
      </c>
      <c r="JS719" s="141">
        <v>59</v>
      </c>
      <c r="KF719" s="141" t="s">
        <v>2153</v>
      </c>
      <c r="KG719" s="141" t="s">
        <v>12</v>
      </c>
      <c r="KH719" s="141" t="s">
        <v>29</v>
      </c>
      <c r="KI719" s="141" t="s">
        <v>29</v>
      </c>
      <c r="KK719" s="141" t="s">
        <v>2152</v>
      </c>
      <c r="MZ719" s="141" t="s">
        <v>2151</v>
      </c>
      <c r="NA719" s="141">
        <v>2500</v>
      </c>
      <c r="NB719" s="141" t="s">
        <v>2150</v>
      </c>
      <c r="NC719" s="141" t="s">
        <v>168</v>
      </c>
      <c r="ND719" s="141" t="s">
        <v>2194</v>
      </c>
      <c r="NE719" s="141" t="s">
        <v>2193</v>
      </c>
      <c r="NJ719" s="141" t="s">
        <v>2192</v>
      </c>
      <c r="NK719" s="141" t="s">
        <v>2213</v>
      </c>
      <c r="NL719" s="141" t="s">
        <v>2375</v>
      </c>
      <c r="NM719" s="141" t="s">
        <v>1910</v>
      </c>
      <c r="NN719" s="141" t="s">
        <v>265</v>
      </c>
      <c r="NW719" s="141" t="s">
        <v>6</v>
      </c>
      <c r="NX719" s="141">
        <v>1313.06</v>
      </c>
      <c r="NY719" s="141" t="s">
        <v>234</v>
      </c>
      <c r="NZ719" s="141" t="s">
        <v>234</v>
      </c>
      <c r="OC719" s="141">
        <v>4</v>
      </c>
      <c r="OT719" s="141" t="s">
        <v>2189</v>
      </c>
      <c r="OU719" s="141" t="s">
        <v>2188</v>
      </c>
      <c r="OW719" s="141">
        <v>2011</v>
      </c>
      <c r="OX719" s="141">
        <v>2014</v>
      </c>
      <c r="PA719" s="141" t="s">
        <v>1169</v>
      </c>
      <c r="PB719" s="142">
        <v>46134</v>
      </c>
    </row>
    <row r="720" spans="1:418" s="141" customFormat="1">
      <c r="A720" s="87" t="s">
        <v>248</v>
      </c>
      <c r="B720" s="141" t="s">
        <v>2165</v>
      </c>
      <c r="C720" s="141" t="s">
        <v>2164</v>
      </c>
      <c r="D720" s="141" t="s">
        <v>245</v>
      </c>
      <c r="E720" s="141" t="s">
        <v>2182</v>
      </c>
      <c r="F720" s="141" t="s">
        <v>243</v>
      </c>
      <c r="G720" s="141" t="s">
        <v>2</v>
      </c>
      <c r="H720" s="141" t="s">
        <v>30</v>
      </c>
      <c r="I720" s="141">
        <v>-13.06</v>
      </c>
      <c r="J720" s="141">
        <v>34.299999999999997</v>
      </c>
      <c r="K720" s="141" t="s">
        <v>29</v>
      </c>
      <c r="AV720" s="141" t="s">
        <v>2162</v>
      </c>
      <c r="AW720" s="141">
        <v>1300</v>
      </c>
      <c r="AX720" s="141">
        <v>3900</v>
      </c>
      <c r="AY720" s="141">
        <v>3</v>
      </c>
      <c r="AZ720" s="141" t="s">
        <v>2161</v>
      </c>
      <c r="BA720" s="141">
        <v>2011</v>
      </c>
      <c r="BB720" s="141">
        <v>2014</v>
      </c>
      <c r="BD720" s="141" t="s">
        <v>19</v>
      </c>
      <c r="BE720" s="141" t="s">
        <v>2176</v>
      </c>
      <c r="BF720" s="141" t="s">
        <v>39</v>
      </c>
      <c r="BG720" s="141" t="s">
        <v>1233</v>
      </c>
      <c r="BH720" s="141" t="s">
        <v>23</v>
      </c>
      <c r="BI720" s="141" t="s">
        <v>2157</v>
      </c>
      <c r="BJ720" s="141" t="s">
        <v>22</v>
      </c>
      <c r="BK720" s="141">
        <v>53333</v>
      </c>
      <c r="EJ720" s="145"/>
      <c r="EK720" s="145"/>
      <c r="EL720" s="145"/>
      <c r="EM720" s="145"/>
      <c r="EN720" s="145"/>
      <c r="EO720" s="145"/>
      <c r="EP720" s="145"/>
      <c r="EQ720" s="145"/>
      <c r="ER720" s="145"/>
      <c r="ES720" s="145"/>
      <c r="ET720" s="145"/>
      <c r="EU720" s="145"/>
      <c r="EV720" s="145"/>
      <c r="EW720" s="145"/>
      <c r="EX720" s="145"/>
      <c r="EY720" s="145"/>
      <c r="EZ720" s="145"/>
      <c r="FA720" s="145"/>
      <c r="FB720" s="145"/>
      <c r="FC720" s="145"/>
      <c r="FD720" s="145"/>
      <c r="FE720" s="145"/>
      <c r="FF720" s="145"/>
      <c r="FG720" s="145"/>
      <c r="FH720" s="145"/>
      <c r="FI720" s="145"/>
      <c r="FJ720" s="145"/>
      <c r="FK720" s="145"/>
      <c r="FL720" s="145"/>
      <c r="FM720" s="145"/>
      <c r="FN720" s="145"/>
      <c r="FO720" s="145"/>
      <c r="FP720" s="145"/>
      <c r="FQ720" s="145"/>
      <c r="FR720" s="145"/>
      <c r="FS720" s="145"/>
      <c r="FT720" s="145"/>
      <c r="FU720" s="145"/>
      <c r="FV720" s="145"/>
      <c r="FW720" s="145"/>
      <c r="FX720" s="145"/>
      <c r="FY720" s="145"/>
      <c r="FZ720" s="145"/>
      <c r="GA720" s="145"/>
      <c r="GB720" s="145"/>
      <c r="GC720" s="145"/>
      <c r="GD720" s="145"/>
      <c r="GE720" s="145"/>
      <c r="GF720" s="145"/>
      <c r="GG720" s="145"/>
      <c r="GH720" s="145"/>
      <c r="GI720" s="145"/>
      <c r="GJ720" s="145"/>
      <c r="GK720" s="145"/>
      <c r="GL720" s="145"/>
      <c r="GM720" s="145"/>
      <c r="GN720" s="145"/>
      <c r="GO720" s="145"/>
      <c r="GP720" s="145"/>
      <c r="GQ720" s="145"/>
      <c r="GR720" s="145"/>
      <c r="GS720" s="145"/>
      <c r="GT720" s="145"/>
      <c r="GU720" s="145"/>
      <c r="GV720" s="145"/>
      <c r="GW720" s="145"/>
      <c r="GX720" s="145"/>
      <c r="GY720" s="145"/>
      <c r="GZ720" s="145"/>
      <c r="HA720" s="145"/>
      <c r="HB720" s="145"/>
      <c r="HC720" s="145"/>
      <c r="HD720" s="145"/>
      <c r="HE720" s="145"/>
      <c r="HF720" s="145"/>
      <c r="HG720" s="145"/>
      <c r="HH720" s="145"/>
      <c r="HI720" s="145"/>
      <c r="HJ720" s="145"/>
      <c r="HK720" s="145"/>
      <c r="HL720" s="145" t="s">
        <v>2171</v>
      </c>
      <c r="HM720" s="145" t="s">
        <v>232</v>
      </c>
      <c r="HU720" s="142"/>
      <c r="HV720" s="142"/>
      <c r="HZ720" s="142"/>
      <c r="IP720" s="141" t="s">
        <v>2176</v>
      </c>
      <c r="IQ720" s="141" t="s">
        <v>19</v>
      </c>
      <c r="IT720" s="141">
        <v>2011</v>
      </c>
      <c r="JK720" s="141" t="s">
        <v>2154</v>
      </c>
      <c r="JM720" s="141" t="s">
        <v>14</v>
      </c>
      <c r="JQ720" s="141" t="s">
        <v>13</v>
      </c>
      <c r="JR720" s="141">
        <v>309</v>
      </c>
      <c r="JS720" s="141">
        <v>93</v>
      </c>
      <c r="KF720" s="141" t="s">
        <v>2153</v>
      </c>
      <c r="KG720" s="141" t="s">
        <v>12</v>
      </c>
      <c r="KH720" s="141" t="s">
        <v>29</v>
      </c>
      <c r="KI720" s="141" t="s">
        <v>29</v>
      </c>
      <c r="KK720" s="141" t="s">
        <v>222</v>
      </c>
      <c r="KL720" s="141" t="s">
        <v>2168</v>
      </c>
      <c r="KM720" s="141" t="s">
        <v>220</v>
      </c>
      <c r="KN720" s="141">
        <v>7.5</v>
      </c>
      <c r="KO720" s="141" t="s">
        <v>222</v>
      </c>
      <c r="KP720" s="141" t="s">
        <v>2167</v>
      </c>
      <c r="KQ720" s="141" t="s">
        <v>220</v>
      </c>
      <c r="KR720" s="141">
        <v>2</v>
      </c>
      <c r="MZ720" s="141" t="s">
        <v>2151</v>
      </c>
      <c r="NA720" s="141">
        <v>1300</v>
      </c>
      <c r="NJ720" s="141" t="s">
        <v>2210</v>
      </c>
      <c r="NK720" s="141" t="s">
        <v>2209</v>
      </c>
      <c r="NL720" s="141" t="s">
        <v>2208</v>
      </c>
      <c r="NM720" s="141" t="s">
        <v>2207</v>
      </c>
      <c r="NN720" s="141" t="s">
        <v>2206</v>
      </c>
      <c r="NV720" s="141" t="s">
        <v>745</v>
      </c>
      <c r="NW720" s="141" t="s">
        <v>6</v>
      </c>
      <c r="NX720" s="141">
        <v>3.84</v>
      </c>
      <c r="NY720" s="141" t="s">
        <v>234</v>
      </c>
      <c r="NZ720" s="141" t="s">
        <v>234</v>
      </c>
      <c r="OC720" s="141">
        <v>4</v>
      </c>
      <c r="OT720" s="141" t="s">
        <v>2199</v>
      </c>
      <c r="OU720" s="141" t="s">
        <v>2188</v>
      </c>
      <c r="OW720" s="141">
        <v>2011</v>
      </c>
      <c r="OX720" s="141">
        <v>2014</v>
      </c>
      <c r="PA720" s="141" t="s">
        <v>1169</v>
      </c>
      <c r="PB720" s="142">
        <v>46134</v>
      </c>
    </row>
    <row r="721" spans="1:418" s="141" customFormat="1">
      <c r="A721" t="s">
        <v>248</v>
      </c>
      <c r="B721" s="141" t="s">
        <v>2165</v>
      </c>
      <c r="C721" s="141" t="s">
        <v>2164</v>
      </c>
      <c r="D721" s="141" t="s">
        <v>245</v>
      </c>
      <c r="E721" s="141" t="s">
        <v>2182</v>
      </c>
      <c r="F721" s="141" t="s">
        <v>243</v>
      </c>
      <c r="G721" s="141" t="s">
        <v>2</v>
      </c>
      <c r="H721" s="141" t="s">
        <v>30</v>
      </c>
      <c r="I721" s="141">
        <v>-13.06</v>
      </c>
      <c r="J721" s="141">
        <v>34.299999999999997</v>
      </c>
      <c r="K721" s="141" t="s">
        <v>29</v>
      </c>
      <c r="AV721" s="141" t="s">
        <v>2162</v>
      </c>
      <c r="AW721" s="141">
        <v>1300</v>
      </c>
      <c r="AX721" s="141">
        <v>3900</v>
      </c>
      <c r="AY721" s="141">
        <v>3</v>
      </c>
      <c r="AZ721" s="141" t="s">
        <v>2161</v>
      </c>
      <c r="BA721" s="141">
        <v>2011</v>
      </c>
      <c r="BB721" s="141">
        <v>2014</v>
      </c>
      <c r="BD721" s="141" t="s">
        <v>274</v>
      </c>
      <c r="BE721" s="141" t="s">
        <v>2186</v>
      </c>
      <c r="BF721" s="141" t="s">
        <v>64</v>
      </c>
      <c r="BG721" s="141" t="s">
        <v>1233</v>
      </c>
      <c r="BH721" s="141" t="s">
        <v>2005</v>
      </c>
      <c r="BI721" s="141" t="s">
        <v>2181</v>
      </c>
      <c r="BJ721" s="141" t="s">
        <v>22</v>
      </c>
      <c r="BK721" s="141">
        <v>12300</v>
      </c>
      <c r="BL721" s="141" t="s">
        <v>56</v>
      </c>
      <c r="BM721" s="141" t="s">
        <v>2173</v>
      </c>
      <c r="BN721" s="141" t="s">
        <v>2172</v>
      </c>
      <c r="BO721" s="141" t="s">
        <v>22</v>
      </c>
      <c r="BP721" s="141">
        <v>24700</v>
      </c>
      <c r="BQ721" s="141" t="s">
        <v>275</v>
      </c>
      <c r="BR721" s="141" t="s">
        <v>250</v>
      </c>
      <c r="BS721" s="141" t="s">
        <v>2187</v>
      </c>
      <c r="BT721" s="141" t="s">
        <v>22</v>
      </c>
      <c r="BU721" s="141">
        <v>355556</v>
      </c>
      <c r="BV721" s="141" t="s">
        <v>56</v>
      </c>
      <c r="BW721" s="141" t="s">
        <v>2173</v>
      </c>
      <c r="BX721" s="141" t="s">
        <v>2172</v>
      </c>
      <c r="BY721" s="141" t="s">
        <v>22</v>
      </c>
      <c r="BZ721" s="141">
        <v>24700</v>
      </c>
      <c r="CA721" s="141" t="s">
        <v>275</v>
      </c>
      <c r="CB721" s="141" t="s">
        <v>23</v>
      </c>
      <c r="CC721" s="141" t="s">
        <v>2157</v>
      </c>
      <c r="CD721" s="141" t="s">
        <v>22</v>
      </c>
      <c r="CE721" s="141">
        <v>53333</v>
      </c>
      <c r="EJ721" s="145"/>
      <c r="EK721" s="145"/>
      <c r="EL721" s="145"/>
      <c r="EM721" s="145"/>
      <c r="EN721" s="145"/>
      <c r="EO721" s="145"/>
      <c r="EP721" s="145"/>
      <c r="EQ721" s="145"/>
      <c r="ER721" s="145"/>
      <c r="ES721" s="145"/>
      <c r="ET721" s="145"/>
      <c r="EU721" s="145"/>
      <c r="EV721" s="145"/>
      <c r="EW721" s="145"/>
      <c r="EX721" s="145"/>
      <c r="EY721" s="145"/>
      <c r="EZ721" s="145"/>
      <c r="FA721" s="145"/>
      <c r="FB721" s="145"/>
      <c r="FC721" s="145"/>
      <c r="FD721" s="145"/>
      <c r="FE721" s="145"/>
      <c r="FF721" s="145"/>
      <c r="FG721" s="145"/>
      <c r="FH721" s="145"/>
      <c r="FI721" s="145"/>
      <c r="FJ721" s="145"/>
      <c r="FK721" s="145"/>
      <c r="FL721" s="145"/>
      <c r="FM721" s="145"/>
      <c r="FN721" s="145"/>
      <c r="FO721" s="145"/>
      <c r="FP721" s="145"/>
      <c r="FQ721" s="145"/>
      <c r="FR721" s="145"/>
      <c r="FS721" s="145"/>
      <c r="FT721" s="145"/>
      <c r="FU721" s="145"/>
      <c r="FV721" s="145"/>
      <c r="FW721" s="145"/>
      <c r="FX721" s="145"/>
      <c r="FY721" s="145"/>
      <c r="FZ721" s="145"/>
      <c r="GA721" s="145"/>
      <c r="GB721" s="145"/>
      <c r="GC721" s="145"/>
      <c r="GD721" s="145"/>
      <c r="GE721" s="145"/>
      <c r="GF721" s="145"/>
      <c r="GG721" s="145"/>
      <c r="GH721" s="145"/>
      <c r="GI721" s="145"/>
      <c r="GJ721" s="145"/>
      <c r="GK721" s="145"/>
      <c r="GL721" s="145"/>
      <c r="GM721" s="145"/>
      <c r="GN721" s="145"/>
      <c r="GO721" s="145"/>
      <c r="GP721" s="145"/>
      <c r="GQ721" s="145"/>
      <c r="GR721" s="145"/>
      <c r="GS721" s="145"/>
      <c r="GT721" s="145"/>
      <c r="GU721" s="145"/>
      <c r="GV721" s="145"/>
      <c r="GW721" s="145"/>
      <c r="GX721" s="145"/>
      <c r="GY721" s="145"/>
      <c r="GZ721" s="145"/>
      <c r="HA721" s="145"/>
      <c r="HB721" s="145"/>
      <c r="HC721" s="145"/>
      <c r="HD721" s="145"/>
      <c r="HE721" s="145"/>
      <c r="HF721" s="145"/>
      <c r="HG721" s="145"/>
      <c r="HH721" s="145"/>
      <c r="HI721" s="145"/>
      <c r="HJ721" s="145"/>
      <c r="HK721" s="145"/>
      <c r="HL721" s="145" t="s">
        <v>2171</v>
      </c>
      <c r="HM721" s="145" t="s">
        <v>232</v>
      </c>
      <c r="HU721" s="142"/>
      <c r="HV721" s="142"/>
      <c r="HZ721" s="142"/>
      <c r="IP721" s="141" t="s">
        <v>2186</v>
      </c>
      <c r="IQ721" s="141" t="s">
        <v>273</v>
      </c>
      <c r="IR721" s="141" t="s">
        <v>2169</v>
      </c>
      <c r="IT721" s="141">
        <v>2011</v>
      </c>
      <c r="IV721" s="141" t="s">
        <v>29</v>
      </c>
      <c r="JK721" s="141" t="s">
        <v>2154</v>
      </c>
      <c r="JM721" s="141" t="s">
        <v>14</v>
      </c>
      <c r="JQ721" s="141" t="s">
        <v>13</v>
      </c>
      <c r="JR721" s="141">
        <v>103</v>
      </c>
      <c r="JS721" s="141">
        <v>31</v>
      </c>
      <c r="KF721" s="141" t="s">
        <v>2153</v>
      </c>
      <c r="KG721" s="141" t="s">
        <v>12</v>
      </c>
      <c r="KH721" s="141" t="s">
        <v>29</v>
      </c>
      <c r="KI721" s="141" t="s">
        <v>29</v>
      </c>
      <c r="KK721" s="141" t="s">
        <v>222</v>
      </c>
      <c r="KL721" s="141" t="s">
        <v>2168</v>
      </c>
      <c r="KM721" s="141" t="s">
        <v>220</v>
      </c>
      <c r="KN721" s="141">
        <v>7.5</v>
      </c>
      <c r="KO721" s="141" t="s">
        <v>222</v>
      </c>
      <c r="KP721" s="141" t="s">
        <v>2167</v>
      </c>
      <c r="KQ721" s="141" t="s">
        <v>220</v>
      </c>
      <c r="KR721" s="141">
        <v>1</v>
      </c>
      <c r="KS721" s="141" t="s">
        <v>219</v>
      </c>
      <c r="KT721" s="141" t="s">
        <v>2185</v>
      </c>
      <c r="KU721" s="141" t="s">
        <v>2184</v>
      </c>
      <c r="KV721" s="141">
        <v>100</v>
      </c>
      <c r="MZ721" s="141" t="s">
        <v>2151</v>
      </c>
      <c r="NA721" s="141">
        <v>1300</v>
      </c>
      <c r="NJ721" s="141" t="s">
        <v>2211</v>
      </c>
      <c r="NK721" s="141" t="s">
        <v>2209</v>
      </c>
      <c r="NL721" s="141" t="s">
        <v>2208</v>
      </c>
      <c r="NM721" s="141" t="s">
        <v>2207</v>
      </c>
      <c r="NN721" s="141" t="s">
        <v>2206</v>
      </c>
      <c r="NW721" s="141" t="s">
        <v>6</v>
      </c>
      <c r="NX721" s="141">
        <v>2.8</v>
      </c>
      <c r="NY721" s="141" t="s">
        <v>234</v>
      </c>
      <c r="NZ721" s="141" t="s">
        <v>234</v>
      </c>
      <c r="OC721" s="141">
        <v>4</v>
      </c>
      <c r="OT721" s="141" t="s">
        <v>2199</v>
      </c>
      <c r="OU721" s="141" t="s">
        <v>2188</v>
      </c>
      <c r="OW721" s="141">
        <v>2011</v>
      </c>
      <c r="OX721" s="141">
        <v>2014</v>
      </c>
      <c r="PA721" s="141" t="s">
        <v>1169</v>
      </c>
      <c r="PB721" s="142">
        <v>46134</v>
      </c>
    </row>
    <row r="722" spans="1:418" s="141" customFormat="1">
      <c r="A722" t="s">
        <v>248</v>
      </c>
      <c r="B722" s="141" t="s">
        <v>2165</v>
      </c>
      <c r="C722" s="141" t="s">
        <v>2164</v>
      </c>
      <c r="D722" s="141" t="s">
        <v>245</v>
      </c>
      <c r="E722" s="141" t="s">
        <v>2182</v>
      </c>
      <c r="F722" s="141" t="s">
        <v>243</v>
      </c>
      <c r="G722" s="141" t="s">
        <v>2</v>
      </c>
      <c r="H722" s="141" t="s">
        <v>30</v>
      </c>
      <c r="I722" s="141">
        <v>-13.06</v>
      </c>
      <c r="J722" s="141">
        <v>34.299999999999997</v>
      </c>
      <c r="K722" s="141" t="s">
        <v>29</v>
      </c>
      <c r="AV722" s="141" t="s">
        <v>2162</v>
      </c>
      <c r="AW722" s="141">
        <v>1300</v>
      </c>
      <c r="AX722" s="141">
        <v>3900</v>
      </c>
      <c r="AY722" s="141">
        <v>3</v>
      </c>
      <c r="AZ722" s="141" t="s">
        <v>2161</v>
      </c>
      <c r="BA722" s="141">
        <v>2011</v>
      </c>
      <c r="BB722" s="141">
        <v>2014</v>
      </c>
      <c r="BD722" s="141" t="s">
        <v>274</v>
      </c>
      <c r="BE722" s="141" t="s">
        <v>2179</v>
      </c>
      <c r="BF722" s="141" t="s">
        <v>57</v>
      </c>
      <c r="BG722" s="141" t="s">
        <v>1233</v>
      </c>
      <c r="BH722" s="141" t="s">
        <v>2005</v>
      </c>
      <c r="BI722" s="141" t="s">
        <v>2181</v>
      </c>
      <c r="BJ722" s="141" t="s">
        <v>22</v>
      </c>
      <c r="BK722" s="141">
        <v>12300</v>
      </c>
      <c r="BL722" s="141" t="s">
        <v>275</v>
      </c>
      <c r="BM722" s="141" t="s">
        <v>271</v>
      </c>
      <c r="BN722" s="141" t="s">
        <v>2180</v>
      </c>
      <c r="BO722" s="141" t="s">
        <v>22</v>
      </c>
      <c r="BP722" s="141">
        <v>266667</v>
      </c>
      <c r="BQ722" s="141" t="s">
        <v>275</v>
      </c>
      <c r="BR722" s="141" t="s">
        <v>23</v>
      </c>
      <c r="BS722" s="141" t="s">
        <v>2157</v>
      </c>
      <c r="BT722" s="141" t="s">
        <v>22</v>
      </c>
      <c r="BU722" s="141">
        <v>53333</v>
      </c>
      <c r="EJ722" s="145"/>
      <c r="EK722" s="145"/>
      <c r="EL722" s="145"/>
      <c r="EM722" s="145"/>
      <c r="EN722" s="145"/>
      <c r="EO722" s="145"/>
      <c r="EP722" s="145"/>
      <c r="EQ722" s="145"/>
      <c r="ER722" s="145"/>
      <c r="ES722" s="145"/>
      <c r="ET722" s="145"/>
      <c r="EU722" s="145"/>
      <c r="EV722" s="145"/>
      <c r="EW722" s="145"/>
      <c r="EX722" s="145"/>
      <c r="EY722" s="145"/>
      <c r="EZ722" s="145"/>
      <c r="FA722" s="145"/>
      <c r="FB722" s="145"/>
      <c r="FC722" s="145"/>
      <c r="FD722" s="145"/>
      <c r="FE722" s="145"/>
      <c r="FF722" s="145"/>
      <c r="FG722" s="145"/>
      <c r="FH722" s="145"/>
      <c r="FI722" s="145"/>
      <c r="FJ722" s="145"/>
      <c r="FK722" s="145"/>
      <c r="FL722" s="145"/>
      <c r="FM722" s="145"/>
      <c r="FN722" s="145"/>
      <c r="FO722" s="145"/>
      <c r="FP722" s="145"/>
      <c r="FQ722" s="145"/>
      <c r="FR722" s="145"/>
      <c r="FS722" s="145"/>
      <c r="FT722" s="145"/>
      <c r="FU722" s="145"/>
      <c r="FV722" s="145"/>
      <c r="FW722" s="145"/>
      <c r="FX722" s="145"/>
      <c r="FY722" s="145"/>
      <c r="FZ722" s="145"/>
      <c r="GA722" s="145"/>
      <c r="GB722" s="145"/>
      <c r="GC722" s="145"/>
      <c r="GD722" s="145"/>
      <c r="GE722" s="145"/>
      <c r="GF722" s="145"/>
      <c r="GG722" s="145"/>
      <c r="GH722" s="145"/>
      <c r="GI722" s="145"/>
      <c r="GJ722" s="145"/>
      <c r="GK722" s="145"/>
      <c r="GL722" s="145"/>
      <c r="GM722" s="145"/>
      <c r="GN722" s="145"/>
      <c r="GO722" s="145"/>
      <c r="GP722" s="145"/>
      <c r="GQ722" s="145"/>
      <c r="GR722" s="145"/>
      <c r="GS722" s="145"/>
      <c r="GT722" s="145"/>
      <c r="GU722" s="145"/>
      <c r="GV722" s="145"/>
      <c r="GW722" s="145"/>
      <c r="GX722" s="145"/>
      <c r="GY722" s="145"/>
      <c r="GZ722" s="145"/>
      <c r="HA722" s="145"/>
      <c r="HB722" s="145"/>
      <c r="HC722" s="145"/>
      <c r="HD722" s="145"/>
      <c r="HE722" s="145"/>
      <c r="HF722" s="145"/>
      <c r="HG722" s="145"/>
      <c r="HH722" s="145"/>
      <c r="HI722" s="145"/>
      <c r="HJ722" s="145"/>
      <c r="HK722" s="145"/>
      <c r="HL722" s="145" t="s">
        <v>2156</v>
      </c>
      <c r="HM722" s="145" t="s">
        <v>297</v>
      </c>
      <c r="HN722" s="141" t="s">
        <v>29</v>
      </c>
      <c r="HO722" s="141" t="s">
        <v>29</v>
      </c>
      <c r="HP722" s="141" t="s">
        <v>29</v>
      </c>
      <c r="HQ722" s="141" t="s">
        <v>29</v>
      </c>
      <c r="HZ722" s="142"/>
      <c r="IP722" s="141" t="s">
        <v>2179</v>
      </c>
      <c r="IQ722" s="141" t="s">
        <v>273</v>
      </c>
      <c r="IT722" s="141">
        <v>2011</v>
      </c>
      <c r="IV722" s="141" t="s">
        <v>29</v>
      </c>
      <c r="JK722" s="141" t="s">
        <v>2154</v>
      </c>
      <c r="JM722" s="141" t="s">
        <v>14</v>
      </c>
      <c r="JQ722" s="141" t="s">
        <v>13</v>
      </c>
      <c r="JR722" s="141">
        <v>124</v>
      </c>
      <c r="JS722" s="141">
        <v>50</v>
      </c>
      <c r="KF722" s="141" t="s">
        <v>2153</v>
      </c>
      <c r="KG722" s="141" t="s">
        <v>12</v>
      </c>
      <c r="KH722" s="141" t="s">
        <v>29</v>
      </c>
      <c r="KI722" s="141" t="s">
        <v>29</v>
      </c>
      <c r="KK722" s="141" t="s">
        <v>2152</v>
      </c>
      <c r="MZ722" s="141" t="s">
        <v>2151</v>
      </c>
      <c r="NA722" s="141">
        <v>1300</v>
      </c>
      <c r="NJ722" s="141" t="s">
        <v>2210</v>
      </c>
      <c r="NK722" s="141" t="s">
        <v>2209</v>
      </c>
      <c r="NL722" s="141" t="s">
        <v>2208</v>
      </c>
      <c r="NM722" s="141" t="s">
        <v>2207</v>
      </c>
      <c r="NN722" s="141" t="s">
        <v>2206</v>
      </c>
      <c r="NW722" s="141" t="s">
        <v>6</v>
      </c>
      <c r="NX722" s="141">
        <v>2.99</v>
      </c>
      <c r="NY722" s="141" t="s">
        <v>234</v>
      </c>
      <c r="NZ722" s="141" t="s">
        <v>234</v>
      </c>
      <c r="OC722" s="141">
        <v>4</v>
      </c>
      <c r="OT722" s="141" t="s">
        <v>2199</v>
      </c>
      <c r="OU722" s="141" t="s">
        <v>2188</v>
      </c>
      <c r="OW722" s="141">
        <v>2011</v>
      </c>
      <c r="OX722" s="141">
        <v>2014</v>
      </c>
      <c r="PA722" s="141" t="s">
        <v>1169</v>
      </c>
      <c r="PB722" s="142">
        <v>46134</v>
      </c>
    </row>
    <row r="723" spans="1:418" s="141" customFormat="1">
      <c r="A723" s="87" t="s">
        <v>248</v>
      </c>
      <c r="B723" s="141" t="s">
        <v>2165</v>
      </c>
      <c r="C723" s="141" t="s">
        <v>2164</v>
      </c>
      <c r="D723" s="141" t="s">
        <v>245</v>
      </c>
      <c r="E723" s="141" t="s">
        <v>2163</v>
      </c>
      <c r="F723" s="141" t="s">
        <v>243</v>
      </c>
      <c r="G723" s="141" t="s">
        <v>2</v>
      </c>
      <c r="H723" s="141" t="s">
        <v>30</v>
      </c>
      <c r="I723" s="141">
        <v>-13.47</v>
      </c>
      <c r="J723" s="141">
        <v>33.71</v>
      </c>
      <c r="K723" s="141" t="s">
        <v>29</v>
      </c>
      <c r="AV723" s="141" t="s">
        <v>2162</v>
      </c>
      <c r="AW723" s="141">
        <v>2500</v>
      </c>
      <c r="AX723" s="141">
        <v>7500</v>
      </c>
      <c r="AY723" s="141">
        <v>3</v>
      </c>
      <c r="AZ723" s="141" t="s">
        <v>2161</v>
      </c>
      <c r="BA723" s="141">
        <v>2011</v>
      </c>
      <c r="BB723" s="141">
        <v>2014</v>
      </c>
      <c r="BD723" s="141" t="s">
        <v>19</v>
      </c>
      <c r="BE723" s="141" t="s">
        <v>2176</v>
      </c>
      <c r="BF723" s="141" t="s">
        <v>24</v>
      </c>
      <c r="BG723" s="141" t="s">
        <v>1233</v>
      </c>
      <c r="BH723" s="141" t="s">
        <v>23</v>
      </c>
      <c r="BI723" s="141" t="s">
        <v>2157</v>
      </c>
      <c r="BJ723" s="141" t="s">
        <v>22</v>
      </c>
      <c r="BK723" s="141">
        <v>53333</v>
      </c>
      <c r="EJ723" s="145"/>
      <c r="EK723" s="145"/>
      <c r="EL723" s="145"/>
      <c r="EM723" s="145"/>
      <c r="EN723" s="145"/>
      <c r="EO723" s="145"/>
      <c r="EP723" s="145"/>
      <c r="EQ723" s="145"/>
      <c r="ER723" s="145"/>
      <c r="ES723" s="145"/>
      <c r="ET723" s="145"/>
      <c r="EU723" s="145"/>
      <c r="EV723" s="145"/>
      <c r="EW723" s="145"/>
      <c r="EX723" s="145"/>
      <c r="EY723" s="145"/>
      <c r="EZ723" s="145"/>
      <c r="FA723" s="145"/>
      <c r="FB723" s="145"/>
      <c r="FC723" s="145"/>
      <c r="FD723" s="145"/>
      <c r="FE723" s="145"/>
      <c r="FF723" s="145"/>
      <c r="FG723" s="145"/>
      <c r="FH723" s="145"/>
      <c r="FI723" s="145"/>
      <c r="FJ723" s="145"/>
      <c r="FK723" s="145"/>
      <c r="FL723" s="145"/>
      <c r="FM723" s="145"/>
      <c r="FN723" s="145"/>
      <c r="FO723" s="145"/>
      <c r="FP723" s="145"/>
      <c r="FQ723" s="145"/>
      <c r="FR723" s="145"/>
      <c r="FS723" s="145"/>
      <c r="FT723" s="145"/>
      <c r="FU723" s="145"/>
      <c r="FV723" s="145"/>
      <c r="FW723" s="145"/>
      <c r="FX723" s="145"/>
      <c r="FY723" s="145"/>
      <c r="FZ723" s="145"/>
      <c r="GA723" s="145"/>
      <c r="GB723" s="145"/>
      <c r="GC723" s="145"/>
      <c r="GD723" s="145"/>
      <c r="GE723" s="145"/>
      <c r="GF723" s="145"/>
      <c r="GG723" s="145"/>
      <c r="GH723" s="145"/>
      <c r="GI723" s="145"/>
      <c r="GJ723" s="145"/>
      <c r="GK723" s="145"/>
      <c r="GL723" s="145"/>
      <c r="GM723" s="145"/>
      <c r="GN723" s="145"/>
      <c r="GO723" s="145"/>
      <c r="GP723" s="145"/>
      <c r="GQ723" s="145"/>
      <c r="GR723" s="145"/>
      <c r="GS723" s="145"/>
      <c r="GT723" s="145"/>
      <c r="GU723" s="145"/>
      <c r="GV723" s="145"/>
      <c r="GW723" s="145"/>
      <c r="GX723" s="145"/>
      <c r="GY723" s="145"/>
      <c r="GZ723" s="145"/>
      <c r="HA723" s="145"/>
      <c r="HB723" s="145"/>
      <c r="HC723" s="145"/>
      <c r="HD723" s="145"/>
      <c r="HE723" s="145"/>
      <c r="HF723" s="145"/>
      <c r="HG723" s="145"/>
      <c r="HH723" s="145"/>
      <c r="HI723" s="145"/>
      <c r="HJ723" s="145"/>
      <c r="HK723" s="145"/>
      <c r="HL723" s="145" t="s">
        <v>2171</v>
      </c>
      <c r="HM723" s="145" t="s">
        <v>232</v>
      </c>
      <c r="HZ723" s="142"/>
      <c r="IP723" s="141" t="s">
        <v>2176</v>
      </c>
      <c r="IQ723" s="141" t="s">
        <v>19</v>
      </c>
      <c r="IT723" s="141">
        <v>2011</v>
      </c>
      <c r="JK723" s="141" t="s">
        <v>2154</v>
      </c>
      <c r="JM723" s="141" t="s">
        <v>14</v>
      </c>
      <c r="JQ723" s="141" t="s">
        <v>13</v>
      </c>
      <c r="JR723" s="141">
        <v>309</v>
      </c>
      <c r="JS723" s="141">
        <v>93</v>
      </c>
      <c r="KF723" s="141" t="s">
        <v>2153</v>
      </c>
      <c r="KG723" s="141" t="s">
        <v>12</v>
      </c>
      <c r="KH723" s="141" t="s">
        <v>29</v>
      </c>
      <c r="KI723" s="141" t="s">
        <v>29</v>
      </c>
      <c r="KK723" s="141" t="s">
        <v>222</v>
      </c>
      <c r="KL723" s="141" t="s">
        <v>2168</v>
      </c>
      <c r="KM723" s="141" t="s">
        <v>220</v>
      </c>
      <c r="KN723" s="141">
        <v>7.5</v>
      </c>
      <c r="KO723" s="141" t="s">
        <v>222</v>
      </c>
      <c r="KP723" s="141" t="s">
        <v>2167</v>
      </c>
      <c r="KQ723" s="141" t="s">
        <v>220</v>
      </c>
      <c r="KR723" s="141">
        <v>2</v>
      </c>
      <c r="MZ723" s="141" t="s">
        <v>2151</v>
      </c>
      <c r="NA723" s="141">
        <v>2500</v>
      </c>
      <c r="NJ723" s="141" t="s">
        <v>2210</v>
      </c>
      <c r="NK723" s="141" t="s">
        <v>2209</v>
      </c>
      <c r="NL723" s="141" t="s">
        <v>2208</v>
      </c>
      <c r="NM723" s="141" t="s">
        <v>2207</v>
      </c>
      <c r="NN723" s="141" t="s">
        <v>2206</v>
      </c>
      <c r="NV723" s="141" t="s">
        <v>2174</v>
      </c>
      <c r="NW723" s="141" t="s">
        <v>6</v>
      </c>
      <c r="NX723" s="141">
        <v>5.95</v>
      </c>
      <c r="NY723" s="141" t="s">
        <v>234</v>
      </c>
      <c r="NZ723" s="141" t="s">
        <v>234</v>
      </c>
      <c r="OC723" s="141">
        <v>4</v>
      </c>
      <c r="OT723" s="141" t="s">
        <v>2189</v>
      </c>
      <c r="OU723" s="141" t="s">
        <v>2188</v>
      </c>
      <c r="OW723" s="141">
        <v>2011</v>
      </c>
      <c r="OX723" s="141">
        <v>2014</v>
      </c>
      <c r="PA723" s="141" t="s">
        <v>1169</v>
      </c>
      <c r="PB723" s="142">
        <v>46134</v>
      </c>
    </row>
    <row r="724" spans="1:418" s="141" customFormat="1">
      <c r="A724" t="s">
        <v>248</v>
      </c>
      <c r="B724" s="141" t="s">
        <v>2165</v>
      </c>
      <c r="C724" s="141" t="s">
        <v>2164</v>
      </c>
      <c r="D724" s="141" t="s">
        <v>245</v>
      </c>
      <c r="E724" s="141" t="s">
        <v>2163</v>
      </c>
      <c r="F724" s="141" t="s">
        <v>243</v>
      </c>
      <c r="G724" s="141" t="s">
        <v>2</v>
      </c>
      <c r="H724" s="141" t="s">
        <v>30</v>
      </c>
      <c r="I724" s="141">
        <v>-13.47</v>
      </c>
      <c r="J724" s="141">
        <v>33.71</v>
      </c>
      <c r="K724" s="141" t="s">
        <v>29</v>
      </c>
      <c r="AV724" s="141" t="s">
        <v>2162</v>
      </c>
      <c r="AW724" s="141">
        <v>2500</v>
      </c>
      <c r="AX724" s="141">
        <v>7500</v>
      </c>
      <c r="AY724" s="141">
        <v>3</v>
      </c>
      <c r="AZ724" s="141" t="s">
        <v>2161</v>
      </c>
      <c r="BA724" s="141">
        <v>2011</v>
      </c>
      <c r="BB724" s="141">
        <v>2014</v>
      </c>
      <c r="BD724" s="141" t="s">
        <v>274</v>
      </c>
      <c r="BE724" s="141" t="s">
        <v>2170</v>
      </c>
      <c r="BF724" s="141" t="s">
        <v>48</v>
      </c>
      <c r="BG724" s="141" t="s">
        <v>1233</v>
      </c>
      <c r="BH724" s="141" t="s">
        <v>2160</v>
      </c>
      <c r="BI724" s="141" t="s">
        <v>2159</v>
      </c>
      <c r="BJ724" s="141" t="s">
        <v>22</v>
      </c>
      <c r="BK724" s="141">
        <v>3700</v>
      </c>
      <c r="BL724" s="141" t="s">
        <v>56</v>
      </c>
      <c r="BM724" s="141" t="s">
        <v>2173</v>
      </c>
      <c r="BN724" s="141" t="s">
        <v>2172</v>
      </c>
      <c r="BO724" s="141" t="s">
        <v>22</v>
      </c>
      <c r="BP724" s="141">
        <v>18500</v>
      </c>
      <c r="BQ724" s="141" t="s">
        <v>275</v>
      </c>
      <c r="BR724" s="141" t="s">
        <v>1659</v>
      </c>
      <c r="BS724" s="141" t="s">
        <v>2158</v>
      </c>
      <c r="BT724" s="141" t="s">
        <v>22</v>
      </c>
      <c r="BU724" s="141">
        <v>222200</v>
      </c>
      <c r="BV724" s="141" t="s">
        <v>275</v>
      </c>
      <c r="BW724" s="141" t="s">
        <v>23</v>
      </c>
      <c r="BX724" s="141" t="s">
        <v>2157</v>
      </c>
      <c r="BY724" s="141" t="s">
        <v>22</v>
      </c>
      <c r="BZ724" s="141">
        <v>53333</v>
      </c>
      <c r="EJ724" s="145"/>
      <c r="EK724" s="145"/>
      <c r="EL724" s="145"/>
      <c r="EM724" s="145"/>
      <c r="EN724" s="145"/>
      <c r="EO724" s="145"/>
      <c r="EP724" s="145"/>
      <c r="EQ724" s="145"/>
      <c r="ER724" s="145"/>
      <c r="ES724" s="145"/>
      <c r="ET724" s="145"/>
      <c r="EU724" s="145"/>
      <c r="EV724" s="145"/>
      <c r="EW724" s="145"/>
      <c r="EX724" s="145"/>
      <c r="EY724" s="145"/>
      <c r="EZ724" s="145"/>
      <c r="FA724" s="145"/>
      <c r="FB724" s="145"/>
      <c r="FC724" s="145"/>
      <c r="FD724" s="145"/>
      <c r="FE724" s="145"/>
      <c r="FF724" s="145"/>
      <c r="FG724" s="145"/>
      <c r="FH724" s="145"/>
      <c r="FI724" s="145"/>
      <c r="FJ724" s="145"/>
      <c r="FK724" s="145"/>
      <c r="FL724" s="145"/>
      <c r="FM724" s="145"/>
      <c r="FN724" s="145"/>
      <c r="FO724" s="145"/>
      <c r="FP724" s="145"/>
      <c r="FQ724" s="145"/>
      <c r="FR724" s="145"/>
      <c r="FS724" s="145"/>
      <c r="FT724" s="145"/>
      <c r="FU724" s="145"/>
      <c r="FV724" s="145"/>
      <c r="FW724" s="145"/>
      <c r="FX724" s="145"/>
      <c r="FY724" s="145"/>
      <c r="FZ724" s="145"/>
      <c r="GA724" s="145"/>
      <c r="GB724" s="145"/>
      <c r="GC724" s="145"/>
      <c r="GD724" s="145"/>
      <c r="GE724" s="145"/>
      <c r="GF724" s="145"/>
      <c r="GG724" s="145"/>
      <c r="GH724" s="145"/>
      <c r="GI724" s="145"/>
      <c r="GJ724" s="145"/>
      <c r="GK724" s="145"/>
      <c r="GL724" s="145"/>
      <c r="GM724" s="145"/>
      <c r="GN724" s="145"/>
      <c r="GO724" s="145"/>
      <c r="GP724" s="145"/>
      <c r="GQ724" s="145"/>
      <c r="GR724" s="145"/>
      <c r="GS724" s="145"/>
      <c r="GT724" s="145"/>
      <c r="GU724" s="145"/>
      <c r="GV724" s="145"/>
      <c r="GW724" s="145"/>
      <c r="GX724" s="145"/>
      <c r="GY724" s="145"/>
      <c r="GZ724" s="145"/>
      <c r="HA724" s="145"/>
      <c r="HB724" s="145"/>
      <c r="HC724" s="145"/>
      <c r="HD724" s="145"/>
      <c r="HE724" s="145"/>
      <c r="HF724" s="145"/>
      <c r="HG724" s="145"/>
      <c r="HH724" s="145"/>
      <c r="HI724" s="145"/>
      <c r="HJ724" s="145"/>
      <c r="HK724" s="145"/>
      <c r="HL724" s="145" t="s">
        <v>2171</v>
      </c>
      <c r="HM724" s="145" t="s">
        <v>232</v>
      </c>
      <c r="HZ724" s="142"/>
      <c r="IP724" s="141" t="s">
        <v>2170</v>
      </c>
      <c r="IQ724" s="141" t="s">
        <v>273</v>
      </c>
      <c r="IR724" s="141" t="s">
        <v>2169</v>
      </c>
      <c r="IT724" s="141">
        <v>2011</v>
      </c>
      <c r="IV724" s="141" t="s">
        <v>29</v>
      </c>
      <c r="JK724" s="141" t="s">
        <v>2154</v>
      </c>
      <c r="JM724" s="141" t="s">
        <v>14</v>
      </c>
      <c r="JQ724" s="141" t="s">
        <v>13</v>
      </c>
      <c r="JR724" s="141">
        <v>131</v>
      </c>
      <c r="JS724" s="141">
        <v>59</v>
      </c>
      <c r="KF724" s="141" t="s">
        <v>2153</v>
      </c>
      <c r="KG724" s="141" t="s">
        <v>12</v>
      </c>
      <c r="KH724" s="141" t="s">
        <v>29</v>
      </c>
      <c r="KI724" s="141" t="s">
        <v>29</v>
      </c>
      <c r="KK724" s="141" t="s">
        <v>222</v>
      </c>
      <c r="KL724" s="141" t="s">
        <v>2168</v>
      </c>
      <c r="KM724" s="141" t="s">
        <v>220</v>
      </c>
      <c r="KN724" s="141">
        <v>7.5</v>
      </c>
      <c r="KO724" s="141" t="s">
        <v>222</v>
      </c>
      <c r="KP724" s="141" t="s">
        <v>2167</v>
      </c>
      <c r="KQ724" s="141" t="s">
        <v>220</v>
      </c>
      <c r="KR724" s="141">
        <v>1</v>
      </c>
      <c r="MZ724" s="141" t="s">
        <v>2151</v>
      </c>
      <c r="NA724" s="141">
        <v>2500</v>
      </c>
      <c r="NJ724" s="141" t="s">
        <v>2210</v>
      </c>
      <c r="NK724" s="141" t="s">
        <v>2209</v>
      </c>
      <c r="NL724" s="141" t="s">
        <v>2208</v>
      </c>
      <c r="NM724" s="141" t="s">
        <v>2207</v>
      </c>
      <c r="NN724" s="141" t="s">
        <v>2206</v>
      </c>
      <c r="NW724" s="141" t="s">
        <v>6</v>
      </c>
      <c r="NX724" s="141">
        <v>5.21</v>
      </c>
      <c r="NY724" s="141" t="s">
        <v>234</v>
      </c>
      <c r="NZ724" s="141" t="s">
        <v>234</v>
      </c>
      <c r="OC724" s="141">
        <v>4</v>
      </c>
      <c r="OT724" s="141" t="s">
        <v>2189</v>
      </c>
      <c r="OU724" s="141" t="s">
        <v>2188</v>
      </c>
      <c r="OW724" s="141">
        <v>2011</v>
      </c>
      <c r="OX724" s="141">
        <v>2014</v>
      </c>
      <c r="PA724" s="141" t="s">
        <v>1169</v>
      </c>
      <c r="PB724" s="142">
        <v>46134</v>
      </c>
    </row>
    <row r="725" spans="1:418" s="141" customFormat="1">
      <c r="A725" t="s">
        <v>248</v>
      </c>
      <c r="B725" s="141" t="s">
        <v>2165</v>
      </c>
      <c r="C725" s="141" t="s">
        <v>2164</v>
      </c>
      <c r="D725" s="141" t="s">
        <v>245</v>
      </c>
      <c r="E725" s="141" t="s">
        <v>2163</v>
      </c>
      <c r="F725" s="141" t="s">
        <v>243</v>
      </c>
      <c r="G725" s="141" t="s">
        <v>2</v>
      </c>
      <c r="H725" s="141" t="s">
        <v>30</v>
      </c>
      <c r="I725" s="141">
        <v>-13.47</v>
      </c>
      <c r="J725" s="141">
        <v>33.71</v>
      </c>
      <c r="K725" s="141" t="s">
        <v>29</v>
      </c>
      <c r="AV725" s="141" t="s">
        <v>2162</v>
      </c>
      <c r="AW725" s="141">
        <v>2500</v>
      </c>
      <c r="AX725" s="141">
        <v>7500</v>
      </c>
      <c r="AY725" s="141">
        <v>3</v>
      </c>
      <c r="AZ725" s="141" t="s">
        <v>2161</v>
      </c>
      <c r="BA725" s="141">
        <v>2011</v>
      </c>
      <c r="BB725" s="141">
        <v>2014</v>
      </c>
      <c r="BD725" s="141" t="s">
        <v>274</v>
      </c>
      <c r="BE725" s="141" t="s">
        <v>2155</v>
      </c>
      <c r="BF725" s="141" t="s">
        <v>43</v>
      </c>
      <c r="BG725" s="141" t="s">
        <v>1233</v>
      </c>
      <c r="BH725" s="141" t="s">
        <v>2160</v>
      </c>
      <c r="BI725" s="141" t="s">
        <v>2159</v>
      </c>
      <c r="BJ725" s="141" t="s">
        <v>22</v>
      </c>
      <c r="BK725" s="141">
        <v>3700</v>
      </c>
      <c r="BL725" s="141" t="s">
        <v>275</v>
      </c>
      <c r="BM725" s="141" t="s">
        <v>1659</v>
      </c>
      <c r="BN725" s="141" t="s">
        <v>2158</v>
      </c>
      <c r="BO725" s="141" t="s">
        <v>22</v>
      </c>
      <c r="BP725" s="141">
        <v>177800</v>
      </c>
      <c r="BQ725" s="141" t="s">
        <v>275</v>
      </c>
      <c r="BR725" s="141" t="s">
        <v>23</v>
      </c>
      <c r="BS725" s="141" t="s">
        <v>2157</v>
      </c>
      <c r="BT725" s="141" t="s">
        <v>22</v>
      </c>
      <c r="BU725" s="141">
        <v>53333</v>
      </c>
      <c r="EJ725" s="145"/>
      <c r="EK725" s="145"/>
      <c r="EL725" s="145"/>
      <c r="EM725" s="145"/>
      <c r="EN725" s="145"/>
      <c r="EO725" s="145"/>
      <c r="EP725" s="145"/>
      <c r="EQ725" s="145"/>
      <c r="ER725" s="145"/>
      <c r="ES725" s="145"/>
      <c r="ET725" s="145"/>
      <c r="EU725" s="145"/>
      <c r="EV725" s="145"/>
      <c r="EW725" s="145"/>
      <c r="EX725" s="145"/>
      <c r="EY725" s="145"/>
      <c r="EZ725" s="145"/>
      <c r="FA725" s="145"/>
      <c r="FB725" s="145"/>
      <c r="FC725" s="145"/>
      <c r="FD725" s="145"/>
      <c r="FE725" s="145"/>
      <c r="FF725" s="145"/>
      <c r="FG725" s="145"/>
      <c r="FH725" s="145"/>
      <c r="FI725" s="145"/>
      <c r="FJ725" s="145"/>
      <c r="FK725" s="145"/>
      <c r="FL725" s="145"/>
      <c r="FM725" s="145"/>
      <c r="FN725" s="145"/>
      <c r="FO725" s="145"/>
      <c r="FP725" s="145"/>
      <c r="FQ725" s="145"/>
      <c r="FR725" s="145"/>
      <c r="FS725" s="145"/>
      <c r="FT725" s="145"/>
      <c r="FU725" s="145"/>
      <c r="FV725" s="145"/>
      <c r="FW725" s="145"/>
      <c r="FX725" s="145"/>
      <c r="FY725" s="145"/>
      <c r="FZ725" s="145"/>
      <c r="GA725" s="145"/>
      <c r="GB725" s="145"/>
      <c r="GC725" s="145"/>
      <c r="GD725" s="145"/>
      <c r="GE725" s="145"/>
      <c r="GF725" s="145"/>
      <c r="GG725" s="145"/>
      <c r="GH725" s="145"/>
      <c r="GI725" s="145"/>
      <c r="GJ725" s="145"/>
      <c r="GK725" s="145"/>
      <c r="GL725" s="145"/>
      <c r="GM725" s="145"/>
      <c r="GN725" s="145"/>
      <c r="GO725" s="145"/>
      <c r="GP725" s="145"/>
      <c r="GQ725" s="145"/>
      <c r="GR725" s="145"/>
      <c r="GS725" s="145"/>
      <c r="GT725" s="145"/>
      <c r="GU725" s="145"/>
      <c r="GV725" s="145"/>
      <c r="GW725" s="145"/>
      <c r="GX725" s="145"/>
      <c r="GY725" s="145"/>
      <c r="GZ725" s="145"/>
      <c r="HA725" s="145"/>
      <c r="HB725" s="145"/>
      <c r="HC725" s="145"/>
      <c r="HD725" s="145"/>
      <c r="HE725" s="145"/>
      <c r="HF725" s="145"/>
      <c r="HG725" s="145"/>
      <c r="HH725" s="145"/>
      <c r="HI725" s="145"/>
      <c r="HJ725" s="145"/>
      <c r="HK725" s="145"/>
      <c r="HL725" s="145" t="s">
        <v>2156</v>
      </c>
      <c r="HM725" s="145" t="s">
        <v>297</v>
      </c>
      <c r="HN725" s="141" t="s">
        <v>29</v>
      </c>
      <c r="HO725" s="141" t="s">
        <v>29</v>
      </c>
      <c r="HP725" s="141" t="s">
        <v>29</v>
      </c>
      <c r="HQ725" s="141" t="s">
        <v>29</v>
      </c>
      <c r="HZ725" s="142"/>
      <c r="IP725" s="141" t="s">
        <v>2155</v>
      </c>
      <c r="IQ725" s="141" t="s">
        <v>273</v>
      </c>
      <c r="IR725" s="141" t="s">
        <v>836</v>
      </c>
      <c r="IT725" s="141">
        <v>2011</v>
      </c>
      <c r="IV725" s="141" t="s">
        <v>29</v>
      </c>
      <c r="JK725" s="141" t="s">
        <v>2154</v>
      </c>
      <c r="JM725" s="141" t="s">
        <v>14</v>
      </c>
      <c r="JQ725" s="141" t="s">
        <v>13</v>
      </c>
      <c r="JR725" s="141">
        <v>131</v>
      </c>
      <c r="JS725" s="141">
        <v>59</v>
      </c>
      <c r="KF725" s="141" t="s">
        <v>2153</v>
      </c>
      <c r="KG725" s="141" t="s">
        <v>12</v>
      </c>
      <c r="KH725" s="141" t="s">
        <v>29</v>
      </c>
      <c r="KI725" s="141" t="s">
        <v>29</v>
      </c>
      <c r="KK725" s="141" t="s">
        <v>2152</v>
      </c>
      <c r="MZ725" s="141" t="s">
        <v>2151</v>
      </c>
      <c r="NA725" s="141">
        <v>2500</v>
      </c>
      <c r="NJ725" s="141" t="s">
        <v>2210</v>
      </c>
      <c r="NK725" s="141" t="s">
        <v>2209</v>
      </c>
      <c r="NL725" s="141" t="s">
        <v>2208</v>
      </c>
      <c r="NM725" s="141" t="s">
        <v>2207</v>
      </c>
      <c r="NN725" s="141" t="s">
        <v>2206</v>
      </c>
      <c r="NW725" s="141" t="s">
        <v>6</v>
      </c>
      <c r="NX725" s="141">
        <v>6.15</v>
      </c>
      <c r="NY725" s="141" t="s">
        <v>234</v>
      </c>
      <c r="NZ725" s="141" t="s">
        <v>234</v>
      </c>
      <c r="OC725" s="141">
        <v>4</v>
      </c>
      <c r="OT725" s="141" t="s">
        <v>2189</v>
      </c>
      <c r="OU725" s="141" t="s">
        <v>2188</v>
      </c>
      <c r="OW725" s="141">
        <v>2011</v>
      </c>
      <c r="OX725" s="141">
        <v>2014</v>
      </c>
      <c r="PA725" s="141" t="s">
        <v>1169</v>
      </c>
      <c r="PB725" s="142">
        <v>46134</v>
      </c>
    </row>
    <row r="726" spans="1:418" s="141" customFormat="1">
      <c r="A726" s="87" t="s">
        <v>248</v>
      </c>
      <c r="B726" s="141" t="s">
        <v>2165</v>
      </c>
      <c r="C726" s="141" t="s">
        <v>2164</v>
      </c>
      <c r="D726" s="141" t="s">
        <v>245</v>
      </c>
      <c r="E726" s="141" t="s">
        <v>2182</v>
      </c>
      <c r="F726" s="141" t="s">
        <v>243</v>
      </c>
      <c r="G726" s="141" t="s">
        <v>2</v>
      </c>
      <c r="H726" s="141" t="s">
        <v>30</v>
      </c>
      <c r="I726" s="141">
        <v>-13.06</v>
      </c>
      <c r="J726" s="141">
        <v>34.299999999999997</v>
      </c>
      <c r="K726" s="141" t="s">
        <v>29</v>
      </c>
      <c r="AV726" s="141" t="s">
        <v>2162</v>
      </c>
      <c r="AW726" s="141">
        <v>1300</v>
      </c>
      <c r="AX726" s="141">
        <v>3900</v>
      </c>
      <c r="AY726" s="141">
        <v>3</v>
      </c>
      <c r="AZ726" s="141" t="s">
        <v>2161</v>
      </c>
      <c r="BA726" s="141">
        <v>2011</v>
      </c>
      <c r="BB726" s="141">
        <v>2014</v>
      </c>
      <c r="BD726" s="141" t="s">
        <v>19</v>
      </c>
      <c r="BE726" s="141" t="s">
        <v>2176</v>
      </c>
      <c r="BF726" s="141" t="s">
        <v>39</v>
      </c>
      <c r="BG726" s="141" t="s">
        <v>1233</v>
      </c>
      <c r="BH726" s="141" t="s">
        <v>23</v>
      </c>
      <c r="BI726" s="141" t="s">
        <v>2157</v>
      </c>
      <c r="BJ726" s="141" t="s">
        <v>22</v>
      </c>
      <c r="BK726" s="141">
        <v>53333</v>
      </c>
      <c r="EJ726" s="145"/>
      <c r="EK726" s="145"/>
      <c r="EL726" s="145"/>
      <c r="EM726" s="145"/>
      <c r="EN726" s="145"/>
      <c r="EO726" s="145"/>
      <c r="EP726" s="145"/>
      <c r="EQ726" s="145"/>
      <c r="ER726" s="145"/>
      <c r="ES726" s="145"/>
      <c r="ET726" s="145"/>
      <c r="EU726" s="145"/>
      <c r="EV726" s="145"/>
      <c r="EW726" s="145"/>
      <c r="EX726" s="145"/>
      <c r="EY726" s="145"/>
      <c r="EZ726" s="145"/>
      <c r="FA726" s="145"/>
      <c r="FB726" s="145"/>
      <c r="FC726" s="145"/>
      <c r="FD726" s="145"/>
      <c r="FE726" s="145"/>
      <c r="FF726" s="145"/>
      <c r="FG726" s="145"/>
      <c r="FH726" s="145"/>
      <c r="FI726" s="145"/>
      <c r="FJ726" s="145"/>
      <c r="FK726" s="145"/>
      <c r="FL726" s="145"/>
      <c r="FM726" s="145"/>
      <c r="FN726" s="145"/>
      <c r="FO726" s="145"/>
      <c r="FP726" s="145"/>
      <c r="FQ726" s="145"/>
      <c r="FR726" s="145"/>
      <c r="FS726" s="145"/>
      <c r="FT726" s="145"/>
      <c r="FU726" s="145"/>
      <c r="FV726" s="145"/>
      <c r="FW726" s="145"/>
      <c r="FX726" s="145"/>
      <c r="FY726" s="145"/>
      <c r="FZ726" s="145"/>
      <c r="GA726" s="145"/>
      <c r="GB726" s="145"/>
      <c r="GC726" s="145"/>
      <c r="GD726" s="145"/>
      <c r="GE726" s="145"/>
      <c r="GF726" s="145"/>
      <c r="GG726" s="145"/>
      <c r="GH726" s="145"/>
      <c r="GI726" s="145"/>
      <c r="GJ726" s="145"/>
      <c r="GK726" s="145"/>
      <c r="GL726" s="145"/>
      <c r="GM726" s="145"/>
      <c r="GN726" s="145"/>
      <c r="GO726" s="145"/>
      <c r="GP726" s="145"/>
      <c r="GQ726" s="145"/>
      <c r="GR726" s="145"/>
      <c r="GS726" s="145"/>
      <c r="GT726" s="145"/>
      <c r="GU726" s="145"/>
      <c r="GV726" s="145"/>
      <c r="GW726" s="145"/>
      <c r="GX726" s="145"/>
      <c r="GY726" s="145"/>
      <c r="GZ726" s="145"/>
      <c r="HA726" s="145"/>
      <c r="HB726" s="145"/>
      <c r="HC726" s="145"/>
      <c r="HD726" s="145"/>
      <c r="HE726" s="145"/>
      <c r="HF726" s="145"/>
      <c r="HG726" s="145"/>
      <c r="HH726" s="145"/>
      <c r="HI726" s="145"/>
      <c r="HJ726" s="145"/>
      <c r="HK726" s="145"/>
      <c r="HL726" s="145" t="s">
        <v>2171</v>
      </c>
      <c r="HM726" s="145" t="s">
        <v>232</v>
      </c>
      <c r="HU726" s="142"/>
      <c r="HV726" s="142"/>
      <c r="HZ726" s="142"/>
      <c r="IP726" s="141" t="s">
        <v>2176</v>
      </c>
      <c r="IQ726" s="141" t="s">
        <v>19</v>
      </c>
      <c r="IT726" s="141">
        <v>2011</v>
      </c>
      <c r="JK726" s="141" t="s">
        <v>2154</v>
      </c>
      <c r="JM726" s="141" t="s">
        <v>14</v>
      </c>
      <c r="JQ726" s="141" t="s">
        <v>13</v>
      </c>
      <c r="JR726" s="141">
        <v>309</v>
      </c>
      <c r="JS726" s="141">
        <v>93</v>
      </c>
      <c r="KF726" s="141" t="s">
        <v>2153</v>
      </c>
      <c r="KG726" s="141" t="s">
        <v>12</v>
      </c>
      <c r="KH726" s="141" t="s">
        <v>29</v>
      </c>
      <c r="KI726" s="141" t="s">
        <v>29</v>
      </c>
      <c r="KK726" s="141" t="s">
        <v>222</v>
      </c>
      <c r="KL726" s="141" t="s">
        <v>2168</v>
      </c>
      <c r="KM726" s="141" t="s">
        <v>220</v>
      </c>
      <c r="KN726" s="141">
        <v>7.5</v>
      </c>
      <c r="KO726" s="141" t="s">
        <v>222</v>
      </c>
      <c r="KP726" s="141" t="s">
        <v>2167</v>
      </c>
      <c r="KQ726" s="141" t="s">
        <v>220</v>
      </c>
      <c r="KR726" s="141">
        <v>2</v>
      </c>
      <c r="MZ726" s="141" t="s">
        <v>2151</v>
      </c>
      <c r="NA726" s="141">
        <v>1300</v>
      </c>
      <c r="NB726" s="141" t="s">
        <v>2175</v>
      </c>
      <c r="NC726" s="141" t="s">
        <v>168</v>
      </c>
      <c r="NJ726" s="141" t="s">
        <v>2196</v>
      </c>
      <c r="NK726" s="141" t="s">
        <v>2191</v>
      </c>
      <c r="NL726" s="141" t="s">
        <v>2205</v>
      </c>
      <c r="NM726" s="141" t="s">
        <v>266</v>
      </c>
      <c r="NN726" s="143" t="s">
        <v>995</v>
      </c>
      <c r="NV726" s="141" t="s">
        <v>745</v>
      </c>
      <c r="NW726" s="141" t="s">
        <v>6</v>
      </c>
      <c r="NX726" s="141">
        <v>49</v>
      </c>
      <c r="NY726" s="141" t="s">
        <v>234</v>
      </c>
      <c r="NZ726" s="141" t="s">
        <v>234</v>
      </c>
      <c r="OC726" s="141">
        <v>4</v>
      </c>
      <c r="OT726" s="141" t="s">
        <v>2199</v>
      </c>
      <c r="OU726" s="141" t="s">
        <v>2188</v>
      </c>
      <c r="OW726" s="141">
        <v>2011</v>
      </c>
      <c r="OX726" s="141">
        <v>2014</v>
      </c>
      <c r="PA726" s="141" t="s">
        <v>1169</v>
      </c>
      <c r="PB726" s="142">
        <v>46134</v>
      </c>
    </row>
    <row r="727" spans="1:418" s="141" customFormat="1">
      <c r="A727" t="s">
        <v>248</v>
      </c>
      <c r="B727" s="141" t="s">
        <v>2165</v>
      </c>
      <c r="C727" s="141" t="s">
        <v>2164</v>
      </c>
      <c r="D727" s="141" t="s">
        <v>245</v>
      </c>
      <c r="E727" s="141" t="s">
        <v>2182</v>
      </c>
      <c r="F727" s="141" t="s">
        <v>243</v>
      </c>
      <c r="G727" s="141" t="s">
        <v>2</v>
      </c>
      <c r="H727" s="141" t="s">
        <v>30</v>
      </c>
      <c r="I727" s="141">
        <v>-13.06</v>
      </c>
      <c r="J727" s="141">
        <v>34.299999999999997</v>
      </c>
      <c r="K727" s="141" t="s">
        <v>29</v>
      </c>
      <c r="AV727" s="141" t="s">
        <v>2162</v>
      </c>
      <c r="AW727" s="141">
        <v>1300</v>
      </c>
      <c r="AX727" s="141">
        <v>3900</v>
      </c>
      <c r="AY727" s="141">
        <v>3</v>
      </c>
      <c r="AZ727" s="141" t="s">
        <v>2161</v>
      </c>
      <c r="BA727" s="141">
        <v>2011</v>
      </c>
      <c r="BB727" s="141">
        <v>2014</v>
      </c>
      <c r="BD727" s="141" t="s">
        <v>274</v>
      </c>
      <c r="BE727" s="141" t="s">
        <v>2186</v>
      </c>
      <c r="BF727" s="141" t="s">
        <v>64</v>
      </c>
      <c r="BG727" s="141" t="s">
        <v>1233</v>
      </c>
      <c r="BH727" s="141" t="s">
        <v>2005</v>
      </c>
      <c r="BI727" s="141" t="s">
        <v>2181</v>
      </c>
      <c r="BJ727" s="141" t="s">
        <v>22</v>
      </c>
      <c r="BK727" s="141">
        <v>12300</v>
      </c>
      <c r="BL727" s="141" t="s">
        <v>56</v>
      </c>
      <c r="BM727" s="141" t="s">
        <v>2173</v>
      </c>
      <c r="BN727" s="141" t="s">
        <v>2172</v>
      </c>
      <c r="BO727" s="141" t="s">
        <v>22</v>
      </c>
      <c r="BP727" s="141">
        <v>24700</v>
      </c>
      <c r="BQ727" s="141" t="s">
        <v>275</v>
      </c>
      <c r="BR727" s="141" t="s">
        <v>250</v>
      </c>
      <c r="BS727" s="141" t="s">
        <v>2187</v>
      </c>
      <c r="BT727" s="141" t="s">
        <v>22</v>
      </c>
      <c r="BU727" s="141">
        <v>355556</v>
      </c>
      <c r="BV727" s="141" t="s">
        <v>56</v>
      </c>
      <c r="BW727" s="141" t="s">
        <v>2173</v>
      </c>
      <c r="BX727" s="141" t="s">
        <v>2172</v>
      </c>
      <c r="BY727" s="141" t="s">
        <v>22</v>
      </c>
      <c r="BZ727" s="141">
        <v>24700</v>
      </c>
      <c r="CA727" s="141" t="s">
        <v>275</v>
      </c>
      <c r="CB727" s="141" t="s">
        <v>23</v>
      </c>
      <c r="CC727" s="141" t="s">
        <v>2157</v>
      </c>
      <c r="CD727" s="141" t="s">
        <v>22</v>
      </c>
      <c r="CE727" s="141">
        <v>53333</v>
      </c>
      <c r="EJ727" s="145"/>
      <c r="EK727" s="145"/>
      <c r="EL727" s="145"/>
      <c r="EM727" s="145"/>
      <c r="EN727" s="145"/>
      <c r="EO727" s="145"/>
      <c r="EP727" s="145"/>
      <c r="EQ727" s="145"/>
      <c r="ER727" s="145"/>
      <c r="ES727" s="145"/>
      <c r="ET727" s="145"/>
      <c r="EU727" s="145"/>
      <c r="EV727" s="145"/>
      <c r="EW727" s="145"/>
      <c r="EX727" s="145"/>
      <c r="EY727" s="145"/>
      <c r="EZ727" s="145"/>
      <c r="FA727" s="145"/>
      <c r="FB727" s="145"/>
      <c r="FC727" s="145"/>
      <c r="FD727" s="145"/>
      <c r="FE727" s="145"/>
      <c r="FF727" s="145"/>
      <c r="FG727" s="145"/>
      <c r="FH727" s="145"/>
      <c r="FI727" s="145"/>
      <c r="FJ727" s="145"/>
      <c r="FK727" s="145"/>
      <c r="FL727" s="145"/>
      <c r="FM727" s="145"/>
      <c r="FN727" s="145"/>
      <c r="FO727" s="145"/>
      <c r="FP727" s="145"/>
      <c r="FQ727" s="145"/>
      <c r="FR727" s="145"/>
      <c r="FS727" s="145"/>
      <c r="FT727" s="145"/>
      <c r="FU727" s="145"/>
      <c r="FV727" s="145"/>
      <c r="FW727" s="145"/>
      <c r="FX727" s="145"/>
      <c r="FY727" s="145"/>
      <c r="FZ727" s="145"/>
      <c r="GA727" s="145"/>
      <c r="GB727" s="145"/>
      <c r="GC727" s="145"/>
      <c r="GD727" s="145"/>
      <c r="GE727" s="145"/>
      <c r="GF727" s="145"/>
      <c r="GG727" s="145"/>
      <c r="GH727" s="145"/>
      <c r="GI727" s="145"/>
      <c r="GJ727" s="145"/>
      <c r="GK727" s="145"/>
      <c r="GL727" s="145"/>
      <c r="GM727" s="145"/>
      <c r="GN727" s="145"/>
      <c r="GO727" s="145"/>
      <c r="GP727" s="145"/>
      <c r="GQ727" s="145"/>
      <c r="GR727" s="145"/>
      <c r="GS727" s="145"/>
      <c r="GT727" s="145"/>
      <c r="GU727" s="145"/>
      <c r="GV727" s="145"/>
      <c r="GW727" s="145"/>
      <c r="GX727" s="145"/>
      <c r="GY727" s="145"/>
      <c r="GZ727" s="145"/>
      <c r="HA727" s="145"/>
      <c r="HB727" s="145"/>
      <c r="HC727" s="145"/>
      <c r="HD727" s="145"/>
      <c r="HE727" s="145"/>
      <c r="HF727" s="145"/>
      <c r="HG727" s="145"/>
      <c r="HH727" s="145"/>
      <c r="HI727" s="145"/>
      <c r="HJ727" s="145"/>
      <c r="HK727" s="145"/>
      <c r="HL727" s="145" t="s">
        <v>2171</v>
      </c>
      <c r="HM727" s="145" t="s">
        <v>232</v>
      </c>
      <c r="HU727" s="142"/>
      <c r="HV727" s="142"/>
      <c r="HZ727" s="142"/>
      <c r="IP727" s="141" t="s">
        <v>2186</v>
      </c>
      <c r="IQ727" s="141" t="s">
        <v>273</v>
      </c>
      <c r="IR727" s="141" t="s">
        <v>2169</v>
      </c>
      <c r="IT727" s="141">
        <v>2011</v>
      </c>
      <c r="IV727" s="141" t="s">
        <v>29</v>
      </c>
      <c r="JK727" s="141" t="s">
        <v>2154</v>
      </c>
      <c r="JM727" s="141" t="s">
        <v>14</v>
      </c>
      <c r="JQ727" s="141" t="s">
        <v>13</v>
      </c>
      <c r="JR727" s="141">
        <v>103</v>
      </c>
      <c r="JS727" s="141">
        <v>31</v>
      </c>
      <c r="KF727" s="141" t="s">
        <v>2153</v>
      </c>
      <c r="KG727" s="141" t="s">
        <v>12</v>
      </c>
      <c r="KH727" s="141" t="s">
        <v>29</v>
      </c>
      <c r="KI727" s="141" t="s">
        <v>29</v>
      </c>
      <c r="KK727" s="141" t="s">
        <v>222</v>
      </c>
      <c r="KL727" s="141" t="s">
        <v>2168</v>
      </c>
      <c r="KM727" s="141" t="s">
        <v>220</v>
      </c>
      <c r="KN727" s="141">
        <v>7.5</v>
      </c>
      <c r="KO727" s="141" t="s">
        <v>222</v>
      </c>
      <c r="KP727" s="141" t="s">
        <v>2167</v>
      </c>
      <c r="KQ727" s="141" t="s">
        <v>220</v>
      </c>
      <c r="KR727" s="141">
        <v>1</v>
      </c>
      <c r="KS727" s="141" t="s">
        <v>219</v>
      </c>
      <c r="KT727" s="141" t="s">
        <v>2185</v>
      </c>
      <c r="KU727" s="141" t="s">
        <v>2184</v>
      </c>
      <c r="KV727" s="141">
        <v>100</v>
      </c>
      <c r="MZ727" s="141" t="s">
        <v>2151</v>
      </c>
      <c r="NA727" s="141">
        <v>1300</v>
      </c>
      <c r="NB727" s="141" t="s">
        <v>2183</v>
      </c>
      <c r="NC727" s="141" t="s">
        <v>168</v>
      </c>
      <c r="ND727" s="141" t="s">
        <v>2201</v>
      </c>
      <c r="NE727" s="141" t="s">
        <v>2197</v>
      </c>
      <c r="NF727" s="141" t="s">
        <v>2204</v>
      </c>
      <c r="NJ727" s="141" t="s">
        <v>2203</v>
      </c>
      <c r="NK727" s="141" t="s">
        <v>2191</v>
      </c>
      <c r="NL727" s="141" t="s">
        <v>2202</v>
      </c>
      <c r="NM727" s="141" t="s">
        <v>266</v>
      </c>
      <c r="NN727" s="143" t="s">
        <v>995</v>
      </c>
      <c r="NW727" s="141" t="s">
        <v>6</v>
      </c>
      <c r="NX727" s="141">
        <v>39</v>
      </c>
      <c r="NY727" s="141" t="s">
        <v>234</v>
      </c>
      <c r="NZ727" s="141" t="s">
        <v>234</v>
      </c>
      <c r="OC727" s="141">
        <v>4</v>
      </c>
      <c r="OT727" s="141" t="s">
        <v>2199</v>
      </c>
      <c r="OU727" s="141" t="s">
        <v>2188</v>
      </c>
      <c r="OW727" s="141">
        <v>2011</v>
      </c>
      <c r="OX727" s="141">
        <v>2014</v>
      </c>
      <c r="PA727" s="141" t="s">
        <v>1169</v>
      </c>
      <c r="PB727" s="142">
        <v>46134</v>
      </c>
    </row>
    <row r="728" spans="1:418" s="141" customFormat="1">
      <c r="A728" t="s">
        <v>248</v>
      </c>
      <c r="B728" s="141" t="s">
        <v>2165</v>
      </c>
      <c r="C728" s="141" t="s">
        <v>2164</v>
      </c>
      <c r="D728" s="141" t="s">
        <v>245</v>
      </c>
      <c r="E728" s="141" t="s">
        <v>2182</v>
      </c>
      <c r="F728" s="141" t="s">
        <v>243</v>
      </c>
      <c r="G728" s="141" t="s">
        <v>2</v>
      </c>
      <c r="H728" s="141" t="s">
        <v>30</v>
      </c>
      <c r="I728" s="141">
        <v>-13.06</v>
      </c>
      <c r="J728" s="141">
        <v>34.299999999999997</v>
      </c>
      <c r="K728" s="141" t="s">
        <v>29</v>
      </c>
      <c r="AV728" s="141" t="s">
        <v>2162</v>
      </c>
      <c r="AW728" s="141">
        <v>1300</v>
      </c>
      <c r="AX728" s="141">
        <v>3900</v>
      </c>
      <c r="AY728" s="141">
        <v>3</v>
      </c>
      <c r="AZ728" s="141" t="s">
        <v>2161</v>
      </c>
      <c r="BA728" s="141">
        <v>2011</v>
      </c>
      <c r="BB728" s="141">
        <v>2014</v>
      </c>
      <c r="BD728" s="141" t="s">
        <v>274</v>
      </c>
      <c r="BE728" s="141" t="s">
        <v>2179</v>
      </c>
      <c r="BF728" s="141" t="s">
        <v>57</v>
      </c>
      <c r="BG728" s="141" t="s">
        <v>1233</v>
      </c>
      <c r="BH728" s="141" t="s">
        <v>2005</v>
      </c>
      <c r="BI728" s="141" t="s">
        <v>2181</v>
      </c>
      <c r="BJ728" s="141" t="s">
        <v>22</v>
      </c>
      <c r="BK728" s="141">
        <v>12300</v>
      </c>
      <c r="BL728" s="141" t="s">
        <v>275</v>
      </c>
      <c r="BM728" s="141" t="s">
        <v>271</v>
      </c>
      <c r="BN728" s="141" t="s">
        <v>2180</v>
      </c>
      <c r="BO728" s="141" t="s">
        <v>22</v>
      </c>
      <c r="BP728" s="141">
        <v>266667</v>
      </c>
      <c r="BQ728" s="141" t="s">
        <v>275</v>
      </c>
      <c r="BR728" s="141" t="s">
        <v>23</v>
      </c>
      <c r="BS728" s="141" t="s">
        <v>2157</v>
      </c>
      <c r="BT728" s="141" t="s">
        <v>22</v>
      </c>
      <c r="BU728" s="141">
        <v>53333</v>
      </c>
      <c r="EJ728" s="145"/>
      <c r="EK728" s="145"/>
      <c r="EL728" s="145"/>
      <c r="EM728" s="145"/>
      <c r="EN728" s="145"/>
      <c r="EO728" s="145"/>
      <c r="EP728" s="145"/>
      <c r="EQ728" s="145"/>
      <c r="ER728" s="145"/>
      <c r="ES728" s="145"/>
      <c r="ET728" s="145"/>
      <c r="EU728" s="145"/>
      <c r="EV728" s="145"/>
      <c r="EW728" s="145"/>
      <c r="EX728" s="145"/>
      <c r="EY728" s="145"/>
      <c r="EZ728" s="145"/>
      <c r="FA728" s="145"/>
      <c r="FB728" s="145"/>
      <c r="FC728" s="145"/>
      <c r="FD728" s="145"/>
      <c r="FE728" s="145"/>
      <c r="FF728" s="145"/>
      <c r="FG728" s="145"/>
      <c r="FH728" s="145"/>
      <c r="FI728" s="145"/>
      <c r="FJ728" s="145"/>
      <c r="FK728" s="145"/>
      <c r="FL728" s="145"/>
      <c r="FM728" s="145"/>
      <c r="FN728" s="145"/>
      <c r="FO728" s="145"/>
      <c r="FP728" s="145"/>
      <c r="FQ728" s="145"/>
      <c r="FR728" s="145"/>
      <c r="FS728" s="145"/>
      <c r="FT728" s="145"/>
      <c r="FU728" s="145"/>
      <c r="FV728" s="145"/>
      <c r="FW728" s="145"/>
      <c r="FX728" s="145"/>
      <c r="FY728" s="145"/>
      <c r="FZ728" s="145"/>
      <c r="GA728" s="145"/>
      <c r="GB728" s="145"/>
      <c r="GC728" s="145"/>
      <c r="GD728" s="145"/>
      <c r="GE728" s="145"/>
      <c r="GF728" s="145"/>
      <c r="GG728" s="145"/>
      <c r="GH728" s="145"/>
      <c r="GI728" s="145"/>
      <c r="GJ728" s="145"/>
      <c r="GK728" s="145"/>
      <c r="GL728" s="145"/>
      <c r="GM728" s="145"/>
      <c r="GN728" s="145"/>
      <c r="GO728" s="145"/>
      <c r="GP728" s="145"/>
      <c r="GQ728" s="145"/>
      <c r="GR728" s="145"/>
      <c r="GS728" s="145"/>
      <c r="GT728" s="145"/>
      <c r="GU728" s="145"/>
      <c r="GV728" s="145"/>
      <c r="GW728" s="145"/>
      <c r="GX728" s="145"/>
      <c r="GY728" s="145"/>
      <c r="GZ728" s="145"/>
      <c r="HA728" s="145"/>
      <c r="HB728" s="145"/>
      <c r="HC728" s="145"/>
      <c r="HD728" s="145"/>
      <c r="HE728" s="145"/>
      <c r="HF728" s="145"/>
      <c r="HG728" s="145"/>
      <c r="HH728" s="145"/>
      <c r="HI728" s="145"/>
      <c r="HJ728" s="145"/>
      <c r="HK728" s="145"/>
      <c r="HL728" s="145" t="s">
        <v>2156</v>
      </c>
      <c r="HM728" s="145" t="s">
        <v>297</v>
      </c>
      <c r="HN728" s="141" t="s">
        <v>29</v>
      </c>
      <c r="HO728" s="141" t="s">
        <v>29</v>
      </c>
      <c r="HP728" s="141" t="s">
        <v>29</v>
      </c>
      <c r="HQ728" s="141" t="s">
        <v>29</v>
      </c>
      <c r="HZ728" s="142"/>
      <c r="IP728" s="141" t="s">
        <v>2179</v>
      </c>
      <c r="IQ728" s="141" t="s">
        <v>273</v>
      </c>
      <c r="IT728" s="141">
        <v>2011</v>
      </c>
      <c r="IV728" s="141" t="s">
        <v>29</v>
      </c>
      <c r="JK728" s="141" t="s">
        <v>2154</v>
      </c>
      <c r="JM728" s="141" t="s">
        <v>14</v>
      </c>
      <c r="JQ728" s="141" t="s">
        <v>13</v>
      </c>
      <c r="JR728" s="141">
        <v>124</v>
      </c>
      <c r="JS728" s="141">
        <v>50</v>
      </c>
      <c r="KF728" s="141" t="s">
        <v>2153</v>
      </c>
      <c r="KG728" s="141" t="s">
        <v>12</v>
      </c>
      <c r="KH728" s="141" t="s">
        <v>29</v>
      </c>
      <c r="KI728" s="141" t="s">
        <v>29</v>
      </c>
      <c r="KK728" s="141" t="s">
        <v>2152</v>
      </c>
      <c r="MZ728" s="141" t="s">
        <v>2151</v>
      </c>
      <c r="NA728" s="141">
        <v>1300</v>
      </c>
      <c r="NB728" s="141" t="s">
        <v>2178</v>
      </c>
      <c r="NC728" s="141" t="s">
        <v>168</v>
      </c>
      <c r="ND728" s="141" t="s">
        <v>2201</v>
      </c>
      <c r="NE728" s="141" t="s">
        <v>271</v>
      </c>
      <c r="NJ728" s="141" t="s">
        <v>2192</v>
      </c>
      <c r="NK728" s="141" t="s">
        <v>2191</v>
      </c>
      <c r="NL728" s="141" t="s">
        <v>2200</v>
      </c>
      <c r="NM728" s="141" t="s">
        <v>266</v>
      </c>
      <c r="NN728" s="143" t="s">
        <v>995</v>
      </c>
      <c r="NW728" s="141" t="s">
        <v>6</v>
      </c>
      <c r="NX728" s="141">
        <v>45</v>
      </c>
      <c r="NY728" s="141" t="s">
        <v>234</v>
      </c>
      <c r="NZ728" s="141" t="s">
        <v>234</v>
      </c>
      <c r="OC728" s="141">
        <v>4</v>
      </c>
      <c r="OT728" s="141" t="s">
        <v>2199</v>
      </c>
      <c r="OU728" s="141" t="s">
        <v>2188</v>
      </c>
      <c r="OW728" s="141">
        <v>2011</v>
      </c>
      <c r="OX728" s="141">
        <v>2014</v>
      </c>
      <c r="PA728" s="141" t="s">
        <v>1169</v>
      </c>
      <c r="PB728" s="142">
        <v>46134</v>
      </c>
    </row>
    <row r="729" spans="1:418" s="141" customFormat="1">
      <c r="A729" s="87" t="s">
        <v>248</v>
      </c>
      <c r="B729" s="141" t="s">
        <v>2165</v>
      </c>
      <c r="C729" s="141" t="s">
        <v>2164</v>
      </c>
      <c r="D729" s="141" t="s">
        <v>245</v>
      </c>
      <c r="E729" s="141" t="s">
        <v>2163</v>
      </c>
      <c r="F729" s="141" t="s">
        <v>243</v>
      </c>
      <c r="G729" s="141" t="s">
        <v>2</v>
      </c>
      <c r="H729" s="141" t="s">
        <v>30</v>
      </c>
      <c r="I729" s="141">
        <v>-13.47</v>
      </c>
      <c r="J729" s="141">
        <v>33.71</v>
      </c>
      <c r="K729" s="141" t="s">
        <v>29</v>
      </c>
      <c r="AV729" s="141" t="s">
        <v>2162</v>
      </c>
      <c r="AW729" s="141">
        <v>2500</v>
      </c>
      <c r="AX729" s="141">
        <v>7500</v>
      </c>
      <c r="AY729" s="141">
        <v>3</v>
      </c>
      <c r="AZ729" s="141" t="s">
        <v>2161</v>
      </c>
      <c r="BA729" s="141">
        <v>2011</v>
      </c>
      <c r="BB729" s="141">
        <v>2014</v>
      </c>
      <c r="BD729" s="141" t="s">
        <v>19</v>
      </c>
      <c r="BE729" s="141" t="s">
        <v>2176</v>
      </c>
      <c r="BF729" s="141" t="s">
        <v>24</v>
      </c>
      <c r="BG729" s="141" t="s">
        <v>1233</v>
      </c>
      <c r="BH729" s="141" t="s">
        <v>23</v>
      </c>
      <c r="BI729" s="141" t="s">
        <v>2157</v>
      </c>
      <c r="BJ729" s="141" t="s">
        <v>22</v>
      </c>
      <c r="BK729" s="141">
        <v>53333</v>
      </c>
      <c r="EJ729" s="145"/>
      <c r="EK729" s="145"/>
      <c r="EL729" s="145"/>
      <c r="EM729" s="145"/>
      <c r="EN729" s="145"/>
      <c r="EO729" s="145"/>
      <c r="EP729" s="145"/>
      <c r="EQ729" s="145"/>
      <c r="ER729" s="145"/>
      <c r="ES729" s="145"/>
      <c r="ET729" s="145"/>
      <c r="EU729" s="145"/>
      <c r="EV729" s="145"/>
      <c r="EW729" s="145"/>
      <c r="EX729" s="145"/>
      <c r="EY729" s="145"/>
      <c r="EZ729" s="145"/>
      <c r="FA729" s="145"/>
      <c r="FB729" s="145"/>
      <c r="FC729" s="145"/>
      <c r="FD729" s="145"/>
      <c r="FE729" s="145"/>
      <c r="FF729" s="145"/>
      <c r="FG729" s="145"/>
      <c r="FH729" s="145"/>
      <c r="FI729" s="145"/>
      <c r="FJ729" s="145"/>
      <c r="FK729" s="145"/>
      <c r="FL729" s="145"/>
      <c r="FM729" s="145"/>
      <c r="FN729" s="145"/>
      <c r="FO729" s="145"/>
      <c r="FP729" s="145"/>
      <c r="FQ729" s="145"/>
      <c r="FR729" s="145"/>
      <c r="FS729" s="145"/>
      <c r="FT729" s="145"/>
      <c r="FU729" s="145"/>
      <c r="FV729" s="145"/>
      <c r="FW729" s="145"/>
      <c r="FX729" s="145"/>
      <c r="FY729" s="145"/>
      <c r="FZ729" s="145"/>
      <c r="GA729" s="145"/>
      <c r="GB729" s="145"/>
      <c r="GC729" s="145"/>
      <c r="GD729" s="145"/>
      <c r="GE729" s="145"/>
      <c r="GF729" s="145"/>
      <c r="GG729" s="145"/>
      <c r="GH729" s="145"/>
      <c r="GI729" s="145"/>
      <c r="GJ729" s="145"/>
      <c r="GK729" s="145"/>
      <c r="GL729" s="145"/>
      <c r="GM729" s="145"/>
      <c r="GN729" s="145"/>
      <c r="GO729" s="145"/>
      <c r="GP729" s="145"/>
      <c r="GQ729" s="145"/>
      <c r="GR729" s="145"/>
      <c r="GS729" s="145"/>
      <c r="GT729" s="145"/>
      <c r="GU729" s="145"/>
      <c r="GV729" s="145"/>
      <c r="GW729" s="145"/>
      <c r="GX729" s="145"/>
      <c r="GY729" s="145"/>
      <c r="GZ729" s="145"/>
      <c r="HA729" s="145"/>
      <c r="HB729" s="145"/>
      <c r="HC729" s="145"/>
      <c r="HD729" s="145"/>
      <c r="HE729" s="145"/>
      <c r="HF729" s="145"/>
      <c r="HG729" s="145"/>
      <c r="HH729" s="145"/>
      <c r="HI729" s="145"/>
      <c r="HJ729" s="145"/>
      <c r="HK729" s="145"/>
      <c r="HL729" s="145" t="s">
        <v>2171</v>
      </c>
      <c r="HM729" s="145" t="s">
        <v>232</v>
      </c>
      <c r="HZ729" s="142"/>
      <c r="IP729" s="141" t="s">
        <v>2176</v>
      </c>
      <c r="IQ729" s="141" t="s">
        <v>19</v>
      </c>
      <c r="IT729" s="141">
        <v>2011</v>
      </c>
      <c r="JK729" s="141" t="s">
        <v>2154</v>
      </c>
      <c r="JM729" s="141" t="s">
        <v>14</v>
      </c>
      <c r="JQ729" s="141" t="s">
        <v>13</v>
      </c>
      <c r="JR729" s="141">
        <v>309</v>
      </c>
      <c r="JS729" s="141">
        <v>93</v>
      </c>
      <c r="KF729" s="141" t="s">
        <v>2153</v>
      </c>
      <c r="KG729" s="141" t="s">
        <v>12</v>
      </c>
      <c r="KH729" s="141" t="s">
        <v>29</v>
      </c>
      <c r="KI729" s="141" t="s">
        <v>29</v>
      </c>
      <c r="KK729" s="141" t="s">
        <v>222</v>
      </c>
      <c r="KL729" s="141" t="s">
        <v>2168</v>
      </c>
      <c r="KM729" s="141" t="s">
        <v>220</v>
      </c>
      <c r="KN729" s="141">
        <v>7.5</v>
      </c>
      <c r="KO729" s="141" t="s">
        <v>222</v>
      </c>
      <c r="KP729" s="141" t="s">
        <v>2167</v>
      </c>
      <c r="KQ729" s="141" t="s">
        <v>220</v>
      </c>
      <c r="KR729" s="141">
        <v>2</v>
      </c>
      <c r="MZ729" s="141" t="s">
        <v>2151</v>
      </c>
      <c r="NA729" s="141">
        <v>2500</v>
      </c>
      <c r="NB729" s="141" t="s">
        <v>2175</v>
      </c>
      <c r="NC729" s="141" t="s">
        <v>168</v>
      </c>
      <c r="NJ729" s="141" t="s">
        <v>2196</v>
      </c>
      <c r="NK729" s="141" t="s">
        <v>2191</v>
      </c>
      <c r="NL729" s="141" t="s">
        <v>2198</v>
      </c>
      <c r="NM729" s="141" t="s">
        <v>266</v>
      </c>
      <c r="NN729" s="143" t="s">
        <v>995</v>
      </c>
      <c r="NV729" s="141" t="s">
        <v>2174</v>
      </c>
      <c r="NW729" s="141" t="s">
        <v>6</v>
      </c>
      <c r="NX729" s="141">
        <v>53</v>
      </c>
      <c r="NY729" s="141" t="s">
        <v>234</v>
      </c>
      <c r="NZ729" s="141" t="s">
        <v>234</v>
      </c>
      <c r="OC729" s="141">
        <v>4</v>
      </c>
      <c r="OT729" s="141" t="s">
        <v>2189</v>
      </c>
      <c r="OU729" s="141" t="s">
        <v>2188</v>
      </c>
      <c r="OW729" s="141">
        <v>2011</v>
      </c>
      <c r="OX729" s="141">
        <v>2014</v>
      </c>
      <c r="PA729" s="141" t="s">
        <v>1169</v>
      </c>
      <c r="PB729" s="142">
        <v>46134</v>
      </c>
    </row>
    <row r="730" spans="1:418" s="141" customFormat="1">
      <c r="A730" t="s">
        <v>248</v>
      </c>
      <c r="B730" s="141" t="s">
        <v>2165</v>
      </c>
      <c r="C730" s="141" t="s">
        <v>2164</v>
      </c>
      <c r="D730" s="141" t="s">
        <v>245</v>
      </c>
      <c r="E730" s="141" t="s">
        <v>2163</v>
      </c>
      <c r="F730" s="141" t="s">
        <v>243</v>
      </c>
      <c r="G730" s="141" t="s">
        <v>2</v>
      </c>
      <c r="H730" s="141" t="s">
        <v>30</v>
      </c>
      <c r="I730" s="141">
        <v>-13.47</v>
      </c>
      <c r="J730" s="141">
        <v>33.71</v>
      </c>
      <c r="K730" s="141" t="s">
        <v>29</v>
      </c>
      <c r="AV730" s="141" t="s">
        <v>2162</v>
      </c>
      <c r="AW730" s="141">
        <v>2500</v>
      </c>
      <c r="AX730" s="141">
        <v>7500</v>
      </c>
      <c r="AY730" s="141">
        <v>3</v>
      </c>
      <c r="AZ730" s="141" t="s">
        <v>2161</v>
      </c>
      <c r="BA730" s="141">
        <v>2011</v>
      </c>
      <c r="BB730" s="141">
        <v>2014</v>
      </c>
      <c r="BD730" s="141" t="s">
        <v>274</v>
      </c>
      <c r="BE730" s="141" t="s">
        <v>2170</v>
      </c>
      <c r="BF730" s="141" t="s">
        <v>48</v>
      </c>
      <c r="BG730" s="141" t="s">
        <v>1233</v>
      </c>
      <c r="BH730" s="141" t="s">
        <v>2160</v>
      </c>
      <c r="BI730" s="141" t="s">
        <v>2159</v>
      </c>
      <c r="BJ730" s="141" t="s">
        <v>22</v>
      </c>
      <c r="BK730" s="141">
        <v>3700</v>
      </c>
      <c r="BL730" s="141" t="s">
        <v>56</v>
      </c>
      <c r="BM730" s="141" t="s">
        <v>2173</v>
      </c>
      <c r="BN730" s="141" t="s">
        <v>2172</v>
      </c>
      <c r="BO730" s="141" t="s">
        <v>22</v>
      </c>
      <c r="BP730" s="141">
        <v>18500</v>
      </c>
      <c r="BQ730" s="141" t="s">
        <v>275</v>
      </c>
      <c r="BR730" s="141" t="s">
        <v>1659</v>
      </c>
      <c r="BS730" s="141" t="s">
        <v>2158</v>
      </c>
      <c r="BT730" s="141" t="s">
        <v>22</v>
      </c>
      <c r="BU730" s="141">
        <v>222200</v>
      </c>
      <c r="BV730" s="141" t="s">
        <v>275</v>
      </c>
      <c r="BW730" s="141" t="s">
        <v>23</v>
      </c>
      <c r="BX730" s="141" t="s">
        <v>2157</v>
      </c>
      <c r="BY730" s="141" t="s">
        <v>22</v>
      </c>
      <c r="BZ730" s="141">
        <v>53333</v>
      </c>
      <c r="EJ730" s="145"/>
      <c r="EK730" s="145"/>
      <c r="EL730" s="145"/>
      <c r="EM730" s="145"/>
      <c r="EN730" s="145"/>
      <c r="EO730" s="145"/>
      <c r="EP730" s="145"/>
      <c r="EQ730" s="145"/>
      <c r="ER730" s="145"/>
      <c r="ES730" s="145"/>
      <c r="ET730" s="145"/>
      <c r="EU730" s="145"/>
      <c r="EV730" s="145"/>
      <c r="EW730" s="145"/>
      <c r="EX730" s="145"/>
      <c r="EY730" s="145"/>
      <c r="EZ730" s="145"/>
      <c r="FA730" s="145"/>
      <c r="FB730" s="145"/>
      <c r="FC730" s="145"/>
      <c r="FD730" s="145"/>
      <c r="FE730" s="145"/>
      <c r="FF730" s="145"/>
      <c r="FG730" s="145"/>
      <c r="FH730" s="145"/>
      <c r="FI730" s="145"/>
      <c r="FJ730" s="145"/>
      <c r="FK730" s="145"/>
      <c r="FL730" s="145"/>
      <c r="FM730" s="145"/>
      <c r="FN730" s="145"/>
      <c r="FO730" s="145"/>
      <c r="FP730" s="145"/>
      <c r="FQ730" s="145"/>
      <c r="FR730" s="145"/>
      <c r="FS730" s="145"/>
      <c r="FT730" s="145"/>
      <c r="FU730" s="145"/>
      <c r="FV730" s="145"/>
      <c r="FW730" s="145"/>
      <c r="FX730" s="145"/>
      <c r="FY730" s="145"/>
      <c r="FZ730" s="145"/>
      <c r="GA730" s="145"/>
      <c r="GB730" s="145"/>
      <c r="GC730" s="145"/>
      <c r="GD730" s="145"/>
      <c r="GE730" s="145"/>
      <c r="GF730" s="145"/>
      <c r="GG730" s="145"/>
      <c r="GH730" s="145"/>
      <c r="GI730" s="145"/>
      <c r="GJ730" s="145"/>
      <c r="GK730" s="145"/>
      <c r="GL730" s="145"/>
      <c r="GM730" s="145"/>
      <c r="GN730" s="145"/>
      <c r="GO730" s="145"/>
      <c r="GP730" s="145"/>
      <c r="GQ730" s="145"/>
      <c r="GR730" s="145"/>
      <c r="GS730" s="145"/>
      <c r="GT730" s="145"/>
      <c r="GU730" s="145"/>
      <c r="GV730" s="145"/>
      <c r="GW730" s="145"/>
      <c r="GX730" s="145"/>
      <c r="GY730" s="145"/>
      <c r="GZ730" s="145"/>
      <c r="HA730" s="145"/>
      <c r="HB730" s="145"/>
      <c r="HC730" s="145"/>
      <c r="HD730" s="145"/>
      <c r="HE730" s="145"/>
      <c r="HF730" s="145"/>
      <c r="HG730" s="145"/>
      <c r="HH730" s="145"/>
      <c r="HI730" s="145"/>
      <c r="HJ730" s="145"/>
      <c r="HK730" s="145"/>
      <c r="HL730" s="145" t="s">
        <v>2171</v>
      </c>
      <c r="HM730" s="145" t="s">
        <v>232</v>
      </c>
      <c r="HZ730" s="142"/>
      <c r="IP730" s="141" t="s">
        <v>2170</v>
      </c>
      <c r="IQ730" s="141" t="s">
        <v>273</v>
      </c>
      <c r="IR730" s="141" t="s">
        <v>2169</v>
      </c>
      <c r="IT730" s="141">
        <v>2011</v>
      </c>
      <c r="IV730" s="141" t="s">
        <v>29</v>
      </c>
      <c r="JK730" s="141" t="s">
        <v>2154</v>
      </c>
      <c r="JM730" s="141" t="s">
        <v>14</v>
      </c>
      <c r="JQ730" s="141" t="s">
        <v>13</v>
      </c>
      <c r="JR730" s="141">
        <v>131</v>
      </c>
      <c r="JS730" s="141">
        <v>59</v>
      </c>
      <c r="KF730" s="141" t="s">
        <v>2153</v>
      </c>
      <c r="KG730" s="141" t="s">
        <v>12</v>
      </c>
      <c r="KH730" s="141" t="s">
        <v>29</v>
      </c>
      <c r="KI730" s="141" t="s">
        <v>29</v>
      </c>
      <c r="KK730" s="141" t="s">
        <v>222</v>
      </c>
      <c r="KL730" s="141" t="s">
        <v>2168</v>
      </c>
      <c r="KM730" s="141" t="s">
        <v>220</v>
      </c>
      <c r="KN730" s="141">
        <v>7.5</v>
      </c>
      <c r="KO730" s="141" t="s">
        <v>222</v>
      </c>
      <c r="KP730" s="141" t="s">
        <v>2167</v>
      </c>
      <c r="KQ730" s="141" t="s">
        <v>220</v>
      </c>
      <c r="KR730" s="141">
        <v>1</v>
      </c>
      <c r="MZ730" s="141" t="s">
        <v>2151</v>
      </c>
      <c r="NA730" s="141">
        <v>2500</v>
      </c>
      <c r="NB730" s="141" t="s">
        <v>2166</v>
      </c>
      <c r="NC730" s="141" t="s">
        <v>168</v>
      </c>
      <c r="ND730" s="141" t="s">
        <v>2194</v>
      </c>
      <c r="NE730" s="141" t="s">
        <v>2197</v>
      </c>
      <c r="NF730" s="141" t="s">
        <v>2193</v>
      </c>
      <c r="NJ730" s="141" t="s">
        <v>2196</v>
      </c>
      <c r="NK730" s="141" t="s">
        <v>2191</v>
      </c>
      <c r="NL730" s="141" t="s">
        <v>2195</v>
      </c>
      <c r="NM730" s="141" t="s">
        <v>266</v>
      </c>
      <c r="NN730" s="143" t="s">
        <v>995</v>
      </c>
      <c r="NW730" s="141" t="s">
        <v>6</v>
      </c>
      <c r="NX730" s="141">
        <v>45</v>
      </c>
      <c r="NY730" s="141" t="s">
        <v>234</v>
      </c>
      <c r="NZ730" s="141" t="s">
        <v>234</v>
      </c>
      <c r="OC730" s="141">
        <v>4</v>
      </c>
      <c r="OT730" s="141" t="s">
        <v>2189</v>
      </c>
      <c r="OU730" s="141" t="s">
        <v>2188</v>
      </c>
      <c r="OW730" s="141">
        <v>2011</v>
      </c>
      <c r="OX730" s="141">
        <v>2014</v>
      </c>
      <c r="PA730" s="141" t="s">
        <v>1169</v>
      </c>
      <c r="PB730" s="142">
        <v>46134</v>
      </c>
    </row>
    <row r="731" spans="1:418" s="141" customFormat="1">
      <c r="A731" t="s">
        <v>248</v>
      </c>
      <c r="B731" s="141" t="s">
        <v>2165</v>
      </c>
      <c r="C731" s="141" t="s">
        <v>2164</v>
      </c>
      <c r="D731" s="141" t="s">
        <v>245</v>
      </c>
      <c r="E731" s="141" t="s">
        <v>2163</v>
      </c>
      <c r="F731" s="141" t="s">
        <v>243</v>
      </c>
      <c r="G731" s="141" t="s">
        <v>2</v>
      </c>
      <c r="H731" s="141" t="s">
        <v>30</v>
      </c>
      <c r="I731" s="141">
        <v>-13.47</v>
      </c>
      <c r="J731" s="141">
        <v>33.71</v>
      </c>
      <c r="K731" s="141" t="s">
        <v>29</v>
      </c>
      <c r="AV731" s="141" t="s">
        <v>2162</v>
      </c>
      <c r="AW731" s="141">
        <v>2500</v>
      </c>
      <c r="AX731" s="141">
        <v>7500</v>
      </c>
      <c r="AY731" s="141">
        <v>3</v>
      </c>
      <c r="AZ731" s="141" t="s">
        <v>2161</v>
      </c>
      <c r="BA731" s="141">
        <v>2011</v>
      </c>
      <c r="BB731" s="141">
        <v>2014</v>
      </c>
      <c r="BD731" s="141" t="s">
        <v>274</v>
      </c>
      <c r="BE731" s="141" t="s">
        <v>2155</v>
      </c>
      <c r="BF731" s="141" t="s">
        <v>43</v>
      </c>
      <c r="BG731" s="141" t="s">
        <v>1233</v>
      </c>
      <c r="BH731" s="141" t="s">
        <v>2160</v>
      </c>
      <c r="BI731" s="141" t="s">
        <v>2159</v>
      </c>
      <c r="BJ731" s="141" t="s">
        <v>22</v>
      </c>
      <c r="BK731" s="141">
        <v>3700</v>
      </c>
      <c r="BL731" s="141" t="s">
        <v>275</v>
      </c>
      <c r="BM731" s="141" t="s">
        <v>1659</v>
      </c>
      <c r="BN731" s="141" t="s">
        <v>2158</v>
      </c>
      <c r="BO731" s="141" t="s">
        <v>22</v>
      </c>
      <c r="BP731" s="141">
        <v>177800</v>
      </c>
      <c r="BQ731" s="141" t="s">
        <v>275</v>
      </c>
      <c r="BR731" s="141" t="s">
        <v>23</v>
      </c>
      <c r="BS731" s="141" t="s">
        <v>2157</v>
      </c>
      <c r="BT731" s="141" t="s">
        <v>22</v>
      </c>
      <c r="BU731" s="141">
        <v>53333</v>
      </c>
      <c r="EJ731" s="145"/>
      <c r="EK731" s="145"/>
      <c r="EL731" s="145"/>
      <c r="EM731" s="145"/>
      <c r="EN731" s="145"/>
      <c r="EO731" s="145"/>
      <c r="EP731" s="145"/>
      <c r="EQ731" s="145"/>
      <c r="ER731" s="145"/>
      <c r="ES731" s="145"/>
      <c r="ET731" s="145"/>
      <c r="EU731" s="145"/>
      <c r="EV731" s="145"/>
      <c r="EW731" s="145"/>
      <c r="EX731" s="145"/>
      <c r="EY731" s="145"/>
      <c r="EZ731" s="145"/>
      <c r="FA731" s="145"/>
      <c r="FB731" s="145"/>
      <c r="FC731" s="145"/>
      <c r="FD731" s="145"/>
      <c r="FE731" s="145"/>
      <c r="FF731" s="145"/>
      <c r="FG731" s="145"/>
      <c r="FH731" s="145"/>
      <c r="FI731" s="145"/>
      <c r="FJ731" s="145"/>
      <c r="FK731" s="145"/>
      <c r="FL731" s="145"/>
      <c r="FM731" s="145"/>
      <c r="FN731" s="145"/>
      <c r="FO731" s="145"/>
      <c r="FP731" s="145"/>
      <c r="FQ731" s="145"/>
      <c r="FR731" s="145"/>
      <c r="FS731" s="145"/>
      <c r="FT731" s="145"/>
      <c r="FU731" s="145"/>
      <c r="FV731" s="145"/>
      <c r="FW731" s="145"/>
      <c r="FX731" s="145"/>
      <c r="FY731" s="145"/>
      <c r="FZ731" s="145"/>
      <c r="GA731" s="145"/>
      <c r="GB731" s="145"/>
      <c r="GC731" s="145"/>
      <c r="GD731" s="145"/>
      <c r="GE731" s="145"/>
      <c r="GF731" s="145"/>
      <c r="GG731" s="145"/>
      <c r="GH731" s="145"/>
      <c r="GI731" s="145"/>
      <c r="GJ731" s="145"/>
      <c r="GK731" s="145"/>
      <c r="GL731" s="145"/>
      <c r="GM731" s="145"/>
      <c r="GN731" s="145"/>
      <c r="GO731" s="145"/>
      <c r="GP731" s="145"/>
      <c r="GQ731" s="145"/>
      <c r="GR731" s="145"/>
      <c r="GS731" s="145"/>
      <c r="GT731" s="145"/>
      <c r="GU731" s="145"/>
      <c r="GV731" s="145"/>
      <c r="GW731" s="145"/>
      <c r="GX731" s="145"/>
      <c r="GY731" s="145"/>
      <c r="GZ731" s="145"/>
      <c r="HA731" s="145"/>
      <c r="HB731" s="145"/>
      <c r="HC731" s="145"/>
      <c r="HD731" s="145"/>
      <c r="HE731" s="145"/>
      <c r="HF731" s="145"/>
      <c r="HG731" s="145"/>
      <c r="HH731" s="145"/>
      <c r="HI731" s="145"/>
      <c r="HJ731" s="145"/>
      <c r="HK731" s="145"/>
      <c r="HL731" s="145" t="s">
        <v>2156</v>
      </c>
      <c r="HM731" s="145" t="s">
        <v>297</v>
      </c>
      <c r="HN731" s="141" t="s">
        <v>29</v>
      </c>
      <c r="HO731" s="141" t="s">
        <v>29</v>
      </c>
      <c r="HP731" s="141" t="s">
        <v>29</v>
      </c>
      <c r="HQ731" s="141" t="s">
        <v>29</v>
      </c>
      <c r="HZ731" s="142"/>
      <c r="IP731" s="141" t="s">
        <v>2155</v>
      </c>
      <c r="IQ731" s="141" t="s">
        <v>273</v>
      </c>
      <c r="IR731" s="141" t="s">
        <v>836</v>
      </c>
      <c r="IT731" s="141">
        <v>2011</v>
      </c>
      <c r="IV731" s="141" t="s">
        <v>29</v>
      </c>
      <c r="JK731" s="141" t="s">
        <v>2154</v>
      </c>
      <c r="JM731" s="141" t="s">
        <v>14</v>
      </c>
      <c r="JQ731" s="141" t="s">
        <v>13</v>
      </c>
      <c r="JR731" s="141">
        <v>131</v>
      </c>
      <c r="JS731" s="141">
        <v>59</v>
      </c>
      <c r="KF731" s="141" t="s">
        <v>2153</v>
      </c>
      <c r="KG731" s="141" t="s">
        <v>12</v>
      </c>
      <c r="KH731" s="141" t="s">
        <v>29</v>
      </c>
      <c r="KI731" s="141" t="s">
        <v>29</v>
      </c>
      <c r="KK731" s="141" t="s">
        <v>2152</v>
      </c>
      <c r="MZ731" s="141" t="s">
        <v>2151</v>
      </c>
      <c r="NA731" s="141">
        <v>2500</v>
      </c>
      <c r="NB731" s="141" t="s">
        <v>2150</v>
      </c>
      <c r="NC731" s="141" t="s">
        <v>168</v>
      </c>
      <c r="ND731" s="141" t="s">
        <v>2194</v>
      </c>
      <c r="NE731" s="141" t="s">
        <v>2193</v>
      </c>
      <c r="NJ731" s="141" t="s">
        <v>2192</v>
      </c>
      <c r="NK731" s="141" t="s">
        <v>2191</v>
      </c>
      <c r="NL731" s="141" t="s">
        <v>2190</v>
      </c>
      <c r="NM731" s="141" t="s">
        <v>266</v>
      </c>
      <c r="NN731" s="143" t="s">
        <v>995</v>
      </c>
      <c r="NW731" s="141" t="s">
        <v>6</v>
      </c>
      <c r="NX731" s="141">
        <v>56</v>
      </c>
      <c r="NY731" s="141" t="s">
        <v>234</v>
      </c>
      <c r="NZ731" s="141" t="s">
        <v>234</v>
      </c>
      <c r="OC731" s="141">
        <v>4</v>
      </c>
      <c r="OT731" s="141" t="s">
        <v>2189</v>
      </c>
      <c r="OU731" s="141" t="s">
        <v>2188</v>
      </c>
      <c r="OW731" s="141">
        <v>2011</v>
      </c>
      <c r="OX731" s="141">
        <v>2014</v>
      </c>
      <c r="PA731" s="141" t="s">
        <v>1169</v>
      </c>
      <c r="PB731" s="142">
        <v>46134</v>
      </c>
    </row>
    <row r="732" spans="1:418" s="141" customFormat="1">
      <c r="A732" s="87" t="s">
        <v>248</v>
      </c>
      <c r="B732" s="141" t="s">
        <v>2165</v>
      </c>
      <c r="C732" s="141" t="s">
        <v>2164</v>
      </c>
      <c r="D732" s="141" t="s">
        <v>245</v>
      </c>
      <c r="E732" s="141" t="s">
        <v>2182</v>
      </c>
      <c r="F732" s="141" t="s">
        <v>243</v>
      </c>
      <c r="G732" s="141" t="s">
        <v>2</v>
      </c>
      <c r="H732" s="141" t="s">
        <v>30</v>
      </c>
      <c r="I732" s="141">
        <v>-13.06</v>
      </c>
      <c r="J732" s="141">
        <v>34.299999999999997</v>
      </c>
      <c r="K732" s="141" t="s">
        <v>29</v>
      </c>
      <c r="AV732" s="141" t="s">
        <v>2162</v>
      </c>
      <c r="AW732" s="141">
        <v>1300</v>
      </c>
      <c r="AX732" s="141">
        <v>3900</v>
      </c>
      <c r="AY732" s="141">
        <v>3</v>
      </c>
      <c r="AZ732" s="141" t="s">
        <v>2161</v>
      </c>
      <c r="BA732" s="141">
        <v>2011</v>
      </c>
      <c r="BB732" s="141">
        <v>2014</v>
      </c>
      <c r="BD732" s="141" t="s">
        <v>19</v>
      </c>
      <c r="BE732" s="141" t="s">
        <v>2176</v>
      </c>
      <c r="BF732" s="141" t="s">
        <v>39</v>
      </c>
      <c r="BG732" s="141" t="s">
        <v>1233</v>
      </c>
      <c r="BH732" s="141" t="s">
        <v>23</v>
      </c>
      <c r="BI732" s="141" t="s">
        <v>2157</v>
      </c>
      <c r="BJ732" s="141" t="s">
        <v>22</v>
      </c>
      <c r="BK732" s="141">
        <v>53333</v>
      </c>
      <c r="EJ732" s="145"/>
      <c r="EK732" s="145"/>
      <c r="EL732" s="145"/>
      <c r="EM732" s="145"/>
      <c r="EN732" s="145"/>
      <c r="EO732" s="145"/>
      <c r="EP732" s="145"/>
      <c r="EQ732" s="145"/>
      <c r="ER732" s="145"/>
      <c r="ES732" s="145"/>
      <c r="ET732" s="145"/>
      <c r="EU732" s="145"/>
      <c r="EV732" s="145"/>
      <c r="EW732" s="145"/>
      <c r="EX732" s="145"/>
      <c r="EY732" s="145"/>
      <c r="EZ732" s="145"/>
      <c r="FA732" s="145"/>
      <c r="FB732" s="145"/>
      <c r="FC732" s="145"/>
      <c r="FD732" s="145"/>
      <c r="FE732" s="145"/>
      <c r="FF732" s="145"/>
      <c r="FG732" s="145"/>
      <c r="FH732" s="145"/>
      <c r="FI732" s="145"/>
      <c r="FJ732" s="145"/>
      <c r="FK732" s="145"/>
      <c r="FL732" s="145"/>
      <c r="FM732" s="145"/>
      <c r="FN732" s="145"/>
      <c r="FO732" s="145"/>
      <c r="FP732" s="145"/>
      <c r="FQ732" s="145"/>
      <c r="FR732" s="145"/>
      <c r="FS732" s="145"/>
      <c r="FT732" s="145"/>
      <c r="FU732" s="145"/>
      <c r="FV732" s="145"/>
      <c r="FW732" s="145"/>
      <c r="FX732" s="145"/>
      <c r="FY732" s="145"/>
      <c r="FZ732" s="145"/>
      <c r="GA732" s="145"/>
      <c r="GB732" s="145"/>
      <c r="GC732" s="145"/>
      <c r="GD732" s="145"/>
      <c r="GE732" s="145"/>
      <c r="GF732" s="145"/>
      <c r="GG732" s="145"/>
      <c r="GH732" s="145"/>
      <c r="GI732" s="145"/>
      <c r="GJ732" s="145"/>
      <c r="GK732" s="145"/>
      <c r="GL732" s="145"/>
      <c r="GM732" s="145"/>
      <c r="GN732" s="145"/>
      <c r="GO732" s="145"/>
      <c r="GP732" s="145"/>
      <c r="GQ732" s="145"/>
      <c r="GR732" s="145"/>
      <c r="GS732" s="145"/>
      <c r="GT732" s="145"/>
      <c r="GU732" s="145"/>
      <c r="GV732" s="145"/>
      <c r="GW732" s="145"/>
      <c r="GX732" s="145"/>
      <c r="GY732" s="145"/>
      <c r="GZ732" s="145"/>
      <c r="HA732" s="145"/>
      <c r="HB732" s="145"/>
      <c r="HC732" s="145"/>
      <c r="HD732" s="145"/>
      <c r="HE732" s="145"/>
      <c r="HF732" s="145"/>
      <c r="HG732" s="145"/>
      <c r="HH732" s="145"/>
      <c r="HI732" s="145"/>
      <c r="HJ732" s="145"/>
      <c r="HK732" s="145"/>
      <c r="HL732" s="145" t="s">
        <v>2171</v>
      </c>
      <c r="HM732" s="145" t="s">
        <v>232</v>
      </c>
      <c r="HU732" s="142"/>
      <c r="HV732" s="142"/>
      <c r="HZ732" s="142"/>
      <c r="IP732" s="141" t="s">
        <v>2176</v>
      </c>
      <c r="IQ732" s="141" t="s">
        <v>19</v>
      </c>
      <c r="IT732" s="141">
        <v>2011</v>
      </c>
      <c r="JK732" s="141" t="s">
        <v>2154</v>
      </c>
      <c r="JM732" s="141" t="s">
        <v>14</v>
      </c>
      <c r="JQ732" s="141" t="s">
        <v>13</v>
      </c>
      <c r="JR732" s="141">
        <v>309</v>
      </c>
      <c r="JS732" s="141">
        <v>93</v>
      </c>
      <c r="KF732" s="141" t="s">
        <v>2153</v>
      </c>
      <c r="KG732" s="141" t="s">
        <v>12</v>
      </c>
      <c r="KH732" s="141" t="s">
        <v>29</v>
      </c>
      <c r="KI732" s="141" t="s">
        <v>29</v>
      </c>
      <c r="KK732" s="141" t="s">
        <v>222</v>
      </c>
      <c r="KL732" s="141" t="s">
        <v>2168</v>
      </c>
      <c r="KM732" s="141" t="s">
        <v>220</v>
      </c>
      <c r="KN732" s="141">
        <v>7.5</v>
      </c>
      <c r="KO732" s="141" t="s">
        <v>222</v>
      </c>
      <c r="KP732" s="141" t="s">
        <v>2167</v>
      </c>
      <c r="KQ732" s="141" t="s">
        <v>220</v>
      </c>
      <c r="KR732" s="141">
        <v>2</v>
      </c>
      <c r="MZ732" s="141" t="s">
        <v>2151</v>
      </c>
      <c r="NA732" s="141">
        <v>1300</v>
      </c>
      <c r="NB732" s="141" t="s">
        <v>2175</v>
      </c>
      <c r="NC732" s="141" t="s">
        <v>168</v>
      </c>
      <c r="NK732" s="141" t="s">
        <v>2149</v>
      </c>
      <c r="NM732" s="141" t="s">
        <v>8</v>
      </c>
      <c r="NN732" s="141" t="s">
        <v>13</v>
      </c>
      <c r="NV732" s="141" t="s">
        <v>745</v>
      </c>
      <c r="NW732" s="141" t="s">
        <v>6</v>
      </c>
      <c r="NX732" s="141">
        <v>4320</v>
      </c>
      <c r="NY732" s="141" t="s">
        <v>234</v>
      </c>
      <c r="NZ732" s="141" t="s">
        <v>234</v>
      </c>
      <c r="OC732" s="141">
        <v>4</v>
      </c>
      <c r="OT732" s="141" t="s">
        <v>2177</v>
      </c>
      <c r="OV732" s="141">
        <v>2014</v>
      </c>
      <c r="PA732" s="141" t="s">
        <v>1169</v>
      </c>
      <c r="PB732" s="142">
        <v>46134</v>
      </c>
    </row>
    <row r="733" spans="1:418" s="141" customFormat="1">
      <c r="A733" t="s">
        <v>248</v>
      </c>
      <c r="B733" s="141" t="s">
        <v>2165</v>
      </c>
      <c r="C733" s="141" t="s">
        <v>2164</v>
      </c>
      <c r="D733" s="141" t="s">
        <v>245</v>
      </c>
      <c r="E733" s="141" t="s">
        <v>2182</v>
      </c>
      <c r="F733" s="141" t="s">
        <v>243</v>
      </c>
      <c r="G733" s="141" t="s">
        <v>2</v>
      </c>
      <c r="H733" s="141" t="s">
        <v>30</v>
      </c>
      <c r="I733" s="141">
        <v>-13.06</v>
      </c>
      <c r="J733" s="141">
        <v>34.299999999999997</v>
      </c>
      <c r="K733" s="141" t="s">
        <v>29</v>
      </c>
      <c r="AV733" s="141" t="s">
        <v>2162</v>
      </c>
      <c r="AW733" s="141">
        <v>1300</v>
      </c>
      <c r="AX733" s="141">
        <v>3900</v>
      </c>
      <c r="AY733" s="141">
        <v>3</v>
      </c>
      <c r="AZ733" s="141" t="s">
        <v>2161</v>
      </c>
      <c r="BA733" s="141">
        <v>2011</v>
      </c>
      <c r="BB733" s="141">
        <v>2014</v>
      </c>
      <c r="BD733" s="141" t="s">
        <v>274</v>
      </c>
      <c r="BE733" s="141" t="s">
        <v>2186</v>
      </c>
      <c r="BF733" s="141" t="s">
        <v>64</v>
      </c>
      <c r="BG733" s="141" t="s">
        <v>1233</v>
      </c>
      <c r="BH733" s="141" t="s">
        <v>2005</v>
      </c>
      <c r="BI733" s="141" t="s">
        <v>2181</v>
      </c>
      <c r="BJ733" s="141" t="s">
        <v>22</v>
      </c>
      <c r="BK733" s="141">
        <v>12300</v>
      </c>
      <c r="BL733" s="141" t="s">
        <v>56</v>
      </c>
      <c r="BM733" s="141" t="s">
        <v>2173</v>
      </c>
      <c r="BN733" s="141" t="s">
        <v>2172</v>
      </c>
      <c r="BO733" s="141" t="s">
        <v>22</v>
      </c>
      <c r="BP733" s="141">
        <v>24700</v>
      </c>
      <c r="BQ733" s="141" t="s">
        <v>275</v>
      </c>
      <c r="BR733" s="141" t="s">
        <v>250</v>
      </c>
      <c r="BS733" s="141" t="s">
        <v>2187</v>
      </c>
      <c r="BT733" s="141" t="s">
        <v>22</v>
      </c>
      <c r="BU733" s="141">
        <v>355556</v>
      </c>
      <c r="BV733" s="141" t="s">
        <v>56</v>
      </c>
      <c r="BW733" s="141" t="s">
        <v>2173</v>
      </c>
      <c r="BX733" s="141" t="s">
        <v>2172</v>
      </c>
      <c r="BY733" s="141" t="s">
        <v>22</v>
      </c>
      <c r="BZ733" s="141">
        <v>24700</v>
      </c>
      <c r="CA733" s="141" t="s">
        <v>275</v>
      </c>
      <c r="CB733" s="141" t="s">
        <v>23</v>
      </c>
      <c r="CC733" s="141" t="s">
        <v>2157</v>
      </c>
      <c r="CD733" s="141" t="s">
        <v>22</v>
      </c>
      <c r="CE733" s="141">
        <v>53333</v>
      </c>
      <c r="EJ733" s="145"/>
      <c r="EK733" s="145"/>
      <c r="EL733" s="145"/>
      <c r="EM733" s="145"/>
      <c r="EN733" s="145"/>
      <c r="EO733" s="145"/>
      <c r="EP733" s="145"/>
      <c r="EQ733" s="145"/>
      <c r="ER733" s="145"/>
      <c r="ES733" s="145"/>
      <c r="ET733" s="145"/>
      <c r="EU733" s="145"/>
      <c r="EV733" s="145"/>
      <c r="EW733" s="145"/>
      <c r="EX733" s="145"/>
      <c r="EY733" s="145"/>
      <c r="EZ733" s="145"/>
      <c r="FA733" s="145"/>
      <c r="FB733" s="145"/>
      <c r="FC733" s="145"/>
      <c r="FD733" s="145"/>
      <c r="FE733" s="145"/>
      <c r="FF733" s="145"/>
      <c r="FG733" s="145"/>
      <c r="FH733" s="145"/>
      <c r="FI733" s="145"/>
      <c r="FJ733" s="145"/>
      <c r="FK733" s="145"/>
      <c r="FL733" s="145"/>
      <c r="FM733" s="145"/>
      <c r="FN733" s="145"/>
      <c r="FO733" s="145"/>
      <c r="FP733" s="145"/>
      <c r="FQ733" s="145"/>
      <c r="FR733" s="145"/>
      <c r="FS733" s="145"/>
      <c r="FT733" s="145"/>
      <c r="FU733" s="145"/>
      <c r="FV733" s="145"/>
      <c r="FW733" s="145"/>
      <c r="FX733" s="145"/>
      <c r="FY733" s="145"/>
      <c r="FZ733" s="145"/>
      <c r="GA733" s="145"/>
      <c r="GB733" s="145"/>
      <c r="GC733" s="145"/>
      <c r="GD733" s="145"/>
      <c r="GE733" s="145"/>
      <c r="GF733" s="145"/>
      <c r="GG733" s="145"/>
      <c r="GH733" s="145"/>
      <c r="GI733" s="145"/>
      <c r="GJ733" s="145"/>
      <c r="GK733" s="145"/>
      <c r="GL733" s="145"/>
      <c r="GM733" s="145"/>
      <c r="GN733" s="145"/>
      <c r="GO733" s="145"/>
      <c r="GP733" s="145"/>
      <c r="GQ733" s="145"/>
      <c r="GR733" s="145"/>
      <c r="GS733" s="145"/>
      <c r="GT733" s="145"/>
      <c r="GU733" s="145"/>
      <c r="GV733" s="145"/>
      <c r="GW733" s="145"/>
      <c r="GX733" s="145"/>
      <c r="GY733" s="145"/>
      <c r="GZ733" s="145"/>
      <c r="HA733" s="145"/>
      <c r="HB733" s="145"/>
      <c r="HC733" s="145"/>
      <c r="HD733" s="145"/>
      <c r="HE733" s="145"/>
      <c r="HF733" s="145"/>
      <c r="HG733" s="145"/>
      <c r="HH733" s="145"/>
      <c r="HI733" s="145"/>
      <c r="HJ733" s="145"/>
      <c r="HK733" s="145"/>
      <c r="HL733" s="145" t="s">
        <v>2171</v>
      </c>
      <c r="HM733" s="145" t="s">
        <v>232</v>
      </c>
      <c r="HU733" s="142"/>
      <c r="HV733" s="142"/>
      <c r="HZ733" s="142"/>
      <c r="IP733" s="141" t="s">
        <v>2186</v>
      </c>
      <c r="IQ733" s="141" t="s">
        <v>273</v>
      </c>
      <c r="IR733" s="141" t="s">
        <v>2169</v>
      </c>
      <c r="IT733" s="141">
        <v>2011</v>
      </c>
      <c r="IV733" s="141" t="s">
        <v>29</v>
      </c>
      <c r="JK733" s="141" t="s">
        <v>2154</v>
      </c>
      <c r="JM733" s="141" t="s">
        <v>14</v>
      </c>
      <c r="JQ733" s="141" t="s">
        <v>13</v>
      </c>
      <c r="JR733" s="141">
        <v>103</v>
      </c>
      <c r="JS733" s="141">
        <v>31</v>
      </c>
      <c r="KF733" s="141" t="s">
        <v>2153</v>
      </c>
      <c r="KG733" s="141" t="s">
        <v>12</v>
      </c>
      <c r="KH733" s="141" t="s">
        <v>29</v>
      </c>
      <c r="KI733" s="141" t="s">
        <v>29</v>
      </c>
      <c r="KK733" s="141" t="s">
        <v>222</v>
      </c>
      <c r="KL733" s="141" t="s">
        <v>2168</v>
      </c>
      <c r="KM733" s="141" t="s">
        <v>220</v>
      </c>
      <c r="KN733" s="141">
        <v>7.5</v>
      </c>
      <c r="KO733" s="141" t="s">
        <v>222</v>
      </c>
      <c r="KP733" s="141" t="s">
        <v>2167</v>
      </c>
      <c r="KQ733" s="141" t="s">
        <v>220</v>
      </c>
      <c r="KR733" s="141">
        <v>1</v>
      </c>
      <c r="KS733" s="141" t="s">
        <v>219</v>
      </c>
      <c r="KT733" s="141" t="s">
        <v>2185</v>
      </c>
      <c r="KU733" s="141" t="s">
        <v>2184</v>
      </c>
      <c r="KV733" s="141">
        <v>100</v>
      </c>
      <c r="MZ733" s="141" t="s">
        <v>2151</v>
      </c>
      <c r="NA733" s="141">
        <v>1300</v>
      </c>
      <c r="NB733" s="141" t="s">
        <v>2183</v>
      </c>
      <c r="NC733" s="141" t="s">
        <v>168</v>
      </c>
      <c r="NK733" s="141" t="s">
        <v>2149</v>
      </c>
      <c r="NM733" s="141" t="s">
        <v>8</v>
      </c>
      <c r="NN733" s="141" t="s">
        <v>13</v>
      </c>
      <c r="NW733" s="141" t="s">
        <v>6</v>
      </c>
      <c r="NX733" s="141">
        <v>5684</v>
      </c>
      <c r="NY733" s="141" t="s">
        <v>234</v>
      </c>
      <c r="NZ733" s="141" t="s">
        <v>234</v>
      </c>
      <c r="OC733" s="141">
        <v>4</v>
      </c>
      <c r="OT733" s="141" t="s">
        <v>2177</v>
      </c>
      <c r="OV733" s="141">
        <v>2014</v>
      </c>
      <c r="PA733" s="141" t="s">
        <v>1169</v>
      </c>
      <c r="PB733" s="142">
        <v>46134</v>
      </c>
    </row>
    <row r="734" spans="1:418" s="141" customFormat="1">
      <c r="A734" t="s">
        <v>248</v>
      </c>
      <c r="B734" s="141" t="s">
        <v>2165</v>
      </c>
      <c r="C734" s="141" t="s">
        <v>2164</v>
      </c>
      <c r="D734" s="141" t="s">
        <v>245</v>
      </c>
      <c r="E734" s="141" t="s">
        <v>2182</v>
      </c>
      <c r="F734" s="141" t="s">
        <v>243</v>
      </c>
      <c r="G734" s="141" t="s">
        <v>2</v>
      </c>
      <c r="H734" s="141" t="s">
        <v>30</v>
      </c>
      <c r="I734" s="141">
        <v>-13.06</v>
      </c>
      <c r="J734" s="141">
        <v>34.299999999999997</v>
      </c>
      <c r="K734" s="141" t="s">
        <v>29</v>
      </c>
      <c r="AV734" s="141" t="s">
        <v>2162</v>
      </c>
      <c r="AW734" s="141">
        <v>1300</v>
      </c>
      <c r="AX734" s="141">
        <v>3900</v>
      </c>
      <c r="AY734" s="141">
        <v>3</v>
      </c>
      <c r="AZ734" s="141" t="s">
        <v>2161</v>
      </c>
      <c r="BA734" s="141">
        <v>2011</v>
      </c>
      <c r="BB734" s="141">
        <v>2014</v>
      </c>
      <c r="BD734" s="141" t="s">
        <v>274</v>
      </c>
      <c r="BE734" s="141" t="s">
        <v>2179</v>
      </c>
      <c r="BF734" s="141" t="s">
        <v>57</v>
      </c>
      <c r="BG734" s="141" t="s">
        <v>1233</v>
      </c>
      <c r="BH734" s="141" t="s">
        <v>2005</v>
      </c>
      <c r="BI734" s="141" t="s">
        <v>2181</v>
      </c>
      <c r="BJ734" s="141" t="s">
        <v>22</v>
      </c>
      <c r="BK734" s="141">
        <v>12300</v>
      </c>
      <c r="BL734" s="141" t="s">
        <v>275</v>
      </c>
      <c r="BM734" s="141" t="s">
        <v>271</v>
      </c>
      <c r="BN734" s="141" t="s">
        <v>2180</v>
      </c>
      <c r="BO734" s="141" t="s">
        <v>22</v>
      </c>
      <c r="BP734" s="141">
        <v>266667</v>
      </c>
      <c r="BQ734" s="141" t="s">
        <v>275</v>
      </c>
      <c r="BR734" s="141" t="s">
        <v>23</v>
      </c>
      <c r="BS734" s="141" t="s">
        <v>2157</v>
      </c>
      <c r="BT734" s="141" t="s">
        <v>22</v>
      </c>
      <c r="BU734" s="141">
        <v>53333</v>
      </c>
      <c r="EJ734" s="145"/>
      <c r="EK734" s="145"/>
      <c r="EL734" s="145"/>
      <c r="EM734" s="145"/>
      <c r="EN734" s="145"/>
      <c r="EO734" s="145"/>
      <c r="EP734" s="145"/>
      <c r="EQ734" s="145"/>
      <c r="ER734" s="145"/>
      <c r="ES734" s="145"/>
      <c r="ET734" s="145"/>
      <c r="EU734" s="145"/>
      <c r="EV734" s="145"/>
      <c r="EW734" s="145"/>
      <c r="EX734" s="145"/>
      <c r="EY734" s="145"/>
      <c r="EZ734" s="145"/>
      <c r="FA734" s="145"/>
      <c r="FB734" s="145"/>
      <c r="FC734" s="145"/>
      <c r="FD734" s="145"/>
      <c r="FE734" s="145"/>
      <c r="FF734" s="145"/>
      <c r="FG734" s="145"/>
      <c r="FH734" s="145"/>
      <c r="FI734" s="145"/>
      <c r="FJ734" s="145"/>
      <c r="FK734" s="145"/>
      <c r="FL734" s="145"/>
      <c r="FM734" s="145"/>
      <c r="FN734" s="145"/>
      <c r="FO734" s="145"/>
      <c r="FP734" s="145"/>
      <c r="FQ734" s="145"/>
      <c r="FR734" s="145"/>
      <c r="FS734" s="145"/>
      <c r="FT734" s="145"/>
      <c r="FU734" s="145"/>
      <c r="FV734" s="145"/>
      <c r="FW734" s="145"/>
      <c r="FX734" s="145"/>
      <c r="FY734" s="145"/>
      <c r="FZ734" s="145"/>
      <c r="GA734" s="145"/>
      <c r="GB734" s="145"/>
      <c r="GC734" s="145"/>
      <c r="GD734" s="145"/>
      <c r="GE734" s="145"/>
      <c r="GF734" s="145"/>
      <c r="GG734" s="145"/>
      <c r="GH734" s="145"/>
      <c r="GI734" s="145"/>
      <c r="GJ734" s="145"/>
      <c r="GK734" s="145"/>
      <c r="GL734" s="145"/>
      <c r="GM734" s="145"/>
      <c r="GN734" s="145"/>
      <c r="GO734" s="145"/>
      <c r="GP734" s="145"/>
      <c r="GQ734" s="145"/>
      <c r="GR734" s="145"/>
      <c r="GS734" s="145"/>
      <c r="GT734" s="145"/>
      <c r="GU734" s="145"/>
      <c r="GV734" s="145"/>
      <c r="GW734" s="145"/>
      <c r="GX734" s="145"/>
      <c r="GY734" s="145"/>
      <c r="GZ734" s="145"/>
      <c r="HA734" s="145"/>
      <c r="HB734" s="145"/>
      <c r="HC734" s="145"/>
      <c r="HD734" s="145"/>
      <c r="HE734" s="145"/>
      <c r="HF734" s="145"/>
      <c r="HG734" s="145"/>
      <c r="HH734" s="145"/>
      <c r="HI734" s="145"/>
      <c r="HJ734" s="145"/>
      <c r="HK734" s="145"/>
      <c r="HL734" s="145" t="s">
        <v>2156</v>
      </c>
      <c r="HM734" s="145" t="s">
        <v>297</v>
      </c>
      <c r="HN734" s="141" t="s">
        <v>29</v>
      </c>
      <c r="HO734" s="141" t="s">
        <v>29</v>
      </c>
      <c r="HP734" s="141" t="s">
        <v>29</v>
      </c>
      <c r="HQ734" s="141" t="s">
        <v>29</v>
      </c>
      <c r="HZ734" s="142"/>
      <c r="IP734" s="141" t="s">
        <v>2179</v>
      </c>
      <c r="IQ734" s="141" t="s">
        <v>273</v>
      </c>
      <c r="IT734" s="141">
        <v>2011</v>
      </c>
      <c r="IV734" s="141" t="s">
        <v>29</v>
      </c>
      <c r="JK734" s="141" t="s">
        <v>2154</v>
      </c>
      <c r="JM734" s="141" t="s">
        <v>14</v>
      </c>
      <c r="JQ734" s="141" t="s">
        <v>13</v>
      </c>
      <c r="JR734" s="141">
        <v>124</v>
      </c>
      <c r="JS734" s="141">
        <v>50</v>
      </c>
      <c r="KF734" s="141" t="s">
        <v>2153</v>
      </c>
      <c r="KG734" s="141" t="s">
        <v>12</v>
      </c>
      <c r="KH734" s="141" t="s">
        <v>29</v>
      </c>
      <c r="KI734" s="141" t="s">
        <v>29</v>
      </c>
      <c r="KK734" s="141" t="s">
        <v>2152</v>
      </c>
      <c r="MZ734" s="141" t="s">
        <v>2151</v>
      </c>
      <c r="NA734" s="141">
        <v>1300</v>
      </c>
      <c r="NB734" s="141" t="s">
        <v>2178</v>
      </c>
      <c r="NC734" s="141" t="s">
        <v>168</v>
      </c>
      <c r="NK734" s="141" t="s">
        <v>2149</v>
      </c>
      <c r="NM734" s="141" t="s">
        <v>8</v>
      </c>
      <c r="NN734" s="141" t="s">
        <v>13</v>
      </c>
      <c r="NW734" s="141" t="s">
        <v>6</v>
      </c>
      <c r="NX734" s="141">
        <v>4789</v>
      </c>
      <c r="NY734" s="141" t="s">
        <v>234</v>
      </c>
      <c r="NZ734" s="141" t="s">
        <v>234</v>
      </c>
      <c r="OC734" s="141">
        <v>4</v>
      </c>
      <c r="OT734" s="141" t="s">
        <v>2177</v>
      </c>
      <c r="OV734" s="141">
        <v>2014</v>
      </c>
      <c r="PA734" s="141" t="s">
        <v>1169</v>
      </c>
      <c r="PB734" s="142">
        <v>46134</v>
      </c>
    </row>
    <row r="735" spans="1:418" s="141" customFormat="1">
      <c r="A735" s="87" t="s">
        <v>248</v>
      </c>
      <c r="B735" s="141" t="s">
        <v>2165</v>
      </c>
      <c r="C735" s="141" t="s">
        <v>2164</v>
      </c>
      <c r="D735" s="141" t="s">
        <v>245</v>
      </c>
      <c r="E735" s="141" t="s">
        <v>2163</v>
      </c>
      <c r="F735" s="141" t="s">
        <v>243</v>
      </c>
      <c r="G735" s="141" t="s">
        <v>2</v>
      </c>
      <c r="H735" s="141" t="s">
        <v>30</v>
      </c>
      <c r="I735" s="141">
        <v>-13.47</v>
      </c>
      <c r="J735" s="141">
        <v>33.71</v>
      </c>
      <c r="K735" s="141" t="s">
        <v>29</v>
      </c>
      <c r="AV735" s="141" t="s">
        <v>2162</v>
      </c>
      <c r="AW735" s="141">
        <v>2500</v>
      </c>
      <c r="AX735" s="141">
        <v>7500</v>
      </c>
      <c r="AY735" s="141">
        <v>3</v>
      </c>
      <c r="AZ735" s="141" t="s">
        <v>2161</v>
      </c>
      <c r="BA735" s="141">
        <v>2011</v>
      </c>
      <c r="BB735" s="141">
        <v>2014</v>
      </c>
      <c r="BD735" s="141" t="s">
        <v>19</v>
      </c>
      <c r="BE735" s="141" t="s">
        <v>2176</v>
      </c>
      <c r="BF735" s="141" t="s">
        <v>24</v>
      </c>
      <c r="BG735" s="141" t="s">
        <v>1233</v>
      </c>
      <c r="BH735" s="141" t="s">
        <v>23</v>
      </c>
      <c r="BI735" s="141" t="s">
        <v>2157</v>
      </c>
      <c r="BJ735" s="141" t="s">
        <v>22</v>
      </c>
      <c r="BK735" s="141">
        <v>53333</v>
      </c>
      <c r="EJ735" s="145"/>
      <c r="EK735" s="145"/>
      <c r="EL735" s="145"/>
      <c r="EM735" s="145"/>
      <c r="EN735" s="145"/>
      <c r="EO735" s="145"/>
      <c r="EP735" s="145"/>
      <c r="EQ735" s="145"/>
      <c r="ER735" s="145"/>
      <c r="ES735" s="145"/>
      <c r="ET735" s="145"/>
      <c r="EU735" s="145"/>
      <c r="EV735" s="145"/>
      <c r="EW735" s="145"/>
      <c r="EX735" s="145"/>
      <c r="EY735" s="145"/>
      <c r="EZ735" s="145"/>
      <c r="FA735" s="145"/>
      <c r="FB735" s="145"/>
      <c r="FC735" s="145"/>
      <c r="FD735" s="145"/>
      <c r="FE735" s="145"/>
      <c r="FF735" s="145"/>
      <c r="FG735" s="145"/>
      <c r="FH735" s="145"/>
      <c r="FI735" s="145"/>
      <c r="FJ735" s="145"/>
      <c r="FK735" s="145"/>
      <c r="FL735" s="145"/>
      <c r="FM735" s="145"/>
      <c r="FN735" s="145"/>
      <c r="FO735" s="145"/>
      <c r="FP735" s="145"/>
      <c r="FQ735" s="145"/>
      <c r="FR735" s="145"/>
      <c r="FS735" s="145"/>
      <c r="FT735" s="145"/>
      <c r="FU735" s="145"/>
      <c r="FV735" s="145"/>
      <c r="FW735" s="145"/>
      <c r="FX735" s="145"/>
      <c r="FY735" s="145"/>
      <c r="FZ735" s="145"/>
      <c r="GA735" s="145"/>
      <c r="GB735" s="145"/>
      <c r="GC735" s="145"/>
      <c r="GD735" s="145"/>
      <c r="GE735" s="145"/>
      <c r="GF735" s="145"/>
      <c r="GG735" s="145"/>
      <c r="GH735" s="145"/>
      <c r="GI735" s="145"/>
      <c r="GJ735" s="145"/>
      <c r="GK735" s="145"/>
      <c r="GL735" s="145"/>
      <c r="GM735" s="145"/>
      <c r="GN735" s="145"/>
      <c r="GO735" s="145"/>
      <c r="GP735" s="145"/>
      <c r="GQ735" s="145"/>
      <c r="GR735" s="145"/>
      <c r="GS735" s="145"/>
      <c r="GT735" s="145"/>
      <c r="GU735" s="145"/>
      <c r="GV735" s="145"/>
      <c r="GW735" s="145"/>
      <c r="GX735" s="145"/>
      <c r="GY735" s="145"/>
      <c r="GZ735" s="145"/>
      <c r="HA735" s="145"/>
      <c r="HB735" s="145"/>
      <c r="HC735" s="145"/>
      <c r="HD735" s="145"/>
      <c r="HE735" s="145"/>
      <c r="HF735" s="145"/>
      <c r="HG735" s="145"/>
      <c r="HH735" s="145"/>
      <c r="HI735" s="145"/>
      <c r="HJ735" s="145"/>
      <c r="HK735" s="145"/>
      <c r="HL735" s="145" t="s">
        <v>2171</v>
      </c>
      <c r="HM735" s="145" t="s">
        <v>232</v>
      </c>
      <c r="HZ735" s="142"/>
      <c r="IP735" s="141" t="s">
        <v>2176</v>
      </c>
      <c r="IQ735" s="141" t="s">
        <v>19</v>
      </c>
      <c r="IT735" s="141">
        <v>2011</v>
      </c>
      <c r="JK735" s="141" t="s">
        <v>2154</v>
      </c>
      <c r="JM735" s="141" t="s">
        <v>14</v>
      </c>
      <c r="JQ735" s="141" t="s">
        <v>13</v>
      </c>
      <c r="JR735" s="141">
        <v>309</v>
      </c>
      <c r="JS735" s="141">
        <v>93</v>
      </c>
      <c r="KF735" s="141" t="s">
        <v>2153</v>
      </c>
      <c r="KG735" s="141" t="s">
        <v>12</v>
      </c>
      <c r="KH735" s="141" t="s">
        <v>29</v>
      </c>
      <c r="KI735" s="141" t="s">
        <v>29</v>
      </c>
      <c r="KK735" s="141" t="s">
        <v>222</v>
      </c>
      <c r="KL735" s="141" t="s">
        <v>2168</v>
      </c>
      <c r="KM735" s="141" t="s">
        <v>220</v>
      </c>
      <c r="KN735" s="141">
        <v>7.5</v>
      </c>
      <c r="KO735" s="141" t="s">
        <v>222</v>
      </c>
      <c r="KP735" s="141" t="s">
        <v>2167</v>
      </c>
      <c r="KQ735" s="141" t="s">
        <v>220</v>
      </c>
      <c r="KR735" s="141">
        <v>2</v>
      </c>
      <c r="MZ735" s="141" t="s">
        <v>2151</v>
      </c>
      <c r="NA735" s="141">
        <v>2500</v>
      </c>
      <c r="NB735" s="141" t="s">
        <v>2175</v>
      </c>
      <c r="NC735" s="141" t="s">
        <v>168</v>
      </c>
      <c r="NK735" s="141" t="s">
        <v>2149</v>
      </c>
      <c r="NM735" s="141" t="s">
        <v>8</v>
      </c>
      <c r="NN735" s="141" t="s">
        <v>13</v>
      </c>
      <c r="NV735" s="141" t="s">
        <v>2174</v>
      </c>
      <c r="NW735" s="141" t="s">
        <v>6</v>
      </c>
      <c r="NX735" s="141">
        <v>4364</v>
      </c>
      <c r="NY735" s="141" t="s">
        <v>234</v>
      </c>
      <c r="NZ735" s="141" t="s">
        <v>234</v>
      </c>
      <c r="OC735" s="141">
        <v>4</v>
      </c>
      <c r="OT735" s="141" t="s">
        <v>2148</v>
      </c>
      <c r="OV735" s="141">
        <v>2014</v>
      </c>
      <c r="PA735" s="141" t="s">
        <v>1169</v>
      </c>
      <c r="PB735" s="142">
        <v>46134</v>
      </c>
    </row>
    <row r="736" spans="1:418" s="141" customFormat="1">
      <c r="A736" t="s">
        <v>248</v>
      </c>
      <c r="B736" s="141" t="s">
        <v>2165</v>
      </c>
      <c r="C736" s="141" t="s">
        <v>2164</v>
      </c>
      <c r="D736" s="141" t="s">
        <v>245</v>
      </c>
      <c r="E736" s="141" t="s">
        <v>2163</v>
      </c>
      <c r="F736" s="141" t="s">
        <v>243</v>
      </c>
      <c r="G736" s="141" t="s">
        <v>2</v>
      </c>
      <c r="H736" s="141" t="s">
        <v>30</v>
      </c>
      <c r="I736" s="141">
        <v>-13.47</v>
      </c>
      <c r="J736" s="141">
        <v>33.71</v>
      </c>
      <c r="K736" s="141" t="s">
        <v>29</v>
      </c>
      <c r="AV736" s="141" t="s">
        <v>2162</v>
      </c>
      <c r="AW736" s="141">
        <v>2500</v>
      </c>
      <c r="AX736" s="141">
        <v>7500</v>
      </c>
      <c r="AY736" s="141">
        <v>3</v>
      </c>
      <c r="AZ736" s="141" t="s">
        <v>2161</v>
      </c>
      <c r="BA736" s="141">
        <v>2011</v>
      </c>
      <c r="BB736" s="141">
        <v>2014</v>
      </c>
      <c r="BD736" s="141" t="s">
        <v>274</v>
      </c>
      <c r="BE736" s="141" t="s">
        <v>2170</v>
      </c>
      <c r="BF736" s="141" t="s">
        <v>48</v>
      </c>
      <c r="BG736" s="141" t="s">
        <v>1233</v>
      </c>
      <c r="BH736" s="141" t="s">
        <v>2160</v>
      </c>
      <c r="BI736" s="141" t="s">
        <v>2159</v>
      </c>
      <c r="BJ736" s="141" t="s">
        <v>22</v>
      </c>
      <c r="BK736" s="141">
        <v>3700</v>
      </c>
      <c r="BL736" s="141" t="s">
        <v>56</v>
      </c>
      <c r="BM736" s="141" t="s">
        <v>2173</v>
      </c>
      <c r="BN736" s="141" t="s">
        <v>2172</v>
      </c>
      <c r="BO736" s="141" t="s">
        <v>22</v>
      </c>
      <c r="BP736" s="141">
        <v>18500</v>
      </c>
      <c r="BQ736" s="141" t="s">
        <v>275</v>
      </c>
      <c r="BR736" s="141" t="s">
        <v>1659</v>
      </c>
      <c r="BS736" s="141" t="s">
        <v>2158</v>
      </c>
      <c r="BT736" s="141" t="s">
        <v>22</v>
      </c>
      <c r="BU736" s="141">
        <v>222200</v>
      </c>
      <c r="BV736" s="141" t="s">
        <v>275</v>
      </c>
      <c r="BW736" s="141" t="s">
        <v>23</v>
      </c>
      <c r="BX736" s="141" t="s">
        <v>2157</v>
      </c>
      <c r="BY736" s="141" t="s">
        <v>22</v>
      </c>
      <c r="BZ736" s="141">
        <v>53333</v>
      </c>
      <c r="EJ736" s="145"/>
      <c r="EK736" s="145"/>
      <c r="EL736" s="145"/>
      <c r="EM736" s="145"/>
      <c r="EN736" s="145"/>
      <c r="EO736" s="145"/>
      <c r="EP736" s="145"/>
      <c r="EQ736" s="145"/>
      <c r="ER736" s="145"/>
      <c r="ES736" s="145"/>
      <c r="ET736" s="145"/>
      <c r="EU736" s="145"/>
      <c r="EV736" s="145"/>
      <c r="EW736" s="145"/>
      <c r="EX736" s="145"/>
      <c r="EY736" s="145"/>
      <c r="EZ736" s="145"/>
      <c r="FA736" s="145"/>
      <c r="FB736" s="145"/>
      <c r="FC736" s="145"/>
      <c r="FD736" s="145"/>
      <c r="FE736" s="145"/>
      <c r="FF736" s="145"/>
      <c r="FG736" s="145"/>
      <c r="FH736" s="145"/>
      <c r="FI736" s="145"/>
      <c r="FJ736" s="145"/>
      <c r="FK736" s="145"/>
      <c r="FL736" s="145"/>
      <c r="FM736" s="145"/>
      <c r="FN736" s="145"/>
      <c r="FO736" s="145"/>
      <c r="FP736" s="145"/>
      <c r="FQ736" s="145"/>
      <c r="FR736" s="145"/>
      <c r="FS736" s="145"/>
      <c r="FT736" s="145"/>
      <c r="FU736" s="145"/>
      <c r="FV736" s="145"/>
      <c r="FW736" s="145"/>
      <c r="FX736" s="145"/>
      <c r="FY736" s="145"/>
      <c r="FZ736" s="145"/>
      <c r="GA736" s="145"/>
      <c r="GB736" s="145"/>
      <c r="GC736" s="145"/>
      <c r="GD736" s="145"/>
      <c r="GE736" s="145"/>
      <c r="GF736" s="145"/>
      <c r="GG736" s="145"/>
      <c r="GH736" s="145"/>
      <c r="GI736" s="145"/>
      <c r="GJ736" s="145"/>
      <c r="GK736" s="145"/>
      <c r="GL736" s="145"/>
      <c r="GM736" s="145"/>
      <c r="GN736" s="145"/>
      <c r="GO736" s="145"/>
      <c r="GP736" s="145"/>
      <c r="GQ736" s="145"/>
      <c r="GR736" s="145"/>
      <c r="GS736" s="145"/>
      <c r="GT736" s="145"/>
      <c r="GU736" s="145"/>
      <c r="GV736" s="145"/>
      <c r="GW736" s="145"/>
      <c r="GX736" s="145"/>
      <c r="GY736" s="145"/>
      <c r="GZ736" s="145"/>
      <c r="HA736" s="145"/>
      <c r="HB736" s="145"/>
      <c r="HC736" s="145"/>
      <c r="HD736" s="145"/>
      <c r="HE736" s="145"/>
      <c r="HF736" s="145"/>
      <c r="HG736" s="145"/>
      <c r="HH736" s="145"/>
      <c r="HI736" s="145"/>
      <c r="HJ736" s="145"/>
      <c r="HK736" s="145"/>
      <c r="HL736" s="145" t="s">
        <v>2171</v>
      </c>
      <c r="HM736" s="145" t="s">
        <v>232</v>
      </c>
      <c r="HZ736" s="142"/>
      <c r="IP736" s="141" t="s">
        <v>2170</v>
      </c>
      <c r="IQ736" s="141" t="s">
        <v>273</v>
      </c>
      <c r="IR736" s="141" t="s">
        <v>2169</v>
      </c>
      <c r="IT736" s="141">
        <v>2011</v>
      </c>
      <c r="IV736" s="141" t="s">
        <v>29</v>
      </c>
      <c r="JK736" s="141" t="s">
        <v>2154</v>
      </c>
      <c r="JM736" s="141" t="s">
        <v>14</v>
      </c>
      <c r="JQ736" s="141" t="s">
        <v>13</v>
      </c>
      <c r="JR736" s="141">
        <v>131</v>
      </c>
      <c r="JS736" s="141">
        <v>59</v>
      </c>
      <c r="KF736" s="141" t="s">
        <v>2153</v>
      </c>
      <c r="KG736" s="141" t="s">
        <v>12</v>
      </c>
      <c r="KH736" s="141" t="s">
        <v>29</v>
      </c>
      <c r="KI736" s="141" t="s">
        <v>29</v>
      </c>
      <c r="KK736" s="141" t="s">
        <v>222</v>
      </c>
      <c r="KL736" s="141" t="s">
        <v>2168</v>
      </c>
      <c r="KM736" s="141" t="s">
        <v>220</v>
      </c>
      <c r="KN736" s="141">
        <v>7.5</v>
      </c>
      <c r="KO736" s="141" t="s">
        <v>222</v>
      </c>
      <c r="KP736" s="141" t="s">
        <v>2167</v>
      </c>
      <c r="KQ736" s="141" t="s">
        <v>220</v>
      </c>
      <c r="KR736" s="141">
        <v>1</v>
      </c>
      <c r="MZ736" s="141" t="s">
        <v>2151</v>
      </c>
      <c r="NA736" s="141">
        <v>2500</v>
      </c>
      <c r="NB736" s="141" t="s">
        <v>2166</v>
      </c>
      <c r="NC736" s="141" t="s">
        <v>168</v>
      </c>
      <c r="NK736" s="141" t="s">
        <v>2149</v>
      </c>
      <c r="NM736" s="141" t="s">
        <v>8</v>
      </c>
      <c r="NN736" s="141" t="s">
        <v>13</v>
      </c>
      <c r="NW736" s="141" t="s">
        <v>6</v>
      </c>
      <c r="NX736" s="141">
        <v>6889</v>
      </c>
      <c r="NY736" s="141" t="s">
        <v>234</v>
      </c>
      <c r="NZ736" s="141" t="s">
        <v>234</v>
      </c>
      <c r="OC736" s="141">
        <v>4</v>
      </c>
      <c r="OT736" s="141" t="s">
        <v>2148</v>
      </c>
      <c r="OV736" s="141">
        <v>2014</v>
      </c>
      <c r="PA736" s="141" t="s">
        <v>1169</v>
      </c>
      <c r="PB736" s="142">
        <v>46134</v>
      </c>
    </row>
    <row r="737" spans="1:418" s="141" customFormat="1" ht="15.75" thickBot="1">
      <c r="A737" t="s">
        <v>248</v>
      </c>
      <c r="B737" s="141" t="s">
        <v>2165</v>
      </c>
      <c r="C737" s="141" t="s">
        <v>2164</v>
      </c>
      <c r="D737" s="141" t="s">
        <v>245</v>
      </c>
      <c r="E737" s="141" t="s">
        <v>2163</v>
      </c>
      <c r="F737" s="141" t="s">
        <v>243</v>
      </c>
      <c r="G737" s="141" t="s">
        <v>2</v>
      </c>
      <c r="H737" s="141" t="s">
        <v>30</v>
      </c>
      <c r="I737" s="141">
        <v>-13.47</v>
      </c>
      <c r="J737" s="141">
        <v>33.71</v>
      </c>
      <c r="K737" s="141" t="s">
        <v>29</v>
      </c>
      <c r="AV737" s="141" t="s">
        <v>2162</v>
      </c>
      <c r="AW737" s="141">
        <v>2500</v>
      </c>
      <c r="AX737" s="141">
        <v>7500</v>
      </c>
      <c r="AY737" s="141">
        <v>3</v>
      </c>
      <c r="AZ737" s="141" t="s">
        <v>2161</v>
      </c>
      <c r="BA737" s="141">
        <v>2011</v>
      </c>
      <c r="BB737" s="141">
        <v>2014</v>
      </c>
      <c r="BD737" s="141" t="s">
        <v>274</v>
      </c>
      <c r="BE737" s="141" t="s">
        <v>2155</v>
      </c>
      <c r="BF737" s="141" t="s">
        <v>43</v>
      </c>
      <c r="BG737" s="141" t="s">
        <v>1233</v>
      </c>
      <c r="BH737" s="141" t="s">
        <v>2160</v>
      </c>
      <c r="BI737" s="141" t="s">
        <v>2159</v>
      </c>
      <c r="BJ737" s="141" t="s">
        <v>22</v>
      </c>
      <c r="BK737" s="141">
        <v>3700</v>
      </c>
      <c r="BL737" s="141" t="s">
        <v>275</v>
      </c>
      <c r="BM737" s="141" t="s">
        <v>1659</v>
      </c>
      <c r="BN737" s="141" t="s">
        <v>2158</v>
      </c>
      <c r="BO737" s="141" t="s">
        <v>22</v>
      </c>
      <c r="BP737" s="141">
        <v>177800</v>
      </c>
      <c r="BQ737" s="141" t="s">
        <v>275</v>
      </c>
      <c r="BR737" s="141" t="s">
        <v>23</v>
      </c>
      <c r="BS737" s="141" t="s">
        <v>2157</v>
      </c>
      <c r="BT737" s="141" t="s">
        <v>22</v>
      </c>
      <c r="BU737" s="141">
        <v>53333</v>
      </c>
      <c r="EJ737" s="145"/>
      <c r="EK737" s="145"/>
      <c r="EL737" s="145"/>
      <c r="EM737" s="145"/>
      <c r="EN737" s="145"/>
      <c r="EO737" s="145"/>
      <c r="EP737" s="145"/>
      <c r="EQ737" s="145"/>
      <c r="ER737" s="145"/>
      <c r="ES737" s="145"/>
      <c r="ET737" s="145"/>
      <c r="EU737" s="145"/>
      <c r="EV737" s="145"/>
      <c r="EW737" s="145"/>
      <c r="EX737" s="145"/>
      <c r="EY737" s="145"/>
      <c r="EZ737" s="145"/>
      <c r="FA737" s="145"/>
      <c r="FB737" s="145"/>
      <c r="FC737" s="145"/>
      <c r="FD737" s="145"/>
      <c r="FE737" s="145"/>
      <c r="FF737" s="145"/>
      <c r="FG737" s="145"/>
      <c r="FH737" s="145"/>
      <c r="FI737" s="145"/>
      <c r="FJ737" s="145"/>
      <c r="FK737" s="145"/>
      <c r="FL737" s="145"/>
      <c r="FM737" s="145"/>
      <c r="FN737" s="145"/>
      <c r="FO737" s="145"/>
      <c r="FP737" s="145"/>
      <c r="FQ737" s="145"/>
      <c r="FR737" s="145"/>
      <c r="FS737" s="145"/>
      <c r="FT737" s="145"/>
      <c r="FU737" s="145"/>
      <c r="FV737" s="145"/>
      <c r="FW737" s="145"/>
      <c r="FX737" s="145"/>
      <c r="FY737" s="145"/>
      <c r="FZ737" s="145"/>
      <c r="GA737" s="145"/>
      <c r="GB737" s="145"/>
      <c r="GC737" s="145"/>
      <c r="GD737" s="145"/>
      <c r="GE737" s="145"/>
      <c r="GF737" s="145"/>
      <c r="GG737" s="145"/>
      <c r="GH737" s="145"/>
      <c r="GI737" s="145"/>
      <c r="GJ737" s="145"/>
      <c r="GK737" s="145"/>
      <c r="GL737" s="145"/>
      <c r="GM737" s="145"/>
      <c r="GN737" s="145"/>
      <c r="GO737" s="145"/>
      <c r="GP737" s="145"/>
      <c r="GQ737" s="145"/>
      <c r="GR737" s="145"/>
      <c r="GS737" s="145"/>
      <c r="GT737" s="145"/>
      <c r="GU737" s="145"/>
      <c r="GV737" s="145"/>
      <c r="GW737" s="145"/>
      <c r="GX737" s="145"/>
      <c r="GY737" s="145"/>
      <c r="GZ737" s="145"/>
      <c r="HA737" s="145"/>
      <c r="HB737" s="145"/>
      <c r="HC737" s="145"/>
      <c r="HD737" s="145"/>
      <c r="HE737" s="145"/>
      <c r="HF737" s="145"/>
      <c r="HG737" s="145"/>
      <c r="HH737" s="145"/>
      <c r="HI737" s="145"/>
      <c r="HJ737" s="145"/>
      <c r="HK737" s="145"/>
      <c r="HL737" s="145" t="s">
        <v>2156</v>
      </c>
      <c r="HM737" s="145" t="s">
        <v>297</v>
      </c>
      <c r="HN737" s="141" t="s">
        <v>29</v>
      </c>
      <c r="HO737" s="141" t="s">
        <v>29</v>
      </c>
      <c r="HP737" s="141" t="s">
        <v>29</v>
      </c>
      <c r="HQ737" s="141" t="s">
        <v>29</v>
      </c>
      <c r="HZ737" s="142"/>
      <c r="IP737" s="141" t="s">
        <v>2155</v>
      </c>
      <c r="IQ737" s="141" t="s">
        <v>273</v>
      </c>
      <c r="IR737" s="141" t="s">
        <v>836</v>
      </c>
      <c r="IT737" s="141">
        <v>2011</v>
      </c>
      <c r="IV737" s="141" t="s">
        <v>29</v>
      </c>
      <c r="JK737" s="141" t="s">
        <v>2154</v>
      </c>
      <c r="JM737" s="141" t="s">
        <v>14</v>
      </c>
      <c r="JQ737" s="141" t="s">
        <v>13</v>
      </c>
      <c r="JR737" s="141">
        <v>131</v>
      </c>
      <c r="JS737" s="141">
        <v>59</v>
      </c>
      <c r="KF737" s="141" t="s">
        <v>2153</v>
      </c>
      <c r="KG737" s="141" t="s">
        <v>12</v>
      </c>
      <c r="KH737" s="141" t="s">
        <v>29</v>
      </c>
      <c r="KI737" s="141" t="s">
        <v>29</v>
      </c>
      <c r="KK737" s="141" t="s">
        <v>2152</v>
      </c>
      <c r="MZ737" s="141" t="s">
        <v>2151</v>
      </c>
      <c r="NA737" s="141">
        <v>2500</v>
      </c>
      <c r="NB737" s="141" t="s">
        <v>2150</v>
      </c>
      <c r="NC737" s="141" t="s">
        <v>168</v>
      </c>
      <c r="NK737" s="141" t="s">
        <v>2149</v>
      </c>
      <c r="NM737" s="141" t="s">
        <v>8</v>
      </c>
      <c r="NN737" s="141" t="s">
        <v>13</v>
      </c>
      <c r="NW737" s="141" t="s">
        <v>6</v>
      </c>
      <c r="NX737" s="141">
        <v>6509</v>
      </c>
      <c r="NY737" s="141" t="s">
        <v>234</v>
      </c>
      <c r="NZ737" s="141" t="s">
        <v>234</v>
      </c>
      <c r="OC737" s="141">
        <v>4</v>
      </c>
      <c r="OT737" s="141" t="s">
        <v>2148</v>
      </c>
      <c r="OV737" s="141">
        <v>2014</v>
      </c>
      <c r="PA737" s="141" t="s">
        <v>1169</v>
      </c>
      <c r="PB737" s="142">
        <v>46134</v>
      </c>
    </row>
    <row r="738" spans="1:418" ht="17.25" thickBot="1">
      <c r="A738" t="s">
        <v>248</v>
      </c>
      <c r="B738" t="s">
        <v>2219</v>
      </c>
      <c r="C738" s="89" t="s">
        <v>34</v>
      </c>
      <c r="D738" s="147" t="s">
        <v>1936</v>
      </c>
      <c r="E738" s="89" t="s">
        <v>1658</v>
      </c>
      <c r="F738" t="s">
        <v>31</v>
      </c>
      <c r="G738" s="89" t="s">
        <v>2</v>
      </c>
      <c r="H738" s="147" t="s">
        <v>30</v>
      </c>
      <c r="I738">
        <v>-0.41666666699999999</v>
      </c>
      <c r="J738">
        <v>34.200000000000003</v>
      </c>
      <c r="K738" s="147" t="s">
        <v>29</v>
      </c>
      <c r="L738" s="89"/>
      <c r="M738" s="147"/>
      <c r="N738" s="89"/>
      <c r="O738" s="89"/>
      <c r="P738" s="89"/>
      <c r="Q738" s="89"/>
      <c r="R738" s="89"/>
      <c r="S738" s="89"/>
      <c r="T738" s="89"/>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c r="AV738" s="89" t="s">
        <v>2220</v>
      </c>
      <c r="AW738" s="89">
        <v>64</v>
      </c>
      <c r="AX738" s="89">
        <v>0.09</v>
      </c>
      <c r="AY738" s="89">
        <v>1</v>
      </c>
      <c r="AZ738" s="148" t="s">
        <v>2221</v>
      </c>
      <c r="BA738" s="148">
        <v>2007</v>
      </c>
      <c r="BB738" s="148">
        <v>2008</v>
      </c>
      <c r="BC738" s="148" t="s">
        <v>62</v>
      </c>
      <c r="BD738" s="148"/>
      <c r="BE738" s="148" t="s">
        <v>2222</v>
      </c>
      <c r="BF738" s="148" t="s">
        <v>39</v>
      </c>
      <c r="BG738" s="148" t="s">
        <v>1233</v>
      </c>
      <c r="BH738" s="148" t="s">
        <v>2223</v>
      </c>
      <c r="BI738" s="148" t="s">
        <v>29</v>
      </c>
      <c r="BJ738" s="149" t="s">
        <v>22</v>
      </c>
      <c r="BK738" s="150">
        <v>111000</v>
      </c>
      <c r="BL738" s="148"/>
      <c r="BM738" s="148"/>
      <c r="BN738" s="148"/>
      <c r="BO738" s="148"/>
      <c r="BP738" s="148"/>
      <c r="BQ738" s="148"/>
      <c r="BR738" s="148"/>
      <c r="BS738" s="148"/>
      <c r="BT738" s="148"/>
      <c r="BU738" s="148"/>
      <c r="BV738" s="148"/>
      <c r="BW738" s="3"/>
      <c r="BX738" s="3"/>
      <c r="BY738" s="3"/>
      <c r="BZ738" s="3"/>
      <c r="CA738" s="3"/>
      <c r="CB738" s="3"/>
      <c r="CC738" s="3"/>
      <c r="CD738" s="3"/>
      <c r="CE738" s="3"/>
      <c r="CF738" s="3"/>
      <c r="CG738" s="3"/>
      <c r="CH738" s="3"/>
      <c r="CI738" s="3"/>
      <c r="CJ738" s="3"/>
      <c r="CK738" s="3"/>
      <c r="CL738" s="3"/>
      <c r="CM738" s="3"/>
      <c r="CN738" s="3"/>
      <c r="CO738" s="3"/>
      <c r="CP738" s="3"/>
      <c r="CQ738" s="3"/>
      <c r="CR738" s="3"/>
      <c r="CS738" s="3"/>
      <c r="CT738" s="3"/>
      <c r="CU738" s="3"/>
      <c r="CV738" s="3"/>
      <c r="CW738" s="3"/>
      <c r="CX738" s="3"/>
      <c r="CY738" s="3"/>
      <c r="CZ738" s="3"/>
      <c r="DA738" s="3"/>
      <c r="DB738" s="3"/>
      <c r="DC738" s="3"/>
      <c r="DD738" s="3"/>
      <c r="DE738" s="3"/>
      <c r="DF738" s="3"/>
      <c r="DG738" s="3"/>
      <c r="DH738" s="3"/>
      <c r="DI738" s="3"/>
      <c r="DJ738" s="3"/>
      <c r="DK738" s="3"/>
      <c r="DL738" s="3"/>
      <c r="DM738" s="3"/>
      <c r="DN738" s="3"/>
      <c r="DO738" s="3"/>
      <c r="DP738" s="3"/>
      <c r="DQ738" s="3"/>
      <c r="DR738" s="3"/>
      <c r="DS738" s="3"/>
      <c r="DT738" s="3"/>
      <c r="DU738" s="3"/>
      <c r="DV738" s="3"/>
      <c r="DW738" s="3"/>
      <c r="DX738" s="3"/>
      <c r="DY738" s="3"/>
      <c r="DZ738" s="3"/>
      <c r="EA738" s="3"/>
      <c r="EB738" s="3"/>
      <c r="EC738" s="3"/>
      <c r="ED738" s="3"/>
      <c r="EE738" s="2"/>
      <c r="EF738" s="148"/>
      <c r="EG738" s="148"/>
      <c r="EH738" s="148"/>
      <c r="EI738" s="148"/>
      <c r="EJ738" s="148"/>
      <c r="EK738" s="148"/>
      <c r="EL738" s="148"/>
      <c r="EM738" s="3"/>
      <c r="EN738" s="3"/>
      <c r="EO738" s="3"/>
      <c r="EP738" s="3"/>
      <c r="EQ738" s="3"/>
      <c r="ER738" s="3"/>
      <c r="ES738" s="3"/>
      <c r="ET738" s="3"/>
      <c r="EU738" s="3"/>
      <c r="EV738" s="3"/>
      <c r="EW738" s="3"/>
      <c r="EX738" s="3"/>
      <c r="EY738" s="3"/>
      <c r="EZ738" s="3"/>
      <c r="FA738" s="3"/>
      <c r="FB738" s="3"/>
      <c r="FC738" s="3"/>
      <c r="FD738" s="3"/>
      <c r="FE738" s="3"/>
      <c r="FF738" s="3"/>
      <c r="FG738" s="3"/>
      <c r="FH738" s="3"/>
      <c r="FI738" s="3"/>
      <c r="FJ738" s="3"/>
      <c r="FK738" s="3"/>
      <c r="FL738" s="3"/>
      <c r="FM738" s="3"/>
      <c r="FN738" s="3"/>
      <c r="FO738" s="3"/>
      <c r="FP738" s="3"/>
      <c r="FQ738" s="3"/>
      <c r="FR738" s="3"/>
      <c r="FS738" s="3"/>
      <c r="FT738" s="3"/>
      <c r="FU738" s="3"/>
      <c r="FV738" s="3"/>
      <c r="FW738" s="3"/>
      <c r="FX738" s="3"/>
      <c r="FY738" s="3"/>
      <c r="FZ738" s="3"/>
      <c r="GA738" s="3"/>
      <c r="GB738" s="3"/>
      <c r="GC738" s="3"/>
      <c r="GD738" s="3"/>
      <c r="GE738" s="3"/>
      <c r="GF738" s="3"/>
      <c r="GG738" s="3"/>
      <c r="GH738" s="3"/>
      <c r="GI738" s="3"/>
      <c r="GJ738" s="3"/>
      <c r="GK738" s="3"/>
      <c r="GL738" s="3"/>
      <c r="GM738" s="3"/>
      <c r="GN738" s="3"/>
      <c r="GO738" s="3"/>
      <c r="GP738" s="3"/>
      <c r="GQ738" s="3"/>
      <c r="GR738" s="3"/>
      <c r="GS738" s="3"/>
      <c r="GT738" s="3"/>
      <c r="GU738" s="3"/>
      <c r="GV738" s="3"/>
      <c r="GW738" s="3"/>
      <c r="GX738" s="3"/>
      <c r="GY738" s="3"/>
      <c r="GZ738" s="3"/>
      <c r="HA738" s="3"/>
      <c r="HB738" s="3"/>
      <c r="HC738" s="3"/>
      <c r="HD738" s="3"/>
      <c r="HE738" s="3"/>
      <c r="HF738" s="3"/>
      <c r="HG738" s="3"/>
      <c r="HH738" s="3"/>
      <c r="HI738" s="3"/>
      <c r="HJ738" s="3"/>
      <c r="HK738" s="3"/>
      <c r="HL738" s="148"/>
      <c r="HM738" s="148"/>
      <c r="HN738" s="148"/>
      <c r="HO738" s="148"/>
      <c r="HP738" s="148"/>
      <c r="HQ738" s="148"/>
      <c r="HR738" s="148"/>
      <c r="HS738" s="148"/>
      <c r="HT738" s="149"/>
      <c r="HU738" s="148"/>
      <c r="HV738" s="148"/>
      <c r="HW738" s="148"/>
      <c r="HX738" s="148"/>
      <c r="HY738" s="151"/>
      <c r="HZ738" s="148"/>
      <c r="IA738" s="148"/>
      <c r="IB738" s="148"/>
      <c r="IC738" s="148"/>
      <c r="ID738" s="148"/>
      <c r="IE738" s="148"/>
      <c r="IF738" s="148"/>
      <c r="IG738" s="148"/>
      <c r="IH738" s="148"/>
      <c r="II738" s="148" t="s">
        <v>2224</v>
      </c>
      <c r="IJ738" s="152" t="s">
        <v>19</v>
      </c>
      <c r="IK738" s="152"/>
      <c r="IL738" s="153"/>
      <c r="IM738" s="148"/>
      <c r="IN738" s="148"/>
      <c r="IO738" s="148"/>
      <c r="IR738" s="148"/>
      <c r="IS738" s="148"/>
      <c r="IT738" s="148"/>
      <c r="IU738" s="148"/>
      <c r="IV738" s="148"/>
      <c r="IW738" s="148"/>
      <c r="IX738" s="148"/>
      <c r="IY738" s="148"/>
      <c r="IZ738" s="148"/>
      <c r="JA738" s="89"/>
      <c r="JB738" s="89"/>
      <c r="JC738" s="89"/>
      <c r="JD738" s="89"/>
      <c r="JE738" s="89"/>
      <c r="JF738" s="89"/>
      <c r="JG738" s="89"/>
      <c r="JH738" s="89"/>
      <c r="JI738" s="89"/>
      <c r="JJ738" s="89"/>
      <c r="JK738" s="89"/>
      <c r="JL738" s="89"/>
      <c r="JM738" s="154" t="s">
        <v>14</v>
      </c>
      <c r="JN738" s="155" t="s">
        <v>1664</v>
      </c>
      <c r="JO738" s="149"/>
      <c r="JS738" s="148"/>
      <c r="JT738" s="148"/>
      <c r="JU738" s="148"/>
      <c r="JV738" s="148"/>
      <c r="JW738" s="148"/>
      <c r="JX738" s="148"/>
      <c r="JY738" s="148"/>
      <c r="JZ738" s="156"/>
      <c r="KA738" s="156"/>
      <c r="KB738" s="149"/>
      <c r="KC738" s="148"/>
      <c r="KD738" s="149"/>
      <c r="KE738" s="148"/>
      <c r="KF738" s="148"/>
      <c r="KG738" s="148"/>
      <c r="KH738" s="149"/>
      <c r="KI738" s="149"/>
      <c r="KJ738" s="152"/>
      <c r="KK738" s="157"/>
      <c r="KL738" s="148"/>
      <c r="KM738" s="148"/>
      <c r="KN738" s="148"/>
      <c r="KO738" s="148"/>
      <c r="KP738" s="149"/>
      <c r="KQ738" s="148"/>
      <c r="KR738" s="152"/>
      <c r="KS738" s="157"/>
      <c r="KT738" s="148"/>
      <c r="KU738" s="148"/>
      <c r="KV738" s="158"/>
      <c r="KW738" s="157"/>
      <c r="KX738" s="148"/>
      <c r="KY738" s="148"/>
      <c r="KZ738" s="148"/>
      <c r="LA738" s="3"/>
      <c r="LB738" s="3"/>
      <c r="LC738" s="3"/>
      <c r="LD738" s="3"/>
      <c r="LE738" s="3"/>
      <c r="LF738" s="3"/>
      <c r="LG738" s="3"/>
      <c r="LH738" s="3"/>
      <c r="LI738" s="149"/>
      <c r="LJ738" s="149"/>
      <c r="LK738" s="149"/>
      <c r="LL738" s="149"/>
      <c r="LM738" s="149"/>
      <c r="LN738" s="149"/>
      <c r="LO738" s="149"/>
      <c r="LP738" s="149"/>
      <c r="LQ738" s="149"/>
      <c r="LR738" s="148"/>
      <c r="LS738" s="148"/>
      <c r="LT738" s="148"/>
      <c r="LU738" s="148"/>
      <c r="LV738" s="148"/>
      <c r="LW738" s="148"/>
      <c r="LX738" s="148"/>
      <c r="LY738" s="148"/>
      <c r="LZ738" s="148"/>
      <c r="MA738" s="89"/>
      <c r="MB738" s="89"/>
      <c r="MC738" s="89"/>
      <c r="MD738" s="89"/>
      <c r="ME738" s="89"/>
      <c r="MF738" s="159"/>
      <c r="MG738" s="159"/>
      <c r="MH738" s="159"/>
      <c r="MI738" s="2"/>
      <c r="MJ738" s="148"/>
      <c r="MK738" s="148"/>
      <c r="ML738" s="148"/>
      <c r="MM738" s="89"/>
      <c r="MN738" s="89"/>
      <c r="MO738" s="89"/>
      <c r="MP738" s="89"/>
      <c r="MQ738" s="89"/>
      <c r="MR738" s="89"/>
      <c r="MS738" s="89"/>
      <c r="MT738" s="89"/>
      <c r="MU738" s="148"/>
      <c r="MV738" s="148"/>
      <c r="MW738" s="148"/>
      <c r="MX738" s="148"/>
      <c r="MY738" s="148"/>
      <c r="MZ738" s="148" t="s">
        <v>2225</v>
      </c>
      <c r="NA738" s="89">
        <v>64</v>
      </c>
      <c r="NB738" s="159"/>
      <c r="NC738" s="159"/>
      <c r="ND738" s="159"/>
      <c r="NE738" s="159"/>
      <c r="NF738" s="159"/>
      <c r="NG738" s="159"/>
      <c r="NH738" s="159"/>
      <c r="NI738" s="159"/>
      <c r="NJ738" s="148" t="s">
        <v>2226</v>
      </c>
      <c r="NK738" s="148" t="s">
        <v>2227</v>
      </c>
      <c r="NL738" s="148" t="s">
        <v>2228</v>
      </c>
      <c r="NM738" s="148" t="s">
        <v>671</v>
      </c>
      <c r="NN738" s="160" t="s">
        <v>265</v>
      </c>
      <c r="NO738" s="148"/>
      <c r="NP738" s="148"/>
      <c r="NQ738" s="148"/>
      <c r="NR738" s="148"/>
      <c r="NS738" s="148"/>
      <c r="NT738" s="148"/>
      <c r="NU738" s="148"/>
      <c r="NV738" s="148" t="s">
        <v>64</v>
      </c>
      <c r="NW738" s="161" t="s">
        <v>6</v>
      </c>
      <c r="NX738" s="161">
        <v>195.1</v>
      </c>
      <c r="NY738" s="161" t="s">
        <v>4</v>
      </c>
      <c r="NZ738" s="161">
        <v>3.1</v>
      </c>
      <c r="OA738" s="162"/>
      <c r="OB738" s="148"/>
      <c r="OC738" s="148">
        <v>4</v>
      </c>
      <c r="OD738" s="148"/>
      <c r="OE738" s="148"/>
      <c r="OF738" s="148"/>
      <c r="OG738" s="148"/>
      <c r="OH738" s="148"/>
      <c r="OI738" s="148"/>
      <c r="OJ738" s="148"/>
      <c r="OK738" s="148"/>
      <c r="OL738" s="148"/>
      <c r="OM738" s="148"/>
      <c r="ON738" s="148"/>
      <c r="OO738" s="148"/>
      <c r="OP738" s="148"/>
      <c r="OQ738" s="148"/>
      <c r="OR738" s="148"/>
      <c r="OS738" s="148"/>
      <c r="OT738" s="148" t="s">
        <v>2229</v>
      </c>
      <c r="OU738" s="148"/>
      <c r="OV738" s="148">
        <v>2007</v>
      </c>
      <c r="OW738" s="148"/>
      <c r="OX738" s="148"/>
      <c r="OY738" s="148" t="s">
        <v>62</v>
      </c>
      <c r="OZ738" s="148"/>
      <c r="PA738" t="s">
        <v>1169</v>
      </c>
      <c r="PB738" s="58">
        <v>46134</v>
      </c>
    </row>
    <row r="739" spans="1:418" ht="15.75" thickBot="1">
      <c r="A739" t="s">
        <v>248</v>
      </c>
      <c r="B739" t="s">
        <v>2219</v>
      </c>
      <c r="C739" s="89" t="s">
        <v>34</v>
      </c>
      <c r="D739" s="147" t="s">
        <v>1936</v>
      </c>
      <c r="E739" s="89" t="s">
        <v>1658</v>
      </c>
      <c r="F739" t="s">
        <v>31</v>
      </c>
      <c r="G739" s="89" t="s">
        <v>2</v>
      </c>
      <c r="H739" s="147" t="s">
        <v>30</v>
      </c>
      <c r="I739">
        <v>-0.41666666699999999</v>
      </c>
      <c r="J739">
        <v>34.200000000000003</v>
      </c>
      <c r="K739" s="147" t="s">
        <v>29</v>
      </c>
      <c r="L739" s="2"/>
      <c r="M739" s="99"/>
      <c r="N739" s="2"/>
      <c r="O739" s="89"/>
      <c r="P739" s="2"/>
      <c r="Q739" s="2"/>
      <c r="R739" s="89"/>
      <c r="S739" s="89"/>
      <c r="T739" s="89"/>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c r="AV739" s="89" t="s">
        <v>2220</v>
      </c>
      <c r="AW739" s="89">
        <v>64</v>
      </c>
      <c r="AX739" s="89">
        <v>0.09</v>
      </c>
      <c r="AY739" s="89">
        <v>1</v>
      </c>
      <c r="AZ739" s="148" t="s">
        <v>2221</v>
      </c>
      <c r="BA739" s="148">
        <v>2007</v>
      </c>
      <c r="BB739" s="148">
        <v>2008</v>
      </c>
      <c r="BC739" s="148" t="s">
        <v>62</v>
      </c>
      <c r="BD739" s="2"/>
      <c r="BE739" s="2" t="s">
        <v>2230</v>
      </c>
      <c r="BF739" s="2" t="s">
        <v>64</v>
      </c>
      <c r="BG739" s="148" t="s">
        <v>1233</v>
      </c>
      <c r="BH739" s="2" t="s">
        <v>2223</v>
      </c>
      <c r="BI739" s="148" t="s">
        <v>29</v>
      </c>
      <c r="BJ739" s="149" t="s">
        <v>22</v>
      </c>
      <c r="BK739" s="150">
        <v>55500</v>
      </c>
      <c r="BL739" s="2" t="s">
        <v>56</v>
      </c>
      <c r="BM739" t="s">
        <v>2231</v>
      </c>
      <c r="BN739" s="148" t="s">
        <v>29</v>
      </c>
      <c r="BO739" s="2" t="s">
        <v>22</v>
      </c>
      <c r="BP739" s="2">
        <v>55000</v>
      </c>
      <c r="BQ739" s="2"/>
      <c r="BR739" s="2"/>
      <c r="BS739" s="2"/>
      <c r="BT739" s="2"/>
      <c r="BU739" s="2"/>
      <c r="BV739" s="2"/>
      <c r="BW739" s="3"/>
      <c r="BX739" s="3"/>
      <c r="BY739" s="3"/>
      <c r="BZ739" s="3"/>
      <c r="CA739" s="3"/>
      <c r="CB739" s="3"/>
      <c r="CC739" s="3"/>
      <c r="CD739" s="3"/>
      <c r="CE739" s="3"/>
      <c r="CF739" s="3"/>
      <c r="CG739" s="3"/>
      <c r="CH739" s="3"/>
      <c r="CI739" s="3"/>
      <c r="CJ739" s="3"/>
      <c r="CK739" s="3"/>
      <c r="CL739" s="3"/>
      <c r="CM739" s="3"/>
      <c r="CN739" s="3"/>
      <c r="CO739" s="3"/>
      <c r="CP739" s="3"/>
      <c r="CQ739" s="3"/>
      <c r="CR739" s="3"/>
      <c r="CS739" s="3"/>
      <c r="CT739" s="3"/>
      <c r="CU739" s="3"/>
      <c r="CV739" s="3"/>
      <c r="CW739" s="3"/>
      <c r="CX739" s="3"/>
      <c r="CY739" s="3"/>
      <c r="CZ739" s="3"/>
      <c r="DA739" s="3"/>
      <c r="DB739" s="3"/>
      <c r="DC739" s="3"/>
      <c r="DD739" s="3"/>
      <c r="DE739" s="3"/>
      <c r="DF739" s="3"/>
      <c r="DG739" s="3"/>
      <c r="DH739" s="3"/>
      <c r="DI739" s="3"/>
      <c r="DJ739" s="3"/>
      <c r="DK739" s="3"/>
      <c r="DL739" s="3"/>
      <c r="DM739" s="3"/>
      <c r="DN739" s="3"/>
      <c r="DO739" s="3"/>
      <c r="DP739" s="3"/>
      <c r="DQ739" s="3"/>
      <c r="DR739" s="3"/>
      <c r="DS739" s="3"/>
      <c r="DT739" s="3"/>
      <c r="DU739" s="3"/>
      <c r="DV739" s="3"/>
      <c r="DW739" s="3"/>
      <c r="DX739" s="3"/>
      <c r="DY739" s="3"/>
      <c r="DZ739" s="3"/>
      <c r="EA739" s="3"/>
      <c r="EB739" s="3"/>
      <c r="EC739" s="3"/>
      <c r="ED739" s="3"/>
      <c r="EE739" s="2"/>
      <c r="EF739" s="2"/>
      <c r="EG739" s="2"/>
      <c r="EH739" s="2"/>
      <c r="EI739" s="2"/>
      <c r="EJ739" s="2"/>
      <c r="EK739" s="2"/>
      <c r="EL739" s="2"/>
      <c r="EM739" s="3"/>
      <c r="EN739" s="3"/>
      <c r="EO739" s="3"/>
      <c r="EP739" s="3"/>
      <c r="EQ739" s="3"/>
      <c r="ER739" s="3"/>
      <c r="ES739" s="3"/>
      <c r="ET739" s="3"/>
      <c r="EU739" s="3"/>
      <c r="EV739" s="3"/>
      <c r="EW739" s="3"/>
      <c r="EX739" s="3"/>
      <c r="EY739" s="3"/>
      <c r="EZ739" s="3"/>
      <c r="FA739" s="3"/>
      <c r="FB739" s="3"/>
      <c r="FC739" s="3"/>
      <c r="FD739" s="3"/>
      <c r="FE739" s="3"/>
      <c r="FF739" s="3"/>
      <c r="FG739" s="3"/>
      <c r="FH739" s="3"/>
      <c r="FI739" s="3"/>
      <c r="FJ739" s="3"/>
      <c r="FK739" s="3"/>
      <c r="FL739" s="3"/>
      <c r="FM739" s="3"/>
      <c r="FN739" s="3"/>
      <c r="FO739" s="3"/>
      <c r="FP739" s="3"/>
      <c r="FQ739" s="3"/>
      <c r="FR739" s="3"/>
      <c r="FS739" s="3"/>
      <c r="FT739" s="3"/>
      <c r="FU739" s="3"/>
      <c r="FV739" s="3"/>
      <c r="FW739" s="3"/>
      <c r="FX739" s="3"/>
      <c r="FY739" s="3"/>
      <c r="FZ739" s="3"/>
      <c r="GA739" s="3"/>
      <c r="GB739" s="3"/>
      <c r="GC739" s="3"/>
      <c r="GD739" s="3"/>
      <c r="GE739" s="3"/>
      <c r="GF739" s="3"/>
      <c r="GG739" s="3"/>
      <c r="GH739" s="3"/>
      <c r="GI739" s="3"/>
      <c r="GJ739" s="3"/>
      <c r="GK739" s="3"/>
      <c r="GL739" s="3"/>
      <c r="GM739" s="3"/>
      <c r="GN739" s="3"/>
      <c r="GO739" s="3"/>
      <c r="GP739" s="3"/>
      <c r="GQ739" s="3"/>
      <c r="GR739" s="3"/>
      <c r="GS739" s="3"/>
      <c r="GT739" s="3"/>
      <c r="GU739" s="3"/>
      <c r="GV739" s="3"/>
      <c r="GW739" s="3"/>
      <c r="GX739" s="3"/>
      <c r="GY739" s="3"/>
      <c r="GZ739" s="3"/>
      <c r="HA739" s="3"/>
      <c r="HB739" s="3"/>
      <c r="HC739" s="3"/>
      <c r="HD739" s="3"/>
      <c r="HE739" s="3"/>
      <c r="HF739" s="3"/>
      <c r="HG739" s="3"/>
      <c r="HH739" s="3"/>
      <c r="HI739" s="3"/>
      <c r="HJ739" s="3"/>
      <c r="HK739" s="3"/>
      <c r="HL739" s="2"/>
      <c r="HM739" s="2"/>
      <c r="HN739" s="2"/>
      <c r="HO739" s="2"/>
      <c r="HP739" s="2"/>
      <c r="HQ739" s="2"/>
      <c r="HR739" s="2"/>
      <c r="HS739" s="2"/>
      <c r="HT739" s="99"/>
      <c r="HU739" s="2"/>
      <c r="HV739" s="2"/>
      <c r="HW739" s="2"/>
      <c r="HX739" s="2"/>
      <c r="HY739" s="2"/>
      <c r="HZ739" s="2"/>
      <c r="IA739" s="2"/>
      <c r="IB739" s="2"/>
      <c r="IC739" s="2"/>
      <c r="ID739" s="2"/>
      <c r="IE739" s="2"/>
      <c r="IF739" s="2"/>
      <c r="IG739" s="2"/>
      <c r="IH739" s="2"/>
      <c r="II739" s="148" t="s">
        <v>2224</v>
      </c>
      <c r="IJ739" s="163" t="s">
        <v>1443</v>
      </c>
      <c r="IK739" s="164" t="s">
        <v>1466</v>
      </c>
      <c r="IL739" s="165" t="s">
        <v>661</v>
      </c>
      <c r="IM739" s="2">
        <v>2007</v>
      </c>
      <c r="IN739" s="2" t="s">
        <v>62</v>
      </c>
      <c r="IO739" s="2" t="s">
        <v>29</v>
      </c>
      <c r="IR739" s="2"/>
      <c r="IS739" s="2"/>
      <c r="IT739" s="2"/>
      <c r="IU739" s="2"/>
      <c r="IV739" s="2"/>
      <c r="IW739" s="2"/>
      <c r="IX739" s="2"/>
      <c r="IY739" s="2"/>
      <c r="IZ739" s="2"/>
      <c r="JA739" s="2"/>
      <c r="JB739" s="2"/>
      <c r="JC739" s="2"/>
      <c r="JD739" s="2"/>
      <c r="JE739" s="2"/>
      <c r="JF739" s="2"/>
      <c r="JG739" s="2"/>
      <c r="JH739" s="2"/>
      <c r="JI739" s="2"/>
      <c r="JJ739" s="2"/>
      <c r="JK739" s="2"/>
      <c r="JL739" s="2"/>
      <c r="JM739" s="154" t="s">
        <v>14</v>
      </c>
      <c r="JN739" s="155" t="s">
        <v>1664</v>
      </c>
      <c r="JO739" s="99"/>
      <c r="JS739" s="2"/>
      <c r="JT739" s="2"/>
      <c r="JU739" s="2"/>
      <c r="JV739" s="2"/>
      <c r="JW739" s="2"/>
      <c r="JX739" s="2"/>
      <c r="JY739" s="2"/>
      <c r="JZ739" s="156"/>
      <c r="KA739" s="166"/>
      <c r="KB739" s="99"/>
      <c r="KC739" s="2"/>
      <c r="KD739" s="99"/>
      <c r="KE739" s="2"/>
      <c r="KF739" s="2"/>
      <c r="KG739" s="2"/>
      <c r="KH739" s="99"/>
      <c r="KI739" s="2"/>
      <c r="KJ739" s="163"/>
      <c r="KK739" s="167"/>
      <c r="KL739" s="2"/>
      <c r="KM739" s="2"/>
      <c r="KN739" s="2"/>
      <c r="KO739" s="2"/>
      <c r="KP739" s="99"/>
      <c r="KQ739" s="2"/>
      <c r="KR739" s="163"/>
      <c r="KS739" s="167"/>
      <c r="KT739" s="2"/>
      <c r="KU739" s="2"/>
      <c r="KV739" s="158"/>
      <c r="KW739" s="167"/>
      <c r="KX739" s="2"/>
      <c r="KY739" s="2"/>
      <c r="KZ739" s="2"/>
      <c r="LA739" s="69"/>
      <c r="LB739" s="218"/>
      <c r="LC739" s="218"/>
      <c r="LD739" s="3"/>
      <c r="LE739" s="3"/>
      <c r="LF739" s="3"/>
      <c r="LG739" s="3"/>
      <c r="LH739" s="3"/>
      <c r="LI739" s="99"/>
      <c r="LJ739" s="99"/>
      <c r="LK739" s="99"/>
      <c r="LL739" s="99"/>
      <c r="LM739" s="99"/>
      <c r="LN739" s="2"/>
      <c r="LO739" s="99"/>
      <c r="LP739" s="99"/>
      <c r="LQ739" s="99"/>
      <c r="LR739" s="2"/>
      <c r="LS739" s="2"/>
      <c r="LT739" s="2"/>
      <c r="LU739" s="2"/>
      <c r="LV739" s="2"/>
      <c r="LW739" s="2"/>
      <c r="LX739" s="2"/>
      <c r="LY739" s="2"/>
      <c r="LZ739" s="2"/>
      <c r="MA739" s="2"/>
      <c r="MB739" s="2"/>
      <c r="MC739" s="2"/>
      <c r="MD739" s="2"/>
      <c r="ME739" s="2"/>
      <c r="MF739" s="2"/>
      <c r="MG739" s="2"/>
      <c r="MH739" s="2"/>
      <c r="MJ739" s="2"/>
      <c r="MK739" s="2"/>
      <c r="ML739" s="2"/>
      <c r="MM739" s="2"/>
      <c r="MN739" s="2"/>
      <c r="MO739" s="2"/>
      <c r="MP739" s="2"/>
      <c r="MQ739" s="2"/>
      <c r="MR739" s="2"/>
      <c r="MS739" s="2"/>
      <c r="MT739" s="2"/>
      <c r="MU739" s="2"/>
      <c r="MV739" s="2"/>
      <c r="MW739" s="2"/>
      <c r="MX739" s="2"/>
      <c r="MY739" s="2"/>
      <c r="MZ739" s="148" t="s">
        <v>2225</v>
      </c>
      <c r="NA739" s="89">
        <v>64</v>
      </c>
      <c r="NB739" s="159"/>
      <c r="NC739" s="159"/>
      <c r="ND739" s="159"/>
      <c r="NE739" s="159"/>
      <c r="NF739" s="159"/>
      <c r="NG739" s="159"/>
      <c r="NH739" s="159"/>
      <c r="NI739" s="159"/>
      <c r="NJ739" s="148" t="s">
        <v>2226</v>
      </c>
      <c r="NK739" s="148" t="s">
        <v>2227</v>
      </c>
      <c r="NL739" s="148" t="s">
        <v>2228</v>
      </c>
      <c r="NM739" s="148" t="s">
        <v>671</v>
      </c>
      <c r="NN739" s="160" t="s">
        <v>265</v>
      </c>
      <c r="NO739" s="148"/>
      <c r="NP739" s="148"/>
      <c r="NQ739" s="148"/>
      <c r="NR739" s="148"/>
      <c r="NS739" s="148"/>
      <c r="NT739" s="148"/>
      <c r="NU739" s="148"/>
      <c r="NV739" s="148"/>
      <c r="NW739" s="161" t="s">
        <v>6</v>
      </c>
      <c r="NX739" s="168">
        <v>306.10000000000002</v>
      </c>
      <c r="NY739" s="161" t="s">
        <v>4</v>
      </c>
      <c r="NZ739" s="168">
        <v>4.4000000000000004</v>
      </c>
      <c r="OA739" s="169"/>
      <c r="OB739" s="2"/>
      <c r="OC739" s="148">
        <v>4</v>
      </c>
      <c r="OD739" s="2"/>
      <c r="OE739" s="2"/>
      <c r="OF739" s="2"/>
      <c r="OG739" s="2"/>
      <c r="OH739" s="2"/>
      <c r="OI739" s="2"/>
      <c r="OJ739" s="2"/>
      <c r="OK739" s="2"/>
      <c r="OL739" s="2"/>
      <c r="OM739" s="2"/>
      <c r="OT739" s="148" t="s">
        <v>2229</v>
      </c>
      <c r="OU739" s="2"/>
      <c r="OV739" s="148">
        <v>2007</v>
      </c>
      <c r="OW739" s="148"/>
      <c r="OX739" s="148"/>
      <c r="OY739" s="148" t="s">
        <v>62</v>
      </c>
      <c r="OZ739" s="2"/>
      <c r="PA739" t="s">
        <v>1169</v>
      </c>
      <c r="PB739" s="58">
        <v>46134</v>
      </c>
    </row>
    <row r="740" spans="1:418" ht="15.75" thickBot="1">
      <c r="A740" t="s">
        <v>248</v>
      </c>
      <c r="B740" t="s">
        <v>2219</v>
      </c>
      <c r="C740" s="89" t="s">
        <v>34</v>
      </c>
      <c r="D740" s="147" t="s">
        <v>1936</v>
      </c>
      <c r="E740" s="89" t="s">
        <v>1658</v>
      </c>
      <c r="F740" t="s">
        <v>31</v>
      </c>
      <c r="G740" s="89" t="s">
        <v>2</v>
      </c>
      <c r="H740" s="147" t="s">
        <v>30</v>
      </c>
      <c r="I740">
        <v>-0.41666666699999999</v>
      </c>
      <c r="J740">
        <v>34.200000000000003</v>
      </c>
      <c r="K740" s="147" t="s">
        <v>29</v>
      </c>
      <c r="L740" s="89"/>
      <c r="M740" s="147"/>
      <c r="N740" s="89"/>
      <c r="O740" s="89"/>
      <c r="P740" s="89"/>
      <c r="Q740" s="89"/>
      <c r="R740" s="89"/>
      <c r="S740" s="89"/>
      <c r="T740" s="89"/>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c r="AV740" s="89" t="s">
        <v>2220</v>
      </c>
      <c r="AW740" s="89">
        <v>64</v>
      </c>
      <c r="AX740" s="89">
        <v>0.09</v>
      </c>
      <c r="AY740" s="89">
        <v>1</v>
      </c>
      <c r="AZ740" s="148" t="s">
        <v>2221</v>
      </c>
      <c r="BA740" s="148">
        <v>2007</v>
      </c>
      <c r="BB740" s="148">
        <v>2008</v>
      </c>
      <c r="BC740" s="148" t="s">
        <v>1</v>
      </c>
      <c r="BD740" s="89"/>
      <c r="BE740" s="148" t="s">
        <v>2222</v>
      </c>
      <c r="BF740" s="148" t="s">
        <v>39</v>
      </c>
      <c r="BG740" s="148" t="s">
        <v>1233</v>
      </c>
      <c r="BH740" s="148" t="s">
        <v>2223</v>
      </c>
      <c r="BI740" s="148" t="s">
        <v>29</v>
      </c>
      <c r="BJ740" s="149" t="s">
        <v>22</v>
      </c>
      <c r="BK740" s="150">
        <v>111000</v>
      </c>
      <c r="BL740" s="89"/>
      <c r="BM740" s="89"/>
      <c r="BN740" s="89"/>
      <c r="BO740" s="147"/>
      <c r="BP740" s="170"/>
      <c r="BQ740" s="89"/>
      <c r="BR740" s="89"/>
      <c r="BS740" s="89"/>
      <c r="BT740" s="89"/>
      <c r="BU740" s="89"/>
      <c r="BV740" s="89"/>
      <c r="BW740" s="3"/>
      <c r="BX740" s="3"/>
      <c r="BY740" s="3"/>
      <c r="BZ740" s="3"/>
      <c r="CA740" s="3"/>
      <c r="CB740" s="3"/>
      <c r="CC740" s="3"/>
      <c r="CD740" s="3"/>
      <c r="CE740" s="3"/>
      <c r="CF740" s="3"/>
      <c r="CG740" s="3"/>
      <c r="CH740" s="3"/>
      <c r="CI740" s="3"/>
      <c r="CJ740" s="3"/>
      <c r="CK740" s="3"/>
      <c r="CL740" s="3"/>
      <c r="CM740" s="3"/>
      <c r="CN740" s="3"/>
      <c r="CO740" s="3"/>
      <c r="CP740" s="3"/>
      <c r="CQ740" s="3"/>
      <c r="CR740" s="3"/>
      <c r="CS740" s="3"/>
      <c r="CT740" s="3"/>
      <c r="CU740" s="3"/>
      <c r="CV740" s="3"/>
      <c r="CW740" s="3"/>
      <c r="CX740" s="3"/>
      <c r="CY740" s="3"/>
      <c r="CZ740" s="3"/>
      <c r="DA740" s="3"/>
      <c r="DB740" s="3"/>
      <c r="DC740" s="3"/>
      <c r="DD740" s="3"/>
      <c r="DE740" s="3"/>
      <c r="DF740" s="3"/>
      <c r="DG740" s="3"/>
      <c r="DH740" s="3"/>
      <c r="DI740" s="3"/>
      <c r="DJ740" s="3"/>
      <c r="DK740" s="3"/>
      <c r="DL740" s="3"/>
      <c r="DM740" s="3"/>
      <c r="DN740" s="3"/>
      <c r="DO740" s="3"/>
      <c r="DP740" s="3"/>
      <c r="DQ740" s="3"/>
      <c r="DR740" s="3"/>
      <c r="DS740" s="3"/>
      <c r="DT740" s="3"/>
      <c r="DU740" s="3"/>
      <c r="DV740" s="3"/>
      <c r="DW740" s="3"/>
      <c r="DX740" s="3"/>
      <c r="DY740" s="3"/>
      <c r="DZ740" s="3"/>
      <c r="EA740" s="3"/>
      <c r="EB740" s="3"/>
      <c r="EC740" s="3"/>
      <c r="ED740" s="3"/>
      <c r="EE740" s="89"/>
      <c r="EF740" s="89"/>
      <c r="EG740" s="89"/>
      <c r="EH740" s="89"/>
      <c r="EI740" s="89"/>
      <c r="EJ740" s="89"/>
      <c r="EK740" s="89"/>
      <c r="EL740" s="89"/>
      <c r="EM740" s="3"/>
      <c r="EN740" s="3"/>
      <c r="EO740" s="3"/>
      <c r="EP740" s="3"/>
      <c r="EQ740" s="3"/>
      <c r="ER740" s="3"/>
      <c r="ES740" s="3"/>
      <c r="ET740" s="3"/>
      <c r="EU740" s="3"/>
      <c r="EV740" s="3"/>
      <c r="EW740" s="3"/>
      <c r="EX740" s="3"/>
      <c r="EY740" s="3"/>
      <c r="EZ740" s="3"/>
      <c r="FA740" s="3"/>
      <c r="FB740" s="3"/>
      <c r="FC740" s="3"/>
      <c r="FD740" s="3"/>
      <c r="FE740" s="3"/>
      <c r="FF740" s="3"/>
      <c r="FG740" s="3"/>
      <c r="FH740" s="3"/>
      <c r="FI740" s="3"/>
      <c r="FJ740" s="3"/>
      <c r="FK740" s="3"/>
      <c r="FL740" s="3"/>
      <c r="FM740" s="3"/>
      <c r="FN740" s="3"/>
      <c r="FO740" s="3"/>
      <c r="FP740" s="3"/>
      <c r="FQ740" s="3"/>
      <c r="FR740" s="3"/>
      <c r="FS740" s="3"/>
      <c r="FT740" s="3"/>
      <c r="FU740" s="3"/>
      <c r="FV740" s="3"/>
      <c r="FW740" s="3"/>
      <c r="FX740" s="3"/>
      <c r="FY740" s="3"/>
      <c r="FZ740" s="3"/>
      <c r="GA740" s="3"/>
      <c r="GB740" s="3"/>
      <c r="GC740" s="3"/>
      <c r="GD740" s="3"/>
      <c r="GE740" s="3"/>
      <c r="GF740" s="3"/>
      <c r="GG740" s="3"/>
      <c r="GH740" s="3"/>
      <c r="GI740" s="3"/>
      <c r="GJ740" s="3"/>
      <c r="GK740" s="3"/>
      <c r="GL740" s="3"/>
      <c r="GM740" s="3"/>
      <c r="GN740" s="3"/>
      <c r="GO740" s="3"/>
      <c r="GP740" s="3"/>
      <c r="GQ740" s="3"/>
      <c r="GR740" s="3"/>
      <c r="GS740" s="3"/>
      <c r="GT740" s="3"/>
      <c r="GU740" s="3"/>
      <c r="GV740" s="3"/>
      <c r="GW740" s="3"/>
      <c r="GX740" s="3"/>
      <c r="GY740" s="3"/>
      <c r="GZ740" s="3"/>
      <c r="HA740" s="3"/>
      <c r="HB740" s="3"/>
      <c r="HC740" s="3"/>
      <c r="HD740" s="3"/>
      <c r="HE740" s="3"/>
      <c r="HF740" s="3"/>
      <c r="HG740" s="3"/>
      <c r="HH740" s="3"/>
      <c r="HI740" s="3"/>
      <c r="HJ740" s="3"/>
      <c r="HK740" s="3"/>
      <c r="HL740" s="89"/>
      <c r="HM740" s="89"/>
      <c r="HN740" s="89"/>
      <c r="HO740" s="89"/>
      <c r="HP740" s="89"/>
      <c r="HQ740" s="89"/>
      <c r="HR740" s="89"/>
      <c r="HS740" s="89"/>
      <c r="HT740" s="147"/>
      <c r="HU740" s="89"/>
      <c r="HV740" s="89"/>
      <c r="HW740" s="89"/>
      <c r="HX740" s="89"/>
      <c r="HY740" s="89"/>
      <c r="HZ740" s="89"/>
      <c r="IA740" s="89"/>
      <c r="IB740" s="89"/>
      <c r="IC740" s="89"/>
      <c r="ID740" s="89"/>
      <c r="IE740" s="89"/>
      <c r="IF740" s="89"/>
      <c r="IG740" s="89"/>
      <c r="IH740" s="89"/>
      <c r="II740" s="148" t="s">
        <v>2224</v>
      </c>
      <c r="IJ740" s="152" t="s">
        <v>19</v>
      </c>
      <c r="IK740" s="171"/>
      <c r="IL740" s="172"/>
      <c r="IM740" s="89"/>
      <c r="IN740" s="89"/>
      <c r="IO740" s="147"/>
      <c r="IR740" s="89"/>
      <c r="IS740" s="89"/>
      <c r="IT740" s="89"/>
      <c r="IU740" s="89"/>
      <c r="IV740" s="89"/>
      <c r="IW740" s="89"/>
      <c r="IX740" s="89"/>
      <c r="IY740" s="89"/>
      <c r="IZ740" s="89"/>
      <c r="JA740" s="89"/>
      <c r="JB740" s="89"/>
      <c r="JC740" s="89"/>
      <c r="JD740" s="89"/>
      <c r="JE740" s="89"/>
      <c r="JF740" s="89"/>
      <c r="JG740" s="89"/>
      <c r="JH740" s="89"/>
      <c r="JI740" s="89"/>
      <c r="JJ740" s="89"/>
      <c r="JK740" s="89"/>
      <c r="JL740" s="89"/>
      <c r="JM740" s="154" t="s">
        <v>14</v>
      </c>
      <c r="JN740" s="155" t="s">
        <v>1664</v>
      </c>
      <c r="JO740" s="147"/>
      <c r="JS740" s="89"/>
      <c r="JT740" s="89"/>
      <c r="JU740" s="89"/>
      <c r="JV740" s="89"/>
      <c r="JW740" s="89"/>
      <c r="JX740" s="89"/>
      <c r="JY740" s="89"/>
      <c r="JZ740" s="156"/>
      <c r="KA740" s="154"/>
      <c r="KB740" s="147"/>
      <c r="KC740" s="89"/>
      <c r="KD740" s="147"/>
      <c r="KE740" s="89"/>
      <c r="KF740" s="89"/>
      <c r="KG740" s="89"/>
      <c r="KH740" s="147"/>
      <c r="KI740" s="89"/>
      <c r="KJ740" s="152"/>
      <c r="KK740" s="173"/>
      <c r="KL740" s="89"/>
      <c r="KM740" s="89"/>
      <c r="KN740" s="89"/>
      <c r="KO740" s="89"/>
      <c r="KP740" s="147"/>
      <c r="KQ740" s="89"/>
      <c r="KR740" s="152"/>
      <c r="KS740" s="173"/>
      <c r="KT740" s="89"/>
      <c r="KU740" s="89"/>
      <c r="KV740" s="158"/>
      <c r="KW740" s="174"/>
      <c r="KX740" s="89"/>
      <c r="KY740" s="89"/>
      <c r="KZ740" s="89"/>
      <c r="LA740" s="3"/>
      <c r="LB740" s="3"/>
      <c r="LC740" s="3"/>
      <c r="LD740" s="3"/>
      <c r="LE740" s="3"/>
      <c r="LF740" s="3"/>
      <c r="LG740" s="3"/>
      <c r="LH740" s="3"/>
      <c r="LI740" s="147"/>
      <c r="LJ740" s="147"/>
      <c r="LK740" s="147"/>
      <c r="LL740" s="147"/>
      <c r="LM740" s="147"/>
      <c r="LN740" s="89"/>
      <c r="LO740" s="147"/>
      <c r="LP740" s="147"/>
      <c r="LQ740" s="147"/>
      <c r="LR740" s="89"/>
      <c r="LS740" s="89"/>
      <c r="LT740" s="89"/>
      <c r="LU740" s="89"/>
      <c r="LV740" s="89"/>
      <c r="LW740" s="89"/>
      <c r="LX740" s="89"/>
      <c r="LY740" s="89"/>
      <c r="LZ740" s="89"/>
      <c r="MA740" s="89"/>
      <c r="MB740" s="89"/>
      <c r="MC740" s="89"/>
      <c r="MD740" s="89"/>
      <c r="ME740" s="89"/>
      <c r="MF740" s="89"/>
      <c r="MG740" s="89"/>
      <c r="MH740" s="89"/>
      <c r="MI740" s="89"/>
      <c r="MJ740" s="89"/>
      <c r="MK740" s="89"/>
      <c r="ML740" s="89"/>
      <c r="MM740" s="89"/>
      <c r="MN740" s="89"/>
      <c r="MO740" s="89"/>
      <c r="MP740" s="89"/>
      <c r="MQ740" s="89"/>
      <c r="MR740" s="89"/>
      <c r="MS740" s="89"/>
      <c r="MT740" s="89"/>
      <c r="MU740" s="89"/>
      <c r="MV740" s="89"/>
      <c r="MW740" s="89"/>
      <c r="MX740" s="89"/>
      <c r="MY740" s="89"/>
      <c r="MZ740" s="148" t="s">
        <v>2225</v>
      </c>
      <c r="NA740" s="89">
        <v>64</v>
      </c>
      <c r="NB740" s="159"/>
      <c r="NC740" s="159"/>
      <c r="ND740" s="159"/>
      <c r="NE740" s="159"/>
      <c r="NF740" s="159"/>
      <c r="NG740" s="159"/>
      <c r="NH740" s="159"/>
      <c r="NI740" s="159"/>
      <c r="NJ740" s="148" t="s">
        <v>2226</v>
      </c>
      <c r="NK740" s="148" t="s">
        <v>2227</v>
      </c>
      <c r="NL740" s="148" t="s">
        <v>2228</v>
      </c>
      <c r="NM740" s="148" t="s">
        <v>671</v>
      </c>
      <c r="NN740" s="160" t="s">
        <v>265</v>
      </c>
      <c r="NO740" s="148"/>
      <c r="NP740" s="148"/>
      <c r="NQ740" s="148"/>
      <c r="NR740" s="148"/>
      <c r="NS740" s="148"/>
      <c r="NT740" s="148"/>
      <c r="NU740" s="148"/>
      <c r="NV740" s="148" t="s">
        <v>64</v>
      </c>
      <c r="NW740" s="161" t="s">
        <v>6</v>
      </c>
      <c r="NX740" s="97">
        <v>194.2</v>
      </c>
      <c r="NY740" s="161" t="s">
        <v>4</v>
      </c>
      <c r="NZ740" s="97">
        <v>1.5</v>
      </c>
      <c r="OA740" s="175"/>
      <c r="OB740" s="89"/>
      <c r="OC740" s="148">
        <v>4</v>
      </c>
      <c r="OD740" s="89"/>
      <c r="OE740" s="89"/>
      <c r="OF740" s="89"/>
      <c r="OG740" s="89"/>
      <c r="OH740" s="89"/>
      <c r="OI740" s="89"/>
      <c r="OJ740" s="89"/>
      <c r="OK740" s="89"/>
      <c r="OL740" s="89"/>
      <c r="OM740" s="89"/>
      <c r="ON740" s="159"/>
      <c r="OO740" s="159"/>
      <c r="OP740" s="159"/>
      <c r="OQ740" s="159"/>
      <c r="OR740" s="159"/>
      <c r="OS740" s="159"/>
      <c r="OT740" s="148" t="s">
        <v>2229</v>
      </c>
      <c r="OU740" s="89"/>
      <c r="OV740" s="89">
        <v>2007</v>
      </c>
      <c r="OW740" s="89"/>
      <c r="OX740" s="89"/>
      <c r="OY740" s="89" t="s">
        <v>1</v>
      </c>
      <c r="OZ740" s="89"/>
      <c r="PA740" t="s">
        <v>1169</v>
      </c>
      <c r="PB740" s="58">
        <v>46134</v>
      </c>
    </row>
    <row r="741" spans="1:418" ht="15.75" thickBot="1">
      <c r="A741" t="s">
        <v>248</v>
      </c>
      <c r="B741" t="s">
        <v>2219</v>
      </c>
      <c r="C741" s="89" t="s">
        <v>34</v>
      </c>
      <c r="D741" s="147" t="s">
        <v>1936</v>
      </c>
      <c r="E741" s="89" t="s">
        <v>1658</v>
      </c>
      <c r="F741" t="s">
        <v>31</v>
      </c>
      <c r="G741" s="89" t="s">
        <v>2</v>
      </c>
      <c r="H741" s="147" t="s">
        <v>30</v>
      </c>
      <c r="I741">
        <v>-0.41666666699999999</v>
      </c>
      <c r="J741">
        <v>34.200000000000003</v>
      </c>
      <c r="K741" s="147" t="s">
        <v>29</v>
      </c>
      <c r="L741" s="2"/>
      <c r="M741" s="99"/>
      <c r="N741" s="2"/>
      <c r="O741" s="89"/>
      <c r="P741" s="2"/>
      <c r="Q741" s="2"/>
      <c r="R741" s="89"/>
      <c r="S741" s="89"/>
      <c r="T741" s="89"/>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c r="AV741" s="89" t="s">
        <v>2220</v>
      </c>
      <c r="AW741" s="89">
        <v>64</v>
      </c>
      <c r="AX741" s="89">
        <v>0.09</v>
      </c>
      <c r="AY741" s="89">
        <v>1</v>
      </c>
      <c r="AZ741" s="148" t="s">
        <v>2221</v>
      </c>
      <c r="BA741" s="148">
        <v>2007</v>
      </c>
      <c r="BB741" s="148">
        <v>2008</v>
      </c>
      <c r="BC741" s="148" t="s">
        <v>1</v>
      </c>
      <c r="BD741" s="2"/>
      <c r="BE741" s="2" t="s">
        <v>2230</v>
      </c>
      <c r="BF741" s="2" t="s">
        <v>64</v>
      </c>
      <c r="BG741" s="148" t="s">
        <v>1233</v>
      </c>
      <c r="BH741" s="2" t="s">
        <v>2223</v>
      </c>
      <c r="BI741" s="148" t="s">
        <v>29</v>
      </c>
      <c r="BJ741" s="149" t="s">
        <v>22</v>
      </c>
      <c r="BK741" s="150">
        <v>55500</v>
      </c>
      <c r="BL741" s="2" t="s">
        <v>56</v>
      </c>
      <c r="BM741" t="s">
        <v>2231</v>
      </c>
      <c r="BN741" s="148" t="s">
        <v>29</v>
      </c>
      <c r="BO741" s="2" t="s">
        <v>22</v>
      </c>
      <c r="BP741" s="2">
        <v>55000</v>
      </c>
      <c r="BQ741" s="2"/>
      <c r="BR741" s="2"/>
      <c r="BS741" s="2"/>
      <c r="BT741" s="2"/>
      <c r="BU741" s="2"/>
      <c r="BV741" s="2"/>
      <c r="BW741" s="3"/>
      <c r="BX741" s="3"/>
      <c r="BY741" s="3"/>
      <c r="BZ741" s="3"/>
      <c r="CA741" s="3"/>
      <c r="CB741" s="3"/>
      <c r="CC741" s="3"/>
      <c r="CD741" s="3"/>
      <c r="CE741" s="3"/>
      <c r="CF741" s="3"/>
      <c r="CG741" s="3"/>
      <c r="CH741" s="3"/>
      <c r="CI741" s="3"/>
      <c r="CJ741" s="3"/>
      <c r="CK741" s="3"/>
      <c r="CL741" s="3"/>
      <c r="CM741" s="3"/>
      <c r="CN741" s="3"/>
      <c r="CO741" s="3"/>
      <c r="CP741" s="3"/>
      <c r="CQ741" s="3"/>
      <c r="CR741" s="3"/>
      <c r="CS741" s="3"/>
      <c r="CT741" s="3"/>
      <c r="CU741" s="3"/>
      <c r="CV741" s="3"/>
      <c r="CW741" s="3"/>
      <c r="CX741" s="3"/>
      <c r="CY741" s="3"/>
      <c r="CZ741" s="3"/>
      <c r="DA741" s="3"/>
      <c r="DB741" s="3"/>
      <c r="DC741" s="3"/>
      <c r="DD741" s="3"/>
      <c r="DE741" s="3"/>
      <c r="DF741" s="3"/>
      <c r="DG741" s="3"/>
      <c r="DH741" s="3"/>
      <c r="DI741" s="3"/>
      <c r="DJ741" s="3"/>
      <c r="DK741" s="3"/>
      <c r="DL741" s="3"/>
      <c r="DM741" s="3"/>
      <c r="DN741" s="3"/>
      <c r="DO741" s="3"/>
      <c r="DP741" s="3"/>
      <c r="DQ741" s="3"/>
      <c r="DR741" s="3"/>
      <c r="DS741" s="3"/>
      <c r="DT741" s="3"/>
      <c r="DU741" s="3"/>
      <c r="DV741" s="3"/>
      <c r="DW741" s="3"/>
      <c r="DX741" s="3"/>
      <c r="DY741" s="3"/>
      <c r="DZ741" s="3"/>
      <c r="EA741" s="3"/>
      <c r="EB741" s="3"/>
      <c r="EC741" s="3"/>
      <c r="ED741" s="3"/>
      <c r="EE741" s="2"/>
      <c r="EF741" s="2"/>
      <c r="EG741" s="2"/>
      <c r="EH741" s="2"/>
      <c r="EI741" s="2"/>
      <c r="EJ741" s="2"/>
      <c r="EK741" s="2"/>
      <c r="EL741" s="2"/>
      <c r="EM741" s="3"/>
      <c r="EN741" s="3"/>
      <c r="EO741" s="3"/>
      <c r="EP741" s="3"/>
      <c r="EQ741" s="3"/>
      <c r="ER741" s="3"/>
      <c r="ES741" s="3"/>
      <c r="ET741" s="3"/>
      <c r="EU741" s="3"/>
      <c r="EV741" s="3"/>
      <c r="EW741" s="3"/>
      <c r="EX741" s="3"/>
      <c r="EY741" s="3"/>
      <c r="EZ741" s="3"/>
      <c r="FA741" s="3"/>
      <c r="FB741" s="3"/>
      <c r="FC741" s="3"/>
      <c r="FD741" s="3"/>
      <c r="FE741" s="3"/>
      <c r="FF741" s="3"/>
      <c r="FG741" s="3"/>
      <c r="FH741" s="3"/>
      <c r="FI741" s="3"/>
      <c r="FJ741" s="3"/>
      <c r="FK741" s="3"/>
      <c r="FL741" s="3"/>
      <c r="FM741" s="3"/>
      <c r="FN741" s="3"/>
      <c r="FO741" s="3"/>
      <c r="FP741" s="3"/>
      <c r="FQ741" s="3"/>
      <c r="FR741" s="3"/>
      <c r="FS741" s="3"/>
      <c r="FT741" s="3"/>
      <c r="FU741" s="3"/>
      <c r="FV741" s="3"/>
      <c r="FW741" s="3"/>
      <c r="FX741" s="3"/>
      <c r="FY741" s="3"/>
      <c r="FZ741" s="3"/>
      <c r="GA741" s="3"/>
      <c r="GB741" s="3"/>
      <c r="GC741" s="3"/>
      <c r="GD741" s="3"/>
      <c r="GE741" s="3"/>
      <c r="GF741" s="3"/>
      <c r="GG741" s="3"/>
      <c r="GH741" s="3"/>
      <c r="GI741" s="3"/>
      <c r="GJ741" s="3"/>
      <c r="GK741" s="3"/>
      <c r="GL741" s="3"/>
      <c r="GM741" s="3"/>
      <c r="GN741" s="3"/>
      <c r="GO741" s="3"/>
      <c r="GP741" s="3"/>
      <c r="GQ741" s="3"/>
      <c r="GR741" s="3"/>
      <c r="GS741" s="3"/>
      <c r="GT741" s="3"/>
      <c r="GU741" s="3"/>
      <c r="GV741" s="3"/>
      <c r="GW741" s="3"/>
      <c r="GX741" s="3"/>
      <c r="GY741" s="3"/>
      <c r="GZ741" s="3"/>
      <c r="HA741" s="3"/>
      <c r="HB741" s="3"/>
      <c r="HC741" s="3"/>
      <c r="HD741" s="3"/>
      <c r="HE741" s="3"/>
      <c r="HF741" s="3"/>
      <c r="HG741" s="3"/>
      <c r="HH741" s="3"/>
      <c r="HI741" s="3"/>
      <c r="HJ741" s="3"/>
      <c r="HK741" s="3"/>
      <c r="HL741" s="2"/>
      <c r="HM741" s="2"/>
      <c r="HN741" s="2"/>
      <c r="HO741" s="2"/>
      <c r="HP741" s="2"/>
      <c r="HQ741" s="2"/>
      <c r="HR741" s="2"/>
      <c r="HS741" s="2"/>
      <c r="HT741" s="99"/>
      <c r="HU741" s="2"/>
      <c r="HV741" s="2"/>
      <c r="HW741" s="2"/>
      <c r="HX741" s="2"/>
      <c r="HY741" s="2"/>
      <c r="HZ741" s="2"/>
      <c r="IA741" s="2"/>
      <c r="IB741" s="2"/>
      <c r="IC741" s="2"/>
      <c r="ID741" s="2"/>
      <c r="IE741" s="2"/>
      <c r="IF741" s="2"/>
      <c r="IG741" s="2"/>
      <c r="IH741" s="2"/>
      <c r="II741" s="148" t="s">
        <v>2224</v>
      </c>
      <c r="IJ741" s="163" t="s">
        <v>1443</v>
      </c>
      <c r="IK741" s="164" t="s">
        <v>1466</v>
      </c>
      <c r="IL741" s="165" t="s">
        <v>661</v>
      </c>
      <c r="IM741" s="2">
        <v>2007</v>
      </c>
      <c r="IN741" s="2" t="s">
        <v>62</v>
      </c>
      <c r="IO741" s="2" t="s">
        <v>29</v>
      </c>
      <c r="IR741" s="2"/>
      <c r="IS741" s="2"/>
      <c r="IT741" s="2"/>
      <c r="IU741" s="2"/>
      <c r="IV741" s="2"/>
      <c r="IW741" s="2"/>
      <c r="IX741" s="2"/>
      <c r="IY741" s="2"/>
      <c r="IZ741" s="2"/>
      <c r="JA741" s="2"/>
      <c r="JB741" s="2"/>
      <c r="JC741" s="2"/>
      <c r="JD741" s="2"/>
      <c r="JE741" s="2"/>
      <c r="JF741" s="2"/>
      <c r="JG741" s="2"/>
      <c r="JH741" s="2"/>
      <c r="JI741" s="2"/>
      <c r="JJ741" s="2"/>
      <c r="JK741" s="2"/>
      <c r="JL741" s="2"/>
      <c r="JM741" s="154" t="s">
        <v>14</v>
      </c>
      <c r="JN741" s="155" t="s">
        <v>1664</v>
      </c>
      <c r="JO741" s="99"/>
      <c r="JS741" s="2"/>
      <c r="JT741" s="2"/>
      <c r="JU741" s="2"/>
      <c r="JV741" s="2"/>
      <c r="JW741" s="2"/>
      <c r="JX741" s="2"/>
      <c r="JY741" s="2"/>
      <c r="JZ741" s="156"/>
      <c r="KA741" s="166"/>
      <c r="KB741" s="99"/>
      <c r="KC741" s="2"/>
      <c r="KD741" s="99"/>
      <c r="KE741" s="2"/>
      <c r="KF741" s="2"/>
      <c r="KG741" s="2"/>
      <c r="KH741" s="99"/>
      <c r="KI741" s="2"/>
      <c r="KJ741" s="163"/>
      <c r="KK741" s="167"/>
      <c r="KL741" s="2"/>
      <c r="KM741" s="2"/>
      <c r="KN741" s="2"/>
      <c r="KO741" s="2"/>
      <c r="KP741" s="99"/>
      <c r="KQ741" s="2"/>
      <c r="KR741" s="163"/>
      <c r="KS741" s="167"/>
      <c r="KT741" s="2"/>
      <c r="KU741" s="2"/>
      <c r="KV741" s="158"/>
      <c r="KW741" s="176"/>
      <c r="KX741" s="2"/>
      <c r="KY741" s="2"/>
      <c r="KZ741" s="2"/>
      <c r="LA741" s="3"/>
      <c r="LB741" s="3"/>
      <c r="LC741" s="3"/>
      <c r="LD741" s="3"/>
      <c r="LE741" s="3"/>
      <c r="LF741" s="3"/>
      <c r="LG741" s="3"/>
      <c r="LH741" s="3"/>
      <c r="LI741" s="99"/>
      <c r="LJ741" s="99"/>
      <c r="LK741" s="99"/>
      <c r="LL741" s="99"/>
      <c r="LM741" s="99"/>
      <c r="LN741" s="2"/>
      <c r="LO741" s="99"/>
      <c r="LP741" s="99"/>
      <c r="LQ741" s="99"/>
      <c r="LR741" s="2"/>
      <c r="LS741" s="2"/>
      <c r="LT741" s="2"/>
      <c r="LU741" s="2"/>
      <c r="LV741" s="2"/>
      <c r="LW741" s="2"/>
      <c r="LX741" s="2"/>
      <c r="LY741" s="2"/>
      <c r="LZ741" s="2"/>
      <c r="MA741" s="2"/>
      <c r="MB741" s="2"/>
      <c r="MC741" s="2"/>
      <c r="MD741" s="2"/>
      <c r="ME741" s="2"/>
      <c r="MF741" s="2"/>
      <c r="MG741" s="2"/>
      <c r="MH741" s="2"/>
      <c r="MI741" s="2"/>
      <c r="MJ741" s="2"/>
      <c r="MK741" s="2"/>
      <c r="ML741" s="2"/>
      <c r="MM741" s="2"/>
      <c r="MN741" s="2"/>
      <c r="MO741" s="2"/>
      <c r="MP741" s="2"/>
      <c r="MQ741" s="2"/>
      <c r="MR741" s="2"/>
      <c r="MS741" s="2"/>
      <c r="MT741" s="2"/>
      <c r="MU741" s="2"/>
      <c r="MV741" s="2"/>
      <c r="MW741" s="2"/>
      <c r="MX741" s="2"/>
      <c r="MY741" s="2"/>
      <c r="MZ741" s="148" t="s">
        <v>2225</v>
      </c>
      <c r="NA741" s="89">
        <v>64</v>
      </c>
      <c r="NB741" s="159"/>
      <c r="NC741" s="159"/>
      <c r="ND741" s="159"/>
      <c r="NE741" s="159"/>
      <c r="NF741" s="159"/>
      <c r="NG741" s="159"/>
      <c r="NH741" s="159"/>
      <c r="NI741" s="159"/>
      <c r="NJ741" s="148" t="s">
        <v>2226</v>
      </c>
      <c r="NK741" s="148" t="s">
        <v>2227</v>
      </c>
      <c r="NL741" s="148" t="s">
        <v>2228</v>
      </c>
      <c r="NM741" s="148" t="s">
        <v>671</v>
      </c>
      <c r="NN741" s="160" t="s">
        <v>265</v>
      </c>
      <c r="NO741" s="148"/>
      <c r="NP741" s="148"/>
      <c r="NQ741" s="148"/>
      <c r="NR741" s="148"/>
      <c r="NS741" s="148"/>
      <c r="NT741" s="148"/>
      <c r="NU741" s="148"/>
      <c r="NV741" s="148"/>
      <c r="NW741" s="161" t="s">
        <v>6</v>
      </c>
      <c r="NX741" s="168">
        <v>288.3</v>
      </c>
      <c r="NY741" s="161" t="s">
        <v>4</v>
      </c>
      <c r="NZ741" s="168">
        <v>2.1</v>
      </c>
      <c r="OA741" s="169"/>
      <c r="OB741" s="2"/>
      <c r="OC741" s="148">
        <v>4</v>
      </c>
      <c r="OD741" s="2"/>
      <c r="OE741" s="2"/>
      <c r="OF741" s="2"/>
      <c r="OG741" s="2"/>
      <c r="OH741" s="2"/>
      <c r="OI741" s="2"/>
      <c r="OJ741" s="2"/>
      <c r="OK741" s="2"/>
      <c r="OL741" s="2"/>
      <c r="OM741" s="2"/>
      <c r="OT741" s="148" t="s">
        <v>2229</v>
      </c>
      <c r="OU741" s="2"/>
      <c r="OV741" s="2">
        <v>2007</v>
      </c>
      <c r="OW741" s="2"/>
      <c r="OX741" s="2"/>
      <c r="OY741" s="2" t="s">
        <v>1</v>
      </c>
      <c r="OZ741" s="2"/>
      <c r="PA741" t="s">
        <v>1169</v>
      </c>
      <c r="PB741" s="58">
        <v>46134</v>
      </c>
    </row>
    <row r="742" spans="1:418" ht="15.75" thickBot="1">
      <c r="A742" t="s">
        <v>248</v>
      </c>
      <c r="B742" t="s">
        <v>2219</v>
      </c>
      <c r="C742" s="89" t="s">
        <v>34</v>
      </c>
      <c r="D742" s="147" t="s">
        <v>1936</v>
      </c>
      <c r="E742" s="89" t="s">
        <v>1658</v>
      </c>
      <c r="F742" t="s">
        <v>31</v>
      </c>
      <c r="G742" s="89" t="s">
        <v>2</v>
      </c>
      <c r="H742" s="147" t="s">
        <v>30</v>
      </c>
      <c r="I742">
        <v>-0.41666666699999999</v>
      </c>
      <c r="J742">
        <v>34.200000000000003</v>
      </c>
      <c r="K742" s="147" t="s">
        <v>29</v>
      </c>
      <c r="L742" s="89"/>
      <c r="M742" s="147"/>
      <c r="N742" s="89"/>
      <c r="O742" s="89"/>
      <c r="P742" s="89"/>
      <c r="Q742" s="89"/>
      <c r="R742" s="89"/>
      <c r="S742" s="89"/>
      <c r="T742" s="89"/>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c r="AV742" s="89" t="s">
        <v>2220</v>
      </c>
      <c r="AW742" s="89">
        <v>64</v>
      </c>
      <c r="AX742" s="89">
        <v>0.09</v>
      </c>
      <c r="AY742" s="89">
        <v>1</v>
      </c>
      <c r="AZ742" s="148" t="s">
        <v>2221</v>
      </c>
      <c r="BA742" s="148">
        <v>2007</v>
      </c>
      <c r="BB742" s="148">
        <v>2008</v>
      </c>
      <c r="BC742" s="148" t="s">
        <v>62</v>
      </c>
      <c r="BD742" s="89"/>
      <c r="BE742" s="148" t="s">
        <v>2222</v>
      </c>
      <c r="BF742" s="148" t="s">
        <v>39</v>
      </c>
      <c r="BG742" s="148" t="s">
        <v>1233</v>
      </c>
      <c r="BH742" s="148" t="s">
        <v>2223</v>
      </c>
      <c r="BI742" s="148" t="s">
        <v>29</v>
      </c>
      <c r="BJ742" s="149" t="s">
        <v>22</v>
      </c>
      <c r="BK742" s="150">
        <v>111000</v>
      </c>
      <c r="BL742" s="89"/>
      <c r="BM742" s="89"/>
      <c r="BN742" s="89"/>
      <c r="BO742" s="147"/>
      <c r="BP742" s="170"/>
      <c r="BQ742" s="89"/>
      <c r="BR742" s="89"/>
      <c r="BS742" s="89"/>
      <c r="BT742" s="147"/>
      <c r="BU742" s="170"/>
      <c r="BV742" s="89"/>
      <c r="BW742" s="3"/>
      <c r="BX742" s="3"/>
      <c r="BY742" s="3"/>
      <c r="BZ742" s="3"/>
      <c r="CA742" s="3"/>
      <c r="CB742" s="3"/>
      <c r="CC742" s="3"/>
      <c r="CD742" s="3"/>
      <c r="CE742" s="3"/>
      <c r="CF742" s="3"/>
      <c r="CG742" s="3"/>
      <c r="CH742" s="3"/>
      <c r="CI742" s="3"/>
      <c r="CJ742" s="3"/>
      <c r="CK742" s="3"/>
      <c r="CL742" s="3"/>
      <c r="CM742" s="3"/>
      <c r="CN742" s="3"/>
      <c r="CO742" s="3"/>
      <c r="CP742" s="3"/>
      <c r="CQ742" s="3"/>
      <c r="CR742" s="3"/>
      <c r="CS742" s="3"/>
      <c r="CT742" s="3"/>
      <c r="CU742" s="3"/>
      <c r="CV742" s="3"/>
      <c r="CW742" s="3"/>
      <c r="CX742" s="3"/>
      <c r="CY742" s="3"/>
      <c r="CZ742" s="3"/>
      <c r="DA742" s="3"/>
      <c r="DB742" s="3"/>
      <c r="DC742" s="3"/>
      <c r="DD742" s="3"/>
      <c r="DE742" s="3"/>
      <c r="DF742" s="3"/>
      <c r="DG742" s="3"/>
      <c r="DH742" s="3"/>
      <c r="DI742" s="3"/>
      <c r="DJ742" s="3"/>
      <c r="DK742" s="3"/>
      <c r="DL742" s="3"/>
      <c r="DM742" s="3"/>
      <c r="DN742" s="3"/>
      <c r="DO742" s="3"/>
      <c r="DP742" s="3"/>
      <c r="DQ742" s="3"/>
      <c r="DR742" s="3"/>
      <c r="DS742" s="3"/>
      <c r="DT742" s="3"/>
      <c r="DU742" s="3"/>
      <c r="DV742" s="3"/>
      <c r="DW742" s="3"/>
      <c r="DX742" s="3"/>
      <c r="DY742" s="3"/>
      <c r="DZ742" s="3"/>
      <c r="EA742" s="3"/>
      <c r="EB742" s="3"/>
      <c r="EC742" s="3"/>
      <c r="ED742" s="3"/>
      <c r="EE742" s="89"/>
      <c r="EF742" s="89"/>
      <c r="EG742" s="89"/>
      <c r="EH742" s="89"/>
      <c r="EI742" s="89"/>
      <c r="EJ742" s="89"/>
      <c r="EK742" s="89"/>
      <c r="EL742" s="89"/>
      <c r="EM742" s="3"/>
      <c r="EN742" s="3"/>
      <c r="EO742" s="3"/>
      <c r="EP742" s="3"/>
      <c r="EQ742" s="3"/>
      <c r="ER742" s="3"/>
      <c r="ES742" s="3"/>
      <c r="ET742" s="3"/>
      <c r="EU742" s="3"/>
      <c r="EV742" s="3"/>
      <c r="EW742" s="3"/>
      <c r="EX742" s="3"/>
      <c r="EY742" s="3"/>
      <c r="EZ742" s="3"/>
      <c r="FA742" s="3"/>
      <c r="FB742" s="3"/>
      <c r="FC742" s="3"/>
      <c r="FD742" s="3"/>
      <c r="FE742" s="3"/>
      <c r="FF742" s="3"/>
      <c r="FG742" s="3"/>
      <c r="FH742" s="3"/>
      <c r="FI742" s="3"/>
      <c r="FJ742" s="3"/>
      <c r="FK742" s="3"/>
      <c r="FL742" s="3"/>
      <c r="FM742" s="3"/>
      <c r="FN742" s="3"/>
      <c r="FO742" s="3"/>
      <c r="FP742" s="3"/>
      <c r="FQ742" s="3"/>
      <c r="FR742" s="3"/>
      <c r="FS742" s="3"/>
      <c r="FT742" s="3"/>
      <c r="FU742" s="3"/>
      <c r="FV742" s="3"/>
      <c r="FW742" s="3"/>
      <c r="FX742" s="3"/>
      <c r="FY742" s="3"/>
      <c r="FZ742" s="3"/>
      <c r="GA742" s="3"/>
      <c r="GB742" s="3"/>
      <c r="GC742" s="3"/>
      <c r="GD742" s="3"/>
      <c r="GE742" s="3"/>
      <c r="GF742" s="3"/>
      <c r="GG742" s="3"/>
      <c r="GH742" s="3"/>
      <c r="GI742" s="3"/>
      <c r="GJ742" s="3"/>
      <c r="GK742" s="3"/>
      <c r="GL742" s="3"/>
      <c r="GM742" s="3"/>
      <c r="GN742" s="3"/>
      <c r="GO742" s="3"/>
      <c r="GP742" s="3"/>
      <c r="GQ742" s="3"/>
      <c r="GR742" s="3"/>
      <c r="GS742" s="3"/>
      <c r="GT742" s="3"/>
      <c r="GU742" s="3"/>
      <c r="GV742" s="3"/>
      <c r="GW742" s="3"/>
      <c r="GX742" s="3"/>
      <c r="GY742" s="3"/>
      <c r="GZ742" s="3"/>
      <c r="HA742" s="3"/>
      <c r="HB742" s="3"/>
      <c r="HC742" s="3"/>
      <c r="HD742" s="3"/>
      <c r="HE742" s="3"/>
      <c r="HF742" s="3"/>
      <c r="HG742" s="3"/>
      <c r="HH742" s="3"/>
      <c r="HI742" s="3"/>
      <c r="HJ742" s="3"/>
      <c r="HK742" s="3"/>
      <c r="HL742" s="89"/>
      <c r="HM742" s="89"/>
      <c r="HN742" s="89"/>
      <c r="HO742" s="89"/>
      <c r="HP742" s="89"/>
      <c r="HQ742" s="89"/>
      <c r="HR742" s="89"/>
      <c r="HS742" s="89"/>
      <c r="HT742" s="147"/>
      <c r="HU742" s="89"/>
      <c r="HV742" s="89"/>
      <c r="HW742" s="89"/>
      <c r="HX742" s="89"/>
      <c r="HY742" s="89"/>
      <c r="HZ742" s="89"/>
      <c r="IA742" s="89"/>
      <c r="IB742" s="89"/>
      <c r="IC742" s="89"/>
      <c r="ID742" s="89"/>
      <c r="IE742" s="89"/>
      <c r="IF742" s="89"/>
      <c r="IG742" s="89"/>
      <c r="IH742" s="89"/>
      <c r="II742" s="148" t="s">
        <v>2224</v>
      </c>
      <c r="IJ742" s="152" t="s">
        <v>19</v>
      </c>
      <c r="IK742" s="89"/>
      <c r="IL742" s="89"/>
      <c r="IM742" s="89"/>
      <c r="IN742" s="89"/>
      <c r="IO742" s="89"/>
      <c r="IR742" s="89"/>
      <c r="IS742" s="89"/>
      <c r="IT742" s="89"/>
      <c r="IU742" s="89"/>
      <c r="IV742" s="89"/>
      <c r="IW742" s="89"/>
      <c r="IX742" s="147"/>
      <c r="IY742" s="89"/>
      <c r="IZ742" s="89"/>
      <c r="JA742" s="89"/>
      <c r="JB742" s="89"/>
      <c r="JC742" s="89"/>
      <c r="JD742" s="89"/>
      <c r="JE742" s="89"/>
      <c r="JF742" s="89"/>
      <c r="JG742" s="89"/>
      <c r="JH742" s="89"/>
      <c r="JI742" s="89"/>
      <c r="JJ742" s="89"/>
      <c r="JK742" s="89"/>
      <c r="JL742" s="89"/>
      <c r="JM742" s="154" t="s">
        <v>14</v>
      </c>
      <c r="JN742" s="155" t="s">
        <v>1664</v>
      </c>
      <c r="JO742" s="147"/>
      <c r="JS742" s="89"/>
      <c r="JT742" s="89"/>
      <c r="JU742" s="89"/>
      <c r="JV742" s="89"/>
      <c r="JW742" s="89"/>
      <c r="JX742" s="89"/>
      <c r="JY742" s="89"/>
      <c r="JZ742" s="156"/>
      <c r="KA742" s="154"/>
      <c r="KB742" s="147"/>
      <c r="KC742" s="89"/>
      <c r="KD742" s="147"/>
      <c r="KE742" s="89"/>
      <c r="KF742" s="89"/>
      <c r="KG742" s="89"/>
      <c r="KH742" s="147"/>
      <c r="KI742" s="89"/>
      <c r="KJ742" s="152"/>
      <c r="KK742" s="173"/>
      <c r="KL742" s="89"/>
      <c r="KM742" s="89"/>
      <c r="KN742" s="89"/>
      <c r="KO742" s="89"/>
      <c r="KP742" s="147"/>
      <c r="KQ742" s="89"/>
      <c r="KR742" s="177"/>
      <c r="KS742" s="154"/>
      <c r="KT742" s="89"/>
      <c r="KU742" s="89"/>
      <c r="KV742" s="158"/>
      <c r="KW742" s="173"/>
      <c r="KX742" s="89"/>
      <c r="KY742" s="89"/>
      <c r="KZ742" s="89"/>
      <c r="LA742" s="3"/>
      <c r="LB742" s="3"/>
      <c r="LC742" s="3"/>
      <c r="LD742" s="3"/>
      <c r="LE742" s="3"/>
      <c r="LF742" s="3"/>
      <c r="LG742" s="3"/>
      <c r="LH742" s="3"/>
      <c r="LI742" s="147"/>
      <c r="LJ742" s="147"/>
      <c r="LK742" s="147"/>
      <c r="LL742" s="147"/>
      <c r="LM742" s="147"/>
      <c r="LN742" s="89"/>
      <c r="LO742" s="147"/>
      <c r="LP742" s="147"/>
      <c r="LQ742" s="147"/>
      <c r="LR742" s="89"/>
      <c r="LS742" s="89"/>
      <c r="LT742" s="89"/>
      <c r="LU742" s="89"/>
      <c r="LV742" s="89"/>
      <c r="LW742" s="89"/>
      <c r="LX742" s="89"/>
      <c r="LY742" s="89"/>
      <c r="LZ742" s="89"/>
      <c r="MA742" s="89"/>
      <c r="MB742" s="89"/>
      <c r="MC742" s="89"/>
      <c r="MD742" s="89"/>
      <c r="ME742" s="89"/>
      <c r="MF742" s="89"/>
      <c r="MG742" s="89"/>
      <c r="MH742" s="89"/>
      <c r="MI742" s="89"/>
      <c r="MJ742" s="89"/>
      <c r="MK742" s="89"/>
      <c r="ML742" s="89"/>
      <c r="MM742" s="89"/>
      <c r="MN742" s="89"/>
      <c r="MO742" s="89"/>
      <c r="MP742" s="89"/>
      <c r="MQ742" s="89"/>
      <c r="MR742" s="89"/>
      <c r="MS742" s="89"/>
      <c r="MT742" s="89"/>
      <c r="MU742" s="89"/>
      <c r="MV742" s="89"/>
      <c r="MW742" s="89"/>
      <c r="MX742" s="89"/>
      <c r="MY742" s="89"/>
      <c r="MZ742" s="148" t="s">
        <v>2225</v>
      </c>
      <c r="NA742" s="89">
        <v>64</v>
      </c>
      <c r="NB742" s="159"/>
      <c r="NC742" s="159"/>
      <c r="ND742" s="159"/>
      <c r="NE742" s="159"/>
      <c r="NF742" s="159"/>
      <c r="NG742" s="159"/>
      <c r="NH742" s="159"/>
      <c r="NI742" s="159"/>
      <c r="NJ742" s="148" t="s">
        <v>2226</v>
      </c>
      <c r="NK742" s="148" t="s">
        <v>2227</v>
      </c>
      <c r="NL742" s="148" t="s">
        <v>2228</v>
      </c>
      <c r="NM742" s="148" t="s">
        <v>671</v>
      </c>
      <c r="NN742" s="160" t="s">
        <v>265</v>
      </c>
      <c r="NO742" s="148"/>
      <c r="NP742" s="148"/>
      <c r="NQ742" s="148"/>
      <c r="NR742" s="148"/>
      <c r="NS742" s="148"/>
      <c r="NT742" s="148"/>
      <c r="NU742" s="148"/>
      <c r="NV742" s="148" t="s">
        <v>64</v>
      </c>
      <c r="NW742" s="161" t="s">
        <v>6</v>
      </c>
      <c r="NX742" s="97">
        <v>185</v>
      </c>
      <c r="NY742" s="161" t="s">
        <v>4</v>
      </c>
      <c r="NZ742" s="97">
        <v>2.1</v>
      </c>
      <c r="OA742" s="175"/>
      <c r="OB742" s="89"/>
      <c r="OC742" s="148">
        <v>4</v>
      </c>
      <c r="OD742" s="89"/>
      <c r="OE742" s="89"/>
      <c r="OF742" s="89"/>
      <c r="OG742" s="89"/>
      <c r="OH742" s="89"/>
      <c r="OI742" s="89"/>
      <c r="OJ742" s="89"/>
      <c r="OK742" s="89"/>
      <c r="OL742" s="89"/>
      <c r="OM742" s="89"/>
      <c r="ON742" s="159"/>
      <c r="OO742" s="159"/>
      <c r="OP742" s="159"/>
      <c r="OQ742" s="159"/>
      <c r="OR742" s="159"/>
      <c r="OS742" s="159"/>
      <c r="OT742" s="148" t="s">
        <v>2229</v>
      </c>
      <c r="OU742" s="89"/>
      <c r="OV742" s="89">
        <v>2008</v>
      </c>
      <c r="OW742" s="89"/>
      <c r="OX742" s="89"/>
      <c r="OY742" s="148" t="s">
        <v>62</v>
      </c>
      <c r="OZ742" s="89"/>
      <c r="PA742" t="s">
        <v>1169</v>
      </c>
      <c r="PB742" s="58">
        <v>46134</v>
      </c>
    </row>
    <row r="743" spans="1:418" ht="15.75" thickBot="1">
      <c r="A743" t="s">
        <v>248</v>
      </c>
      <c r="B743" t="s">
        <v>2219</v>
      </c>
      <c r="C743" s="89" t="s">
        <v>34</v>
      </c>
      <c r="D743" s="147" t="s">
        <v>1936</v>
      </c>
      <c r="E743" s="89" t="s">
        <v>1658</v>
      </c>
      <c r="F743" t="s">
        <v>31</v>
      </c>
      <c r="G743" s="89" t="s">
        <v>2</v>
      </c>
      <c r="H743" s="147" t="s">
        <v>30</v>
      </c>
      <c r="I743">
        <v>-0.41666666699999999</v>
      </c>
      <c r="J743">
        <v>34.200000000000003</v>
      </c>
      <c r="K743" s="147" t="s">
        <v>29</v>
      </c>
      <c r="L743" s="2"/>
      <c r="M743" s="99"/>
      <c r="N743" s="2"/>
      <c r="O743" s="89"/>
      <c r="P743" s="2"/>
      <c r="Q743" s="2"/>
      <c r="R743" s="89"/>
      <c r="S743" s="89"/>
      <c r="T743" s="89"/>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c r="AV743" s="89" t="s">
        <v>2220</v>
      </c>
      <c r="AW743" s="89">
        <v>64</v>
      </c>
      <c r="AX743" s="89">
        <v>0.09</v>
      </c>
      <c r="AY743" s="89">
        <v>1</v>
      </c>
      <c r="AZ743" s="148" t="s">
        <v>2221</v>
      </c>
      <c r="BA743" s="148">
        <v>2007</v>
      </c>
      <c r="BB743" s="148">
        <v>2008</v>
      </c>
      <c r="BC743" s="148" t="s">
        <v>62</v>
      </c>
      <c r="BD743" s="2"/>
      <c r="BE743" s="2" t="s">
        <v>2230</v>
      </c>
      <c r="BF743" s="2" t="s">
        <v>64</v>
      </c>
      <c r="BG743" s="148" t="s">
        <v>1233</v>
      </c>
      <c r="BH743" s="2" t="s">
        <v>2223</v>
      </c>
      <c r="BI743" s="148" t="s">
        <v>29</v>
      </c>
      <c r="BJ743" s="149" t="s">
        <v>22</v>
      </c>
      <c r="BK743" s="150">
        <v>55500</v>
      </c>
      <c r="BL743" s="2" t="s">
        <v>56</v>
      </c>
      <c r="BM743" t="s">
        <v>2231</v>
      </c>
      <c r="BN743" s="148" t="s">
        <v>29</v>
      </c>
      <c r="BO743" s="2" t="s">
        <v>22</v>
      </c>
      <c r="BP743" s="2">
        <v>55000</v>
      </c>
      <c r="BQ743" s="2"/>
      <c r="BR743" s="2"/>
      <c r="BS743" s="2"/>
      <c r="BT743" s="99"/>
      <c r="BU743" s="2"/>
      <c r="BV743" s="2"/>
      <c r="BW743" s="3"/>
      <c r="BX743" s="3"/>
      <c r="BY743" s="3"/>
      <c r="BZ743" s="3"/>
      <c r="CA743" s="3"/>
      <c r="CB743" s="3"/>
      <c r="CC743" s="3"/>
      <c r="CD743" s="3"/>
      <c r="CE743" s="3"/>
      <c r="CF743" s="3"/>
      <c r="CG743" s="3"/>
      <c r="CH743" s="3"/>
      <c r="CI743" s="3"/>
      <c r="CJ743" s="3"/>
      <c r="CK743" s="3"/>
      <c r="CL743" s="3"/>
      <c r="CM743" s="3"/>
      <c r="CN743" s="3"/>
      <c r="CO743" s="3"/>
      <c r="CP743" s="3"/>
      <c r="CQ743" s="3"/>
      <c r="CR743" s="3"/>
      <c r="CS743" s="3"/>
      <c r="CT743" s="3"/>
      <c r="CU743" s="3"/>
      <c r="CV743" s="3"/>
      <c r="CW743" s="3"/>
      <c r="CX743" s="3"/>
      <c r="CY743" s="3"/>
      <c r="CZ743" s="3"/>
      <c r="DA743" s="3"/>
      <c r="DB743" s="3"/>
      <c r="DC743" s="3"/>
      <c r="DD743" s="3"/>
      <c r="DE743" s="3"/>
      <c r="DF743" s="3"/>
      <c r="DG743" s="3"/>
      <c r="DH743" s="3"/>
      <c r="DI743" s="3"/>
      <c r="DJ743" s="3"/>
      <c r="DK743" s="3"/>
      <c r="DL743" s="3"/>
      <c r="DM743" s="3"/>
      <c r="DN743" s="3"/>
      <c r="DO743" s="3"/>
      <c r="DP743" s="3"/>
      <c r="DQ743" s="3"/>
      <c r="DR743" s="3"/>
      <c r="DS743" s="3"/>
      <c r="DT743" s="3"/>
      <c r="DU743" s="3"/>
      <c r="DV743" s="3"/>
      <c r="DW743" s="3"/>
      <c r="DX743" s="3"/>
      <c r="DY743" s="3"/>
      <c r="DZ743" s="3"/>
      <c r="EA743" s="3"/>
      <c r="EB743" s="3"/>
      <c r="EC743" s="3"/>
      <c r="ED743" s="3"/>
      <c r="EE743" s="2"/>
      <c r="EF743" s="2"/>
      <c r="EG743" s="2"/>
      <c r="EH743" s="2"/>
      <c r="EI743" s="2"/>
      <c r="EJ743" s="2"/>
      <c r="EK743" s="2"/>
      <c r="EL743" s="2"/>
      <c r="EM743" s="3"/>
      <c r="EN743" s="3"/>
      <c r="EO743" s="3"/>
      <c r="EP743" s="3"/>
      <c r="EQ743" s="3"/>
      <c r="ER743" s="3"/>
      <c r="ES743" s="3"/>
      <c r="ET743" s="3"/>
      <c r="EU743" s="3"/>
      <c r="EV743" s="3"/>
      <c r="EW743" s="3"/>
      <c r="EX743" s="3"/>
      <c r="EY743" s="3"/>
      <c r="EZ743" s="3"/>
      <c r="FA743" s="3"/>
      <c r="FB743" s="3"/>
      <c r="FC743" s="3"/>
      <c r="FD743" s="3"/>
      <c r="FE743" s="3"/>
      <c r="FF743" s="3"/>
      <c r="FG743" s="3"/>
      <c r="FH743" s="3"/>
      <c r="FI743" s="3"/>
      <c r="FJ743" s="3"/>
      <c r="FK743" s="3"/>
      <c r="FL743" s="3"/>
      <c r="FM743" s="3"/>
      <c r="FN743" s="3"/>
      <c r="FO743" s="3"/>
      <c r="FP743" s="3"/>
      <c r="FQ743" s="3"/>
      <c r="FR743" s="3"/>
      <c r="FS743" s="3"/>
      <c r="FT743" s="3"/>
      <c r="FU743" s="3"/>
      <c r="FV743" s="3"/>
      <c r="FW743" s="3"/>
      <c r="FX743" s="3"/>
      <c r="FY743" s="3"/>
      <c r="FZ743" s="3"/>
      <c r="GA743" s="3"/>
      <c r="GB743" s="3"/>
      <c r="GC743" s="3"/>
      <c r="GD743" s="3"/>
      <c r="GE743" s="3"/>
      <c r="GF743" s="3"/>
      <c r="GG743" s="3"/>
      <c r="GH743" s="3"/>
      <c r="GI743" s="3"/>
      <c r="GJ743" s="3"/>
      <c r="GK743" s="3"/>
      <c r="GL743" s="3"/>
      <c r="GM743" s="3"/>
      <c r="GN743" s="3"/>
      <c r="GO743" s="3"/>
      <c r="GP743" s="3"/>
      <c r="GQ743" s="3"/>
      <c r="GR743" s="3"/>
      <c r="GS743" s="3"/>
      <c r="GT743" s="3"/>
      <c r="GU743" s="3"/>
      <c r="GV743" s="3"/>
      <c r="GW743" s="3"/>
      <c r="GX743" s="3"/>
      <c r="GY743" s="3"/>
      <c r="GZ743" s="3"/>
      <c r="HA743" s="3"/>
      <c r="HB743" s="3"/>
      <c r="HC743" s="3"/>
      <c r="HD743" s="3"/>
      <c r="HE743" s="3"/>
      <c r="HF743" s="3"/>
      <c r="HG743" s="3"/>
      <c r="HH743" s="3"/>
      <c r="HI743" s="3"/>
      <c r="HJ743" s="3"/>
      <c r="HK743" s="3"/>
      <c r="HL743" s="2"/>
      <c r="HM743" s="2"/>
      <c r="HN743" s="2"/>
      <c r="HO743" s="2"/>
      <c r="HP743" s="2"/>
      <c r="HQ743" s="2"/>
      <c r="HR743" s="2"/>
      <c r="HS743" s="2"/>
      <c r="HT743" s="99"/>
      <c r="HU743" s="2"/>
      <c r="HV743" s="2"/>
      <c r="HW743" s="2"/>
      <c r="HX743" s="2"/>
      <c r="HY743" s="2"/>
      <c r="HZ743" s="2"/>
      <c r="IA743" s="2"/>
      <c r="IB743" s="2"/>
      <c r="IC743" s="2"/>
      <c r="ID743" s="2"/>
      <c r="IE743" s="2"/>
      <c r="IF743" s="2"/>
      <c r="IG743" s="2"/>
      <c r="IH743" s="2"/>
      <c r="II743" s="148" t="s">
        <v>2224</v>
      </c>
      <c r="IJ743" s="163" t="s">
        <v>1443</v>
      </c>
      <c r="IK743" s="164" t="s">
        <v>1466</v>
      </c>
      <c r="IL743" s="165" t="s">
        <v>661</v>
      </c>
      <c r="IM743" s="2">
        <v>2007</v>
      </c>
      <c r="IN743" s="2" t="s">
        <v>62</v>
      </c>
      <c r="IO743" s="2" t="s">
        <v>29</v>
      </c>
      <c r="IR743" s="2"/>
      <c r="IS743" s="2"/>
      <c r="IT743" s="2"/>
      <c r="IU743" s="2"/>
      <c r="IV743" s="2"/>
      <c r="IW743" s="2"/>
      <c r="IX743" s="99"/>
      <c r="IY743" s="2"/>
      <c r="IZ743" s="2"/>
      <c r="JA743" s="2"/>
      <c r="JB743" s="2"/>
      <c r="JC743" s="2"/>
      <c r="JD743" s="2"/>
      <c r="JE743" s="2"/>
      <c r="JF743" s="2"/>
      <c r="JG743" s="2"/>
      <c r="JH743" s="2"/>
      <c r="JI743" s="2"/>
      <c r="JJ743" s="2"/>
      <c r="JK743" s="2"/>
      <c r="JL743" s="2"/>
      <c r="JM743" s="154" t="s">
        <v>14</v>
      </c>
      <c r="JN743" s="155" t="s">
        <v>1664</v>
      </c>
      <c r="JO743" s="99"/>
      <c r="JS743" s="2"/>
      <c r="JT743" s="2"/>
      <c r="JU743" s="2"/>
      <c r="JV743" s="2"/>
      <c r="JW743" s="2"/>
      <c r="JX743" s="2"/>
      <c r="JY743" s="2"/>
      <c r="JZ743" s="156"/>
      <c r="KA743" s="166"/>
      <c r="KB743" s="99"/>
      <c r="KC743" s="2"/>
      <c r="KD743" s="99"/>
      <c r="KE743" s="2"/>
      <c r="KF743" s="2"/>
      <c r="KG743" s="2"/>
      <c r="KH743" s="99"/>
      <c r="KI743" s="2"/>
      <c r="KJ743" s="163"/>
      <c r="KK743" s="167"/>
      <c r="KL743" s="2"/>
      <c r="KM743" s="2"/>
      <c r="KN743" s="2"/>
      <c r="KO743" s="2"/>
      <c r="KP743" s="99"/>
      <c r="KQ743" s="2"/>
      <c r="KR743" s="177"/>
      <c r="KS743" s="166"/>
      <c r="KT743" s="2"/>
      <c r="KU743" s="2"/>
      <c r="KV743" s="158"/>
      <c r="KW743" s="167"/>
      <c r="KX743" s="2"/>
      <c r="KY743" s="2"/>
      <c r="KZ743" s="2"/>
      <c r="LA743" s="3"/>
      <c r="LB743" s="3"/>
      <c r="LC743" s="3"/>
      <c r="LD743" s="3"/>
      <c r="LE743" s="3"/>
      <c r="LF743" s="3"/>
      <c r="LG743" s="3"/>
      <c r="LH743" s="3"/>
      <c r="LI743" s="99"/>
      <c r="LJ743" s="99"/>
      <c r="LK743" s="99"/>
      <c r="LL743" s="99"/>
      <c r="LM743" s="99"/>
      <c r="LN743" s="2"/>
      <c r="LO743" s="99"/>
      <c r="LP743" s="99"/>
      <c r="LQ743" s="99"/>
      <c r="LR743" s="2"/>
      <c r="LS743" s="2"/>
      <c r="LT743" s="2"/>
      <c r="LU743" s="2"/>
      <c r="LV743" s="2"/>
      <c r="LW743" s="2"/>
      <c r="LX743" s="2"/>
      <c r="LY743" s="2"/>
      <c r="LZ743" s="2"/>
      <c r="MA743" s="2"/>
      <c r="MB743" s="2"/>
      <c r="MC743" s="2"/>
      <c r="MD743" s="2"/>
      <c r="ME743" s="2"/>
      <c r="MF743" s="2"/>
      <c r="MG743" s="2"/>
      <c r="MH743" s="2"/>
      <c r="MI743" s="2"/>
      <c r="MJ743" s="2"/>
      <c r="MK743" s="2"/>
      <c r="ML743" s="2"/>
      <c r="MM743" s="2"/>
      <c r="MN743" s="2"/>
      <c r="MO743" s="2"/>
      <c r="MP743" s="2"/>
      <c r="MQ743" s="2"/>
      <c r="MR743" s="2"/>
      <c r="MS743" s="2"/>
      <c r="MT743" s="2"/>
      <c r="MU743" s="2"/>
      <c r="MV743" s="2"/>
      <c r="MW743" s="2"/>
      <c r="MX743" s="2"/>
      <c r="MY743" s="2"/>
      <c r="MZ743" s="148" t="s">
        <v>2225</v>
      </c>
      <c r="NA743" s="89">
        <v>64</v>
      </c>
      <c r="NB743" s="159"/>
      <c r="NC743" s="159"/>
      <c r="ND743" s="159"/>
      <c r="NE743" s="159"/>
      <c r="NF743" s="159"/>
      <c r="NG743" s="159"/>
      <c r="NH743" s="159"/>
      <c r="NI743" s="159"/>
      <c r="NJ743" s="148" t="s">
        <v>2226</v>
      </c>
      <c r="NK743" s="148" t="s">
        <v>2227</v>
      </c>
      <c r="NL743" s="148" t="s">
        <v>2228</v>
      </c>
      <c r="NM743" s="148" t="s">
        <v>671</v>
      </c>
      <c r="NN743" s="160" t="s">
        <v>265</v>
      </c>
      <c r="NO743" s="148"/>
      <c r="NP743" s="148"/>
      <c r="NQ743" s="148"/>
      <c r="NR743" s="148"/>
      <c r="NS743" s="148"/>
      <c r="NT743" s="148"/>
      <c r="NU743" s="148"/>
      <c r="NV743" s="148"/>
      <c r="NW743" s="161" t="s">
        <v>6</v>
      </c>
      <c r="NX743" s="168">
        <v>301.10000000000002</v>
      </c>
      <c r="NY743" s="161" t="s">
        <v>4</v>
      </c>
      <c r="NZ743" s="168">
        <v>3.2</v>
      </c>
      <c r="OA743" s="169"/>
      <c r="OB743" s="2"/>
      <c r="OC743" s="148">
        <v>4</v>
      </c>
      <c r="OD743" s="2"/>
      <c r="OE743" s="2"/>
      <c r="OF743" s="2"/>
      <c r="OG743" s="2"/>
      <c r="OH743" s="2"/>
      <c r="OI743" s="2"/>
      <c r="OJ743" s="2"/>
      <c r="OK743" s="2"/>
      <c r="OL743" s="2"/>
      <c r="OM743" s="2"/>
      <c r="OT743" s="148" t="s">
        <v>2229</v>
      </c>
      <c r="OU743" s="2"/>
      <c r="OV743" s="2">
        <v>2008</v>
      </c>
      <c r="OW743" s="2"/>
      <c r="OX743" s="2"/>
      <c r="OY743" s="148" t="s">
        <v>62</v>
      </c>
      <c r="OZ743" s="2"/>
      <c r="PA743" t="s">
        <v>1169</v>
      </c>
      <c r="PB743" s="58">
        <v>46134</v>
      </c>
    </row>
    <row r="744" spans="1:418" ht="17.25" thickBot="1">
      <c r="A744" t="s">
        <v>248</v>
      </c>
      <c r="B744" t="s">
        <v>2219</v>
      </c>
      <c r="C744" s="89" t="s">
        <v>34</v>
      </c>
      <c r="D744" s="147" t="s">
        <v>1936</v>
      </c>
      <c r="E744" s="89" t="s">
        <v>1658</v>
      </c>
      <c r="F744" t="s">
        <v>31</v>
      </c>
      <c r="G744" s="89" t="s">
        <v>2</v>
      </c>
      <c r="H744" s="147" t="s">
        <v>30</v>
      </c>
      <c r="I744">
        <v>-0.41666666699999999</v>
      </c>
      <c r="J744">
        <v>34.200000000000003</v>
      </c>
      <c r="K744" s="147" t="s">
        <v>29</v>
      </c>
      <c r="L744" s="89"/>
      <c r="M744" s="147"/>
      <c r="N744" s="89"/>
      <c r="O744" s="89"/>
      <c r="P744" s="89"/>
      <c r="Q744" s="89"/>
      <c r="R744" s="89"/>
      <c r="S744" s="89"/>
      <c r="T744" s="89"/>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c r="AV744" s="89" t="s">
        <v>2220</v>
      </c>
      <c r="AW744" s="89">
        <v>64</v>
      </c>
      <c r="AX744" s="89">
        <v>0.09</v>
      </c>
      <c r="AY744" s="89">
        <v>1</v>
      </c>
      <c r="AZ744" s="148" t="s">
        <v>2221</v>
      </c>
      <c r="BA744" s="148">
        <v>2007</v>
      </c>
      <c r="BB744" s="148">
        <v>2008</v>
      </c>
      <c r="BC744" s="148" t="s">
        <v>62</v>
      </c>
      <c r="BD744" s="148"/>
      <c r="BE744" s="148" t="s">
        <v>2222</v>
      </c>
      <c r="BF744" s="148" t="s">
        <v>39</v>
      </c>
      <c r="BG744" s="148" t="s">
        <v>1233</v>
      </c>
      <c r="BH744" s="148" t="s">
        <v>2223</v>
      </c>
      <c r="BI744" s="148" t="s">
        <v>29</v>
      </c>
      <c r="BJ744" s="149" t="s">
        <v>22</v>
      </c>
      <c r="BK744" s="150">
        <v>111000</v>
      </c>
      <c r="BL744" s="148"/>
      <c r="BM744" s="148"/>
      <c r="BN744" s="148"/>
      <c r="BO744" s="148"/>
      <c r="BP744" s="148"/>
      <c r="BQ744" s="148"/>
      <c r="BR744" s="148"/>
      <c r="BS744" s="148"/>
      <c r="BT744" s="148"/>
      <c r="BU744" s="148"/>
      <c r="BV744" s="148"/>
      <c r="BW744" s="3"/>
      <c r="BX744" s="3"/>
      <c r="BY744" s="3"/>
      <c r="BZ744" s="3"/>
      <c r="CA744" s="3"/>
      <c r="CB744" s="3"/>
      <c r="CC744" s="3"/>
      <c r="CD744" s="3"/>
      <c r="CE744" s="3"/>
      <c r="CF744" s="3"/>
      <c r="CG744" s="3"/>
      <c r="CH744" s="3"/>
      <c r="CI744" s="3"/>
      <c r="CJ744" s="3"/>
      <c r="CK744" s="3"/>
      <c r="CL744" s="3"/>
      <c r="CM744" s="3"/>
      <c r="CN744" s="3"/>
      <c r="CO744" s="3"/>
      <c r="CP744" s="3"/>
      <c r="CQ744" s="3"/>
      <c r="CR744" s="3"/>
      <c r="CS744" s="3"/>
      <c r="CT744" s="3"/>
      <c r="CU744" s="3"/>
      <c r="CV744" s="3"/>
      <c r="CW744" s="3"/>
      <c r="CX744" s="3"/>
      <c r="CY744" s="3"/>
      <c r="CZ744" s="3"/>
      <c r="DA744" s="3"/>
      <c r="DB744" s="3"/>
      <c r="DC744" s="3"/>
      <c r="DD744" s="3"/>
      <c r="DE744" s="3"/>
      <c r="DF744" s="3"/>
      <c r="DG744" s="3"/>
      <c r="DH744" s="3"/>
      <c r="DI744" s="3"/>
      <c r="DJ744" s="3"/>
      <c r="DK744" s="3"/>
      <c r="DL744" s="3"/>
      <c r="DM744" s="3"/>
      <c r="DN744" s="3"/>
      <c r="DO744" s="3"/>
      <c r="DP744" s="3"/>
      <c r="DQ744" s="3"/>
      <c r="DR744" s="3"/>
      <c r="DS744" s="3"/>
      <c r="DT744" s="3"/>
      <c r="DU744" s="3"/>
      <c r="DV744" s="3"/>
      <c r="DW744" s="3"/>
      <c r="DX744" s="3"/>
      <c r="DY744" s="3"/>
      <c r="DZ744" s="3"/>
      <c r="EA744" s="3"/>
      <c r="EB744" s="3"/>
      <c r="EC744" s="3"/>
      <c r="ED744" s="3"/>
      <c r="EE744" s="2"/>
      <c r="EF744" s="148"/>
      <c r="EG744" s="148"/>
      <c r="EH744" s="148"/>
      <c r="EI744" s="148"/>
      <c r="EJ744" s="148"/>
      <c r="EK744" s="148"/>
      <c r="EL744" s="148"/>
      <c r="EM744" s="3"/>
      <c r="EN744" s="3"/>
      <c r="EO744" s="3"/>
      <c r="EP744" s="3"/>
      <c r="EQ744" s="3"/>
      <c r="ER744" s="3"/>
      <c r="ES744" s="3"/>
      <c r="ET744" s="3"/>
      <c r="EU744" s="3"/>
      <c r="EV744" s="3"/>
      <c r="EW744" s="3"/>
      <c r="EX744" s="3"/>
      <c r="EY744" s="3"/>
      <c r="EZ744" s="3"/>
      <c r="FA744" s="3"/>
      <c r="FB744" s="3"/>
      <c r="FC744" s="3"/>
      <c r="FD744" s="3"/>
      <c r="FE744" s="3"/>
      <c r="FF744" s="3"/>
      <c r="FG744" s="3"/>
      <c r="FH744" s="3"/>
      <c r="FI744" s="3"/>
      <c r="FJ744" s="3"/>
      <c r="FK744" s="3"/>
      <c r="FL744" s="3"/>
      <c r="FM744" s="3"/>
      <c r="FN744" s="3"/>
      <c r="FO744" s="3"/>
      <c r="FP744" s="3"/>
      <c r="FQ744" s="3"/>
      <c r="FR744" s="3"/>
      <c r="FS744" s="3"/>
      <c r="FT744" s="3"/>
      <c r="FU744" s="3"/>
      <c r="FV744" s="3"/>
      <c r="FW744" s="3"/>
      <c r="FX744" s="3"/>
      <c r="FY744" s="3"/>
      <c r="FZ744" s="3"/>
      <c r="GA744" s="3"/>
      <c r="GB744" s="3"/>
      <c r="GC744" s="3"/>
      <c r="GD744" s="3"/>
      <c r="GE744" s="3"/>
      <c r="GF744" s="3"/>
      <c r="GG744" s="3"/>
      <c r="GH744" s="3"/>
      <c r="GI744" s="3"/>
      <c r="GJ744" s="3"/>
      <c r="GK744" s="3"/>
      <c r="GL744" s="3"/>
      <c r="GM744" s="3"/>
      <c r="GN744" s="3"/>
      <c r="GO744" s="3"/>
      <c r="GP744" s="3"/>
      <c r="GQ744" s="3"/>
      <c r="GR744" s="3"/>
      <c r="GS744" s="3"/>
      <c r="GT744" s="3"/>
      <c r="GU744" s="3"/>
      <c r="GV744" s="3"/>
      <c r="GW744" s="3"/>
      <c r="GX744" s="3"/>
      <c r="GY744" s="3"/>
      <c r="GZ744" s="3"/>
      <c r="HA744" s="3"/>
      <c r="HB744" s="3"/>
      <c r="HC744" s="3"/>
      <c r="HD744" s="3"/>
      <c r="HE744" s="3"/>
      <c r="HF744" s="3"/>
      <c r="HG744" s="3"/>
      <c r="HH744" s="3"/>
      <c r="HI744" s="3"/>
      <c r="HJ744" s="3"/>
      <c r="HK744" s="3"/>
      <c r="HL744" s="148"/>
      <c r="HM744" s="148"/>
      <c r="HN744" s="148"/>
      <c r="HO744" s="148"/>
      <c r="HP744" s="148"/>
      <c r="HQ744" s="148"/>
      <c r="HR744" s="148"/>
      <c r="HS744" s="148"/>
      <c r="HT744" s="149"/>
      <c r="HU744" s="148"/>
      <c r="HV744" s="148"/>
      <c r="HW744" s="148"/>
      <c r="HX744" s="148"/>
      <c r="HY744" s="151"/>
      <c r="HZ744" s="148"/>
      <c r="IA744" s="148"/>
      <c r="IB744" s="148"/>
      <c r="IC744" s="148"/>
      <c r="ID744" s="148"/>
      <c r="IE744" s="148"/>
      <c r="IF744" s="148"/>
      <c r="IG744" s="148"/>
      <c r="IH744" s="148"/>
      <c r="II744" s="148" t="s">
        <v>2224</v>
      </c>
      <c r="IJ744" s="152" t="s">
        <v>19</v>
      </c>
      <c r="IK744" s="152"/>
      <c r="IL744" s="153"/>
      <c r="IM744" s="148"/>
      <c r="IN744" s="148"/>
      <c r="IO744" s="148"/>
      <c r="IR744" s="148"/>
      <c r="IS744" s="148"/>
      <c r="IT744" s="148"/>
      <c r="IU744" s="148"/>
      <c r="IV744" s="148"/>
      <c r="IW744" s="148"/>
      <c r="IX744" s="148"/>
      <c r="IY744" s="148"/>
      <c r="IZ744" s="148"/>
      <c r="JA744" s="89"/>
      <c r="JB744" s="89"/>
      <c r="JC744" s="89"/>
      <c r="JD744" s="89"/>
      <c r="JE744" s="89"/>
      <c r="JF744" s="89"/>
      <c r="JG744" s="89"/>
      <c r="JH744" s="89"/>
      <c r="JI744" s="89"/>
      <c r="JJ744" s="89"/>
      <c r="JK744" s="89"/>
      <c r="JL744" s="89"/>
      <c r="JM744" s="154" t="s">
        <v>14</v>
      </c>
      <c r="JN744" s="155" t="s">
        <v>1664</v>
      </c>
      <c r="JO744" s="149"/>
      <c r="JS744" s="148"/>
      <c r="JT744" s="148"/>
      <c r="JU744" s="148"/>
      <c r="JV744" s="148"/>
      <c r="JW744" s="148"/>
      <c r="JX744" s="148"/>
      <c r="JY744" s="148"/>
      <c r="JZ744" s="156"/>
      <c r="KA744" s="156"/>
      <c r="KB744" s="149"/>
      <c r="KC744" s="148"/>
      <c r="KD744" s="149"/>
      <c r="KE744" s="148"/>
      <c r="KF744" s="148"/>
      <c r="KG744" s="148"/>
      <c r="KH744" s="149"/>
      <c r="KI744" s="149"/>
      <c r="KJ744" s="152"/>
      <c r="KK744" s="157"/>
      <c r="KL744" s="148"/>
      <c r="KM744" s="148"/>
      <c r="KN744" s="148"/>
      <c r="KO744" s="148"/>
      <c r="KP744" s="149"/>
      <c r="KQ744" s="148"/>
      <c r="KR744" s="152"/>
      <c r="KS744" s="157"/>
      <c r="KT744" s="148"/>
      <c r="KU744" s="148"/>
      <c r="KV744" s="158"/>
      <c r="KW744" s="157"/>
      <c r="KX744" s="148"/>
      <c r="KY744" s="148"/>
      <c r="KZ744" s="148"/>
      <c r="LA744" s="3"/>
      <c r="LB744" s="3"/>
      <c r="LC744" s="3"/>
      <c r="LD744" s="3"/>
      <c r="LE744" s="3"/>
      <c r="LF744" s="3"/>
      <c r="LG744" s="3"/>
      <c r="LH744" s="3"/>
      <c r="LI744" s="149"/>
      <c r="LJ744" s="149"/>
      <c r="LK744" s="149"/>
      <c r="LL744" s="149"/>
      <c r="LM744" s="149"/>
      <c r="LN744" s="149"/>
      <c r="LO744" s="149"/>
      <c r="LP744" s="149"/>
      <c r="LQ744" s="149"/>
      <c r="LR744" s="148"/>
      <c r="LS744" s="148"/>
      <c r="LT744" s="148"/>
      <c r="LU744" s="148"/>
      <c r="LV744" s="148"/>
      <c r="LW744" s="148"/>
      <c r="LX744" s="148"/>
      <c r="LY744" s="148"/>
      <c r="LZ744" s="148"/>
      <c r="MA744" s="89"/>
      <c r="MB744" s="89"/>
      <c r="MC744" s="89"/>
      <c r="MD744" s="89"/>
      <c r="ME744" s="89"/>
      <c r="MF744" s="159"/>
      <c r="MG744" s="159"/>
      <c r="MH744" s="159"/>
      <c r="MI744" s="2"/>
      <c r="MJ744" s="148"/>
      <c r="MK744" s="148"/>
      <c r="ML744" s="148"/>
      <c r="MM744" s="89"/>
      <c r="MN744" s="89"/>
      <c r="MO744" s="89"/>
      <c r="MP744" s="89"/>
      <c r="MQ744" s="89"/>
      <c r="MR744" s="89"/>
      <c r="MS744" s="89"/>
      <c r="MT744" s="89"/>
      <c r="MU744" s="148"/>
      <c r="MV744" s="148"/>
      <c r="MW744" s="148"/>
      <c r="MX744" s="148"/>
      <c r="MY744" s="148"/>
      <c r="MZ744" s="148" t="s">
        <v>2225</v>
      </c>
      <c r="NA744" s="89">
        <v>64</v>
      </c>
      <c r="NB744" s="159"/>
      <c r="NC744" s="159"/>
      <c r="ND744" s="159"/>
      <c r="NE744" s="159"/>
      <c r="NF744" s="159"/>
      <c r="NG744" s="159"/>
      <c r="NH744" s="159"/>
      <c r="NI744" s="159"/>
      <c r="NJ744" s="148" t="s">
        <v>2232</v>
      </c>
      <c r="NK744" s="148" t="s">
        <v>2233</v>
      </c>
      <c r="NL744" s="148" t="s">
        <v>2234</v>
      </c>
      <c r="NM744" s="148" t="s">
        <v>1416</v>
      </c>
      <c r="NN744" s="160" t="s">
        <v>265</v>
      </c>
      <c r="NO744" s="148"/>
      <c r="NP744" s="148"/>
      <c r="NQ744" s="148"/>
      <c r="NR744" s="148"/>
      <c r="NS744" s="148"/>
      <c r="NT744" s="148"/>
      <c r="NU744" s="148"/>
      <c r="NV744" s="148" t="s">
        <v>64</v>
      </c>
      <c r="NW744" s="161" t="s">
        <v>6</v>
      </c>
      <c r="NX744" s="161">
        <v>713.8</v>
      </c>
      <c r="NY744" s="161" t="s">
        <v>4</v>
      </c>
      <c r="NZ744" s="161">
        <v>3.1</v>
      </c>
      <c r="OA744" s="162"/>
      <c r="OB744" s="148"/>
      <c r="OC744" s="148">
        <v>4</v>
      </c>
      <c r="OD744" s="148"/>
      <c r="OE744" s="148"/>
      <c r="OF744" s="148"/>
      <c r="OG744" s="148"/>
      <c r="OH744" s="148"/>
      <c r="OI744" s="148"/>
      <c r="OJ744" s="148"/>
      <c r="OK744" s="148"/>
      <c r="OL744" s="148"/>
      <c r="OM744" s="148"/>
      <c r="ON744" s="148"/>
      <c r="OO744" s="148"/>
      <c r="OP744" s="148"/>
      <c r="OQ744" s="148"/>
      <c r="OR744" s="148"/>
      <c r="OS744" s="148"/>
      <c r="OT744" s="148" t="s">
        <v>2229</v>
      </c>
      <c r="OU744" s="148"/>
      <c r="OV744" s="148">
        <v>2007</v>
      </c>
      <c r="OW744" s="148"/>
      <c r="OX744" s="148"/>
      <c r="OY744" s="148" t="s">
        <v>62</v>
      </c>
      <c r="OZ744" s="148"/>
      <c r="PA744" t="s">
        <v>1169</v>
      </c>
      <c r="PB744" s="58">
        <v>46134</v>
      </c>
    </row>
    <row r="745" spans="1:418" ht="15.75" thickBot="1">
      <c r="A745" t="s">
        <v>248</v>
      </c>
      <c r="B745" t="s">
        <v>2219</v>
      </c>
      <c r="C745" s="89" t="s">
        <v>34</v>
      </c>
      <c r="D745" s="147" t="s">
        <v>1936</v>
      </c>
      <c r="E745" s="89" t="s">
        <v>1658</v>
      </c>
      <c r="F745" t="s">
        <v>31</v>
      </c>
      <c r="G745" s="89" t="s">
        <v>2</v>
      </c>
      <c r="H745" s="147" t="s">
        <v>30</v>
      </c>
      <c r="I745">
        <v>-0.41666666699999999</v>
      </c>
      <c r="J745">
        <v>34.200000000000003</v>
      </c>
      <c r="K745" s="147" t="s">
        <v>29</v>
      </c>
      <c r="L745" s="2"/>
      <c r="M745" s="99"/>
      <c r="N745" s="2"/>
      <c r="O745" s="89"/>
      <c r="P745" s="2"/>
      <c r="Q745" s="2"/>
      <c r="R745" s="89"/>
      <c r="S745" s="89"/>
      <c r="T745" s="89"/>
      <c r="U745" s="3"/>
      <c r="V745" s="3"/>
      <c r="W745" s="3"/>
      <c r="X745" s="3"/>
      <c r="Y745" s="3"/>
      <c r="Z745" s="3"/>
      <c r="AA745" s="3"/>
      <c r="AB745" s="3"/>
      <c r="AC745" s="3"/>
      <c r="AD745" s="3"/>
      <c r="AE745" s="3"/>
      <c r="AF745" s="3"/>
      <c r="AG745" s="3"/>
      <c r="AH745" s="3"/>
      <c r="AI745" s="3"/>
      <c r="AJ745" s="3"/>
      <c r="AK745" s="3"/>
      <c r="AL745" s="3"/>
      <c r="AM745" s="3"/>
      <c r="AN745" s="3"/>
      <c r="AO745" s="3"/>
      <c r="AP745" s="3"/>
      <c r="AQ745" s="3"/>
      <c r="AR745" s="3"/>
      <c r="AS745" s="3"/>
      <c r="AT745" s="3"/>
      <c r="AU745" s="3"/>
      <c r="AV745" s="89" t="s">
        <v>2220</v>
      </c>
      <c r="AW745" s="89">
        <v>64</v>
      </c>
      <c r="AX745" s="89">
        <v>0.09</v>
      </c>
      <c r="AY745" s="89">
        <v>1</v>
      </c>
      <c r="AZ745" s="148" t="s">
        <v>2221</v>
      </c>
      <c r="BA745" s="148">
        <v>2007</v>
      </c>
      <c r="BB745" s="148">
        <v>2008</v>
      </c>
      <c r="BC745" s="148" t="s">
        <v>62</v>
      </c>
      <c r="BD745" s="2"/>
      <c r="BE745" s="2" t="s">
        <v>2230</v>
      </c>
      <c r="BF745" s="2" t="s">
        <v>64</v>
      </c>
      <c r="BG745" s="148" t="s">
        <v>1233</v>
      </c>
      <c r="BH745" s="2" t="s">
        <v>2223</v>
      </c>
      <c r="BI745" s="148" t="s">
        <v>29</v>
      </c>
      <c r="BJ745" s="149" t="s">
        <v>22</v>
      </c>
      <c r="BK745" s="150">
        <v>55500</v>
      </c>
      <c r="BL745" s="2" t="s">
        <v>56</v>
      </c>
      <c r="BM745" t="s">
        <v>2231</v>
      </c>
      <c r="BN745" s="148" t="s">
        <v>29</v>
      </c>
      <c r="BO745" s="2" t="s">
        <v>22</v>
      </c>
      <c r="BP745" s="2">
        <v>55000</v>
      </c>
      <c r="BQ745" s="2"/>
      <c r="BR745" s="2"/>
      <c r="BS745" s="2"/>
      <c r="BT745" s="2"/>
      <c r="BU745" s="2"/>
      <c r="BV745" s="2"/>
      <c r="BW745" s="3"/>
      <c r="BX745" s="3"/>
      <c r="BY745" s="3"/>
      <c r="BZ745" s="3"/>
      <c r="CA745" s="3"/>
      <c r="CB745" s="3"/>
      <c r="CC745" s="3"/>
      <c r="CD745" s="3"/>
      <c r="CE745" s="3"/>
      <c r="CF745" s="3"/>
      <c r="CG745" s="3"/>
      <c r="CH745" s="3"/>
      <c r="CI745" s="3"/>
      <c r="CJ745" s="3"/>
      <c r="CK745" s="3"/>
      <c r="CL745" s="3"/>
      <c r="CM745" s="3"/>
      <c r="CN745" s="3"/>
      <c r="CO745" s="3"/>
      <c r="CP745" s="3"/>
      <c r="CQ745" s="3"/>
      <c r="CR745" s="3"/>
      <c r="CS745" s="3"/>
      <c r="CT745" s="3"/>
      <c r="CU745" s="3"/>
      <c r="CV745" s="3"/>
      <c r="CW745" s="3"/>
      <c r="CX745" s="3"/>
      <c r="CY745" s="3"/>
      <c r="CZ745" s="3"/>
      <c r="DA745" s="3"/>
      <c r="DB745" s="3"/>
      <c r="DC745" s="3"/>
      <c r="DD745" s="3"/>
      <c r="DE745" s="3"/>
      <c r="DF745" s="3"/>
      <c r="DG745" s="3"/>
      <c r="DH745" s="3"/>
      <c r="DI745" s="3"/>
      <c r="DJ745" s="3"/>
      <c r="DK745" s="3"/>
      <c r="DL745" s="3"/>
      <c r="DM745" s="3"/>
      <c r="DN745" s="3"/>
      <c r="DO745" s="3"/>
      <c r="DP745" s="3"/>
      <c r="DQ745" s="3"/>
      <c r="DR745" s="3"/>
      <c r="DS745" s="3"/>
      <c r="DT745" s="3"/>
      <c r="DU745" s="3"/>
      <c r="DV745" s="3"/>
      <c r="DW745" s="3"/>
      <c r="DX745" s="3"/>
      <c r="DY745" s="3"/>
      <c r="DZ745" s="3"/>
      <c r="EA745" s="3"/>
      <c r="EB745" s="3"/>
      <c r="EC745" s="3"/>
      <c r="ED745" s="3"/>
      <c r="EE745" s="2"/>
      <c r="EF745" s="2"/>
      <c r="EG745" s="2"/>
      <c r="EH745" s="2"/>
      <c r="EI745" s="2"/>
      <c r="EJ745" s="2"/>
      <c r="EK745" s="2"/>
      <c r="EL745" s="2"/>
      <c r="EM745" s="3"/>
      <c r="EN745" s="3"/>
      <c r="EO745" s="3"/>
      <c r="EP745" s="3"/>
      <c r="EQ745" s="3"/>
      <c r="ER745" s="3"/>
      <c r="ES745" s="3"/>
      <c r="ET745" s="3"/>
      <c r="EU745" s="3"/>
      <c r="EV745" s="3"/>
      <c r="EW745" s="3"/>
      <c r="EX745" s="3"/>
      <c r="EY745" s="3"/>
      <c r="EZ745" s="3"/>
      <c r="FA745" s="3"/>
      <c r="FB745" s="3"/>
      <c r="FC745" s="3"/>
      <c r="FD745" s="3"/>
      <c r="FE745" s="3"/>
      <c r="FF745" s="3"/>
      <c r="FG745" s="3"/>
      <c r="FH745" s="3"/>
      <c r="FI745" s="3"/>
      <c r="FJ745" s="3"/>
      <c r="FK745" s="3"/>
      <c r="FL745" s="3"/>
      <c r="FM745" s="3"/>
      <c r="FN745" s="3"/>
      <c r="FO745" s="3"/>
      <c r="FP745" s="3"/>
      <c r="FQ745" s="3"/>
      <c r="FR745" s="3"/>
      <c r="FS745" s="3"/>
      <c r="FT745" s="3"/>
      <c r="FU745" s="3"/>
      <c r="FV745" s="3"/>
      <c r="FW745" s="3"/>
      <c r="FX745" s="3"/>
      <c r="FY745" s="3"/>
      <c r="FZ745" s="3"/>
      <c r="GA745" s="3"/>
      <c r="GB745" s="3"/>
      <c r="GC745" s="3"/>
      <c r="GD745" s="3"/>
      <c r="GE745" s="3"/>
      <c r="GF745" s="3"/>
      <c r="GG745" s="3"/>
      <c r="GH745" s="3"/>
      <c r="GI745" s="3"/>
      <c r="GJ745" s="3"/>
      <c r="GK745" s="3"/>
      <c r="GL745" s="3"/>
      <c r="GM745" s="3"/>
      <c r="GN745" s="3"/>
      <c r="GO745" s="3"/>
      <c r="GP745" s="3"/>
      <c r="GQ745" s="3"/>
      <c r="GR745" s="3"/>
      <c r="GS745" s="3"/>
      <c r="GT745" s="3"/>
      <c r="GU745" s="3"/>
      <c r="GV745" s="3"/>
      <c r="GW745" s="3"/>
      <c r="GX745" s="3"/>
      <c r="GY745" s="3"/>
      <c r="GZ745" s="3"/>
      <c r="HA745" s="3"/>
      <c r="HB745" s="3"/>
      <c r="HC745" s="3"/>
      <c r="HD745" s="3"/>
      <c r="HE745" s="3"/>
      <c r="HF745" s="3"/>
      <c r="HG745" s="3"/>
      <c r="HH745" s="3"/>
      <c r="HI745" s="3"/>
      <c r="HJ745" s="3"/>
      <c r="HK745" s="3"/>
      <c r="HL745" s="2"/>
      <c r="HM745" s="2"/>
      <c r="HN745" s="2"/>
      <c r="HO745" s="2"/>
      <c r="HP745" s="2"/>
      <c r="HQ745" s="2"/>
      <c r="HR745" s="2"/>
      <c r="HS745" s="2"/>
      <c r="HT745" s="99"/>
      <c r="HU745" s="2"/>
      <c r="HV745" s="2"/>
      <c r="HW745" s="2"/>
      <c r="HX745" s="2"/>
      <c r="HY745" s="2"/>
      <c r="HZ745" s="2"/>
      <c r="IA745" s="2"/>
      <c r="IB745" s="2"/>
      <c r="IC745" s="2"/>
      <c r="ID745" s="2"/>
      <c r="IE745" s="2"/>
      <c r="IF745" s="2"/>
      <c r="IG745" s="2"/>
      <c r="IH745" s="2"/>
      <c r="II745" s="148" t="s">
        <v>2224</v>
      </c>
      <c r="IJ745" s="163" t="s">
        <v>1443</v>
      </c>
      <c r="IK745" s="164" t="s">
        <v>1466</v>
      </c>
      <c r="IL745" s="165" t="s">
        <v>661</v>
      </c>
      <c r="IM745" s="2">
        <v>2007</v>
      </c>
      <c r="IN745" s="2" t="s">
        <v>62</v>
      </c>
      <c r="IO745" s="2" t="s">
        <v>29</v>
      </c>
      <c r="IR745" s="2"/>
      <c r="IS745" s="2"/>
      <c r="IT745" s="2"/>
      <c r="IU745" s="2"/>
      <c r="IV745" s="2"/>
      <c r="IW745" s="2"/>
      <c r="IX745" s="2"/>
      <c r="IY745" s="2"/>
      <c r="IZ745" s="2"/>
      <c r="JA745" s="2"/>
      <c r="JB745" s="2"/>
      <c r="JC745" s="2"/>
      <c r="JD745" s="2"/>
      <c r="JE745" s="2"/>
      <c r="JF745" s="2"/>
      <c r="JG745" s="2"/>
      <c r="JH745" s="2"/>
      <c r="JI745" s="2"/>
      <c r="JJ745" s="2"/>
      <c r="JK745" s="2"/>
      <c r="JL745" s="2"/>
      <c r="JM745" s="154" t="s">
        <v>14</v>
      </c>
      <c r="JN745" s="155" t="s">
        <v>1664</v>
      </c>
      <c r="JO745" s="99"/>
      <c r="JS745" s="2"/>
      <c r="JT745" s="2"/>
      <c r="JU745" s="2"/>
      <c r="JV745" s="2"/>
      <c r="JW745" s="2"/>
      <c r="JX745" s="2"/>
      <c r="JY745" s="2"/>
      <c r="JZ745" s="156"/>
      <c r="KA745" s="166"/>
      <c r="KB745" s="99"/>
      <c r="KC745" s="2"/>
      <c r="KD745" s="99"/>
      <c r="KE745" s="2"/>
      <c r="KF745" s="2"/>
      <c r="KG745" s="2"/>
      <c r="KH745" s="99"/>
      <c r="KI745" s="2"/>
      <c r="KJ745" s="163"/>
      <c r="KK745" s="167"/>
      <c r="KL745" s="2"/>
      <c r="KM745" s="2"/>
      <c r="KN745" s="2"/>
      <c r="KO745" s="2"/>
      <c r="KP745" s="99"/>
      <c r="KQ745" s="2"/>
      <c r="KR745" s="163"/>
      <c r="KS745" s="167"/>
      <c r="KT745" s="2"/>
      <c r="KU745" s="2"/>
      <c r="KV745" s="158"/>
      <c r="KW745" s="167"/>
      <c r="KX745" s="2"/>
      <c r="KY745" s="2"/>
      <c r="KZ745" s="2"/>
      <c r="LA745" s="69"/>
      <c r="LB745" s="218"/>
      <c r="LC745" s="218"/>
      <c r="LD745" s="3"/>
      <c r="LE745" s="3"/>
      <c r="LF745" s="3"/>
      <c r="LG745" s="3"/>
      <c r="LH745" s="3"/>
      <c r="LI745" s="99"/>
      <c r="LJ745" s="99"/>
      <c r="LK745" s="99"/>
      <c r="LL745" s="99"/>
      <c r="LM745" s="99"/>
      <c r="LN745" s="2"/>
      <c r="LO745" s="99"/>
      <c r="LP745" s="99"/>
      <c r="LQ745" s="99"/>
      <c r="LR745" s="2"/>
      <c r="LS745" s="2"/>
      <c r="LT745" s="2"/>
      <c r="LU745" s="2"/>
      <c r="LV745" s="2"/>
      <c r="LW745" s="2"/>
      <c r="LX745" s="2"/>
      <c r="LY745" s="2"/>
      <c r="LZ745" s="2"/>
      <c r="MA745" s="2"/>
      <c r="MB745" s="2"/>
      <c r="MC745" s="2"/>
      <c r="MD745" s="2"/>
      <c r="ME745" s="2"/>
      <c r="MF745" s="2"/>
      <c r="MG745" s="2"/>
      <c r="MH745" s="2"/>
      <c r="MJ745" s="2"/>
      <c r="MK745" s="2"/>
      <c r="ML745" s="2"/>
      <c r="MM745" s="2"/>
      <c r="MN745" s="2"/>
      <c r="MO745" s="2"/>
      <c r="MP745" s="2"/>
      <c r="MQ745" s="2"/>
      <c r="MR745" s="2"/>
      <c r="MS745" s="2"/>
      <c r="MT745" s="2"/>
      <c r="MU745" s="2"/>
      <c r="MV745" s="2"/>
      <c r="MW745" s="2"/>
      <c r="MX745" s="2"/>
      <c r="MY745" s="2"/>
      <c r="MZ745" s="148" t="s">
        <v>2225</v>
      </c>
      <c r="NA745" s="89">
        <v>64</v>
      </c>
      <c r="NB745" s="159"/>
      <c r="NC745" s="159"/>
      <c r="ND745" s="159"/>
      <c r="NE745" s="159"/>
      <c r="NF745" s="159"/>
      <c r="NG745" s="159"/>
      <c r="NH745" s="159"/>
      <c r="NI745" s="159"/>
      <c r="NJ745" s="148" t="s">
        <v>2232</v>
      </c>
      <c r="NK745" s="148" t="s">
        <v>2233</v>
      </c>
      <c r="NL745" s="148" t="s">
        <v>2234</v>
      </c>
      <c r="NM745" s="148" t="s">
        <v>1416</v>
      </c>
      <c r="NN745" s="160" t="s">
        <v>265</v>
      </c>
      <c r="NO745" s="148"/>
      <c r="NP745" s="148"/>
      <c r="NQ745" s="148"/>
      <c r="NR745" s="148"/>
      <c r="NS745" s="148"/>
      <c r="NT745" s="148"/>
      <c r="NU745" s="148"/>
      <c r="NV745" s="148"/>
      <c r="NW745" s="161" t="s">
        <v>6</v>
      </c>
      <c r="NX745" s="168">
        <v>866.8</v>
      </c>
      <c r="NY745" s="161" t="s">
        <v>4</v>
      </c>
      <c r="NZ745" s="168">
        <v>4.4000000000000004</v>
      </c>
      <c r="OA745" s="169"/>
      <c r="OB745" s="2"/>
      <c r="OC745" s="148">
        <v>4</v>
      </c>
      <c r="OD745" s="2"/>
      <c r="OE745" s="2"/>
      <c r="OF745" s="2"/>
      <c r="OG745" s="2"/>
      <c r="OH745" s="2"/>
      <c r="OI745" s="2"/>
      <c r="OJ745" s="2"/>
      <c r="OK745" s="2"/>
      <c r="OL745" s="2"/>
      <c r="OM745" s="2"/>
      <c r="OT745" s="148" t="s">
        <v>2229</v>
      </c>
      <c r="OU745" s="2"/>
      <c r="OV745" s="148">
        <v>2007</v>
      </c>
      <c r="OW745" s="148"/>
      <c r="OX745" s="148"/>
      <c r="OY745" s="148" t="s">
        <v>62</v>
      </c>
      <c r="OZ745" s="2"/>
      <c r="PA745" t="s">
        <v>1169</v>
      </c>
      <c r="PB745" s="58">
        <v>46134</v>
      </c>
    </row>
    <row r="746" spans="1:418" ht="15.75" thickBot="1">
      <c r="A746" t="s">
        <v>248</v>
      </c>
      <c r="B746" t="s">
        <v>2219</v>
      </c>
      <c r="C746" s="89" t="s">
        <v>34</v>
      </c>
      <c r="D746" s="147" t="s">
        <v>1936</v>
      </c>
      <c r="E746" s="89" t="s">
        <v>1658</v>
      </c>
      <c r="F746" t="s">
        <v>31</v>
      </c>
      <c r="G746" s="89" t="s">
        <v>2</v>
      </c>
      <c r="H746" s="147" t="s">
        <v>30</v>
      </c>
      <c r="I746">
        <v>-0.41666666699999999</v>
      </c>
      <c r="J746">
        <v>34.200000000000003</v>
      </c>
      <c r="K746" s="147" t="s">
        <v>29</v>
      </c>
      <c r="L746" s="89"/>
      <c r="M746" s="147"/>
      <c r="N746" s="89"/>
      <c r="O746" s="89"/>
      <c r="P746" s="89"/>
      <c r="Q746" s="89"/>
      <c r="R746" s="89"/>
      <c r="S746" s="89"/>
      <c r="T746" s="89"/>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c r="AV746" s="89" t="s">
        <v>2220</v>
      </c>
      <c r="AW746" s="89">
        <v>64</v>
      </c>
      <c r="AX746" s="89">
        <v>0.09</v>
      </c>
      <c r="AY746" s="89">
        <v>1</v>
      </c>
      <c r="AZ746" s="148" t="s">
        <v>2221</v>
      </c>
      <c r="BA746" s="148">
        <v>2007</v>
      </c>
      <c r="BB746" s="148">
        <v>2008</v>
      </c>
      <c r="BC746" s="148" t="s">
        <v>1</v>
      </c>
      <c r="BD746" s="89"/>
      <c r="BE746" s="148" t="s">
        <v>2222</v>
      </c>
      <c r="BF746" s="148" t="s">
        <v>39</v>
      </c>
      <c r="BG746" s="148" t="s">
        <v>1233</v>
      </c>
      <c r="BH746" s="148" t="s">
        <v>2223</v>
      </c>
      <c r="BI746" s="148" t="s">
        <v>29</v>
      </c>
      <c r="BJ746" s="149" t="s">
        <v>22</v>
      </c>
      <c r="BK746" s="150">
        <v>111000</v>
      </c>
      <c r="BL746" s="89"/>
      <c r="BM746" s="89"/>
      <c r="BN746" s="89"/>
      <c r="BO746" s="147"/>
      <c r="BP746" s="170"/>
      <c r="BQ746" s="89"/>
      <c r="BR746" s="89"/>
      <c r="BS746" s="89"/>
      <c r="BT746" s="89"/>
      <c r="BU746" s="89"/>
      <c r="BV746" s="89"/>
      <c r="BW746" s="3"/>
      <c r="BX746" s="3"/>
      <c r="BY746" s="3"/>
      <c r="BZ746" s="3"/>
      <c r="CA746" s="3"/>
      <c r="CB746" s="3"/>
      <c r="CC746" s="3"/>
      <c r="CD746" s="3"/>
      <c r="CE746" s="3"/>
      <c r="CF746" s="3"/>
      <c r="CG746" s="3"/>
      <c r="CH746" s="3"/>
      <c r="CI746" s="3"/>
      <c r="CJ746" s="3"/>
      <c r="CK746" s="3"/>
      <c r="CL746" s="3"/>
      <c r="CM746" s="3"/>
      <c r="CN746" s="3"/>
      <c r="CO746" s="3"/>
      <c r="CP746" s="3"/>
      <c r="CQ746" s="3"/>
      <c r="CR746" s="3"/>
      <c r="CS746" s="3"/>
      <c r="CT746" s="3"/>
      <c r="CU746" s="3"/>
      <c r="CV746" s="3"/>
      <c r="CW746" s="3"/>
      <c r="CX746" s="3"/>
      <c r="CY746" s="3"/>
      <c r="CZ746" s="3"/>
      <c r="DA746" s="3"/>
      <c r="DB746" s="3"/>
      <c r="DC746" s="3"/>
      <c r="DD746" s="3"/>
      <c r="DE746" s="3"/>
      <c r="DF746" s="3"/>
      <c r="DG746" s="3"/>
      <c r="DH746" s="3"/>
      <c r="DI746" s="3"/>
      <c r="DJ746" s="3"/>
      <c r="DK746" s="3"/>
      <c r="DL746" s="3"/>
      <c r="DM746" s="3"/>
      <c r="DN746" s="3"/>
      <c r="DO746" s="3"/>
      <c r="DP746" s="3"/>
      <c r="DQ746" s="3"/>
      <c r="DR746" s="3"/>
      <c r="DS746" s="3"/>
      <c r="DT746" s="3"/>
      <c r="DU746" s="3"/>
      <c r="DV746" s="3"/>
      <c r="DW746" s="3"/>
      <c r="DX746" s="3"/>
      <c r="DY746" s="3"/>
      <c r="DZ746" s="3"/>
      <c r="EA746" s="3"/>
      <c r="EB746" s="3"/>
      <c r="EC746" s="3"/>
      <c r="ED746" s="3"/>
      <c r="EE746" s="89"/>
      <c r="EF746" s="89"/>
      <c r="EG746" s="89"/>
      <c r="EH746" s="89"/>
      <c r="EI746" s="89"/>
      <c r="EJ746" s="89"/>
      <c r="EK746" s="89"/>
      <c r="EL746" s="89"/>
      <c r="EM746" s="3"/>
      <c r="EN746" s="3"/>
      <c r="EO746" s="3"/>
      <c r="EP746" s="3"/>
      <c r="EQ746" s="3"/>
      <c r="ER746" s="3"/>
      <c r="ES746" s="3"/>
      <c r="ET746" s="3"/>
      <c r="EU746" s="3"/>
      <c r="EV746" s="3"/>
      <c r="EW746" s="3"/>
      <c r="EX746" s="3"/>
      <c r="EY746" s="3"/>
      <c r="EZ746" s="3"/>
      <c r="FA746" s="3"/>
      <c r="FB746" s="3"/>
      <c r="FC746" s="3"/>
      <c r="FD746" s="3"/>
      <c r="FE746" s="3"/>
      <c r="FF746" s="3"/>
      <c r="FG746" s="3"/>
      <c r="FH746" s="3"/>
      <c r="FI746" s="3"/>
      <c r="FJ746" s="3"/>
      <c r="FK746" s="3"/>
      <c r="FL746" s="3"/>
      <c r="FM746" s="3"/>
      <c r="FN746" s="3"/>
      <c r="FO746" s="3"/>
      <c r="FP746" s="3"/>
      <c r="FQ746" s="3"/>
      <c r="FR746" s="3"/>
      <c r="FS746" s="3"/>
      <c r="FT746" s="3"/>
      <c r="FU746" s="3"/>
      <c r="FV746" s="3"/>
      <c r="FW746" s="3"/>
      <c r="FX746" s="3"/>
      <c r="FY746" s="3"/>
      <c r="FZ746" s="3"/>
      <c r="GA746" s="3"/>
      <c r="GB746" s="3"/>
      <c r="GC746" s="3"/>
      <c r="GD746" s="3"/>
      <c r="GE746" s="3"/>
      <c r="GF746" s="3"/>
      <c r="GG746" s="3"/>
      <c r="GH746" s="3"/>
      <c r="GI746" s="3"/>
      <c r="GJ746" s="3"/>
      <c r="GK746" s="3"/>
      <c r="GL746" s="3"/>
      <c r="GM746" s="3"/>
      <c r="GN746" s="3"/>
      <c r="GO746" s="3"/>
      <c r="GP746" s="3"/>
      <c r="GQ746" s="3"/>
      <c r="GR746" s="3"/>
      <c r="GS746" s="3"/>
      <c r="GT746" s="3"/>
      <c r="GU746" s="3"/>
      <c r="GV746" s="3"/>
      <c r="GW746" s="3"/>
      <c r="GX746" s="3"/>
      <c r="GY746" s="3"/>
      <c r="GZ746" s="3"/>
      <c r="HA746" s="3"/>
      <c r="HB746" s="3"/>
      <c r="HC746" s="3"/>
      <c r="HD746" s="3"/>
      <c r="HE746" s="3"/>
      <c r="HF746" s="3"/>
      <c r="HG746" s="3"/>
      <c r="HH746" s="3"/>
      <c r="HI746" s="3"/>
      <c r="HJ746" s="3"/>
      <c r="HK746" s="3"/>
      <c r="HL746" s="89"/>
      <c r="HM746" s="89"/>
      <c r="HN746" s="89"/>
      <c r="HO746" s="89"/>
      <c r="HP746" s="89"/>
      <c r="HQ746" s="89"/>
      <c r="HR746" s="89"/>
      <c r="HS746" s="89"/>
      <c r="HT746" s="147"/>
      <c r="HU746" s="89"/>
      <c r="HV746" s="89"/>
      <c r="HW746" s="89"/>
      <c r="HX746" s="89"/>
      <c r="HY746" s="89"/>
      <c r="HZ746" s="89"/>
      <c r="IA746" s="89"/>
      <c r="IB746" s="89"/>
      <c r="IC746" s="89"/>
      <c r="ID746" s="89"/>
      <c r="IE746" s="89"/>
      <c r="IF746" s="89"/>
      <c r="IG746" s="89"/>
      <c r="IH746" s="89"/>
      <c r="II746" s="148" t="s">
        <v>2224</v>
      </c>
      <c r="IJ746" s="152" t="s">
        <v>19</v>
      </c>
      <c r="IK746" s="171"/>
      <c r="IL746" s="172"/>
      <c r="IM746" s="89"/>
      <c r="IN746" s="89"/>
      <c r="IO746" s="147"/>
      <c r="IR746" s="89"/>
      <c r="IS746" s="89"/>
      <c r="IT746" s="89"/>
      <c r="IU746" s="89"/>
      <c r="IV746" s="89"/>
      <c r="IW746" s="89"/>
      <c r="IX746" s="89"/>
      <c r="IY746" s="89"/>
      <c r="IZ746" s="89"/>
      <c r="JA746" s="89"/>
      <c r="JB746" s="89"/>
      <c r="JC746" s="89"/>
      <c r="JD746" s="89"/>
      <c r="JE746" s="89"/>
      <c r="JF746" s="89"/>
      <c r="JG746" s="89"/>
      <c r="JH746" s="89"/>
      <c r="JI746" s="89"/>
      <c r="JJ746" s="89"/>
      <c r="JK746" s="89"/>
      <c r="JL746" s="89"/>
      <c r="JM746" s="154" t="s">
        <v>14</v>
      </c>
      <c r="JN746" s="155" t="s">
        <v>1664</v>
      </c>
      <c r="JO746" s="147"/>
      <c r="JS746" s="89"/>
      <c r="JT746" s="89"/>
      <c r="JU746" s="89"/>
      <c r="JV746" s="89"/>
      <c r="JW746" s="89"/>
      <c r="JX746" s="89"/>
      <c r="JY746" s="89"/>
      <c r="JZ746" s="156"/>
      <c r="KA746" s="154"/>
      <c r="KB746" s="147"/>
      <c r="KC746" s="89"/>
      <c r="KD746" s="147"/>
      <c r="KE746" s="89"/>
      <c r="KF746" s="89"/>
      <c r="KG746" s="89"/>
      <c r="KH746" s="147"/>
      <c r="KI746" s="89"/>
      <c r="KJ746" s="152"/>
      <c r="KK746" s="173"/>
      <c r="KL746" s="89"/>
      <c r="KM746" s="89"/>
      <c r="KN746" s="89"/>
      <c r="KO746" s="89"/>
      <c r="KP746" s="147"/>
      <c r="KQ746" s="89"/>
      <c r="KR746" s="152"/>
      <c r="KS746" s="173"/>
      <c r="KT746" s="89"/>
      <c r="KU746" s="89"/>
      <c r="KV746" s="158"/>
      <c r="KW746" s="174"/>
      <c r="KX746" s="89"/>
      <c r="KY746" s="89"/>
      <c r="KZ746" s="89"/>
      <c r="LA746" s="3"/>
      <c r="LB746" s="3"/>
      <c r="LC746" s="3"/>
      <c r="LD746" s="3"/>
      <c r="LE746" s="3"/>
      <c r="LF746" s="3"/>
      <c r="LG746" s="3"/>
      <c r="LH746" s="3"/>
      <c r="LI746" s="147"/>
      <c r="LJ746" s="147"/>
      <c r="LK746" s="147"/>
      <c r="LL746" s="147"/>
      <c r="LM746" s="147"/>
      <c r="LN746" s="89"/>
      <c r="LO746" s="147"/>
      <c r="LP746" s="147"/>
      <c r="LQ746" s="147"/>
      <c r="LR746" s="89"/>
      <c r="LS746" s="89"/>
      <c r="LT746" s="89"/>
      <c r="LU746" s="89"/>
      <c r="LV746" s="89"/>
      <c r="LW746" s="89"/>
      <c r="LX746" s="89"/>
      <c r="LY746" s="89"/>
      <c r="LZ746" s="89"/>
      <c r="MA746" s="89"/>
      <c r="MB746" s="89"/>
      <c r="MC746" s="89"/>
      <c r="MD746" s="89"/>
      <c r="ME746" s="89"/>
      <c r="MF746" s="89"/>
      <c r="MG746" s="89"/>
      <c r="MH746" s="89"/>
      <c r="MI746" s="89"/>
      <c r="MJ746" s="89"/>
      <c r="MK746" s="89"/>
      <c r="ML746" s="89"/>
      <c r="MM746" s="89"/>
      <c r="MN746" s="89"/>
      <c r="MO746" s="89"/>
      <c r="MP746" s="89"/>
      <c r="MQ746" s="89"/>
      <c r="MR746" s="89"/>
      <c r="MS746" s="89"/>
      <c r="MT746" s="89"/>
      <c r="MU746" s="89"/>
      <c r="MV746" s="89"/>
      <c r="MW746" s="89"/>
      <c r="MX746" s="89"/>
      <c r="MY746" s="89"/>
      <c r="MZ746" s="148" t="s">
        <v>2225</v>
      </c>
      <c r="NA746" s="89">
        <v>64</v>
      </c>
      <c r="NB746" s="159"/>
      <c r="NC746" s="159"/>
      <c r="ND746" s="159"/>
      <c r="NE746" s="159"/>
      <c r="NF746" s="159"/>
      <c r="NG746" s="159"/>
      <c r="NH746" s="159"/>
      <c r="NI746" s="159"/>
      <c r="NJ746" s="148" t="s">
        <v>2232</v>
      </c>
      <c r="NK746" s="148" t="s">
        <v>2233</v>
      </c>
      <c r="NL746" s="148" t="s">
        <v>2234</v>
      </c>
      <c r="NM746" s="148" t="s">
        <v>1416</v>
      </c>
      <c r="NN746" s="160" t="s">
        <v>265</v>
      </c>
      <c r="NO746" s="148"/>
      <c r="NP746" s="148"/>
      <c r="NQ746" s="148"/>
      <c r="NR746" s="148"/>
      <c r="NS746" s="148"/>
      <c r="NT746" s="148"/>
      <c r="NU746" s="148"/>
      <c r="NV746" s="148" t="s">
        <v>64</v>
      </c>
      <c r="NW746" s="161" t="s">
        <v>6</v>
      </c>
      <c r="NX746" s="97">
        <v>712.9</v>
      </c>
      <c r="NY746" s="161" t="s">
        <v>4</v>
      </c>
      <c r="NZ746" s="97">
        <v>1.5</v>
      </c>
      <c r="OA746" s="175"/>
      <c r="OB746" s="89"/>
      <c r="OC746" s="148">
        <v>4</v>
      </c>
      <c r="OD746" s="89"/>
      <c r="OE746" s="89"/>
      <c r="OF746" s="89"/>
      <c r="OG746" s="89"/>
      <c r="OH746" s="89"/>
      <c r="OI746" s="89"/>
      <c r="OJ746" s="89"/>
      <c r="OK746" s="89"/>
      <c r="OL746" s="89"/>
      <c r="OM746" s="89"/>
      <c r="ON746" s="159"/>
      <c r="OO746" s="159"/>
      <c r="OP746" s="159"/>
      <c r="OQ746" s="159"/>
      <c r="OR746" s="159"/>
      <c r="OS746" s="159"/>
      <c r="OT746" s="148" t="s">
        <v>2229</v>
      </c>
      <c r="OU746" s="89"/>
      <c r="OV746" s="89">
        <v>2007</v>
      </c>
      <c r="OW746" s="89"/>
      <c r="OX746" s="89"/>
      <c r="OY746" s="89" t="s">
        <v>1</v>
      </c>
      <c r="OZ746" s="89"/>
      <c r="PA746" t="s">
        <v>1169</v>
      </c>
      <c r="PB746" s="58">
        <v>46134</v>
      </c>
    </row>
    <row r="747" spans="1:418" ht="15.75" thickBot="1">
      <c r="A747" t="s">
        <v>248</v>
      </c>
      <c r="B747" t="s">
        <v>2219</v>
      </c>
      <c r="C747" s="89" t="s">
        <v>34</v>
      </c>
      <c r="D747" s="147" t="s">
        <v>1936</v>
      </c>
      <c r="E747" s="89" t="s">
        <v>1658</v>
      </c>
      <c r="F747" t="s">
        <v>31</v>
      </c>
      <c r="G747" s="89" t="s">
        <v>2</v>
      </c>
      <c r="H747" s="147" t="s">
        <v>30</v>
      </c>
      <c r="I747">
        <v>-0.41666666699999999</v>
      </c>
      <c r="J747">
        <v>34.200000000000003</v>
      </c>
      <c r="K747" s="147" t="s">
        <v>29</v>
      </c>
      <c r="L747" s="2"/>
      <c r="M747" s="99"/>
      <c r="N747" s="2"/>
      <c r="O747" s="89"/>
      <c r="P747" s="2"/>
      <c r="Q747" s="2"/>
      <c r="R747" s="89"/>
      <c r="S747" s="89"/>
      <c r="T747" s="89"/>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c r="AV747" s="89" t="s">
        <v>2220</v>
      </c>
      <c r="AW747" s="89">
        <v>64</v>
      </c>
      <c r="AX747" s="89">
        <v>0.09</v>
      </c>
      <c r="AY747" s="89">
        <v>1</v>
      </c>
      <c r="AZ747" s="148" t="s">
        <v>2221</v>
      </c>
      <c r="BA747" s="148">
        <v>2007</v>
      </c>
      <c r="BB747" s="148">
        <v>2008</v>
      </c>
      <c r="BC747" s="148" t="s">
        <v>1</v>
      </c>
      <c r="BD747" s="2"/>
      <c r="BE747" s="2" t="s">
        <v>2230</v>
      </c>
      <c r="BF747" s="2" t="s">
        <v>64</v>
      </c>
      <c r="BG747" s="148" t="s">
        <v>1233</v>
      </c>
      <c r="BH747" s="2" t="s">
        <v>2223</v>
      </c>
      <c r="BI747" s="148" t="s">
        <v>29</v>
      </c>
      <c r="BJ747" s="149" t="s">
        <v>22</v>
      </c>
      <c r="BK747" s="150">
        <v>55500</v>
      </c>
      <c r="BL747" s="2" t="s">
        <v>56</v>
      </c>
      <c r="BM747" t="s">
        <v>2231</v>
      </c>
      <c r="BN747" s="148" t="s">
        <v>29</v>
      </c>
      <c r="BO747" s="2" t="s">
        <v>22</v>
      </c>
      <c r="BP747" s="2">
        <v>55000</v>
      </c>
      <c r="BQ747" s="2"/>
      <c r="BR747" s="2"/>
      <c r="BS747" s="2"/>
      <c r="BT747" s="2"/>
      <c r="BU747" s="2"/>
      <c r="BV747" s="2"/>
      <c r="BW747" s="3"/>
      <c r="BX747" s="3"/>
      <c r="BY747" s="3"/>
      <c r="BZ747" s="3"/>
      <c r="CA747" s="3"/>
      <c r="CB747" s="3"/>
      <c r="CC747" s="3"/>
      <c r="CD747" s="3"/>
      <c r="CE747" s="3"/>
      <c r="CF747" s="3"/>
      <c r="CG747" s="3"/>
      <c r="CH747" s="3"/>
      <c r="CI747" s="3"/>
      <c r="CJ747" s="3"/>
      <c r="CK747" s="3"/>
      <c r="CL747" s="3"/>
      <c r="CM747" s="3"/>
      <c r="CN747" s="3"/>
      <c r="CO747" s="3"/>
      <c r="CP747" s="3"/>
      <c r="CQ747" s="3"/>
      <c r="CR747" s="3"/>
      <c r="CS747" s="3"/>
      <c r="CT747" s="3"/>
      <c r="CU747" s="3"/>
      <c r="CV747" s="3"/>
      <c r="CW747" s="3"/>
      <c r="CX747" s="3"/>
      <c r="CY747" s="3"/>
      <c r="CZ747" s="3"/>
      <c r="DA747" s="3"/>
      <c r="DB747" s="3"/>
      <c r="DC747" s="3"/>
      <c r="DD747" s="3"/>
      <c r="DE747" s="3"/>
      <c r="DF747" s="3"/>
      <c r="DG747" s="3"/>
      <c r="DH747" s="3"/>
      <c r="DI747" s="3"/>
      <c r="DJ747" s="3"/>
      <c r="DK747" s="3"/>
      <c r="DL747" s="3"/>
      <c r="DM747" s="3"/>
      <c r="DN747" s="3"/>
      <c r="DO747" s="3"/>
      <c r="DP747" s="3"/>
      <c r="DQ747" s="3"/>
      <c r="DR747" s="3"/>
      <c r="DS747" s="3"/>
      <c r="DT747" s="3"/>
      <c r="DU747" s="3"/>
      <c r="DV747" s="3"/>
      <c r="DW747" s="3"/>
      <c r="DX747" s="3"/>
      <c r="DY747" s="3"/>
      <c r="DZ747" s="3"/>
      <c r="EA747" s="3"/>
      <c r="EB747" s="3"/>
      <c r="EC747" s="3"/>
      <c r="ED747" s="3"/>
      <c r="EE747" s="2"/>
      <c r="EF747" s="2"/>
      <c r="EG747" s="2"/>
      <c r="EH747" s="2"/>
      <c r="EI747" s="2"/>
      <c r="EJ747" s="2"/>
      <c r="EK747" s="2"/>
      <c r="EL747" s="2"/>
      <c r="EM747" s="3"/>
      <c r="EN747" s="3"/>
      <c r="EO747" s="3"/>
      <c r="EP747" s="3"/>
      <c r="EQ747" s="3"/>
      <c r="ER747" s="3"/>
      <c r="ES747" s="3"/>
      <c r="ET747" s="3"/>
      <c r="EU747" s="3"/>
      <c r="EV747" s="3"/>
      <c r="EW747" s="3"/>
      <c r="EX747" s="3"/>
      <c r="EY747" s="3"/>
      <c r="EZ747" s="3"/>
      <c r="FA747" s="3"/>
      <c r="FB747" s="3"/>
      <c r="FC747" s="3"/>
      <c r="FD747" s="3"/>
      <c r="FE747" s="3"/>
      <c r="FF747" s="3"/>
      <c r="FG747" s="3"/>
      <c r="FH747" s="3"/>
      <c r="FI747" s="3"/>
      <c r="FJ747" s="3"/>
      <c r="FK747" s="3"/>
      <c r="FL747" s="3"/>
      <c r="FM747" s="3"/>
      <c r="FN747" s="3"/>
      <c r="FO747" s="3"/>
      <c r="FP747" s="3"/>
      <c r="FQ747" s="3"/>
      <c r="FR747" s="3"/>
      <c r="FS747" s="3"/>
      <c r="FT747" s="3"/>
      <c r="FU747" s="3"/>
      <c r="FV747" s="3"/>
      <c r="FW747" s="3"/>
      <c r="FX747" s="3"/>
      <c r="FY747" s="3"/>
      <c r="FZ747" s="3"/>
      <c r="GA747" s="3"/>
      <c r="GB747" s="3"/>
      <c r="GC747" s="3"/>
      <c r="GD747" s="3"/>
      <c r="GE747" s="3"/>
      <c r="GF747" s="3"/>
      <c r="GG747" s="3"/>
      <c r="GH747" s="3"/>
      <c r="GI747" s="3"/>
      <c r="GJ747" s="3"/>
      <c r="GK747" s="3"/>
      <c r="GL747" s="3"/>
      <c r="GM747" s="3"/>
      <c r="GN747" s="3"/>
      <c r="GO747" s="3"/>
      <c r="GP747" s="3"/>
      <c r="GQ747" s="3"/>
      <c r="GR747" s="3"/>
      <c r="GS747" s="3"/>
      <c r="GT747" s="3"/>
      <c r="GU747" s="3"/>
      <c r="GV747" s="3"/>
      <c r="GW747" s="3"/>
      <c r="GX747" s="3"/>
      <c r="GY747" s="3"/>
      <c r="GZ747" s="3"/>
      <c r="HA747" s="3"/>
      <c r="HB747" s="3"/>
      <c r="HC747" s="3"/>
      <c r="HD747" s="3"/>
      <c r="HE747" s="3"/>
      <c r="HF747" s="3"/>
      <c r="HG747" s="3"/>
      <c r="HH747" s="3"/>
      <c r="HI747" s="3"/>
      <c r="HJ747" s="3"/>
      <c r="HK747" s="3"/>
      <c r="HL747" s="2"/>
      <c r="HM747" s="2"/>
      <c r="HN747" s="2"/>
      <c r="HO747" s="2"/>
      <c r="HP747" s="2"/>
      <c r="HQ747" s="2"/>
      <c r="HR747" s="2"/>
      <c r="HS747" s="2"/>
      <c r="HT747" s="99"/>
      <c r="HU747" s="2"/>
      <c r="HV747" s="2"/>
      <c r="HW747" s="2"/>
      <c r="HX747" s="2"/>
      <c r="HY747" s="2"/>
      <c r="HZ747" s="2"/>
      <c r="IA747" s="2"/>
      <c r="IB747" s="2"/>
      <c r="IC747" s="2"/>
      <c r="ID747" s="2"/>
      <c r="IE747" s="2"/>
      <c r="IF747" s="2"/>
      <c r="IG747" s="2"/>
      <c r="IH747" s="2"/>
      <c r="II747" s="148" t="s">
        <v>2224</v>
      </c>
      <c r="IJ747" s="163" t="s">
        <v>1443</v>
      </c>
      <c r="IK747" s="164" t="s">
        <v>1466</v>
      </c>
      <c r="IL747" s="165" t="s">
        <v>661</v>
      </c>
      <c r="IM747" s="2">
        <v>2007</v>
      </c>
      <c r="IN747" s="2" t="s">
        <v>62</v>
      </c>
      <c r="IO747" s="2" t="s">
        <v>29</v>
      </c>
      <c r="IR747" s="2"/>
      <c r="IS747" s="2"/>
      <c r="IT747" s="2"/>
      <c r="IU747" s="2"/>
      <c r="IV747" s="2"/>
      <c r="IW747" s="2"/>
      <c r="IX747" s="2"/>
      <c r="IY747" s="2"/>
      <c r="IZ747" s="2"/>
      <c r="JA747" s="2"/>
      <c r="JB747" s="2"/>
      <c r="JC747" s="2"/>
      <c r="JD747" s="2"/>
      <c r="JE747" s="2"/>
      <c r="JF747" s="2"/>
      <c r="JG747" s="2"/>
      <c r="JH747" s="2"/>
      <c r="JI747" s="2"/>
      <c r="JJ747" s="2"/>
      <c r="JK747" s="2"/>
      <c r="JL747" s="2"/>
      <c r="JM747" s="154" t="s">
        <v>14</v>
      </c>
      <c r="JN747" s="155" t="s">
        <v>1664</v>
      </c>
      <c r="JO747" s="99"/>
      <c r="JS747" s="2"/>
      <c r="JT747" s="2"/>
      <c r="JU747" s="2"/>
      <c r="JV747" s="2"/>
      <c r="JW747" s="2"/>
      <c r="JX747" s="2"/>
      <c r="JY747" s="2"/>
      <c r="JZ747" s="156"/>
      <c r="KA747" s="166"/>
      <c r="KB747" s="99"/>
      <c r="KC747" s="2"/>
      <c r="KD747" s="99"/>
      <c r="KE747" s="2"/>
      <c r="KF747" s="2"/>
      <c r="KG747" s="2"/>
      <c r="KH747" s="99"/>
      <c r="KI747" s="2"/>
      <c r="KJ747" s="163"/>
      <c r="KK747" s="167"/>
      <c r="KL747" s="2"/>
      <c r="KM747" s="2"/>
      <c r="KN747" s="2"/>
      <c r="KO747" s="2"/>
      <c r="KP747" s="99"/>
      <c r="KQ747" s="2"/>
      <c r="KR747" s="163"/>
      <c r="KS747" s="167"/>
      <c r="KT747" s="2"/>
      <c r="KU747" s="2"/>
      <c r="KV747" s="158"/>
      <c r="KW747" s="176"/>
      <c r="KX747" s="2"/>
      <c r="KY747" s="2"/>
      <c r="KZ747" s="2"/>
      <c r="LA747" s="3"/>
      <c r="LB747" s="3"/>
      <c r="LC747" s="3"/>
      <c r="LD747" s="3"/>
      <c r="LE747" s="3"/>
      <c r="LF747" s="3"/>
      <c r="LG747" s="3"/>
      <c r="LH747" s="3"/>
      <c r="LI747" s="99"/>
      <c r="LJ747" s="99"/>
      <c r="LK747" s="99"/>
      <c r="LL747" s="99"/>
      <c r="LM747" s="99"/>
      <c r="LN747" s="2"/>
      <c r="LO747" s="99"/>
      <c r="LP747" s="99"/>
      <c r="LQ747" s="99"/>
      <c r="LR747" s="2"/>
      <c r="LS747" s="2"/>
      <c r="LT747" s="2"/>
      <c r="LU747" s="2"/>
      <c r="LV747" s="2"/>
      <c r="LW747" s="2"/>
      <c r="LX747" s="2"/>
      <c r="LY747" s="2"/>
      <c r="LZ747" s="2"/>
      <c r="MA747" s="2"/>
      <c r="MB747" s="2"/>
      <c r="MC747" s="2"/>
      <c r="MD747" s="2"/>
      <c r="ME747" s="2"/>
      <c r="MF747" s="2"/>
      <c r="MG747" s="2"/>
      <c r="MH747" s="2"/>
      <c r="MI747" s="2"/>
      <c r="MJ747" s="2"/>
      <c r="MK747" s="2"/>
      <c r="ML747" s="2"/>
      <c r="MM747" s="2"/>
      <c r="MN747" s="2"/>
      <c r="MO747" s="2"/>
      <c r="MP747" s="2"/>
      <c r="MQ747" s="2"/>
      <c r="MR747" s="2"/>
      <c r="MS747" s="2"/>
      <c r="MT747" s="2"/>
      <c r="MU747" s="2"/>
      <c r="MV747" s="2"/>
      <c r="MW747" s="2"/>
      <c r="MX747" s="2"/>
      <c r="MY747" s="2"/>
      <c r="MZ747" s="148" t="s">
        <v>2225</v>
      </c>
      <c r="NA747" s="89">
        <v>64</v>
      </c>
      <c r="NB747" s="159"/>
      <c r="NC747" s="159"/>
      <c r="ND747" s="159"/>
      <c r="NE747" s="159"/>
      <c r="NF747" s="159"/>
      <c r="NG747" s="159"/>
      <c r="NH747" s="159"/>
      <c r="NI747" s="159"/>
      <c r="NJ747" s="148" t="s">
        <v>2232</v>
      </c>
      <c r="NK747" s="148" t="s">
        <v>2233</v>
      </c>
      <c r="NL747" s="148" t="s">
        <v>2234</v>
      </c>
      <c r="NM747" s="148" t="s">
        <v>1416</v>
      </c>
      <c r="NN747" s="160" t="s">
        <v>265</v>
      </c>
      <c r="NO747" s="148"/>
      <c r="NP747" s="148"/>
      <c r="NQ747" s="148"/>
      <c r="NR747" s="148"/>
      <c r="NS747" s="148"/>
      <c r="NT747" s="148"/>
      <c r="NU747" s="148"/>
      <c r="NV747" s="148"/>
      <c r="NW747" s="161" t="s">
        <v>6</v>
      </c>
      <c r="NX747" s="168">
        <v>806.9</v>
      </c>
      <c r="NY747" s="161" t="s">
        <v>4</v>
      </c>
      <c r="NZ747" s="168">
        <v>2.1</v>
      </c>
      <c r="OA747" s="169"/>
      <c r="OB747" s="2"/>
      <c r="OC747" s="148">
        <v>4</v>
      </c>
      <c r="OD747" s="2"/>
      <c r="OE747" s="2"/>
      <c r="OF747" s="2"/>
      <c r="OG747" s="2"/>
      <c r="OH747" s="2"/>
      <c r="OI747" s="2"/>
      <c r="OJ747" s="2"/>
      <c r="OK747" s="2"/>
      <c r="OL747" s="2"/>
      <c r="OM747" s="2"/>
      <c r="OT747" s="148" t="s">
        <v>2229</v>
      </c>
      <c r="OU747" s="2"/>
      <c r="OV747" s="2">
        <v>2007</v>
      </c>
      <c r="OW747" s="2"/>
      <c r="OX747" s="2"/>
      <c r="OY747" s="2" t="s">
        <v>1</v>
      </c>
      <c r="OZ747" s="2"/>
      <c r="PA747" t="s">
        <v>1169</v>
      </c>
      <c r="PB747" s="58">
        <v>46134</v>
      </c>
    </row>
    <row r="748" spans="1:418" ht="15.75" thickBot="1">
      <c r="A748" t="s">
        <v>248</v>
      </c>
      <c r="B748" t="s">
        <v>2219</v>
      </c>
      <c r="C748" s="89" t="s">
        <v>34</v>
      </c>
      <c r="D748" s="147" t="s">
        <v>1936</v>
      </c>
      <c r="E748" s="89" t="s">
        <v>1658</v>
      </c>
      <c r="F748" t="s">
        <v>31</v>
      </c>
      <c r="G748" s="89" t="s">
        <v>2</v>
      </c>
      <c r="H748" s="147" t="s">
        <v>30</v>
      </c>
      <c r="I748">
        <v>-0.41666666699999999</v>
      </c>
      <c r="J748">
        <v>34.200000000000003</v>
      </c>
      <c r="K748" s="147" t="s">
        <v>29</v>
      </c>
      <c r="L748" s="89"/>
      <c r="M748" s="147"/>
      <c r="N748" s="89"/>
      <c r="O748" s="89"/>
      <c r="P748" s="89"/>
      <c r="Q748" s="89"/>
      <c r="R748" s="89"/>
      <c r="S748" s="89"/>
      <c r="T748" s="89"/>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c r="AV748" s="89" t="s">
        <v>2220</v>
      </c>
      <c r="AW748" s="89">
        <v>64</v>
      </c>
      <c r="AX748" s="89">
        <v>0.09</v>
      </c>
      <c r="AY748" s="89">
        <v>1</v>
      </c>
      <c r="AZ748" s="148" t="s">
        <v>2221</v>
      </c>
      <c r="BA748" s="148">
        <v>2007</v>
      </c>
      <c r="BB748" s="148">
        <v>2008</v>
      </c>
      <c r="BC748" s="148" t="s">
        <v>62</v>
      </c>
      <c r="BD748" s="89"/>
      <c r="BE748" s="148" t="s">
        <v>2222</v>
      </c>
      <c r="BF748" s="148" t="s">
        <v>39</v>
      </c>
      <c r="BG748" s="148" t="s">
        <v>1233</v>
      </c>
      <c r="BH748" s="148" t="s">
        <v>2223</v>
      </c>
      <c r="BI748" s="148" t="s">
        <v>29</v>
      </c>
      <c r="BJ748" s="149" t="s">
        <v>22</v>
      </c>
      <c r="BK748" s="150">
        <v>111000</v>
      </c>
      <c r="BL748" s="89"/>
      <c r="BM748" s="89"/>
      <c r="BN748" s="89"/>
      <c r="BO748" s="147"/>
      <c r="BP748" s="170"/>
      <c r="BQ748" s="89"/>
      <c r="BR748" s="89"/>
      <c r="BS748" s="89"/>
      <c r="BT748" s="147"/>
      <c r="BU748" s="170"/>
      <c r="BV748" s="89"/>
      <c r="BW748" s="3"/>
      <c r="BX748" s="3"/>
      <c r="BY748" s="3"/>
      <c r="BZ748" s="3"/>
      <c r="CA748" s="3"/>
      <c r="CB748" s="3"/>
      <c r="CC748" s="3"/>
      <c r="CD748" s="3"/>
      <c r="CE748" s="3"/>
      <c r="CF748" s="3"/>
      <c r="CG748" s="3"/>
      <c r="CH748" s="3"/>
      <c r="CI748" s="3"/>
      <c r="CJ748" s="3"/>
      <c r="CK748" s="3"/>
      <c r="CL748" s="3"/>
      <c r="CM748" s="3"/>
      <c r="CN748" s="3"/>
      <c r="CO748" s="3"/>
      <c r="CP748" s="3"/>
      <c r="CQ748" s="3"/>
      <c r="CR748" s="3"/>
      <c r="CS748" s="3"/>
      <c r="CT748" s="3"/>
      <c r="CU748" s="3"/>
      <c r="CV748" s="3"/>
      <c r="CW748" s="3"/>
      <c r="CX748" s="3"/>
      <c r="CY748" s="3"/>
      <c r="CZ748" s="3"/>
      <c r="DA748" s="3"/>
      <c r="DB748" s="3"/>
      <c r="DC748" s="3"/>
      <c r="DD748" s="3"/>
      <c r="DE748" s="3"/>
      <c r="DF748" s="3"/>
      <c r="DG748" s="3"/>
      <c r="DH748" s="3"/>
      <c r="DI748" s="3"/>
      <c r="DJ748" s="3"/>
      <c r="DK748" s="3"/>
      <c r="DL748" s="3"/>
      <c r="DM748" s="3"/>
      <c r="DN748" s="3"/>
      <c r="DO748" s="3"/>
      <c r="DP748" s="3"/>
      <c r="DQ748" s="3"/>
      <c r="DR748" s="3"/>
      <c r="DS748" s="3"/>
      <c r="DT748" s="3"/>
      <c r="DU748" s="3"/>
      <c r="DV748" s="3"/>
      <c r="DW748" s="3"/>
      <c r="DX748" s="3"/>
      <c r="DY748" s="3"/>
      <c r="DZ748" s="3"/>
      <c r="EA748" s="3"/>
      <c r="EB748" s="3"/>
      <c r="EC748" s="3"/>
      <c r="ED748" s="3"/>
      <c r="EE748" s="89"/>
      <c r="EF748" s="89"/>
      <c r="EG748" s="89"/>
      <c r="EH748" s="89"/>
      <c r="EI748" s="89"/>
      <c r="EJ748" s="89"/>
      <c r="EK748" s="89"/>
      <c r="EL748" s="89"/>
      <c r="EM748" s="3"/>
      <c r="EN748" s="3"/>
      <c r="EO748" s="3"/>
      <c r="EP748" s="3"/>
      <c r="EQ748" s="3"/>
      <c r="ER748" s="3"/>
      <c r="ES748" s="3"/>
      <c r="ET748" s="3"/>
      <c r="EU748" s="3"/>
      <c r="EV748" s="3"/>
      <c r="EW748" s="3"/>
      <c r="EX748" s="3"/>
      <c r="EY748" s="3"/>
      <c r="EZ748" s="3"/>
      <c r="FA748" s="3"/>
      <c r="FB748" s="3"/>
      <c r="FC748" s="3"/>
      <c r="FD748" s="3"/>
      <c r="FE748" s="3"/>
      <c r="FF748" s="3"/>
      <c r="FG748" s="3"/>
      <c r="FH748" s="3"/>
      <c r="FI748" s="3"/>
      <c r="FJ748" s="3"/>
      <c r="FK748" s="3"/>
      <c r="FL748" s="3"/>
      <c r="FM748" s="3"/>
      <c r="FN748" s="3"/>
      <c r="FO748" s="3"/>
      <c r="FP748" s="3"/>
      <c r="FQ748" s="3"/>
      <c r="FR748" s="3"/>
      <c r="FS748" s="3"/>
      <c r="FT748" s="3"/>
      <c r="FU748" s="3"/>
      <c r="FV748" s="3"/>
      <c r="FW748" s="3"/>
      <c r="FX748" s="3"/>
      <c r="FY748" s="3"/>
      <c r="FZ748" s="3"/>
      <c r="GA748" s="3"/>
      <c r="GB748" s="3"/>
      <c r="GC748" s="3"/>
      <c r="GD748" s="3"/>
      <c r="GE748" s="3"/>
      <c r="GF748" s="3"/>
      <c r="GG748" s="3"/>
      <c r="GH748" s="3"/>
      <c r="GI748" s="3"/>
      <c r="GJ748" s="3"/>
      <c r="GK748" s="3"/>
      <c r="GL748" s="3"/>
      <c r="GM748" s="3"/>
      <c r="GN748" s="3"/>
      <c r="GO748" s="3"/>
      <c r="GP748" s="3"/>
      <c r="GQ748" s="3"/>
      <c r="GR748" s="3"/>
      <c r="GS748" s="3"/>
      <c r="GT748" s="3"/>
      <c r="GU748" s="3"/>
      <c r="GV748" s="3"/>
      <c r="GW748" s="3"/>
      <c r="GX748" s="3"/>
      <c r="GY748" s="3"/>
      <c r="GZ748" s="3"/>
      <c r="HA748" s="3"/>
      <c r="HB748" s="3"/>
      <c r="HC748" s="3"/>
      <c r="HD748" s="3"/>
      <c r="HE748" s="3"/>
      <c r="HF748" s="3"/>
      <c r="HG748" s="3"/>
      <c r="HH748" s="3"/>
      <c r="HI748" s="3"/>
      <c r="HJ748" s="3"/>
      <c r="HK748" s="3"/>
      <c r="HL748" s="89"/>
      <c r="HM748" s="89"/>
      <c r="HN748" s="89"/>
      <c r="HO748" s="89"/>
      <c r="HP748" s="89"/>
      <c r="HQ748" s="89"/>
      <c r="HR748" s="89"/>
      <c r="HS748" s="89"/>
      <c r="HT748" s="147"/>
      <c r="HU748" s="89"/>
      <c r="HV748" s="89"/>
      <c r="HW748" s="89"/>
      <c r="HX748" s="89"/>
      <c r="HY748" s="89"/>
      <c r="HZ748" s="89"/>
      <c r="IA748" s="89"/>
      <c r="IB748" s="89"/>
      <c r="IC748" s="89"/>
      <c r="ID748" s="89"/>
      <c r="IE748" s="89"/>
      <c r="IF748" s="89"/>
      <c r="IG748" s="89"/>
      <c r="IH748" s="89"/>
      <c r="II748" s="148" t="s">
        <v>2224</v>
      </c>
      <c r="IJ748" s="152" t="s">
        <v>19</v>
      </c>
      <c r="IK748" s="89"/>
      <c r="IL748" s="89"/>
      <c r="IM748" s="89"/>
      <c r="IN748" s="89"/>
      <c r="IO748" s="89"/>
      <c r="IR748" s="89"/>
      <c r="IS748" s="89"/>
      <c r="IT748" s="89"/>
      <c r="IU748" s="89"/>
      <c r="IV748" s="89"/>
      <c r="IW748" s="89"/>
      <c r="IX748" s="147"/>
      <c r="IY748" s="89"/>
      <c r="IZ748" s="89"/>
      <c r="JA748" s="89"/>
      <c r="JB748" s="89"/>
      <c r="JC748" s="89"/>
      <c r="JD748" s="89"/>
      <c r="JE748" s="89"/>
      <c r="JF748" s="89"/>
      <c r="JG748" s="89"/>
      <c r="JH748" s="89"/>
      <c r="JI748" s="89"/>
      <c r="JJ748" s="89"/>
      <c r="JK748" s="89"/>
      <c r="JL748" s="89"/>
      <c r="JM748" s="154" t="s">
        <v>14</v>
      </c>
      <c r="JN748" s="155" t="s">
        <v>1664</v>
      </c>
      <c r="JO748" s="147"/>
      <c r="JS748" s="89"/>
      <c r="JT748" s="89"/>
      <c r="JU748" s="89"/>
      <c r="JV748" s="89"/>
      <c r="JW748" s="89"/>
      <c r="JX748" s="89"/>
      <c r="JY748" s="89"/>
      <c r="JZ748" s="156"/>
      <c r="KA748" s="154"/>
      <c r="KB748" s="147"/>
      <c r="KC748" s="89"/>
      <c r="KD748" s="147"/>
      <c r="KE748" s="89"/>
      <c r="KF748" s="89"/>
      <c r="KG748" s="89"/>
      <c r="KH748" s="147"/>
      <c r="KI748" s="89"/>
      <c r="KJ748" s="152"/>
      <c r="KK748" s="173"/>
      <c r="KL748" s="89"/>
      <c r="KM748" s="89"/>
      <c r="KN748" s="89"/>
      <c r="KO748" s="89"/>
      <c r="KP748" s="147"/>
      <c r="KQ748" s="89"/>
      <c r="KR748" s="177"/>
      <c r="KS748" s="154"/>
      <c r="KT748" s="89"/>
      <c r="KU748" s="89"/>
      <c r="KV748" s="158"/>
      <c r="KW748" s="173"/>
      <c r="KX748" s="89"/>
      <c r="KY748" s="89"/>
      <c r="KZ748" s="89"/>
      <c r="LA748" s="3"/>
      <c r="LB748" s="3"/>
      <c r="LC748" s="3"/>
      <c r="LD748" s="3"/>
      <c r="LE748" s="3"/>
      <c r="LF748" s="3"/>
      <c r="LG748" s="3"/>
      <c r="LH748" s="3"/>
      <c r="LI748" s="147"/>
      <c r="LJ748" s="147"/>
      <c r="LK748" s="147"/>
      <c r="LL748" s="147"/>
      <c r="LM748" s="147"/>
      <c r="LN748" s="89"/>
      <c r="LO748" s="147"/>
      <c r="LP748" s="147"/>
      <c r="LQ748" s="147"/>
      <c r="LR748" s="89"/>
      <c r="LS748" s="89"/>
      <c r="LT748" s="89"/>
      <c r="LU748" s="89"/>
      <c r="LV748" s="89"/>
      <c r="LW748" s="89"/>
      <c r="LX748" s="89"/>
      <c r="LY748" s="89"/>
      <c r="LZ748" s="89"/>
      <c r="MA748" s="89"/>
      <c r="MB748" s="89"/>
      <c r="MC748" s="89"/>
      <c r="MD748" s="89"/>
      <c r="ME748" s="89"/>
      <c r="MF748" s="89"/>
      <c r="MG748" s="89"/>
      <c r="MH748" s="89"/>
      <c r="MI748" s="89"/>
      <c r="MJ748" s="89"/>
      <c r="MK748" s="89"/>
      <c r="ML748" s="89"/>
      <c r="MM748" s="89"/>
      <c r="MN748" s="89"/>
      <c r="MO748" s="89"/>
      <c r="MP748" s="89"/>
      <c r="MQ748" s="89"/>
      <c r="MR748" s="89"/>
      <c r="MS748" s="89"/>
      <c r="MT748" s="89"/>
      <c r="MU748" s="89"/>
      <c r="MV748" s="89"/>
      <c r="MW748" s="89"/>
      <c r="MX748" s="89"/>
      <c r="MY748" s="89"/>
      <c r="MZ748" s="148" t="s">
        <v>2225</v>
      </c>
      <c r="NA748" s="89">
        <v>64</v>
      </c>
      <c r="NB748" s="159"/>
      <c r="NC748" s="159"/>
      <c r="ND748" s="159"/>
      <c r="NE748" s="159"/>
      <c r="NF748" s="159"/>
      <c r="NG748" s="159"/>
      <c r="NH748" s="159"/>
      <c r="NI748" s="159"/>
      <c r="NJ748" s="148" t="s">
        <v>2232</v>
      </c>
      <c r="NK748" s="148" t="s">
        <v>2233</v>
      </c>
      <c r="NL748" s="148" t="s">
        <v>2234</v>
      </c>
      <c r="NM748" s="148" t="s">
        <v>1416</v>
      </c>
      <c r="NN748" s="160" t="s">
        <v>265</v>
      </c>
      <c r="NO748" s="148"/>
      <c r="NP748" s="148"/>
      <c r="NQ748" s="148"/>
      <c r="NR748" s="148"/>
      <c r="NS748" s="148"/>
      <c r="NT748" s="148"/>
      <c r="NU748" s="148"/>
      <c r="NV748" s="148" t="s">
        <v>64</v>
      </c>
      <c r="NW748" s="161" t="s">
        <v>6</v>
      </c>
      <c r="NX748" s="97">
        <v>703.7</v>
      </c>
      <c r="NY748" s="161" t="s">
        <v>4</v>
      </c>
      <c r="NZ748" s="97">
        <v>2.1</v>
      </c>
      <c r="OA748" s="175"/>
      <c r="OB748" s="89"/>
      <c r="OC748" s="148">
        <v>4</v>
      </c>
      <c r="OD748" s="89"/>
      <c r="OE748" s="89"/>
      <c r="OF748" s="89"/>
      <c r="OG748" s="89"/>
      <c r="OH748" s="89"/>
      <c r="OI748" s="89"/>
      <c r="OJ748" s="89"/>
      <c r="OK748" s="89"/>
      <c r="OL748" s="89"/>
      <c r="OM748" s="89"/>
      <c r="ON748" s="159"/>
      <c r="OO748" s="159"/>
      <c r="OP748" s="159"/>
      <c r="OQ748" s="159"/>
      <c r="OR748" s="159"/>
      <c r="OS748" s="159"/>
      <c r="OT748" s="148" t="s">
        <v>2229</v>
      </c>
      <c r="OU748" s="89"/>
      <c r="OV748" s="89">
        <v>2008</v>
      </c>
      <c r="OW748" s="89"/>
      <c r="OX748" s="89"/>
      <c r="OY748" s="148" t="s">
        <v>62</v>
      </c>
      <c r="OZ748" s="89"/>
      <c r="PA748" t="s">
        <v>1169</v>
      </c>
      <c r="PB748" s="58">
        <v>46134</v>
      </c>
    </row>
    <row r="749" spans="1:418" ht="15.75" thickBot="1">
      <c r="A749" t="s">
        <v>248</v>
      </c>
      <c r="B749" t="s">
        <v>2219</v>
      </c>
      <c r="C749" s="89" t="s">
        <v>34</v>
      </c>
      <c r="D749" s="147" t="s">
        <v>1936</v>
      </c>
      <c r="E749" s="89" t="s">
        <v>1658</v>
      </c>
      <c r="F749" t="s">
        <v>31</v>
      </c>
      <c r="G749" s="89" t="s">
        <v>2</v>
      </c>
      <c r="H749" s="147" t="s">
        <v>30</v>
      </c>
      <c r="I749">
        <v>-0.41666666699999999</v>
      </c>
      <c r="J749">
        <v>34.200000000000003</v>
      </c>
      <c r="K749" s="147" t="s">
        <v>29</v>
      </c>
      <c r="L749" s="2"/>
      <c r="M749" s="99"/>
      <c r="N749" s="2"/>
      <c r="O749" s="89"/>
      <c r="P749" s="2"/>
      <c r="Q749" s="2"/>
      <c r="R749" s="89"/>
      <c r="S749" s="89"/>
      <c r="T749" s="89"/>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c r="AV749" s="89" t="s">
        <v>2220</v>
      </c>
      <c r="AW749" s="89">
        <v>64</v>
      </c>
      <c r="AX749" s="89">
        <v>0.09</v>
      </c>
      <c r="AY749" s="89">
        <v>1</v>
      </c>
      <c r="AZ749" s="148" t="s">
        <v>2221</v>
      </c>
      <c r="BA749" s="148">
        <v>2007</v>
      </c>
      <c r="BB749" s="148">
        <v>2008</v>
      </c>
      <c r="BC749" s="148" t="s">
        <v>62</v>
      </c>
      <c r="BD749" s="2"/>
      <c r="BE749" s="2" t="s">
        <v>2230</v>
      </c>
      <c r="BF749" s="2" t="s">
        <v>64</v>
      </c>
      <c r="BG749" s="148" t="s">
        <v>1233</v>
      </c>
      <c r="BH749" s="2" t="s">
        <v>2223</v>
      </c>
      <c r="BI749" s="148" t="s">
        <v>29</v>
      </c>
      <c r="BJ749" s="149" t="s">
        <v>22</v>
      </c>
      <c r="BK749" s="150">
        <v>55500</v>
      </c>
      <c r="BL749" s="2" t="s">
        <v>56</v>
      </c>
      <c r="BM749" t="s">
        <v>2231</v>
      </c>
      <c r="BN749" s="148" t="s">
        <v>29</v>
      </c>
      <c r="BO749" s="2" t="s">
        <v>22</v>
      </c>
      <c r="BP749" s="2">
        <v>55000</v>
      </c>
      <c r="BQ749" s="2"/>
      <c r="BR749" s="2"/>
      <c r="BS749" s="2"/>
      <c r="BT749" s="99"/>
      <c r="BU749" s="2"/>
      <c r="BV749" s="2"/>
      <c r="BW749" s="3"/>
      <c r="BX749" s="3"/>
      <c r="BY749" s="3"/>
      <c r="BZ749" s="3"/>
      <c r="CA749" s="3"/>
      <c r="CB749" s="3"/>
      <c r="CC749" s="3"/>
      <c r="CD749" s="3"/>
      <c r="CE749" s="3"/>
      <c r="CF749" s="3"/>
      <c r="CG749" s="3"/>
      <c r="CH749" s="3"/>
      <c r="CI749" s="3"/>
      <c r="CJ749" s="3"/>
      <c r="CK749" s="3"/>
      <c r="CL749" s="3"/>
      <c r="CM749" s="3"/>
      <c r="CN749" s="3"/>
      <c r="CO749" s="3"/>
      <c r="CP749" s="3"/>
      <c r="CQ749" s="3"/>
      <c r="CR749" s="3"/>
      <c r="CS749" s="3"/>
      <c r="CT749" s="3"/>
      <c r="CU749" s="3"/>
      <c r="CV749" s="3"/>
      <c r="CW749" s="3"/>
      <c r="CX749" s="3"/>
      <c r="CY749" s="3"/>
      <c r="CZ749" s="3"/>
      <c r="DA749" s="3"/>
      <c r="DB749" s="3"/>
      <c r="DC749" s="3"/>
      <c r="DD749" s="3"/>
      <c r="DE749" s="3"/>
      <c r="DF749" s="3"/>
      <c r="DG749" s="3"/>
      <c r="DH749" s="3"/>
      <c r="DI749" s="3"/>
      <c r="DJ749" s="3"/>
      <c r="DK749" s="3"/>
      <c r="DL749" s="3"/>
      <c r="DM749" s="3"/>
      <c r="DN749" s="3"/>
      <c r="DO749" s="3"/>
      <c r="DP749" s="3"/>
      <c r="DQ749" s="3"/>
      <c r="DR749" s="3"/>
      <c r="DS749" s="3"/>
      <c r="DT749" s="3"/>
      <c r="DU749" s="3"/>
      <c r="DV749" s="3"/>
      <c r="DW749" s="3"/>
      <c r="DX749" s="3"/>
      <c r="DY749" s="3"/>
      <c r="DZ749" s="3"/>
      <c r="EA749" s="3"/>
      <c r="EB749" s="3"/>
      <c r="EC749" s="3"/>
      <c r="ED749" s="3"/>
      <c r="EE749" s="2"/>
      <c r="EF749" s="2"/>
      <c r="EG749" s="2"/>
      <c r="EH749" s="2"/>
      <c r="EI749" s="2"/>
      <c r="EJ749" s="2"/>
      <c r="EK749" s="2"/>
      <c r="EL749" s="2"/>
      <c r="EM749" s="3"/>
      <c r="EN749" s="3"/>
      <c r="EO749" s="3"/>
      <c r="EP749" s="3"/>
      <c r="EQ749" s="3"/>
      <c r="ER749" s="3"/>
      <c r="ES749" s="3"/>
      <c r="ET749" s="3"/>
      <c r="EU749" s="3"/>
      <c r="EV749" s="3"/>
      <c r="EW749" s="3"/>
      <c r="EX749" s="3"/>
      <c r="EY749" s="3"/>
      <c r="EZ749" s="3"/>
      <c r="FA749" s="3"/>
      <c r="FB749" s="3"/>
      <c r="FC749" s="3"/>
      <c r="FD749" s="3"/>
      <c r="FE749" s="3"/>
      <c r="FF749" s="3"/>
      <c r="FG749" s="3"/>
      <c r="FH749" s="3"/>
      <c r="FI749" s="3"/>
      <c r="FJ749" s="3"/>
      <c r="FK749" s="3"/>
      <c r="FL749" s="3"/>
      <c r="FM749" s="3"/>
      <c r="FN749" s="3"/>
      <c r="FO749" s="3"/>
      <c r="FP749" s="3"/>
      <c r="FQ749" s="3"/>
      <c r="FR749" s="3"/>
      <c r="FS749" s="3"/>
      <c r="FT749" s="3"/>
      <c r="FU749" s="3"/>
      <c r="FV749" s="3"/>
      <c r="FW749" s="3"/>
      <c r="FX749" s="3"/>
      <c r="FY749" s="3"/>
      <c r="FZ749" s="3"/>
      <c r="GA749" s="3"/>
      <c r="GB749" s="3"/>
      <c r="GC749" s="3"/>
      <c r="GD749" s="3"/>
      <c r="GE749" s="3"/>
      <c r="GF749" s="3"/>
      <c r="GG749" s="3"/>
      <c r="GH749" s="3"/>
      <c r="GI749" s="3"/>
      <c r="GJ749" s="3"/>
      <c r="GK749" s="3"/>
      <c r="GL749" s="3"/>
      <c r="GM749" s="3"/>
      <c r="GN749" s="3"/>
      <c r="GO749" s="3"/>
      <c r="GP749" s="3"/>
      <c r="GQ749" s="3"/>
      <c r="GR749" s="3"/>
      <c r="GS749" s="3"/>
      <c r="GT749" s="3"/>
      <c r="GU749" s="3"/>
      <c r="GV749" s="3"/>
      <c r="GW749" s="3"/>
      <c r="GX749" s="3"/>
      <c r="GY749" s="3"/>
      <c r="GZ749" s="3"/>
      <c r="HA749" s="3"/>
      <c r="HB749" s="3"/>
      <c r="HC749" s="3"/>
      <c r="HD749" s="3"/>
      <c r="HE749" s="3"/>
      <c r="HF749" s="3"/>
      <c r="HG749" s="3"/>
      <c r="HH749" s="3"/>
      <c r="HI749" s="3"/>
      <c r="HJ749" s="3"/>
      <c r="HK749" s="3"/>
      <c r="HL749" s="2"/>
      <c r="HM749" s="2"/>
      <c r="HN749" s="2"/>
      <c r="HO749" s="2"/>
      <c r="HP749" s="2"/>
      <c r="HQ749" s="2"/>
      <c r="HR749" s="2"/>
      <c r="HS749" s="2"/>
      <c r="HT749" s="99"/>
      <c r="HU749" s="2"/>
      <c r="HV749" s="2"/>
      <c r="HW749" s="2"/>
      <c r="HX749" s="2"/>
      <c r="HY749" s="2"/>
      <c r="HZ749" s="2"/>
      <c r="IA749" s="2"/>
      <c r="IB749" s="2"/>
      <c r="IC749" s="2"/>
      <c r="ID749" s="2"/>
      <c r="IE749" s="2"/>
      <c r="IF749" s="2"/>
      <c r="IG749" s="2"/>
      <c r="IH749" s="2"/>
      <c r="II749" s="148" t="s">
        <v>2224</v>
      </c>
      <c r="IJ749" s="163" t="s">
        <v>1443</v>
      </c>
      <c r="IK749" s="164" t="s">
        <v>1466</v>
      </c>
      <c r="IL749" s="165" t="s">
        <v>661</v>
      </c>
      <c r="IM749" s="2">
        <v>2007</v>
      </c>
      <c r="IN749" s="2" t="s">
        <v>62</v>
      </c>
      <c r="IO749" s="2" t="s">
        <v>29</v>
      </c>
      <c r="IR749" s="2"/>
      <c r="IS749" s="2"/>
      <c r="IT749" s="2"/>
      <c r="IU749" s="2"/>
      <c r="IV749" s="2"/>
      <c r="IW749" s="2"/>
      <c r="IX749" s="99"/>
      <c r="IY749" s="2"/>
      <c r="IZ749" s="2"/>
      <c r="JA749" s="2"/>
      <c r="JB749" s="2"/>
      <c r="JC749" s="2"/>
      <c r="JD749" s="2"/>
      <c r="JE749" s="2"/>
      <c r="JF749" s="2"/>
      <c r="JG749" s="2"/>
      <c r="JH749" s="2"/>
      <c r="JI749" s="2"/>
      <c r="JJ749" s="2"/>
      <c r="JK749" s="2"/>
      <c r="JL749" s="2"/>
      <c r="JM749" s="154" t="s">
        <v>14</v>
      </c>
      <c r="JN749" s="155" t="s">
        <v>1664</v>
      </c>
      <c r="JO749" s="99"/>
      <c r="JS749" s="2"/>
      <c r="JT749" s="2"/>
      <c r="JU749" s="2"/>
      <c r="JV749" s="2"/>
      <c r="JW749" s="2"/>
      <c r="JX749" s="2"/>
      <c r="JY749" s="2"/>
      <c r="JZ749" s="156"/>
      <c r="KA749" s="166"/>
      <c r="KB749" s="99"/>
      <c r="KC749" s="2"/>
      <c r="KD749" s="99"/>
      <c r="KE749" s="2"/>
      <c r="KF749" s="2"/>
      <c r="KG749" s="2"/>
      <c r="KH749" s="99"/>
      <c r="KI749" s="2"/>
      <c r="KJ749" s="163"/>
      <c r="KK749" s="167"/>
      <c r="KL749" s="2"/>
      <c r="KM749" s="2"/>
      <c r="KN749" s="2"/>
      <c r="KO749" s="2"/>
      <c r="KP749" s="99"/>
      <c r="KQ749" s="2"/>
      <c r="KR749" s="177"/>
      <c r="KS749" s="166"/>
      <c r="KT749" s="2"/>
      <c r="KU749" s="2"/>
      <c r="KV749" s="158"/>
      <c r="KW749" s="167"/>
      <c r="KX749" s="2"/>
      <c r="KY749" s="2"/>
      <c r="KZ749" s="2"/>
      <c r="LA749" s="3"/>
      <c r="LB749" s="3"/>
      <c r="LC749" s="3"/>
      <c r="LD749" s="3"/>
      <c r="LE749" s="3"/>
      <c r="LF749" s="3"/>
      <c r="LG749" s="3"/>
      <c r="LH749" s="3"/>
      <c r="LI749" s="99"/>
      <c r="LJ749" s="99"/>
      <c r="LK749" s="99"/>
      <c r="LL749" s="99"/>
      <c r="LM749" s="99"/>
      <c r="LN749" s="2"/>
      <c r="LO749" s="99"/>
      <c r="LP749" s="99"/>
      <c r="LQ749" s="99"/>
      <c r="LR749" s="2"/>
      <c r="LS749" s="2"/>
      <c r="LT749" s="2"/>
      <c r="LU749" s="2"/>
      <c r="LV749" s="2"/>
      <c r="LW749" s="2"/>
      <c r="LX749" s="2"/>
      <c r="LY749" s="2"/>
      <c r="LZ749" s="2"/>
      <c r="MA749" s="2"/>
      <c r="MB749" s="2"/>
      <c r="MC749" s="2"/>
      <c r="MD749" s="2"/>
      <c r="ME749" s="2"/>
      <c r="MF749" s="2"/>
      <c r="MG749" s="2"/>
      <c r="MH749" s="2"/>
      <c r="MI749" s="2"/>
      <c r="MJ749" s="2"/>
      <c r="MK749" s="2"/>
      <c r="ML749" s="2"/>
      <c r="MM749" s="2"/>
      <c r="MN749" s="2"/>
      <c r="MO749" s="2"/>
      <c r="MP749" s="2"/>
      <c r="MQ749" s="2"/>
      <c r="MR749" s="2"/>
      <c r="MS749" s="2"/>
      <c r="MT749" s="2"/>
      <c r="MU749" s="2"/>
      <c r="MV749" s="2"/>
      <c r="MW749" s="2"/>
      <c r="MX749" s="2"/>
      <c r="MY749" s="2"/>
      <c r="MZ749" s="148" t="s">
        <v>2225</v>
      </c>
      <c r="NA749" s="89">
        <v>64</v>
      </c>
      <c r="NB749" s="159"/>
      <c r="NC749" s="159"/>
      <c r="ND749" s="159"/>
      <c r="NE749" s="159"/>
      <c r="NF749" s="159"/>
      <c r="NG749" s="159"/>
      <c r="NH749" s="159"/>
      <c r="NI749" s="159"/>
      <c r="NJ749" s="148" t="s">
        <v>2232</v>
      </c>
      <c r="NK749" s="148" t="s">
        <v>2233</v>
      </c>
      <c r="NL749" s="148" t="s">
        <v>2234</v>
      </c>
      <c r="NM749" s="148" t="s">
        <v>1416</v>
      </c>
      <c r="NN749" s="160" t="s">
        <v>265</v>
      </c>
      <c r="NO749" s="148"/>
      <c r="NP749" s="148"/>
      <c r="NQ749" s="148"/>
      <c r="NR749" s="148"/>
      <c r="NS749" s="148"/>
      <c r="NT749" s="148"/>
      <c r="NU749" s="148"/>
      <c r="NV749" s="148"/>
      <c r="NW749" s="161" t="s">
        <v>6</v>
      </c>
      <c r="NX749" s="168">
        <v>819.8</v>
      </c>
      <c r="NY749" s="161" t="s">
        <v>4</v>
      </c>
      <c r="NZ749" s="168">
        <v>3.2</v>
      </c>
      <c r="OA749" s="169"/>
      <c r="OB749" s="2"/>
      <c r="OC749" s="148">
        <v>4</v>
      </c>
      <c r="OD749" s="2"/>
      <c r="OE749" s="2"/>
      <c r="OF749" s="2"/>
      <c r="OG749" s="2"/>
      <c r="OH749" s="2"/>
      <c r="OI749" s="2"/>
      <c r="OJ749" s="2"/>
      <c r="OK749" s="2"/>
      <c r="OL749" s="2"/>
      <c r="OM749" s="2"/>
      <c r="OT749" s="148" t="s">
        <v>2229</v>
      </c>
      <c r="OU749" s="2"/>
      <c r="OV749" s="2">
        <v>2008</v>
      </c>
      <c r="OW749" s="2"/>
      <c r="OX749" s="2"/>
      <c r="OY749" s="148" t="s">
        <v>62</v>
      </c>
      <c r="OZ749" s="2"/>
      <c r="PA749" t="s">
        <v>1169</v>
      </c>
      <c r="PB749" s="58">
        <v>46134</v>
      </c>
    </row>
    <row r="750" spans="1:418" ht="17.25" thickBot="1">
      <c r="A750" t="s">
        <v>248</v>
      </c>
      <c r="B750" t="s">
        <v>2219</v>
      </c>
      <c r="C750" s="89" t="s">
        <v>34</v>
      </c>
      <c r="D750" s="147" t="s">
        <v>1936</v>
      </c>
      <c r="E750" s="89" t="s">
        <v>1658</v>
      </c>
      <c r="F750" t="s">
        <v>31</v>
      </c>
      <c r="G750" s="89" t="s">
        <v>2</v>
      </c>
      <c r="H750" s="147" t="s">
        <v>30</v>
      </c>
      <c r="I750">
        <v>-0.41666666699999999</v>
      </c>
      <c r="J750">
        <v>34.200000000000003</v>
      </c>
      <c r="K750" s="147" t="s">
        <v>29</v>
      </c>
      <c r="L750" s="89"/>
      <c r="M750" s="147"/>
      <c r="N750" s="89"/>
      <c r="O750" s="89"/>
      <c r="P750" s="89"/>
      <c r="Q750" s="89"/>
      <c r="R750" s="89"/>
      <c r="S750" s="89"/>
      <c r="T750" s="89"/>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c r="AV750" s="89" t="s">
        <v>2220</v>
      </c>
      <c r="AW750" s="89">
        <v>64</v>
      </c>
      <c r="AX750" s="89">
        <v>0.09</v>
      </c>
      <c r="AY750" s="89">
        <v>1</v>
      </c>
      <c r="AZ750" s="148" t="s">
        <v>2221</v>
      </c>
      <c r="BA750" s="148">
        <v>2007</v>
      </c>
      <c r="BB750" s="148">
        <v>2008</v>
      </c>
      <c r="BC750" s="148" t="s">
        <v>62</v>
      </c>
      <c r="BD750" s="148"/>
      <c r="BE750" s="148" t="s">
        <v>2222</v>
      </c>
      <c r="BF750" s="148" t="s">
        <v>39</v>
      </c>
      <c r="BG750" s="148" t="s">
        <v>1233</v>
      </c>
      <c r="BH750" s="148" t="s">
        <v>2223</v>
      </c>
      <c r="BI750" s="148" t="s">
        <v>29</v>
      </c>
      <c r="BJ750" s="149" t="s">
        <v>22</v>
      </c>
      <c r="BK750" s="150">
        <v>111000</v>
      </c>
      <c r="BL750" s="148"/>
      <c r="BM750" s="148"/>
      <c r="BN750" s="148"/>
      <c r="BO750" s="148"/>
      <c r="BP750" s="148"/>
      <c r="BQ750" s="148"/>
      <c r="BR750" s="148"/>
      <c r="BS750" s="148"/>
      <c r="BT750" s="148"/>
      <c r="BU750" s="148"/>
      <c r="BV750" s="148"/>
      <c r="BW750" s="3"/>
      <c r="BX750" s="3"/>
      <c r="BY750" s="3"/>
      <c r="BZ750" s="3"/>
      <c r="CA750" s="3"/>
      <c r="CB750" s="3"/>
      <c r="CC750" s="3"/>
      <c r="CD750" s="3"/>
      <c r="CE750" s="3"/>
      <c r="CF750" s="3"/>
      <c r="CG750" s="3"/>
      <c r="CH750" s="3"/>
      <c r="CI750" s="3"/>
      <c r="CJ750" s="3"/>
      <c r="CK750" s="3"/>
      <c r="CL750" s="3"/>
      <c r="CM750" s="3"/>
      <c r="CN750" s="3"/>
      <c r="CO750" s="3"/>
      <c r="CP750" s="3"/>
      <c r="CQ750" s="3"/>
      <c r="CR750" s="3"/>
      <c r="CS750" s="3"/>
      <c r="CT750" s="3"/>
      <c r="CU750" s="3"/>
      <c r="CV750" s="3"/>
      <c r="CW750" s="3"/>
      <c r="CX750" s="3"/>
      <c r="CY750" s="3"/>
      <c r="CZ750" s="3"/>
      <c r="DA750" s="3"/>
      <c r="DB750" s="3"/>
      <c r="DC750" s="3"/>
      <c r="DD750" s="3"/>
      <c r="DE750" s="3"/>
      <c r="DF750" s="3"/>
      <c r="DG750" s="3"/>
      <c r="DH750" s="3"/>
      <c r="DI750" s="3"/>
      <c r="DJ750" s="3"/>
      <c r="DK750" s="3"/>
      <c r="DL750" s="3"/>
      <c r="DM750" s="3"/>
      <c r="DN750" s="3"/>
      <c r="DO750" s="3"/>
      <c r="DP750" s="3"/>
      <c r="DQ750" s="3"/>
      <c r="DR750" s="3"/>
      <c r="DS750" s="3"/>
      <c r="DT750" s="3"/>
      <c r="DU750" s="3"/>
      <c r="DV750" s="3"/>
      <c r="DW750" s="3"/>
      <c r="DX750" s="3"/>
      <c r="DY750" s="3"/>
      <c r="DZ750" s="3"/>
      <c r="EA750" s="3"/>
      <c r="EB750" s="3"/>
      <c r="EC750" s="3"/>
      <c r="ED750" s="3"/>
      <c r="EE750" s="2"/>
      <c r="EF750" s="148"/>
      <c r="EG750" s="148"/>
      <c r="EH750" s="148"/>
      <c r="EI750" s="148"/>
      <c r="EJ750" s="148"/>
      <c r="EK750" s="148"/>
      <c r="EL750" s="148"/>
      <c r="EM750" s="3"/>
      <c r="EN750" s="3"/>
      <c r="EO750" s="3"/>
      <c r="EP750" s="3"/>
      <c r="EQ750" s="3"/>
      <c r="ER750" s="3"/>
      <c r="ES750" s="3"/>
      <c r="ET750" s="3"/>
      <c r="EU750" s="3"/>
      <c r="EV750" s="3"/>
      <c r="EW750" s="3"/>
      <c r="EX750" s="3"/>
      <c r="EY750" s="3"/>
      <c r="EZ750" s="3"/>
      <c r="FA750" s="3"/>
      <c r="FB750" s="3"/>
      <c r="FC750" s="3"/>
      <c r="FD750" s="3"/>
      <c r="FE750" s="3"/>
      <c r="FF750" s="3"/>
      <c r="FG750" s="3"/>
      <c r="FH750" s="3"/>
      <c r="FI750" s="3"/>
      <c r="FJ750" s="3"/>
      <c r="FK750" s="3"/>
      <c r="FL750" s="3"/>
      <c r="FM750" s="3"/>
      <c r="FN750" s="3"/>
      <c r="FO750" s="3"/>
      <c r="FP750" s="3"/>
      <c r="FQ750" s="3"/>
      <c r="FR750" s="3"/>
      <c r="FS750" s="3"/>
      <c r="FT750" s="3"/>
      <c r="FU750" s="3"/>
      <c r="FV750" s="3"/>
      <c r="FW750" s="3"/>
      <c r="FX750" s="3"/>
      <c r="FY750" s="3"/>
      <c r="FZ750" s="3"/>
      <c r="GA750" s="3"/>
      <c r="GB750" s="3"/>
      <c r="GC750" s="3"/>
      <c r="GD750" s="3"/>
      <c r="GE750" s="3"/>
      <c r="GF750" s="3"/>
      <c r="GG750" s="3"/>
      <c r="GH750" s="3"/>
      <c r="GI750" s="3"/>
      <c r="GJ750" s="3"/>
      <c r="GK750" s="3"/>
      <c r="GL750" s="3"/>
      <c r="GM750" s="3"/>
      <c r="GN750" s="3"/>
      <c r="GO750" s="3"/>
      <c r="GP750" s="3"/>
      <c r="GQ750" s="3"/>
      <c r="GR750" s="3"/>
      <c r="GS750" s="3"/>
      <c r="GT750" s="3"/>
      <c r="GU750" s="3"/>
      <c r="GV750" s="3"/>
      <c r="GW750" s="3"/>
      <c r="GX750" s="3"/>
      <c r="GY750" s="3"/>
      <c r="GZ750" s="3"/>
      <c r="HA750" s="3"/>
      <c r="HB750" s="3"/>
      <c r="HC750" s="3"/>
      <c r="HD750" s="3"/>
      <c r="HE750" s="3"/>
      <c r="HF750" s="3"/>
      <c r="HG750" s="3"/>
      <c r="HH750" s="3"/>
      <c r="HI750" s="3"/>
      <c r="HJ750" s="3"/>
      <c r="HK750" s="3"/>
      <c r="HL750" s="148"/>
      <c r="HM750" s="148"/>
      <c r="HN750" s="148"/>
      <c r="HO750" s="148"/>
      <c r="HP750" s="148"/>
      <c r="HQ750" s="148"/>
      <c r="HR750" s="148"/>
      <c r="HS750" s="148"/>
      <c r="HT750" s="149"/>
      <c r="HU750" s="148"/>
      <c r="HV750" s="148"/>
      <c r="HW750" s="148"/>
      <c r="HX750" s="148"/>
      <c r="HY750" s="151"/>
      <c r="HZ750" s="148"/>
      <c r="IA750" s="148"/>
      <c r="IB750" s="148"/>
      <c r="IC750" s="148"/>
      <c r="ID750" s="148"/>
      <c r="IE750" s="148"/>
      <c r="IF750" s="148"/>
      <c r="IG750" s="148"/>
      <c r="IH750" s="148"/>
      <c r="II750" s="148" t="s">
        <v>2224</v>
      </c>
      <c r="IJ750" s="152" t="s">
        <v>19</v>
      </c>
      <c r="IK750" s="152"/>
      <c r="IL750" s="153"/>
      <c r="IM750" s="148"/>
      <c r="IN750" s="148"/>
      <c r="IO750" s="148"/>
      <c r="IR750" s="148"/>
      <c r="IS750" s="148"/>
      <c r="IT750" s="148"/>
      <c r="IU750" s="148"/>
      <c r="IV750" s="148"/>
      <c r="IW750" s="148"/>
      <c r="IX750" s="148"/>
      <c r="IY750" s="148"/>
      <c r="IZ750" s="148"/>
      <c r="JA750" s="89"/>
      <c r="JB750" s="89"/>
      <c r="JC750" s="89"/>
      <c r="JD750" s="89"/>
      <c r="JE750" s="89"/>
      <c r="JF750" s="89"/>
      <c r="JG750" s="89"/>
      <c r="JH750" s="89"/>
      <c r="JI750" s="89"/>
      <c r="JJ750" s="89"/>
      <c r="JK750" s="89"/>
      <c r="JL750" s="89"/>
      <c r="JM750" s="154" t="s">
        <v>14</v>
      </c>
      <c r="JN750" s="155" t="s">
        <v>1664</v>
      </c>
      <c r="JO750" s="149"/>
      <c r="JS750" s="148"/>
      <c r="JT750" s="148"/>
      <c r="JU750" s="148"/>
      <c r="JV750" s="148"/>
      <c r="JW750" s="148"/>
      <c r="JX750" s="148"/>
      <c r="JY750" s="148"/>
      <c r="JZ750" s="156"/>
      <c r="KA750" s="156"/>
      <c r="KB750" s="149"/>
      <c r="KC750" s="148"/>
      <c r="KD750" s="149"/>
      <c r="KE750" s="148"/>
      <c r="KF750" s="148"/>
      <c r="KG750" s="148"/>
      <c r="KH750" s="149"/>
      <c r="KI750" s="149"/>
      <c r="KJ750" s="152"/>
      <c r="KK750" s="157"/>
      <c r="KL750" s="148"/>
      <c r="KM750" s="148"/>
      <c r="KN750" s="148"/>
      <c r="KO750" s="148"/>
      <c r="KP750" s="149"/>
      <c r="KQ750" s="148"/>
      <c r="KR750" s="152"/>
      <c r="KS750" s="157"/>
      <c r="KT750" s="148"/>
      <c r="KU750" s="148"/>
      <c r="KV750" s="158"/>
      <c r="KW750" s="157"/>
      <c r="KX750" s="148"/>
      <c r="KY750" s="148"/>
      <c r="KZ750" s="148"/>
      <c r="LA750" s="3"/>
      <c r="LB750" s="3"/>
      <c r="LC750" s="3"/>
      <c r="LD750" s="3"/>
      <c r="LE750" s="3"/>
      <c r="LF750" s="3"/>
      <c r="LG750" s="3"/>
      <c r="LH750" s="3"/>
      <c r="LI750" s="149"/>
      <c r="LJ750" s="149"/>
      <c r="LK750" s="149"/>
      <c r="LL750" s="149"/>
      <c r="LM750" s="149"/>
      <c r="LN750" s="149"/>
      <c r="LO750" s="149"/>
      <c r="LP750" s="149"/>
      <c r="LQ750" s="149"/>
      <c r="LR750" s="148"/>
      <c r="LS750" s="148"/>
      <c r="LT750" s="148"/>
      <c r="LU750" s="148"/>
      <c r="LV750" s="148"/>
      <c r="LW750" s="148"/>
      <c r="LX750" s="148"/>
      <c r="LY750" s="148"/>
      <c r="LZ750" s="148"/>
      <c r="MA750" s="89"/>
      <c r="MB750" s="89"/>
      <c r="MC750" s="89"/>
      <c r="MD750" s="89"/>
      <c r="ME750" s="89"/>
      <c r="MF750" s="159"/>
      <c r="MG750" s="159"/>
      <c r="MH750" s="159"/>
      <c r="MI750" s="2"/>
      <c r="MJ750" s="148"/>
      <c r="MK750" s="148"/>
      <c r="ML750" s="148"/>
      <c r="MM750" s="89"/>
      <c r="MN750" s="89"/>
      <c r="MO750" s="89"/>
      <c r="MP750" s="89"/>
      <c r="MQ750" s="89"/>
      <c r="MR750" s="89"/>
      <c r="MS750" s="89"/>
      <c r="MT750" s="89"/>
      <c r="MU750" s="148"/>
      <c r="MV750" s="148"/>
      <c r="MW750" s="148"/>
      <c r="MX750" s="148"/>
      <c r="MY750" s="148"/>
      <c r="MZ750" s="148" t="s">
        <v>2225</v>
      </c>
      <c r="NA750" s="89">
        <v>64</v>
      </c>
      <c r="NB750" s="148" t="s">
        <v>2235</v>
      </c>
      <c r="NC750" s="159" t="s">
        <v>2236</v>
      </c>
      <c r="ND750" s="159" t="s">
        <v>2237</v>
      </c>
      <c r="NE750" s="159"/>
      <c r="NF750" s="159"/>
      <c r="NG750" s="159"/>
      <c r="NH750" s="159"/>
      <c r="NI750" s="159"/>
      <c r="NJ750" s="148"/>
      <c r="NK750" s="148" t="s">
        <v>1679</v>
      </c>
      <c r="NL750" s="148" t="s">
        <v>2235</v>
      </c>
      <c r="NM750" t="s">
        <v>1518</v>
      </c>
      <c r="NN750" s="160" t="s">
        <v>265</v>
      </c>
      <c r="NO750" s="148"/>
      <c r="NP750" s="148"/>
      <c r="NQ750" s="148"/>
      <c r="NR750" s="148"/>
      <c r="NS750" s="148"/>
      <c r="NT750" s="148"/>
      <c r="NU750" s="148"/>
      <c r="NV750" s="148" t="s">
        <v>64</v>
      </c>
      <c r="NW750" s="161" t="s">
        <v>6</v>
      </c>
      <c r="NX750" s="161">
        <v>235.4</v>
      </c>
      <c r="NY750" s="161" t="s">
        <v>4</v>
      </c>
      <c r="NZ750" s="161">
        <v>23.6</v>
      </c>
      <c r="OA750" s="162"/>
      <c r="OB750" s="148"/>
      <c r="OC750" s="148">
        <v>4</v>
      </c>
      <c r="OD750" s="148"/>
      <c r="OE750" s="148"/>
      <c r="OF750" s="148"/>
      <c r="OG750" s="148"/>
      <c r="OH750" s="148"/>
      <c r="OI750" s="148"/>
      <c r="OJ750" s="148"/>
      <c r="OK750" s="148"/>
      <c r="OL750" s="148"/>
      <c r="OM750" s="148"/>
      <c r="ON750" s="148"/>
      <c r="OO750" s="148"/>
      <c r="OP750" s="148"/>
      <c r="OQ750" s="148"/>
      <c r="OR750" s="148"/>
      <c r="OS750" s="148"/>
      <c r="OT750" s="148" t="s">
        <v>2229</v>
      </c>
      <c r="OU750" s="148"/>
      <c r="OV750" s="148">
        <v>2007</v>
      </c>
      <c r="OW750" s="148"/>
      <c r="OX750" s="148"/>
      <c r="OY750" s="148" t="s">
        <v>62</v>
      </c>
      <c r="OZ750" s="148"/>
      <c r="PA750" t="s">
        <v>1169</v>
      </c>
      <c r="PB750" s="58">
        <v>46134</v>
      </c>
    </row>
    <row r="751" spans="1:418" ht="15.75" thickBot="1">
      <c r="A751" t="s">
        <v>248</v>
      </c>
      <c r="B751" t="s">
        <v>2219</v>
      </c>
      <c r="C751" s="89" t="s">
        <v>34</v>
      </c>
      <c r="D751" s="147" t="s">
        <v>1936</v>
      </c>
      <c r="E751" s="89" t="s">
        <v>1658</v>
      </c>
      <c r="F751" t="s">
        <v>31</v>
      </c>
      <c r="G751" s="89" t="s">
        <v>2</v>
      </c>
      <c r="H751" s="147" t="s">
        <v>30</v>
      </c>
      <c r="I751">
        <v>-0.41666666699999999</v>
      </c>
      <c r="J751">
        <v>34.200000000000003</v>
      </c>
      <c r="K751" s="147" t="s">
        <v>29</v>
      </c>
      <c r="L751" s="2"/>
      <c r="M751" s="99"/>
      <c r="N751" s="2"/>
      <c r="O751" s="89"/>
      <c r="P751" s="2"/>
      <c r="Q751" s="2"/>
      <c r="R751" s="89"/>
      <c r="S751" s="89"/>
      <c r="T751" s="89"/>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c r="AV751" s="89" t="s">
        <v>2220</v>
      </c>
      <c r="AW751" s="89">
        <v>64</v>
      </c>
      <c r="AX751" s="89">
        <v>0.09</v>
      </c>
      <c r="AY751" s="89">
        <v>1</v>
      </c>
      <c r="AZ751" s="148" t="s">
        <v>2221</v>
      </c>
      <c r="BA751" s="148">
        <v>2007</v>
      </c>
      <c r="BB751" s="148">
        <v>2008</v>
      </c>
      <c r="BC751" s="148" t="s">
        <v>62</v>
      </c>
      <c r="BD751" s="2"/>
      <c r="BE751" s="2" t="s">
        <v>2230</v>
      </c>
      <c r="BF751" s="2" t="s">
        <v>64</v>
      </c>
      <c r="BG751" s="148" t="s">
        <v>1233</v>
      </c>
      <c r="BH751" s="2" t="s">
        <v>2223</v>
      </c>
      <c r="BI751" s="148" t="s">
        <v>29</v>
      </c>
      <c r="BJ751" s="149" t="s">
        <v>22</v>
      </c>
      <c r="BK751" s="150">
        <v>55500</v>
      </c>
      <c r="BL751" s="2" t="s">
        <v>56</v>
      </c>
      <c r="BM751" t="s">
        <v>2231</v>
      </c>
      <c r="BN751" s="148" t="s">
        <v>29</v>
      </c>
      <c r="BO751" s="2" t="s">
        <v>22</v>
      </c>
      <c r="BP751" s="2">
        <v>55000</v>
      </c>
      <c r="BQ751" s="2"/>
      <c r="BR751" s="2"/>
      <c r="BS751" s="2"/>
      <c r="BT751" s="2"/>
      <c r="BU751" s="2"/>
      <c r="BV751" s="2"/>
      <c r="BW751" s="3"/>
      <c r="BX751" s="3"/>
      <c r="BY751" s="3"/>
      <c r="BZ751" s="3"/>
      <c r="CA751" s="3"/>
      <c r="CB751" s="3"/>
      <c r="CC751" s="3"/>
      <c r="CD751" s="3"/>
      <c r="CE751" s="3"/>
      <c r="CF751" s="3"/>
      <c r="CG751" s="3"/>
      <c r="CH751" s="3"/>
      <c r="CI751" s="3"/>
      <c r="CJ751" s="3"/>
      <c r="CK751" s="3"/>
      <c r="CL751" s="3"/>
      <c r="CM751" s="3"/>
      <c r="CN751" s="3"/>
      <c r="CO751" s="3"/>
      <c r="CP751" s="3"/>
      <c r="CQ751" s="3"/>
      <c r="CR751" s="3"/>
      <c r="CS751" s="3"/>
      <c r="CT751" s="3"/>
      <c r="CU751" s="3"/>
      <c r="CV751" s="3"/>
      <c r="CW751" s="3"/>
      <c r="CX751" s="3"/>
      <c r="CY751" s="3"/>
      <c r="CZ751" s="3"/>
      <c r="DA751" s="3"/>
      <c r="DB751" s="3"/>
      <c r="DC751" s="3"/>
      <c r="DD751" s="3"/>
      <c r="DE751" s="3"/>
      <c r="DF751" s="3"/>
      <c r="DG751" s="3"/>
      <c r="DH751" s="3"/>
      <c r="DI751" s="3"/>
      <c r="DJ751" s="3"/>
      <c r="DK751" s="3"/>
      <c r="DL751" s="3"/>
      <c r="DM751" s="3"/>
      <c r="DN751" s="3"/>
      <c r="DO751" s="3"/>
      <c r="DP751" s="3"/>
      <c r="DQ751" s="3"/>
      <c r="DR751" s="3"/>
      <c r="DS751" s="3"/>
      <c r="DT751" s="3"/>
      <c r="DU751" s="3"/>
      <c r="DV751" s="3"/>
      <c r="DW751" s="3"/>
      <c r="DX751" s="3"/>
      <c r="DY751" s="3"/>
      <c r="DZ751" s="3"/>
      <c r="EA751" s="3"/>
      <c r="EB751" s="3"/>
      <c r="EC751" s="3"/>
      <c r="ED751" s="3"/>
      <c r="EE751" s="2"/>
      <c r="EF751" s="2"/>
      <c r="EG751" s="2"/>
      <c r="EH751" s="2"/>
      <c r="EI751" s="2"/>
      <c r="EJ751" s="2"/>
      <c r="EK751" s="2"/>
      <c r="EL751" s="2"/>
      <c r="EM751" s="3"/>
      <c r="EN751" s="3"/>
      <c r="EO751" s="3"/>
      <c r="EP751" s="3"/>
      <c r="EQ751" s="3"/>
      <c r="ER751" s="3"/>
      <c r="ES751" s="3"/>
      <c r="ET751" s="3"/>
      <c r="EU751" s="3"/>
      <c r="EV751" s="3"/>
      <c r="EW751" s="3"/>
      <c r="EX751" s="3"/>
      <c r="EY751" s="3"/>
      <c r="EZ751" s="3"/>
      <c r="FA751" s="3"/>
      <c r="FB751" s="3"/>
      <c r="FC751" s="3"/>
      <c r="FD751" s="3"/>
      <c r="FE751" s="3"/>
      <c r="FF751" s="3"/>
      <c r="FG751" s="3"/>
      <c r="FH751" s="3"/>
      <c r="FI751" s="3"/>
      <c r="FJ751" s="3"/>
      <c r="FK751" s="3"/>
      <c r="FL751" s="3"/>
      <c r="FM751" s="3"/>
      <c r="FN751" s="3"/>
      <c r="FO751" s="3"/>
      <c r="FP751" s="3"/>
      <c r="FQ751" s="3"/>
      <c r="FR751" s="3"/>
      <c r="FS751" s="3"/>
      <c r="FT751" s="3"/>
      <c r="FU751" s="3"/>
      <c r="FV751" s="3"/>
      <c r="FW751" s="3"/>
      <c r="FX751" s="3"/>
      <c r="FY751" s="3"/>
      <c r="FZ751" s="3"/>
      <c r="GA751" s="3"/>
      <c r="GB751" s="3"/>
      <c r="GC751" s="3"/>
      <c r="GD751" s="3"/>
      <c r="GE751" s="3"/>
      <c r="GF751" s="3"/>
      <c r="GG751" s="3"/>
      <c r="GH751" s="3"/>
      <c r="GI751" s="3"/>
      <c r="GJ751" s="3"/>
      <c r="GK751" s="3"/>
      <c r="GL751" s="3"/>
      <c r="GM751" s="3"/>
      <c r="GN751" s="3"/>
      <c r="GO751" s="3"/>
      <c r="GP751" s="3"/>
      <c r="GQ751" s="3"/>
      <c r="GR751" s="3"/>
      <c r="GS751" s="3"/>
      <c r="GT751" s="3"/>
      <c r="GU751" s="3"/>
      <c r="GV751" s="3"/>
      <c r="GW751" s="3"/>
      <c r="GX751" s="3"/>
      <c r="GY751" s="3"/>
      <c r="GZ751" s="3"/>
      <c r="HA751" s="3"/>
      <c r="HB751" s="3"/>
      <c r="HC751" s="3"/>
      <c r="HD751" s="3"/>
      <c r="HE751" s="3"/>
      <c r="HF751" s="3"/>
      <c r="HG751" s="3"/>
      <c r="HH751" s="3"/>
      <c r="HI751" s="3"/>
      <c r="HJ751" s="3"/>
      <c r="HK751" s="3"/>
      <c r="HL751" s="2"/>
      <c r="HM751" s="2"/>
      <c r="HN751" s="2"/>
      <c r="HO751" s="2"/>
      <c r="HP751" s="2"/>
      <c r="HQ751" s="2"/>
      <c r="HR751" s="2"/>
      <c r="HS751" s="2"/>
      <c r="HT751" s="99"/>
      <c r="HU751" s="2"/>
      <c r="HV751" s="2"/>
      <c r="HW751" s="2"/>
      <c r="HX751" s="2"/>
      <c r="HY751" s="2"/>
      <c r="HZ751" s="2"/>
      <c r="IA751" s="2"/>
      <c r="IB751" s="2"/>
      <c r="IC751" s="2"/>
      <c r="ID751" s="2"/>
      <c r="IE751" s="2"/>
      <c r="IF751" s="2"/>
      <c r="IG751" s="2"/>
      <c r="IH751" s="2"/>
      <c r="II751" s="148" t="s">
        <v>2224</v>
      </c>
      <c r="IJ751" s="163" t="s">
        <v>1443</v>
      </c>
      <c r="IK751" s="164" t="s">
        <v>1466</v>
      </c>
      <c r="IL751" s="165" t="s">
        <v>661</v>
      </c>
      <c r="IM751" s="2">
        <v>2007</v>
      </c>
      <c r="IN751" s="2" t="s">
        <v>62</v>
      </c>
      <c r="IO751" s="2" t="s">
        <v>29</v>
      </c>
      <c r="IR751" s="2"/>
      <c r="IS751" s="2"/>
      <c r="IT751" s="2"/>
      <c r="IU751" s="2"/>
      <c r="IV751" s="2"/>
      <c r="IW751" s="2"/>
      <c r="IX751" s="2"/>
      <c r="IY751" s="2"/>
      <c r="IZ751" s="2"/>
      <c r="JA751" s="2"/>
      <c r="JB751" s="2"/>
      <c r="JC751" s="2"/>
      <c r="JD751" s="2"/>
      <c r="JE751" s="2"/>
      <c r="JF751" s="2"/>
      <c r="JG751" s="2"/>
      <c r="JH751" s="2"/>
      <c r="JI751" s="2"/>
      <c r="JJ751" s="2"/>
      <c r="JK751" s="2"/>
      <c r="JL751" s="2"/>
      <c r="JM751" s="154" t="s">
        <v>14</v>
      </c>
      <c r="JN751" s="155" t="s">
        <v>1664</v>
      </c>
      <c r="JO751" s="99"/>
      <c r="JS751" s="2"/>
      <c r="JT751" s="2"/>
      <c r="JU751" s="2"/>
      <c r="JV751" s="2"/>
      <c r="JW751" s="2"/>
      <c r="JX751" s="2"/>
      <c r="JY751" s="2"/>
      <c r="JZ751" s="156"/>
      <c r="KA751" s="166"/>
      <c r="KB751" s="99"/>
      <c r="KC751" s="2"/>
      <c r="KD751" s="99"/>
      <c r="KE751" s="2"/>
      <c r="KF751" s="2"/>
      <c r="KG751" s="2"/>
      <c r="KH751" s="99"/>
      <c r="KI751" s="2"/>
      <c r="KJ751" s="163"/>
      <c r="KK751" s="167"/>
      <c r="KL751" s="2"/>
      <c r="KM751" s="2"/>
      <c r="KN751" s="2"/>
      <c r="KO751" s="2"/>
      <c r="KP751" s="99"/>
      <c r="KQ751" s="2"/>
      <c r="KR751" s="163"/>
      <c r="KS751" s="167"/>
      <c r="KT751" s="2"/>
      <c r="KU751" s="2"/>
      <c r="KV751" s="158"/>
      <c r="KW751" s="167"/>
      <c r="KX751" s="2"/>
      <c r="KY751" s="2"/>
      <c r="KZ751" s="2"/>
      <c r="LA751" s="69"/>
      <c r="LB751" s="218"/>
      <c r="LC751" s="218"/>
      <c r="LD751" s="3"/>
      <c r="LE751" s="3"/>
      <c r="LF751" s="3"/>
      <c r="LG751" s="3"/>
      <c r="LH751" s="3"/>
      <c r="LI751" s="99"/>
      <c r="LJ751" s="99"/>
      <c r="LK751" s="99"/>
      <c r="LL751" s="99"/>
      <c r="LM751" s="99"/>
      <c r="LN751" s="2"/>
      <c r="LO751" s="99"/>
      <c r="LP751" s="99"/>
      <c r="LQ751" s="99"/>
      <c r="LR751" s="2"/>
      <c r="LS751" s="2"/>
      <c r="LT751" s="2"/>
      <c r="LU751" s="2"/>
      <c r="LV751" s="2"/>
      <c r="LW751" s="2"/>
      <c r="LX751" s="2"/>
      <c r="LY751" s="2"/>
      <c r="LZ751" s="2"/>
      <c r="MA751" s="2"/>
      <c r="MB751" s="2"/>
      <c r="MC751" s="2"/>
      <c r="MD751" s="2"/>
      <c r="ME751" s="2"/>
      <c r="MF751" s="2"/>
      <c r="MG751" s="2"/>
      <c r="MH751" s="2"/>
      <c r="MJ751" s="2"/>
      <c r="MK751" s="2"/>
      <c r="ML751" s="2"/>
      <c r="MM751" s="2"/>
      <c r="MN751" s="2"/>
      <c r="MO751" s="2"/>
      <c r="MP751" s="2"/>
      <c r="MQ751" s="2"/>
      <c r="MR751" s="2"/>
      <c r="MS751" s="2"/>
      <c r="MT751" s="2"/>
      <c r="MU751" s="2"/>
      <c r="MV751" s="2"/>
      <c r="MW751" s="2"/>
      <c r="MX751" s="2"/>
      <c r="MY751" s="2"/>
      <c r="MZ751" s="148" t="s">
        <v>2225</v>
      </c>
      <c r="NA751" s="89">
        <v>64</v>
      </c>
      <c r="NB751" s="148" t="s">
        <v>2235</v>
      </c>
      <c r="NC751" s="159" t="s">
        <v>2236</v>
      </c>
      <c r="ND751" s="159" t="s">
        <v>2237</v>
      </c>
      <c r="NE751" s="159" t="s">
        <v>2238</v>
      </c>
      <c r="NF751" s="159"/>
      <c r="NG751" s="159"/>
      <c r="NH751" s="159"/>
      <c r="NI751" s="159"/>
      <c r="NJ751" s="148"/>
      <c r="NK751" s="148" t="s">
        <v>1679</v>
      </c>
      <c r="NL751" s="148" t="s">
        <v>2235</v>
      </c>
      <c r="NM751" t="s">
        <v>1518</v>
      </c>
      <c r="NN751" s="160" t="s">
        <v>265</v>
      </c>
      <c r="NO751" s="148"/>
      <c r="NP751" s="148"/>
      <c r="NQ751" s="148"/>
      <c r="NR751" s="148"/>
      <c r="NS751" s="148"/>
      <c r="NT751" s="148"/>
      <c r="NU751" s="148"/>
      <c r="NV751" s="148"/>
      <c r="NW751" s="161" t="s">
        <v>6</v>
      </c>
      <c r="NX751" s="168">
        <v>1084.4000000000001</v>
      </c>
      <c r="NY751" s="161" t="s">
        <v>4</v>
      </c>
      <c r="NZ751" s="168">
        <v>80</v>
      </c>
      <c r="OA751" s="169"/>
      <c r="OB751" s="2"/>
      <c r="OC751" s="148">
        <v>4</v>
      </c>
      <c r="OD751" s="2"/>
      <c r="OE751" s="2"/>
      <c r="OF751" s="2"/>
      <c r="OG751" s="2"/>
      <c r="OH751" s="2"/>
      <c r="OI751" s="2"/>
      <c r="OJ751" s="2"/>
      <c r="OK751" s="2"/>
      <c r="OL751" s="2"/>
      <c r="OM751" s="2"/>
      <c r="OT751" s="148" t="s">
        <v>2229</v>
      </c>
      <c r="OU751" s="2"/>
      <c r="OV751" s="148">
        <v>2007</v>
      </c>
      <c r="OW751" s="148"/>
      <c r="OX751" s="148"/>
      <c r="OY751" s="148" t="s">
        <v>62</v>
      </c>
      <c r="OZ751" s="2"/>
      <c r="PA751" t="s">
        <v>1169</v>
      </c>
      <c r="PB751" s="58">
        <v>46134</v>
      </c>
    </row>
    <row r="752" spans="1:418" ht="15.75" thickBot="1">
      <c r="A752" t="s">
        <v>248</v>
      </c>
      <c r="B752" t="s">
        <v>2219</v>
      </c>
      <c r="C752" s="89" t="s">
        <v>34</v>
      </c>
      <c r="D752" s="147" t="s">
        <v>1936</v>
      </c>
      <c r="E752" s="89" t="s">
        <v>1658</v>
      </c>
      <c r="F752" t="s">
        <v>31</v>
      </c>
      <c r="G752" s="89" t="s">
        <v>2</v>
      </c>
      <c r="H752" s="147" t="s">
        <v>30</v>
      </c>
      <c r="I752">
        <v>-0.41666666699999999</v>
      </c>
      <c r="J752">
        <v>34.200000000000003</v>
      </c>
      <c r="K752" s="147" t="s">
        <v>29</v>
      </c>
      <c r="L752" s="89"/>
      <c r="M752" s="147"/>
      <c r="N752" s="89"/>
      <c r="O752" s="89"/>
      <c r="P752" s="89"/>
      <c r="Q752" s="89"/>
      <c r="R752" s="89"/>
      <c r="S752" s="89"/>
      <c r="T752" s="89"/>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c r="AV752" s="89" t="s">
        <v>2220</v>
      </c>
      <c r="AW752" s="89">
        <v>64</v>
      </c>
      <c r="AX752" s="89">
        <v>0.09</v>
      </c>
      <c r="AY752" s="89">
        <v>1</v>
      </c>
      <c r="AZ752" s="148" t="s">
        <v>2221</v>
      </c>
      <c r="BA752" s="148">
        <v>2007</v>
      </c>
      <c r="BB752" s="148">
        <v>2008</v>
      </c>
      <c r="BC752" s="148" t="s">
        <v>1</v>
      </c>
      <c r="BD752" s="89"/>
      <c r="BE752" s="148" t="s">
        <v>2222</v>
      </c>
      <c r="BF752" s="148" t="s">
        <v>39</v>
      </c>
      <c r="BG752" s="148" t="s">
        <v>1233</v>
      </c>
      <c r="BH752" s="148" t="s">
        <v>2223</v>
      </c>
      <c r="BI752" s="148" t="s">
        <v>29</v>
      </c>
      <c r="BJ752" s="149" t="s">
        <v>22</v>
      </c>
      <c r="BK752" s="150">
        <v>111000</v>
      </c>
      <c r="BL752" s="89"/>
      <c r="BM752" s="89"/>
      <c r="BN752" s="89"/>
      <c r="BO752" s="147"/>
      <c r="BP752" s="170"/>
      <c r="BQ752" s="89"/>
      <c r="BR752" s="89"/>
      <c r="BS752" s="89"/>
      <c r="BT752" s="89"/>
      <c r="BU752" s="89"/>
      <c r="BV752" s="89"/>
      <c r="BW752" s="3"/>
      <c r="BX752" s="3"/>
      <c r="BY752" s="3"/>
      <c r="BZ752" s="3"/>
      <c r="CA752" s="3"/>
      <c r="CB752" s="3"/>
      <c r="CC752" s="3"/>
      <c r="CD752" s="3"/>
      <c r="CE752" s="3"/>
      <c r="CF752" s="3"/>
      <c r="CG752" s="3"/>
      <c r="CH752" s="3"/>
      <c r="CI752" s="3"/>
      <c r="CJ752" s="3"/>
      <c r="CK752" s="3"/>
      <c r="CL752" s="3"/>
      <c r="CM752" s="3"/>
      <c r="CN752" s="3"/>
      <c r="CO752" s="3"/>
      <c r="CP752" s="3"/>
      <c r="CQ752" s="3"/>
      <c r="CR752" s="3"/>
      <c r="CS752" s="3"/>
      <c r="CT752" s="3"/>
      <c r="CU752" s="3"/>
      <c r="CV752" s="3"/>
      <c r="CW752" s="3"/>
      <c r="CX752" s="3"/>
      <c r="CY752" s="3"/>
      <c r="CZ752" s="3"/>
      <c r="DA752" s="3"/>
      <c r="DB752" s="3"/>
      <c r="DC752" s="3"/>
      <c r="DD752" s="3"/>
      <c r="DE752" s="3"/>
      <c r="DF752" s="3"/>
      <c r="DG752" s="3"/>
      <c r="DH752" s="3"/>
      <c r="DI752" s="3"/>
      <c r="DJ752" s="3"/>
      <c r="DK752" s="3"/>
      <c r="DL752" s="3"/>
      <c r="DM752" s="3"/>
      <c r="DN752" s="3"/>
      <c r="DO752" s="3"/>
      <c r="DP752" s="3"/>
      <c r="DQ752" s="3"/>
      <c r="DR752" s="3"/>
      <c r="DS752" s="3"/>
      <c r="DT752" s="3"/>
      <c r="DU752" s="3"/>
      <c r="DV752" s="3"/>
      <c r="DW752" s="3"/>
      <c r="DX752" s="3"/>
      <c r="DY752" s="3"/>
      <c r="DZ752" s="3"/>
      <c r="EA752" s="3"/>
      <c r="EB752" s="3"/>
      <c r="EC752" s="3"/>
      <c r="ED752" s="3"/>
      <c r="EE752" s="89"/>
      <c r="EF752" s="89"/>
      <c r="EG752" s="89"/>
      <c r="EH752" s="89"/>
      <c r="EI752" s="89"/>
      <c r="EJ752" s="89"/>
      <c r="EK752" s="89"/>
      <c r="EL752" s="89"/>
      <c r="EM752" s="3"/>
      <c r="EN752" s="3"/>
      <c r="EO752" s="3"/>
      <c r="EP752" s="3"/>
      <c r="EQ752" s="3"/>
      <c r="ER752" s="3"/>
      <c r="ES752" s="3"/>
      <c r="ET752" s="3"/>
      <c r="EU752" s="3"/>
      <c r="EV752" s="3"/>
      <c r="EW752" s="3"/>
      <c r="EX752" s="3"/>
      <c r="EY752" s="3"/>
      <c r="EZ752" s="3"/>
      <c r="FA752" s="3"/>
      <c r="FB752" s="3"/>
      <c r="FC752" s="3"/>
      <c r="FD752" s="3"/>
      <c r="FE752" s="3"/>
      <c r="FF752" s="3"/>
      <c r="FG752" s="3"/>
      <c r="FH752" s="3"/>
      <c r="FI752" s="3"/>
      <c r="FJ752" s="3"/>
      <c r="FK752" s="3"/>
      <c r="FL752" s="3"/>
      <c r="FM752" s="3"/>
      <c r="FN752" s="3"/>
      <c r="FO752" s="3"/>
      <c r="FP752" s="3"/>
      <c r="FQ752" s="3"/>
      <c r="FR752" s="3"/>
      <c r="FS752" s="3"/>
      <c r="FT752" s="3"/>
      <c r="FU752" s="3"/>
      <c r="FV752" s="3"/>
      <c r="FW752" s="3"/>
      <c r="FX752" s="3"/>
      <c r="FY752" s="3"/>
      <c r="FZ752" s="3"/>
      <c r="GA752" s="3"/>
      <c r="GB752" s="3"/>
      <c r="GC752" s="3"/>
      <c r="GD752" s="3"/>
      <c r="GE752" s="3"/>
      <c r="GF752" s="3"/>
      <c r="GG752" s="3"/>
      <c r="GH752" s="3"/>
      <c r="GI752" s="3"/>
      <c r="GJ752" s="3"/>
      <c r="GK752" s="3"/>
      <c r="GL752" s="3"/>
      <c r="GM752" s="3"/>
      <c r="GN752" s="3"/>
      <c r="GO752" s="3"/>
      <c r="GP752" s="3"/>
      <c r="GQ752" s="3"/>
      <c r="GR752" s="3"/>
      <c r="GS752" s="3"/>
      <c r="GT752" s="3"/>
      <c r="GU752" s="3"/>
      <c r="GV752" s="3"/>
      <c r="GW752" s="3"/>
      <c r="GX752" s="3"/>
      <c r="GY752" s="3"/>
      <c r="GZ752" s="3"/>
      <c r="HA752" s="3"/>
      <c r="HB752" s="3"/>
      <c r="HC752" s="3"/>
      <c r="HD752" s="3"/>
      <c r="HE752" s="3"/>
      <c r="HF752" s="3"/>
      <c r="HG752" s="3"/>
      <c r="HH752" s="3"/>
      <c r="HI752" s="3"/>
      <c r="HJ752" s="3"/>
      <c r="HK752" s="3"/>
      <c r="HL752" s="89"/>
      <c r="HM752" s="89"/>
      <c r="HN752" s="89"/>
      <c r="HO752" s="89"/>
      <c r="HP752" s="89"/>
      <c r="HQ752" s="89"/>
      <c r="HR752" s="89"/>
      <c r="HS752" s="89"/>
      <c r="HT752" s="147"/>
      <c r="HU752" s="89"/>
      <c r="HV752" s="89"/>
      <c r="HW752" s="89"/>
      <c r="HX752" s="89"/>
      <c r="HY752" s="89"/>
      <c r="HZ752" s="89"/>
      <c r="IA752" s="89"/>
      <c r="IB752" s="89"/>
      <c r="IC752" s="89"/>
      <c r="ID752" s="89"/>
      <c r="IE752" s="89"/>
      <c r="IF752" s="89"/>
      <c r="IG752" s="89"/>
      <c r="IH752" s="89"/>
      <c r="II752" s="148" t="s">
        <v>2224</v>
      </c>
      <c r="IJ752" s="152" t="s">
        <v>19</v>
      </c>
      <c r="IK752" s="171"/>
      <c r="IL752" s="172"/>
      <c r="IM752" s="89"/>
      <c r="IN752" s="89"/>
      <c r="IO752" s="147"/>
      <c r="IR752" s="89"/>
      <c r="IS752" s="89"/>
      <c r="IT752" s="89"/>
      <c r="IU752" s="89"/>
      <c r="IV752" s="89"/>
      <c r="IW752" s="89"/>
      <c r="IX752" s="89"/>
      <c r="IY752" s="89"/>
      <c r="IZ752" s="89"/>
      <c r="JA752" s="89"/>
      <c r="JB752" s="89"/>
      <c r="JC752" s="89"/>
      <c r="JD752" s="89"/>
      <c r="JE752" s="89"/>
      <c r="JF752" s="89"/>
      <c r="JG752" s="89"/>
      <c r="JH752" s="89"/>
      <c r="JI752" s="89"/>
      <c r="JJ752" s="89"/>
      <c r="JK752" s="89"/>
      <c r="JL752" s="89"/>
      <c r="JM752" s="154" t="s">
        <v>14</v>
      </c>
      <c r="JN752" s="155" t="s">
        <v>1664</v>
      </c>
      <c r="JO752" s="147"/>
      <c r="JS752" s="89"/>
      <c r="JT752" s="89"/>
      <c r="JU752" s="89"/>
      <c r="JV752" s="89"/>
      <c r="JW752" s="89"/>
      <c r="JX752" s="89"/>
      <c r="JY752" s="89"/>
      <c r="JZ752" s="156"/>
      <c r="KA752" s="154"/>
      <c r="KB752" s="147"/>
      <c r="KC752" s="89"/>
      <c r="KD752" s="147"/>
      <c r="KE752" s="89"/>
      <c r="KF752" s="89"/>
      <c r="KG752" s="89"/>
      <c r="KH752" s="147"/>
      <c r="KI752" s="89"/>
      <c r="KJ752" s="152"/>
      <c r="KK752" s="173"/>
      <c r="KL752" s="89"/>
      <c r="KM752" s="89"/>
      <c r="KN752" s="89"/>
      <c r="KO752" s="89"/>
      <c r="KP752" s="147"/>
      <c r="KQ752" s="89"/>
      <c r="KR752" s="152"/>
      <c r="KS752" s="173"/>
      <c r="KT752" s="89"/>
      <c r="KU752" s="89"/>
      <c r="KV752" s="158"/>
      <c r="KW752" s="174"/>
      <c r="KX752" s="89"/>
      <c r="KY752" s="89"/>
      <c r="KZ752" s="89"/>
      <c r="LA752" s="3"/>
      <c r="LB752" s="3"/>
      <c r="LC752" s="3"/>
      <c r="LD752" s="3"/>
      <c r="LE752" s="3"/>
      <c r="LF752" s="3"/>
      <c r="LG752" s="3"/>
      <c r="LH752" s="3"/>
      <c r="LI752" s="147"/>
      <c r="LJ752" s="147"/>
      <c r="LK752" s="147"/>
      <c r="LL752" s="147"/>
      <c r="LM752" s="147"/>
      <c r="LN752" s="89"/>
      <c r="LO752" s="147"/>
      <c r="LP752" s="147"/>
      <c r="LQ752" s="147"/>
      <c r="LR752" s="89"/>
      <c r="LS752" s="89"/>
      <c r="LT752" s="89"/>
      <c r="LU752" s="89"/>
      <c r="LV752" s="89"/>
      <c r="LW752" s="89"/>
      <c r="LX752" s="89"/>
      <c r="LY752" s="89"/>
      <c r="LZ752" s="89"/>
      <c r="MA752" s="89"/>
      <c r="MB752" s="89"/>
      <c r="MC752" s="89"/>
      <c r="MD752" s="89"/>
      <c r="ME752" s="89"/>
      <c r="MF752" s="89"/>
      <c r="MG752" s="89"/>
      <c r="MH752" s="89"/>
      <c r="MI752" s="89"/>
      <c r="MJ752" s="89"/>
      <c r="MK752" s="89"/>
      <c r="ML752" s="89"/>
      <c r="MM752" s="89"/>
      <c r="MN752" s="89"/>
      <c r="MO752" s="89"/>
      <c r="MP752" s="89"/>
      <c r="MQ752" s="89"/>
      <c r="MR752" s="89"/>
      <c r="MS752" s="89"/>
      <c r="MT752" s="89"/>
      <c r="MU752" s="89"/>
      <c r="MV752" s="89"/>
      <c r="MW752" s="89"/>
      <c r="MX752" s="89"/>
      <c r="MY752" s="89"/>
      <c r="MZ752" s="148" t="s">
        <v>2225</v>
      </c>
      <c r="NA752" s="89">
        <v>64</v>
      </c>
      <c r="NB752" s="148" t="s">
        <v>2235</v>
      </c>
      <c r="NC752" s="159" t="s">
        <v>2236</v>
      </c>
      <c r="ND752" s="159" t="s">
        <v>2237</v>
      </c>
      <c r="NE752" s="159"/>
      <c r="NF752" s="159"/>
      <c r="NG752" s="159"/>
      <c r="NH752" s="159"/>
      <c r="NI752" s="159"/>
      <c r="NJ752" s="148"/>
      <c r="NK752" s="148" t="s">
        <v>1679</v>
      </c>
      <c r="NL752" s="148" t="s">
        <v>2235</v>
      </c>
      <c r="NM752" t="s">
        <v>1518</v>
      </c>
      <c r="NN752" s="160" t="s">
        <v>265</v>
      </c>
      <c r="NO752" s="148"/>
      <c r="NP752" s="148"/>
      <c r="NQ752" s="148"/>
      <c r="NR752" s="148"/>
      <c r="NS752" s="148"/>
      <c r="NT752" s="148"/>
      <c r="NU752" s="148"/>
      <c r="NV752" s="148" t="s">
        <v>64</v>
      </c>
      <c r="NW752" s="161" t="s">
        <v>6</v>
      </c>
      <c r="NX752" s="97">
        <v>306.60000000000002</v>
      </c>
      <c r="NY752" s="161" t="s">
        <v>4</v>
      </c>
      <c r="NZ752" s="97">
        <v>49.2</v>
      </c>
      <c r="OA752" s="175"/>
      <c r="OB752" s="89"/>
      <c r="OC752" s="148">
        <v>4</v>
      </c>
      <c r="OD752" s="89"/>
      <c r="OE752" s="89"/>
      <c r="OF752" s="89"/>
      <c r="OG752" s="89"/>
      <c r="OH752" s="89"/>
      <c r="OI752" s="89"/>
      <c r="OJ752" s="89"/>
      <c r="OK752" s="89"/>
      <c r="OL752" s="89"/>
      <c r="OM752" s="89"/>
      <c r="ON752" s="159"/>
      <c r="OO752" s="159"/>
      <c r="OP752" s="159"/>
      <c r="OQ752" s="159"/>
      <c r="OR752" s="159"/>
      <c r="OS752" s="159"/>
      <c r="OT752" s="148" t="s">
        <v>2229</v>
      </c>
      <c r="OU752" s="89"/>
      <c r="OV752" s="89">
        <v>2007</v>
      </c>
      <c r="OW752" s="89"/>
      <c r="OX752" s="89"/>
      <c r="OY752" s="89" t="s">
        <v>1</v>
      </c>
      <c r="OZ752" s="89"/>
      <c r="PA752" t="s">
        <v>1169</v>
      </c>
      <c r="PB752" s="58">
        <v>46134</v>
      </c>
    </row>
    <row r="753" spans="1:418" ht="15.75" thickBot="1">
      <c r="A753" t="s">
        <v>248</v>
      </c>
      <c r="B753" t="s">
        <v>2219</v>
      </c>
      <c r="C753" s="89" t="s">
        <v>34</v>
      </c>
      <c r="D753" s="147" t="s">
        <v>1936</v>
      </c>
      <c r="E753" s="89" t="s">
        <v>1658</v>
      </c>
      <c r="F753" t="s">
        <v>31</v>
      </c>
      <c r="G753" s="89" t="s">
        <v>2</v>
      </c>
      <c r="H753" s="147" t="s">
        <v>30</v>
      </c>
      <c r="I753">
        <v>-0.41666666699999999</v>
      </c>
      <c r="J753">
        <v>34.200000000000003</v>
      </c>
      <c r="K753" s="147" t="s">
        <v>29</v>
      </c>
      <c r="L753" s="2"/>
      <c r="M753" s="99"/>
      <c r="N753" s="2"/>
      <c r="O753" s="89"/>
      <c r="P753" s="2"/>
      <c r="Q753" s="2"/>
      <c r="R753" s="89"/>
      <c r="S753" s="89"/>
      <c r="T753" s="89"/>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c r="AV753" s="89" t="s">
        <v>2220</v>
      </c>
      <c r="AW753" s="89">
        <v>64</v>
      </c>
      <c r="AX753" s="89">
        <v>0.09</v>
      </c>
      <c r="AY753" s="89">
        <v>1</v>
      </c>
      <c r="AZ753" s="148" t="s">
        <v>2221</v>
      </c>
      <c r="BA753" s="148">
        <v>2007</v>
      </c>
      <c r="BB753" s="148">
        <v>2008</v>
      </c>
      <c r="BC753" s="148" t="s">
        <v>1</v>
      </c>
      <c r="BD753" s="2"/>
      <c r="BE753" s="2" t="s">
        <v>2230</v>
      </c>
      <c r="BF753" s="2" t="s">
        <v>64</v>
      </c>
      <c r="BG753" s="148" t="s">
        <v>1233</v>
      </c>
      <c r="BH753" s="2" t="s">
        <v>2223</v>
      </c>
      <c r="BI753" s="148" t="s">
        <v>29</v>
      </c>
      <c r="BJ753" s="149" t="s">
        <v>22</v>
      </c>
      <c r="BK753" s="150">
        <v>55500</v>
      </c>
      <c r="BL753" s="2" t="s">
        <v>56</v>
      </c>
      <c r="BM753" t="s">
        <v>2231</v>
      </c>
      <c r="BN753" s="148" t="s">
        <v>29</v>
      </c>
      <c r="BO753" s="2" t="s">
        <v>22</v>
      </c>
      <c r="BP753" s="2">
        <v>55000</v>
      </c>
      <c r="BQ753" s="2"/>
      <c r="BR753" s="2"/>
      <c r="BS753" s="2"/>
      <c r="BT753" s="2"/>
      <c r="BU753" s="2"/>
      <c r="BV753" s="2"/>
      <c r="BW753" s="3"/>
      <c r="BX753" s="3"/>
      <c r="BY753" s="3"/>
      <c r="BZ753" s="3"/>
      <c r="CA753" s="3"/>
      <c r="CB753" s="3"/>
      <c r="CC753" s="3"/>
      <c r="CD753" s="3"/>
      <c r="CE753" s="3"/>
      <c r="CF753" s="3"/>
      <c r="CG753" s="3"/>
      <c r="CH753" s="3"/>
      <c r="CI753" s="3"/>
      <c r="CJ753" s="3"/>
      <c r="CK753" s="3"/>
      <c r="CL753" s="3"/>
      <c r="CM753" s="3"/>
      <c r="CN753" s="3"/>
      <c r="CO753" s="3"/>
      <c r="CP753" s="3"/>
      <c r="CQ753" s="3"/>
      <c r="CR753" s="3"/>
      <c r="CS753" s="3"/>
      <c r="CT753" s="3"/>
      <c r="CU753" s="3"/>
      <c r="CV753" s="3"/>
      <c r="CW753" s="3"/>
      <c r="CX753" s="3"/>
      <c r="CY753" s="3"/>
      <c r="CZ753" s="3"/>
      <c r="DA753" s="3"/>
      <c r="DB753" s="3"/>
      <c r="DC753" s="3"/>
      <c r="DD753" s="3"/>
      <c r="DE753" s="3"/>
      <c r="DF753" s="3"/>
      <c r="DG753" s="3"/>
      <c r="DH753" s="3"/>
      <c r="DI753" s="3"/>
      <c r="DJ753" s="3"/>
      <c r="DK753" s="3"/>
      <c r="DL753" s="3"/>
      <c r="DM753" s="3"/>
      <c r="DN753" s="3"/>
      <c r="DO753" s="3"/>
      <c r="DP753" s="3"/>
      <c r="DQ753" s="3"/>
      <c r="DR753" s="3"/>
      <c r="DS753" s="3"/>
      <c r="DT753" s="3"/>
      <c r="DU753" s="3"/>
      <c r="DV753" s="3"/>
      <c r="DW753" s="3"/>
      <c r="DX753" s="3"/>
      <c r="DY753" s="3"/>
      <c r="DZ753" s="3"/>
      <c r="EA753" s="3"/>
      <c r="EB753" s="3"/>
      <c r="EC753" s="3"/>
      <c r="ED753" s="3"/>
      <c r="EE753" s="2"/>
      <c r="EF753" s="2"/>
      <c r="EG753" s="2"/>
      <c r="EH753" s="2"/>
      <c r="EI753" s="2"/>
      <c r="EJ753" s="2"/>
      <c r="EK753" s="2"/>
      <c r="EL753" s="2"/>
      <c r="EM753" s="3"/>
      <c r="EN753" s="3"/>
      <c r="EO753" s="3"/>
      <c r="EP753" s="3"/>
      <c r="EQ753" s="3"/>
      <c r="ER753" s="3"/>
      <c r="ES753" s="3"/>
      <c r="ET753" s="3"/>
      <c r="EU753" s="3"/>
      <c r="EV753" s="3"/>
      <c r="EW753" s="3"/>
      <c r="EX753" s="3"/>
      <c r="EY753" s="3"/>
      <c r="EZ753" s="3"/>
      <c r="FA753" s="3"/>
      <c r="FB753" s="3"/>
      <c r="FC753" s="3"/>
      <c r="FD753" s="3"/>
      <c r="FE753" s="3"/>
      <c r="FF753" s="3"/>
      <c r="FG753" s="3"/>
      <c r="FH753" s="3"/>
      <c r="FI753" s="3"/>
      <c r="FJ753" s="3"/>
      <c r="FK753" s="3"/>
      <c r="FL753" s="3"/>
      <c r="FM753" s="3"/>
      <c r="FN753" s="3"/>
      <c r="FO753" s="3"/>
      <c r="FP753" s="3"/>
      <c r="FQ753" s="3"/>
      <c r="FR753" s="3"/>
      <c r="FS753" s="3"/>
      <c r="FT753" s="3"/>
      <c r="FU753" s="3"/>
      <c r="FV753" s="3"/>
      <c r="FW753" s="3"/>
      <c r="FX753" s="3"/>
      <c r="FY753" s="3"/>
      <c r="FZ753" s="3"/>
      <c r="GA753" s="3"/>
      <c r="GB753" s="3"/>
      <c r="GC753" s="3"/>
      <c r="GD753" s="3"/>
      <c r="GE753" s="3"/>
      <c r="GF753" s="3"/>
      <c r="GG753" s="3"/>
      <c r="GH753" s="3"/>
      <c r="GI753" s="3"/>
      <c r="GJ753" s="3"/>
      <c r="GK753" s="3"/>
      <c r="GL753" s="3"/>
      <c r="GM753" s="3"/>
      <c r="GN753" s="3"/>
      <c r="GO753" s="3"/>
      <c r="GP753" s="3"/>
      <c r="GQ753" s="3"/>
      <c r="GR753" s="3"/>
      <c r="GS753" s="3"/>
      <c r="GT753" s="3"/>
      <c r="GU753" s="3"/>
      <c r="GV753" s="3"/>
      <c r="GW753" s="3"/>
      <c r="GX753" s="3"/>
      <c r="GY753" s="3"/>
      <c r="GZ753" s="3"/>
      <c r="HA753" s="3"/>
      <c r="HB753" s="3"/>
      <c r="HC753" s="3"/>
      <c r="HD753" s="3"/>
      <c r="HE753" s="3"/>
      <c r="HF753" s="3"/>
      <c r="HG753" s="3"/>
      <c r="HH753" s="3"/>
      <c r="HI753" s="3"/>
      <c r="HJ753" s="3"/>
      <c r="HK753" s="3"/>
      <c r="HL753" s="2"/>
      <c r="HM753" s="2"/>
      <c r="HN753" s="2"/>
      <c r="HO753" s="2"/>
      <c r="HP753" s="2"/>
      <c r="HQ753" s="2"/>
      <c r="HR753" s="2"/>
      <c r="HS753" s="2"/>
      <c r="HT753" s="99"/>
      <c r="HU753" s="2"/>
      <c r="HV753" s="2"/>
      <c r="HW753" s="2"/>
      <c r="HX753" s="2"/>
      <c r="HY753" s="2"/>
      <c r="HZ753" s="2"/>
      <c r="IA753" s="2"/>
      <c r="IB753" s="2"/>
      <c r="IC753" s="2"/>
      <c r="ID753" s="2"/>
      <c r="IE753" s="2"/>
      <c r="IF753" s="2"/>
      <c r="IG753" s="2"/>
      <c r="IH753" s="2"/>
      <c r="II753" s="148" t="s">
        <v>2224</v>
      </c>
      <c r="IJ753" s="163" t="s">
        <v>1443</v>
      </c>
      <c r="IK753" s="164" t="s">
        <v>1466</v>
      </c>
      <c r="IL753" s="165" t="s">
        <v>661</v>
      </c>
      <c r="IM753" s="2">
        <v>2007</v>
      </c>
      <c r="IN753" s="2" t="s">
        <v>62</v>
      </c>
      <c r="IO753" s="2" t="s">
        <v>29</v>
      </c>
      <c r="IR753" s="2"/>
      <c r="IS753" s="2"/>
      <c r="IT753" s="2"/>
      <c r="IU753" s="2"/>
      <c r="IV753" s="2"/>
      <c r="IW753" s="2"/>
      <c r="IX753" s="2"/>
      <c r="IY753" s="2"/>
      <c r="IZ753" s="2"/>
      <c r="JA753" s="2"/>
      <c r="JB753" s="2"/>
      <c r="JC753" s="2"/>
      <c r="JD753" s="2"/>
      <c r="JE753" s="2"/>
      <c r="JF753" s="2"/>
      <c r="JG753" s="2"/>
      <c r="JH753" s="2"/>
      <c r="JI753" s="2"/>
      <c r="JJ753" s="2"/>
      <c r="JK753" s="2"/>
      <c r="JL753" s="2"/>
      <c r="JM753" s="154" t="s">
        <v>14</v>
      </c>
      <c r="JN753" s="155" t="s">
        <v>1664</v>
      </c>
      <c r="JO753" s="99"/>
      <c r="JS753" s="2"/>
      <c r="JT753" s="2"/>
      <c r="JU753" s="2"/>
      <c r="JV753" s="2"/>
      <c r="JW753" s="2"/>
      <c r="JX753" s="2"/>
      <c r="JY753" s="2"/>
      <c r="JZ753" s="156"/>
      <c r="KA753" s="166"/>
      <c r="KB753" s="99"/>
      <c r="KC753" s="2"/>
      <c r="KD753" s="99"/>
      <c r="KE753" s="2"/>
      <c r="KF753" s="2"/>
      <c r="KG753" s="2"/>
      <c r="KH753" s="99"/>
      <c r="KI753" s="2"/>
      <c r="KJ753" s="163"/>
      <c r="KK753" s="167"/>
      <c r="KL753" s="2"/>
      <c r="KM753" s="2"/>
      <c r="KN753" s="2"/>
      <c r="KO753" s="2"/>
      <c r="KP753" s="99"/>
      <c r="KQ753" s="2"/>
      <c r="KR753" s="163"/>
      <c r="KS753" s="167"/>
      <c r="KT753" s="2"/>
      <c r="KU753" s="2"/>
      <c r="KV753" s="158"/>
      <c r="KW753" s="176"/>
      <c r="KX753" s="2"/>
      <c r="KY753" s="2"/>
      <c r="KZ753" s="2"/>
      <c r="LA753" s="3"/>
      <c r="LB753" s="3"/>
      <c r="LC753" s="3"/>
      <c r="LD753" s="3"/>
      <c r="LE753" s="3"/>
      <c r="LF753" s="3"/>
      <c r="LG753" s="3"/>
      <c r="LH753" s="3"/>
      <c r="LI753" s="99"/>
      <c r="LJ753" s="99"/>
      <c r="LK753" s="99"/>
      <c r="LL753" s="99"/>
      <c r="LM753" s="99"/>
      <c r="LN753" s="2"/>
      <c r="LO753" s="99"/>
      <c r="LP753" s="99"/>
      <c r="LQ753" s="99"/>
      <c r="LR753" s="2"/>
      <c r="LS753" s="2"/>
      <c r="LT753" s="2"/>
      <c r="LU753" s="2"/>
      <c r="LV753" s="2"/>
      <c r="LW753" s="2"/>
      <c r="LX753" s="2"/>
      <c r="LY753" s="2"/>
      <c r="LZ753" s="2"/>
      <c r="MA753" s="2"/>
      <c r="MB753" s="2"/>
      <c r="MC753" s="2"/>
      <c r="MD753" s="2"/>
      <c r="ME753" s="2"/>
      <c r="MF753" s="2"/>
      <c r="MG753" s="2"/>
      <c r="MH753" s="2"/>
      <c r="MI753" s="2"/>
      <c r="MJ753" s="2"/>
      <c r="MK753" s="2"/>
      <c r="ML753" s="2"/>
      <c r="MM753" s="2"/>
      <c r="MN753" s="2"/>
      <c r="MO753" s="2"/>
      <c r="MP753" s="2"/>
      <c r="MQ753" s="2"/>
      <c r="MR753" s="2"/>
      <c r="MS753" s="2"/>
      <c r="MT753" s="2"/>
      <c r="MU753" s="2"/>
      <c r="MV753" s="2"/>
      <c r="MW753" s="2"/>
      <c r="MX753" s="2"/>
      <c r="MY753" s="2"/>
      <c r="MZ753" s="148" t="s">
        <v>2225</v>
      </c>
      <c r="NA753" s="89">
        <v>64</v>
      </c>
      <c r="NB753" s="148" t="s">
        <v>2235</v>
      </c>
      <c r="NC753" s="159" t="s">
        <v>2236</v>
      </c>
      <c r="ND753" s="159" t="s">
        <v>2237</v>
      </c>
      <c r="NE753" s="159" t="s">
        <v>2238</v>
      </c>
      <c r="NF753" s="159"/>
      <c r="NG753" s="159"/>
      <c r="NH753" s="159"/>
      <c r="NI753" s="159"/>
      <c r="NJ753" s="148"/>
      <c r="NK753" s="148" t="s">
        <v>1679</v>
      </c>
      <c r="NL753" s="148" t="s">
        <v>2235</v>
      </c>
      <c r="NM753" t="s">
        <v>1518</v>
      </c>
      <c r="NN753" s="160" t="s">
        <v>265</v>
      </c>
      <c r="NO753" s="148"/>
      <c r="NP753" s="148"/>
      <c r="NQ753" s="148"/>
      <c r="NR753" s="148"/>
      <c r="NS753" s="148"/>
      <c r="NT753" s="148"/>
      <c r="NU753" s="148"/>
      <c r="NV753" s="148"/>
      <c r="NW753" s="161" t="s">
        <v>6</v>
      </c>
      <c r="NX753" s="168">
        <v>1324.7</v>
      </c>
      <c r="NY753" s="161" t="s">
        <v>4</v>
      </c>
      <c r="NZ753" s="168">
        <v>77.400000000000006</v>
      </c>
      <c r="OA753" s="169"/>
      <c r="OB753" s="2"/>
      <c r="OC753" s="148">
        <v>4</v>
      </c>
      <c r="OD753" s="2"/>
      <c r="OE753" s="2"/>
      <c r="OF753" s="2"/>
      <c r="OG753" s="2"/>
      <c r="OH753" s="2"/>
      <c r="OI753" s="2"/>
      <c r="OJ753" s="2"/>
      <c r="OK753" s="2"/>
      <c r="OL753" s="2"/>
      <c r="OM753" s="2"/>
      <c r="OT753" s="148" t="s">
        <v>2229</v>
      </c>
      <c r="OU753" s="2"/>
      <c r="OV753" s="2">
        <v>2007</v>
      </c>
      <c r="OW753" s="2"/>
      <c r="OX753" s="2"/>
      <c r="OY753" s="2" t="s">
        <v>1</v>
      </c>
      <c r="OZ753" s="2"/>
      <c r="PA753" t="s">
        <v>1169</v>
      </c>
      <c r="PB753" s="58">
        <v>46134</v>
      </c>
    </row>
    <row r="754" spans="1:418" ht="15.75" thickBot="1">
      <c r="A754" t="s">
        <v>248</v>
      </c>
      <c r="B754" t="s">
        <v>2219</v>
      </c>
      <c r="C754" s="89" t="s">
        <v>34</v>
      </c>
      <c r="D754" s="147" t="s">
        <v>1936</v>
      </c>
      <c r="E754" s="89" t="s">
        <v>1658</v>
      </c>
      <c r="F754" t="s">
        <v>31</v>
      </c>
      <c r="G754" s="89" t="s">
        <v>2</v>
      </c>
      <c r="H754" s="147" t="s">
        <v>30</v>
      </c>
      <c r="I754">
        <v>-0.41666666699999999</v>
      </c>
      <c r="J754">
        <v>34.200000000000003</v>
      </c>
      <c r="K754" s="147" t="s">
        <v>29</v>
      </c>
      <c r="L754" s="89"/>
      <c r="M754" s="147"/>
      <c r="N754" s="89"/>
      <c r="O754" s="89"/>
      <c r="P754" s="89"/>
      <c r="Q754" s="89"/>
      <c r="R754" s="89"/>
      <c r="S754" s="89"/>
      <c r="T754" s="89"/>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c r="AV754" s="89" t="s">
        <v>2220</v>
      </c>
      <c r="AW754" s="89">
        <v>64</v>
      </c>
      <c r="AX754" s="89">
        <v>0.09</v>
      </c>
      <c r="AY754" s="89">
        <v>1</v>
      </c>
      <c r="AZ754" s="148" t="s">
        <v>2221</v>
      </c>
      <c r="BA754" s="148">
        <v>2007</v>
      </c>
      <c r="BB754" s="148">
        <v>2008</v>
      </c>
      <c r="BC754" s="148" t="s">
        <v>62</v>
      </c>
      <c r="BD754" s="89"/>
      <c r="BE754" s="148" t="s">
        <v>2222</v>
      </c>
      <c r="BF754" s="148" t="s">
        <v>39</v>
      </c>
      <c r="BG754" s="148" t="s">
        <v>1233</v>
      </c>
      <c r="BH754" s="148" t="s">
        <v>2223</v>
      </c>
      <c r="BI754" s="148" t="s">
        <v>29</v>
      </c>
      <c r="BJ754" s="149" t="s">
        <v>22</v>
      </c>
      <c r="BK754" s="150">
        <v>111000</v>
      </c>
      <c r="BL754" s="89"/>
      <c r="BM754" s="89"/>
      <c r="BN754" s="89"/>
      <c r="BO754" s="147"/>
      <c r="BP754" s="170"/>
      <c r="BQ754" s="89"/>
      <c r="BR754" s="89"/>
      <c r="BS754" s="89"/>
      <c r="BT754" s="147"/>
      <c r="BU754" s="170"/>
      <c r="BV754" s="89"/>
      <c r="BW754" s="3"/>
      <c r="BX754" s="3"/>
      <c r="BY754" s="3"/>
      <c r="BZ754" s="3"/>
      <c r="CA754" s="3"/>
      <c r="CB754" s="3"/>
      <c r="CC754" s="3"/>
      <c r="CD754" s="3"/>
      <c r="CE754" s="3"/>
      <c r="CF754" s="3"/>
      <c r="CG754" s="3"/>
      <c r="CH754" s="3"/>
      <c r="CI754" s="3"/>
      <c r="CJ754" s="3"/>
      <c r="CK754" s="3"/>
      <c r="CL754" s="3"/>
      <c r="CM754" s="3"/>
      <c r="CN754" s="3"/>
      <c r="CO754" s="3"/>
      <c r="CP754" s="3"/>
      <c r="CQ754" s="3"/>
      <c r="CR754" s="3"/>
      <c r="CS754" s="3"/>
      <c r="CT754" s="3"/>
      <c r="CU754" s="3"/>
      <c r="CV754" s="3"/>
      <c r="CW754" s="3"/>
      <c r="CX754" s="3"/>
      <c r="CY754" s="3"/>
      <c r="CZ754" s="3"/>
      <c r="DA754" s="3"/>
      <c r="DB754" s="3"/>
      <c r="DC754" s="3"/>
      <c r="DD754" s="3"/>
      <c r="DE754" s="3"/>
      <c r="DF754" s="3"/>
      <c r="DG754" s="3"/>
      <c r="DH754" s="3"/>
      <c r="DI754" s="3"/>
      <c r="DJ754" s="3"/>
      <c r="DK754" s="3"/>
      <c r="DL754" s="3"/>
      <c r="DM754" s="3"/>
      <c r="DN754" s="3"/>
      <c r="DO754" s="3"/>
      <c r="DP754" s="3"/>
      <c r="DQ754" s="3"/>
      <c r="DR754" s="3"/>
      <c r="DS754" s="3"/>
      <c r="DT754" s="3"/>
      <c r="DU754" s="3"/>
      <c r="DV754" s="3"/>
      <c r="DW754" s="3"/>
      <c r="DX754" s="3"/>
      <c r="DY754" s="3"/>
      <c r="DZ754" s="3"/>
      <c r="EA754" s="3"/>
      <c r="EB754" s="3"/>
      <c r="EC754" s="3"/>
      <c r="ED754" s="3"/>
      <c r="EE754" s="89"/>
      <c r="EF754" s="89"/>
      <c r="EG754" s="89"/>
      <c r="EH754" s="89"/>
      <c r="EI754" s="89"/>
      <c r="EJ754" s="89"/>
      <c r="EK754" s="89"/>
      <c r="EL754" s="89"/>
      <c r="EM754" s="3"/>
      <c r="EN754" s="3"/>
      <c r="EO754" s="3"/>
      <c r="EP754" s="3"/>
      <c r="EQ754" s="3"/>
      <c r="ER754" s="3"/>
      <c r="ES754" s="3"/>
      <c r="ET754" s="3"/>
      <c r="EU754" s="3"/>
      <c r="EV754" s="3"/>
      <c r="EW754" s="3"/>
      <c r="EX754" s="3"/>
      <c r="EY754" s="3"/>
      <c r="EZ754" s="3"/>
      <c r="FA754" s="3"/>
      <c r="FB754" s="3"/>
      <c r="FC754" s="3"/>
      <c r="FD754" s="3"/>
      <c r="FE754" s="3"/>
      <c r="FF754" s="3"/>
      <c r="FG754" s="3"/>
      <c r="FH754" s="3"/>
      <c r="FI754" s="3"/>
      <c r="FJ754" s="3"/>
      <c r="FK754" s="3"/>
      <c r="FL754" s="3"/>
      <c r="FM754" s="3"/>
      <c r="FN754" s="3"/>
      <c r="FO754" s="3"/>
      <c r="FP754" s="3"/>
      <c r="FQ754" s="3"/>
      <c r="FR754" s="3"/>
      <c r="FS754" s="3"/>
      <c r="FT754" s="3"/>
      <c r="FU754" s="3"/>
      <c r="FV754" s="3"/>
      <c r="FW754" s="3"/>
      <c r="FX754" s="3"/>
      <c r="FY754" s="3"/>
      <c r="FZ754" s="3"/>
      <c r="GA754" s="3"/>
      <c r="GB754" s="3"/>
      <c r="GC754" s="3"/>
      <c r="GD754" s="3"/>
      <c r="GE754" s="3"/>
      <c r="GF754" s="3"/>
      <c r="GG754" s="3"/>
      <c r="GH754" s="3"/>
      <c r="GI754" s="3"/>
      <c r="GJ754" s="3"/>
      <c r="GK754" s="3"/>
      <c r="GL754" s="3"/>
      <c r="GM754" s="3"/>
      <c r="GN754" s="3"/>
      <c r="GO754" s="3"/>
      <c r="GP754" s="3"/>
      <c r="GQ754" s="3"/>
      <c r="GR754" s="3"/>
      <c r="GS754" s="3"/>
      <c r="GT754" s="3"/>
      <c r="GU754" s="3"/>
      <c r="GV754" s="3"/>
      <c r="GW754" s="3"/>
      <c r="GX754" s="3"/>
      <c r="GY754" s="3"/>
      <c r="GZ754" s="3"/>
      <c r="HA754" s="3"/>
      <c r="HB754" s="3"/>
      <c r="HC754" s="3"/>
      <c r="HD754" s="3"/>
      <c r="HE754" s="3"/>
      <c r="HF754" s="3"/>
      <c r="HG754" s="3"/>
      <c r="HH754" s="3"/>
      <c r="HI754" s="3"/>
      <c r="HJ754" s="3"/>
      <c r="HK754" s="3"/>
      <c r="HL754" s="89"/>
      <c r="HM754" s="89"/>
      <c r="HN754" s="89"/>
      <c r="HO754" s="89"/>
      <c r="HP754" s="89"/>
      <c r="HQ754" s="89"/>
      <c r="HR754" s="89"/>
      <c r="HS754" s="89"/>
      <c r="HT754" s="147"/>
      <c r="HU754" s="89"/>
      <c r="HV754" s="89"/>
      <c r="HW754" s="89"/>
      <c r="HX754" s="89"/>
      <c r="HY754" s="89"/>
      <c r="HZ754" s="89"/>
      <c r="IA754" s="89"/>
      <c r="IB754" s="89"/>
      <c r="IC754" s="89"/>
      <c r="ID754" s="89"/>
      <c r="IE754" s="89"/>
      <c r="IF754" s="89"/>
      <c r="IG754" s="89"/>
      <c r="IH754" s="89"/>
      <c r="II754" s="148" t="s">
        <v>2224</v>
      </c>
      <c r="IJ754" s="152" t="s">
        <v>19</v>
      </c>
      <c r="IK754" s="89"/>
      <c r="IL754" s="89"/>
      <c r="IM754" s="89"/>
      <c r="IN754" s="89"/>
      <c r="IO754" s="89"/>
      <c r="IR754" s="89"/>
      <c r="IS754" s="89"/>
      <c r="IT754" s="89"/>
      <c r="IU754" s="89"/>
      <c r="IV754" s="89"/>
      <c r="IW754" s="89"/>
      <c r="IX754" s="147"/>
      <c r="IY754" s="89"/>
      <c r="IZ754" s="89"/>
      <c r="JA754" s="89"/>
      <c r="JB754" s="89"/>
      <c r="JC754" s="89"/>
      <c r="JD754" s="89"/>
      <c r="JE754" s="89"/>
      <c r="JF754" s="89"/>
      <c r="JG754" s="89"/>
      <c r="JH754" s="89"/>
      <c r="JI754" s="89"/>
      <c r="JJ754" s="89"/>
      <c r="JK754" s="89"/>
      <c r="JL754" s="89"/>
      <c r="JM754" s="154" t="s">
        <v>14</v>
      </c>
      <c r="JN754" s="155" t="s">
        <v>1664</v>
      </c>
      <c r="JO754" s="147"/>
      <c r="JS754" s="89"/>
      <c r="JT754" s="89"/>
      <c r="JU754" s="89"/>
      <c r="JV754" s="89"/>
      <c r="JW754" s="89"/>
      <c r="JX754" s="89"/>
      <c r="JY754" s="89"/>
      <c r="JZ754" s="156"/>
      <c r="KA754" s="154"/>
      <c r="KB754" s="147"/>
      <c r="KC754" s="89"/>
      <c r="KD754" s="147"/>
      <c r="KE754" s="89"/>
      <c r="KF754" s="89"/>
      <c r="KG754" s="89"/>
      <c r="KH754" s="147"/>
      <c r="KI754" s="89"/>
      <c r="KJ754" s="152"/>
      <c r="KK754" s="173"/>
      <c r="KL754" s="89"/>
      <c r="KM754" s="89"/>
      <c r="KN754" s="89"/>
      <c r="KO754" s="89"/>
      <c r="KP754" s="147"/>
      <c r="KQ754" s="89"/>
      <c r="KR754" s="177"/>
      <c r="KS754" s="154"/>
      <c r="KT754" s="89"/>
      <c r="KU754" s="89"/>
      <c r="KV754" s="158"/>
      <c r="KW754" s="173"/>
      <c r="KX754" s="89"/>
      <c r="KY754" s="89"/>
      <c r="KZ754" s="89"/>
      <c r="LA754" s="3"/>
      <c r="LB754" s="3"/>
      <c r="LC754" s="3"/>
      <c r="LD754" s="3"/>
      <c r="LE754" s="3"/>
      <c r="LF754" s="3"/>
      <c r="LG754" s="3"/>
      <c r="LH754" s="3"/>
      <c r="LI754" s="147"/>
      <c r="LJ754" s="147"/>
      <c r="LK754" s="147"/>
      <c r="LL754" s="147"/>
      <c r="LM754" s="147"/>
      <c r="LN754" s="89"/>
      <c r="LO754" s="147"/>
      <c r="LP754" s="147"/>
      <c r="LQ754" s="147"/>
      <c r="LR754" s="89"/>
      <c r="LS754" s="89"/>
      <c r="LT754" s="89"/>
      <c r="LU754" s="89"/>
      <c r="LV754" s="89"/>
      <c r="LW754" s="89"/>
      <c r="LX754" s="89"/>
      <c r="LY754" s="89"/>
      <c r="LZ754" s="89"/>
      <c r="MA754" s="89"/>
      <c r="MB754" s="89"/>
      <c r="MC754" s="89"/>
      <c r="MD754" s="89"/>
      <c r="ME754" s="89"/>
      <c r="MF754" s="89"/>
      <c r="MG754" s="89"/>
      <c r="MH754" s="89"/>
      <c r="MI754" s="89"/>
      <c r="MJ754" s="89"/>
      <c r="MK754" s="89"/>
      <c r="ML754" s="89"/>
      <c r="MM754" s="89"/>
      <c r="MN754" s="89"/>
      <c r="MO754" s="89"/>
      <c r="MP754" s="89"/>
      <c r="MQ754" s="89"/>
      <c r="MR754" s="89"/>
      <c r="MS754" s="89"/>
      <c r="MT754" s="89"/>
      <c r="MU754" s="89"/>
      <c r="MV754" s="89"/>
      <c r="MW754" s="89"/>
      <c r="MX754" s="89"/>
      <c r="MY754" s="89"/>
      <c r="MZ754" s="148" t="s">
        <v>2225</v>
      </c>
      <c r="NA754" s="89">
        <v>64</v>
      </c>
      <c r="NB754" s="148" t="s">
        <v>2235</v>
      </c>
      <c r="NC754" s="159" t="s">
        <v>2236</v>
      </c>
      <c r="ND754" s="159" t="s">
        <v>2237</v>
      </c>
      <c r="NE754" s="159"/>
      <c r="NF754" s="159"/>
      <c r="NG754" s="159"/>
      <c r="NH754" s="159"/>
      <c r="NI754" s="159"/>
      <c r="NJ754" s="148"/>
      <c r="NK754" s="148" t="s">
        <v>1679</v>
      </c>
      <c r="NL754" s="148" t="s">
        <v>2235</v>
      </c>
      <c r="NM754" t="s">
        <v>1518</v>
      </c>
      <c r="NN754" s="160" t="s">
        <v>265</v>
      </c>
      <c r="NO754" s="148"/>
      <c r="NP754" s="148"/>
      <c r="NQ754" s="148"/>
      <c r="NR754" s="148"/>
      <c r="NS754" s="148"/>
      <c r="NT754" s="148"/>
      <c r="NU754" s="148"/>
      <c r="NV754" s="148" t="s">
        <v>64</v>
      </c>
      <c r="NW754" s="161" t="s">
        <v>6</v>
      </c>
      <c r="NX754" s="97">
        <v>467.9</v>
      </c>
      <c r="NY754" s="161" t="s">
        <v>4</v>
      </c>
      <c r="NZ754" s="97">
        <v>70.7</v>
      </c>
      <c r="OA754" s="175"/>
      <c r="OB754" s="89"/>
      <c r="OC754" s="148">
        <v>4</v>
      </c>
      <c r="OD754" s="89"/>
      <c r="OE754" s="89"/>
      <c r="OF754" s="89"/>
      <c r="OG754" s="89"/>
      <c r="OH754" s="89"/>
      <c r="OI754" s="89"/>
      <c r="OJ754" s="89"/>
      <c r="OK754" s="89"/>
      <c r="OL754" s="89"/>
      <c r="OM754" s="89"/>
      <c r="ON754" s="159"/>
      <c r="OO754" s="159"/>
      <c r="OP754" s="159"/>
      <c r="OQ754" s="159"/>
      <c r="OR754" s="159"/>
      <c r="OS754" s="159"/>
      <c r="OT754" s="148" t="s">
        <v>2229</v>
      </c>
      <c r="OU754" s="89"/>
      <c r="OV754" s="89">
        <v>2008</v>
      </c>
      <c r="OW754" s="89"/>
      <c r="OX754" s="89"/>
      <c r="OY754" s="148" t="s">
        <v>62</v>
      </c>
      <c r="OZ754" s="89"/>
      <c r="PA754" t="s">
        <v>1169</v>
      </c>
      <c r="PB754" s="58">
        <v>46134</v>
      </c>
    </row>
    <row r="755" spans="1:418" ht="15.75" thickBot="1">
      <c r="A755" t="s">
        <v>248</v>
      </c>
      <c r="B755" t="s">
        <v>2219</v>
      </c>
      <c r="C755" s="89" t="s">
        <v>34</v>
      </c>
      <c r="D755" s="147" t="s">
        <v>1936</v>
      </c>
      <c r="E755" s="89" t="s">
        <v>1658</v>
      </c>
      <c r="F755" t="s">
        <v>31</v>
      </c>
      <c r="G755" s="89" t="s">
        <v>2</v>
      </c>
      <c r="H755" s="147" t="s">
        <v>30</v>
      </c>
      <c r="I755">
        <v>-0.41666666699999999</v>
      </c>
      <c r="J755">
        <v>34.200000000000003</v>
      </c>
      <c r="K755" s="147" t="s">
        <v>29</v>
      </c>
      <c r="L755" s="2"/>
      <c r="M755" s="99"/>
      <c r="N755" s="2"/>
      <c r="O755" s="89"/>
      <c r="P755" s="2"/>
      <c r="Q755" s="2"/>
      <c r="R755" s="89"/>
      <c r="S755" s="89"/>
      <c r="T755" s="89"/>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c r="AV755" s="89" t="s">
        <v>2220</v>
      </c>
      <c r="AW755" s="89">
        <v>64</v>
      </c>
      <c r="AX755" s="89">
        <v>0.09</v>
      </c>
      <c r="AY755" s="89">
        <v>1</v>
      </c>
      <c r="AZ755" s="148" t="s">
        <v>2221</v>
      </c>
      <c r="BA755" s="148">
        <v>2007</v>
      </c>
      <c r="BB755" s="148">
        <v>2008</v>
      </c>
      <c r="BC755" s="148" t="s">
        <v>62</v>
      </c>
      <c r="BD755" s="2"/>
      <c r="BE755" s="2" t="s">
        <v>2230</v>
      </c>
      <c r="BF755" s="2" t="s">
        <v>64</v>
      </c>
      <c r="BG755" s="148" t="s">
        <v>1233</v>
      </c>
      <c r="BH755" s="2" t="s">
        <v>2223</v>
      </c>
      <c r="BI755" s="148" t="s">
        <v>29</v>
      </c>
      <c r="BJ755" s="149" t="s">
        <v>22</v>
      </c>
      <c r="BK755" s="150">
        <v>55500</v>
      </c>
      <c r="BL755" s="2" t="s">
        <v>56</v>
      </c>
      <c r="BM755" t="s">
        <v>2231</v>
      </c>
      <c r="BN755" s="148" t="s">
        <v>29</v>
      </c>
      <c r="BO755" s="2" t="s">
        <v>22</v>
      </c>
      <c r="BP755" s="2">
        <v>55000</v>
      </c>
      <c r="BQ755" s="2"/>
      <c r="BR755" s="2"/>
      <c r="BS755" s="2"/>
      <c r="BT755" s="99"/>
      <c r="BU755" s="2"/>
      <c r="BV755" s="2"/>
      <c r="BW755" s="3"/>
      <c r="BX755" s="3"/>
      <c r="BY755" s="3"/>
      <c r="BZ755" s="3"/>
      <c r="CA755" s="3"/>
      <c r="CB755" s="3"/>
      <c r="CC755" s="3"/>
      <c r="CD755" s="3"/>
      <c r="CE755" s="3"/>
      <c r="CF755" s="3"/>
      <c r="CG755" s="3"/>
      <c r="CH755" s="3"/>
      <c r="CI755" s="3"/>
      <c r="CJ755" s="3"/>
      <c r="CK755" s="3"/>
      <c r="CL755" s="3"/>
      <c r="CM755" s="3"/>
      <c r="CN755" s="3"/>
      <c r="CO755" s="3"/>
      <c r="CP755" s="3"/>
      <c r="CQ755" s="3"/>
      <c r="CR755" s="3"/>
      <c r="CS755" s="3"/>
      <c r="CT755" s="3"/>
      <c r="CU755" s="3"/>
      <c r="CV755" s="3"/>
      <c r="CW755" s="3"/>
      <c r="CX755" s="3"/>
      <c r="CY755" s="3"/>
      <c r="CZ755" s="3"/>
      <c r="DA755" s="3"/>
      <c r="DB755" s="3"/>
      <c r="DC755" s="3"/>
      <c r="DD755" s="3"/>
      <c r="DE755" s="3"/>
      <c r="DF755" s="3"/>
      <c r="DG755" s="3"/>
      <c r="DH755" s="3"/>
      <c r="DI755" s="3"/>
      <c r="DJ755" s="3"/>
      <c r="DK755" s="3"/>
      <c r="DL755" s="3"/>
      <c r="DM755" s="3"/>
      <c r="DN755" s="3"/>
      <c r="DO755" s="3"/>
      <c r="DP755" s="3"/>
      <c r="DQ755" s="3"/>
      <c r="DR755" s="3"/>
      <c r="DS755" s="3"/>
      <c r="DT755" s="3"/>
      <c r="DU755" s="3"/>
      <c r="DV755" s="3"/>
      <c r="DW755" s="3"/>
      <c r="DX755" s="3"/>
      <c r="DY755" s="3"/>
      <c r="DZ755" s="3"/>
      <c r="EA755" s="3"/>
      <c r="EB755" s="3"/>
      <c r="EC755" s="3"/>
      <c r="ED755" s="3"/>
      <c r="EE755" s="2"/>
      <c r="EF755" s="2"/>
      <c r="EG755" s="2"/>
      <c r="EH755" s="2"/>
      <c r="EI755" s="2"/>
      <c r="EJ755" s="2"/>
      <c r="EK755" s="2"/>
      <c r="EL755" s="2"/>
      <c r="EM755" s="3"/>
      <c r="EN755" s="3"/>
      <c r="EO755" s="3"/>
      <c r="EP755" s="3"/>
      <c r="EQ755" s="3"/>
      <c r="ER755" s="3"/>
      <c r="ES755" s="3"/>
      <c r="ET755" s="3"/>
      <c r="EU755" s="3"/>
      <c r="EV755" s="3"/>
      <c r="EW755" s="3"/>
      <c r="EX755" s="3"/>
      <c r="EY755" s="3"/>
      <c r="EZ755" s="3"/>
      <c r="FA755" s="3"/>
      <c r="FB755" s="3"/>
      <c r="FC755" s="3"/>
      <c r="FD755" s="3"/>
      <c r="FE755" s="3"/>
      <c r="FF755" s="3"/>
      <c r="FG755" s="3"/>
      <c r="FH755" s="3"/>
      <c r="FI755" s="3"/>
      <c r="FJ755" s="3"/>
      <c r="FK755" s="3"/>
      <c r="FL755" s="3"/>
      <c r="FM755" s="3"/>
      <c r="FN755" s="3"/>
      <c r="FO755" s="3"/>
      <c r="FP755" s="3"/>
      <c r="FQ755" s="3"/>
      <c r="FR755" s="3"/>
      <c r="FS755" s="3"/>
      <c r="FT755" s="3"/>
      <c r="FU755" s="3"/>
      <c r="FV755" s="3"/>
      <c r="FW755" s="3"/>
      <c r="FX755" s="3"/>
      <c r="FY755" s="3"/>
      <c r="FZ755" s="3"/>
      <c r="GA755" s="3"/>
      <c r="GB755" s="3"/>
      <c r="GC755" s="3"/>
      <c r="GD755" s="3"/>
      <c r="GE755" s="3"/>
      <c r="GF755" s="3"/>
      <c r="GG755" s="3"/>
      <c r="GH755" s="3"/>
      <c r="GI755" s="3"/>
      <c r="GJ755" s="3"/>
      <c r="GK755" s="3"/>
      <c r="GL755" s="3"/>
      <c r="GM755" s="3"/>
      <c r="GN755" s="3"/>
      <c r="GO755" s="3"/>
      <c r="GP755" s="3"/>
      <c r="GQ755" s="3"/>
      <c r="GR755" s="3"/>
      <c r="GS755" s="3"/>
      <c r="GT755" s="3"/>
      <c r="GU755" s="3"/>
      <c r="GV755" s="3"/>
      <c r="GW755" s="3"/>
      <c r="GX755" s="3"/>
      <c r="GY755" s="3"/>
      <c r="GZ755" s="3"/>
      <c r="HA755" s="3"/>
      <c r="HB755" s="3"/>
      <c r="HC755" s="3"/>
      <c r="HD755" s="3"/>
      <c r="HE755" s="3"/>
      <c r="HF755" s="3"/>
      <c r="HG755" s="3"/>
      <c r="HH755" s="3"/>
      <c r="HI755" s="3"/>
      <c r="HJ755" s="3"/>
      <c r="HK755" s="3"/>
      <c r="HL755" s="2"/>
      <c r="HM755" s="2"/>
      <c r="HN755" s="2"/>
      <c r="HO755" s="2"/>
      <c r="HP755" s="2"/>
      <c r="HQ755" s="2"/>
      <c r="HR755" s="2"/>
      <c r="HS755" s="2"/>
      <c r="HT755" s="99"/>
      <c r="HU755" s="2"/>
      <c r="HV755" s="2"/>
      <c r="HW755" s="2"/>
      <c r="HX755" s="2"/>
      <c r="HY755" s="2"/>
      <c r="HZ755" s="2"/>
      <c r="IA755" s="2"/>
      <c r="IB755" s="2"/>
      <c r="IC755" s="2"/>
      <c r="ID755" s="2"/>
      <c r="IE755" s="2"/>
      <c r="IF755" s="2"/>
      <c r="IG755" s="2"/>
      <c r="IH755" s="2"/>
      <c r="II755" s="148" t="s">
        <v>2224</v>
      </c>
      <c r="IJ755" s="163" t="s">
        <v>1443</v>
      </c>
      <c r="IK755" s="164" t="s">
        <v>1466</v>
      </c>
      <c r="IL755" s="165" t="s">
        <v>661</v>
      </c>
      <c r="IM755" s="2">
        <v>2007</v>
      </c>
      <c r="IN755" s="2" t="s">
        <v>62</v>
      </c>
      <c r="IO755" s="2" t="s">
        <v>29</v>
      </c>
      <c r="IR755" s="2"/>
      <c r="IS755" s="2"/>
      <c r="IT755" s="2"/>
      <c r="IU755" s="2"/>
      <c r="IV755" s="2"/>
      <c r="IW755" s="2"/>
      <c r="IX755" s="99"/>
      <c r="IY755" s="2"/>
      <c r="IZ755" s="2"/>
      <c r="JA755" s="2"/>
      <c r="JB755" s="2"/>
      <c r="JC755" s="2"/>
      <c r="JD755" s="2"/>
      <c r="JE755" s="2"/>
      <c r="JF755" s="2"/>
      <c r="JG755" s="2"/>
      <c r="JH755" s="2"/>
      <c r="JI755" s="2"/>
      <c r="JJ755" s="2"/>
      <c r="JK755" s="2"/>
      <c r="JL755" s="2"/>
      <c r="JM755" s="154" t="s">
        <v>14</v>
      </c>
      <c r="JN755" s="155" t="s">
        <v>1664</v>
      </c>
      <c r="JO755" s="99"/>
      <c r="JS755" s="2"/>
      <c r="JT755" s="2"/>
      <c r="JU755" s="2"/>
      <c r="JV755" s="2"/>
      <c r="JW755" s="2"/>
      <c r="JX755" s="2"/>
      <c r="JY755" s="2"/>
      <c r="JZ755" s="156"/>
      <c r="KA755" s="166"/>
      <c r="KB755" s="99"/>
      <c r="KC755" s="2"/>
      <c r="KD755" s="99"/>
      <c r="KE755" s="2"/>
      <c r="KF755" s="2"/>
      <c r="KG755" s="2"/>
      <c r="KH755" s="99"/>
      <c r="KI755" s="2"/>
      <c r="KJ755" s="163"/>
      <c r="KK755" s="167"/>
      <c r="KL755" s="2"/>
      <c r="KM755" s="2"/>
      <c r="KN755" s="2"/>
      <c r="KO755" s="2"/>
      <c r="KP755" s="99"/>
      <c r="KQ755" s="2"/>
      <c r="KR755" s="177"/>
      <c r="KS755" s="166"/>
      <c r="KT755" s="2"/>
      <c r="KU755" s="2"/>
      <c r="KV755" s="158"/>
      <c r="KW755" s="167"/>
      <c r="KX755" s="2"/>
      <c r="KY755" s="2"/>
      <c r="KZ755" s="2"/>
      <c r="LA755" s="3"/>
      <c r="LB755" s="3"/>
      <c r="LC755" s="3"/>
      <c r="LD755" s="3"/>
      <c r="LE755" s="3"/>
      <c r="LF755" s="3"/>
      <c r="LG755" s="3"/>
      <c r="LH755" s="3"/>
      <c r="LI755" s="99"/>
      <c r="LJ755" s="99"/>
      <c r="LK755" s="99"/>
      <c r="LL755" s="99"/>
      <c r="LM755" s="99"/>
      <c r="LN755" s="2"/>
      <c r="LO755" s="99"/>
      <c r="LP755" s="99"/>
      <c r="LQ755" s="99"/>
      <c r="LR755" s="2"/>
      <c r="LS755" s="2"/>
      <c r="LT755" s="2"/>
      <c r="LU755" s="2"/>
      <c r="LV755" s="2"/>
      <c r="LW755" s="2"/>
      <c r="LX755" s="2"/>
      <c r="LY755" s="2"/>
      <c r="LZ755" s="2"/>
      <c r="MA755" s="2"/>
      <c r="MB755" s="2"/>
      <c r="MC755" s="2"/>
      <c r="MD755" s="2"/>
      <c r="ME755" s="2"/>
      <c r="MF755" s="2"/>
      <c r="MG755" s="2"/>
      <c r="MH755" s="2"/>
      <c r="MI755" s="2"/>
      <c r="MJ755" s="2"/>
      <c r="MK755" s="2"/>
      <c r="ML755" s="2"/>
      <c r="MM755" s="2"/>
      <c r="MN755" s="2"/>
      <c r="MO755" s="2"/>
      <c r="MP755" s="2"/>
      <c r="MQ755" s="2"/>
      <c r="MR755" s="2"/>
      <c r="MS755" s="2"/>
      <c r="MT755" s="2"/>
      <c r="MU755" s="2"/>
      <c r="MV755" s="2"/>
      <c r="MW755" s="2"/>
      <c r="MX755" s="2"/>
      <c r="MY755" s="2"/>
      <c r="MZ755" s="148" t="s">
        <v>2225</v>
      </c>
      <c r="NA755" s="89">
        <v>64</v>
      </c>
      <c r="NB755" s="148" t="s">
        <v>2235</v>
      </c>
      <c r="NC755" s="159" t="s">
        <v>2236</v>
      </c>
      <c r="ND755" s="159" t="s">
        <v>2237</v>
      </c>
      <c r="NE755" s="159" t="s">
        <v>2238</v>
      </c>
      <c r="NF755" s="159"/>
      <c r="NG755" s="159"/>
      <c r="NH755" s="159"/>
      <c r="NI755" s="159"/>
      <c r="NJ755" s="148"/>
      <c r="NK755" s="148" t="s">
        <v>1679</v>
      </c>
      <c r="NL755" s="148" t="s">
        <v>2235</v>
      </c>
      <c r="NM755" t="s">
        <v>1518</v>
      </c>
      <c r="NN755" s="160" t="s">
        <v>265</v>
      </c>
      <c r="NO755" s="148"/>
      <c r="NP755" s="148"/>
      <c r="NQ755" s="148"/>
      <c r="NR755" s="148"/>
      <c r="NS755" s="148"/>
      <c r="NT755" s="148"/>
      <c r="NU755" s="148"/>
      <c r="NV755" s="148"/>
      <c r="NW755" s="161" t="s">
        <v>6</v>
      </c>
      <c r="NX755" s="168">
        <v>1297.3</v>
      </c>
      <c r="NY755" s="161" t="s">
        <v>4</v>
      </c>
      <c r="NZ755" s="168">
        <v>46.3</v>
      </c>
      <c r="OA755" s="169"/>
      <c r="OB755" s="2"/>
      <c r="OC755" s="148">
        <v>4</v>
      </c>
      <c r="OD755" s="2"/>
      <c r="OE755" s="2"/>
      <c r="OF755" s="2"/>
      <c r="OG755" s="2"/>
      <c r="OH755" s="2"/>
      <c r="OI755" s="2"/>
      <c r="OJ755" s="2"/>
      <c r="OK755" s="2"/>
      <c r="OL755" s="2"/>
      <c r="OM755" s="2"/>
      <c r="OT755" s="148" t="s">
        <v>2229</v>
      </c>
      <c r="OU755" s="2"/>
      <c r="OV755" s="2">
        <v>2008</v>
      </c>
      <c r="OW755" s="2"/>
      <c r="OX755" s="2"/>
      <c r="OY755" s="148" t="s">
        <v>62</v>
      </c>
      <c r="OZ755" s="2"/>
      <c r="PA755" t="s">
        <v>1169</v>
      </c>
      <c r="PB755" s="58">
        <v>46134</v>
      </c>
    </row>
    <row r="756" spans="1:418" ht="17.25" thickBot="1">
      <c r="A756" t="s">
        <v>248</v>
      </c>
      <c r="B756" t="s">
        <v>2219</v>
      </c>
      <c r="C756" s="89" t="s">
        <v>34</v>
      </c>
      <c r="D756" s="147" t="s">
        <v>1936</v>
      </c>
      <c r="E756" s="89" t="s">
        <v>1658</v>
      </c>
      <c r="F756" t="s">
        <v>31</v>
      </c>
      <c r="G756" s="89" t="s">
        <v>2</v>
      </c>
      <c r="H756" s="147" t="s">
        <v>30</v>
      </c>
      <c r="I756">
        <v>-0.41666666699999999</v>
      </c>
      <c r="J756">
        <v>34.200000000000003</v>
      </c>
      <c r="K756" s="147" t="s">
        <v>29</v>
      </c>
      <c r="L756" s="89"/>
      <c r="M756" s="147"/>
      <c r="N756" s="89"/>
      <c r="O756" s="89"/>
      <c r="P756" s="89"/>
      <c r="Q756" s="89"/>
      <c r="R756" s="89"/>
      <c r="S756" s="89"/>
      <c r="T756" s="89"/>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c r="AV756" s="89" t="s">
        <v>2220</v>
      </c>
      <c r="AW756" s="89">
        <v>64</v>
      </c>
      <c r="AX756" s="89">
        <v>0.09</v>
      </c>
      <c r="AY756" s="89">
        <v>1</v>
      </c>
      <c r="AZ756" s="148" t="s">
        <v>2221</v>
      </c>
      <c r="BA756" s="148">
        <v>2007</v>
      </c>
      <c r="BB756" s="148">
        <v>2008</v>
      </c>
      <c r="BC756" s="148" t="s">
        <v>62</v>
      </c>
      <c r="BD756" s="148"/>
      <c r="BE756" s="148" t="s">
        <v>2222</v>
      </c>
      <c r="BF756" s="148" t="s">
        <v>39</v>
      </c>
      <c r="BG756" s="148" t="s">
        <v>1233</v>
      </c>
      <c r="BH756" s="148" t="s">
        <v>2223</v>
      </c>
      <c r="BI756" s="148" t="s">
        <v>29</v>
      </c>
      <c r="BJ756" s="149" t="s">
        <v>22</v>
      </c>
      <c r="BK756" s="150">
        <v>111000</v>
      </c>
      <c r="BL756" s="148"/>
      <c r="BM756" s="148"/>
      <c r="BN756" s="148"/>
      <c r="BO756" s="148"/>
      <c r="BP756" s="148"/>
      <c r="BQ756" s="148"/>
      <c r="BR756" s="148"/>
      <c r="BS756" s="148"/>
      <c r="BT756" s="148"/>
      <c r="BU756" s="148"/>
      <c r="BV756" s="148"/>
      <c r="BW756" s="3"/>
      <c r="BX756" s="3"/>
      <c r="BY756" s="3"/>
      <c r="BZ756" s="3"/>
      <c r="CA756" s="3"/>
      <c r="CB756" s="3"/>
      <c r="CC756" s="3"/>
      <c r="CD756" s="3"/>
      <c r="CE756" s="3"/>
      <c r="CF756" s="3"/>
      <c r="CG756" s="3"/>
      <c r="CH756" s="3"/>
      <c r="CI756" s="3"/>
      <c r="CJ756" s="3"/>
      <c r="CK756" s="3"/>
      <c r="CL756" s="3"/>
      <c r="CM756" s="3"/>
      <c r="CN756" s="3"/>
      <c r="CO756" s="3"/>
      <c r="CP756" s="3"/>
      <c r="CQ756" s="3"/>
      <c r="CR756" s="3"/>
      <c r="CS756" s="3"/>
      <c r="CT756" s="3"/>
      <c r="CU756" s="3"/>
      <c r="CV756" s="3"/>
      <c r="CW756" s="3"/>
      <c r="CX756" s="3"/>
      <c r="CY756" s="3"/>
      <c r="CZ756" s="3"/>
      <c r="DA756" s="3"/>
      <c r="DB756" s="3"/>
      <c r="DC756" s="3"/>
      <c r="DD756" s="3"/>
      <c r="DE756" s="3"/>
      <c r="DF756" s="3"/>
      <c r="DG756" s="3"/>
      <c r="DH756" s="3"/>
      <c r="DI756" s="3"/>
      <c r="DJ756" s="3"/>
      <c r="DK756" s="3"/>
      <c r="DL756" s="3"/>
      <c r="DM756" s="3"/>
      <c r="DN756" s="3"/>
      <c r="DO756" s="3"/>
      <c r="DP756" s="3"/>
      <c r="DQ756" s="3"/>
      <c r="DR756" s="3"/>
      <c r="DS756" s="3"/>
      <c r="DT756" s="3"/>
      <c r="DU756" s="3"/>
      <c r="DV756" s="3"/>
      <c r="DW756" s="3"/>
      <c r="DX756" s="3"/>
      <c r="DY756" s="3"/>
      <c r="DZ756" s="3"/>
      <c r="EA756" s="3"/>
      <c r="EB756" s="3"/>
      <c r="EC756" s="3"/>
      <c r="ED756" s="3"/>
      <c r="EE756" s="2"/>
      <c r="EF756" s="148"/>
      <c r="EG756" s="148"/>
      <c r="EH756" s="148"/>
      <c r="EI756" s="148"/>
      <c r="EJ756" s="148"/>
      <c r="EK756" s="148"/>
      <c r="EL756" s="148"/>
      <c r="EM756" s="3"/>
      <c r="EN756" s="3"/>
      <c r="EO756" s="3"/>
      <c r="EP756" s="3"/>
      <c r="EQ756" s="3"/>
      <c r="ER756" s="3"/>
      <c r="ES756" s="3"/>
      <c r="ET756" s="3"/>
      <c r="EU756" s="3"/>
      <c r="EV756" s="3"/>
      <c r="EW756" s="3"/>
      <c r="EX756" s="3"/>
      <c r="EY756" s="3"/>
      <c r="EZ756" s="3"/>
      <c r="FA756" s="3"/>
      <c r="FB756" s="3"/>
      <c r="FC756" s="3"/>
      <c r="FD756" s="3"/>
      <c r="FE756" s="3"/>
      <c r="FF756" s="3"/>
      <c r="FG756" s="3"/>
      <c r="FH756" s="3"/>
      <c r="FI756" s="3"/>
      <c r="FJ756" s="3"/>
      <c r="FK756" s="3"/>
      <c r="FL756" s="3"/>
      <c r="FM756" s="3"/>
      <c r="FN756" s="3"/>
      <c r="FO756" s="3"/>
      <c r="FP756" s="3"/>
      <c r="FQ756" s="3"/>
      <c r="FR756" s="3"/>
      <c r="FS756" s="3"/>
      <c r="FT756" s="3"/>
      <c r="FU756" s="3"/>
      <c r="FV756" s="3"/>
      <c r="FW756" s="3"/>
      <c r="FX756" s="3"/>
      <c r="FY756" s="3"/>
      <c r="FZ756" s="3"/>
      <c r="GA756" s="3"/>
      <c r="GB756" s="3"/>
      <c r="GC756" s="3"/>
      <c r="GD756" s="3"/>
      <c r="GE756" s="3"/>
      <c r="GF756" s="3"/>
      <c r="GG756" s="3"/>
      <c r="GH756" s="3"/>
      <c r="GI756" s="3"/>
      <c r="GJ756" s="3"/>
      <c r="GK756" s="3"/>
      <c r="GL756" s="3"/>
      <c r="GM756" s="3"/>
      <c r="GN756" s="3"/>
      <c r="GO756" s="3"/>
      <c r="GP756" s="3"/>
      <c r="GQ756" s="3"/>
      <c r="GR756" s="3"/>
      <c r="GS756" s="3"/>
      <c r="GT756" s="3"/>
      <c r="GU756" s="3"/>
      <c r="GV756" s="3"/>
      <c r="GW756" s="3"/>
      <c r="GX756" s="3"/>
      <c r="GY756" s="3"/>
      <c r="GZ756" s="3"/>
      <c r="HA756" s="3"/>
      <c r="HB756" s="3"/>
      <c r="HC756" s="3"/>
      <c r="HD756" s="3"/>
      <c r="HE756" s="3"/>
      <c r="HF756" s="3"/>
      <c r="HG756" s="3"/>
      <c r="HH756" s="3"/>
      <c r="HI756" s="3"/>
      <c r="HJ756" s="3"/>
      <c r="HK756" s="3"/>
      <c r="HL756" s="148"/>
      <c r="HM756" s="148"/>
      <c r="HN756" s="148"/>
      <c r="HO756" s="148"/>
      <c r="HP756" s="148"/>
      <c r="HQ756" s="148"/>
      <c r="HR756" s="148"/>
      <c r="HS756" s="148"/>
      <c r="HT756" s="149"/>
      <c r="HU756" s="148"/>
      <c r="HV756" s="148"/>
      <c r="HW756" s="148"/>
      <c r="HX756" s="148"/>
      <c r="HY756" s="151"/>
      <c r="HZ756" s="148"/>
      <c r="IA756" s="148"/>
      <c r="IB756" s="148"/>
      <c r="IC756" s="148"/>
      <c r="ID756" s="148"/>
      <c r="IE756" s="148"/>
      <c r="IF756" s="148"/>
      <c r="IG756" s="148"/>
      <c r="IH756" s="148"/>
      <c r="II756" s="148" t="s">
        <v>2224</v>
      </c>
      <c r="IJ756" s="152" t="s">
        <v>19</v>
      </c>
      <c r="IK756" s="152"/>
      <c r="IL756" s="153"/>
      <c r="IM756" s="148"/>
      <c r="IN756" s="148"/>
      <c r="IO756" s="148"/>
      <c r="IR756" s="148"/>
      <c r="IS756" s="148"/>
      <c r="IT756" s="148"/>
      <c r="IU756" s="148"/>
      <c r="IV756" s="148"/>
      <c r="IW756" s="148"/>
      <c r="IX756" s="148"/>
      <c r="IY756" s="148"/>
      <c r="IZ756" s="148"/>
      <c r="JA756" s="89"/>
      <c r="JB756" s="89"/>
      <c r="JC756" s="89"/>
      <c r="JD756" s="89"/>
      <c r="JE756" s="89"/>
      <c r="JF756" s="89"/>
      <c r="JG756" s="89"/>
      <c r="JH756" s="89"/>
      <c r="JI756" s="89"/>
      <c r="JJ756" s="89"/>
      <c r="JK756" s="89"/>
      <c r="JL756" s="89"/>
      <c r="JM756" s="154" t="s">
        <v>14</v>
      </c>
      <c r="JN756" s="155" t="s">
        <v>1664</v>
      </c>
      <c r="JO756" s="149"/>
      <c r="JS756" s="148"/>
      <c r="JT756" s="148"/>
      <c r="JU756" s="148"/>
      <c r="JV756" s="148"/>
      <c r="JW756" s="148"/>
      <c r="JX756" s="148"/>
      <c r="JY756" s="148"/>
      <c r="JZ756" s="156"/>
      <c r="KA756" s="156"/>
      <c r="KB756" s="149"/>
      <c r="KC756" s="148"/>
      <c r="KD756" s="149"/>
      <c r="KE756" s="148"/>
      <c r="KF756" s="148"/>
      <c r="KG756" s="148"/>
      <c r="KH756" s="149"/>
      <c r="KI756" s="149"/>
      <c r="KJ756" s="152"/>
      <c r="KK756" s="157"/>
      <c r="KL756" s="148"/>
      <c r="KM756" s="148"/>
      <c r="KN756" s="148"/>
      <c r="KO756" s="148"/>
      <c r="KP756" s="149"/>
      <c r="KQ756" s="148"/>
      <c r="KR756" s="152"/>
      <c r="KS756" s="157"/>
      <c r="KT756" s="148"/>
      <c r="KU756" s="148"/>
      <c r="KV756" s="158"/>
      <c r="KW756" s="157"/>
      <c r="KX756" s="148"/>
      <c r="KY756" s="148"/>
      <c r="KZ756" s="148"/>
      <c r="LA756" s="3"/>
      <c r="LB756" s="3"/>
      <c r="LC756" s="3"/>
      <c r="LD756" s="3"/>
      <c r="LE756" s="3"/>
      <c r="LF756" s="3"/>
      <c r="LG756" s="3"/>
      <c r="LH756" s="3"/>
      <c r="LI756" s="149"/>
      <c r="LJ756" s="149"/>
      <c r="LK756" s="149"/>
      <c r="LL756" s="149"/>
      <c r="LM756" s="149"/>
      <c r="LN756" s="149"/>
      <c r="LO756" s="149"/>
      <c r="LP756" s="149"/>
      <c r="LQ756" s="149"/>
      <c r="LR756" s="148"/>
      <c r="LS756" s="148"/>
      <c r="LT756" s="148"/>
      <c r="LU756" s="148"/>
      <c r="LV756" s="148"/>
      <c r="LW756" s="148"/>
      <c r="LX756" s="148"/>
      <c r="LY756" s="148"/>
      <c r="LZ756" s="148"/>
      <c r="MA756" s="89"/>
      <c r="MB756" s="89"/>
      <c r="MC756" s="89"/>
      <c r="MD756" s="89"/>
      <c r="ME756" s="89"/>
      <c r="MF756" s="159"/>
      <c r="MG756" s="159"/>
      <c r="MH756" s="159"/>
      <c r="MI756" s="2"/>
      <c r="MJ756" s="148"/>
      <c r="MK756" s="148"/>
      <c r="ML756" s="148"/>
      <c r="MM756" s="89"/>
      <c r="MN756" s="89"/>
      <c r="MO756" s="89"/>
      <c r="MP756" s="89"/>
      <c r="MQ756" s="89"/>
      <c r="MR756" s="89"/>
      <c r="MS756" s="89"/>
      <c r="MT756" s="89"/>
      <c r="MU756" s="148"/>
      <c r="MV756" s="148"/>
      <c r="MW756" s="148"/>
      <c r="MX756" s="148"/>
      <c r="MY756" s="148"/>
      <c r="MZ756" s="148" t="s">
        <v>2225</v>
      </c>
      <c r="NA756" s="89">
        <v>64</v>
      </c>
      <c r="NB756" s="148" t="s">
        <v>2235</v>
      </c>
      <c r="NC756" s="159" t="s">
        <v>2236</v>
      </c>
      <c r="ND756" s="159" t="s">
        <v>2237</v>
      </c>
      <c r="NE756" s="159"/>
      <c r="NF756" s="159"/>
      <c r="NG756" s="159"/>
      <c r="NH756" s="159"/>
      <c r="NI756" s="159"/>
      <c r="NJ756" s="148" t="s">
        <v>2232</v>
      </c>
      <c r="NK756" s="148" t="s">
        <v>1679</v>
      </c>
      <c r="NL756" s="148" t="s">
        <v>2239</v>
      </c>
      <c r="NM756" t="s">
        <v>266</v>
      </c>
      <c r="NN756" s="160" t="s">
        <v>265</v>
      </c>
      <c r="NO756" s="148"/>
      <c r="NP756" s="148"/>
      <c r="NQ756" s="148"/>
      <c r="NR756" s="148"/>
      <c r="NS756" s="148"/>
      <c r="NT756" s="148"/>
      <c r="NU756" s="148"/>
      <c r="NV756" s="148" t="s">
        <v>64</v>
      </c>
      <c r="NW756" s="161" t="s">
        <v>6</v>
      </c>
      <c r="NX756" s="161">
        <v>-478.3</v>
      </c>
      <c r="NY756" s="161" t="s">
        <v>4</v>
      </c>
      <c r="NZ756" s="161">
        <v>23.3</v>
      </c>
      <c r="OA756" s="162"/>
      <c r="OB756" s="148"/>
      <c r="OC756" s="148">
        <v>4</v>
      </c>
      <c r="OD756" s="148"/>
      <c r="OE756" s="148"/>
      <c r="OF756" s="148"/>
      <c r="OG756" s="148"/>
      <c r="OH756" s="148"/>
      <c r="OI756" s="148"/>
      <c r="OJ756" s="148"/>
      <c r="OK756" s="148"/>
      <c r="OL756" s="148"/>
      <c r="OM756" s="148"/>
      <c r="ON756" s="148"/>
      <c r="OO756" s="148"/>
      <c r="OP756" s="148"/>
      <c r="OQ756" s="148"/>
      <c r="OR756" s="148"/>
      <c r="OS756" s="148"/>
      <c r="OT756" s="148" t="s">
        <v>2229</v>
      </c>
      <c r="OU756" s="148"/>
      <c r="OV756" s="148">
        <v>2007</v>
      </c>
      <c r="OW756" s="148"/>
      <c r="OX756" s="148"/>
      <c r="OY756" s="148" t="s">
        <v>62</v>
      </c>
      <c r="OZ756" s="148"/>
      <c r="PA756" t="s">
        <v>1169</v>
      </c>
      <c r="PB756" s="58">
        <v>46134</v>
      </c>
    </row>
    <row r="757" spans="1:418" ht="15.75" thickBot="1">
      <c r="A757" t="s">
        <v>248</v>
      </c>
      <c r="B757" t="s">
        <v>2219</v>
      </c>
      <c r="C757" s="89" t="s">
        <v>34</v>
      </c>
      <c r="D757" s="147" t="s">
        <v>1936</v>
      </c>
      <c r="E757" s="89" t="s">
        <v>1658</v>
      </c>
      <c r="F757" t="s">
        <v>31</v>
      </c>
      <c r="G757" s="89" t="s">
        <v>2</v>
      </c>
      <c r="H757" s="147" t="s">
        <v>30</v>
      </c>
      <c r="I757">
        <v>-0.41666666699999999</v>
      </c>
      <c r="J757">
        <v>34.200000000000003</v>
      </c>
      <c r="K757" s="147" t="s">
        <v>29</v>
      </c>
      <c r="L757" s="2"/>
      <c r="M757" s="99"/>
      <c r="N757" s="2"/>
      <c r="O757" s="89"/>
      <c r="P757" s="2"/>
      <c r="Q757" s="2"/>
      <c r="R757" s="89"/>
      <c r="S757" s="89"/>
      <c r="T757" s="89"/>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c r="AV757" s="89" t="s">
        <v>2220</v>
      </c>
      <c r="AW757" s="89">
        <v>64</v>
      </c>
      <c r="AX757" s="89">
        <v>0.09</v>
      </c>
      <c r="AY757" s="89">
        <v>1</v>
      </c>
      <c r="AZ757" s="148" t="s">
        <v>2221</v>
      </c>
      <c r="BA757" s="148">
        <v>2007</v>
      </c>
      <c r="BB757" s="148">
        <v>2008</v>
      </c>
      <c r="BC757" s="148" t="s">
        <v>62</v>
      </c>
      <c r="BD757" s="2"/>
      <c r="BE757" s="2" t="s">
        <v>2230</v>
      </c>
      <c r="BF757" s="2" t="s">
        <v>64</v>
      </c>
      <c r="BG757" s="148" t="s">
        <v>1233</v>
      </c>
      <c r="BH757" s="2" t="s">
        <v>2223</v>
      </c>
      <c r="BI757" s="148" t="s">
        <v>29</v>
      </c>
      <c r="BJ757" s="149" t="s">
        <v>22</v>
      </c>
      <c r="BK757" s="150">
        <v>55500</v>
      </c>
      <c r="BL757" s="2" t="s">
        <v>56</v>
      </c>
      <c r="BM757" t="s">
        <v>2231</v>
      </c>
      <c r="BN757" s="148" t="s">
        <v>29</v>
      </c>
      <c r="BO757" s="2" t="s">
        <v>22</v>
      </c>
      <c r="BP757" s="2">
        <v>55000</v>
      </c>
      <c r="BQ757" s="2"/>
      <c r="BR757" s="2"/>
      <c r="BS757" s="2"/>
      <c r="BT757" s="2"/>
      <c r="BU757" s="2"/>
      <c r="BV757" s="2"/>
      <c r="BW757" s="3"/>
      <c r="BX757" s="3"/>
      <c r="BY757" s="3"/>
      <c r="BZ757" s="3"/>
      <c r="CA757" s="3"/>
      <c r="CB757" s="3"/>
      <c r="CC757" s="3"/>
      <c r="CD757" s="3"/>
      <c r="CE757" s="3"/>
      <c r="CF757" s="3"/>
      <c r="CG757" s="3"/>
      <c r="CH757" s="3"/>
      <c r="CI757" s="3"/>
      <c r="CJ757" s="3"/>
      <c r="CK757" s="3"/>
      <c r="CL757" s="3"/>
      <c r="CM757" s="3"/>
      <c r="CN757" s="3"/>
      <c r="CO757" s="3"/>
      <c r="CP757" s="3"/>
      <c r="CQ757" s="3"/>
      <c r="CR757" s="3"/>
      <c r="CS757" s="3"/>
      <c r="CT757" s="3"/>
      <c r="CU757" s="3"/>
      <c r="CV757" s="3"/>
      <c r="CW757" s="3"/>
      <c r="CX757" s="3"/>
      <c r="CY757" s="3"/>
      <c r="CZ757" s="3"/>
      <c r="DA757" s="3"/>
      <c r="DB757" s="3"/>
      <c r="DC757" s="3"/>
      <c r="DD757" s="3"/>
      <c r="DE757" s="3"/>
      <c r="DF757" s="3"/>
      <c r="DG757" s="3"/>
      <c r="DH757" s="3"/>
      <c r="DI757" s="3"/>
      <c r="DJ757" s="3"/>
      <c r="DK757" s="3"/>
      <c r="DL757" s="3"/>
      <c r="DM757" s="3"/>
      <c r="DN757" s="3"/>
      <c r="DO757" s="3"/>
      <c r="DP757" s="3"/>
      <c r="DQ757" s="3"/>
      <c r="DR757" s="3"/>
      <c r="DS757" s="3"/>
      <c r="DT757" s="3"/>
      <c r="DU757" s="3"/>
      <c r="DV757" s="3"/>
      <c r="DW757" s="3"/>
      <c r="DX757" s="3"/>
      <c r="DY757" s="3"/>
      <c r="DZ757" s="3"/>
      <c r="EA757" s="3"/>
      <c r="EB757" s="3"/>
      <c r="EC757" s="3"/>
      <c r="ED757" s="3"/>
      <c r="EE757" s="2"/>
      <c r="EF757" s="2"/>
      <c r="EG757" s="2"/>
      <c r="EH757" s="2"/>
      <c r="EI757" s="2"/>
      <c r="EJ757" s="2"/>
      <c r="EK757" s="2"/>
      <c r="EL757" s="2"/>
      <c r="EM757" s="3"/>
      <c r="EN757" s="3"/>
      <c r="EO757" s="3"/>
      <c r="EP757" s="3"/>
      <c r="EQ757" s="3"/>
      <c r="ER757" s="3"/>
      <c r="ES757" s="3"/>
      <c r="ET757" s="3"/>
      <c r="EU757" s="3"/>
      <c r="EV757" s="3"/>
      <c r="EW757" s="3"/>
      <c r="EX757" s="3"/>
      <c r="EY757" s="3"/>
      <c r="EZ757" s="3"/>
      <c r="FA757" s="3"/>
      <c r="FB757" s="3"/>
      <c r="FC757" s="3"/>
      <c r="FD757" s="3"/>
      <c r="FE757" s="3"/>
      <c r="FF757" s="3"/>
      <c r="FG757" s="3"/>
      <c r="FH757" s="3"/>
      <c r="FI757" s="3"/>
      <c r="FJ757" s="3"/>
      <c r="FK757" s="3"/>
      <c r="FL757" s="3"/>
      <c r="FM757" s="3"/>
      <c r="FN757" s="3"/>
      <c r="FO757" s="3"/>
      <c r="FP757" s="3"/>
      <c r="FQ757" s="3"/>
      <c r="FR757" s="3"/>
      <c r="FS757" s="3"/>
      <c r="FT757" s="3"/>
      <c r="FU757" s="3"/>
      <c r="FV757" s="3"/>
      <c r="FW757" s="3"/>
      <c r="FX757" s="3"/>
      <c r="FY757" s="3"/>
      <c r="FZ757" s="3"/>
      <c r="GA757" s="3"/>
      <c r="GB757" s="3"/>
      <c r="GC757" s="3"/>
      <c r="GD757" s="3"/>
      <c r="GE757" s="3"/>
      <c r="GF757" s="3"/>
      <c r="GG757" s="3"/>
      <c r="GH757" s="3"/>
      <c r="GI757" s="3"/>
      <c r="GJ757" s="3"/>
      <c r="GK757" s="3"/>
      <c r="GL757" s="3"/>
      <c r="GM757" s="3"/>
      <c r="GN757" s="3"/>
      <c r="GO757" s="3"/>
      <c r="GP757" s="3"/>
      <c r="GQ757" s="3"/>
      <c r="GR757" s="3"/>
      <c r="GS757" s="3"/>
      <c r="GT757" s="3"/>
      <c r="GU757" s="3"/>
      <c r="GV757" s="3"/>
      <c r="GW757" s="3"/>
      <c r="GX757" s="3"/>
      <c r="GY757" s="3"/>
      <c r="GZ757" s="3"/>
      <c r="HA757" s="3"/>
      <c r="HB757" s="3"/>
      <c r="HC757" s="3"/>
      <c r="HD757" s="3"/>
      <c r="HE757" s="3"/>
      <c r="HF757" s="3"/>
      <c r="HG757" s="3"/>
      <c r="HH757" s="3"/>
      <c r="HI757" s="3"/>
      <c r="HJ757" s="3"/>
      <c r="HK757" s="3"/>
      <c r="HL757" s="2"/>
      <c r="HM757" s="2"/>
      <c r="HN757" s="2"/>
      <c r="HO757" s="2"/>
      <c r="HP757" s="2"/>
      <c r="HQ757" s="2"/>
      <c r="HR757" s="2"/>
      <c r="HS757" s="2"/>
      <c r="HT757" s="99"/>
      <c r="HU757" s="2"/>
      <c r="HV757" s="2"/>
      <c r="HW757" s="2"/>
      <c r="HX757" s="2"/>
      <c r="HY757" s="2"/>
      <c r="HZ757" s="2"/>
      <c r="IA757" s="2"/>
      <c r="IB757" s="2"/>
      <c r="IC757" s="2"/>
      <c r="ID757" s="2"/>
      <c r="IE757" s="2"/>
      <c r="IF757" s="2"/>
      <c r="IG757" s="2"/>
      <c r="IH757" s="2"/>
      <c r="II757" s="148" t="s">
        <v>2224</v>
      </c>
      <c r="IJ757" s="163" t="s">
        <v>1443</v>
      </c>
      <c r="IK757" s="164" t="s">
        <v>1466</v>
      </c>
      <c r="IL757" s="165" t="s">
        <v>661</v>
      </c>
      <c r="IM757" s="2">
        <v>2007</v>
      </c>
      <c r="IN757" s="2" t="s">
        <v>62</v>
      </c>
      <c r="IO757" s="2" t="s">
        <v>29</v>
      </c>
      <c r="IR757" s="2"/>
      <c r="IS757" s="2"/>
      <c r="IT757" s="2"/>
      <c r="IU757" s="2"/>
      <c r="IV757" s="2"/>
      <c r="IW757" s="2"/>
      <c r="IX757" s="2"/>
      <c r="IY757" s="2"/>
      <c r="IZ757" s="2"/>
      <c r="JA757" s="2"/>
      <c r="JB757" s="2"/>
      <c r="JC757" s="2"/>
      <c r="JD757" s="2"/>
      <c r="JE757" s="2"/>
      <c r="JF757" s="2"/>
      <c r="JG757" s="2"/>
      <c r="JH757" s="2"/>
      <c r="JI757" s="2"/>
      <c r="JJ757" s="2"/>
      <c r="JK757" s="2"/>
      <c r="JL757" s="2"/>
      <c r="JM757" s="154" t="s">
        <v>14</v>
      </c>
      <c r="JN757" s="155" t="s">
        <v>1664</v>
      </c>
      <c r="JO757" s="99"/>
      <c r="JS757" s="2"/>
      <c r="JT757" s="2"/>
      <c r="JU757" s="2"/>
      <c r="JV757" s="2"/>
      <c r="JW757" s="2"/>
      <c r="JX757" s="2"/>
      <c r="JY757" s="2"/>
      <c r="JZ757" s="156"/>
      <c r="KA757" s="166"/>
      <c r="KB757" s="99"/>
      <c r="KC757" s="2"/>
      <c r="KD757" s="99"/>
      <c r="KE757" s="2"/>
      <c r="KF757" s="2"/>
      <c r="KG757" s="2"/>
      <c r="KH757" s="99"/>
      <c r="KI757" s="2"/>
      <c r="KJ757" s="163"/>
      <c r="KK757" s="167"/>
      <c r="KL757" s="2"/>
      <c r="KM757" s="2"/>
      <c r="KN757" s="2"/>
      <c r="KO757" s="2"/>
      <c r="KP757" s="99"/>
      <c r="KQ757" s="2"/>
      <c r="KR757" s="163"/>
      <c r="KS757" s="167"/>
      <c r="KT757" s="2"/>
      <c r="KU757" s="2"/>
      <c r="KV757" s="158"/>
      <c r="KW757" s="167"/>
      <c r="KX757" s="2"/>
      <c r="KY757" s="2"/>
      <c r="KZ757" s="2"/>
      <c r="LA757" s="69"/>
      <c r="LB757" s="218"/>
      <c r="LC757" s="218"/>
      <c r="LD757" s="3"/>
      <c r="LE757" s="3"/>
      <c r="LF757" s="3"/>
      <c r="LG757" s="3"/>
      <c r="LH757" s="3"/>
      <c r="LI757" s="99"/>
      <c r="LJ757" s="99"/>
      <c r="LK757" s="99"/>
      <c r="LL757" s="99"/>
      <c r="LM757" s="99"/>
      <c r="LN757" s="2"/>
      <c r="LO757" s="99"/>
      <c r="LP757" s="99"/>
      <c r="LQ757" s="99"/>
      <c r="LR757" s="2"/>
      <c r="LS757" s="2"/>
      <c r="LT757" s="2"/>
      <c r="LU757" s="2"/>
      <c r="LV757" s="2"/>
      <c r="LW757" s="2"/>
      <c r="LX757" s="2"/>
      <c r="LY757" s="2"/>
      <c r="LZ757" s="2"/>
      <c r="MA757" s="2"/>
      <c r="MB757" s="2"/>
      <c r="MC757" s="2"/>
      <c r="MD757" s="2"/>
      <c r="ME757" s="2"/>
      <c r="MF757" s="2"/>
      <c r="MG757" s="2"/>
      <c r="MH757" s="2"/>
      <c r="MJ757" s="2"/>
      <c r="MK757" s="2"/>
      <c r="ML757" s="2"/>
      <c r="MM757" s="2"/>
      <c r="MN757" s="2"/>
      <c r="MO757" s="2"/>
      <c r="MP757" s="2"/>
      <c r="MQ757" s="2"/>
      <c r="MR757" s="2"/>
      <c r="MS757" s="2"/>
      <c r="MT757" s="2"/>
      <c r="MU757" s="2"/>
      <c r="MV757" s="2"/>
      <c r="MW757" s="2"/>
      <c r="MX757" s="2"/>
      <c r="MY757" s="2"/>
      <c r="MZ757" s="148" t="s">
        <v>2225</v>
      </c>
      <c r="NA757" s="89">
        <v>64</v>
      </c>
      <c r="NB757" s="148" t="s">
        <v>2235</v>
      </c>
      <c r="NC757" s="159" t="s">
        <v>2236</v>
      </c>
      <c r="ND757" s="159" t="s">
        <v>2237</v>
      </c>
      <c r="NE757" s="159" t="s">
        <v>2238</v>
      </c>
      <c r="NF757" s="159"/>
      <c r="NG757" s="159"/>
      <c r="NH757" s="159"/>
      <c r="NI757" s="159"/>
      <c r="NJ757" s="148" t="s">
        <v>2232</v>
      </c>
      <c r="NK757" s="148" t="s">
        <v>1679</v>
      </c>
      <c r="NL757" s="148" t="s">
        <v>2239</v>
      </c>
      <c r="NM757" t="s">
        <v>266</v>
      </c>
      <c r="NN757" s="160" t="s">
        <v>265</v>
      </c>
      <c r="NO757" s="148"/>
      <c r="NP757" s="148"/>
      <c r="NQ757" s="148"/>
      <c r="NR757" s="148"/>
      <c r="NS757" s="148"/>
      <c r="NT757" s="148"/>
      <c r="NU757" s="148"/>
      <c r="NV757" s="148"/>
      <c r="NW757" s="161" t="s">
        <v>6</v>
      </c>
      <c r="NX757" s="168">
        <v>217.5</v>
      </c>
      <c r="NY757" s="161" t="s">
        <v>4</v>
      </c>
      <c r="NZ757" s="168">
        <v>83.1</v>
      </c>
      <c r="OA757" s="169"/>
      <c r="OB757" s="2"/>
      <c r="OC757" s="148">
        <v>4</v>
      </c>
      <c r="OD757" s="2"/>
      <c r="OE757" s="2"/>
      <c r="OF757" s="2"/>
      <c r="OG757" s="2"/>
      <c r="OH757" s="2"/>
      <c r="OI757" s="2"/>
      <c r="OJ757" s="2"/>
      <c r="OK757" s="2"/>
      <c r="OL757" s="2"/>
      <c r="OM757" s="2"/>
      <c r="OT757" s="148" t="s">
        <v>2229</v>
      </c>
      <c r="OU757" s="2"/>
      <c r="OV757" s="148">
        <v>2007</v>
      </c>
      <c r="OW757" s="148"/>
      <c r="OX757" s="148"/>
      <c r="OY757" s="148" t="s">
        <v>62</v>
      </c>
      <c r="OZ757" s="2"/>
      <c r="PA757" t="s">
        <v>1169</v>
      </c>
      <c r="PB757" s="58">
        <v>46134</v>
      </c>
    </row>
    <row r="758" spans="1:418" ht="15.75" thickBot="1">
      <c r="A758" t="s">
        <v>248</v>
      </c>
      <c r="B758" t="s">
        <v>2219</v>
      </c>
      <c r="C758" s="89" t="s">
        <v>34</v>
      </c>
      <c r="D758" s="147" t="s">
        <v>1936</v>
      </c>
      <c r="E758" s="89" t="s">
        <v>1658</v>
      </c>
      <c r="F758" t="s">
        <v>31</v>
      </c>
      <c r="G758" s="89" t="s">
        <v>2</v>
      </c>
      <c r="H758" s="147" t="s">
        <v>30</v>
      </c>
      <c r="I758">
        <v>-0.41666666699999999</v>
      </c>
      <c r="J758">
        <v>34.200000000000003</v>
      </c>
      <c r="K758" s="147" t="s">
        <v>29</v>
      </c>
      <c r="L758" s="89"/>
      <c r="M758" s="147"/>
      <c r="N758" s="89"/>
      <c r="O758" s="89"/>
      <c r="P758" s="89"/>
      <c r="Q758" s="89"/>
      <c r="R758" s="89"/>
      <c r="S758" s="89"/>
      <c r="T758" s="89"/>
      <c r="U758" s="3"/>
      <c r="V758" s="3"/>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c r="AV758" s="89" t="s">
        <v>2220</v>
      </c>
      <c r="AW758" s="89">
        <v>64</v>
      </c>
      <c r="AX758" s="89">
        <v>0.09</v>
      </c>
      <c r="AY758" s="89">
        <v>1</v>
      </c>
      <c r="AZ758" s="148" t="s">
        <v>2221</v>
      </c>
      <c r="BA758" s="148">
        <v>2007</v>
      </c>
      <c r="BB758" s="148">
        <v>2008</v>
      </c>
      <c r="BC758" s="148" t="s">
        <v>1</v>
      </c>
      <c r="BD758" s="89"/>
      <c r="BE758" s="148" t="s">
        <v>2222</v>
      </c>
      <c r="BF758" s="148" t="s">
        <v>39</v>
      </c>
      <c r="BG758" s="148" t="s">
        <v>1233</v>
      </c>
      <c r="BH758" s="148" t="s">
        <v>2223</v>
      </c>
      <c r="BI758" s="148" t="s">
        <v>29</v>
      </c>
      <c r="BJ758" s="149" t="s">
        <v>22</v>
      </c>
      <c r="BK758" s="150">
        <v>111000</v>
      </c>
      <c r="BL758" s="89"/>
      <c r="BM758" s="89"/>
      <c r="BN758" s="89"/>
      <c r="BO758" s="147"/>
      <c r="BP758" s="170"/>
      <c r="BQ758" s="89"/>
      <c r="BR758" s="89"/>
      <c r="BS758" s="89"/>
      <c r="BT758" s="89"/>
      <c r="BU758" s="89"/>
      <c r="BV758" s="89"/>
      <c r="BW758" s="3"/>
      <c r="BX758" s="3"/>
      <c r="BY758" s="3"/>
      <c r="BZ758" s="3"/>
      <c r="CA758" s="3"/>
      <c r="CB758" s="3"/>
      <c r="CC758" s="3"/>
      <c r="CD758" s="3"/>
      <c r="CE758" s="3"/>
      <c r="CF758" s="3"/>
      <c r="CG758" s="3"/>
      <c r="CH758" s="3"/>
      <c r="CI758" s="3"/>
      <c r="CJ758" s="3"/>
      <c r="CK758" s="3"/>
      <c r="CL758" s="3"/>
      <c r="CM758" s="3"/>
      <c r="CN758" s="3"/>
      <c r="CO758" s="3"/>
      <c r="CP758" s="3"/>
      <c r="CQ758" s="3"/>
      <c r="CR758" s="3"/>
      <c r="CS758" s="3"/>
      <c r="CT758" s="3"/>
      <c r="CU758" s="3"/>
      <c r="CV758" s="3"/>
      <c r="CW758" s="3"/>
      <c r="CX758" s="3"/>
      <c r="CY758" s="3"/>
      <c r="CZ758" s="3"/>
      <c r="DA758" s="3"/>
      <c r="DB758" s="3"/>
      <c r="DC758" s="3"/>
      <c r="DD758" s="3"/>
      <c r="DE758" s="3"/>
      <c r="DF758" s="3"/>
      <c r="DG758" s="3"/>
      <c r="DH758" s="3"/>
      <c r="DI758" s="3"/>
      <c r="DJ758" s="3"/>
      <c r="DK758" s="3"/>
      <c r="DL758" s="3"/>
      <c r="DM758" s="3"/>
      <c r="DN758" s="3"/>
      <c r="DO758" s="3"/>
      <c r="DP758" s="3"/>
      <c r="DQ758" s="3"/>
      <c r="DR758" s="3"/>
      <c r="DS758" s="3"/>
      <c r="DT758" s="3"/>
      <c r="DU758" s="3"/>
      <c r="DV758" s="3"/>
      <c r="DW758" s="3"/>
      <c r="DX758" s="3"/>
      <c r="DY758" s="3"/>
      <c r="DZ758" s="3"/>
      <c r="EA758" s="3"/>
      <c r="EB758" s="3"/>
      <c r="EC758" s="3"/>
      <c r="ED758" s="3"/>
      <c r="EE758" s="89"/>
      <c r="EF758" s="89"/>
      <c r="EG758" s="89"/>
      <c r="EH758" s="89"/>
      <c r="EI758" s="89"/>
      <c r="EJ758" s="89"/>
      <c r="EK758" s="89"/>
      <c r="EL758" s="89"/>
      <c r="EM758" s="3"/>
      <c r="EN758" s="3"/>
      <c r="EO758" s="3"/>
      <c r="EP758" s="3"/>
      <c r="EQ758" s="3"/>
      <c r="ER758" s="3"/>
      <c r="ES758" s="3"/>
      <c r="ET758" s="3"/>
      <c r="EU758" s="3"/>
      <c r="EV758" s="3"/>
      <c r="EW758" s="3"/>
      <c r="EX758" s="3"/>
      <c r="EY758" s="3"/>
      <c r="EZ758" s="3"/>
      <c r="FA758" s="3"/>
      <c r="FB758" s="3"/>
      <c r="FC758" s="3"/>
      <c r="FD758" s="3"/>
      <c r="FE758" s="3"/>
      <c r="FF758" s="3"/>
      <c r="FG758" s="3"/>
      <c r="FH758" s="3"/>
      <c r="FI758" s="3"/>
      <c r="FJ758" s="3"/>
      <c r="FK758" s="3"/>
      <c r="FL758" s="3"/>
      <c r="FM758" s="3"/>
      <c r="FN758" s="3"/>
      <c r="FO758" s="3"/>
      <c r="FP758" s="3"/>
      <c r="FQ758" s="3"/>
      <c r="FR758" s="3"/>
      <c r="FS758" s="3"/>
      <c r="FT758" s="3"/>
      <c r="FU758" s="3"/>
      <c r="FV758" s="3"/>
      <c r="FW758" s="3"/>
      <c r="FX758" s="3"/>
      <c r="FY758" s="3"/>
      <c r="FZ758" s="3"/>
      <c r="GA758" s="3"/>
      <c r="GB758" s="3"/>
      <c r="GC758" s="3"/>
      <c r="GD758" s="3"/>
      <c r="GE758" s="3"/>
      <c r="GF758" s="3"/>
      <c r="GG758" s="3"/>
      <c r="GH758" s="3"/>
      <c r="GI758" s="3"/>
      <c r="GJ758" s="3"/>
      <c r="GK758" s="3"/>
      <c r="GL758" s="3"/>
      <c r="GM758" s="3"/>
      <c r="GN758" s="3"/>
      <c r="GO758" s="3"/>
      <c r="GP758" s="3"/>
      <c r="GQ758" s="3"/>
      <c r="GR758" s="3"/>
      <c r="GS758" s="3"/>
      <c r="GT758" s="3"/>
      <c r="GU758" s="3"/>
      <c r="GV758" s="3"/>
      <c r="GW758" s="3"/>
      <c r="GX758" s="3"/>
      <c r="GY758" s="3"/>
      <c r="GZ758" s="3"/>
      <c r="HA758" s="3"/>
      <c r="HB758" s="3"/>
      <c r="HC758" s="3"/>
      <c r="HD758" s="3"/>
      <c r="HE758" s="3"/>
      <c r="HF758" s="3"/>
      <c r="HG758" s="3"/>
      <c r="HH758" s="3"/>
      <c r="HI758" s="3"/>
      <c r="HJ758" s="3"/>
      <c r="HK758" s="3"/>
      <c r="HL758" s="89"/>
      <c r="HM758" s="89"/>
      <c r="HN758" s="89"/>
      <c r="HO758" s="89"/>
      <c r="HP758" s="89"/>
      <c r="HQ758" s="89"/>
      <c r="HR758" s="89"/>
      <c r="HS758" s="89"/>
      <c r="HT758" s="147"/>
      <c r="HU758" s="89"/>
      <c r="HV758" s="89"/>
      <c r="HW758" s="89"/>
      <c r="HX758" s="89"/>
      <c r="HY758" s="89"/>
      <c r="HZ758" s="89"/>
      <c r="IA758" s="89"/>
      <c r="IB758" s="89"/>
      <c r="IC758" s="89"/>
      <c r="ID758" s="89"/>
      <c r="IE758" s="89"/>
      <c r="IF758" s="89"/>
      <c r="IG758" s="89"/>
      <c r="IH758" s="89"/>
      <c r="II758" s="148" t="s">
        <v>2224</v>
      </c>
      <c r="IJ758" s="152" t="s">
        <v>19</v>
      </c>
      <c r="IK758" s="171"/>
      <c r="IL758" s="172"/>
      <c r="IM758" s="89"/>
      <c r="IN758" s="89"/>
      <c r="IO758" s="147"/>
      <c r="IR758" s="89"/>
      <c r="IS758" s="89"/>
      <c r="IT758" s="89"/>
      <c r="IU758" s="89"/>
      <c r="IV758" s="89"/>
      <c r="IW758" s="89"/>
      <c r="IX758" s="89"/>
      <c r="IY758" s="89"/>
      <c r="IZ758" s="89"/>
      <c r="JA758" s="89"/>
      <c r="JB758" s="89"/>
      <c r="JC758" s="89"/>
      <c r="JD758" s="89"/>
      <c r="JE758" s="89"/>
      <c r="JF758" s="89"/>
      <c r="JG758" s="89"/>
      <c r="JH758" s="89"/>
      <c r="JI758" s="89"/>
      <c r="JJ758" s="89"/>
      <c r="JK758" s="89"/>
      <c r="JL758" s="89"/>
      <c r="JM758" s="154" t="s">
        <v>14</v>
      </c>
      <c r="JN758" s="155" t="s">
        <v>1664</v>
      </c>
      <c r="JO758" s="147"/>
      <c r="JS758" s="89"/>
      <c r="JT758" s="89"/>
      <c r="JU758" s="89"/>
      <c r="JV758" s="89"/>
      <c r="JW758" s="89"/>
      <c r="JX758" s="89"/>
      <c r="JY758" s="89"/>
      <c r="JZ758" s="156"/>
      <c r="KA758" s="154"/>
      <c r="KB758" s="147"/>
      <c r="KC758" s="89"/>
      <c r="KD758" s="147"/>
      <c r="KE758" s="89"/>
      <c r="KF758" s="89"/>
      <c r="KG758" s="89"/>
      <c r="KH758" s="147"/>
      <c r="KI758" s="89"/>
      <c r="KJ758" s="152"/>
      <c r="KK758" s="173"/>
      <c r="KL758" s="89"/>
      <c r="KM758" s="89"/>
      <c r="KN758" s="89"/>
      <c r="KO758" s="89"/>
      <c r="KP758" s="147"/>
      <c r="KQ758" s="89"/>
      <c r="KR758" s="152"/>
      <c r="KS758" s="173"/>
      <c r="KT758" s="89"/>
      <c r="KU758" s="89"/>
      <c r="KV758" s="158"/>
      <c r="KW758" s="174"/>
      <c r="KX758" s="89"/>
      <c r="KY758" s="89"/>
      <c r="KZ758" s="89"/>
      <c r="LA758" s="3"/>
      <c r="LB758" s="3"/>
      <c r="LC758" s="3"/>
      <c r="LD758" s="3"/>
      <c r="LE758" s="3"/>
      <c r="LF758" s="3"/>
      <c r="LG758" s="3"/>
      <c r="LH758" s="3"/>
      <c r="LI758" s="147"/>
      <c r="LJ758" s="147"/>
      <c r="LK758" s="147"/>
      <c r="LL758" s="147"/>
      <c r="LM758" s="147"/>
      <c r="LN758" s="89"/>
      <c r="LO758" s="147"/>
      <c r="LP758" s="147"/>
      <c r="LQ758" s="147"/>
      <c r="LR758" s="89"/>
      <c r="LS758" s="89"/>
      <c r="LT758" s="89"/>
      <c r="LU758" s="89"/>
      <c r="LV758" s="89"/>
      <c r="LW758" s="89"/>
      <c r="LX758" s="89"/>
      <c r="LY758" s="89"/>
      <c r="LZ758" s="89"/>
      <c r="MA758" s="89"/>
      <c r="MB758" s="89"/>
      <c r="MC758" s="89"/>
      <c r="MD758" s="89"/>
      <c r="ME758" s="89"/>
      <c r="MF758" s="89"/>
      <c r="MG758" s="89"/>
      <c r="MH758" s="89"/>
      <c r="MI758" s="89"/>
      <c r="MJ758" s="89"/>
      <c r="MK758" s="89"/>
      <c r="ML758" s="89"/>
      <c r="MM758" s="89"/>
      <c r="MN758" s="89"/>
      <c r="MO758" s="89"/>
      <c r="MP758" s="89"/>
      <c r="MQ758" s="89"/>
      <c r="MR758" s="89"/>
      <c r="MS758" s="89"/>
      <c r="MT758" s="89"/>
      <c r="MU758" s="89"/>
      <c r="MV758" s="89"/>
      <c r="MW758" s="89"/>
      <c r="MX758" s="89"/>
      <c r="MY758" s="89"/>
      <c r="MZ758" s="148" t="s">
        <v>2225</v>
      </c>
      <c r="NA758" s="89">
        <v>64</v>
      </c>
      <c r="NB758" s="148" t="s">
        <v>2235</v>
      </c>
      <c r="NC758" s="159" t="s">
        <v>2236</v>
      </c>
      <c r="ND758" s="159" t="s">
        <v>2237</v>
      </c>
      <c r="NE758" s="159"/>
      <c r="NF758" s="159"/>
      <c r="NG758" s="159"/>
      <c r="NH758" s="159"/>
      <c r="NI758" s="159"/>
      <c r="NJ758" s="148" t="s">
        <v>2232</v>
      </c>
      <c r="NK758" s="148" t="s">
        <v>1679</v>
      </c>
      <c r="NL758" s="148" t="s">
        <v>2239</v>
      </c>
      <c r="NM758" t="s">
        <v>266</v>
      </c>
      <c r="NN758" s="160" t="s">
        <v>265</v>
      </c>
      <c r="NO758" s="148"/>
      <c r="NP758" s="148"/>
      <c r="NQ758" s="148"/>
      <c r="NR758" s="148"/>
      <c r="NS758" s="148"/>
      <c r="NT758" s="148"/>
      <c r="NU758" s="148"/>
      <c r="NV758" s="148" t="s">
        <v>64</v>
      </c>
      <c r="NW758" s="161" t="s">
        <v>6</v>
      </c>
      <c r="NX758" s="97">
        <v>-406.3</v>
      </c>
      <c r="NY758" s="161" t="s">
        <v>4</v>
      </c>
      <c r="NZ758" s="97">
        <v>49.2</v>
      </c>
      <c r="OA758" s="175"/>
      <c r="OB758" s="89"/>
      <c r="OC758" s="148">
        <v>4</v>
      </c>
      <c r="OD758" s="89"/>
      <c r="OE758" s="89"/>
      <c r="OF758" s="89"/>
      <c r="OG758" s="89"/>
      <c r="OH758" s="89"/>
      <c r="OI758" s="89"/>
      <c r="OJ758" s="89"/>
      <c r="OK758" s="89"/>
      <c r="OL758" s="89"/>
      <c r="OM758" s="89"/>
      <c r="ON758" s="159"/>
      <c r="OO758" s="159"/>
      <c r="OP758" s="159"/>
      <c r="OQ758" s="159"/>
      <c r="OR758" s="159"/>
      <c r="OS758" s="159"/>
      <c r="OT758" s="148" t="s">
        <v>2229</v>
      </c>
      <c r="OU758" s="89"/>
      <c r="OV758" s="89">
        <v>2007</v>
      </c>
      <c r="OW758" s="89"/>
      <c r="OX758" s="89"/>
      <c r="OY758" s="89" t="s">
        <v>1</v>
      </c>
      <c r="OZ758" s="89"/>
      <c r="PA758" t="s">
        <v>1169</v>
      </c>
      <c r="PB758" s="58">
        <v>46134</v>
      </c>
    </row>
    <row r="759" spans="1:418" ht="15.75" thickBot="1">
      <c r="A759" t="s">
        <v>248</v>
      </c>
      <c r="B759" t="s">
        <v>2219</v>
      </c>
      <c r="C759" s="89" t="s">
        <v>34</v>
      </c>
      <c r="D759" s="147" t="s">
        <v>1936</v>
      </c>
      <c r="E759" s="89" t="s">
        <v>1658</v>
      </c>
      <c r="F759" t="s">
        <v>31</v>
      </c>
      <c r="G759" s="89" t="s">
        <v>2</v>
      </c>
      <c r="H759" s="147" t="s">
        <v>30</v>
      </c>
      <c r="I759">
        <v>-0.41666666699999999</v>
      </c>
      <c r="J759">
        <v>34.200000000000003</v>
      </c>
      <c r="K759" s="147" t="s">
        <v>29</v>
      </c>
      <c r="L759" s="2"/>
      <c r="M759" s="99"/>
      <c r="N759" s="2"/>
      <c r="O759" s="89"/>
      <c r="P759" s="2"/>
      <c r="Q759" s="2"/>
      <c r="R759" s="89"/>
      <c r="S759" s="89"/>
      <c r="T759" s="89"/>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c r="AV759" s="89" t="s">
        <v>2220</v>
      </c>
      <c r="AW759" s="89">
        <v>64</v>
      </c>
      <c r="AX759" s="89">
        <v>0.09</v>
      </c>
      <c r="AY759" s="89">
        <v>1</v>
      </c>
      <c r="AZ759" s="148" t="s">
        <v>2221</v>
      </c>
      <c r="BA759" s="148">
        <v>2007</v>
      </c>
      <c r="BB759" s="148">
        <v>2008</v>
      </c>
      <c r="BC759" s="148" t="s">
        <v>1</v>
      </c>
      <c r="BD759" s="2"/>
      <c r="BE759" s="2" t="s">
        <v>2230</v>
      </c>
      <c r="BF759" s="2" t="s">
        <v>64</v>
      </c>
      <c r="BG759" s="148" t="s">
        <v>1233</v>
      </c>
      <c r="BH759" s="2" t="s">
        <v>2223</v>
      </c>
      <c r="BI759" s="148" t="s">
        <v>29</v>
      </c>
      <c r="BJ759" s="149" t="s">
        <v>22</v>
      </c>
      <c r="BK759" s="150">
        <v>55500</v>
      </c>
      <c r="BL759" s="2" t="s">
        <v>56</v>
      </c>
      <c r="BM759" t="s">
        <v>2231</v>
      </c>
      <c r="BN759" s="148" t="s">
        <v>29</v>
      </c>
      <c r="BO759" s="2" t="s">
        <v>22</v>
      </c>
      <c r="BP759" s="2">
        <v>55000</v>
      </c>
      <c r="BQ759" s="2"/>
      <c r="BR759" s="2"/>
      <c r="BS759" s="2"/>
      <c r="BT759" s="2"/>
      <c r="BU759" s="2"/>
      <c r="BV759" s="2"/>
      <c r="BW759" s="3"/>
      <c r="BX759" s="3"/>
      <c r="BY759" s="3"/>
      <c r="BZ759" s="3"/>
      <c r="CA759" s="3"/>
      <c r="CB759" s="3"/>
      <c r="CC759" s="3"/>
      <c r="CD759" s="3"/>
      <c r="CE759" s="3"/>
      <c r="CF759" s="3"/>
      <c r="CG759" s="3"/>
      <c r="CH759" s="3"/>
      <c r="CI759" s="3"/>
      <c r="CJ759" s="3"/>
      <c r="CK759" s="3"/>
      <c r="CL759" s="3"/>
      <c r="CM759" s="3"/>
      <c r="CN759" s="3"/>
      <c r="CO759" s="3"/>
      <c r="CP759" s="3"/>
      <c r="CQ759" s="3"/>
      <c r="CR759" s="3"/>
      <c r="CS759" s="3"/>
      <c r="CT759" s="3"/>
      <c r="CU759" s="3"/>
      <c r="CV759" s="3"/>
      <c r="CW759" s="3"/>
      <c r="CX759" s="3"/>
      <c r="CY759" s="3"/>
      <c r="CZ759" s="3"/>
      <c r="DA759" s="3"/>
      <c r="DB759" s="3"/>
      <c r="DC759" s="3"/>
      <c r="DD759" s="3"/>
      <c r="DE759" s="3"/>
      <c r="DF759" s="3"/>
      <c r="DG759" s="3"/>
      <c r="DH759" s="3"/>
      <c r="DI759" s="3"/>
      <c r="DJ759" s="3"/>
      <c r="DK759" s="3"/>
      <c r="DL759" s="3"/>
      <c r="DM759" s="3"/>
      <c r="DN759" s="3"/>
      <c r="DO759" s="3"/>
      <c r="DP759" s="3"/>
      <c r="DQ759" s="3"/>
      <c r="DR759" s="3"/>
      <c r="DS759" s="3"/>
      <c r="DT759" s="3"/>
      <c r="DU759" s="3"/>
      <c r="DV759" s="3"/>
      <c r="DW759" s="3"/>
      <c r="DX759" s="3"/>
      <c r="DY759" s="3"/>
      <c r="DZ759" s="3"/>
      <c r="EA759" s="3"/>
      <c r="EB759" s="3"/>
      <c r="EC759" s="3"/>
      <c r="ED759" s="3"/>
      <c r="EE759" s="2"/>
      <c r="EF759" s="2"/>
      <c r="EG759" s="2"/>
      <c r="EH759" s="2"/>
      <c r="EI759" s="2"/>
      <c r="EJ759" s="2"/>
      <c r="EK759" s="2"/>
      <c r="EL759" s="2"/>
      <c r="EM759" s="3"/>
      <c r="EN759" s="3"/>
      <c r="EO759" s="3"/>
      <c r="EP759" s="3"/>
      <c r="EQ759" s="3"/>
      <c r="ER759" s="3"/>
      <c r="ES759" s="3"/>
      <c r="ET759" s="3"/>
      <c r="EU759" s="3"/>
      <c r="EV759" s="3"/>
      <c r="EW759" s="3"/>
      <c r="EX759" s="3"/>
      <c r="EY759" s="3"/>
      <c r="EZ759" s="3"/>
      <c r="FA759" s="3"/>
      <c r="FB759" s="3"/>
      <c r="FC759" s="3"/>
      <c r="FD759" s="3"/>
      <c r="FE759" s="3"/>
      <c r="FF759" s="3"/>
      <c r="FG759" s="3"/>
      <c r="FH759" s="3"/>
      <c r="FI759" s="3"/>
      <c r="FJ759" s="3"/>
      <c r="FK759" s="3"/>
      <c r="FL759" s="3"/>
      <c r="FM759" s="3"/>
      <c r="FN759" s="3"/>
      <c r="FO759" s="3"/>
      <c r="FP759" s="3"/>
      <c r="FQ759" s="3"/>
      <c r="FR759" s="3"/>
      <c r="FS759" s="3"/>
      <c r="FT759" s="3"/>
      <c r="FU759" s="3"/>
      <c r="FV759" s="3"/>
      <c r="FW759" s="3"/>
      <c r="FX759" s="3"/>
      <c r="FY759" s="3"/>
      <c r="FZ759" s="3"/>
      <c r="GA759" s="3"/>
      <c r="GB759" s="3"/>
      <c r="GC759" s="3"/>
      <c r="GD759" s="3"/>
      <c r="GE759" s="3"/>
      <c r="GF759" s="3"/>
      <c r="GG759" s="3"/>
      <c r="GH759" s="3"/>
      <c r="GI759" s="3"/>
      <c r="GJ759" s="3"/>
      <c r="GK759" s="3"/>
      <c r="GL759" s="3"/>
      <c r="GM759" s="3"/>
      <c r="GN759" s="3"/>
      <c r="GO759" s="3"/>
      <c r="GP759" s="3"/>
      <c r="GQ759" s="3"/>
      <c r="GR759" s="3"/>
      <c r="GS759" s="3"/>
      <c r="GT759" s="3"/>
      <c r="GU759" s="3"/>
      <c r="GV759" s="3"/>
      <c r="GW759" s="3"/>
      <c r="GX759" s="3"/>
      <c r="GY759" s="3"/>
      <c r="GZ759" s="3"/>
      <c r="HA759" s="3"/>
      <c r="HB759" s="3"/>
      <c r="HC759" s="3"/>
      <c r="HD759" s="3"/>
      <c r="HE759" s="3"/>
      <c r="HF759" s="3"/>
      <c r="HG759" s="3"/>
      <c r="HH759" s="3"/>
      <c r="HI759" s="3"/>
      <c r="HJ759" s="3"/>
      <c r="HK759" s="3"/>
      <c r="HL759" s="2"/>
      <c r="HM759" s="2"/>
      <c r="HN759" s="2"/>
      <c r="HO759" s="2"/>
      <c r="HP759" s="2"/>
      <c r="HQ759" s="2"/>
      <c r="HR759" s="2"/>
      <c r="HS759" s="2"/>
      <c r="HT759" s="99"/>
      <c r="HU759" s="2"/>
      <c r="HV759" s="2"/>
      <c r="HW759" s="2"/>
      <c r="HX759" s="2"/>
      <c r="HY759" s="2"/>
      <c r="HZ759" s="2"/>
      <c r="IA759" s="2"/>
      <c r="IB759" s="2"/>
      <c r="IC759" s="2"/>
      <c r="ID759" s="2"/>
      <c r="IE759" s="2"/>
      <c r="IF759" s="2"/>
      <c r="IG759" s="2"/>
      <c r="IH759" s="2"/>
      <c r="II759" s="148" t="s">
        <v>2224</v>
      </c>
      <c r="IJ759" s="163" t="s">
        <v>1443</v>
      </c>
      <c r="IK759" s="164" t="s">
        <v>1466</v>
      </c>
      <c r="IL759" s="165" t="s">
        <v>661</v>
      </c>
      <c r="IM759" s="2">
        <v>2007</v>
      </c>
      <c r="IN759" s="2" t="s">
        <v>62</v>
      </c>
      <c r="IO759" s="2" t="s">
        <v>29</v>
      </c>
      <c r="IR759" s="2"/>
      <c r="IS759" s="2"/>
      <c r="IT759" s="2"/>
      <c r="IU759" s="2"/>
      <c r="IV759" s="2"/>
      <c r="IW759" s="2"/>
      <c r="IX759" s="2"/>
      <c r="IY759" s="2"/>
      <c r="IZ759" s="2"/>
      <c r="JA759" s="2"/>
      <c r="JB759" s="2"/>
      <c r="JC759" s="2"/>
      <c r="JD759" s="2"/>
      <c r="JE759" s="2"/>
      <c r="JF759" s="2"/>
      <c r="JG759" s="2"/>
      <c r="JH759" s="2"/>
      <c r="JI759" s="2"/>
      <c r="JJ759" s="2"/>
      <c r="JK759" s="2"/>
      <c r="JL759" s="2"/>
      <c r="JM759" s="154" t="s">
        <v>14</v>
      </c>
      <c r="JN759" s="155" t="s">
        <v>1664</v>
      </c>
      <c r="JO759" s="99"/>
      <c r="JS759" s="2"/>
      <c r="JT759" s="2"/>
      <c r="JU759" s="2"/>
      <c r="JV759" s="2"/>
      <c r="JW759" s="2"/>
      <c r="JX759" s="2"/>
      <c r="JY759" s="2"/>
      <c r="JZ759" s="156"/>
      <c r="KA759" s="166"/>
      <c r="KB759" s="99"/>
      <c r="KC759" s="2"/>
      <c r="KD759" s="99"/>
      <c r="KE759" s="2"/>
      <c r="KF759" s="2"/>
      <c r="KG759" s="2"/>
      <c r="KH759" s="99"/>
      <c r="KI759" s="2"/>
      <c r="KJ759" s="163"/>
      <c r="KK759" s="167"/>
      <c r="KL759" s="2"/>
      <c r="KM759" s="2"/>
      <c r="KN759" s="2"/>
      <c r="KO759" s="2"/>
      <c r="KP759" s="99"/>
      <c r="KQ759" s="2"/>
      <c r="KR759" s="163"/>
      <c r="KS759" s="167"/>
      <c r="KT759" s="2"/>
      <c r="KU759" s="2"/>
      <c r="KV759" s="158"/>
      <c r="KW759" s="176"/>
      <c r="KX759" s="2"/>
      <c r="KY759" s="2"/>
      <c r="KZ759" s="2"/>
      <c r="LA759" s="3"/>
      <c r="LB759" s="3"/>
      <c r="LC759" s="3"/>
      <c r="LD759" s="3"/>
      <c r="LE759" s="3"/>
      <c r="LF759" s="3"/>
      <c r="LG759" s="3"/>
      <c r="LH759" s="3"/>
      <c r="LI759" s="99"/>
      <c r="LJ759" s="99"/>
      <c r="LK759" s="99"/>
      <c r="LL759" s="99"/>
      <c r="LM759" s="99"/>
      <c r="LN759" s="2"/>
      <c r="LO759" s="99"/>
      <c r="LP759" s="99"/>
      <c r="LQ759" s="99"/>
      <c r="LR759" s="2"/>
      <c r="LS759" s="2"/>
      <c r="LT759" s="2"/>
      <c r="LU759" s="2"/>
      <c r="LV759" s="2"/>
      <c r="LW759" s="2"/>
      <c r="LX759" s="2"/>
      <c r="LY759" s="2"/>
      <c r="LZ759" s="2"/>
      <c r="MA759" s="2"/>
      <c r="MB759" s="2"/>
      <c r="MC759" s="2"/>
      <c r="MD759" s="2"/>
      <c r="ME759" s="2"/>
      <c r="MF759" s="2"/>
      <c r="MG759" s="2"/>
      <c r="MH759" s="2"/>
      <c r="MI759" s="2"/>
      <c r="MJ759" s="2"/>
      <c r="MK759" s="2"/>
      <c r="ML759" s="2"/>
      <c r="MM759" s="2"/>
      <c r="MN759" s="2"/>
      <c r="MO759" s="2"/>
      <c r="MP759" s="2"/>
      <c r="MQ759" s="2"/>
      <c r="MR759" s="2"/>
      <c r="MS759" s="2"/>
      <c r="MT759" s="2"/>
      <c r="MU759" s="2"/>
      <c r="MV759" s="2"/>
      <c r="MW759" s="2"/>
      <c r="MX759" s="2"/>
      <c r="MY759" s="2"/>
      <c r="MZ759" s="148" t="s">
        <v>2225</v>
      </c>
      <c r="NA759" s="89">
        <v>64</v>
      </c>
      <c r="NB759" s="148" t="s">
        <v>2235</v>
      </c>
      <c r="NC759" s="159" t="s">
        <v>2236</v>
      </c>
      <c r="ND759" s="159" t="s">
        <v>2237</v>
      </c>
      <c r="NE759" s="159" t="s">
        <v>2238</v>
      </c>
      <c r="NF759" s="159"/>
      <c r="NG759" s="159"/>
      <c r="NH759" s="159"/>
      <c r="NI759" s="159"/>
      <c r="NJ759" s="148" t="s">
        <v>2232</v>
      </c>
      <c r="NK759" s="148" t="s">
        <v>1679</v>
      </c>
      <c r="NL759" s="148" t="s">
        <v>2239</v>
      </c>
      <c r="NM759" t="s">
        <v>266</v>
      </c>
      <c r="NN759" s="160" t="s">
        <v>265</v>
      </c>
      <c r="NO759" s="148"/>
      <c r="NP759" s="148"/>
      <c r="NQ759" s="148"/>
      <c r="NR759" s="148"/>
      <c r="NS759" s="148"/>
      <c r="NT759" s="148"/>
      <c r="NU759" s="148"/>
      <c r="NV759" s="148"/>
      <c r="NW759" s="161" t="s">
        <v>6</v>
      </c>
      <c r="NX759" s="168">
        <v>517.79999999999995</v>
      </c>
      <c r="NY759" s="161" t="s">
        <v>4</v>
      </c>
      <c r="NZ759" s="168">
        <v>77.7</v>
      </c>
      <c r="OA759" s="169"/>
      <c r="OB759" s="2"/>
      <c r="OC759" s="148">
        <v>4</v>
      </c>
      <c r="OD759" s="2"/>
      <c r="OE759" s="2"/>
      <c r="OF759" s="2"/>
      <c r="OG759" s="2"/>
      <c r="OH759" s="2"/>
      <c r="OI759" s="2"/>
      <c r="OJ759" s="2"/>
      <c r="OK759" s="2"/>
      <c r="OL759" s="2"/>
      <c r="OM759" s="2"/>
      <c r="OT759" s="148" t="s">
        <v>2229</v>
      </c>
      <c r="OU759" s="2"/>
      <c r="OV759" s="2">
        <v>2007</v>
      </c>
      <c r="OW759" s="2"/>
      <c r="OX759" s="2"/>
      <c r="OY759" s="2" t="s">
        <v>1</v>
      </c>
      <c r="OZ759" s="2"/>
      <c r="PA759" t="s">
        <v>1169</v>
      </c>
      <c r="PB759" s="58">
        <v>46134</v>
      </c>
    </row>
    <row r="760" spans="1:418" ht="15.75" thickBot="1">
      <c r="A760" t="s">
        <v>248</v>
      </c>
      <c r="B760" t="s">
        <v>2219</v>
      </c>
      <c r="C760" s="89" t="s">
        <v>34</v>
      </c>
      <c r="D760" s="147" t="s">
        <v>1936</v>
      </c>
      <c r="E760" s="89" t="s">
        <v>1658</v>
      </c>
      <c r="F760" t="s">
        <v>31</v>
      </c>
      <c r="G760" s="89" t="s">
        <v>2</v>
      </c>
      <c r="H760" s="147" t="s">
        <v>30</v>
      </c>
      <c r="I760">
        <v>-0.41666666699999999</v>
      </c>
      <c r="J760">
        <v>34.200000000000003</v>
      </c>
      <c r="K760" s="147" t="s">
        <v>29</v>
      </c>
      <c r="L760" s="89"/>
      <c r="M760" s="147"/>
      <c r="N760" s="89"/>
      <c r="O760" s="89"/>
      <c r="P760" s="89"/>
      <c r="Q760" s="89"/>
      <c r="R760" s="89"/>
      <c r="S760" s="89"/>
      <c r="T760" s="89"/>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c r="AV760" s="89" t="s">
        <v>2220</v>
      </c>
      <c r="AW760" s="89">
        <v>64</v>
      </c>
      <c r="AX760" s="89">
        <v>0.09</v>
      </c>
      <c r="AY760" s="89">
        <v>1</v>
      </c>
      <c r="AZ760" s="148" t="s">
        <v>2221</v>
      </c>
      <c r="BA760" s="148">
        <v>2007</v>
      </c>
      <c r="BB760" s="148">
        <v>2008</v>
      </c>
      <c r="BC760" s="148" t="s">
        <v>62</v>
      </c>
      <c r="BD760" s="89"/>
      <c r="BE760" s="148" t="s">
        <v>2222</v>
      </c>
      <c r="BF760" s="148" t="s">
        <v>39</v>
      </c>
      <c r="BG760" s="148" t="s">
        <v>1233</v>
      </c>
      <c r="BH760" s="148" t="s">
        <v>2223</v>
      </c>
      <c r="BI760" s="148" t="s">
        <v>29</v>
      </c>
      <c r="BJ760" s="149" t="s">
        <v>22</v>
      </c>
      <c r="BK760" s="150">
        <v>111000</v>
      </c>
      <c r="BL760" s="89"/>
      <c r="BM760" s="89"/>
      <c r="BN760" s="89"/>
      <c r="BO760" s="147"/>
      <c r="BP760" s="170"/>
      <c r="BQ760" s="89"/>
      <c r="BR760" s="89"/>
      <c r="BS760" s="89"/>
      <c r="BT760" s="147"/>
      <c r="BU760" s="170"/>
      <c r="BV760" s="89"/>
      <c r="BW760" s="3"/>
      <c r="BX760" s="3"/>
      <c r="BY760" s="3"/>
      <c r="BZ760" s="3"/>
      <c r="CA760" s="3"/>
      <c r="CB760" s="3"/>
      <c r="CC760" s="3"/>
      <c r="CD760" s="3"/>
      <c r="CE760" s="3"/>
      <c r="CF760" s="3"/>
      <c r="CG760" s="3"/>
      <c r="CH760" s="3"/>
      <c r="CI760" s="3"/>
      <c r="CJ760" s="3"/>
      <c r="CK760" s="3"/>
      <c r="CL760" s="3"/>
      <c r="CM760" s="3"/>
      <c r="CN760" s="3"/>
      <c r="CO760" s="3"/>
      <c r="CP760" s="3"/>
      <c r="CQ760" s="3"/>
      <c r="CR760" s="3"/>
      <c r="CS760" s="3"/>
      <c r="CT760" s="3"/>
      <c r="CU760" s="3"/>
      <c r="CV760" s="3"/>
      <c r="CW760" s="3"/>
      <c r="CX760" s="3"/>
      <c r="CY760" s="3"/>
      <c r="CZ760" s="3"/>
      <c r="DA760" s="3"/>
      <c r="DB760" s="3"/>
      <c r="DC760" s="3"/>
      <c r="DD760" s="3"/>
      <c r="DE760" s="3"/>
      <c r="DF760" s="3"/>
      <c r="DG760" s="3"/>
      <c r="DH760" s="3"/>
      <c r="DI760" s="3"/>
      <c r="DJ760" s="3"/>
      <c r="DK760" s="3"/>
      <c r="DL760" s="3"/>
      <c r="DM760" s="3"/>
      <c r="DN760" s="3"/>
      <c r="DO760" s="3"/>
      <c r="DP760" s="3"/>
      <c r="DQ760" s="3"/>
      <c r="DR760" s="3"/>
      <c r="DS760" s="3"/>
      <c r="DT760" s="3"/>
      <c r="DU760" s="3"/>
      <c r="DV760" s="3"/>
      <c r="DW760" s="3"/>
      <c r="DX760" s="3"/>
      <c r="DY760" s="3"/>
      <c r="DZ760" s="3"/>
      <c r="EA760" s="3"/>
      <c r="EB760" s="3"/>
      <c r="EC760" s="3"/>
      <c r="ED760" s="3"/>
      <c r="EE760" s="89"/>
      <c r="EF760" s="89"/>
      <c r="EG760" s="89"/>
      <c r="EH760" s="89"/>
      <c r="EI760" s="89"/>
      <c r="EJ760" s="89"/>
      <c r="EK760" s="89"/>
      <c r="EL760" s="89"/>
      <c r="EM760" s="3"/>
      <c r="EN760" s="3"/>
      <c r="EO760" s="3"/>
      <c r="EP760" s="3"/>
      <c r="EQ760" s="3"/>
      <c r="ER760" s="3"/>
      <c r="ES760" s="3"/>
      <c r="ET760" s="3"/>
      <c r="EU760" s="3"/>
      <c r="EV760" s="3"/>
      <c r="EW760" s="3"/>
      <c r="EX760" s="3"/>
      <c r="EY760" s="3"/>
      <c r="EZ760" s="3"/>
      <c r="FA760" s="3"/>
      <c r="FB760" s="3"/>
      <c r="FC760" s="3"/>
      <c r="FD760" s="3"/>
      <c r="FE760" s="3"/>
      <c r="FF760" s="3"/>
      <c r="FG760" s="3"/>
      <c r="FH760" s="3"/>
      <c r="FI760" s="3"/>
      <c r="FJ760" s="3"/>
      <c r="FK760" s="3"/>
      <c r="FL760" s="3"/>
      <c r="FM760" s="3"/>
      <c r="FN760" s="3"/>
      <c r="FO760" s="3"/>
      <c r="FP760" s="3"/>
      <c r="FQ760" s="3"/>
      <c r="FR760" s="3"/>
      <c r="FS760" s="3"/>
      <c r="FT760" s="3"/>
      <c r="FU760" s="3"/>
      <c r="FV760" s="3"/>
      <c r="FW760" s="3"/>
      <c r="FX760" s="3"/>
      <c r="FY760" s="3"/>
      <c r="FZ760" s="3"/>
      <c r="GA760" s="3"/>
      <c r="GB760" s="3"/>
      <c r="GC760" s="3"/>
      <c r="GD760" s="3"/>
      <c r="GE760" s="3"/>
      <c r="GF760" s="3"/>
      <c r="GG760" s="3"/>
      <c r="GH760" s="3"/>
      <c r="GI760" s="3"/>
      <c r="GJ760" s="3"/>
      <c r="GK760" s="3"/>
      <c r="GL760" s="3"/>
      <c r="GM760" s="3"/>
      <c r="GN760" s="3"/>
      <c r="GO760" s="3"/>
      <c r="GP760" s="3"/>
      <c r="GQ760" s="3"/>
      <c r="GR760" s="3"/>
      <c r="GS760" s="3"/>
      <c r="GT760" s="3"/>
      <c r="GU760" s="3"/>
      <c r="GV760" s="3"/>
      <c r="GW760" s="3"/>
      <c r="GX760" s="3"/>
      <c r="GY760" s="3"/>
      <c r="GZ760" s="3"/>
      <c r="HA760" s="3"/>
      <c r="HB760" s="3"/>
      <c r="HC760" s="3"/>
      <c r="HD760" s="3"/>
      <c r="HE760" s="3"/>
      <c r="HF760" s="3"/>
      <c r="HG760" s="3"/>
      <c r="HH760" s="3"/>
      <c r="HI760" s="3"/>
      <c r="HJ760" s="3"/>
      <c r="HK760" s="3"/>
      <c r="HL760" s="89"/>
      <c r="HM760" s="89"/>
      <c r="HN760" s="89"/>
      <c r="HO760" s="89"/>
      <c r="HP760" s="89"/>
      <c r="HQ760" s="89"/>
      <c r="HR760" s="89"/>
      <c r="HS760" s="89"/>
      <c r="HT760" s="147"/>
      <c r="HU760" s="89"/>
      <c r="HV760" s="89"/>
      <c r="HW760" s="89"/>
      <c r="HX760" s="89"/>
      <c r="HY760" s="89"/>
      <c r="HZ760" s="89"/>
      <c r="IA760" s="89"/>
      <c r="IB760" s="89"/>
      <c r="IC760" s="89"/>
      <c r="ID760" s="89"/>
      <c r="IE760" s="89"/>
      <c r="IF760" s="89"/>
      <c r="IG760" s="89"/>
      <c r="IH760" s="89"/>
      <c r="II760" s="148" t="s">
        <v>2224</v>
      </c>
      <c r="IJ760" s="152" t="s">
        <v>19</v>
      </c>
      <c r="IK760" s="89"/>
      <c r="IL760" s="89"/>
      <c r="IM760" s="89"/>
      <c r="IN760" s="89"/>
      <c r="IO760" s="89"/>
      <c r="IR760" s="89"/>
      <c r="IS760" s="89"/>
      <c r="IT760" s="89"/>
      <c r="IU760" s="89"/>
      <c r="IV760" s="89"/>
      <c r="IW760" s="89"/>
      <c r="IX760" s="147"/>
      <c r="IY760" s="89"/>
      <c r="IZ760" s="89"/>
      <c r="JA760" s="89"/>
      <c r="JB760" s="89"/>
      <c r="JC760" s="89"/>
      <c r="JD760" s="89"/>
      <c r="JE760" s="89"/>
      <c r="JF760" s="89"/>
      <c r="JG760" s="89"/>
      <c r="JH760" s="89"/>
      <c r="JI760" s="89"/>
      <c r="JJ760" s="89"/>
      <c r="JK760" s="89"/>
      <c r="JL760" s="89"/>
      <c r="JM760" s="154" t="s">
        <v>14</v>
      </c>
      <c r="JN760" s="155" t="s">
        <v>1664</v>
      </c>
      <c r="JO760" s="147"/>
      <c r="JS760" s="89"/>
      <c r="JT760" s="89"/>
      <c r="JU760" s="89"/>
      <c r="JV760" s="89"/>
      <c r="JW760" s="89"/>
      <c r="JX760" s="89"/>
      <c r="JY760" s="89"/>
      <c r="JZ760" s="156"/>
      <c r="KA760" s="154"/>
      <c r="KB760" s="147"/>
      <c r="KC760" s="89"/>
      <c r="KD760" s="147"/>
      <c r="KE760" s="89"/>
      <c r="KF760" s="89"/>
      <c r="KG760" s="89"/>
      <c r="KH760" s="147"/>
      <c r="KI760" s="89"/>
      <c r="KJ760" s="152"/>
      <c r="KK760" s="173"/>
      <c r="KL760" s="89"/>
      <c r="KM760" s="89"/>
      <c r="KN760" s="89"/>
      <c r="KO760" s="89"/>
      <c r="KP760" s="147"/>
      <c r="KQ760" s="89"/>
      <c r="KR760" s="177"/>
      <c r="KS760" s="154"/>
      <c r="KT760" s="89"/>
      <c r="KU760" s="89"/>
      <c r="KV760" s="158"/>
      <c r="KW760" s="173"/>
      <c r="KX760" s="89"/>
      <c r="KY760" s="89"/>
      <c r="KZ760" s="89"/>
      <c r="LA760" s="3"/>
      <c r="LB760" s="3"/>
      <c r="LC760" s="3"/>
      <c r="LD760" s="3"/>
      <c r="LE760" s="3"/>
      <c r="LF760" s="3"/>
      <c r="LG760" s="3"/>
      <c r="LH760" s="3"/>
      <c r="LI760" s="147"/>
      <c r="LJ760" s="147"/>
      <c r="LK760" s="147"/>
      <c r="LL760" s="147"/>
      <c r="LM760" s="147"/>
      <c r="LN760" s="89"/>
      <c r="LO760" s="147"/>
      <c r="LP760" s="147"/>
      <c r="LQ760" s="147"/>
      <c r="LR760" s="89"/>
      <c r="LS760" s="89"/>
      <c r="LT760" s="89"/>
      <c r="LU760" s="89"/>
      <c r="LV760" s="89"/>
      <c r="LW760" s="89"/>
      <c r="LX760" s="89"/>
      <c r="LY760" s="89"/>
      <c r="LZ760" s="89"/>
      <c r="MA760" s="89"/>
      <c r="MB760" s="89"/>
      <c r="MC760" s="89"/>
      <c r="MD760" s="89"/>
      <c r="ME760" s="89"/>
      <c r="MF760" s="89"/>
      <c r="MG760" s="89"/>
      <c r="MH760" s="89"/>
      <c r="MI760" s="89"/>
      <c r="MJ760" s="89"/>
      <c r="MK760" s="89"/>
      <c r="ML760" s="89"/>
      <c r="MM760" s="89"/>
      <c r="MN760" s="89"/>
      <c r="MO760" s="89"/>
      <c r="MP760" s="89"/>
      <c r="MQ760" s="89"/>
      <c r="MR760" s="89"/>
      <c r="MS760" s="89"/>
      <c r="MT760" s="89"/>
      <c r="MU760" s="89"/>
      <c r="MV760" s="89"/>
      <c r="MW760" s="89"/>
      <c r="MX760" s="89"/>
      <c r="MY760" s="89"/>
      <c r="MZ760" s="148" t="s">
        <v>2225</v>
      </c>
      <c r="NA760" s="89">
        <v>64</v>
      </c>
      <c r="NB760" s="148" t="s">
        <v>2235</v>
      </c>
      <c r="NC760" s="159" t="s">
        <v>2236</v>
      </c>
      <c r="ND760" s="159" t="s">
        <v>2237</v>
      </c>
      <c r="NE760" s="159"/>
      <c r="NF760" s="159"/>
      <c r="NG760" s="159"/>
      <c r="NH760" s="159"/>
      <c r="NI760" s="159"/>
      <c r="NJ760" s="148" t="s">
        <v>2232</v>
      </c>
      <c r="NK760" s="148" t="s">
        <v>1679</v>
      </c>
      <c r="NL760" s="148" t="s">
        <v>2239</v>
      </c>
      <c r="NM760" t="s">
        <v>266</v>
      </c>
      <c r="NN760" s="160" t="s">
        <v>265</v>
      </c>
      <c r="NO760" s="148"/>
      <c r="NP760" s="148"/>
      <c r="NQ760" s="148"/>
      <c r="NR760" s="148"/>
      <c r="NS760" s="148"/>
      <c r="NT760" s="148"/>
      <c r="NU760" s="148"/>
      <c r="NV760" s="148" t="s">
        <v>64</v>
      </c>
      <c r="NW760" s="161" t="s">
        <v>6</v>
      </c>
      <c r="NX760" s="97">
        <v>-147.6</v>
      </c>
      <c r="NY760" s="161" t="s">
        <v>4</v>
      </c>
      <c r="NZ760" s="97">
        <v>41.8</v>
      </c>
      <c r="OA760" s="175"/>
      <c r="OB760" s="89"/>
      <c r="OC760" s="148">
        <v>4</v>
      </c>
      <c r="OD760" s="89"/>
      <c r="OE760" s="89"/>
      <c r="OF760" s="89"/>
      <c r="OG760" s="89"/>
      <c r="OH760" s="89"/>
      <c r="OI760" s="89"/>
      <c r="OJ760" s="89"/>
      <c r="OK760" s="89"/>
      <c r="OL760" s="89"/>
      <c r="OM760" s="89"/>
      <c r="ON760" s="159"/>
      <c r="OO760" s="159"/>
      <c r="OP760" s="159"/>
      <c r="OQ760" s="159"/>
      <c r="OR760" s="159"/>
      <c r="OS760" s="159"/>
      <c r="OT760" s="148" t="s">
        <v>2229</v>
      </c>
      <c r="OU760" s="89"/>
      <c r="OV760" s="89">
        <v>2008</v>
      </c>
      <c r="OW760" s="89"/>
      <c r="OX760" s="89"/>
      <c r="OY760" s="148" t="s">
        <v>62</v>
      </c>
      <c r="OZ760" s="89"/>
      <c r="PA760" t="s">
        <v>1169</v>
      </c>
      <c r="PB760" s="58">
        <v>46134</v>
      </c>
    </row>
    <row r="761" spans="1:418" ht="15.75" thickBot="1">
      <c r="A761" t="s">
        <v>248</v>
      </c>
      <c r="B761" t="s">
        <v>2219</v>
      </c>
      <c r="C761" s="89" t="s">
        <v>34</v>
      </c>
      <c r="D761" s="147" t="s">
        <v>1936</v>
      </c>
      <c r="E761" s="89" t="s">
        <v>1658</v>
      </c>
      <c r="F761" t="s">
        <v>31</v>
      </c>
      <c r="G761" s="89" t="s">
        <v>2</v>
      </c>
      <c r="H761" s="147" t="s">
        <v>30</v>
      </c>
      <c r="I761">
        <v>-0.41666666699999999</v>
      </c>
      <c r="J761">
        <v>34.200000000000003</v>
      </c>
      <c r="K761" s="147" t="s">
        <v>29</v>
      </c>
      <c r="L761" s="2"/>
      <c r="M761" s="99"/>
      <c r="N761" s="2"/>
      <c r="O761" s="89"/>
      <c r="P761" s="2"/>
      <c r="Q761" s="2"/>
      <c r="R761" s="89"/>
      <c r="S761" s="89"/>
      <c r="T761" s="89"/>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c r="AV761" s="89" t="s">
        <v>2220</v>
      </c>
      <c r="AW761" s="89">
        <v>64</v>
      </c>
      <c r="AX761" s="89">
        <v>0.09</v>
      </c>
      <c r="AY761" s="89">
        <v>1</v>
      </c>
      <c r="AZ761" s="148" t="s">
        <v>2221</v>
      </c>
      <c r="BA761" s="148">
        <v>2007</v>
      </c>
      <c r="BB761" s="148">
        <v>2008</v>
      </c>
      <c r="BC761" s="148" t="s">
        <v>62</v>
      </c>
      <c r="BD761" s="2"/>
      <c r="BE761" s="2" t="s">
        <v>2230</v>
      </c>
      <c r="BF761" s="2" t="s">
        <v>64</v>
      </c>
      <c r="BG761" s="148" t="s">
        <v>1233</v>
      </c>
      <c r="BH761" s="2" t="s">
        <v>2223</v>
      </c>
      <c r="BI761" s="148" t="s">
        <v>29</v>
      </c>
      <c r="BJ761" s="149" t="s">
        <v>22</v>
      </c>
      <c r="BK761" s="150">
        <v>55500</v>
      </c>
      <c r="BL761" s="2" t="s">
        <v>56</v>
      </c>
      <c r="BM761" t="s">
        <v>2231</v>
      </c>
      <c r="BN761" s="148" t="s">
        <v>29</v>
      </c>
      <c r="BO761" s="2" t="s">
        <v>22</v>
      </c>
      <c r="BP761" s="2">
        <v>55000</v>
      </c>
      <c r="BQ761" s="2"/>
      <c r="BR761" s="2"/>
      <c r="BS761" s="2"/>
      <c r="BT761" s="99"/>
      <c r="BU761" s="2"/>
      <c r="BV761" s="2"/>
      <c r="BW761" s="3"/>
      <c r="BX761" s="3"/>
      <c r="BY761" s="3"/>
      <c r="BZ761" s="3"/>
      <c r="CA761" s="3"/>
      <c r="CB761" s="3"/>
      <c r="CC761" s="3"/>
      <c r="CD761" s="3"/>
      <c r="CE761" s="3"/>
      <c r="CF761" s="3"/>
      <c r="CG761" s="3"/>
      <c r="CH761" s="3"/>
      <c r="CI761" s="3"/>
      <c r="CJ761" s="3"/>
      <c r="CK761" s="3"/>
      <c r="CL761" s="3"/>
      <c r="CM761" s="3"/>
      <c r="CN761" s="3"/>
      <c r="CO761" s="3"/>
      <c r="CP761" s="3"/>
      <c r="CQ761" s="3"/>
      <c r="CR761" s="3"/>
      <c r="CS761" s="3"/>
      <c r="CT761" s="3"/>
      <c r="CU761" s="3"/>
      <c r="CV761" s="3"/>
      <c r="CW761" s="3"/>
      <c r="CX761" s="3"/>
      <c r="CY761" s="3"/>
      <c r="CZ761" s="3"/>
      <c r="DA761" s="3"/>
      <c r="DB761" s="3"/>
      <c r="DC761" s="3"/>
      <c r="DD761" s="3"/>
      <c r="DE761" s="3"/>
      <c r="DF761" s="3"/>
      <c r="DG761" s="3"/>
      <c r="DH761" s="3"/>
      <c r="DI761" s="3"/>
      <c r="DJ761" s="3"/>
      <c r="DK761" s="3"/>
      <c r="DL761" s="3"/>
      <c r="DM761" s="3"/>
      <c r="DN761" s="3"/>
      <c r="DO761" s="3"/>
      <c r="DP761" s="3"/>
      <c r="DQ761" s="3"/>
      <c r="DR761" s="3"/>
      <c r="DS761" s="3"/>
      <c r="DT761" s="3"/>
      <c r="DU761" s="3"/>
      <c r="DV761" s="3"/>
      <c r="DW761" s="3"/>
      <c r="DX761" s="3"/>
      <c r="DY761" s="3"/>
      <c r="DZ761" s="3"/>
      <c r="EA761" s="3"/>
      <c r="EB761" s="3"/>
      <c r="EC761" s="3"/>
      <c r="ED761" s="3"/>
      <c r="EE761" s="2"/>
      <c r="EF761" s="2"/>
      <c r="EG761" s="2"/>
      <c r="EH761" s="2"/>
      <c r="EI761" s="2"/>
      <c r="EJ761" s="2"/>
      <c r="EK761" s="2"/>
      <c r="EL761" s="2"/>
      <c r="EM761" s="3"/>
      <c r="EN761" s="3"/>
      <c r="EO761" s="3"/>
      <c r="EP761" s="3"/>
      <c r="EQ761" s="3"/>
      <c r="ER761" s="3"/>
      <c r="ES761" s="3"/>
      <c r="ET761" s="3"/>
      <c r="EU761" s="3"/>
      <c r="EV761" s="3"/>
      <c r="EW761" s="3"/>
      <c r="EX761" s="3"/>
      <c r="EY761" s="3"/>
      <c r="EZ761" s="3"/>
      <c r="FA761" s="3"/>
      <c r="FB761" s="3"/>
      <c r="FC761" s="3"/>
      <c r="FD761" s="3"/>
      <c r="FE761" s="3"/>
      <c r="FF761" s="3"/>
      <c r="FG761" s="3"/>
      <c r="FH761" s="3"/>
      <c r="FI761" s="3"/>
      <c r="FJ761" s="3"/>
      <c r="FK761" s="3"/>
      <c r="FL761" s="3"/>
      <c r="FM761" s="3"/>
      <c r="FN761" s="3"/>
      <c r="FO761" s="3"/>
      <c r="FP761" s="3"/>
      <c r="FQ761" s="3"/>
      <c r="FR761" s="3"/>
      <c r="FS761" s="3"/>
      <c r="FT761" s="3"/>
      <c r="FU761" s="3"/>
      <c r="FV761" s="3"/>
      <c r="FW761" s="3"/>
      <c r="FX761" s="3"/>
      <c r="FY761" s="3"/>
      <c r="FZ761" s="3"/>
      <c r="GA761" s="3"/>
      <c r="GB761" s="3"/>
      <c r="GC761" s="3"/>
      <c r="GD761" s="3"/>
      <c r="GE761" s="3"/>
      <c r="GF761" s="3"/>
      <c r="GG761" s="3"/>
      <c r="GH761" s="3"/>
      <c r="GI761" s="3"/>
      <c r="GJ761" s="3"/>
      <c r="GK761" s="3"/>
      <c r="GL761" s="3"/>
      <c r="GM761" s="3"/>
      <c r="GN761" s="3"/>
      <c r="GO761" s="3"/>
      <c r="GP761" s="3"/>
      <c r="GQ761" s="3"/>
      <c r="GR761" s="3"/>
      <c r="GS761" s="3"/>
      <c r="GT761" s="3"/>
      <c r="GU761" s="3"/>
      <c r="GV761" s="3"/>
      <c r="GW761" s="3"/>
      <c r="GX761" s="3"/>
      <c r="GY761" s="3"/>
      <c r="GZ761" s="3"/>
      <c r="HA761" s="3"/>
      <c r="HB761" s="3"/>
      <c r="HC761" s="3"/>
      <c r="HD761" s="3"/>
      <c r="HE761" s="3"/>
      <c r="HF761" s="3"/>
      <c r="HG761" s="3"/>
      <c r="HH761" s="3"/>
      <c r="HI761" s="3"/>
      <c r="HJ761" s="3"/>
      <c r="HK761" s="3"/>
      <c r="HL761" s="2"/>
      <c r="HM761" s="2"/>
      <c r="HN761" s="2"/>
      <c r="HO761" s="2"/>
      <c r="HP761" s="2"/>
      <c r="HQ761" s="2"/>
      <c r="HR761" s="2"/>
      <c r="HS761" s="2"/>
      <c r="HT761" s="99"/>
      <c r="HU761" s="2"/>
      <c r="HV761" s="2"/>
      <c r="HW761" s="2"/>
      <c r="HX761" s="2"/>
      <c r="HY761" s="2"/>
      <c r="HZ761" s="2"/>
      <c r="IA761" s="2"/>
      <c r="IB761" s="2"/>
      <c r="IC761" s="2"/>
      <c r="ID761" s="2"/>
      <c r="IE761" s="2"/>
      <c r="IF761" s="2"/>
      <c r="IG761" s="2"/>
      <c r="IH761" s="2"/>
      <c r="II761" s="148" t="s">
        <v>2224</v>
      </c>
      <c r="IJ761" s="163" t="s">
        <v>1443</v>
      </c>
      <c r="IK761" s="164" t="s">
        <v>1466</v>
      </c>
      <c r="IL761" s="165" t="s">
        <v>661</v>
      </c>
      <c r="IM761" s="2">
        <v>2007</v>
      </c>
      <c r="IN761" s="2" t="s">
        <v>62</v>
      </c>
      <c r="IO761" s="2" t="s">
        <v>29</v>
      </c>
      <c r="IR761" s="2"/>
      <c r="IS761" s="2"/>
      <c r="IT761" s="2"/>
      <c r="IU761" s="2"/>
      <c r="IV761" s="2"/>
      <c r="IW761" s="2"/>
      <c r="IX761" s="99"/>
      <c r="IY761" s="2"/>
      <c r="IZ761" s="2"/>
      <c r="JA761" s="2"/>
      <c r="JB761" s="2"/>
      <c r="JC761" s="2"/>
      <c r="JD761" s="2"/>
      <c r="JE761" s="2"/>
      <c r="JF761" s="2"/>
      <c r="JG761" s="2"/>
      <c r="JH761" s="2"/>
      <c r="JI761" s="2"/>
      <c r="JJ761" s="2"/>
      <c r="JK761" s="2"/>
      <c r="JL761" s="2"/>
      <c r="JM761" s="154" t="s">
        <v>14</v>
      </c>
      <c r="JN761" s="155" t="s">
        <v>1664</v>
      </c>
      <c r="JO761" s="99"/>
      <c r="JS761" s="2"/>
      <c r="JT761" s="2"/>
      <c r="JU761" s="2"/>
      <c r="JV761" s="2"/>
      <c r="JW761" s="2"/>
      <c r="JX761" s="2"/>
      <c r="JY761" s="2"/>
      <c r="JZ761" s="156"/>
      <c r="KA761" s="166"/>
      <c r="KB761" s="99"/>
      <c r="KC761" s="2"/>
      <c r="KD761" s="99"/>
      <c r="KE761" s="2"/>
      <c r="KF761" s="2"/>
      <c r="KG761" s="2"/>
      <c r="KH761" s="99"/>
      <c r="KI761" s="2"/>
      <c r="KJ761" s="163"/>
      <c r="KK761" s="167"/>
      <c r="KL761" s="2"/>
      <c r="KM761" s="2"/>
      <c r="KN761" s="2"/>
      <c r="KO761" s="2"/>
      <c r="KP761" s="99"/>
      <c r="KQ761" s="2"/>
      <c r="KR761" s="177"/>
      <c r="KS761" s="166"/>
      <c r="KT761" s="2"/>
      <c r="KU761" s="2"/>
      <c r="KV761" s="158"/>
      <c r="KW761" s="167"/>
      <c r="KX761" s="2"/>
      <c r="KY761" s="2"/>
      <c r="KZ761" s="2"/>
      <c r="LA761" s="3"/>
      <c r="LB761" s="3"/>
      <c r="LC761" s="3"/>
      <c r="LD761" s="3"/>
      <c r="LE761" s="3"/>
      <c r="LF761" s="3"/>
      <c r="LG761" s="3"/>
      <c r="LH761" s="3"/>
      <c r="LI761" s="99"/>
      <c r="LJ761" s="99"/>
      <c r="LK761" s="99"/>
      <c r="LL761" s="99"/>
      <c r="LM761" s="99"/>
      <c r="LN761" s="2"/>
      <c r="LO761" s="99"/>
      <c r="LP761" s="99"/>
      <c r="LQ761" s="99"/>
      <c r="LR761" s="2"/>
      <c r="LS761" s="2"/>
      <c r="LT761" s="2"/>
      <c r="LU761" s="2"/>
      <c r="LV761" s="2"/>
      <c r="LW761" s="2"/>
      <c r="LX761" s="2"/>
      <c r="LY761" s="2"/>
      <c r="LZ761" s="2"/>
      <c r="MA761" s="2"/>
      <c r="MB761" s="2"/>
      <c r="MC761" s="2"/>
      <c r="MD761" s="2"/>
      <c r="ME761" s="2"/>
      <c r="MF761" s="2"/>
      <c r="MG761" s="2"/>
      <c r="MH761" s="2"/>
      <c r="MI761" s="2"/>
      <c r="MJ761" s="2"/>
      <c r="MK761" s="2"/>
      <c r="ML761" s="2"/>
      <c r="MM761" s="2"/>
      <c r="MN761" s="2"/>
      <c r="MO761" s="2"/>
      <c r="MP761" s="2"/>
      <c r="MQ761" s="2"/>
      <c r="MR761" s="2"/>
      <c r="MS761" s="2"/>
      <c r="MT761" s="2"/>
      <c r="MU761" s="2"/>
      <c r="MV761" s="2"/>
      <c r="MW761" s="2"/>
      <c r="MX761" s="2"/>
      <c r="MY761" s="2"/>
      <c r="MZ761" s="148" t="s">
        <v>2225</v>
      </c>
      <c r="NA761" s="89">
        <v>64</v>
      </c>
      <c r="NB761" s="148" t="s">
        <v>2235</v>
      </c>
      <c r="NC761" s="159" t="s">
        <v>2236</v>
      </c>
      <c r="ND761" s="159" t="s">
        <v>2237</v>
      </c>
      <c r="NE761" s="159" t="s">
        <v>2238</v>
      </c>
      <c r="NF761" s="159"/>
      <c r="NG761" s="159"/>
      <c r="NH761" s="159"/>
      <c r="NI761" s="159"/>
      <c r="NJ761" s="148" t="s">
        <v>2232</v>
      </c>
      <c r="NK761" s="148" t="s">
        <v>1679</v>
      </c>
      <c r="NL761" s="148" t="s">
        <v>2239</v>
      </c>
      <c r="NM761" t="s">
        <v>266</v>
      </c>
      <c r="NN761" s="160" t="s">
        <v>265</v>
      </c>
      <c r="NO761" s="148"/>
      <c r="NP761" s="148"/>
      <c r="NQ761" s="148"/>
      <c r="NR761" s="148"/>
      <c r="NS761" s="148"/>
      <c r="NT761" s="148"/>
      <c r="NU761" s="148"/>
      <c r="NV761" s="148"/>
      <c r="NW761" s="161" t="s">
        <v>6</v>
      </c>
      <c r="NX761" s="168">
        <v>477.5</v>
      </c>
      <c r="NY761" s="161" t="s">
        <v>4</v>
      </c>
      <c r="NZ761" s="168">
        <v>48.1</v>
      </c>
      <c r="OA761" s="169"/>
      <c r="OB761" s="2"/>
      <c r="OC761" s="148">
        <v>4</v>
      </c>
      <c r="OD761" s="2"/>
      <c r="OE761" s="2"/>
      <c r="OF761" s="2"/>
      <c r="OG761" s="2"/>
      <c r="OH761" s="2"/>
      <c r="OI761" s="2"/>
      <c r="OJ761" s="2"/>
      <c r="OK761" s="2"/>
      <c r="OL761" s="2"/>
      <c r="OM761" s="2"/>
      <c r="OT761" s="148" t="s">
        <v>2229</v>
      </c>
      <c r="OU761" s="2"/>
      <c r="OV761" s="2">
        <v>2008</v>
      </c>
      <c r="OW761" s="2"/>
      <c r="OX761" s="2"/>
      <c r="OY761" s="148" t="s">
        <v>62</v>
      </c>
      <c r="OZ761" s="2"/>
      <c r="PA761" t="s">
        <v>1169</v>
      </c>
      <c r="PB761" s="58">
        <v>46134</v>
      </c>
    </row>
    <row r="762" spans="1:418" ht="15.75" thickBot="1">
      <c r="A762" t="s">
        <v>248</v>
      </c>
      <c r="B762" t="s">
        <v>2219</v>
      </c>
      <c r="C762" s="89" t="s">
        <v>34</v>
      </c>
      <c r="D762" s="147" t="s">
        <v>1936</v>
      </c>
      <c r="E762" s="89" t="s">
        <v>1658</v>
      </c>
      <c r="F762" t="s">
        <v>31</v>
      </c>
      <c r="G762" s="89" t="s">
        <v>2</v>
      </c>
      <c r="H762" s="147" t="s">
        <v>30</v>
      </c>
      <c r="I762">
        <v>-0.41666666699999999</v>
      </c>
      <c r="J762">
        <v>34.200000000000003</v>
      </c>
      <c r="K762" s="147" t="s">
        <v>29</v>
      </c>
      <c r="L762" s="2"/>
      <c r="M762" s="99"/>
      <c r="N762" s="2"/>
      <c r="O762" s="89"/>
      <c r="P762" s="2"/>
      <c r="Q762" s="2"/>
      <c r="R762" s="89"/>
      <c r="S762" s="89"/>
      <c r="T762" s="89"/>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c r="AV762" s="89" t="s">
        <v>2220</v>
      </c>
      <c r="AW762" s="89">
        <v>64</v>
      </c>
      <c r="AX762" s="89">
        <v>0.09</v>
      </c>
      <c r="AY762" s="89">
        <v>1</v>
      </c>
      <c r="AZ762" s="148" t="s">
        <v>2221</v>
      </c>
      <c r="BA762" s="148">
        <v>2007</v>
      </c>
      <c r="BB762" s="148">
        <v>2008</v>
      </c>
      <c r="BC762" s="148" t="s">
        <v>62</v>
      </c>
      <c r="BD762" s="2"/>
      <c r="BE762" s="2" t="s">
        <v>2230</v>
      </c>
      <c r="BF762" s="2" t="s">
        <v>64</v>
      </c>
      <c r="BG762" s="148" t="s">
        <v>1233</v>
      </c>
      <c r="BH762" s="2" t="s">
        <v>2223</v>
      </c>
      <c r="BI762" s="148" t="s">
        <v>29</v>
      </c>
      <c r="BJ762" s="149" t="s">
        <v>22</v>
      </c>
      <c r="BK762" s="150">
        <v>55500</v>
      </c>
      <c r="BL762" s="2" t="s">
        <v>56</v>
      </c>
      <c r="BM762" t="s">
        <v>2231</v>
      </c>
      <c r="BN762" s="148" t="s">
        <v>29</v>
      </c>
      <c r="BO762" s="2" t="s">
        <v>22</v>
      </c>
      <c r="BP762" s="2">
        <v>55000</v>
      </c>
      <c r="BQ762" s="2"/>
      <c r="BR762" s="2"/>
      <c r="BS762" s="2"/>
      <c r="BT762" s="2"/>
      <c r="BU762" s="2"/>
      <c r="BV762" s="2"/>
      <c r="BW762" s="3"/>
      <c r="BX762" s="3"/>
      <c r="BY762" s="3"/>
      <c r="BZ762" s="3"/>
      <c r="CA762" s="3"/>
      <c r="CB762" s="3"/>
      <c r="CC762" s="3"/>
      <c r="CD762" s="3"/>
      <c r="CE762" s="3"/>
      <c r="CF762" s="3"/>
      <c r="CG762" s="3"/>
      <c r="CH762" s="3"/>
      <c r="CI762" s="3"/>
      <c r="CJ762" s="3"/>
      <c r="CK762" s="3"/>
      <c r="CL762" s="3"/>
      <c r="CM762" s="3"/>
      <c r="CN762" s="3"/>
      <c r="CO762" s="3"/>
      <c r="CP762" s="3"/>
      <c r="CQ762" s="3"/>
      <c r="CR762" s="3"/>
      <c r="CS762" s="3"/>
      <c r="CT762" s="3"/>
      <c r="CU762" s="3"/>
      <c r="CV762" s="3"/>
      <c r="CW762" s="3"/>
      <c r="CX762" s="3"/>
      <c r="CY762" s="3"/>
      <c r="CZ762" s="3"/>
      <c r="DA762" s="3"/>
      <c r="DB762" s="3"/>
      <c r="DC762" s="3"/>
      <c r="DD762" s="3"/>
      <c r="DE762" s="3"/>
      <c r="DF762" s="3"/>
      <c r="DG762" s="3"/>
      <c r="DH762" s="3"/>
      <c r="DI762" s="3"/>
      <c r="DJ762" s="3"/>
      <c r="DK762" s="3"/>
      <c r="DL762" s="3"/>
      <c r="DM762" s="3"/>
      <c r="DN762" s="3"/>
      <c r="DO762" s="3"/>
      <c r="DP762" s="3"/>
      <c r="DQ762" s="3"/>
      <c r="DR762" s="3"/>
      <c r="DS762" s="3"/>
      <c r="DT762" s="3"/>
      <c r="DU762" s="3"/>
      <c r="DV762" s="3"/>
      <c r="DW762" s="3"/>
      <c r="DX762" s="3"/>
      <c r="DY762" s="3"/>
      <c r="DZ762" s="3"/>
      <c r="EA762" s="3"/>
      <c r="EB762" s="3"/>
      <c r="EC762" s="3"/>
      <c r="ED762" s="3"/>
      <c r="EE762" s="2"/>
      <c r="EF762" s="2"/>
      <c r="EG762" s="2"/>
      <c r="EH762" s="2"/>
      <c r="EI762" s="2"/>
      <c r="EJ762" s="2"/>
      <c r="EK762" s="2"/>
      <c r="EL762" s="2"/>
      <c r="EM762" s="3"/>
      <c r="EN762" s="3"/>
      <c r="EO762" s="3"/>
      <c r="EP762" s="3"/>
      <c r="EQ762" s="3"/>
      <c r="ER762" s="3"/>
      <c r="ES762" s="3"/>
      <c r="ET762" s="3"/>
      <c r="EU762" s="3"/>
      <c r="EV762" s="3"/>
      <c r="EW762" s="3"/>
      <c r="EX762" s="3"/>
      <c r="EY762" s="3"/>
      <c r="EZ762" s="3"/>
      <c r="FA762" s="3"/>
      <c r="FB762" s="3"/>
      <c r="FC762" s="3"/>
      <c r="FD762" s="3"/>
      <c r="FE762" s="3"/>
      <c r="FF762" s="3"/>
      <c r="FG762" s="3"/>
      <c r="FH762" s="3"/>
      <c r="FI762" s="3"/>
      <c r="FJ762" s="3"/>
      <c r="FK762" s="3"/>
      <c r="FL762" s="3"/>
      <c r="FM762" s="3"/>
      <c r="FN762" s="3"/>
      <c r="FO762" s="3"/>
      <c r="FP762" s="3"/>
      <c r="FQ762" s="3"/>
      <c r="FR762" s="3"/>
      <c r="FS762" s="3"/>
      <c r="FT762" s="3"/>
      <c r="FU762" s="3"/>
      <c r="FV762" s="3"/>
      <c r="FW762" s="3"/>
      <c r="FX762" s="3"/>
      <c r="FY762" s="3"/>
      <c r="FZ762" s="3"/>
      <c r="GA762" s="3"/>
      <c r="GB762" s="3"/>
      <c r="GC762" s="3"/>
      <c r="GD762" s="3"/>
      <c r="GE762" s="3"/>
      <c r="GF762" s="3"/>
      <c r="GG762" s="3"/>
      <c r="GH762" s="3"/>
      <c r="GI762" s="3"/>
      <c r="GJ762" s="3"/>
      <c r="GK762" s="3"/>
      <c r="GL762" s="3"/>
      <c r="GM762" s="3"/>
      <c r="GN762" s="3"/>
      <c r="GO762" s="3"/>
      <c r="GP762" s="3"/>
      <c r="GQ762" s="3"/>
      <c r="GR762" s="3"/>
      <c r="GS762" s="3"/>
      <c r="GT762" s="3"/>
      <c r="GU762" s="3"/>
      <c r="GV762" s="3"/>
      <c r="GW762" s="3"/>
      <c r="GX762" s="3"/>
      <c r="GY762" s="3"/>
      <c r="GZ762" s="3"/>
      <c r="HA762" s="3"/>
      <c r="HB762" s="3"/>
      <c r="HC762" s="3"/>
      <c r="HD762" s="3"/>
      <c r="HE762" s="3"/>
      <c r="HF762" s="3"/>
      <c r="HG762" s="3"/>
      <c r="HH762" s="3"/>
      <c r="HI762" s="3"/>
      <c r="HJ762" s="3"/>
      <c r="HK762" s="3"/>
      <c r="HL762" s="2"/>
      <c r="HM762" s="2"/>
      <c r="HN762" s="2"/>
      <c r="HO762" s="2"/>
      <c r="HP762" s="2"/>
      <c r="HQ762" s="2"/>
      <c r="HR762" s="2"/>
      <c r="HS762" s="2"/>
      <c r="HT762" s="99"/>
      <c r="HU762" s="2"/>
      <c r="HV762" s="2"/>
      <c r="HW762" s="2"/>
      <c r="HX762" s="2"/>
      <c r="HY762" s="2"/>
      <c r="HZ762" s="2"/>
      <c r="IA762" s="2"/>
      <c r="IB762" s="2"/>
      <c r="IC762" s="2"/>
      <c r="ID762" s="2"/>
      <c r="IE762" s="2"/>
      <c r="IF762" s="2"/>
      <c r="IG762" s="2"/>
      <c r="IH762" s="2"/>
      <c r="II762" s="148" t="s">
        <v>2224</v>
      </c>
      <c r="IJ762" s="163" t="s">
        <v>1443</v>
      </c>
      <c r="IK762" s="164" t="s">
        <v>1466</v>
      </c>
      <c r="IL762" s="165" t="s">
        <v>661</v>
      </c>
      <c r="IM762" s="2">
        <v>2007</v>
      </c>
      <c r="IN762" s="2" t="s">
        <v>62</v>
      </c>
      <c r="IO762" s="2" t="s">
        <v>29</v>
      </c>
      <c r="IR762" s="2"/>
      <c r="IS762" s="2"/>
      <c r="IT762" s="2"/>
      <c r="IU762" s="2"/>
      <c r="IV762" s="2"/>
      <c r="IW762" s="2"/>
      <c r="IX762" s="2"/>
      <c r="IY762" s="2"/>
      <c r="IZ762" s="2"/>
      <c r="JA762" s="2"/>
      <c r="JB762" s="2"/>
      <c r="JC762" s="2"/>
      <c r="JD762" s="2"/>
      <c r="JE762" s="2"/>
      <c r="JF762" s="2"/>
      <c r="JG762" s="2"/>
      <c r="JH762" s="2"/>
      <c r="JI762" s="2"/>
      <c r="JJ762" s="2"/>
      <c r="JK762" s="2"/>
      <c r="JL762" s="2"/>
      <c r="JM762" s="154" t="s">
        <v>14</v>
      </c>
      <c r="JN762" s="155" t="s">
        <v>1664</v>
      </c>
      <c r="JO762" s="99"/>
      <c r="JS762" s="2"/>
      <c r="JT762" s="2"/>
      <c r="JU762" s="2"/>
      <c r="JV762" s="2"/>
      <c r="JW762" s="2"/>
      <c r="JX762" s="2"/>
      <c r="JY762" s="2"/>
      <c r="JZ762" s="156"/>
      <c r="KA762" s="166"/>
      <c r="KB762" s="99"/>
      <c r="KC762" s="2"/>
      <c r="KD762" s="99"/>
      <c r="KE762" s="2"/>
      <c r="KF762" s="2"/>
      <c r="KG762" s="2"/>
      <c r="KH762" s="99"/>
      <c r="KI762" s="2"/>
      <c r="KJ762" s="163"/>
      <c r="KK762" s="167"/>
      <c r="KL762" s="2"/>
      <c r="KM762" s="2"/>
      <c r="KN762" s="2"/>
      <c r="KO762" s="2"/>
      <c r="KP762" s="99"/>
      <c r="KQ762" s="2"/>
      <c r="KR762" s="163"/>
      <c r="KS762" s="167"/>
      <c r="KT762" s="2"/>
      <c r="KU762" s="2"/>
      <c r="KV762" s="158"/>
      <c r="KW762" s="167"/>
      <c r="KX762" s="2"/>
      <c r="KY762" s="2"/>
      <c r="KZ762" s="2"/>
      <c r="LA762" s="69"/>
      <c r="LB762" s="218"/>
      <c r="LC762" s="218"/>
      <c r="LD762" s="3"/>
      <c r="LE762" s="3"/>
      <c r="LF762" s="3"/>
      <c r="LG762" s="3"/>
      <c r="LH762" s="3"/>
      <c r="LI762" s="99"/>
      <c r="LJ762" s="99"/>
      <c r="LK762" s="99"/>
      <c r="LL762" s="99"/>
      <c r="LM762" s="99"/>
      <c r="LN762" s="2"/>
      <c r="LO762" s="99"/>
      <c r="LP762" s="99"/>
      <c r="LQ762" s="99"/>
      <c r="LR762" s="2"/>
      <c r="LS762" s="2"/>
      <c r="LT762" s="2"/>
      <c r="LU762" s="2"/>
      <c r="LV762" s="2"/>
      <c r="LW762" s="2"/>
      <c r="LX762" s="2"/>
      <c r="LY762" s="2"/>
      <c r="LZ762" s="2"/>
      <c r="MA762" s="2"/>
      <c r="MB762" s="2"/>
      <c r="MC762" s="2"/>
      <c r="MD762" s="2"/>
      <c r="ME762" s="2"/>
      <c r="MF762" s="2"/>
      <c r="MG762" s="2"/>
      <c r="MH762" s="2"/>
      <c r="MJ762" s="2"/>
      <c r="MK762" s="2"/>
      <c r="ML762" s="2"/>
      <c r="MM762" s="2"/>
      <c r="MN762" s="2"/>
      <c r="MO762" s="2"/>
      <c r="MP762" s="2"/>
      <c r="MQ762" s="2"/>
      <c r="MR762" s="2"/>
      <c r="MS762" s="2"/>
      <c r="MT762" s="2"/>
      <c r="MU762" s="2"/>
      <c r="MV762" s="2"/>
      <c r="MW762" s="2"/>
      <c r="MX762" s="2"/>
      <c r="MY762" s="2"/>
      <c r="MZ762" s="148" t="s">
        <v>2225</v>
      </c>
      <c r="NA762" s="89">
        <v>64</v>
      </c>
      <c r="NB762" s="148" t="s">
        <v>2235</v>
      </c>
      <c r="NC762" s="159" t="s">
        <v>2236</v>
      </c>
      <c r="ND762" s="159"/>
      <c r="NE762" s="159"/>
      <c r="NF762" s="159"/>
      <c r="NG762" s="159"/>
      <c r="NH762" s="159"/>
      <c r="NI762" s="159"/>
      <c r="NJ762" s="148"/>
      <c r="NK762" s="148" t="s">
        <v>2240</v>
      </c>
      <c r="NL762" s="148" t="s">
        <v>2243</v>
      </c>
      <c r="NM762" t="s">
        <v>8</v>
      </c>
      <c r="NN762" s="160" t="s">
        <v>13</v>
      </c>
      <c r="NO762" s="148"/>
      <c r="NP762" s="148"/>
      <c r="NQ762" s="148"/>
      <c r="NR762" s="148"/>
      <c r="NS762" s="148"/>
      <c r="NT762" s="148"/>
      <c r="NU762" s="148"/>
      <c r="NV762" s="148"/>
      <c r="NW762" s="161" t="s">
        <v>6</v>
      </c>
      <c r="NX762" s="148">
        <v>695.2</v>
      </c>
      <c r="NY762" s="161" t="s">
        <v>4</v>
      </c>
      <c r="NZ762" s="148">
        <v>78</v>
      </c>
      <c r="OA762" s="169"/>
      <c r="OB762" s="2"/>
      <c r="OC762" s="148">
        <v>4</v>
      </c>
      <c r="OH762" s="2"/>
      <c r="OI762" s="2"/>
      <c r="OJ762" s="2"/>
      <c r="OK762" s="2"/>
      <c r="OL762" s="2"/>
      <c r="OM762" s="2"/>
      <c r="OT762" s="148" t="s">
        <v>2242</v>
      </c>
      <c r="OU762" s="2"/>
      <c r="OV762" s="148">
        <v>2007</v>
      </c>
      <c r="OW762" s="148"/>
      <c r="OX762" s="148"/>
      <c r="OY762" s="148" t="s">
        <v>62</v>
      </c>
      <c r="OZ762" s="2"/>
      <c r="PA762" t="s">
        <v>1169</v>
      </c>
      <c r="PB762" s="58">
        <v>46134</v>
      </c>
    </row>
    <row r="763" spans="1:418" ht="17.25" thickBot="1">
      <c r="A763" t="s">
        <v>248</v>
      </c>
      <c r="B763" t="s">
        <v>2219</v>
      </c>
      <c r="C763" s="89" t="s">
        <v>34</v>
      </c>
      <c r="D763" s="147" t="s">
        <v>1936</v>
      </c>
      <c r="E763" s="89" t="s">
        <v>1658</v>
      </c>
      <c r="F763" t="s">
        <v>31</v>
      </c>
      <c r="G763" s="89" t="s">
        <v>2</v>
      </c>
      <c r="H763" s="147" t="s">
        <v>30</v>
      </c>
      <c r="I763">
        <v>-0.41666666699999999</v>
      </c>
      <c r="J763">
        <v>34.200000000000003</v>
      </c>
      <c r="K763" s="147" t="s">
        <v>29</v>
      </c>
      <c r="L763" s="89"/>
      <c r="M763" s="147"/>
      <c r="N763" s="89"/>
      <c r="O763" s="89"/>
      <c r="P763" s="89"/>
      <c r="Q763" s="89"/>
      <c r="R763" s="89"/>
      <c r="S763" s="89"/>
      <c r="T763" s="89"/>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c r="AV763" s="89" t="s">
        <v>2220</v>
      </c>
      <c r="AW763" s="89">
        <v>64</v>
      </c>
      <c r="AX763" s="89">
        <v>0.09</v>
      </c>
      <c r="AY763" s="89">
        <v>1</v>
      </c>
      <c r="AZ763" s="148" t="s">
        <v>2221</v>
      </c>
      <c r="BA763" s="148">
        <v>2007</v>
      </c>
      <c r="BB763" s="148">
        <v>2008</v>
      </c>
      <c r="BC763" s="148" t="s">
        <v>62</v>
      </c>
      <c r="BD763" s="148"/>
      <c r="BE763" s="148" t="s">
        <v>2222</v>
      </c>
      <c r="BF763" s="148" t="s">
        <v>39</v>
      </c>
      <c r="BG763" s="148" t="s">
        <v>1233</v>
      </c>
      <c r="BH763" s="148" t="s">
        <v>2223</v>
      </c>
      <c r="BI763" s="148" t="s">
        <v>29</v>
      </c>
      <c r="BJ763" s="149" t="s">
        <v>22</v>
      </c>
      <c r="BK763" s="150">
        <v>111000</v>
      </c>
      <c r="BL763" s="148"/>
      <c r="BM763" s="148"/>
      <c r="BN763" s="148"/>
      <c r="BO763" s="148"/>
      <c r="BP763" s="148"/>
      <c r="BQ763" s="148"/>
      <c r="BR763" s="148"/>
      <c r="BS763" s="148"/>
      <c r="BT763" s="148"/>
      <c r="BU763" s="148"/>
      <c r="BV763" s="148"/>
      <c r="BW763" s="3"/>
      <c r="BX763" s="3"/>
      <c r="BY763" s="3"/>
      <c r="BZ763" s="3"/>
      <c r="CA763" s="3"/>
      <c r="CB763" s="3"/>
      <c r="CC763" s="3"/>
      <c r="CD763" s="3"/>
      <c r="CE763" s="3"/>
      <c r="CF763" s="3"/>
      <c r="CG763" s="3"/>
      <c r="CH763" s="3"/>
      <c r="CI763" s="3"/>
      <c r="CJ763" s="3"/>
      <c r="CK763" s="3"/>
      <c r="CL763" s="3"/>
      <c r="CM763" s="3"/>
      <c r="CN763" s="3"/>
      <c r="CO763" s="3"/>
      <c r="CP763" s="3"/>
      <c r="CQ763" s="3"/>
      <c r="CR763" s="3"/>
      <c r="CS763" s="3"/>
      <c r="CT763" s="3"/>
      <c r="CU763" s="3"/>
      <c r="CV763" s="3"/>
      <c r="CW763" s="3"/>
      <c r="CX763" s="3"/>
      <c r="CY763" s="3"/>
      <c r="CZ763" s="3"/>
      <c r="DA763" s="3"/>
      <c r="DB763" s="3"/>
      <c r="DC763" s="3"/>
      <c r="DD763" s="3"/>
      <c r="DE763" s="3"/>
      <c r="DF763" s="3"/>
      <c r="DG763" s="3"/>
      <c r="DH763" s="3"/>
      <c r="DI763" s="3"/>
      <c r="DJ763" s="3"/>
      <c r="DK763" s="3"/>
      <c r="DL763" s="3"/>
      <c r="DM763" s="3"/>
      <c r="DN763" s="3"/>
      <c r="DO763" s="3"/>
      <c r="DP763" s="3"/>
      <c r="DQ763" s="3"/>
      <c r="DR763" s="3"/>
      <c r="DS763" s="3"/>
      <c r="DT763" s="3"/>
      <c r="DU763" s="3"/>
      <c r="DV763" s="3"/>
      <c r="DW763" s="3"/>
      <c r="DX763" s="3"/>
      <c r="DY763" s="3"/>
      <c r="DZ763" s="3"/>
      <c r="EA763" s="3"/>
      <c r="EB763" s="3"/>
      <c r="EC763" s="3"/>
      <c r="ED763" s="3"/>
      <c r="EE763" s="2"/>
      <c r="EF763" s="148"/>
      <c r="EG763" s="148"/>
      <c r="EH763" s="148"/>
      <c r="EI763" s="148"/>
      <c r="EJ763" s="148"/>
      <c r="EK763" s="148"/>
      <c r="EL763" s="148"/>
      <c r="EM763" s="3"/>
      <c r="EN763" s="3"/>
      <c r="EO763" s="3"/>
      <c r="EP763" s="3"/>
      <c r="EQ763" s="3"/>
      <c r="ER763" s="3"/>
      <c r="ES763" s="3"/>
      <c r="ET763" s="3"/>
      <c r="EU763" s="3"/>
      <c r="EV763" s="3"/>
      <c r="EW763" s="3"/>
      <c r="EX763" s="3"/>
      <c r="EY763" s="3"/>
      <c r="EZ763" s="3"/>
      <c r="FA763" s="3"/>
      <c r="FB763" s="3"/>
      <c r="FC763" s="3"/>
      <c r="FD763" s="3"/>
      <c r="FE763" s="3"/>
      <c r="FF763" s="3"/>
      <c r="FG763" s="3"/>
      <c r="FH763" s="3"/>
      <c r="FI763" s="3"/>
      <c r="FJ763" s="3"/>
      <c r="FK763" s="3"/>
      <c r="FL763" s="3"/>
      <c r="FM763" s="3"/>
      <c r="FN763" s="3"/>
      <c r="FO763" s="3"/>
      <c r="FP763" s="3"/>
      <c r="FQ763" s="3"/>
      <c r="FR763" s="3"/>
      <c r="FS763" s="3"/>
      <c r="FT763" s="3"/>
      <c r="FU763" s="3"/>
      <c r="FV763" s="3"/>
      <c r="FW763" s="3"/>
      <c r="FX763" s="3"/>
      <c r="FY763" s="3"/>
      <c r="FZ763" s="3"/>
      <c r="GA763" s="3"/>
      <c r="GB763" s="3"/>
      <c r="GC763" s="3"/>
      <c r="GD763" s="3"/>
      <c r="GE763" s="3"/>
      <c r="GF763" s="3"/>
      <c r="GG763" s="3"/>
      <c r="GH763" s="3"/>
      <c r="GI763" s="3"/>
      <c r="GJ763" s="3"/>
      <c r="GK763" s="3"/>
      <c r="GL763" s="3"/>
      <c r="GM763" s="3"/>
      <c r="GN763" s="3"/>
      <c r="GO763" s="3"/>
      <c r="GP763" s="3"/>
      <c r="GQ763" s="3"/>
      <c r="GR763" s="3"/>
      <c r="GS763" s="3"/>
      <c r="GT763" s="3"/>
      <c r="GU763" s="3"/>
      <c r="GV763" s="3"/>
      <c r="GW763" s="3"/>
      <c r="GX763" s="3"/>
      <c r="GY763" s="3"/>
      <c r="GZ763" s="3"/>
      <c r="HA763" s="3"/>
      <c r="HB763" s="3"/>
      <c r="HC763" s="3"/>
      <c r="HD763" s="3"/>
      <c r="HE763" s="3"/>
      <c r="HF763" s="3"/>
      <c r="HG763" s="3"/>
      <c r="HH763" s="3"/>
      <c r="HI763" s="3"/>
      <c r="HJ763" s="3"/>
      <c r="HK763" s="3"/>
      <c r="HL763" s="148"/>
      <c r="HM763" s="148"/>
      <c r="HN763" s="148"/>
      <c r="HO763" s="148"/>
      <c r="HP763" s="148"/>
      <c r="HQ763" s="148"/>
      <c r="HR763" s="148"/>
      <c r="HS763" s="148"/>
      <c r="HT763" s="149"/>
      <c r="HU763" s="148"/>
      <c r="HV763" s="148"/>
      <c r="HW763" s="148"/>
      <c r="HX763" s="148"/>
      <c r="HY763" s="151"/>
      <c r="HZ763" s="148"/>
      <c r="IA763" s="148"/>
      <c r="IB763" s="148"/>
      <c r="IC763" s="148"/>
      <c r="ID763" s="148"/>
      <c r="IE763" s="148"/>
      <c r="IF763" s="148"/>
      <c r="IG763" s="148"/>
      <c r="IH763" s="148"/>
      <c r="II763" s="148" t="s">
        <v>2224</v>
      </c>
      <c r="IJ763" s="152" t="s">
        <v>19</v>
      </c>
      <c r="IK763" s="152"/>
      <c r="IL763" s="153"/>
      <c r="IM763" s="148"/>
      <c r="IN763" s="148"/>
      <c r="IO763" s="148"/>
      <c r="IR763" s="148"/>
      <c r="IS763" s="148"/>
      <c r="IT763" s="148"/>
      <c r="IU763" s="148"/>
      <c r="IV763" s="148"/>
      <c r="IW763" s="148"/>
      <c r="IX763" s="148"/>
      <c r="IY763" s="148"/>
      <c r="IZ763" s="148"/>
      <c r="JA763" s="89"/>
      <c r="JB763" s="89"/>
      <c r="JC763" s="89"/>
      <c r="JD763" s="89"/>
      <c r="JE763" s="89"/>
      <c r="JF763" s="89"/>
      <c r="JG763" s="89"/>
      <c r="JH763" s="89"/>
      <c r="JI763" s="89"/>
      <c r="JJ763" s="89"/>
      <c r="JK763" s="89"/>
      <c r="JL763" s="89"/>
      <c r="JM763" s="154" t="s">
        <v>14</v>
      </c>
      <c r="JN763" s="155" t="s">
        <v>1664</v>
      </c>
      <c r="JO763" s="149"/>
      <c r="JS763" s="148"/>
      <c r="JT763" s="148"/>
      <c r="JU763" s="148"/>
      <c r="JV763" s="148"/>
      <c r="JW763" s="148"/>
      <c r="JX763" s="148"/>
      <c r="JY763" s="148"/>
      <c r="JZ763" s="156"/>
      <c r="KA763" s="156"/>
      <c r="KB763" s="149"/>
      <c r="KC763" s="148"/>
      <c r="KD763" s="149"/>
      <c r="KE763" s="148"/>
      <c r="KF763" s="148"/>
      <c r="KG763" s="148"/>
      <c r="KH763" s="149"/>
      <c r="KI763" s="149"/>
      <c r="KJ763" s="152"/>
      <c r="KK763" s="157"/>
      <c r="KL763" s="148"/>
      <c r="KM763" s="148"/>
      <c r="KN763" s="148"/>
      <c r="KO763" s="148"/>
      <c r="KP763" s="149"/>
      <c r="KQ763" s="148"/>
      <c r="KR763" s="152"/>
      <c r="KS763" s="157"/>
      <c r="KT763" s="148"/>
      <c r="KU763" s="148"/>
      <c r="KV763" s="158"/>
      <c r="KW763" s="157"/>
      <c r="KX763" s="148"/>
      <c r="KY763" s="148"/>
      <c r="KZ763" s="148"/>
      <c r="LA763" s="3"/>
      <c r="LB763" s="3"/>
      <c r="LC763" s="3"/>
      <c r="LD763" s="3"/>
      <c r="LE763" s="3"/>
      <c r="LF763" s="3"/>
      <c r="LG763" s="3"/>
      <c r="LH763" s="3"/>
      <c r="LI763" s="149"/>
      <c r="LJ763" s="149"/>
      <c r="LK763" s="149"/>
      <c r="LL763" s="149"/>
      <c r="LM763" s="149"/>
      <c r="LN763" s="149"/>
      <c r="LO763" s="149"/>
      <c r="LP763" s="149"/>
      <c r="LQ763" s="149"/>
      <c r="LR763" s="148"/>
      <c r="LS763" s="148"/>
      <c r="LT763" s="148"/>
      <c r="LU763" s="148"/>
      <c r="LV763" s="148"/>
      <c r="LW763" s="148"/>
      <c r="LX763" s="148"/>
      <c r="LY763" s="148"/>
      <c r="LZ763" s="148"/>
      <c r="MA763" s="89"/>
      <c r="MB763" s="89"/>
      <c r="MC763" s="89"/>
      <c r="MD763" s="89"/>
      <c r="ME763" s="89"/>
      <c r="MF763" s="159"/>
      <c r="MG763" s="159"/>
      <c r="MH763" s="159"/>
      <c r="MI763" s="2"/>
      <c r="MJ763" s="148"/>
      <c r="MK763" s="148"/>
      <c r="ML763" s="148"/>
      <c r="MM763" s="89"/>
      <c r="MN763" s="89"/>
      <c r="MO763" s="89"/>
      <c r="MP763" s="89"/>
      <c r="MQ763" s="89"/>
      <c r="MR763" s="89"/>
      <c r="MS763" s="89"/>
      <c r="MT763" s="89"/>
      <c r="MU763" s="148"/>
      <c r="MV763" s="148"/>
      <c r="MW763" s="148"/>
      <c r="MX763" s="148"/>
      <c r="MY763" s="148"/>
      <c r="MZ763" s="148" t="s">
        <v>2225</v>
      </c>
      <c r="NA763" s="89">
        <v>64</v>
      </c>
      <c r="NB763" s="148" t="s">
        <v>2235</v>
      </c>
      <c r="NC763" s="159" t="s">
        <v>2236</v>
      </c>
      <c r="ND763" s="159"/>
      <c r="NE763" s="159"/>
      <c r="NF763" s="159"/>
      <c r="NG763" s="159"/>
      <c r="NH763" s="159"/>
      <c r="NI763" s="159"/>
      <c r="NJ763" s="148"/>
      <c r="NK763" s="148" t="s">
        <v>2240</v>
      </c>
      <c r="NL763" s="148" t="s">
        <v>2241</v>
      </c>
      <c r="NM763" t="s">
        <v>8</v>
      </c>
      <c r="NN763" s="160" t="s">
        <v>13</v>
      </c>
      <c r="NO763" s="148"/>
      <c r="NP763" s="148"/>
      <c r="NQ763" s="148"/>
      <c r="NR763" s="148"/>
      <c r="NS763" s="148"/>
      <c r="NT763" s="148"/>
      <c r="NU763" s="148"/>
      <c r="NV763" s="148" t="s">
        <v>64</v>
      </c>
      <c r="NW763" s="161" t="s">
        <v>6</v>
      </c>
      <c r="NX763" s="2">
        <v>240.6</v>
      </c>
      <c r="NY763" s="161" t="s">
        <v>4</v>
      </c>
      <c r="NZ763" s="2">
        <v>27</v>
      </c>
      <c r="OA763" s="162"/>
      <c r="OB763" s="148"/>
      <c r="OC763" s="148">
        <v>4</v>
      </c>
      <c r="OH763" s="148"/>
      <c r="OI763" s="148"/>
      <c r="OJ763" s="148"/>
      <c r="OK763" s="148"/>
      <c r="OL763" s="148"/>
      <c r="OM763" s="148"/>
      <c r="ON763" s="148"/>
      <c r="OO763" s="148"/>
      <c r="OP763" s="148"/>
      <c r="OQ763" s="148"/>
      <c r="OR763" s="148"/>
      <c r="OS763" s="148"/>
      <c r="OT763" s="148" t="s">
        <v>2242</v>
      </c>
      <c r="OU763" s="148"/>
      <c r="OV763" s="148">
        <v>2007</v>
      </c>
      <c r="OW763" s="148"/>
      <c r="OX763" s="148"/>
      <c r="OY763" s="148" t="s">
        <v>62</v>
      </c>
      <c r="OZ763" s="148"/>
      <c r="PA763" t="s">
        <v>1169</v>
      </c>
      <c r="PB763" s="58">
        <v>46134</v>
      </c>
    </row>
    <row r="764" spans="1:418" ht="15.75" thickBot="1">
      <c r="A764" t="s">
        <v>248</v>
      </c>
      <c r="B764" t="s">
        <v>2219</v>
      </c>
      <c r="C764" s="89" t="s">
        <v>34</v>
      </c>
      <c r="D764" s="147" t="s">
        <v>1936</v>
      </c>
      <c r="E764" s="89" t="s">
        <v>1658</v>
      </c>
      <c r="F764" t="s">
        <v>31</v>
      </c>
      <c r="G764" s="89" t="s">
        <v>2</v>
      </c>
      <c r="H764" s="147" t="s">
        <v>30</v>
      </c>
      <c r="I764">
        <v>-0.41666666699999999</v>
      </c>
      <c r="J764">
        <v>34.200000000000003</v>
      </c>
      <c r="K764" s="147" t="s">
        <v>29</v>
      </c>
      <c r="L764" s="2"/>
      <c r="M764" s="99"/>
      <c r="N764" s="2"/>
      <c r="O764" s="89"/>
      <c r="P764" s="2"/>
      <c r="Q764" s="2"/>
      <c r="R764" s="89"/>
      <c r="S764" s="89"/>
      <c r="T764" s="89"/>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c r="AV764" s="89" t="s">
        <v>2220</v>
      </c>
      <c r="AW764" s="89">
        <v>64</v>
      </c>
      <c r="AX764" s="89">
        <v>0.09</v>
      </c>
      <c r="AY764" s="89">
        <v>1</v>
      </c>
      <c r="AZ764" s="148" t="s">
        <v>2221</v>
      </c>
      <c r="BA764" s="148">
        <v>2007</v>
      </c>
      <c r="BB764" s="148">
        <v>2008</v>
      </c>
      <c r="BC764" s="148" t="s">
        <v>1</v>
      </c>
      <c r="BD764" s="2"/>
      <c r="BE764" s="2" t="s">
        <v>2230</v>
      </c>
      <c r="BF764" s="2" t="s">
        <v>64</v>
      </c>
      <c r="BG764" s="148" t="s">
        <v>1233</v>
      </c>
      <c r="BH764" s="2" t="s">
        <v>2223</v>
      </c>
      <c r="BI764" s="148" t="s">
        <v>29</v>
      </c>
      <c r="BJ764" s="149" t="s">
        <v>22</v>
      </c>
      <c r="BK764" s="150">
        <v>55500</v>
      </c>
      <c r="BL764" s="2" t="s">
        <v>56</v>
      </c>
      <c r="BM764" t="s">
        <v>2231</v>
      </c>
      <c r="BN764" s="148" t="s">
        <v>29</v>
      </c>
      <c r="BO764" s="2" t="s">
        <v>22</v>
      </c>
      <c r="BP764" s="2">
        <v>55000</v>
      </c>
      <c r="BQ764" s="2"/>
      <c r="BR764" s="2"/>
      <c r="BS764" s="2"/>
      <c r="BT764" s="2"/>
      <c r="BU764" s="2"/>
      <c r="BV764" s="2"/>
      <c r="BW764" s="3"/>
      <c r="BX764" s="3"/>
      <c r="BY764" s="3"/>
      <c r="BZ764" s="3"/>
      <c r="CA764" s="3"/>
      <c r="CB764" s="3"/>
      <c r="CC764" s="3"/>
      <c r="CD764" s="3"/>
      <c r="CE764" s="3"/>
      <c r="CF764" s="3"/>
      <c r="CG764" s="3"/>
      <c r="CH764" s="3"/>
      <c r="CI764" s="3"/>
      <c r="CJ764" s="3"/>
      <c r="CK764" s="3"/>
      <c r="CL764" s="3"/>
      <c r="CM764" s="3"/>
      <c r="CN764" s="3"/>
      <c r="CO764" s="3"/>
      <c r="CP764" s="3"/>
      <c r="CQ764" s="3"/>
      <c r="CR764" s="3"/>
      <c r="CS764" s="3"/>
      <c r="CT764" s="3"/>
      <c r="CU764" s="3"/>
      <c r="CV764" s="3"/>
      <c r="CW764" s="3"/>
      <c r="CX764" s="3"/>
      <c r="CY764" s="3"/>
      <c r="CZ764" s="3"/>
      <c r="DA764" s="3"/>
      <c r="DB764" s="3"/>
      <c r="DC764" s="3"/>
      <c r="DD764" s="3"/>
      <c r="DE764" s="3"/>
      <c r="DF764" s="3"/>
      <c r="DG764" s="3"/>
      <c r="DH764" s="3"/>
      <c r="DI764" s="3"/>
      <c r="DJ764" s="3"/>
      <c r="DK764" s="3"/>
      <c r="DL764" s="3"/>
      <c r="DM764" s="3"/>
      <c r="DN764" s="3"/>
      <c r="DO764" s="3"/>
      <c r="DP764" s="3"/>
      <c r="DQ764" s="3"/>
      <c r="DR764" s="3"/>
      <c r="DS764" s="3"/>
      <c r="DT764" s="3"/>
      <c r="DU764" s="3"/>
      <c r="DV764" s="3"/>
      <c r="DW764" s="3"/>
      <c r="DX764" s="3"/>
      <c r="DY764" s="3"/>
      <c r="DZ764" s="3"/>
      <c r="EA764" s="3"/>
      <c r="EB764" s="3"/>
      <c r="EC764" s="3"/>
      <c r="ED764" s="3"/>
      <c r="EE764" s="2"/>
      <c r="EF764" s="2"/>
      <c r="EG764" s="2"/>
      <c r="EH764" s="2"/>
      <c r="EI764" s="2"/>
      <c r="EJ764" s="2"/>
      <c r="EK764" s="2"/>
      <c r="EL764" s="2"/>
      <c r="EM764" s="3"/>
      <c r="EN764" s="3"/>
      <c r="EO764" s="3"/>
      <c r="EP764" s="3"/>
      <c r="EQ764" s="3"/>
      <c r="ER764" s="3"/>
      <c r="ES764" s="3"/>
      <c r="ET764" s="3"/>
      <c r="EU764" s="3"/>
      <c r="EV764" s="3"/>
      <c r="EW764" s="3"/>
      <c r="EX764" s="3"/>
      <c r="EY764" s="3"/>
      <c r="EZ764" s="3"/>
      <c r="FA764" s="3"/>
      <c r="FB764" s="3"/>
      <c r="FC764" s="3"/>
      <c r="FD764" s="3"/>
      <c r="FE764" s="3"/>
      <c r="FF764" s="3"/>
      <c r="FG764" s="3"/>
      <c r="FH764" s="3"/>
      <c r="FI764" s="3"/>
      <c r="FJ764" s="3"/>
      <c r="FK764" s="3"/>
      <c r="FL764" s="3"/>
      <c r="FM764" s="3"/>
      <c r="FN764" s="3"/>
      <c r="FO764" s="3"/>
      <c r="FP764" s="3"/>
      <c r="FQ764" s="3"/>
      <c r="FR764" s="3"/>
      <c r="FS764" s="3"/>
      <c r="FT764" s="3"/>
      <c r="FU764" s="3"/>
      <c r="FV764" s="3"/>
      <c r="FW764" s="3"/>
      <c r="FX764" s="3"/>
      <c r="FY764" s="3"/>
      <c r="FZ764" s="3"/>
      <c r="GA764" s="3"/>
      <c r="GB764" s="3"/>
      <c r="GC764" s="3"/>
      <c r="GD764" s="3"/>
      <c r="GE764" s="3"/>
      <c r="GF764" s="3"/>
      <c r="GG764" s="3"/>
      <c r="GH764" s="3"/>
      <c r="GI764" s="3"/>
      <c r="GJ764" s="3"/>
      <c r="GK764" s="3"/>
      <c r="GL764" s="3"/>
      <c r="GM764" s="3"/>
      <c r="GN764" s="3"/>
      <c r="GO764" s="3"/>
      <c r="GP764" s="3"/>
      <c r="GQ764" s="3"/>
      <c r="GR764" s="3"/>
      <c r="GS764" s="3"/>
      <c r="GT764" s="3"/>
      <c r="GU764" s="3"/>
      <c r="GV764" s="3"/>
      <c r="GW764" s="3"/>
      <c r="GX764" s="3"/>
      <c r="GY764" s="3"/>
      <c r="GZ764" s="3"/>
      <c r="HA764" s="3"/>
      <c r="HB764" s="3"/>
      <c r="HC764" s="3"/>
      <c r="HD764" s="3"/>
      <c r="HE764" s="3"/>
      <c r="HF764" s="3"/>
      <c r="HG764" s="3"/>
      <c r="HH764" s="3"/>
      <c r="HI764" s="3"/>
      <c r="HJ764" s="3"/>
      <c r="HK764" s="3"/>
      <c r="HL764" s="2"/>
      <c r="HM764" s="2"/>
      <c r="HN764" s="2"/>
      <c r="HO764" s="2"/>
      <c r="HP764" s="2"/>
      <c r="HQ764" s="2"/>
      <c r="HR764" s="2"/>
      <c r="HS764" s="2"/>
      <c r="HT764" s="99"/>
      <c r="HU764" s="2"/>
      <c r="HV764" s="2"/>
      <c r="HW764" s="2"/>
      <c r="HX764" s="2"/>
      <c r="HY764" s="2"/>
      <c r="HZ764" s="2"/>
      <c r="IA764" s="2"/>
      <c r="IB764" s="2"/>
      <c r="IC764" s="2"/>
      <c r="ID764" s="2"/>
      <c r="IE764" s="2"/>
      <c r="IF764" s="2"/>
      <c r="IG764" s="2"/>
      <c r="IH764" s="2"/>
      <c r="II764" s="148" t="s">
        <v>2224</v>
      </c>
      <c r="IJ764" s="163" t="s">
        <v>1443</v>
      </c>
      <c r="IK764" s="164" t="s">
        <v>1466</v>
      </c>
      <c r="IL764" s="165" t="s">
        <v>661</v>
      </c>
      <c r="IM764" s="2">
        <v>2007</v>
      </c>
      <c r="IN764" s="2" t="s">
        <v>62</v>
      </c>
      <c r="IO764" s="2" t="s">
        <v>29</v>
      </c>
      <c r="IR764" s="2"/>
      <c r="IS764" s="2"/>
      <c r="IT764" s="2"/>
      <c r="IU764" s="2"/>
      <c r="IV764" s="2"/>
      <c r="IW764" s="2"/>
      <c r="IX764" s="2"/>
      <c r="IY764" s="2"/>
      <c r="IZ764" s="2"/>
      <c r="JA764" s="2"/>
      <c r="JB764" s="2"/>
      <c r="JC764" s="2"/>
      <c r="JD764" s="2"/>
      <c r="JE764" s="2"/>
      <c r="JF764" s="2"/>
      <c r="JG764" s="2"/>
      <c r="JH764" s="2"/>
      <c r="JI764" s="2"/>
      <c r="JJ764" s="2"/>
      <c r="JK764" s="2"/>
      <c r="JL764" s="2"/>
      <c r="JM764" s="154" t="s">
        <v>14</v>
      </c>
      <c r="JN764" s="155" t="s">
        <v>1664</v>
      </c>
      <c r="JO764" s="99"/>
      <c r="JS764" s="2"/>
      <c r="JT764" s="2"/>
      <c r="JU764" s="2"/>
      <c r="JV764" s="2"/>
      <c r="JW764" s="2"/>
      <c r="JX764" s="2"/>
      <c r="JY764" s="2"/>
      <c r="JZ764" s="156"/>
      <c r="KA764" s="166"/>
      <c r="KB764" s="99"/>
      <c r="KC764" s="2"/>
      <c r="KD764" s="99"/>
      <c r="KE764" s="2"/>
      <c r="KF764" s="2"/>
      <c r="KG764" s="2"/>
      <c r="KH764" s="99"/>
      <c r="KI764" s="2"/>
      <c r="KJ764" s="163"/>
      <c r="KK764" s="167"/>
      <c r="KL764" s="2"/>
      <c r="KM764" s="2"/>
      <c r="KN764" s="2"/>
      <c r="KO764" s="2"/>
      <c r="KP764" s="99"/>
      <c r="KQ764" s="2"/>
      <c r="KR764" s="163"/>
      <c r="KS764" s="167"/>
      <c r="KT764" s="2"/>
      <c r="KU764" s="2"/>
      <c r="KV764" s="158"/>
      <c r="KW764" s="176"/>
      <c r="KX764" s="2"/>
      <c r="KY764" s="2"/>
      <c r="KZ764" s="2"/>
      <c r="LA764" s="3"/>
      <c r="LB764" s="3"/>
      <c r="LC764" s="3"/>
      <c r="LD764" s="3"/>
      <c r="LE764" s="3"/>
      <c r="LF764" s="3"/>
      <c r="LG764" s="3"/>
      <c r="LH764" s="3"/>
      <c r="LI764" s="99"/>
      <c r="LJ764" s="99"/>
      <c r="LK764" s="99"/>
      <c r="LL764" s="99"/>
      <c r="LM764" s="99"/>
      <c r="LN764" s="2"/>
      <c r="LO764" s="99"/>
      <c r="LP764" s="99"/>
      <c r="LQ764" s="99"/>
      <c r="LR764" s="2"/>
      <c r="LS764" s="2"/>
      <c r="LT764" s="2"/>
      <c r="LU764" s="2"/>
      <c r="LV764" s="2"/>
      <c r="LW764" s="2"/>
      <c r="LX764" s="2"/>
      <c r="LY764" s="2"/>
      <c r="LZ764" s="2"/>
      <c r="MA764" s="2"/>
      <c r="MB764" s="2"/>
      <c r="MC764" s="2"/>
      <c r="MD764" s="2"/>
      <c r="ME764" s="2"/>
      <c r="MF764" s="2"/>
      <c r="MG764" s="2"/>
      <c r="MH764" s="2"/>
      <c r="MI764" s="2"/>
      <c r="MJ764" s="2"/>
      <c r="MK764" s="2"/>
      <c r="ML764" s="2"/>
      <c r="MM764" s="2"/>
      <c r="MN764" s="2"/>
      <c r="MO764" s="2"/>
      <c r="MP764" s="2"/>
      <c r="MQ764" s="2"/>
      <c r="MR764" s="2"/>
      <c r="MS764" s="2"/>
      <c r="MT764" s="2"/>
      <c r="MU764" s="2"/>
      <c r="MV764" s="2"/>
      <c r="MW764" s="2"/>
      <c r="MX764" s="2"/>
      <c r="MY764" s="2"/>
      <c r="MZ764" s="148" t="s">
        <v>2225</v>
      </c>
      <c r="NA764" s="89">
        <v>64</v>
      </c>
      <c r="NB764" s="148" t="s">
        <v>2235</v>
      </c>
      <c r="NC764" s="159" t="s">
        <v>2236</v>
      </c>
      <c r="ND764" s="159"/>
      <c r="NE764" s="159"/>
      <c r="NF764" s="159"/>
      <c r="NG764" s="159"/>
      <c r="NH764" s="159"/>
      <c r="NI764" s="159"/>
      <c r="NJ764" s="148"/>
      <c r="NK764" s="148" t="s">
        <v>2240</v>
      </c>
      <c r="NL764" s="148" t="s">
        <v>2243</v>
      </c>
      <c r="NM764" t="s">
        <v>8</v>
      </c>
      <c r="NN764" s="160" t="s">
        <v>13</v>
      </c>
      <c r="NO764" s="148"/>
      <c r="NP764" s="148"/>
      <c r="NQ764" s="148"/>
      <c r="NR764" s="148"/>
      <c r="NS764" s="148"/>
      <c r="NT764" s="148"/>
      <c r="NU764" s="148"/>
      <c r="NV764" s="148"/>
      <c r="NW764" s="161" t="s">
        <v>6</v>
      </c>
      <c r="NX764" s="89">
        <v>935.8</v>
      </c>
      <c r="NY764" s="161" t="s">
        <v>4</v>
      </c>
      <c r="NZ764" s="89">
        <v>90</v>
      </c>
      <c r="OA764" s="169"/>
      <c r="OB764" s="2"/>
      <c r="OC764" s="148">
        <v>4</v>
      </c>
      <c r="OH764" s="2"/>
      <c r="OI764" s="2"/>
      <c r="OJ764" s="2"/>
      <c r="OK764" s="2"/>
      <c r="OL764" s="2"/>
      <c r="OM764" s="2"/>
      <c r="OT764" s="148" t="s">
        <v>2242</v>
      </c>
      <c r="OU764" s="2"/>
      <c r="OV764" s="2">
        <v>2007</v>
      </c>
      <c r="OW764" s="2"/>
      <c r="OX764" s="2"/>
      <c r="OY764" s="2" t="s">
        <v>1</v>
      </c>
      <c r="OZ764" s="2"/>
      <c r="PA764" t="s">
        <v>1169</v>
      </c>
      <c r="PB764" s="58">
        <v>46134</v>
      </c>
    </row>
    <row r="765" spans="1:418" ht="15.75" thickBot="1">
      <c r="A765" t="s">
        <v>248</v>
      </c>
      <c r="B765" t="s">
        <v>2219</v>
      </c>
      <c r="C765" s="89" t="s">
        <v>34</v>
      </c>
      <c r="D765" s="147" t="s">
        <v>1936</v>
      </c>
      <c r="E765" s="89" t="s">
        <v>1658</v>
      </c>
      <c r="F765" t="s">
        <v>31</v>
      </c>
      <c r="G765" s="89" t="s">
        <v>2</v>
      </c>
      <c r="H765" s="147" t="s">
        <v>30</v>
      </c>
      <c r="I765">
        <v>-0.41666666699999999</v>
      </c>
      <c r="J765">
        <v>34.200000000000003</v>
      </c>
      <c r="K765" s="147" t="s">
        <v>29</v>
      </c>
      <c r="L765" s="89"/>
      <c r="M765" s="147"/>
      <c r="N765" s="89"/>
      <c r="O765" s="89"/>
      <c r="P765" s="89"/>
      <c r="Q765" s="89"/>
      <c r="R765" s="89"/>
      <c r="S765" s="89"/>
      <c r="T765" s="89"/>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c r="AV765" s="89" t="s">
        <v>2220</v>
      </c>
      <c r="AW765" s="89">
        <v>64</v>
      </c>
      <c r="AX765" s="89">
        <v>0.09</v>
      </c>
      <c r="AY765" s="89">
        <v>1</v>
      </c>
      <c r="AZ765" s="148" t="s">
        <v>2221</v>
      </c>
      <c r="BA765" s="148">
        <v>2007</v>
      </c>
      <c r="BB765" s="148">
        <v>2008</v>
      </c>
      <c r="BC765" s="148" t="s">
        <v>1</v>
      </c>
      <c r="BD765" s="89"/>
      <c r="BE765" s="148" t="s">
        <v>2222</v>
      </c>
      <c r="BF765" s="148" t="s">
        <v>39</v>
      </c>
      <c r="BG765" s="148" t="s">
        <v>1233</v>
      </c>
      <c r="BH765" s="148" t="s">
        <v>2223</v>
      </c>
      <c r="BI765" s="148" t="s">
        <v>29</v>
      </c>
      <c r="BJ765" s="149" t="s">
        <v>22</v>
      </c>
      <c r="BK765" s="150">
        <v>111000</v>
      </c>
      <c r="BL765" s="89"/>
      <c r="BM765" s="89"/>
      <c r="BN765" s="89"/>
      <c r="BO765" s="147"/>
      <c r="BP765" s="170"/>
      <c r="BQ765" s="89"/>
      <c r="BR765" s="89"/>
      <c r="BS765" s="89"/>
      <c r="BT765" s="89"/>
      <c r="BU765" s="89"/>
      <c r="BV765" s="89"/>
      <c r="BW765" s="3"/>
      <c r="BX765" s="3"/>
      <c r="BY765" s="3"/>
      <c r="BZ765" s="3"/>
      <c r="CA765" s="3"/>
      <c r="CB765" s="3"/>
      <c r="CC765" s="3"/>
      <c r="CD765" s="3"/>
      <c r="CE765" s="3"/>
      <c r="CF765" s="3"/>
      <c r="CG765" s="3"/>
      <c r="CH765" s="3"/>
      <c r="CI765" s="3"/>
      <c r="CJ765" s="3"/>
      <c r="CK765" s="3"/>
      <c r="CL765" s="3"/>
      <c r="CM765" s="3"/>
      <c r="CN765" s="3"/>
      <c r="CO765" s="3"/>
      <c r="CP765" s="3"/>
      <c r="CQ765" s="3"/>
      <c r="CR765" s="3"/>
      <c r="CS765" s="3"/>
      <c r="CT765" s="3"/>
      <c r="CU765" s="3"/>
      <c r="CV765" s="3"/>
      <c r="CW765" s="3"/>
      <c r="CX765" s="3"/>
      <c r="CY765" s="3"/>
      <c r="CZ765" s="3"/>
      <c r="DA765" s="3"/>
      <c r="DB765" s="3"/>
      <c r="DC765" s="3"/>
      <c r="DD765" s="3"/>
      <c r="DE765" s="3"/>
      <c r="DF765" s="3"/>
      <c r="DG765" s="3"/>
      <c r="DH765" s="3"/>
      <c r="DI765" s="3"/>
      <c r="DJ765" s="3"/>
      <c r="DK765" s="3"/>
      <c r="DL765" s="3"/>
      <c r="DM765" s="3"/>
      <c r="DN765" s="3"/>
      <c r="DO765" s="3"/>
      <c r="DP765" s="3"/>
      <c r="DQ765" s="3"/>
      <c r="DR765" s="3"/>
      <c r="DS765" s="3"/>
      <c r="DT765" s="3"/>
      <c r="DU765" s="3"/>
      <c r="DV765" s="3"/>
      <c r="DW765" s="3"/>
      <c r="DX765" s="3"/>
      <c r="DY765" s="3"/>
      <c r="DZ765" s="3"/>
      <c r="EA765" s="3"/>
      <c r="EB765" s="3"/>
      <c r="EC765" s="3"/>
      <c r="ED765" s="3"/>
      <c r="EE765" s="89"/>
      <c r="EF765" s="89"/>
      <c r="EG765" s="89"/>
      <c r="EH765" s="89"/>
      <c r="EI765" s="89"/>
      <c r="EJ765" s="89"/>
      <c r="EK765" s="89"/>
      <c r="EL765" s="89"/>
      <c r="EM765" s="3"/>
      <c r="EN765" s="3"/>
      <c r="EO765" s="3"/>
      <c r="EP765" s="3"/>
      <c r="EQ765" s="3"/>
      <c r="ER765" s="3"/>
      <c r="ES765" s="3"/>
      <c r="ET765" s="3"/>
      <c r="EU765" s="3"/>
      <c r="EV765" s="3"/>
      <c r="EW765" s="3"/>
      <c r="EX765" s="3"/>
      <c r="EY765" s="3"/>
      <c r="EZ765" s="3"/>
      <c r="FA765" s="3"/>
      <c r="FB765" s="3"/>
      <c r="FC765" s="3"/>
      <c r="FD765" s="3"/>
      <c r="FE765" s="3"/>
      <c r="FF765" s="3"/>
      <c r="FG765" s="3"/>
      <c r="FH765" s="3"/>
      <c r="FI765" s="3"/>
      <c r="FJ765" s="3"/>
      <c r="FK765" s="3"/>
      <c r="FL765" s="3"/>
      <c r="FM765" s="3"/>
      <c r="FN765" s="3"/>
      <c r="FO765" s="3"/>
      <c r="FP765" s="3"/>
      <c r="FQ765" s="3"/>
      <c r="FR765" s="3"/>
      <c r="FS765" s="3"/>
      <c r="FT765" s="3"/>
      <c r="FU765" s="3"/>
      <c r="FV765" s="3"/>
      <c r="FW765" s="3"/>
      <c r="FX765" s="3"/>
      <c r="FY765" s="3"/>
      <c r="FZ765" s="3"/>
      <c r="GA765" s="3"/>
      <c r="GB765" s="3"/>
      <c r="GC765" s="3"/>
      <c r="GD765" s="3"/>
      <c r="GE765" s="3"/>
      <c r="GF765" s="3"/>
      <c r="GG765" s="3"/>
      <c r="GH765" s="3"/>
      <c r="GI765" s="3"/>
      <c r="GJ765" s="3"/>
      <c r="GK765" s="3"/>
      <c r="GL765" s="3"/>
      <c r="GM765" s="3"/>
      <c r="GN765" s="3"/>
      <c r="GO765" s="3"/>
      <c r="GP765" s="3"/>
      <c r="GQ765" s="3"/>
      <c r="GR765" s="3"/>
      <c r="GS765" s="3"/>
      <c r="GT765" s="3"/>
      <c r="GU765" s="3"/>
      <c r="GV765" s="3"/>
      <c r="GW765" s="3"/>
      <c r="GX765" s="3"/>
      <c r="GY765" s="3"/>
      <c r="GZ765" s="3"/>
      <c r="HA765" s="3"/>
      <c r="HB765" s="3"/>
      <c r="HC765" s="3"/>
      <c r="HD765" s="3"/>
      <c r="HE765" s="3"/>
      <c r="HF765" s="3"/>
      <c r="HG765" s="3"/>
      <c r="HH765" s="3"/>
      <c r="HI765" s="3"/>
      <c r="HJ765" s="3"/>
      <c r="HK765" s="3"/>
      <c r="HL765" s="89"/>
      <c r="HM765" s="89"/>
      <c r="HN765" s="89"/>
      <c r="HO765" s="89"/>
      <c r="HP765" s="89"/>
      <c r="HQ765" s="89"/>
      <c r="HR765" s="89"/>
      <c r="HS765" s="89"/>
      <c r="HT765" s="147"/>
      <c r="HU765" s="89"/>
      <c r="HV765" s="89"/>
      <c r="HW765" s="89"/>
      <c r="HX765" s="89"/>
      <c r="HY765" s="89"/>
      <c r="HZ765" s="89"/>
      <c r="IA765" s="89"/>
      <c r="IB765" s="89"/>
      <c r="IC765" s="89"/>
      <c r="ID765" s="89"/>
      <c r="IE765" s="89"/>
      <c r="IF765" s="89"/>
      <c r="IG765" s="89"/>
      <c r="IH765" s="89"/>
      <c r="II765" s="148" t="s">
        <v>2224</v>
      </c>
      <c r="IJ765" s="152" t="s">
        <v>19</v>
      </c>
      <c r="IK765" s="171"/>
      <c r="IL765" s="172"/>
      <c r="IM765" s="89"/>
      <c r="IN765" s="89"/>
      <c r="IO765" s="147"/>
      <c r="IR765" s="89"/>
      <c r="IS765" s="89"/>
      <c r="IT765" s="89"/>
      <c r="IU765" s="89"/>
      <c r="IV765" s="89"/>
      <c r="IW765" s="89"/>
      <c r="IX765" s="89"/>
      <c r="IY765" s="89"/>
      <c r="IZ765" s="89"/>
      <c r="JA765" s="89"/>
      <c r="JB765" s="89"/>
      <c r="JC765" s="89"/>
      <c r="JD765" s="89"/>
      <c r="JE765" s="89"/>
      <c r="JF765" s="89"/>
      <c r="JG765" s="89"/>
      <c r="JH765" s="89"/>
      <c r="JI765" s="89"/>
      <c r="JJ765" s="89"/>
      <c r="JK765" s="89"/>
      <c r="JL765" s="89"/>
      <c r="JM765" s="154" t="s">
        <v>14</v>
      </c>
      <c r="JN765" s="155" t="s">
        <v>1664</v>
      </c>
      <c r="JO765" s="147"/>
      <c r="JS765" s="89"/>
      <c r="JT765" s="89"/>
      <c r="JU765" s="89"/>
      <c r="JV765" s="89"/>
      <c r="JW765" s="89"/>
      <c r="JX765" s="89"/>
      <c r="JY765" s="89"/>
      <c r="JZ765" s="156"/>
      <c r="KA765" s="154"/>
      <c r="KB765" s="147"/>
      <c r="KC765" s="89"/>
      <c r="KD765" s="147"/>
      <c r="KE765" s="89"/>
      <c r="KF765" s="89"/>
      <c r="KG765" s="89"/>
      <c r="KH765" s="147"/>
      <c r="KI765" s="89"/>
      <c r="KJ765" s="152"/>
      <c r="KK765" s="173"/>
      <c r="KL765" s="89"/>
      <c r="KM765" s="89"/>
      <c r="KN765" s="89"/>
      <c r="KO765" s="89"/>
      <c r="KP765" s="147"/>
      <c r="KQ765" s="89"/>
      <c r="KR765" s="152"/>
      <c r="KS765" s="173"/>
      <c r="KT765" s="89"/>
      <c r="KU765" s="89"/>
      <c r="KV765" s="158"/>
      <c r="KW765" s="174"/>
      <c r="KX765" s="89"/>
      <c r="KY765" s="89"/>
      <c r="KZ765" s="89"/>
      <c r="LA765" s="3"/>
      <c r="LB765" s="3"/>
      <c r="LC765" s="3"/>
      <c r="LD765" s="3"/>
      <c r="LE765" s="3"/>
      <c r="LF765" s="3"/>
      <c r="LG765" s="3"/>
      <c r="LH765" s="3"/>
      <c r="LI765" s="147"/>
      <c r="LJ765" s="147"/>
      <c r="LK765" s="147"/>
      <c r="LL765" s="147"/>
      <c r="LM765" s="147"/>
      <c r="LN765" s="89"/>
      <c r="LO765" s="147"/>
      <c r="LP765" s="147"/>
      <c r="LQ765" s="147"/>
      <c r="LR765" s="89"/>
      <c r="LS765" s="89"/>
      <c r="LT765" s="89"/>
      <c r="LU765" s="89"/>
      <c r="LV765" s="89"/>
      <c r="LW765" s="89"/>
      <c r="LX765" s="89"/>
      <c r="LY765" s="89"/>
      <c r="LZ765" s="89"/>
      <c r="MA765" s="89"/>
      <c r="MB765" s="89"/>
      <c r="MC765" s="89"/>
      <c r="MD765" s="89"/>
      <c r="ME765" s="89"/>
      <c r="MF765" s="89"/>
      <c r="MG765" s="89"/>
      <c r="MH765" s="89"/>
      <c r="MI765" s="89"/>
      <c r="MJ765" s="89"/>
      <c r="MK765" s="89"/>
      <c r="ML765" s="89"/>
      <c r="MM765" s="89"/>
      <c r="MN765" s="89"/>
      <c r="MO765" s="89"/>
      <c r="MP765" s="89"/>
      <c r="MQ765" s="89"/>
      <c r="MR765" s="89"/>
      <c r="MS765" s="89"/>
      <c r="MT765" s="89"/>
      <c r="MU765" s="89"/>
      <c r="MV765" s="89"/>
      <c r="MW765" s="89"/>
      <c r="MX765" s="89"/>
      <c r="MY765" s="89"/>
      <c r="MZ765" s="148" t="s">
        <v>2225</v>
      </c>
      <c r="NA765" s="89">
        <v>64</v>
      </c>
      <c r="NB765" s="148" t="s">
        <v>2235</v>
      </c>
      <c r="NC765" s="159" t="s">
        <v>2236</v>
      </c>
      <c r="ND765" s="159"/>
      <c r="NE765" s="159"/>
      <c r="NF765" s="159"/>
      <c r="NG765" s="159"/>
      <c r="NH765" s="159"/>
      <c r="NI765" s="159"/>
      <c r="NJ765" s="148"/>
      <c r="NK765" s="148" t="s">
        <v>2240</v>
      </c>
      <c r="NL765" s="148" t="s">
        <v>2241</v>
      </c>
      <c r="NM765" t="s">
        <v>8</v>
      </c>
      <c r="NN765" s="160" t="s">
        <v>13</v>
      </c>
      <c r="NO765" s="148"/>
      <c r="NP765" s="148"/>
      <c r="NQ765" s="148"/>
      <c r="NR765" s="148"/>
      <c r="NS765" s="148"/>
      <c r="NT765" s="148"/>
      <c r="NU765" s="148"/>
      <c r="NV765" s="148" t="s">
        <v>64</v>
      </c>
      <c r="NW765" s="161" t="s">
        <v>6</v>
      </c>
      <c r="NX765" s="2">
        <v>320.8</v>
      </c>
      <c r="NY765" s="161" t="s">
        <v>4</v>
      </c>
      <c r="NZ765" s="2">
        <v>57</v>
      </c>
      <c r="OA765" s="175"/>
      <c r="OB765" s="89"/>
      <c r="OC765" s="148">
        <v>4</v>
      </c>
      <c r="OH765" s="89"/>
      <c r="OI765" s="89"/>
      <c r="OJ765" s="89"/>
      <c r="OK765" s="89"/>
      <c r="OL765" s="89"/>
      <c r="OM765" s="89"/>
      <c r="ON765" s="159"/>
      <c r="OO765" s="159"/>
      <c r="OP765" s="159"/>
      <c r="OQ765" s="159"/>
      <c r="OR765" s="159"/>
      <c r="OS765" s="159"/>
      <c r="OT765" s="148" t="s">
        <v>2242</v>
      </c>
      <c r="OU765" s="89"/>
      <c r="OV765" s="89">
        <v>2007</v>
      </c>
      <c r="OW765" s="89"/>
      <c r="OX765" s="89"/>
      <c r="OY765" s="89" t="s">
        <v>1</v>
      </c>
      <c r="OZ765" s="89"/>
      <c r="PA765" t="s">
        <v>1169</v>
      </c>
      <c r="PB765" s="58">
        <v>46134</v>
      </c>
    </row>
    <row r="766" spans="1:418" ht="15.75" thickBot="1">
      <c r="A766" t="s">
        <v>248</v>
      </c>
      <c r="B766" t="s">
        <v>2219</v>
      </c>
      <c r="C766" s="89" t="s">
        <v>34</v>
      </c>
      <c r="D766" s="147" t="s">
        <v>1936</v>
      </c>
      <c r="E766" s="89" t="s">
        <v>1658</v>
      </c>
      <c r="F766" t="s">
        <v>31</v>
      </c>
      <c r="G766" s="89" t="s">
        <v>2</v>
      </c>
      <c r="H766" s="147" t="s">
        <v>30</v>
      </c>
      <c r="I766">
        <v>-0.41666666699999999</v>
      </c>
      <c r="J766">
        <v>34.200000000000003</v>
      </c>
      <c r="K766" s="147" t="s">
        <v>29</v>
      </c>
      <c r="L766" s="2"/>
      <c r="M766" s="99"/>
      <c r="N766" s="2"/>
      <c r="O766" s="89"/>
      <c r="P766" s="2"/>
      <c r="Q766" s="2"/>
      <c r="R766" s="89"/>
      <c r="S766" s="89"/>
      <c r="T766" s="89"/>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c r="AV766" s="89" t="s">
        <v>2220</v>
      </c>
      <c r="AW766" s="89">
        <v>64</v>
      </c>
      <c r="AX766" s="89">
        <v>0.09</v>
      </c>
      <c r="AY766" s="89">
        <v>1</v>
      </c>
      <c r="AZ766" s="148" t="s">
        <v>2221</v>
      </c>
      <c r="BA766" s="148">
        <v>2007</v>
      </c>
      <c r="BB766" s="148">
        <v>2008</v>
      </c>
      <c r="BC766" s="148" t="s">
        <v>62</v>
      </c>
      <c r="BD766" s="2"/>
      <c r="BE766" s="2" t="s">
        <v>2230</v>
      </c>
      <c r="BF766" s="2" t="s">
        <v>64</v>
      </c>
      <c r="BG766" s="148" t="s">
        <v>1233</v>
      </c>
      <c r="BH766" s="2" t="s">
        <v>2223</v>
      </c>
      <c r="BI766" s="148" t="s">
        <v>29</v>
      </c>
      <c r="BJ766" s="149" t="s">
        <v>22</v>
      </c>
      <c r="BK766" s="150">
        <v>55500</v>
      </c>
      <c r="BL766" s="2" t="s">
        <v>56</v>
      </c>
      <c r="BM766" t="s">
        <v>2231</v>
      </c>
      <c r="BN766" s="148" t="s">
        <v>29</v>
      </c>
      <c r="BO766" s="2" t="s">
        <v>22</v>
      </c>
      <c r="BP766" s="2">
        <v>55000</v>
      </c>
      <c r="BQ766" s="2"/>
      <c r="BR766" s="2"/>
      <c r="BS766" s="2"/>
      <c r="BT766" s="99"/>
      <c r="BU766" s="2"/>
      <c r="BV766" s="2"/>
      <c r="BW766" s="3"/>
      <c r="BX766" s="3"/>
      <c r="BY766" s="3"/>
      <c r="BZ766" s="3"/>
      <c r="CA766" s="3"/>
      <c r="CB766" s="3"/>
      <c r="CC766" s="3"/>
      <c r="CD766" s="3"/>
      <c r="CE766" s="3"/>
      <c r="CF766" s="3"/>
      <c r="CG766" s="3"/>
      <c r="CH766" s="3"/>
      <c r="CI766" s="3"/>
      <c r="CJ766" s="3"/>
      <c r="CK766" s="3"/>
      <c r="CL766" s="3"/>
      <c r="CM766" s="3"/>
      <c r="CN766" s="3"/>
      <c r="CO766" s="3"/>
      <c r="CP766" s="3"/>
      <c r="CQ766" s="3"/>
      <c r="CR766" s="3"/>
      <c r="CS766" s="3"/>
      <c r="CT766" s="3"/>
      <c r="CU766" s="3"/>
      <c r="CV766" s="3"/>
      <c r="CW766" s="3"/>
      <c r="CX766" s="3"/>
      <c r="CY766" s="3"/>
      <c r="CZ766" s="3"/>
      <c r="DA766" s="3"/>
      <c r="DB766" s="3"/>
      <c r="DC766" s="3"/>
      <c r="DD766" s="3"/>
      <c r="DE766" s="3"/>
      <c r="DF766" s="3"/>
      <c r="DG766" s="3"/>
      <c r="DH766" s="3"/>
      <c r="DI766" s="3"/>
      <c r="DJ766" s="3"/>
      <c r="DK766" s="3"/>
      <c r="DL766" s="3"/>
      <c r="DM766" s="3"/>
      <c r="DN766" s="3"/>
      <c r="DO766" s="3"/>
      <c r="DP766" s="3"/>
      <c r="DQ766" s="3"/>
      <c r="DR766" s="3"/>
      <c r="DS766" s="3"/>
      <c r="DT766" s="3"/>
      <c r="DU766" s="3"/>
      <c r="DV766" s="3"/>
      <c r="DW766" s="3"/>
      <c r="DX766" s="3"/>
      <c r="DY766" s="3"/>
      <c r="DZ766" s="3"/>
      <c r="EA766" s="3"/>
      <c r="EB766" s="3"/>
      <c r="EC766" s="3"/>
      <c r="ED766" s="3"/>
      <c r="EE766" s="2"/>
      <c r="EF766" s="2"/>
      <c r="EG766" s="2"/>
      <c r="EH766" s="2"/>
      <c r="EI766" s="2"/>
      <c r="EJ766" s="2"/>
      <c r="EK766" s="2"/>
      <c r="EL766" s="2"/>
      <c r="EM766" s="3"/>
      <c r="EN766" s="3"/>
      <c r="EO766" s="3"/>
      <c r="EP766" s="3"/>
      <c r="EQ766" s="3"/>
      <c r="ER766" s="3"/>
      <c r="ES766" s="3"/>
      <c r="ET766" s="3"/>
      <c r="EU766" s="3"/>
      <c r="EV766" s="3"/>
      <c r="EW766" s="3"/>
      <c r="EX766" s="3"/>
      <c r="EY766" s="3"/>
      <c r="EZ766" s="3"/>
      <c r="FA766" s="3"/>
      <c r="FB766" s="3"/>
      <c r="FC766" s="3"/>
      <c r="FD766" s="3"/>
      <c r="FE766" s="3"/>
      <c r="FF766" s="3"/>
      <c r="FG766" s="3"/>
      <c r="FH766" s="3"/>
      <c r="FI766" s="3"/>
      <c r="FJ766" s="3"/>
      <c r="FK766" s="3"/>
      <c r="FL766" s="3"/>
      <c r="FM766" s="3"/>
      <c r="FN766" s="3"/>
      <c r="FO766" s="3"/>
      <c r="FP766" s="3"/>
      <c r="FQ766" s="3"/>
      <c r="FR766" s="3"/>
      <c r="FS766" s="3"/>
      <c r="FT766" s="3"/>
      <c r="FU766" s="3"/>
      <c r="FV766" s="3"/>
      <c r="FW766" s="3"/>
      <c r="FX766" s="3"/>
      <c r="FY766" s="3"/>
      <c r="FZ766" s="3"/>
      <c r="GA766" s="3"/>
      <c r="GB766" s="3"/>
      <c r="GC766" s="3"/>
      <c r="GD766" s="3"/>
      <c r="GE766" s="3"/>
      <c r="GF766" s="3"/>
      <c r="GG766" s="3"/>
      <c r="GH766" s="3"/>
      <c r="GI766" s="3"/>
      <c r="GJ766" s="3"/>
      <c r="GK766" s="3"/>
      <c r="GL766" s="3"/>
      <c r="GM766" s="3"/>
      <c r="GN766" s="3"/>
      <c r="GO766" s="3"/>
      <c r="GP766" s="3"/>
      <c r="GQ766" s="3"/>
      <c r="GR766" s="3"/>
      <c r="GS766" s="3"/>
      <c r="GT766" s="3"/>
      <c r="GU766" s="3"/>
      <c r="GV766" s="3"/>
      <c r="GW766" s="3"/>
      <c r="GX766" s="3"/>
      <c r="GY766" s="3"/>
      <c r="GZ766" s="3"/>
      <c r="HA766" s="3"/>
      <c r="HB766" s="3"/>
      <c r="HC766" s="3"/>
      <c r="HD766" s="3"/>
      <c r="HE766" s="3"/>
      <c r="HF766" s="3"/>
      <c r="HG766" s="3"/>
      <c r="HH766" s="3"/>
      <c r="HI766" s="3"/>
      <c r="HJ766" s="3"/>
      <c r="HK766" s="3"/>
      <c r="HL766" s="2"/>
      <c r="HM766" s="2"/>
      <c r="HN766" s="2"/>
      <c r="HO766" s="2"/>
      <c r="HP766" s="2"/>
      <c r="HQ766" s="2"/>
      <c r="HR766" s="2"/>
      <c r="HS766" s="2"/>
      <c r="HT766" s="99"/>
      <c r="HU766" s="2"/>
      <c r="HV766" s="2"/>
      <c r="HW766" s="2"/>
      <c r="HX766" s="2"/>
      <c r="HY766" s="2"/>
      <c r="HZ766" s="2"/>
      <c r="IA766" s="2"/>
      <c r="IB766" s="2"/>
      <c r="IC766" s="2"/>
      <c r="ID766" s="2"/>
      <c r="IE766" s="2"/>
      <c r="IF766" s="2"/>
      <c r="IG766" s="2"/>
      <c r="IH766" s="2"/>
      <c r="II766" s="148" t="s">
        <v>2224</v>
      </c>
      <c r="IJ766" s="163" t="s">
        <v>1443</v>
      </c>
      <c r="IK766" s="164" t="s">
        <v>1466</v>
      </c>
      <c r="IL766" s="165" t="s">
        <v>661</v>
      </c>
      <c r="IM766" s="2">
        <v>2007</v>
      </c>
      <c r="IN766" s="2" t="s">
        <v>62</v>
      </c>
      <c r="IO766" s="2" t="s">
        <v>29</v>
      </c>
      <c r="IR766" s="2"/>
      <c r="IS766" s="2"/>
      <c r="IT766" s="2"/>
      <c r="IU766" s="2"/>
      <c r="IV766" s="2"/>
      <c r="IW766" s="2"/>
      <c r="IX766" s="99"/>
      <c r="IY766" s="2"/>
      <c r="IZ766" s="2"/>
      <c r="JA766" s="2"/>
      <c r="JB766" s="2"/>
      <c r="JC766" s="2"/>
      <c r="JD766" s="2"/>
      <c r="JE766" s="2"/>
      <c r="JF766" s="2"/>
      <c r="JG766" s="2"/>
      <c r="JH766" s="2"/>
      <c r="JI766" s="2"/>
      <c r="JJ766" s="2"/>
      <c r="JK766" s="2"/>
      <c r="JL766" s="2"/>
      <c r="JM766" s="154" t="s">
        <v>14</v>
      </c>
      <c r="JN766" s="155" t="s">
        <v>1664</v>
      </c>
      <c r="JO766" s="99"/>
      <c r="JS766" s="2"/>
      <c r="JT766" s="2"/>
      <c r="JU766" s="2"/>
      <c r="JV766" s="2"/>
      <c r="JW766" s="2"/>
      <c r="JX766" s="2"/>
      <c r="JY766" s="2"/>
      <c r="JZ766" s="156"/>
      <c r="KA766" s="166"/>
      <c r="KB766" s="99"/>
      <c r="KC766" s="2"/>
      <c r="KD766" s="99"/>
      <c r="KE766" s="2"/>
      <c r="KF766" s="2"/>
      <c r="KG766" s="2"/>
      <c r="KH766" s="99"/>
      <c r="KI766" s="2"/>
      <c r="KJ766" s="163"/>
      <c r="KK766" s="167"/>
      <c r="KL766" s="2"/>
      <c r="KM766" s="2"/>
      <c r="KN766" s="2"/>
      <c r="KO766" s="2"/>
      <c r="KP766" s="99"/>
      <c r="KQ766" s="2"/>
      <c r="KR766" s="177"/>
      <c r="KS766" s="166"/>
      <c r="KT766" s="2"/>
      <c r="KU766" s="2"/>
      <c r="KV766" s="158"/>
      <c r="KW766" s="167"/>
      <c r="KX766" s="2"/>
      <c r="KY766" s="2"/>
      <c r="KZ766" s="2"/>
      <c r="LA766" s="3"/>
      <c r="LB766" s="3"/>
      <c r="LC766" s="3"/>
      <c r="LD766" s="3"/>
      <c r="LE766" s="3"/>
      <c r="LF766" s="3"/>
      <c r="LG766" s="3"/>
      <c r="LH766" s="3"/>
      <c r="LI766" s="99"/>
      <c r="LJ766" s="99"/>
      <c r="LK766" s="99"/>
      <c r="LL766" s="99"/>
      <c r="LM766" s="99"/>
      <c r="LN766" s="2"/>
      <c r="LO766" s="99"/>
      <c r="LP766" s="99"/>
      <c r="LQ766" s="99"/>
      <c r="LR766" s="2"/>
      <c r="LS766" s="2"/>
      <c r="LT766" s="2"/>
      <c r="LU766" s="2"/>
      <c r="LV766" s="2"/>
      <c r="LW766" s="2"/>
      <c r="LX766" s="2"/>
      <c r="LY766" s="2"/>
      <c r="LZ766" s="2"/>
      <c r="MA766" s="2"/>
      <c r="MB766" s="2"/>
      <c r="MC766" s="2"/>
      <c r="MD766" s="2"/>
      <c r="ME766" s="2"/>
      <c r="MF766" s="2"/>
      <c r="MG766" s="2"/>
      <c r="MH766" s="2"/>
      <c r="MI766" s="2"/>
      <c r="MJ766" s="2"/>
      <c r="MK766" s="2"/>
      <c r="ML766" s="2"/>
      <c r="MM766" s="2"/>
      <c r="MN766" s="2"/>
      <c r="MO766" s="2"/>
      <c r="MP766" s="2"/>
      <c r="MQ766" s="2"/>
      <c r="MR766" s="2"/>
      <c r="MS766" s="2"/>
      <c r="MT766" s="2"/>
      <c r="MU766" s="2"/>
      <c r="MV766" s="2"/>
      <c r="MW766" s="2"/>
      <c r="MX766" s="2"/>
      <c r="MY766" s="2"/>
      <c r="MZ766" s="148" t="s">
        <v>2225</v>
      </c>
      <c r="NA766" s="89">
        <v>64</v>
      </c>
      <c r="NB766" s="148" t="s">
        <v>2235</v>
      </c>
      <c r="NC766" s="159" t="s">
        <v>2236</v>
      </c>
      <c r="ND766" s="159"/>
      <c r="NE766" s="159"/>
      <c r="NF766" s="159"/>
      <c r="NG766" s="159"/>
      <c r="NH766" s="159"/>
      <c r="NI766" s="159"/>
      <c r="NJ766" s="148"/>
      <c r="NK766" s="148" t="s">
        <v>2240</v>
      </c>
      <c r="NL766" s="148" t="s">
        <v>2243</v>
      </c>
      <c r="NM766" t="s">
        <v>8</v>
      </c>
      <c r="NN766" s="160" t="s">
        <v>13</v>
      </c>
      <c r="NO766" s="148"/>
      <c r="NP766" s="148"/>
      <c r="NQ766" s="148"/>
      <c r="NR766" s="148"/>
      <c r="NS766" s="148"/>
      <c r="NT766" s="148"/>
      <c r="NU766" s="148"/>
      <c r="NV766" s="148"/>
      <c r="NW766" s="161" t="s">
        <v>6</v>
      </c>
      <c r="NX766" s="89">
        <v>943.8</v>
      </c>
      <c r="NY766" s="161" t="s">
        <v>4</v>
      </c>
      <c r="NZ766" s="89">
        <v>45</v>
      </c>
      <c r="OA766" s="169"/>
      <c r="OB766" s="2"/>
      <c r="OC766" s="148">
        <v>4</v>
      </c>
      <c r="OH766" s="2"/>
      <c r="OI766" s="2"/>
      <c r="OJ766" s="2"/>
      <c r="OK766" s="2"/>
      <c r="OL766" s="2"/>
      <c r="OM766" s="2"/>
      <c r="OT766" s="148" t="s">
        <v>2242</v>
      </c>
      <c r="OU766" s="2"/>
      <c r="OV766" s="2">
        <v>2008</v>
      </c>
      <c r="OW766" s="2"/>
      <c r="OX766" s="2"/>
      <c r="OY766" s="148" t="s">
        <v>62</v>
      </c>
      <c r="OZ766" s="2"/>
      <c r="PA766" t="s">
        <v>1169</v>
      </c>
      <c r="PB766" s="58">
        <v>46134</v>
      </c>
    </row>
    <row r="767" spans="1:418" ht="15.75" thickBot="1">
      <c r="A767" t="s">
        <v>248</v>
      </c>
      <c r="B767" t="s">
        <v>2219</v>
      </c>
      <c r="C767" s="89" t="s">
        <v>34</v>
      </c>
      <c r="D767" s="147" t="s">
        <v>1936</v>
      </c>
      <c r="E767" s="89" t="s">
        <v>1658</v>
      </c>
      <c r="F767" t="s">
        <v>31</v>
      </c>
      <c r="G767" s="89" t="s">
        <v>2</v>
      </c>
      <c r="H767" s="147" t="s">
        <v>30</v>
      </c>
      <c r="I767">
        <v>-0.41666666699999999</v>
      </c>
      <c r="J767">
        <v>34.200000000000003</v>
      </c>
      <c r="K767" s="147" t="s">
        <v>29</v>
      </c>
      <c r="L767" s="89"/>
      <c r="M767" s="147"/>
      <c r="N767" s="89"/>
      <c r="O767" s="89"/>
      <c r="P767" s="89"/>
      <c r="Q767" s="89"/>
      <c r="R767" s="89"/>
      <c r="S767" s="89"/>
      <c r="T767" s="89"/>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c r="AV767" s="89" t="s">
        <v>2220</v>
      </c>
      <c r="AW767" s="89">
        <v>64</v>
      </c>
      <c r="AX767" s="89">
        <v>0.09</v>
      </c>
      <c r="AY767" s="89">
        <v>1</v>
      </c>
      <c r="AZ767" s="148" t="s">
        <v>2221</v>
      </c>
      <c r="BA767" s="148">
        <v>2007</v>
      </c>
      <c r="BB767" s="148">
        <v>2008</v>
      </c>
      <c r="BC767" s="148" t="s">
        <v>62</v>
      </c>
      <c r="BD767" s="89"/>
      <c r="BE767" s="148" t="s">
        <v>2222</v>
      </c>
      <c r="BF767" s="148" t="s">
        <v>39</v>
      </c>
      <c r="BG767" s="148" t="s">
        <v>1233</v>
      </c>
      <c r="BH767" s="148" t="s">
        <v>2223</v>
      </c>
      <c r="BI767" s="148" t="s">
        <v>29</v>
      </c>
      <c r="BJ767" s="149" t="s">
        <v>22</v>
      </c>
      <c r="BK767" s="150">
        <v>111000</v>
      </c>
      <c r="BL767" s="89"/>
      <c r="BM767" s="89"/>
      <c r="BN767" s="89"/>
      <c r="BO767" s="147"/>
      <c r="BP767" s="170"/>
      <c r="BQ767" s="89"/>
      <c r="BR767" s="89"/>
      <c r="BS767" s="89"/>
      <c r="BT767" s="147"/>
      <c r="BU767" s="170"/>
      <c r="BV767" s="89"/>
      <c r="BW767" s="3"/>
      <c r="BX767" s="3"/>
      <c r="BY767" s="3"/>
      <c r="BZ767" s="3"/>
      <c r="CA767" s="3"/>
      <c r="CB767" s="3"/>
      <c r="CC767" s="3"/>
      <c r="CD767" s="3"/>
      <c r="CE767" s="3"/>
      <c r="CF767" s="3"/>
      <c r="CG767" s="3"/>
      <c r="CH767" s="3"/>
      <c r="CI767" s="3"/>
      <c r="CJ767" s="3"/>
      <c r="CK767" s="3"/>
      <c r="CL767" s="3"/>
      <c r="CM767" s="3"/>
      <c r="CN767" s="3"/>
      <c r="CO767" s="3"/>
      <c r="CP767" s="3"/>
      <c r="CQ767" s="3"/>
      <c r="CR767" s="3"/>
      <c r="CS767" s="3"/>
      <c r="CT767" s="3"/>
      <c r="CU767" s="3"/>
      <c r="CV767" s="3"/>
      <c r="CW767" s="3"/>
      <c r="CX767" s="3"/>
      <c r="CY767" s="3"/>
      <c r="CZ767" s="3"/>
      <c r="DA767" s="3"/>
      <c r="DB767" s="3"/>
      <c r="DC767" s="3"/>
      <c r="DD767" s="3"/>
      <c r="DE767" s="3"/>
      <c r="DF767" s="3"/>
      <c r="DG767" s="3"/>
      <c r="DH767" s="3"/>
      <c r="DI767" s="3"/>
      <c r="DJ767" s="3"/>
      <c r="DK767" s="3"/>
      <c r="DL767" s="3"/>
      <c r="DM767" s="3"/>
      <c r="DN767" s="3"/>
      <c r="DO767" s="3"/>
      <c r="DP767" s="3"/>
      <c r="DQ767" s="3"/>
      <c r="DR767" s="3"/>
      <c r="DS767" s="3"/>
      <c r="DT767" s="3"/>
      <c r="DU767" s="3"/>
      <c r="DV767" s="3"/>
      <c r="DW767" s="3"/>
      <c r="DX767" s="3"/>
      <c r="DY767" s="3"/>
      <c r="DZ767" s="3"/>
      <c r="EA767" s="3"/>
      <c r="EB767" s="3"/>
      <c r="EC767" s="3"/>
      <c r="ED767" s="3"/>
      <c r="EE767" s="89"/>
      <c r="EF767" s="89"/>
      <c r="EG767" s="89"/>
      <c r="EH767" s="89"/>
      <c r="EI767" s="89"/>
      <c r="EJ767" s="89"/>
      <c r="EK767" s="89"/>
      <c r="EL767" s="89"/>
      <c r="EM767" s="3"/>
      <c r="EN767" s="3"/>
      <c r="EO767" s="3"/>
      <c r="EP767" s="3"/>
      <c r="EQ767" s="3"/>
      <c r="ER767" s="3"/>
      <c r="ES767" s="3"/>
      <c r="ET767" s="3"/>
      <c r="EU767" s="3"/>
      <c r="EV767" s="3"/>
      <c r="EW767" s="3"/>
      <c r="EX767" s="3"/>
      <c r="EY767" s="3"/>
      <c r="EZ767" s="3"/>
      <c r="FA767" s="3"/>
      <c r="FB767" s="3"/>
      <c r="FC767" s="3"/>
      <c r="FD767" s="3"/>
      <c r="FE767" s="3"/>
      <c r="FF767" s="3"/>
      <c r="FG767" s="3"/>
      <c r="FH767" s="3"/>
      <c r="FI767" s="3"/>
      <c r="FJ767" s="3"/>
      <c r="FK767" s="3"/>
      <c r="FL767" s="3"/>
      <c r="FM767" s="3"/>
      <c r="FN767" s="3"/>
      <c r="FO767" s="3"/>
      <c r="FP767" s="3"/>
      <c r="FQ767" s="3"/>
      <c r="FR767" s="3"/>
      <c r="FS767" s="3"/>
      <c r="FT767" s="3"/>
      <c r="FU767" s="3"/>
      <c r="FV767" s="3"/>
      <c r="FW767" s="3"/>
      <c r="FX767" s="3"/>
      <c r="FY767" s="3"/>
      <c r="FZ767" s="3"/>
      <c r="GA767" s="3"/>
      <c r="GB767" s="3"/>
      <c r="GC767" s="3"/>
      <c r="GD767" s="3"/>
      <c r="GE767" s="3"/>
      <c r="GF767" s="3"/>
      <c r="GG767" s="3"/>
      <c r="GH767" s="3"/>
      <c r="GI767" s="3"/>
      <c r="GJ767" s="3"/>
      <c r="GK767" s="3"/>
      <c r="GL767" s="3"/>
      <c r="GM767" s="3"/>
      <c r="GN767" s="3"/>
      <c r="GO767" s="3"/>
      <c r="GP767" s="3"/>
      <c r="GQ767" s="3"/>
      <c r="GR767" s="3"/>
      <c r="GS767" s="3"/>
      <c r="GT767" s="3"/>
      <c r="GU767" s="3"/>
      <c r="GV767" s="3"/>
      <c r="GW767" s="3"/>
      <c r="GX767" s="3"/>
      <c r="GY767" s="3"/>
      <c r="GZ767" s="3"/>
      <c r="HA767" s="3"/>
      <c r="HB767" s="3"/>
      <c r="HC767" s="3"/>
      <c r="HD767" s="3"/>
      <c r="HE767" s="3"/>
      <c r="HF767" s="3"/>
      <c r="HG767" s="3"/>
      <c r="HH767" s="3"/>
      <c r="HI767" s="3"/>
      <c r="HJ767" s="3"/>
      <c r="HK767" s="3"/>
      <c r="HL767" s="89"/>
      <c r="HM767" s="89"/>
      <c r="HN767" s="89"/>
      <c r="HO767" s="89"/>
      <c r="HP767" s="89"/>
      <c r="HQ767" s="89"/>
      <c r="HR767" s="89"/>
      <c r="HS767" s="89"/>
      <c r="HT767" s="147"/>
      <c r="HU767" s="89"/>
      <c r="HV767" s="89"/>
      <c r="HW767" s="89"/>
      <c r="HX767" s="89"/>
      <c r="HY767" s="89"/>
      <c r="HZ767" s="89"/>
      <c r="IA767" s="89"/>
      <c r="IB767" s="89"/>
      <c r="IC767" s="89"/>
      <c r="ID767" s="89"/>
      <c r="IE767" s="89"/>
      <c r="IF767" s="89"/>
      <c r="IG767" s="89"/>
      <c r="IH767" s="89"/>
      <c r="II767" s="148" t="s">
        <v>2224</v>
      </c>
      <c r="IJ767" s="152" t="s">
        <v>19</v>
      </c>
      <c r="IK767" s="89"/>
      <c r="IL767" s="89"/>
      <c r="IM767" s="89"/>
      <c r="IN767" s="89"/>
      <c r="IO767" s="89"/>
      <c r="IR767" s="89"/>
      <c r="IS767" s="89"/>
      <c r="IT767" s="89"/>
      <c r="IU767" s="89"/>
      <c r="IV767" s="89"/>
      <c r="IW767" s="89"/>
      <c r="IX767" s="147"/>
      <c r="IY767" s="89"/>
      <c r="IZ767" s="89"/>
      <c r="JA767" s="89"/>
      <c r="JB767" s="89"/>
      <c r="JC767" s="89"/>
      <c r="JD767" s="89"/>
      <c r="JE767" s="89"/>
      <c r="JF767" s="89"/>
      <c r="JG767" s="89"/>
      <c r="JH767" s="89"/>
      <c r="JI767" s="89"/>
      <c r="JJ767" s="89"/>
      <c r="JK767" s="89"/>
      <c r="JL767" s="89"/>
      <c r="JM767" s="154" t="s">
        <v>14</v>
      </c>
      <c r="JN767" s="155" t="s">
        <v>1664</v>
      </c>
      <c r="JO767" s="147"/>
      <c r="JS767" s="89"/>
      <c r="JT767" s="89"/>
      <c r="JU767" s="89"/>
      <c r="JV767" s="89"/>
      <c r="JW767" s="89"/>
      <c r="JX767" s="89"/>
      <c r="JY767" s="89"/>
      <c r="JZ767" s="156"/>
      <c r="KA767" s="154"/>
      <c r="KB767" s="147"/>
      <c r="KC767" s="89"/>
      <c r="KD767" s="147"/>
      <c r="KE767" s="89"/>
      <c r="KF767" s="89"/>
      <c r="KG767" s="89"/>
      <c r="KH767" s="147"/>
      <c r="KI767" s="89"/>
      <c r="KJ767" s="152"/>
      <c r="KK767" s="173"/>
      <c r="KL767" s="89"/>
      <c r="KM767" s="89"/>
      <c r="KN767" s="89"/>
      <c r="KO767" s="89"/>
      <c r="KP767" s="147"/>
      <c r="KQ767" s="89"/>
      <c r="KR767" s="177"/>
      <c r="KS767" s="154"/>
      <c r="KT767" s="89"/>
      <c r="KU767" s="89"/>
      <c r="KV767" s="158"/>
      <c r="KW767" s="173"/>
      <c r="KX767" s="89"/>
      <c r="KY767" s="89"/>
      <c r="KZ767" s="89"/>
      <c r="LA767" s="3"/>
      <c r="LB767" s="3"/>
      <c r="LC767" s="3"/>
      <c r="LD767" s="3"/>
      <c r="LE767" s="3"/>
      <c r="LF767" s="3"/>
      <c r="LG767" s="3"/>
      <c r="LH767" s="3"/>
      <c r="LI767" s="147"/>
      <c r="LJ767" s="147"/>
      <c r="LK767" s="147"/>
      <c r="LL767" s="147"/>
      <c r="LM767" s="147"/>
      <c r="LN767" s="89"/>
      <c r="LO767" s="147"/>
      <c r="LP767" s="147"/>
      <c r="LQ767" s="147"/>
      <c r="LR767" s="89"/>
      <c r="LS767" s="89"/>
      <c r="LT767" s="89"/>
      <c r="LU767" s="89"/>
      <c r="LV767" s="89"/>
      <c r="LW767" s="89"/>
      <c r="LX767" s="89"/>
      <c r="LY767" s="89"/>
      <c r="LZ767" s="89"/>
      <c r="MA767" s="89"/>
      <c r="MB767" s="89"/>
      <c r="MC767" s="89"/>
      <c r="MD767" s="89"/>
      <c r="ME767" s="89"/>
      <c r="MF767" s="89"/>
      <c r="MG767" s="89"/>
      <c r="MH767" s="89"/>
      <c r="MI767" s="89"/>
      <c r="MJ767" s="89"/>
      <c r="MK767" s="89"/>
      <c r="ML767" s="89"/>
      <c r="MM767" s="89"/>
      <c r="MN767" s="89"/>
      <c r="MO767" s="89"/>
      <c r="MP767" s="89"/>
      <c r="MQ767" s="89"/>
      <c r="MR767" s="89"/>
      <c r="MS767" s="89"/>
      <c r="MT767" s="89"/>
      <c r="MU767" s="89"/>
      <c r="MV767" s="89"/>
      <c r="MW767" s="89"/>
      <c r="MX767" s="89"/>
      <c r="MY767" s="89"/>
      <c r="MZ767" s="148" t="s">
        <v>2225</v>
      </c>
      <c r="NA767" s="89">
        <v>64</v>
      </c>
      <c r="NB767" s="148" t="s">
        <v>2235</v>
      </c>
      <c r="NC767" s="159" t="s">
        <v>2236</v>
      </c>
      <c r="ND767" s="159"/>
      <c r="NE767" s="159"/>
      <c r="NF767" s="159"/>
      <c r="NG767" s="159"/>
      <c r="NH767" s="159"/>
      <c r="NI767" s="159"/>
      <c r="NJ767" s="148"/>
      <c r="NK767" s="148" t="s">
        <v>2240</v>
      </c>
      <c r="NL767" s="148" t="s">
        <v>2241</v>
      </c>
      <c r="NM767" t="s">
        <v>8</v>
      </c>
      <c r="NN767" s="160" t="s">
        <v>13</v>
      </c>
      <c r="NO767" s="148"/>
      <c r="NP767" s="148"/>
      <c r="NQ767" s="148"/>
      <c r="NR767" s="148"/>
      <c r="NS767" s="148"/>
      <c r="NT767" s="148"/>
      <c r="NU767" s="148"/>
      <c r="NV767" s="148" t="s">
        <v>64</v>
      </c>
      <c r="NW767" s="161" t="s">
        <v>6</v>
      </c>
      <c r="NX767" s="2">
        <v>598.9</v>
      </c>
      <c r="NY767" s="161" t="s">
        <v>4</v>
      </c>
      <c r="NZ767" s="2">
        <v>44</v>
      </c>
      <c r="OA767" s="175"/>
      <c r="OB767" s="89"/>
      <c r="OC767" s="148">
        <v>4</v>
      </c>
      <c r="OH767" s="89"/>
      <c r="OI767" s="89"/>
      <c r="OJ767" s="89"/>
      <c r="OK767" s="89"/>
      <c r="OL767" s="89"/>
      <c r="OM767" s="89"/>
      <c r="ON767" s="159"/>
      <c r="OO767" s="159"/>
      <c r="OP767" s="159"/>
      <c r="OQ767" s="159"/>
      <c r="OR767" s="159"/>
      <c r="OS767" s="159"/>
      <c r="OT767" s="148" t="s">
        <v>2242</v>
      </c>
      <c r="OU767" s="89"/>
      <c r="OV767" s="89">
        <v>2008</v>
      </c>
      <c r="OW767" s="89"/>
      <c r="OX767" s="89"/>
      <c r="OY767" s="148" t="s">
        <v>62</v>
      </c>
      <c r="OZ767" s="89"/>
      <c r="PA767" t="s">
        <v>1169</v>
      </c>
      <c r="PB767" s="58">
        <v>46134</v>
      </c>
    </row>
    <row r="768" spans="1:418" ht="15.75" thickBot="1">
      <c r="A768" t="s">
        <v>248</v>
      </c>
      <c r="B768" t="s">
        <v>2219</v>
      </c>
      <c r="C768" s="89" t="s">
        <v>34</v>
      </c>
      <c r="D768" s="147" t="s">
        <v>1936</v>
      </c>
      <c r="E768" s="89" t="s">
        <v>1658</v>
      </c>
      <c r="F768" t="s">
        <v>31</v>
      </c>
      <c r="G768" s="89" t="s">
        <v>2</v>
      </c>
      <c r="H768" s="147" t="s">
        <v>30</v>
      </c>
      <c r="I768">
        <v>-0.41666666699999999</v>
      </c>
      <c r="J768">
        <v>34.200000000000003</v>
      </c>
      <c r="K768" s="147" t="s">
        <v>29</v>
      </c>
      <c r="L768" s="2"/>
      <c r="M768" s="99"/>
      <c r="N768" s="2"/>
      <c r="O768" s="89"/>
      <c r="P768" s="2"/>
      <c r="Q768" s="2"/>
      <c r="R768" s="89"/>
      <c r="S768" s="89"/>
      <c r="T768" s="89"/>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c r="AV768" s="89" t="s">
        <v>2220</v>
      </c>
      <c r="AW768" s="89">
        <v>64</v>
      </c>
      <c r="AX768" s="89">
        <v>0.09</v>
      </c>
      <c r="AY768" s="89">
        <v>1</v>
      </c>
      <c r="AZ768" s="148" t="s">
        <v>2221</v>
      </c>
      <c r="BA768" s="148">
        <v>2007</v>
      </c>
      <c r="BB768" s="148">
        <v>2008</v>
      </c>
      <c r="BC768" s="148" t="s">
        <v>1</v>
      </c>
      <c r="BD768" s="2"/>
      <c r="BE768" s="2" t="s">
        <v>2230</v>
      </c>
      <c r="BF768" s="2" t="s">
        <v>64</v>
      </c>
      <c r="BG768" s="148" t="s">
        <v>1233</v>
      </c>
      <c r="BH768" s="2" t="s">
        <v>2223</v>
      </c>
      <c r="BI768" s="148" t="s">
        <v>29</v>
      </c>
      <c r="BJ768" s="149" t="s">
        <v>22</v>
      </c>
      <c r="BK768" s="150">
        <v>55500</v>
      </c>
      <c r="BL768" s="2" t="s">
        <v>56</v>
      </c>
      <c r="BM768" t="s">
        <v>2231</v>
      </c>
      <c r="BN768" s="148" t="s">
        <v>29</v>
      </c>
      <c r="BO768" s="2" t="s">
        <v>22</v>
      </c>
      <c r="BP768" s="2">
        <v>55000</v>
      </c>
      <c r="BQ768" s="2"/>
      <c r="BR768" s="2"/>
      <c r="BS768" s="2"/>
      <c r="BT768" s="99"/>
      <c r="BU768" s="2"/>
      <c r="BV768" s="2"/>
      <c r="BW768" s="3"/>
      <c r="BX768" s="3"/>
      <c r="BY768" s="3"/>
      <c r="BZ768" s="3"/>
      <c r="CA768" s="3"/>
      <c r="CB768" s="3"/>
      <c r="CC768" s="3"/>
      <c r="CD768" s="3"/>
      <c r="CE768" s="3"/>
      <c r="CF768" s="3"/>
      <c r="CG768" s="3"/>
      <c r="CH768" s="3"/>
      <c r="CI768" s="3"/>
      <c r="CJ768" s="3"/>
      <c r="CK768" s="3"/>
      <c r="CL768" s="3"/>
      <c r="CM768" s="3"/>
      <c r="CN768" s="3"/>
      <c r="CO768" s="3"/>
      <c r="CP768" s="3"/>
      <c r="CQ768" s="3"/>
      <c r="CR768" s="3"/>
      <c r="CS768" s="3"/>
      <c r="CT768" s="3"/>
      <c r="CU768" s="3"/>
      <c r="CV768" s="3"/>
      <c r="CW768" s="3"/>
      <c r="CX768" s="3"/>
      <c r="CY768" s="3"/>
      <c r="CZ768" s="3"/>
      <c r="DA768" s="3"/>
      <c r="DB768" s="3"/>
      <c r="DC768" s="3"/>
      <c r="DD768" s="3"/>
      <c r="DE768" s="3"/>
      <c r="DF768" s="3"/>
      <c r="DG768" s="3"/>
      <c r="DH768" s="3"/>
      <c r="DI768" s="3"/>
      <c r="DJ768" s="3"/>
      <c r="DK768" s="3"/>
      <c r="DL768" s="3"/>
      <c r="DM768" s="3"/>
      <c r="DN768" s="3"/>
      <c r="DO768" s="3"/>
      <c r="DP768" s="3"/>
      <c r="DQ768" s="3"/>
      <c r="DR768" s="3"/>
      <c r="DS768" s="3"/>
      <c r="DT768" s="3"/>
      <c r="DU768" s="3"/>
      <c r="DV768" s="3"/>
      <c r="DW768" s="3"/>
      <c r="DX768" s="3"/>
      <c r="DY768" s="3"/>
      <c r="DZ768" s="3"/>
      <c r="EA768" s="3"/>
      <c r="EB768" s="3"/>
      <c r="EC768" s="3"/>
      <c r="ED768" s="3"/>
      <c r="EE768" s="2"/>
      <c r="EF768" s="2"/>
      <c r="EG768" s="2"/>
      <c r="EH768" s="2"/>
      <c r="EI768" s="2"/>
      <c r="EJ768" s="2"/>
      <c r="EK768" s="2"/>
      <c r="EL768" s="2"/>
      <c r="EM768" s="3"/>
      <c r="EN768" s="3"/>
      <c r="EO768" s="3"/>
      <c r="EP768" s="3"/>
      <c r="EQ768" s="3"/>
      <c r="ER768" s="3"/>
      <c r="ES768" s="3"/>
      <c r="ET768" s="3"/>
      <c r="EU768" s="3"/>
      <c r="EV768" s="3"/>
      <c r="EW768" s="3"/>
      <c r="EX768" s="3"/>
      <c r="EY768" s="3"/>
      <c r="EZ768" s="3"/>
      <c r="FA768" s="3"/>
      <c r="FB768" s="3"/>
      <c r="FC768" s="3"/>
      <c r="FD768" s="3"/>
      <c r="FE768" s="3"/>
      <c r="FF768" s="3"/>
      <c r="FG768" s="3"/>
      <c r="FH768" s="3"/>
      <c r="FI768" s="3"/>
      <c r="FJ768" s="3"/>
      <c r="FK768" s="3"/>
      <c r="FL768" s="3"/>
      <c r="FM768" s="3"/>
      <c r="FN768" s="3"/>
      <c r="FO768" s="3"/>
      <c r="FP768" s="3"/>
      <c r="FQ768" s="3"/>
      <c r="FR768" s="3"/>
      <c r="FS768" s="3"/>
      <c r="FT768" s="3"/>
      <c r="FU768" s="3"/>
      <c r="FV768" s="3"/>
      <c r="FW768" s="3"/>
      <c r="FX768" s="3"/>
      <c r="FY768" s="3"/>
      <c r="FZ768" s="3"/>
      <c r="GA768" s="3"/>
      <c r="GB768" s="3"/>
      <c r="GC768" s="3"/>
      <c r="GD768" s="3"/>
      <c r="GE768" s="3"/>
      <c r="GF768" s="3"/>
      <c r="GG768" s="3"/>
      <c r="GH768" s="3"/>
      <c r="GI768" s="3"/>
      <c r="GJ768" s="3"/>
      <c r="GK768" s="3"/>
      <c r="GL768" s="3"/>
      <c r="GM768" s="3"/>
      <c r="GN768" s="3"/>
      <c r="GO768" s="3"/>
      <c r="GP768" s="3"/>
      <c r="GQ768" s="3"/>
      <c r="GR768" s="3"/>
      <c r="GS768" s="3"/>
      <c r="GT768" s="3"/>
      <c r="GU768" s="3"/>
      <c r="GV768" s="3"/>
      <c r="GW768" s="3"/>
      <c r="GX768" s="3"/>
      <c r="GY768" s="3"/>
      <c r="GZ768" s="3"/>
      <c r="HA768" s="3"/>
      <c r="HB768" s="3"/>
      <c r="HC768" s="3"/>
      <c r="HD768" s="3"/>
      <c r="HE768" s="3"/>
      <c r="HF768" s="3"/>
      <c r="HG768" s="3"/>
      <c r="HH768" s="3"/>
      <c r="HI768" s="3"/>
      <c r="HJ768" s="3"/>
      <c r="HK768" s="3"/>
      <c r="HL768" s="2"/>
      <c r="HM768" s="2"/>
      <c r="HN768" s="2"/>
      <c r="HO768" s="2"/>
      <c r="HP768" s="2"/>
      <c r="HQ768" s="2"/>
      <c r="HR768" s="2"/>
      <c r="HS768" s="2"/>
      <c r="HT768" s="99"/>
      <c r="HU768" s="2"/>
      <c r="HV768" s="2"/>
      <c r="HW768" s="2"/>
      <c r="HX768" s="2"/>
      <c r="HY768" s="2"/>
      <c r="HZ768" s="2"/>
      <c r="IA768" s="2"/>
      <c r="IB768" s="2"/>
      <c r="IC768" s="2"/>
      <c r="ID768" s="2"/>
      <c r="IE768" s="2"/>
      <c r="IF768" s="2"/>
      <c r="IG768" s="2"/>
      <c r="IH768" s="2"/>
      <c r="II768" s="148" t="s">
        <v>2224</v>
      </c>
      <c r="IJ768" s="163" t="s">
        <v>1443</v>
      </c>
      <c r="IK768" s="164" t="s">
        <v>1466</v>
      </c>
      <c r="IL768" s="165" t="s">
        <v>661</v>
      </c>
      <c r="IM768" s="2">
        <v>2007</v>
      </c>
      <c r="IN768" s="2" t="s">
        <v>62</v>
      </c>
      <c r="IO768" s="2" t="s">
        <v>29</v>
      </c>
      <c r="IR768" s="2"/>
      <c r="IS768" s="2"/>
      <c r="IT768" s="2"/>
      <c r="IU768" s="2"/>
      <c r="IV768" s="2"/>
      <c r="IW768" s="2"/>
      <c r="IX768" s="99"/>
      <c r="IY768" s="2"/>
      <c r="IZ768" s="2"/>
      <c r="JA768" s="2"/>
      <c r="JB768" s="2"/>
      <c r="JC768" s="2"/>
      <c r="JD768" s="2"/>
      <c r="JE768" s="2"/>
      <c r="JF768" s="2"/>
      <c r="JG768" s="2"/>
      <c r="JH768" s="2"/>
      <c r="JI768" s="2"/>
      <c r="JJ768" s="2"/>
      <c r="JK768" s="2"/>
      <c r="JL768" s="2"/>
      <c r="JM768" s="154" t="s">
        <v>14</v>
      </c>
      <c r="JN768" s="155" t="s">
        <v>1664</v>
      </c>
      <c r="JO768" s="99"/>
      <c r="JS768" s="2"/>
      <c r="JT768" s="2"/>
      <c r="JU768" s="2"/>
      <c r="JV768" s="2"/>
      <c r="JW768" s="2"/>
      <c r="JX768" s="2"/>
      <c r="JY768" s="2"/>
      <c r="JZ768" s="156"/>
      <c r="KA768" s="166"/>
      <c r="KB768" s="99"/>
      <c r="KC768" s="2"/>
      <c r="KD768" s="99"/>
      <c r="KE768" s="2"/>
      <c r="KF768" s="2"/>
      <c r="KG768" s="2"/>
      <c r="KH768" s="99"/>
      <c r="KI768" s="2"/>
      <c r="KJ768" s="163"/>
      <c r="KK768" s="167"/>
      <c r="KL768" s="2"/>
      <c r="KM768" s="2"/>
      <c r="KN768" s="2"/>
      <c r="KO768" s="2"/>
      <c r="KP768" s="99"/>
      <c r="KQ768" s="2"/>
      <c r="KR768" s="177"/>
      <c r="KS768" s="166"/>
      <c r="KT768" s="2"/>
      <c r="KU768" s="2"/>
      <c r="KV768" s="158"/>
      <c r="KW768" s="167"/>
      <c r="KX768" s="2"/>
      <c r="KY768" s="2"/>
      <c r="KZ768" s="2"/>
      <c r="LA768" s="3"/>
      <c r="LB768" s="3"/>
      <c r="LC768" s="3"/>
      <c r="LD768" s="3"/>
      <c r="LE768" s="3"/>
      <c r="LF768" s="3"/>
      <c r="LG768" s="3"/>
      <c r="LH768" s="3"/>
      <c r="LI768" s="99"/>
      <c r="LJ768" s="99"/>
      <c r="LK768" s="99"/>
      <c r="LL768" s="99"/>
      <c r="LM768" s="99"/>
      <c r="LN768" s="2"/>
      <c r="LO768" s="99"/>
      <c r="LP768" s="99"/>
      <c r="LQ768" s="99"/>
      <c r="LR768" s="2"/>
      <c r="LS768" s="2"/>
      <c r="LT768" s="2"/>
      <c r="LU768" s="2"/>
      <c r="LV768" s="2"/>
      <c r="LW768" s="2"/>
      <c r="LX768" s="2"/>
      <c r="LY768" s="2"/>
      <c r="LZ768" s="2"/>
      <c r="MA768" s="2"/>
      <c r="MB768" s="2"/>
      <c r="MC768" s="2"/>
      <c r="MD768" s="2"/>
      <c r="ME768" s="2"/>
      <c r="MF768" s="2"/>
      <c r="MG768" s="2"/>
      <c r="MH768" s="2"/>
      <c r="MI768" s="2"/>
      <c r="MJ768" s="2"/>
      <c r="MK768" s="2"/>
      <c r="ML768" s="2"/>
      <c r="MM768" s="2"/>
      <c r="MN768" s="2"/>
      <c r="MO768" s="2"/>
      <c r="MP768" s="2"/>
      <c r="MQ768" s="2"/>
      <c r="MR768" s="2"/>
      <c r="MS768" s="2"/>
      <c r="MT768" s="2"/>
      <c r="MU768" s="2"/>
      <c r="MV768" s="2"/>
      <c r="MW768" s="2"/>
      <c r="MX768" s="2"/>
      <c r="MY768" s="2"/>
      <c r="MZ768" s="148" t="s">
        <v>2225</v>
      </c>
      <c r="NA768" s="89">
        <v>64</v>
      </c>
      <c r="NB768" s="148" t="s">
        <v>2235</v>
      </c>
      <c r="NC768" s="159" t="s">
        <v>2236</v>
      </c>
      <c r="ND768" s="159"/>
      <c r="NE768" s="159"/>
      <c r="NF768" s="159"/>
      <c r="NG768" s="159"/>
      <c r="NH768" s="159"/>
      <c r="NI768" s="159"/>
      <c r="NJ768" s="148"/>
      <c r="NK768" s="148" t="s">
        <v>2240</v>
      </c>
      <c r="NL768" s="148" t="s">
        <v>2243</v>
      </c>
      <c r="NM768" t="s">
        <v>8</v>
      </c>
      <c r="NN768" s="160" t="s">
        <v>13</v>
      </c>
      <c r="NO768" s="148"/>
      <c r="NP768" s="148"/>
      <c r="NQ768" s="148"/>
      <c r="NR768" s="148"/>
      <c r="NS768" s="148"/>
      <c r="NT768" s="148"/>
      <c r="NU768" s="148"/>
      <c r="NV768" s="148"/>
      <c r="NW768" s="161" t="s">
        <v>6</v>
      </c>
      <c r="NX768" s="89">
        <v>882.3</v>
      </c>
      <c r="NY768" s="161" t="s">
        <v>4</v>
      </c>
      <c r="NZ768" s="89">
        <v>75</v>
      </c>
      <c r="OA768" s="169"/>
      <c r="OB768" s="2"/>
      <c r="OC768" s="148">
        <v>4</v>
      </c>
      <c r="OH768" s="2"/>
      <c r="OI768" s="2"/>
      <c r="OJ768" s="2"/>
      <c r="OK768" s="2"/>
      <c r="OL768" s="2"/>
      <c r="OM768" s="2"/>
      <c r="OT768" s="148" t="s">
        <v>2242</v>
      </c>
      <c r="OU768" s="2"/>
      <c r="OV768" s="2">
        <v>2008</v>
      </c>
      <c r="OW768" s="2"/>
      <c r="OX768" s="2"/>
      <c r="OY768" s="2" t="s">
        <v>1</v>
      </c>
      <c r="OZ768" s="2"/>
      <c r="PA768" t="s">
        <v>1169</v>
      </c>
      <c r="PB768" s="58">
        <v>46134</v>
      </c>
    </row>
    <row r="769" spans="1:418" ht="15.75" thickBot="1">
      <c r="A769" t="s">
        <v>248</v>
      </c>
      <c r="B769" t="s">
        <v>2219</v>
      </c>
      <c r="C769" s="89" t="s">
        <v>34</v>
      </c>
      <c r="D769" s="147" t="s">
        <v>1936</v>
      </c>
      <c r="E769" s="89" t="s">
        <v>1658</v>
      </c>
      <c r="F769" t="s">
        <v>31</v>
      </c>
      <c r="G769" s="89" t="s">
        <v>2</v>
      </c>
      <c r="H769" s="147" t="s">
        <v>30</v>
      </c>
      <c r="I769">
        <v>-0.41666666699999999</v>
      </c>
      <c r="J769">
        <v>34.200000000000003</v>
      </c>
      <c r="K769" s="147" t="s">
        <v>29</v>
      </c>
      <c r="L769" s="89"/>
      <c r="M769" s="147"/>
      <c r="N769" s="89"/>
      <c r="O769" s="89"/>
      <c r="P769" s="89"/>
      <c r="Q769" s="89"/>
      <c r="R769" s="89"/>
      <c r="S769" s="89"/>
      <c r="T769" s="89"/>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c r="AV769" s="89" t="s">
        <v>2220</v>
      </c>
      <c r="AW769" s="89">
        <v>64</v>
      </c>
      <c r="AX769" s="89">
        <v>0.09</v>
      </c>
      <c r="AY769" s="89">
        <v>1</v>
      </c>
      <c r="AZ769" s="148" t="s">
        <v>2221</v>
      </c>
      <c r="BA769" s="148">
        <v>2007</v>
      </c>
      <c r="BB769" s="148">
        <v>2008</v>
      </c>
      <c r="BC769" s="148" t="s">
        <v>1</v>
      </c>
      <c r="BD769" s="89"/>
      <c r="BE769" s="148" t="s">
        <v>2222</v>
      </c>
      <c r="BF769" s="148" t="s">
        <v>39</v>
      </c>
      <c r="BG769" s="148" t="s">
        <v>1233</v>
      </c>
      <c r="BH769" s="148" t="s">
        <v>2223</v>
      </c>
      <c r="BI769" s="148" t="s">
        <v>29</v>
      </c>
      <c r="BJ769" s="149" t="s">
        <v>22</v>
      </c>
      <c r="BK769" s="150">
        <v>111000</v>
      </c>
      <c r="BL769" s="89"/>
      <c r="BM769" s="89"/>
      <c r="BN769" s="89"/>
      <c r="BO769" s="147"/>
      <c r="BP769" s="170"/>
      <c r="BQ769" s="89"/>
      <c r="BR769" s="89"/>
      <c r="BS769" s="89"/>
      <c r="BT769" s="147"/>
      <c r="BU769" s="170"/>
      <c r="BV769" s="89"/>
      <c r="BW769" s="3"/>
      <c r="BX769" s="3"/>
      <c r="BY769" s="3"/>
      <c r="BZ769" s="3"/>
      <c r="CA769" s="3"/>
      <c r="CB769" s="3"/>
      <c r="CC769" s="3"/>
      <c r="CD769" s="3"/>
      <c r="CE769" s="3"/>
      <c r="CF769" s="3"/>
      <c r="CG769" s="3"/>
      <c r="CH769" s="3"/>
      <c r="CI769" s="3"/>
      <c r="CJ769" s="3"/>
      <c r="CK769" s="3"/>
      <c r="CL769" s="3"/>
      <c r="CM769" s="3"/>
      <c r="CN769" s="3"/>
      <c r="CO769" s="3"/>
      <c r="CP769" s="3"/>
      <c r="CQ769" s="3"/>
      <c r="CR769" s="3"/>
      <c r="CS769" s="3"/>
      <c r="CT769" s="3"/>
      <c r="CU769" s="3"/>
      <c r="CV769" s="3"/>
      <c r="CW769" s="3"/>
      <c r="CX769" s="3"/>
      <c r="CY769" s="3"/>
      <c r="CZ769" s="3"/>
      <c r="DA769" s="3"/>
      <c r="DB769" s="3"/>
      <c r="DC769" s="3"/>
      <c r="DD769" s="3"/>
      <c r="DE769" s="3"/>
      <c r="DF769" s="3"/>
      <c r="DG769" s="3"/>
      <c r="DH769" s="3"/>
      <c r="DI769" s="3"/>
      <c r="DJ769" s="3"/>
      <c r="DK769" s="3"/>
      <c r="DL769" s="3"/>
      <c r="DM769" s="3"/>
      <c r="DN769" s="3"/>
      <c r="DO769" s="3"/>
      <c r="DP769" s="3"/>
      <c r="DQ769" s="3"/>
      <c r="DR769" s="3"/>
      <c r="DS769" s="3"/>
      <c r="DT769" s="3"/>
      <c r="DU769" s="3"/>
      <c r="DV769" s="3"/>
      <c r="DW769" s="3"/>
      <c r="DX769" s="3"/>
      <c r="DY769" s="3"/>
      <c r="DZ769" s="3"/>
      <c r="EA769" s="3"/>
      <c r="EB769" s="3"/>
      <c r="EC769" s="3"/>
      <c r="ED769" s="3"/>
      <c r="EE769" s="89"/>
      <c r="EF769" s="89"/>
      <c r="EG769" s="89"/>
      <c r="EH769" s="89"/>
      <c r="EI769" s="89"/>
      <c r="EJ769" s="89"/>
      <c r="EK769" s="89"/>
      <c r="EL769" s="89"/>
      <c r="EM769" s="3"/>
      <c r="EN769" s="3"/>
      <c r="EO769" s="3"/>
      <c r="EP769" s="3"/>
      <c r="EQ769" s="3"/>
      <c r="ER769" s="3"/>
      <c r="ES769" s="3"/>
      <c r="ET769" s="3"/>
      <c r="EU769" s="3"/>
      <c r="EV769" s="3"/>
      <c r="EW769" s="3"/>
      <c r="EX769" s="3"/>
      <c r="EY769" s="3"/>
      <c r="EZ769" s="3"/>
      <c r="FA769" s="3"/>
      <c r="FB769" s="3"/>
      <c r="FC769" s="3"/>
      <c r="FD769" s="3"/>
      <c r="FE769" s="3"/>
      <c r="FF769" s="3"/>
      <c r="FG769" s="3"/>
      <c r="FH769" s="3"/>
      <c r="FI769" s="3"/>
      <c r="FJ769" s="3"/>
      <c r="FK769" s="3"/>
      <c r="FL769" s="3"/>
      <c r="FM769" s="3"/>
      <c r="FN769" s="3"/>
      <c r="FO769" s="3"/>
      <c r="FP769" s="3"/>
      <c r="FQ769" s="3"/>
      <c r="FR769" s="3"/>
      <c r="FS769" s="3"/>
      <c r="FT769" s="3"/>
      <c r="FU769" s="3"/>
      <c r="FV769" s="3"/>
      <c r="FW769" s="3"/>
      <c r="FX769" s="3"/>
      <c r="FY769" s="3"/>
      <c r="FZ769" s="3"/>
      <c r="GA769" s="3"/>
      <c r="GB769" s="3"/>
      <c r="GC769" s="3"/>
      <c r="GD769" s="3"/>
      <c r="GE769" s="3"/>
      <c r="GF769" s="3"/>
      <c r="GG769" s="3"/>
      <c r="GH769" s="3"/>
      <c r="GI769" s="3"/>
      <c r="GJ769" s="3"/>
      <c r="GK769" s="3"/>
      <c r="GL769" s="3"/>
      <c r="GM769" s="3"/>
      <c r="GN769" s="3"/>
      <c r="GO769" s="3"/>
      <c r="GP769" s="3"/>
      <c r="GQ769" s="3"/>
      <c r="GR769" s="3"/>
      <c r="GS769" s="3"/>
      <c r="GT769" s="3"/>
      <c r="GU769" s="3"/>
      <c r="GV769" s="3"/>
      <c r="GW769" s="3"/>
      <c r="GX769" s="3"/>
      <c r="GY769" s="3"/>
      <c r="GZ769" s="3"/>
      <c r="HA769" s="3"/>
      <c r="HB769" s="3"/>
      <c r="HC769" s="3"/>
      <c r="HD769" s="3"/>
      <c r="HE769" s="3"/>
      <c r="HF769" s="3"/>
      <c r="HG769" s="3"/>
      <c r="HH769" s="3"/>
      <c r="HI769" s="3"/>
      <c r="HJ769" s="3"/>
      <c r="HK769" s="3"/>
      <c r="HL769" s="89"/>
      <c r="HM769" s="89"/>
      <c r="HN769" s="89"/>
      <c r="HO769" s="89"/>
      <c r="HP769" s="89"/>
      <c r="HQ769" s="89"/>
      <c r="HR769" s="89"/>
      <c r="HS769" s="89"/>
      <c r="HT769" s="147"/>
      <c r="HU769" s="89"/>
      <c r="HV769" s="89"/>
      <c r="HW769" s="89"/>
      <c r="HX769" s="89"/>
      <c r="HY769" s="89"/>
      <c r="HZ769" s="89"/>
      <c r="IA769" s="89"/>
      <c r="IB769" s="89"/>
      <c r="IC769" s="89"/>
      <c r="ID769" s="89"/>
      <c r="IE769" s="89"/>
      <c r="IF769" s="89"/>
      <c r="IG769" s="89"/>
      <c r="IH769" s="89"/>
      <c r="II769" s="148" t="s">
        <v>2224</v>
      </c>
      <c r="IJ769" s="152" t="s">
        <v>19</v>
      </c>
      <c r="IK769" s="89"/>
      <c r="IL769" s="89"/>
      <c r="IM769" s="89"/>
      <c r="IN769" s="89"/>
      <c r="IO769" s="89"/>
      <c r="IR769" s="89"/>
      <c r="IS769" s="89"/>
      <c r="IT769" s="89"/>
      <c r="IU769" s="89"/>
      <c r="IV769" s="89"/>
      <c r="IW769" s="89"/>
      <c r="IX769" s="147"/>
      <c r="IY769" s="89"/>
      <c r="IZ769" s="89"/>
      <c r="JA769" s="89"/>
      <c r="JB769" s="89"/>
      <c r="JC769" s="89"/>
      <c r="JD769" s="89"/>
      <c r="JE769" s="89"/>
      <c r="JF769" s="89"/>
      <c r="JG769" s="89"/>
      <c r="JH769" s="89"/>
      <c r="JI769" s="89"/>
      <c r="JJ769" s="89"/>
      <c r="JK769" s="89"/>
      <c r="JL769" s="89"/>
      <c r="JM769" s="154" t="s">
        <v>14</v>
      </c>
      <c r="JN769" s="155" t="s">
        <v>1664</v>
      </c>
      <c r="JO769" s="147"/>
      <c r="JS769" s="89"/>
      <c r="JT769" s="89"/>
      <c r="JU769" s="89"/>
      <c r="JV769" s="89"/>
      <c r="JW769" s="89"/>
      <c r="JX769" s="89"/>
      <c r="JY769" s="89"/>
      <c r="JZ769" s="156"/>
      <c r="KA769" s="154"/>
      <c r="KB769" s="147"/>
      <c r="KC769" s="89"/>
      <c r="KD769" s="147"/>
      <c r="KE769" s="89"/>
      <c r="KF769" s="89"/>
      <c r="KG769" s="89"/>
      <c r="KH769" s="147"/>
      <c r="KI769" s="89"/>
      <c r="KJ769" s="152"/>
      <c r="KK769" s="173"/>
      <c r="KL769" s="89"/>
      <c r="KM769" s="89"/>
      <c r="KN769" s="89"/>
      <c r="KO769" s="89"/>
      <c r="KP769" s="147"/>
      <c r="KQ769" s="89"/>
      <c r="KR769" s="177"/>
      <c r="KS769" s="154"/>
      <c r="KT769" s="89"/>
      <c r="KU769" s="89"/>
      <c r="KV769" s="158"/>
      <c r="KW769" s="173"/>
      <c r="KX769" s="89"/>
      <c r="KY769" s="89"/>
      <c r="KZ769" s="89"/>
      <c r="LA769" s="3"/>
      <c r="LB769" s="3"/>
      <c r="LC769" s="3"/>
      <c r="LD769" s="3"/>
      <c r="LE769" s="3"/>
      <c r="LF769" s="3"/>
      <c r="LG769" s="3"/>
      <c r="LH769" s="3"/>
      <c r="LI769" s="147"/>
      <c r="LJ769" s="147"/>
      <c r="LK769" s="147"/>
      <c r="LL769" s="147"/>
      <c r="LM769" s="147"/>
      <c r="LN769" s="89"/>
      <c r="LO769" s="147"/>
      <c r="LP769" s="147"/>
      <c r="LQ769" s="147"/>
      <c r="LR769" s="89"/>
      <c r="LS769" s="89"/>
      <c r="LT769" s="89"/>
      <c r="LU769" s="89"/>
      <c r="LV769" s="89"/>
      <c r="LW769" s="89"/>
      <c r="LX769" s="89"/>
      <c r="LY769" s="89"/>
      <c r="LZ769" s="89"/>
      <c r="MA769" s="89"/>
      <c r="MB769" s="89"/>
      <c r="MC769" s="89"/>
      <c r="MD769" s="89"/>
      <c r="ME769" s="89"/>
      <c r="MF769" s="89"/>
      <c r="MG769" s="89"/>
      <c r="MH769" s="89"/>
      <c r="MI769" s="89"/>
      <c r="MJ769" s="89"/>
      <c r="MK769" s="89"/>
      <c r="ML769" s="89"/>
      <c r="MM769" s="89"/>
      <c r="MN769" s="89"/>
      <c r="MO769" s="89"/>
      <c r="MP769" s="89"/>
      <c r="MQ769" s="89"/>
      <c r="MR769" s="89"/>
      <c r="MS769" s="89"/>
      <c r="MT769" s="89"/>
      <c r="MU769" s="89"/>
      <c r="MV769" s="89"/>
      <c r="MW769" s="89"/>
      <c r="MX769" s="89"/>
      <c r="MY769" s="89"/>
      <c r="MZ769" s="148" t="s">
        <v>2225</v>
      </c>
      <c r="NA769" s="89">
        <v>64</v>
      </c>
      <c r="NB769" s="148" t="s">
        <v>2235</v>
      </c>
      <c r="NC769" s="159" t="s">
        <v>2236</v>
      </c>
      <c r="ND769" s="159"/>
      <c r="NE769" s="159"/>
      <c r="NF769" s="159"/>
      <c r="NG769" s="159"/>
      <c r="NH769" s="159"/>
      <c r="NI769" s="159"/>
      <c r="NJ769" s="148"/>
      <c r="NK769" s="148" t="s">
        <v>2240</v>
      </c>
      <c r="NL769" s="148" t="s">
        <v>2241</v>
      </c>
      <c r="NM769" t="s">
        <v>8</v>
      </c>
      <c r="NN769" s="160" t="s">
        <v>13</v>
      </c>
      <c r="NO769" s="148"/>
      <c r="NP769" s="148"/>
      <c r="NQ769" s="148"/>
      <c r="NR769" s="148"/>
      <c r="NS769" s="148"/>
      <c r="NT769" s="148"/>
      <c r="NU769" s="148"/>
      <c r="NV769" s="148" t="s">
        <v>64</v>
      </c>
      <c r="NW769" s="161" t="s">
        <v>6</v>
      </c>
      <c r="NX769" s="2">
        <v>508</v>
      </c>
      <c r="NY769" s="161" t="s">
        <v>4</v>
      </c>
      <c r="NZ769" s="2">
        <v>56</v>
      </c>
      <c r="OA769" s="175"/>
      <c r="OB769" s="89"/>
      <c r="OC769" s="148">
        <v>4</v>
      </c>
      <c r="OH769" s="89"/>
      <c r="OI769" s="89"/>
      <c r="OJ769" s="89"/>
      <c r="OK769" s="89"/>
      <c r="OL769" s="89"/>
      <c r="OM769" s="89"/>
      <c r="ON769" s="159"/>
      <c r="OO769" s="159"/>
      <c r="OP769" s="159"/>
      <c r="OQ769" s="159"/>
      <c r="OR769" s="159"/>
      <c r="OS769" s="159"/>
      <c r="OT769" s="148" t="s">
        <v>2242</v>
      </c>
      <c r="OU769" s="89"/>
      <c r="OV769" s="89">
        <v>2008</v>
      </c>
      <c r="OW769" s="89"/>
      <c r="OX769" s="89"/>
      <c r="OY769" s="89" t="s">
        <v>1</v>
      </c>
      <c r="OZ769" s="89"/>
      <c r="PA769" t="s">
        <v>1169</v>
      </c>
      <c r="PB769" s="58">
        <v>46134</v>
      </c>
    </row>
    <row r="770" spans="1:418" ht="15.75" thickBot="1">
      <c r="A770" t="s">
        <v>248</v>
      </c>
      <c r="B770" t="s">
        <v>2219</v>
      </c>
      <c r="C770" s="89" t="s">
        <v>34</v>
      </c>
      <c r="D770" s="147" t="s">
        <v>1936</v>
      </c>
      <c r="E770" s="89" t="s">
        <v>1658</v>
      </c>
      <c r="F770" t="s">
        <v>31</v>
      </c>
      <c r="G770" s="89" t="s">
        <v>2</v>
      </c>
      <c r="H770" s="147" t="s">
        <v>30</v>
      </c>
      <c r="I770">
        <v>-0.41666666699999999</v>
      </c>
      <c r="J770">
        <v>34.200000000000003</v>
      </c>
      <c r="K770" s="147" t="s">
        <v>29</v>
      </c>
      <c r="L770" s="2"/>
      <c r="M770" s="99"/>
      <c r="N770" s="2"/>
      <c r="O770" s="89"/>
      <c r="P770" s="2"/>
      <c r="Q770" s="2"/>
      <c r="R770" s="89"/>
      <c r="S770" s="89"/>
      <c r="T770" s="89"/>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c r="AV770" s="89" t="s">
        <v>2220</v>
      </c>
      <c r="AW770" s="89">
        <v>64</v>
      </c>
      <c r="AX770" s="89">
        <v>0.09</v>
      </c>
      <c r="AY770" s="89">
        <v>1</v>
      </c>
      <c r="AZ770" s="148" t="s">
        <v>2221</v>
      </c>
      <c r="BA770" s="148">
        <v>2007</v>
      </c>
      <c r="BB770" s="148">
        <v>2008</v>
      </c>
      <c r="BC770" s="148" t="s">
        <v>62</v>
      </c>
      <c r="BD770" s="2"/>
      <c r="BE770" s="2" t="s">
        <v>2230</v>
      </c>
      <c r="BF770" s="2" t="s">
        <v>64</v>
      </c>
      <c r="BG770" s="148" t="s">
        <v>1233</v>
      </c>
      <c r="BH770" s="2" t="s">
        <v>2223</v>
      </c>
      <c r="BI770" s="148" t="s">
        <v>29</v>
      </c>
      <c r="BJ770" s="149" t="s">
        <v>22</v>
      </c>
      <c r="BK770" s="150">
        <v>55500</v>
      </c>
      <c r="BL770" s="2" t="s">
        <v>56</v>
      </c>
      <c r="BM770" t="s">
        <v>2231</v>
      </c>
      <c r="BN770" s="148" t="s">
        <v>29</v>
      </c>
      <c r="BO770" s="2" t="s">
        <v>22</v>
      </c>
      <c r="BP770" s="2">
        <v>55000</v>
      </c>
      <c r="BQ770" s="2"/>
      <c r="BR770" s="2"/>
      <c r="BS770" s="2"/>
      <c r="BT770" s="2"/>
      <c r="BU770" s="2"/>
      <c r="BV770" s="2"/>
      <c r="BW770" s="3"/>
      <c r="BX770" s="3"/>
      <c r="BY770" s="3"/>
      <c r="BZ770" s="3"/>
      <c r="CA770" s="3"/>
      <c r="CB770" s="3"/>
      <c r="CC770" s="3"/>
      <c r="CD770" s="3"/>
      <c r="CE770" s="3"/>
      <c r="CF770" s="3"/>
      <c r="CG770" s="3"/>
      <c r="CH770" s="3"/>
      <c r="CI770" s="3"/>
      <c r="CJ770" s="3"/>
      <c r="CK770" s="3"/>
      <c r="CL770" s="3"/>
      <c r="CM770" s="3"/>
      <c r="CN770" s="3"/>
      <c r="CO770" s="3"/>
      <c r="CP770" s="3"/>
      <c r="CQ770" s="3"/>
      <c r="CR770" s="3"/>
      <c r="CS770" s="3"/>
      <c r="CT770" s="3"/>
      <c r="CU770" s="3"/>
      <c r="CV770" s="3"/>
      <c r="CW770" s="3"/>
      <c r="CX770" s="3"/>
      <c r="CY770" s="3"/>
      <c r="CZ770" s="3"/>
      <c r="DA770" s="3"/>
      <c r="DB770" s="3"/>
      <c r="DC770" s="3"/>
      <c r="DD770" s="3"/>
      <c r="DE770" s="3"/>
      <c r="DF770" s="3"/>
      <c r="DG770" s="3"/>
      <c r="DH770" s="3"/>
      <c r="DI770" s="3"/>
      <c r="DJ770" s="3"/>
      <c r="DK770" s="3"/>
      <c r="DL770" s="3"/>
      <c r="DM770" s="3"/>
      <c r="DN770" s="3"/>
      <c r="DO770" s="3"/>
      <c r="DP770" s="3"/>
      <c r="DQ770" s="3"/>
      <c r="DR770" s="3"/>
      <c r="DS770" s="3"/>
      <c r="DT770" s="3"/>
      <c r="DU770" s="3"/>
      <c r="DV770" s="3"/>
      <c r="DW770" s="3"/>
      <c r="DX770" s="3"/>
      <c r="DY770" s="3"/>
      <c r="DZ770" s="3"/>
      <c r="EA770" s="3"/>
      <c r="EB770" s="3"/>
      <c r="EC770" s="3"/>
      <c r="ED770" s="3"/>
      <c r="EE770" s="2"/>
      <c r="EF770" s="2"/>
      <c r="EG770" s="2"/>
      <c r="EH770" s="2"/>
      <c r="EI770" s="2"/>
      <c r="EJ770" s="2"/>
      <c r="EK770" s="2"/>
      <c r="EL770" s="2"/>
      <c r="EM770" s="3"/>
      <c r="EN770" s="3"/>
      <c r="EO770" s="3"/>
      <c r="EP770" s="3"/>
      <c r="EQ770" s="3"/>
      <c r="ER770" s="3"/>
      <c r="ES770" s="3"/>
      <c r="ET770" s="3"/>
      <c r="EU770" s="3"/>
      <c r="EV770" s="3"/>
      <c r="EW770" s="3"/>
      <c r="EX770" s="3"/>
      <c r="EY770" s="3"/>
      <c r="EZ770" s="3"/>
      <c r="FA770" s="3"/>
      <c r="FB770" s="3"/>
      <c r="FC770" s="3"/>
      <c r="FD770" s="3"/>
      <c r="FE770" s="3"/>
      <c r="FF770" s="3"/>
      <c r="FG770" s="3"/>
      <c r="FH770" s="3"/>
      <c r="FI770" s="3"/>
      <c r="FJ770" s="3"/>
      <c r="FK770" s="3"/>
      <c r="FL770" s="3"/>
      <c r="FM770" s="3"/>
      <c r="FN770" s="3"/>
      <c r="FO770" s="3"/>
      <c r="FP770" s="3"/>
      <c r="FQ770" s="3"/>
      <c r="FR770" s="3"/>
      <c r="FS770" s="3"/>
      <c r="FT770" s="3"/>
      <c r="FU770" s="3"/>
      <c r="FV770" s="3"/>
      <c r="FW770" s="3"/>
      <c r="FX770" s="3"/>
      <c r="FY770" s="3"/>
      <c r="FZ770" s="3"/>
      <c r="GA770" s="3"/>
      <c r="GB770" s="3"/>
      <c r="GC770" s="3"/>
      <c r="GD770" s="3"/>
      <c r="GE770" s="3"/>
      <c r="GF770" s="3"/>
      <c r="GG770" s="3"/>
      <c r="GH770" s="3"/>
      <c r="GI770" s="3"/>
      <c r="GJ770" s="3"/>
      <c r="GK770" s="3"/>
      <c r="GL770" s="3"/>
      <c r="GM770" s="3"/>
      <c r="GN770" s="3"/>
      <c r="GO770" s="3"/>
      <c r="GP770" s="3"/>
      <c r="GQ770" s="3"/>
      <c r="GR770" s="3"/>
      <c r="GS770" s="3"/>
      <c r="GT770" s="3"/>
      <c r="GU770" s="3"/>
      <c r="GV770" s="3"/>
      <c r="GW770" s="3"/>
      <c r="GX770" s="3"/>
      <c r="GY770" s="3"/>
      <c r="GZ770" s="3"/>
      <c r="HA770" s="3"/>
      <c r="HB770" s="3"/>
      <c r="HC770" s="3"/>
      <c r="HD770" s="3"/>
      <c r="HE770" s="3"/>
      <c r="HF770" s="3"/>
      <c r="HG770" s="3"/>
      <c r="HH770" s="3"/>
      <c r="HI770" s="3"/>
      <c r="HJ770" s="3"/>
      <c r="HK770" s="3"/>
      <c r="HL770" s="2"/>
      <c r="HM770" s="2"/>
      <c r="HN770" s="2"/>
      <c r="HO770" s="2"/>
      <c r="HP770" s="2"/>
      <c r="HQ770" s="2"/>
      <c r="HR770" s="2"/>
      <c r="HS770" s="2"/>
      <c r="HT770" s="99"/>
      <c r="HU770" s="2"/>
      <c r="HV770" s="2"/>
      <c r="HW770" s="2"/>
      <c r="HX770" s="2"/>
      <c r="HY770" s="2"/>
      <c r="HZ770" s="2"/>
      <c r="IA770" s="2"/>
      <c r="IB770" s="2"/>
      <c r="IC770" s="2"/>
      <c r="ID770" s="2"/>
      <c r="IE770" s="2"/>
      <c r="IF770" s="2"/>
      <c r="IG770" s="2"/>
      <c r="IH770" s="2"/>
      <c r="II770" s="148" t="s">
        <v>2224</v>
      </c>
      <c r="IJ770" s="163" t="s">
        <v>1443</v>
      </c>
      <c r="IK770" s="164" t="s">
        <v>1466</v>
      </c>
      <c r="IL770" s="165" t="s">
        <v>661</v>
      </c>
      <c r="IM770" s="2">
        <v>2007</v>
      </c>
      <c r="IN770" s="2" t="s">
        <v>62</v>
      </c>
      <c r="IO770" s="2" t="s">
        <v>29</v>
      </c>
      <c r="IR770" s="2"/>
      <c r="IS770" s="2"/>
      <c r="IT770" s="2"/>
      <c r="IU770" s="2"/>
      <c r="IV770" s="2"/>
      <c r="IW770" s="2"/>
      <c r="IX770" s="2"/>
      <c r="IY770" s="2"/>
      <c r="IZ770" s="2"/>
      <c r="JA770" s="2"/>
      <c r="JB770" s="2"/>
      <c r="JC770" s="2"/>
      <c r="JD770" s="2"/>
      <c r="JE770" s="2"/>
      <c r="JF770" s="2"/>
      <c r="JG770" s="2"/>
      <c r="JH770" s="2"/>
      <c r="JI770" s="2"/>
      <c r="JJ770" s="2"/>
      <c r="JK770" s="2"/>
      <c r="JL770" s="2"/>
      <c r="JM770" s="154" t="s">
        <v>14</v>
      </c>
      <c r="JN770" s="155" t="s">
        <v>1664</v>
      </c>
      <c r="JO770" s="99"/>
      <c r="JS770" s="2"/>
      <c r="JT770" s="2"/>
      <c r="JU770" s="2"/>
      <c r="JV770" s="2"/>
      <c r="JW770" s="2"/>
      <c r="JX770" s="2"/>
      <c r="JY770" s="2"/>
      <c r="JZ770" s="156"/>
      <c r="KA770" s="166"/>
      <c r="KB770" s="99"/>
      <c r="KC770" s="2"/>
      <c r="KD770" s="99"/>
      <c r="KE770" s="2"/>
      <c r="KF770" s="2"/>
      <c r="KG770" s="2"/>
      <c r="KH770" s="99"/>
      <c r="KI770" s="2"/>
      <c r="KJ770" s="163"/>
      <c r="KK770" s="167"/>
      <c r="KL770" s="2"/>
      <c r="KM770" s="2"/>
      <c r="KN770" s="2"/>
      <c r="KO770" s="2"/>
      <c r="KP770" s="99"/>
      <c r="KQ770" s="2"/>
      <c r="KR770" s="163"/>
      <c r="KS770" s="167"/>
      <c r="KT770" s="2"/>
      <c r="KU770" s="2"/>
      <c r="KV770" s="158"/>
      <c r="KW770" s="167"/>
      <c r="KX770" s="2"/>
      <c r="KY770" s="2"/>
      <c r="KZ770" s="2"/>
      <c r="LA770" s="69"/>
      <c r="LB770" s="218"/>
      <c r="LC770" s="218"/>
      <c r="LD770" s="3"/>
      <c r="LE770" s="3"/>
      <c r="LF770" s="3"/>
      <c r="LG770" s="3"/>
      <c r="LH770" s="3"/>
      <c r="LI770" s="99"/>
      <c r="LJ770" s="99"/>
      <c r="LK770" s="99"/>
      <c r="LL770" s="99"/>
      <c r="LM770" s="99"/>
      <c r="LN770" s="2"/>
      <c r="LO770" s="99"/>
      <c r="LP770" s="99"/>
      <c r="LQ770" s="99"/>
      <c r="LR770" s="2"/>
      <c r="LS770" s="2"/>
      <c r="LT770" s="2"/>
      <c r="LU770" s="2"/>
      <c r="LV770" s="2"/>
      <c r="LW770" s="2"/>
      <c r="LX770" s="2"/>
      <c r="LY770" s="2"/>
      <c r="LZ770" s="2"/>
      <c r="MA770" s="2"/>
      <c r="MB770" s="2"/>
      <c r="MC770" s="2"/>
      <c r="MD770" s="2"/>
      <c r="ME770" s="2"/>
      <c r="MF770" s="2"/>
      <c r="MG770" s="2"/>
      <c r="MH770" s="2"/>
      <c r="MJ770" s="2"/>
      <c r="MK770" s="2"/>
      <c r="ML770" s="2"/>
      <c r="MM770" s="2"/>
      <c r="MN770" s="2"/>
      <c r="MO770" s="2"/>
      <c r="MP770" s="2"/>
      <c r="MQ770" s="2"/>
      <c r="MR770" s="2"/>
      <c r="MS770" s="2"/>
      <c r="MT770" s="2"/>
      <c r="MU770" s="2"/>
      <c r="MV770" s="2"/>
      <c r="MW770" s="2"/>
      <c r="MX770" s="2"/>
      <c r="MY770" s="2"/>
      <c r="MZ770" s="148" t="s">
        <v>2225</v>
      </c>
      <c r="NA770" s="89">
        <v>64</v>
      </c>
      <c r="NB770" s="148" t="s">
        <v>2235</v>
      </c>
      <c r="NC770" s="159" t="s">
        <v>2237</v>
      </c>
      <c r="NE770" s="159"/>
      <c r="NF770" s="159"/>
      <c r="NG770" s="159"/>
      <c r="NH770" s="159"/>
      <c r="NI770" s="159"/>
      <c r="NJ770" s="148"/>
      <c r="NK770" s="148" t="s">
        <v>2240</v>
      </c>
      <c r="NL770" s="148" t="s">
        <v>2243</v>
      </c>
      <c r="NM770" t="s">
        <v>8</v>
      </c>
      <c r="NN770" s="160" t="s">
        <v>13</v>
      </c>
      <c r="NO770" s="148"/>
      <c r="NP770" s="148"/>
      <c r="NQ770" s="148"/>
      <c r="NR770" s="148"/>
      <c r="NS770" s="148"/>
      <c r="NT770" s="148"/>
      <c r="NU770" s="148"/>
      <c r="NV770" s="148"/>
      <c r="NW770" s="161" t="s">
        <v>6</v>
      </c>
      <c r="NX770">
        <v>15049.7</v>
      </c>
      <c r="NY770" s="161" t="s">
        <v>4</v>
      </c>
      <c r="NZ770">
        <v>402</v>
      </c>
      <c r="OA770" s="169"/>
      <c r="OB770" s="2"/>
      <c r="OC770" s="148">
        <v>4</v>
      </c>
      <c r="OD770" s="148"/>
      <c r="OE770" s="148"/>
      <c r="OH770" s="2"/>
      <c r="OI770" s="2"/>
      <c r="OJ770" s="2"/>
      <c r="OK770" s="2"/>
      <c r="OL770" s="2"/>
      <c r="OM770" s="2"/>
      <c r="OT770" s="148" t="s">
        <v>2242</v>
      </c>
      <c r="OU770" s="2"/>
      <c r="OV770" s="148">
        <v>2007</v>
      </c>
      <c r="OW770" s="148"/>
      <c r="OX770" s="148"/>
      <c r="OY770" s="148" t="s">
        <v>62</v>
      </c>
      <c r="OZ770" s="2"/>
      <c r="PA770" t="s">
        <v>1169</v>
      </c>
      <c r="PB770" s="58">
        <v>46134</v>
      </c>
    </row>
    <row r="771" spans="1:418" ht="17.25" thickBot="1">
      <c r="A771" t="s">
        <v>248</v>
      </c>
      <c r="B771" t="s">
        <v>2219</v>
      </c>
      <c r="C771" s="89" t="s">
        <v>34</v>
      </c>
      <c r="D771" s="147" t="s">
        <v>1936</v>
      </c>
      <c r="E771" s="89" t="s">
        <v>1658</v>
      </c>
      <c r="F771" t="s">
        <v>31</v>
      </c>
      <c r="G771" s="89" t="s">
        <v>2</v>
      </c>
      <c r="H771" s="147" t="s">
        <v>30</v>
      </c>
      <c r="I771">
        <v>-0.41666666699999999</v>
      </c>
      <c r="J771">
        <v>34.200000000000003</v>
      </c>
      <c r="K771" s="147" t="s">
        <v>29</v>
      </c>
      <c r="L771" s="89"/>
      <c r="M771" s="147"/>
      <c r="N771" s="89"/>
      <c r="O771" s="89"/>
      <c r="P771" s="89"/>
      <c r="Q771" s="89"/>
      <c r="R771" s="89"/>
      <c r="S771" s="89"/>
      <c r="T771" s="89"/>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c r="AV771" s="89" t="s">
        <v>2220</v>
      </c>
      <c r="AW771" s="89">
        <v>64</v>
      </c>
      <c r="AX771" s="89">
        <v>0.09</v>
      </c>
      <c r="AY771" s="89">
        <v>1</v>
      </c>
      <c r="AZ771" s="148" t="s">
        <v>2221</v>
      </c>
      <c r="BA771" s="148">
        <v>2007</v>
      </c>
      <c r="BB771" s="148">
        <v>2008</v>
      </c>
      <c r="BC771" s="148" t="s">
        <v>62</v>
      </c>
      <c r="BD771" s="148"/>
      <c r="BE771" s="148" t="s">
        <v>2222</v>
      </c>
      <c r="BF771" s="148" t="s">
        <v>39</v>
      </c>
      <c r="BG771" s="148" t="s">
        <v>1233</v>
      </c>
      <c r="BH771" s="148" t="s">
        <v>2223</v>
      </c>
      <c r="BI771" s="148" t="s">
        <v>29</v>
      </c>
      <c r="BJ771" s="149" t="s">
        <v>22</v>
      </c>
      <c r="BK771" s="150">
        <v>111000</v>
      </c>
      <c r="BL771" s="148"/>
      <c r="BM771" s="148"/>
      <c r="BN771" s="148"/>
      <c r="BO771" s="148"/>
      <c r="BP771" s="148"/>
      <c r="BQ771" s="148"/>
      <c r="BR771" s="148"/>
      <c r="BS771" s="148"/>
      <c r="BT771" s="148"/>
      <c r="BU771" s="148"/>
      <c r="BV771" s="148"/>
      <c r="BW771" s="3"/>
      <c r="BX771" s="3"/>
      <c r="BY771" s="3"/>
      <c r="BZ771" s="3"/>
      <c r="CA771" s="3"/>
      <c r="CB771" s="3"/>
      <c r="CC771" s="3"/>
      <c r="CD771" s="3"/>
      <c r="CE771" s="3"/>
      <c r="CF771" s="3"/>
      <c r="CG771" s="3"/>
      <c r="CH771" s="3"/>
      <c r="CI771" s="3"/>
      <c r="CJ771" s="3"/>
      <c r="CK771" s="3"/>
      <c r="CL771" s="3"/>
      <c r="CM771" s="3"/>
      <c r="CN771" s="3"/>
      <c r="CO771" s="3"/>
      <c r="CP771" s="3"/>
      <c r="CQ771" s="3"/>
      <c r="CR771" s="3"/>
      <c r="CS771" s="3"/>
      <c r="CT771" s="3"/>
      <c r="CU771" s="3"/>
      <c r="CV771" s="3"/>
      <c r="CW771" s="3"/>
      <c r="CX771" s="3"/>
      <c r="CY771" s="3"/>
      <c r="CZ771" s="3"/>
      <c r="DA771" s="3"/>
      <c r="DB771" s="3"/>
      <c r="DC771" s="3"/>
      <c r="DD771" s="3"/>
      <c r="DE771" s="3"/>
      <c r="DF771" s="3"/>
      <c r="DG771" s="3"/>
      <c r="DH771" s="3"/>
      <c r="DI771" s="3"/>
      <c r="DJ771" s="3"/>
      <c r="DK771" s="3"/>
      <c r="DL771" s="3"/>
      <c r="DM771" s="3"/>
      <c r="DN771" s="3"/>
      <c r="DO771" s="3"/>
      <c r="DP771" s="3"/>
      <c r="DQ771" s="3"/>
      <c r="DR771" s="3"/>
      <c r="DS771" s="3"/>
      <c r="DT771" s="3"/>
      <c r="DU771" s="3"/>
      <c r="DV771" s="3"/>
      <c r="DW771" s="3"/>
      <c r="DX771" s="3"/>
      <c r="DY771" s="3"/>
      <c r="DZ771" s="3"/>
      <c r="EA771" s="3"/>
      <c r="EB771" s="3"/>
      <c r="EC771" s="3"/>
      <c r="ED771" s="3"/>
      <c r="EE771" s="2"/>
      <c r="EF771" s="148"/>
      <c r="EG771" s="148"/>
      <c r="EH771" s="148"/>
      <c r="EI771" s="148"/>
      <c r="EJ771" s="148"/>
      <c r="EK771" s="148"/>
      <c r="EL771" s="148"/>
      <c r="EM771" s="3"/>
      <c r="EN771" s="3"/>
      <c r="EO771" s="3"/>
      <c r="EP771" s="3"/>
      <c r="EQ771" s="3"/>
      <c r="ER771" s="3"/>
      <c r="ES771" s="3"/>
      <c r="ET771" s="3"/>
      <c r="EU771" s="3"/>
      <c r="EV771" s="3"/>
      <c r="EW771" s="3"/>
      <c r="EX771" s="3"/>
      <c r="EY771" s="3"/>
      <c r="EZ771" s="3"/>
      <c r="FA771" s="3"/>
      <c r="FB771" s="3"/>
      <c r="FC771" s="3"/>
      <c r="FD771" s="3"/>
      <c r="FE771" s="3"/>
      <c r="FF771" s="3"/>
      <c r="FG771" s="3"/>
      <c r="FH771" s="3"/>
      <c r="FI771" s="3"/>
      <c r="FJ771" s="3"/>
      <c r="FK771" s="3"/>
      <c r="FL771" s="3"/>
      <c r="FM771" s="3"/>
      <c r="FN771" s="3"/>
      <c r="FO771" s="3"/>
      <c r="FP771" s="3"/>
      <c r="FQ771" s="3"/>
      <c r="FR771" s="3"/>
      <c r="FS771" s="3"/>
      <c r="FT771" s="3"/>
      <c r="FU771" s="3"/>
      <c r="FV771" s="3"/>
      <c r="FW771" s="3"/>
      <c r="FX771" s="3"/>
      <c r="FY771" s="3"/>
      <c r="FZ771" s="3"/>
      <c r="GA771" s="3"/>
      <c r="GB771" s="3"/>
      <c r="GC771" s="3"/>
      <c r="GD771" s="3"/>
      <c r="GE771" s="3"/>
      <c r="GF771" s="3"/>
      <c r="GG771" s="3"/>
      <c r="GH771" s="3"/>
      <c r="GI771" s="3"/>
      <c r="GJ771" s="3"/>
      <c r="GK771" s="3"/>
      <c r="GL771" s="3"/>
      <c r="GM771" s="3"/>
      <c r="GN771" s="3"/>
      <c r="GO771" s="3"/>
      <c r="GP771" s="3"/>
      <c r="GQ771" s="3"/>
      <c r="GR771" s="3"/>
      <c r="GS771" s="3"/>
      <c r="GT771" s="3"/>
      <c r="GU771" s="3"/>
      <c r="GV771" s="3"/>
      <c r="GW771" s="3"/>
      <c r="GX771" s="3"/>
      <c r="GY771" s="3"/>
      <c r="GZ771" s="3"/>
      <c r="HA771" s="3"/>
      <c r="HB771" s="3"/>
      <c r="HC771" s="3"/>
      <c r="HD771" s="3"/>
      <c r="HE771" s="3"/>
      <c r="HF771" s="3"/>
      <c r="HG771" s="3"/>
      <c r="HH771" s="3"/>
      <c r="HI771" s="3"/>
      <c r="HJ771" s="3"/>
      <c r="HK771" s="3"/>
      <c r="HL771" s="148"/>
      <c r="HM771" s="148"/>
      <c r="HN771" s="148"/>
      <c r="HO771" s="148"/>
      <c r="HP771" s="148"/>
      <c r="HQ771" s="148"/>
      <c r="HR771" s="148"/>
      <c r="HS771" s="148"/>
      <c r="HT771" s="149"/>
      <c r="HU771" s="148"/>
      <c r="HV771" s="148"/>
      <c r="HW771" s="148"/>
      <c r="HX771" s="148"/>
      <c r="HY771" s="151"/>
      <c r="HZ771" s="148"/>
      <c r="IA771" s="148"/>
      <c r="IB771" s="148"/>
      <c r="IC771" s="148"/>
      <c r="ID771" s="148"/>
      <c r="IE771" s="148"/>
      <c r="IF771" s="148"/>
      <c r="IG771" s="148"/>
      <c r="IH771" s="148"/>
      <c r="II771" s="148" t="s">
        <v>2224</v>
      </c>
      <c r="IJ771" s="152" t="s">
        <v>19</v>
      </c>
      <c r="IK771" s="152"/>
      <c r="IL771" s="153"/>
      <c r="IM771" s="148"/>
      <c r="IN771" s="148"/>
      <c r="IO771" s="148"/>
      <c r="IR771" s="148"/>
      <c r="IS771" s="148"/>
      <c r="IT771" s="148"/>
      <c r="IU771" s="148"/>
      <c r="IV771" s="148"/>
      <c r="IW771" s="148"/>
      <c r="IX771" s="148"/>
      <c r="IY771" s="148"/>
      <c r="IZ771" s="148"/>
      <c r="JA771" s="89"/>
      <c r="JB771" s="89"/>
      <c r="JC771" s="89"/>
      <c r="JD771" s="89"/>
      <c r="JE771" s="89"/>
      <c r="JF771" s="89"/>
      <c r="JG771" s="89"/>
      <c r="JH771" s="89"/>
      <c r="JI771" s="89"/>
      <c r="JJ771" s="89"/>
      <c r="JK771" s="89"/>
      <c r="JL771" s="89"/>
      <c r="JM771" s="154" t="s">
        <v>14</v>
      </c>
      <c r="JN771" s="155" t="s">
        <v>1664</v>
      </c>
      <c r="JO771" s="149"/>
      <c r="JS771" s="148"/>
      <c r="JT771" s="148"/>
      <c r="JU771" s="148"/>
      <c r="JV771" s="148"/>
      <c r="JW771" s="148"/>
      <c r="JX771" s="148"/>
      <c r="JY771" s="148"/>
      <c r="JZ771" s="156"/>
      <c r="KA771" s="156"/>
      <c r="KB771" s="149"/>
      <c r="KC771" s="148"/>
      <c r="KD771" s="149"/>
      <c r="KE771" s="148"/>
      <c r="KF771" s="148"/>
      <c r="KG771" s="148"/>
      <c r="KH771" s="149"/>
      <c r="KI771" s="149"/>
      <c r="KJ771" s="152"/>
      <c r="KK771" s="157"/>
      <c r="KL771" s="148"/>
      <c r="KM771" s="148"/>
      <c r="KN771" s="148"/>
      <c r="KO771" s="148"/>
      <c r="KP771" s="149"/>
      <c r="KQ771" s="148"/>
      <c r="KR771" s="152"/>
      <c r="KS771" s="157"/>
      <c r="KT771" s="148"/>
      <c r="KU771" s="148"/>
      <c r="KV771" s="158"/>
      <c r="KW771" s="157"/>
      <c r="KX771" s="148"/>
      <c r="KY771" s="148"/>
      <c r="KZ771" s="148"/>
      <c r="LA771" s="3"/>
      <c r="LB771" s="3"/>
      <c r="LC771" s="3"/>
      <c r="LD771" s="3"/>
      <c r="LE771" s="3"/>
      <c r="LF771" s="3"/>
      <c r="LG771" s="3"/>
      <c r="LH771" s="3"/>
      <c r="LI771" s="149"/>
      <c r="LJ771" s="149"/>
      <c r="LK771" s="149"/>
      <c r="LL771" s="149"/>
      <c r="LM771" s="149"/>
      <c r="LN771" s="149"/>
      <c r="LO771" s="149"/>
      <c r="LP771" s="149"/>
      <c r="LQ771" s="149"/>
      <c r="LR771" s="148"/>
      <c r="LS771" s="148"/>
      <c r="LT771" s="148"/>
      <c r="LU771" s="148"/>
      <c r="LV771" s="148"/>
      <c r="LW771" s="148"/>
      <c r="LX771" s="148"/>
      <c r="LY771" s="148"/>
      <c r="LZ771" s="148"/>
      <c r="MA771" s="89"/>
      <c r="MB771" s="89"/>
      <c r="MC771" s="89"/>
      <c r="MD771" s="89"/>
      <c r="ME771" s="89"/>
      <c r="MF771" s="159"/>
      <c r="MG771" s="159"/>
      <c r="MH771" s="159"/>
      <c r="MI771" s="2"/>
      <c r="MJ771" s="148"/>
      <c r="MK771" s="148"/>
      <c r="ML771" s="148"/>
      <c r="MM771" s="89"/>
      <c r="MN771" s="89"/>
      <c r="MO771" s="89"/>
      <c r="MP771" s="89"/>
      <c r="MQ771" s="89"/>
      <c r="MR771" s="89"/>
      <c r="MS771" s="89"/>
      <c r="MT771" s="89"/>
      <c r="MU771" s="148"/>
      <c r="MV771" s="148"/>
      <c r="MW771" s="148"/>
      <c r="MX771" s="148"/>
      <c r="MY771" s="148"/>
      <c r="MZ771" s="148" t="s">
        <v>2225</v>
      </c>
      <c r="NA771" s="89">
        <v>64</v>
      </c>
      <c r="NB771" s="148" t="s">
        <v>2235</v>
      </c>
      <c r="NC771" s="159" t="s">
        <v>2237</v>
      </c>
      <c r="NE771" s="159"/>
      <c r="NF771" s="159"/>
      <c r="NG771" s="159"/>
      <c r="NH771" s="159"/>
      <c r="NI771" s="159"/>
      <c r="NJ771" s="148"/>
      <c r="NK771" s="148" t="s">
        <v>2240</v>
      </c>
      <c r="NL771" s="148" t="s">
        <v>2241</v>
      </c>
      <c r="NM771" t="s">
        <v>8</v>
      </c>
      <c r="NN771" s="160" t="s">
        <v>13</v>
      </c>
      <c r="NO771" s="148"/>
      <c r="NP771" s="148"/>
      <c r="NQ771" s="148"/>
      <c r="NR771" s="148"/>
      <c r="NS771" s="148"/>
      <c r="NT771" s="148"/>
      <c r="NU771" s="148"/>
      <c r="NV771" s="148" t="s">
        <v>64</v>
      </c>
      <c r="NW771" s="161" t="s">
        <v>6</v>
      </c>
      <c r="NX771">
        <v>4029.6</v>
      </c>
      <c r="NY771" s="161" t="s">
        <v>4</v>
      </c>
      <c r="NZ771">
        <v>353</v>
      </c>
      <c r="OA771" s="162"/>
      <c r="OB771" s="148"/>
      <c r="OC771" s="148">
        <v>4</v>
      </c>
      <c r="OD771" s="2"/>
      <c r="OE771" s="2"/>
      <c r="OH771" s="148"/>
      <c r="OI771" s="148"/>
      <c r="OJ771" s="148"/>
      <c r="OK771" s="148"/>
      <c r="OL771" s="148"/>
      <c r="OM771" s="148"/>
      <c r="ON771" s="148"/>
      <c r="OO771" s="148"/>
      <c r="OP771" s="148"/>
      <c r="OQ771" s="148"/>
      <c r="OR771" s="148"/>
      <c r="OS771" s="148"/>
      <c r="OT771" s="148" t="s">
        <v>2242</v>
      </c>
      <c r="OU771" s="148"/>
      <c r="OV771" s="148">
        <v>2007</v>
      </c>
      <c r="OW771" s="148"/>
      <c r="OX771" s="148"/>
      <c r="OY771" s="148" t="s">
        <v>62</v>
      </c>
      <c r="OZ771" s="148"/>
      <c r="PA771" t="s">
        <v>1169</v>
      </c>
      <c r="PB771" s="58">
        <v>46134</v>
      </c>
    </row>
    <row r="772" spans="1:418" ht="15.75" thickBot="1">
      <c r="A772" t="s">
        <v>248</v>
      </c>
      <c r="B772" t="s">
        <v>2219</v>
      </c>
      <c r="C772" s="89" t="s">
        <v>34</v>
      </c>
      <c r="D772" s="147" t="s">
        <v>1936</v>
      </c>
      <c r="E772" s="89" t="s">
        <v>1658</v>
      </c>
      <c r="F772" t="s">
        <v>31</v>
      </c>
      <c r="G772" s="89" t="s">
        <v>2</v>
      </c>
      <c r="H772" s="147" t="s">
        <v>30</v>
      </c>
      <c r="I772">
        <v>-0.41666666699999999</v>
      </c>
      <c r="J772">
        <v>34.200000000000003</v>
      </c>
      <c r="K772" s="147" t="s">
        <v>29</v>
      </c>
      <c r="L772" s="2"/>
      <c r="M772" s="99"/>
      <c r="N772" s="2"/>
      <c r="O772" s="89"/>
      <c r="P772" s="2"/>
      <c r="Q772" s="2"/>
      <c r="R772" s="89"/>
      <c r="S772" s="89"/>
      <c r="T772" s="89"/>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c r="AV772" s="89" t="s">
        <v>2220</v>
      </c>
      <c r="AW772" s="89">
        <v>64</v>
      </c>
      <c r="AX772" s="89">
        <v>0.09</v>
      </c>
      <c r="AY772" s="89">
        <v>1</v>
      </c>
      <c r="AZ772" s="148" t="s">
        <v>2221</v>
      </c>
      <c r="BA772" s="148">
        <v>2007</v>
      </c>
      <c r="BB772" s="148">
        <v>2008</v>
      </c>
      <c r="BC772" s="148" t="s">
        <v>1</v>
      </c>
      <c r="BD772" s="2"/>
      <c r="BE772" s="2" t="s">
        <v>2230</v>
      </c>
      <c r="BF772" s="2" t="s">
        <v>64</v>
      </c>
      <c r="BG772" s="148" t="s">
        <v>1233</v>
      </c>
      <c r="BH772" s="2" t="s">
        <v>2223</v>
      </c>
      <c r="BI772" s="148" t="s">
        <v>29</v>
      </c>
      <c r="BJ772" s="149" t="s">
        <v>22</v>
      </c>
      <c r="BK772" s="150">
        <v>55500</v>
      </c>
      <c r="BL772" s="2" t="s">
        <v>56</v>
      </c>
      <c r="BM772" t="s">
        <v>2231</v>
      </c>
      <c r="BN772" s="148" t="s">
        <v>29</v>
      </c>
      <c r="BO772" s="2" t="s">
        <v>22</v>
      </c>
      <c r="BP772" s="2">
        <v>55000</v>
      </c>
      <c r="BQ772" s="2"/>
      <c r="BR772" s="2"/>
      <c r="BS772" s="2"/>
      <c r="BT772" s="2"/>
      <c r="BU772" s="2"/>
      <c r="BV772" s="2"/>
      <c r="BW772" s="3"/>
      <c r="BX772" s="3"/>
      <c r="BY772" s="3"/>
      <c r="BZ772" s="3"/>
      <c r="CA772" s="3"/>
      <c r="CB772" s="3"/>
      <c r="CC772" s="3"/>
      <c r="CD772" s="3"/>
      <c r="CE772" s="3"/>
      <c r="CF772" s="3"/>
      <c r="CG772" s="3"/>
      <c r="CH772" s="3"/>
      <c r="CI772" s="3"/>
      <c r="CJ772" s="3"/>
      <c r="CK772" s="3"/>
      <c r="CL772" s="3"/>
      <c r="CM772" s="3"/>
      <c r="CN772" s="3"/>
      <c r="CO772" s="3"/>
      <c r="CP772" s="3"/>
      <c r="CQ772" s="3"/>
      <c r="CR772" s="3"/>
      <c r="CS772" s="3"/>
      <c r="CT772" s="3"/>
      <c r="CU772" s="3"/>
      <c r="CV772" s="3"/>
      <c r="CW772" s="3"/>
      <c r="CX772" s="3"/>
      <c r="CY772" s="3"/>
      <c r="CZ772" s="3"/>
      <c r="DA772" s="3"/>
      <c r="DB772" s="3"/>
      <c r="DC772" s="3"/>
      <c r="DD772" s="3"/>
      <c r="DE772" s="3"/>
      <c r="DF772" s="3"/>
      <c r="DG772" s="3"/>
      <c r="DH772" s="3"/>
      <c r="DI772" s="3"/>
      <c r="DJ772" s="3"/>
      <c r="DK772" s="3"/>
      <c r="DL772" s="3"/>
      <c r="DM772" s="3"/>
      <c r="DN772" s="3"/>
      <c r="DO772" s="3"/>
      <c r="DP772" s="3"/>
      <c r="DQ772" s="3"/>
      <c r="DR772" s="3"/>
      <c r="DS772" s="3"/>
      <c r="DT772" s="3"/>
      <c r="DU772" s="3"/>
      <c r="DV772" s="3"/>
      <c r="DW772" s="3"/>
      <c r="DX772" s="3"/>
      <c r="DY772" s="3"/>
      <c r="DZ772" s="3"/>
      <c r="EA772" s="3"/>
      <c r="EB772" s="3"/>
      <c r="EC772" s="3"/>
      <c r="ED772" s="3"/>
      <c r="EE772" s="2"/>
      <c r="EF772" s="2"/>
      <c r="EG772" s="2"/>
      <c r="EH772" s="2"/>
      <c r="EI772" s="2"/>
      <c r="EJ772" s="2"/>
      <c r="EK772" s="2"/>
      <c r="EL772" s="2"/>
      <c r="EM772" s="3"/>
      <c r="EN772" s="3"/>
      <c r="EO772" s="3"/>
      <c r="EP772" s="3"/>
      <c r="EQ772" s="3"/>
      <c r="ER772" s="3"/>
      <c r="ES772" s="3"/>
      <c r="ET772" s="3"/>
      <c r="EU772" s="3"/>
      <c r="EV772" s="3"/>
      <c r="EW772" s="3"/>
      <c r="EX772" s="3"/>
      <c r="EY772" s="3"/>
      <c r="EZ772" s="3"/>
      <c r="FA772" s="3"/>
      <c r="FB772" s="3"/>
      <c r="FC772" s="3"/>
      <c r="FD772" s="3"/>
      <c r="FE772" s="3"/>
      <c r="FF772" s="3"/>
      <c r="FG772" s="3"/>
      <c r="FH772" s="3"/>
      <c r="FI772" s="3"/>
      <c r="FJ772" s="3"/>
      <c r="FK772" s="3"/>
      <c r="FL772" s="3"/>
      <c r="FM772" s="3"/>
      <c r="FN772" s="3"/>
      <c r="FO772" s="3"/>
      <c r="FP772" s="3"/>
      <c r="FQ772" s="3"/>
      <c r="FR772" s="3"/>
      <c r="FS772" s="3"/>
      <c r="FT772" s="3"/>
      <c r="FU772" s="3"/>
      <c r="FV772" s="3"/>
      <c r="FW772" s="3"/>
      <c r="FX772" s="3"/>
      <c r="FY772" s="3"/>
      <c r="FZ772" s="3"/>
      <c r="GA772" s="3"/>
      <c r="GB772" s="3"/>
      <c r="GC772" s="3"/>
      <c r="GD772" s="3"/>
      <c r="GE772" s="3"/>
      <c r="GF772" s="3"/>
      <c r="GG772" s="3"/>
      <c r="GH772" s="3"/>
      <c r="GI772" s="3"/>
      <c r="GJ772" s="3"/>
      <c r="GK772" s="3"/>
      <c r="GL772" s="3"/>
      <c r="GM772" s="3"/>
      <c r="GN772" s="3"/>
      <c r="GO772" s="3"/>
      <c r="GP772" s="3"/>
      <c r="GQ772" s="3"/>
      <c r="GR772" s="3"/>
      <c r="GS772" s="3"/>
      <c r="GT772" s="3"/>
      <c r="GU772" s="3"/>
      <c r="GV772" s="3"/>
      <c r="GW772" s="3"/>
      <c r="GX772" s="3"/>
      <c r="GY772" s="3"/>
      <c r="GZ772" s="3"/>
      <c r="HA772" s="3"/>
      <c r="HB772" s="3"/>
      <c r="HC772" s="3"/>
      <c r="HD772" s="3"/>
      <c r="HE772" s="3"/>
      <c r="HF772" s="3"/>
      <c r="HG772" s="3"/>
      <c r="HH772" s="3"/>
      <c r="HI772" s="3"/>
      <c r="HJ772" s="3"/>
      <c r="HK772" s="3"/>
      <c r="HL772" s="2"/>
      <c r="HM772" s="2"/>
      <c r="HN772" s="2"/>
      <c r="HO772" s="2"/>
      <c r="HP772" s="2"/>
      <c r="HQ772" s="2"/>
      <c r="HR772" s="2"/>
      <c r="HS772" s="2"/>
      <c r="HT772" s="99"/>
      <c r="HU772" s="2"/>
      <c r="HV772" s="2"/>
      <c r="HW772" s="2"/>
      <c r="HX772" s="2"/>
      <c r="HY772" s="2"/>
      <c r="HZ772" s="2"/>
      <c r="IA772" s="2"/>
      <c r="IB772" s="2"/>
      <c r="IC772" s="2"/>
      <c r="ID772" s="2"/>
      <c r="IE772" s="2"/>
      <c r="IF772" s="2"/>
      <c r="IG772" s="2"/>
      <c r="IH772" s="2"/>
      <c r="II772" s="148" t="s">
        <v>2224</v>
      </c>
      <c r="IJ772" s="163" t="s">
        <v>1443</v>
      </c>
      <c r="IK772" s="164" t="s">
        <v>1466</v>
      </c>
      <c r="IL772" s="165" t="s">
        <v>661</v>
      </c>
      <c r="IM772" s="2">
        <v>2007</v>
      </c>
      <c r="IN772" s="2" t="s">
        <v>62</v>
      </c>
      <c r="IO772" s="2" t="s">
        <v>29</v>
      </c>
      <c r="IR772" s="2"/>
      <c r="IS772" s="2"/>
      <c r="IT772" s="2"/>
      <c r="IU772" s="2"/>
      <c r="IV772" s="2"/>
      <c r="IW772" s="2"/>
      <c r="IX772" s="2"/>
      <c r="IY772" s="2"/>
      <c r="IZ772" s="2"/>
      <c r="JA772" s="2"/>
      <c r="JB772" s="2"/>
      <c r="JC772" s="2"/>
      <c r="JD772" s="2"/>
      <c r="JE772" s="2"/>
      <c r="JF772" s="2"/>
      <c r="JG772" s="2"/>
      <c r="JH772" s="2"/>
      <c r="JI772" s="2"/>
      <c r="JJ772" s="2"/>
      <c r="JK772" s="2"/>
      <c r="JL772" s="2"/>
      <c r="JM772" s="154" t="s">
        <v>14</v>
      </c>
      <c r="JN772" s="155" t="s">
        <v>1664</v>
      </c>
      <c r="JO772" s="99"/>
      <c r="JS772" s="2"/>
      <c r="JT772" s="2"/>
      <c r="JU772" s="2"/>
      <c r="JV772" s="2"/>
      <c r="JW772" s="2"/>
      <c r="JX772" s="2"/>
      <c r="JY772" s="2"/>
      <c r="JZ772" s="156"/>
      <c r="KA772" s="166"/>
      <c r="KB772" s="99"/>
      <c r="KC772" s="2"/>
      <c r="KD772" s="99"/>
      <c r="KE772" s="2"/>
      <c r="KF772" s="2"/>
      <c r="KG772" s="2"/>
      <c r="KH772" s="99"/>
      <c r="KI772" s="2"/>
      <c r="KJ772" s="163"/>
      <c r="KK772" s="167"/>
      <c r="KL772" s="2"/>
      <c r="KM772" s="2"/>
      <c r="KN772" s="2"/>
      <c r="KO772" s="2"/>
      <c r="KP772" s="99"/>
      <c r="KQ772" s="2"/>
      <c r="KR772" s="163"/>
      <c r="KS772" s="167"/>
      <c r="KT772" s="2"/>
      <c r="KU772" s="2"/>
      <c r="KV772" s="158"/>
      <c r="KW772" s="176"/>
      <c r="KX772" s="2"/>
      <c r="KY772" s="2"/>
      <c r="KZ772" s="2"/>
      <c r="LA772" s="3"/>
      <c r="LB772" s="3"/>
      <c r="LC772" s="3"/>
      <c r="LD772" s="3"/>
      <c r="LE772" s="3"/>
      <c r="LF772" s="3"/>
      <c r="LG772" s="3"/>
      <c r="LH772" s="3"/>
      <c r="LI772" s="99"/>
      <c r="LJ772" s="99"/>
      <c r="LK772" s="99"/>
      <c r="LL772" s="99"/>
      <c r="LM772" s="99"/>
      <c r="LN772" s="2"/>
      <c r="LO772" s="99"/>
      <c r="LP772" s="99"/>
      <c r="LQ772" s="99"/>
      <c r="LR772" s="2"/>
      <c r="LS772" s="2"/>
      <c r="LT772" s="2"/>
      <c r="LU772" s="2"/>
      <c r="LV772" s="2"/>
      <c r="LW772" s="2"/>
      <c r="LX772" s="2"/>
      <c r="LY772" s="2"/>
      <c r="LZ772" s="2"/>
      <c r="MA772" s="2"/>
      <c r="MB772" s="2"/>
      <c r="MC772" s="2"/>
      <c r="MD772" s="2"/>
      <c r="ME772" s="2"/>
      <c r="MF772" s="2"/>
      <c r="MG772" s="2"/>
      <c r="MH772" s="2"/>
      <c r="MI772" s="2"/>
      <c r="MJ772" s="2"/>
      <c r="MK772" s="2"/>
      <c r="ML772" s="2"/>
      <c r="MM772" s="2"/>
      <c r="MN772" s="2"/>
      <c r="MO772" s="2"/>
      <c r="MP772" s="2"/>
      <c r="MQ772" s="2"/>
      <c r="MR772" s="2"/>
      <c r="MS772" s="2"/>
      <c r="MT772" s="2"/>
      <c r="MU772" s="2"/>
      <c r="MV772" s="2"/>
      <c r="MW772" s="2"/>
      <c r="MX772" s="2"/>
      <c r="MY772" s="2"/>
      <c r="MZ772" s="148" t="s">
        <v>2225</v>
      </c>
      <c r="NA772" s="89">
        <v>64</v>
      </c>
      <c r="NB772" s="148" t="s">
        <v>2235</v>
      </c>
      <c r="NC772" s="159" t="s">
        <v>2237</v>
      </c>
      <c r="NE772" s="159"/>
      <c r="NF772" s="159"/>
      <c r="NG772" s="159"/>
      <c r="NH772" s="159"/>
      <c r="NI772" s="159"/>
      <c r="NJ772" s="148"/>
      <c r="NK772" s="148" t="s">
        <v>2240</v>
      </c>
      <c r="NL772" s="148" t="s">
        <v>2243</v>
      </c>
      <c r="NM772" t="s">
        <v>8</v>
      </c>
      <c r="NN772" s="160" t="s">
        <v>13</v>
      </c>
      <c r="NO772" s="148"/>
      <c r="NP772" s="148"/>
      <c r="NQ772" s="148"/>
      <c r="NR772" s="148"/>
      <c r="NS772" s="148"/>
      <c r="NT772" s="148"/>
      <c r="NU772" s="148"/>
      <c r="NV772" s="148"/>
      <c r="NW772" s="161" t="s">
        <v>6</v>
      </c>
      <c r="NX772">
        <v>13788.5</v>
      </c>
      <c r="NY772" s="161" t="s">
        <v>4</v>
      </c>
      <c r="NZ772">
        <v>303</v>
      </c>
      <c r="OA772" s="169"/>
      <c r="OB772" s="2"/>
      <c r="OC772" s="148">
        <v>4</v>
      </c>
      <c r="OD772" s="89"/>
      <c r="OE772" s="89"/>
      <c r="OH772" s="2"/>
      <c r="OI772" s="2"/>
      <c r="OJ772" s="2"/>
      <c r="OK772" s="2"/>
      <c r="OL772" s="2"/>
      <c r="OM772" s="2"/>
      <c r="OT772" s="148" t="s">
        <v>2242</v>
      </c>
      <c r="OU772" s="2"/>
      <c r="OV772" s="2">
        <v>2007</v>
      </c>
      <c r="OW772" s="2"/>
      <c r="OX772" s="2"/>
      <c r="OY772" s="2" t="s">
        <v>1</v>
      </c>
      <c r="OZ772" s="2"/>
      <c r="PA772" t="s">
        <v>1169</v>
      </c>
      <c r="PB772" s="58">
        <v>46134</v>
      </c>
    </row>
    <row r="773" spans="1:418" ht="15.75" thickBot="1">
      <c r="A773" t="s">
        <v>248</v>
      </c>
      <c r="B773" t="s">
        <v>2219</v>
      </c>
      <c r="C773" s="89" t="s">
        <v>34</v>
      </c>
      <c r="D773" s="147" t="s">
        <v>1936</v>
      </c>
      <c r="E773" s="89" t="s">
        <v>1658</v>
      </c>
      <c r="F773" t="s">
        <v>31</v>
      </c>
      <c r="G773" s="89" t="s">
        <v>2</v>
      </c>
      <c r="H773" s="147" t="s">
        <v>30</v>
      </c>
      <c r="I773">
        <v>-0.41666666699999999</v>
      </c>
      <c r="J773">
        <v>34.200000000000003</v>
      </c>
      <c r="K773" s="147" t="s">
        <v>29</v>
      </c>
      <c r="L773" s="89"/>
      <c r="M773" s="147"/>
      <c r="N773" s="89"/>
      <c r="O773" s="89"/>
      <c r="P773" s="89"/>
      <c r="Q773" s="89"/>
      <c r="R773" s="89"/>
      <c r="S773" s="89"/>
      <c r="T773" s="89"/>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c r="AV773" s="89" t="s">
        <v>2220</v>
      </c>
      <c r="AW773" s="89">
        <v>64</v>
      </c>
      <c r="AX773" s="89">
        <v>0.09</v>
      </c>
      <c r="AY773" s="89">
        <v>1</v>
      </c>
      <c r="AZ773" s="148" t="s">
        <v>2221</v>
      </c>
      <c r="BA773" s="148">
        <v>2007</v>
      </c>
      <c r="BB773" s="148">
        <v>2008</v>
      </c>
      <c r="BC773" s="148" t="s">
        <v>1</v>
      </c>
      <c r="BD773" s="89"/>
      <c r="BE773" s="148" t="s">
        <v>2222</v>
      </c>
      <c r="BF773" s="148" t="s">
        <v>39</v>
      </c>
      <c r="BG773" s="148" t="s">
        <v>1233</v>
      </c>
      <c r="BH773" s="148" t="s">
        <v>2223</v>
      </c>
      <c r="BI773" s="148" t="s">
        <v>29</v>
      </c>
      <c r="BJ773" s="149" t="s">
        <v>22</v>
      </c>
      <c r="BK773" s="150">
        <v>111000</v>
      </c>
      <c r="BL773" s="89"/>
      <c r="BM773" s="89"/>
      <c r="BN773" s="89"/>
      <c r="BO773" s="147"/>
      <c r="BP773" s="170"/>
      <c r="BQ773" s="89"/>
      <c r="BR773" s="89"/>
      <c r="BS773" s="89"/>
      <c r="BT773" s="89"/>
      <c r="BU773" s="89"/>
      <c r="BV773" s="89"/>
      <c r="BW773" s="3"/>
      <c r="BX773" s="3"/>
      <c r="BY773" s="3"/>
      <c r="BZ773" s="3"/>
      <c r="CA773" s="3"/>
      <c r="CB773" s="3"/>
      <c r="CC773" s="3"/>
      <c r="CD773" s="3"/>
      <c r="CE773" s="3"/>
      <c r="CF773" s="3"/>
      <c r="CG773" s="3"/>
      <c r="CH773" s="3"/>
      <c r="CI773" s="3"/>
      <c r="CJ773" s="3"/>
      <c r="CK773" s="3"/>
      <c r="CL773" s="3"/>
      <c r="CM773" s="3"/>
      <c r="CN773" s="3"/>
      <c r="CO773" s="3"/>
      <c r="CP773" s="3"/>
      <c r="CQ773" s="3"/>
      <c r="CR773" s="3"/>
      <c r="CS773" s="3"/>
      <c r="CT773" s="3"/>
      <c r="CU773" s="3"/>
      <c r="CV773" s="3"/>
      <c r="CW773" s="3"/>
      <c r="CX773" s="3"/>
      <c r="CY773" s="3"/>
      <c r="CZ773" s="3"/>
      <c r="DA773" s="3"/>
      <c r="DB773" s="3"/>
      <c r="DC773" s="3"/>
      <c r="DD773" s="3"/>
      <c r="DE773" s="3"/>
      <c r="DF773" s="3"/>
      <c r="DG773" s="3"/>
      <c r="DH773" s="3"/>
      <c r="DI773" s="3"/>
      <c r="DJ773" s="3"/>
      <c r="DK773" s="3"/>
      <c r="DL773" s="3"/>
      <c r="DM773" s="3"/>
      <c r="DN773" s="3"/>
      <c r="DO773" s="3"/>
      <c r="DP773" s="3"/>
      <c r="DQ773" s="3"/>
      <c r="DR773" s="3"/>
      <c r="DS773" s="3"/>
      <c r="DT773" s="3"/>
      <c r="DU773" s="3"/>
      <c r="DV773" s="3"/>
      <c r="DW773" s="3"/>
      <c r="DX773" s="3"/>
      <c r="DY773" s="3"/>
      <c r="DZ773" s="3"/>
      <c r="EA773" s="3"/>
      <c r="EB773" s="3"/>
      <c r="EC773" s="3"/>
      <c r="ED773" s="3"/>
      <c r="EE773" s="89"/>
      <c r="EF773" s="89"/>
      <c r="EG773" s="89"/>
      <c r="EH773" s="89"/>
      <c r="EI773" s="89"/>
      <c r="EJ773" s="89"/>
      <c r="EK773" s="89"/>
      <c r="EL773" s="89"/>
      <c r="EM773" s="3"/>
      <c r="EN773" s="3"/>
      <c r="EO773" s="3"/>
      <c r="EP773" s="3"/>
      <c r="EQ773" s="3"/>
      <c r="ER773" s="3"/>
      <c r="ES773" s="3"/>
      <c r="ET773" s="3"/>
      <c r="EU773" s="3"/>
      <c r="EV773" s="3"/>
      <c r="EW773" s="3"/>
      <c r="EX773" s="3"/>
      <c r="EY773" s="3"/>
      <c r="EZ773" s="3"/>
      <c r="FA773" s="3"/>
      <c r="FB773" s="3"/>
      <c r="FC773" s="3"/>
      <c r="FD773" s="3"/>
      <c r="FE773" s="3"/>
      <c r="FF773" s="3"/>
      <c r="FG773" s="3"/>
      <c r="FH773" s="3"/>
      <c r="FI773" s="3"/>
      <c r="FJ773" s="3"/>
      <c r="FK773" s="3"/>
      <c r="FL773" s="3"/>
      <c r="FM773" s="3"/>
      <c r="FN773" s="3"/>
      <c r="FO773" s="3"/>
      <c r="FP773" s="3"/>
      <c r="FQ773" s="3"/>
      <c r="FR773" s="3"/>
      <c r="FS773" s="3"/>
      <c r="FT773" s="3"/>
      <c r="FU773" s="3"/>
      <c r="FV773" s="3"/>
      <c r="FW773" s="3"/>
      <c r="FX773" s="3"/>
      <c r="FY773" s="3"/>
      <c r="FZ773" s="3"/>
      <c r="GA773" s="3"/>
      <c r="GB773" s="3"/>
      <c r="GC773" s="3"/>
      <c r="GD773" s="3"/>
      <c r="GE773" s="3"/>
      <c r="GF773" s="3"/>
      <c r="GG773" s="3"/>
      <c r="GH773" s="3"/>
      <c r="GI773" s="3"/>
      <c r="GJ773" s="3"/>
      <c r="GK773" s="3"/>
      <c r="GL773" s="3"/>
      <c r="GM773" s="3"/>
      <c r="GN773" s="3"/>
      <c r="GO773" s="3"/>
      <c r="GP773" s="3"/>
      <c r="GQ773" s="3"/>
      <c r="GR773" s="3"/>
      <c r="GS773" s="3"/>
      <c r="GT773" s="3"/>
      <c r="GU773" s="3"/>
      <c r="GV773" s="3"/>
      <c r="GW773" s="3"/>
      <c r="GX773" s="3"/>
      <c r="GY773" s="3"/>
      <c r="GZ773" s="3"/>
      <c r="HA773" s="3"/>
      <c r="HB773" s="3"/>
      <c r="HC773" s="3"/>
      <c r="HD773" s="3"/>
      <c r="HE773" s="3"/>
      <c r="HF773" s="3"/>
      <c r="HG773" s="3"/>
      <c r="HH773" s="3"/>
      <c r="HI773" s="3"/>
      <c r="HJ773" s="3"/>
      <c r="HK773" s="3"/>
      <c r="HL773" s="89"/>
      <c r="HM773" s="89"/>
      <c r="HN773" s="89"/>
      <c r="HO773" s="89"/>
      <c r="HP773" s="89"/>
      <c r="HQ773" s="89"/>
      <c r="HR773" s="89"/>
      <c r="HS773" s="89"/>
      <c r="HT773" s="147"/>
      <c r="HU773" s="89"/>
      <c r="HV773" s="89"/>
      <c r="HW773" s="89"/>
      <c r="HX773" s="89"/>
      <c r="HY773" s="89"/>
      <c r="HZ773" s="89"/>
      <c r="IA773" s="89"/>
      <c r="IB773" s="89"/>
      <c r="IC773" s="89"/>
      <c r="ID773" s="89"/>
      <c r="IE773" s="89"/>
      <c r="IF773" s="89"/>
      <c r="IG773" s="89"/>
      <c r="IH773" s="89"/>
      <c r="II773" s="148" t="s">
        <v>2224</v>
      </c>
      <c r="IJ773" s="152" t="s">
        <v>19</v>
      </c>
      <c r="IK773" s="171"/>
      <c r="IL773" s="172"/>
      <c r="IM773" s="89"/>
      <c r="IN773" s="89"/>
      <c r="IO773" s="147"/>
      <c r="IR773" s="89"/>
      <c r="IS773" s="89"/>
      <c r="IT773" s="89"/>
      <c r="IU773" s="89"/>
      <c r="IV773" s="89"/>
      <c r="IW773" s="89"/>
      <c r="IX773" s="89"/>
      <c r="IY773" s="89"/>
      <c r="IZ773" s="89"/>
      <c r="JA773" s="89"/>
      <c r="JB773" s="89"/>
      <c r="JC773" s="89"/>
      <c r="JD773" s="89"/>
      <c r="JE773" s="89"/>
      <c r="JF773" s="89"/>
      <c r="JG773" s="89"/>
      <c r="JH773" s="89"/>
      <c r="JI773" s="89"/>
      <c r="JJ773" s="89"/>
      <c r="JK773" s="89"/>
      <c r="JL773" s="89"/>
      <c r="JM773" s="154" t="s">
        <v>14</v>
      </c>
      <c r="JN773" s="155" t="s">
        <v>1664</v>
      </c>
      <c r="JO773" s="147"/>
      <c r="JS773" s="89"/>
      <c r="JT773" s="89"/>
      <c r="JU773" s="89"/>
      <c r="JV773" s="89"/>
      <c r="JW773" s="89"/>
      <c r="JX773" s="89"/>
      <c r="JY773" s="89"/>
      <c r="JZ773" s="156"/>
      <c r="KA773" s="154"/>
      <c r="KB773" s="147"/>
      <c r="KC773" s="89"/>
      <c r="KD773" s="147"/>
      <c r="KE773" s="89"/>
      <c r="KF773" s="89"/>
      <c r="KG773" s="89"/>
      <c r="KH773" s="147"/>
      <c r="KI773" s="89"/>
      <c r="KJ773" s="152"/>
      <c r="KK773" s="173"/>
      <c r="KL773" s="89"/>
      <c r="KM773" s="89"/>
      <c r="KN773" s="89"/>
      <c r="KO773" s="89"/>
      <c r="KP773" s="147"/>
      <c r="KQ773" s="89"/>
      <c r="KR773" s="152"/>
      <c r="KS773" s="173"/>
      <c r="KT773" s="89"/>
      <c r="KU773" s="89"/>
      <c r="KV773" s="158"/>
      <c r="KW773" s="174"/>
      <c r="KX773" s="89"/>
      <c r="KY773" s="89"/>
      <c r="KZ773" s="89"/>
      <c r="LA773" s="3"/>
      <c r="LB773" s="3"/>
      <c r="LC773" s="3"/>
      <c r="LD773" s="3"/>
      <c r="LE773" s="3"/>
      <c r="LF773" s="3"/>
      <c r="LG773" s="3"/>
      <c r="LH773" s="3"/>
      <c r="LI773" s="147"/>
      <c r="LJ773" s="147"/>
      <c r="LK773" s="147"/>
      <c r="LL773" s="147"/>
      <c r="LM773" s="147"/>
      <c r="LN773" s="89"/>
      <c r="LO773" s="147"/>
      <c r="LP773" s="147"/>
      <c r="LQ773" s="147"/>
      <c r="LR773" s="89"/>
      <c r="LS773" s="89"/>
      <c r="LT773" s="89"/>
      <c r="LU773" s="89"/>
      <c r="LV773" s="89"/>
      <c r="LW773" s="89"/>
      <c r="LX773" s="89"/>
      <c r="LY773" s="89"/>
      <c r="LZ773" s="89"/>
      <c r="MA773" s="89"/>
      <c r="MB773" s="89"/>
      <c r="MC773" s="89"/>
      <c r="MD773" s="89"/>
      <c r="ME773" s="89"/>
      <c r="MF773" s="89"/>
      <c r="MG773" s="89"/>
      <c r="MH773" s="89"/>
      <c r="MI773" s="89"/>
      <c r="MJ773" s="89"/>
      <c r="MK773" s="89"/>
      <c r="ML773" s="89"/>
      <c r="MM773" s="89"/>
      <c r="MN773" s="89"/>
      <c r="MO773" s="89"/>
      <c r="MP773" s="89"/>
      <c r="MQ773" s="89"/>
      <c r="MR773" s="89"/>
      <c r="MS773" s="89"/>
      <c r="MT773" s="89"/>
      <c r="MU773" s="89"/>
      <c r="MV773" s="89"/>
      <c r="MW773" s="89"/>
      <c r="MX773" s="89"/>
      <c r="MY773" s="89"/>
      <c r="MZ773" s="148" t="s">
        <v>2225</v>
      </c>
      <c r="NA773" s="89">
        <v>64</v>
      </c>
      <c r="NB773" s="148" t="s">
        <v>2235</v>
      </c>
      <c r="NC773" s="159" t="s">
        <v>2237</v>
      </c>
      <c r="NE773" s="159"/>
      <c r="NF773" s="159"/>
      <c r="NG773" s="159"/>
      <c r="NH773" s="159"/>
      <c r="NI773" s="159"/>
      <c r="NJ773" s="148"/>
      <c r="NK773" s="148" t="s">
        <v>2240</v>
      </c>
      <c r="NL773" s="148" t="s">
        <v>2241</v>
      </c>
      <c r="NM773" t="s">
        <v>8</v>
      </c>
      <c r="NN773" s="160" t="s">
        <v>13</v>
      </c>
      <c r="NO773" s="148"/>
      <c r="NP773" s="148"/>
      <c r="NQ773" s="148"/>
      <c r="NR773" s="148"/>
      <c r="NS773" s="148"/>
      <c r="NT773" s="148"/>
      <c r="NU773" s="148"/>
      <c r="NV773" s="148" t="s">
        <v>64</v>
      </c>
      <c r="NW773" s="161" t="s">
        <v>6</v>
      </c>
      <c r="NX773">
        <v>4276</v>
      </c>
      <c r="NY773" s="161" t="s">
        <v>4</v>
      </c>
      <c r="NZ773">
        <v>144</v>
      </c>
      <c r="OA773" s="175"/>
      <c r="OB773" s="89"/>
      <c r="OC773" s="148">
        <v>4</v>
      </c>
      <c r="OD773" s="2"/>
      <c r="OE773" s="2"/>
      <c r="OH773" s="89"/>
      <c r="OI773" s="89"/>
      <c r="OJ773" s="89"/>
      <c r="OK773" s="89"/>
      <c r="OL773" s="89"/>
      <c r="OM773" s="89"/>
      <c r="ON773" s="159"/>
      <c r="OO773" s="159"/>
      <c r="OP773" s="159"/>
      <c r="OQ773" s="159"/>
      <c r="OR773" s="159"/>
      <c r="OS773" s="159"/>
      <c r="OT773" s="148" t="s">
        <v>2242</v>
      </c>
      <c r="OU773" s="89"/>
      <c r="OV773" s="89">
        <v>2007</v>
      </c>
      <c r="OW773" s="89"/>
      <c r="OX773" s="89"/>
      <c r="OY773" s="89" t="s">
        <v>1</v>
      </c>
      <c r="OZ773" s="89"/>
      <c r="PA773" t="s">
        <v>1169</v>
      </c>
      <c r="PB773" s="58">
        <v>46134</v>
      </c>
    </row>
    <row r="774" spans="1:418" ht="15.75" thickBot="1">
      <c r="A774" t="s">
        <v>248</v>
      </c>
      <c r="B774" t="s">
        <v>2219</v>
      </c>
      <c r="C774" s="89" t="s">
        <v>34</v>
      </c>
      <c r="D774" s="147" t="s">
        <v>1936</v>
      </c>
      <c r="E774" s="89" t="s">
        <v>1658</v>
      </c>
      <c r="F774" t="s">
        <v>31</v>
      </c>
      <c r="G774" s="89" t="s">
        <v>2</v>
      </c>
      <c r="H774" s="147" t="s">
        <v>30</v>
      </c>
      <c r="I774">
        <v>-0.41666666699999999</v>
      </c>
      <c r="J774">
        <v>34.200000000000003</v>
      </c>
      <c r="K774" s="147" t="s">
        <v>29</v>
      </c>
      <c r="L774" s="2"/>
      <c r="M774" s="99"/>
      <c r="N774" s="2"/>
      <c r="O774" s="89"/>
      <c r="P774" s="2"/>
      <c r="Q774" s="2"/>
      <c r="R774" s="89"/>
      <c r="S774" s="89"/>
      <c r="T774" s="89"/>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c r="AV774" s="89" t="s">
        <v>2220</v>
      </c>
      <c r="AW774" s="89">
        <v>64</v>
      </c>
      <c r="AX774" s="89">
        <v>0.09</v>
      </c>
      <c r="AY774" s="89">
        <v>1</v>
      </c>
      <c r="AZ774" s="148" t="s">
        <v>2221</v>
      </c>
      <c r="BA774" s="148">
        <v>2007</v>
      </c>
      <c r="BB774" s="148">
        <v>2008</v>
      </c>
      <c r="BC774" s="148" t="s">
        <v>62</v>
      </c>
      <c r="BD774" s="2"/>
      <c r="BE774" s="2" t="s">
        <v>2230</v>
      </c>
      <c r="BF774" s="2" t="s">
        <v>64</v>
      </c>
      <c r="BG774" s="148" t="s">
        <v>1233</v>
      </c>
      <c r="BH774" s="2" t="s">
        <v>2223</v>
      </c>
      <c r="BI774" s="148" t="s">
        <v>29</v>
      </c>
      <c r="BJ774" s="149" t="s">
        <v>22</v>
      </c>
      <c r="BK774" s="150">
        <v>55500</v>
      </c>
      <c r="BL774" s="2" t="s">
        <v>56</v>
      </c>
      <c r="BM774" t="s">
        <v>2231</v>
      </c>
      <c r="BN774" s="148" t="s">
        <v>29</v>
      </c>
      <c r="BO774" s="2" t="s">
        <v>22</v>
      </c>
      <c r="BP774" s="2">
        <v>55000</v>
      </c>
      <c r="BQ774" s="2"/>
      <c r="BR774" s="2"/>
      <c r="BS774" s="2"/>
      <c r="BT774" s="99"/>
      <c r="BU774" s="2"/>
      <c r="BV774" s="2"/>
      <c r="BW774" s="3"/>
      <c r="BX774" s="3"/>
      <c r="BY774" s="3"/>
      <c r="BZ774" s="3"/>
      <c r="CA774" s="3"/>
      <c r="CB774" s="3"/>
      <c r="CC774" s="3"/>
      <c r="CD774" s="3"/>
      <c r="CE774" s="3"/>
      <c r="CF774" s="3"/>
      <c r="CG774" s="3"/>
      <c r="CH774" s="3"/>
      <c r="CI774" s="3"/>
      <c r="CJ774" s="3"/>
      <c r="CK774" s="3"/>
      <c r="CL774" s="3"/>
      <c r="CM774" s="3"/>
      <c r="CN774" s="3"/>
      <c r="CO774" s="3"/>
      <c r="CP774" s="3"/>
      <c r="CQ774" s="3"/>
      <c r="CR774" s="3"/>
      <c r="CS774" s="3"/>
      <c r="CT774" s="3"/>
      <c r="CU774" s="3"/>
      <c r="CV774" s="3"/>
      <c r="CW774" s="3"/>
      <c r="CX774" s="3"/>
      <c r="CY774" s="3"/>
      <c r="CZ774" s="3"/>
      <c r="DA774" s="3"/>
      <c r="DB774" s="3"/>
      <c r="DC774" s="3"/>
      <c r="DD774" s="3"/>
      <c r="DE774" s="3"/>
      <c r="DF774" s="3"/>
      <c r="DG774" s="3"/>
      <c r="DH774" s="3"/>
      <c r="DI774" s="3"/>
      <c r="DJ774" s="3"/>
      <c r="DK774" s="3"/>
      <c r="DL774" s="3"/>
      <c r="DM774" s="3"/>
      <c r="DN774" s="3"/>
      <c r="DO774" s="3"/>
      <c r="DP774" s="3"/>
      <c r="DQ774" s="3"/>
      <c r="DR774" s="3"/>
      <c r="DS774" s="3"/>
      <c r="DT774" s="3"/>
      <c r="DU774" s="3"/>
      <c r="DV774" s="3"/>
      <c r="DW774" s="3"/>
      <c r="DX774" s="3"/>
      <c r="DY774" s="3"/>
      <c r="DZ774" s="3"/>
      <c r="EA774" s="3"/>
      <c r="EB774" s="3"/>
      <c r="EC774" s="3"/>
      <c r="ED774" s="3"/>
      <c r="EE774" s="2"/>
      <c r="EF774" s="2"/>
      <c r="EG774" s="2"/>
      <c r="EH774" s="2"/>
      <c r="EI774" s="2"/>
      <c r="EJ774" s="2"/>
      <c r="EK774" s="2"/>
      <c r="EL774" s="2"/>
      <c r="EM774" s="3"/>
      <c r="EN774" s="3"/>
      <c r="EO774" s="3"/>
      <c r="EP774" s="3"/>
      <c r="EQ774" s="3"/>
      <c r="ER774" s="3"/>
      <c r="ES774" s="3"/>
      <c r="ET774" s="3"/>
      <c r="EU774" s="3"/>
      <c r="EV774" s="3"/>
      <c r="EW774" s="3"/>
      <c r="EX774" s="3"/>
      <c r="EY774" s="3"/>
      <c r="EZ774" s="3"/>
      <c r="FA774" s="3"/>
      <c r="FB774" s="3"/>
      <c r="FC774" s="3"/>
      <c r="FD774" s="3"/>
      <c r="FE774" s="3"/>
      <c r="FF774" s="3"/>
      <c r="FG774" s="3"/>
      <c r="FH774" s="3"/>
      <c r="FI774" s="3"/>
      <c r="FJ774" s="3"/>
      <c r="FK774" s="3"/>
      <c r="FL774" s="3"/>
      <c r="FM774" s="3"/>
      <c r="FN774" s="3"/>
      <c r="FO774" s="3"/>
      <c r="FP774" s="3"/>
      <c r="FQ774" s="3"/>
      <c r="FR774" s="3"/>
      <c r="FS774" s="3"/>
      <c r="FT774" s="3"/>
      <c r="FU774" s="3"/>
      <c r="FV774" s="3"/>
      <c r="FW774" s="3"/>
      <c r="FX774" s="3"/>
      <c r="FY774" s="3"/>
      <c r="FZ774" s="3"/>
      <c r="GA774" s="3"/>
      <c r="GB774" s="3"/>
      <c r="GC774" s="3"/>
      <c r="GD774" s="3"/>
      <c r="GE774" s="3"/>
      <c r="GF774" s="3"/>
      <c r="GG774" s="3"/>
      <c r="GH774" s="3"/>
      <c r="GI774" s="3"/>
      <c r="GJ774" s="3"/>
      <c r="GK774" s="3"/>
      <c r="GL774" s="3"/>
      <c r="GM774" s="3"/>
      <c r="GN774" s="3"/>
      <c r="GO774" s="3"/>
      <c r="GP774" s="3"/>
      <c r="GQ774" s="3"/>
      <c r="GR774" s="3"/>
      <c r="GS774" s="3"/>
      <c r="GT774" s="3"/>
      <c r="GU774" s="3"/>
      <c r="GV774" s="3"/>
      <c r="GW774" s="3"/>
      <c r="GX774" s="3"/>
      <c r="GY774" s="3"/>
      <c r="GZ774" s="3"/>
      <c r="HA774" s="3"/>
      <c r="HB774" s="3"/>
      <c r="HC774" s="3"/>
      <c r="HD774" s="3"/>
      <c r="HE774" s="3"/>
      <c r="HF774" s="3"/>
      <c r="HG774" s="3"/>
      <c r="HH774" s="3"/>
      <c r="HI774" s="3"/>
      <c r="HJ774" s="3"/>
      <c r="HK774" s="3"/>
      <c r="HL774" s="2"/>
      <c r="HM774" s="2"/>
      <c r="HN774" s="2"/>
      <c r="HO774" s="2"/>
      <c r="HP774" s="2"/>
      <c r="HQ774" s="2"/>
      <c r="HR774" s="2"/>
      <c r="HS774" s="2"/>
      <c r="HT774" s="99"/>
      <c r="HU774" s="2"/>
      <c r="HV774" s="2"/>
      <c r="HW774" s="2"/>
      <c r="HX774" s="2"/>
      <c r="HY774" s="2"/>
      <c r="HZ774" s="2"/>
      <c r="IA774" s="2"/>
      <c r="IB774" s="2"/>
      <c r="IC774" s="2"/>
      <c r="ID774" s="2"/>
      <c r="IE774" s="2"/>
      <c r="IF774" s="2"/>
      <c r="IG774" s="2"/>
      <c r="IH774" s="2"/>
      <c r="II774" s="148" t="s">
        <v>2224</v>
      </c>
      <c r="IJ774" s="163" t="s">
        <v>1443</v>
      </c>
      <c r="IK774" s="164" t="s">
        <v>1466</v>
      </c>
      <c r="IL774" s="165" t="s">
        <v>661</v>
      </c>
      <c r="IM774" s="2">
        <v>2007</v>
      </c>
      <c r="IN774" s="2" t="s">
        <v>62</v>
      </c>
      <c r="IO774" s="2" t="s">
        <v>29</v>
      </c>
      <c r="IR774" s="2"/>
      <c r="IS774" s="2"/>
      <c r="IT774" s="2"/>
      <c r="IU774" s="2"/>
      <c r="IV774" s="2"/>
      <c r="IW774" s="2"/>
      <c r="IX774" s="99"/>
      <c r="IY774" s="2"/>
      <c r="IZ774" s="2"/>
      <c r="JA774" s="2"/>
      <c r="JB774" s="2"/>
      <c r="JC774" s="2"/>
      <c r="JD774" s="2"/>
      <c r="JE774" s="2"/>
      <c r="JF774" s="2"/>
      <c r="JG774" s="2"/>
      <c r="JH774" s="2"/>
      <c r="JI774" s="2"/>
      <c r="JJ774" s="2"/>
      <c r="JK774" s="2"/>
      <c r="JL774" s="2"/>
      <c r="JM774" s="154" t="s">
        <v>14</v>
      </c>
      <c r="JN774" s="155" t="s">
        <v>1664</v>
      </c>
      <c r="JO774" s="99"/>
      <c r="JS774" s="2"/>
      <c r="JT774" s="2"/>
      <c r="JU774" s="2"/>
      <c r="JV774" s="2"/>
      <c r="JW774" s="2"/>
      <c r="JX774" s="2"/>
      <c r="JY774" s="2"/>
      <c r="JZ774" s="156"/>
      <c r="KA774" s="166"/>
      <c r="KB774" s="99"/>
      <c r="KC774" s="2"/>
      <c r="KD774" s="99"/>
      <c r="KE774" s="2"/>
      <c r="KF774" s="2"/>
      <c r="KG774" s="2"/>
      <c r="KH774" s="99"/>
      <c r="KI774" s="2"/>
      <c r="KJ774" s="163"/>
      <c r="KK774" s="167"/>
      <c r="KL774" s="2"/>
      <c r="KM774" s="2"/>
      <c r="KN774" s="2"/>
      <c r="KO774" s="2"/>
      <c r="KP774" s="99"/>
      <c r="KQ774" s="2"/>
      <c r="KR774" s="177"/>
      <c r="KS774" s="166"/>
      <c r="KT774" s="2"/>
      <c r="KU774" s="2"/>
      <c r="KV774" s="158"/>
      <c r="KW774" s="167"/>
      <c r="KX774" s="2"/>
      <c r="KY774" s="2"/>
      <c r="KZ774" s="2"/>
      <c r="LA774" s="3"/>
      <c r="LB774" s="3"/>
      <c r="LC774" s="3"/>
      <c r="LD774" s="3"/>
      <c r="LE774" s="3"/>
      <c r="LF774" s="3"/>
      <c r="LG774" s="3"/>
      <c r="LH774" s="3"/>
      <c r="LI774" s="99"/>
      <c r="LJ774" s="99"/>
      <c r="LK774" s="99"/>
      <c r="LL774" s="99"/>
      <c r="LM774" s="99"/>
      <c r="LN774" s="2"/>
      <c r="LO774" s="99"/>
      <c r="LP774" s="99"/>
      <c r="LQ774" s="99"/>
      <c r="LR774" s="2"/>
      <c r="LS774" s="2"/>
      <c r="LT774" s="2"/>
      <c r="LU774" s="2"/>
      <c r="LV774" s="2"/>
      <c r="LW774" s="2"/>
      <c r="LX774" s="2"/>
      <c r="LY774" s="2"/>
      <c r="LZ774" s="2"/>
      <c r="MA774" s="2"/>
      <c r="MB774" s="2"/>
      <c r="MC774" s="2"/>
      <c r="MD774" s="2"/>
      <c r="ME774" s="2"/>
      <c r="MF774" s="2"/>
      <c r="MG774" s="2"/>
      <c r="MH774" s="2"/>
      <c r="MI774" s="2"/>
      <c r="MJ774" s="2"/>
      <c r="MK774" s="2"/>
      <c r="ML774" s="2"/>
      <c r="MM774" s="2"/>
      <c r="MN774" s="2"/>
      <c r="MO774" s="2"/>
      <c r="MP774" s="2"/>
      <c r="MQ774" s="2"/>
      <c r="MR774" s="2"/>
      <c r="MS774" s="2"/>
      <c r="MT774" s="2"/>
      <c r="MU774" s="2"/>
      <c r="MV774" s="2"/>
      <c r="MW774" s="2"/>
      <c r="MX774" s="2"/>
      <c r="MY774" s="2"/>
      <c r="MZ774" s="148" t="s">
        <v>2225</v>
      </c>
      <c r="NA774" s="89">
        <v>64</v>
      </c>
      <c r="NB774" s="148" t="s">
        <v>2235</v>
      </c>
      <c r="NC774" s="159" t="s">
        <v>2237</v>
      </c>
      <c r="NE774" s="159"/>
      <c r="NF774" s="159"/>
      <c r="NG774" s="159"/>
      <c r="NH774" s="159"/>
      <c r="NI774" s="159"/>
      <c r="NJ774" s="148"/>
      <c r="NK774" s="148" t="s">
        <v>2240</v>
      </c>
      <c r="NL774" s="148" t="s">
        <v>2243</v>
      </c>
      <c r="NM774" t="s">
        <v>8</v>
      </c>
      <c r="NN774" s="160" t="s">
        <v>13</v>
      </c>
      <c r="NO774" s="148"/>
      <c r="NP774" s="148"/>
      <c r="NQ774" s="148"/>
      <c r="NR774" s="148"/>
      <c r="NS774" s="148"/>
      <c r="NT774" s="148"/>
      <c r="NU774" s="148"/>
      <c r="NV774" s="148"/>
      <c r="NW774" s="161" t="s">
        <v>6</v>
      </c>
      <c r="NX774">
        <v>14336.7</v>
      </c>
      <c r="NY774" s="161" t="s">
        <v>4</v>
      </c>
      <c r="NZ774">
        <v>458</v>
      </c>
      <c r="OA774" s="169"/>
      <c r="OB774" s="2"/>
      <c r="OC774" s="148">
        <v>4</v>
      </c>
      <c r="OD774" s="89"/>
      <c r="OE774" s="89"/>
      <c r="OH774" s="2"/>
      <c r="OI774" s="2"/>
      <c r="OJ774" s="2"/>
      <c r="OK774" s="2"/>
      <c r="OL774" s="2"/>
      <c r="OM774" s="2"/>
      <c r="OT774" s="148" t="s">
        <v>2242</v>
      </c>
      <c r="OU774" s="2"/>
      <c r="OV774" s="2">
        <v>2008</v>
      </c>
      <c r="OW774" s="2"/>
      <c r="OX774" s="2"/>
      <c r="OY774" s="148" t="s">
        <v>62</v>
      </c>
      <c r="OZ774" s="2"/>
      <c r="PA774" t="s">
        <v>1169</v>
      </c>
      <c r="PB774" s="58">
        <v>46134</v>
      </c>
    </row>
    <row r="775" spans="1:418" ht="15.75" thickBot="1">
      <c r="A775" t="s">
        <v>248</v>
      </c>
      <c r="B775" t="s">
        <v>2219</v>
      </c>
      <c r="C775" s="89" t="s">
        <v>34</v>
      </c>
      <c r="D775" s="147" t="s">
        <v>1936</v>
      </c>
      <c r="E775" s="89" t="s">
        <v>1658</v>
      </c>
      <c r="F775" t="s">
        <v>31</v>
      </c>
      <c r="G775" s="89" t="s">
        <v>2</v>
      </c>
      <c r="H775" s="147" t="s">
        <v>30</v>
      </c>
      <c r="I775">
        <v>-0.41666666699999999</v>
      </c>
      <c r="J775">
        <v>34.200000000000003</v>
      </c>
      <c r="K775" s="147" t="s">
        <v>29</v>
      </c>
      <c r="L775" s="89"/>
      <c r="M775" s="147"/>
      <c r="N775" s="89"/>
      <c r="O775" s="89"/>
      <c r="P775" s="89"/>
      <c r="Q775" s="89"/>
      <c r="R775" s="89"/>
      <c r="S775" s="89"/>
      <c r="T775" s="89"/>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c r="AV775" s="89" t="s">
        <v>2220</v>
      </c>
      <c r="AW775" s="89">
        <v>64</v>
      </c>
      <c r="AX775" s="89">
        <v>0.09</v>
      </c>
      <c r="AY775" s="89">
        <v>1</v>
      </c>
      <c r="AZ775" s="148" t="s">
        <v>2221</v>
      </c>
      <c r="BA775" s="148">
        <v>2007</v>
      </c>
      <c r="BB775" s="148">
        <v>2008</v>
      </c>
      <c r="BC775" s="148" t="s">
        <v>62</v>
      </c>
      <c r="BD775" s="89"/>
      <c r="BE775" s="148" t="s">
        <v>2222</v>
      </c>
      <c r="BF775" s="148" t="s">
        <v>39</v>
      </c>
      <c r="BG775" s="148" t="s">
        <v>1233</v>
      </c>
      <c r="BH775" s="148" t="s">
        <v>2223</v>
      </c>
      <c r="BI775" s="148" t="s">
        <v>29</v>
      </c>
      <c r="BJ775" s="149" t="s">
        <v>22</v>
      </c>
      <c r="BK775" s="150">
        <v>111000</v>
      </c>
      <c r="BL775" s="89"/>
      <c r="BM775" s="89"/>
      <c r="BN775" s="89"/>
      <c r="BO775" s="147"/>
      <c r="BP775" s="170"/>
      <c r="BQ775" s="89"/>
      <c r="BR775" s="89"/>
      <c r="BS775" s="89"/>
      <c r="BT775" s="147"/>
      <c r="BU775" s="170"/>
      <c r="BV775" s="89"/>
      <c r="BW775" s="3"/>
      <c r="BX775" s="3"/>
      <c r="BY775" s="3"/>
      <c r="BZ775" s="3"/>
      <c r="CA775" s="3"/>
      <c r="CB775" s="3"/>
      <c r="CC775" s="3"/>
      <c r="CD775" s="3"/>
      <c r="CE775" s="3"/>
      <c r="CF775" s="3"/>
      <c r="CG775" s="3"/>
      <c r="CH775" s="3"/>
      <c r="CI775" s="3"/>
      <c r="CJ775" s="3"/>
      <c r="CK775" s="3"/>
      <c r="CL775" s="3"/>
      <c r="CM775" s="3"/>
      <c r="CN775" s="3"/>
      <c r="CO775" s="3"/>
      <c r="CP775" s="3"/>
      <c r="CQ775" s="3"/>
      <c r="CR775" s="3"/>
      <c r="CS775" s="3"/>
      <c r="CT775" s="3"/>
      <c r="CU775" s="3"/>
      <c r="CV775" s="3"/>
      <c r="CW775" s="3"/>
      <c r="CX775" s="3"/>
      <c r="CY775" s="3"/>
      <c r="CZ775" s="3"/>
      <c r="DA775" s="3"/>
      <c r="DB775" s="3"/>
      <c r="DC775" s="3"/>
      <c r="DD775" s="3"/>
      <c r="DE775" s="3"/>
      <c r="DF775" s="3"/>
      <c r="DG775" s="3"/>
      <c r="DH775" s="3"/>
      <c r="DI775" s="3"/>
      <c r="DJ775" s="3"/>
      <c r="DK775" s="3"/>
      <c r="DL775" s="3"/>
      <c r="DM775" s="3"/>
      <c r="DN775" s="3"/>
      <c r="DO775" s="3"/>
      <c r="DP775" s="3"/>
      <c r="DQ775" s="3"/>
      <c r="DR775" s="3"/>
      <c r="DS775" s="3"/>
      <c r="DT775" s="3"/>
      <c r="DU775" s="3"/>
      <c r="DV775" s="3"/>
      <c r="DW775" s="3"/>
      <c r="DX775" s="3"/>
      <c r="DY775" s="3"/>
      <c r="DZ775" s="3"/>
      <c r="EA775" s="3"/>
      <c r="EB775" s="3"/>
      <c r="EC775" s="3"/>
      <c r="ED775" s="3"/>
      <c r="EE775" s="89"/>
      <c r="EF775" s="89"/>
      <c r="EG775" s="89"/>
      <c r="EH775" s="89"/>
      <c r="EI775" s="89"/>
      <c r="EJ775" s="89"/>
      <c r="EK775" s="89"/>
      <c r="EL775" s="89"/>
      <c r="EM775" s="3"/>
      <c r="EN775" s="3"/>
      <c r="EO775" s="3"/>
      <c r="EP775" s="3"/>
      <c r="EQ775" s="3"/>
      <c r="ER775" s="3"/>
      <c r="ES775" s="3"/>
      <c r="ET775" s="3"/>
      <c r="EU775" s="3"/>
      <c r="EV775" s="3"/>
      <c r="EW775" s="3"/>
      <c r="EX775" s="3"/>
      <c r="EY775" s="3"/>
      <c r="EZ775" s="3"/>
      <c r="FA775" s="3"/>
      <c r="FB775" s="3"/>
      <c r="FC775" s="3"/>
      <c r="FD775" s="3"/>
      <c r="FE775" s="3"/>
      <c r="FF775" s="3"/>
      <c r="FG775" s="3"/>
      <c r="FH775" s="3"/>
      <c r="FI775" s="3"/>
      <c r="FJ775" s="3"/>
      <c r="FK775" s="3"/>
      <c r="FL775" s="3"/>
      <c r="FM775" s="3"/>
      <c r="FN775" s="3"/>
      <c r="FO775" s="3"/>
      <c r="FP775" s="3"/>
      <c r="FQ775" s="3"/>
      <c r="FR775" s="3"/>
      <c r="FS775" s="3"/>
      <c r="FT775" s="3"/>
      <c r="FU775" s="3"/>
      <c r="FV775" s="3"/>
      <c r="FW775" s="3"/>
      <c r="FX775" s="3"/>
      <c r="FY775" s="3"/>
      <c r="FZ775" s="3"/>
      <c r="GA775" s="3"/>
      <c r="GB775" s="3"/>
      <c r="GC775" s="3"/>
      <c r="GD775" s="3"/>
      <c r="GE775" s="3"/>
      <c r="GF775" s="3"/>
      <c r="GG775" s="3"/>
      <c r="GH775" s="3"/>
      <c r="GI775" s="3"/>
      <c r="GJ775" s="3"/>
      <c r="GK775" s="3"/>
      <c r="GL775" s="3"/>
      <c r="GM775" s="3"/>
      <c r="GN775" s="3"/>
      <c r="GO775" s="3"/>
      <c r="GP775" s="3"/>
      <c r="GQ775" s="3"/>
      <c r="GR775" s="3"/>
      <c r="GS775" s="3"/>
      <c r="GT775" s="3"/>
      <c r="GU775" s="3"/>
      <c r="GV775" s="3"/>
      <c r="GW775" s="3"/>
      <c r="GX775" s="3"/>
      <c r="GY775" s="3"/>
      <c r="GZ775" s="3"/>
      <c r="HA775" s="3"/>
      <c r="HB775" s="3"/>
      <c r="HC775" s="3"/>
      <c r="HD775" s="3"/>
      <c r="HE775" s="3"/>
      <c r="HF775" s="3"/>
      <c r="HG775" s="3"/>
      <c r="HH775" s="3"/>
      <c r="HI775" s="3"/>
      <c r="HJ775" s="3"/>
      <c r="HK775" s="3"/>
      <c r="HL775" s="89"/>
      <c r="HM775" s="89"/>
      <c r="HN775" s="89"/>
      <c r="HO775" s="89"/>
      <c r="HP775" s="89"/>
      <c r="HQ775" s="89"/>
      <c r="HR775" s="89"/>
      <c r="HS775" s="89"/>
      <c r="HT775" s="147"/>
      <c r="HU775" s="89"/>
      <c r="HV775" s="89"/>
      <c r="HW775" s="89"/>
      <c r="HX775" s="89"/>
      <c r="HY775" s="89"/>
      <c r="HZ775" s="89"/>
      <c r="IA775" s="89"/>
      <c r="IB775" s="89"/>
      <c r="IC775" s="89"/>
      <c r="ID775" s="89"/>
      <c r="IE775" s="89"/>
      <c r="IF775" s="89"/>
      <c r="IG775" s="89"/>
      <c r="IH775" s="89"/>
      <c r="II775" s="148" t="s">
        <v>2224</v>
      </c>
      <c r="IJ775" s="152" t="s">
        <v>19</v>
      </c>
      <c r="IK775" s="89"/>
      <c r="IL775" s="89"/>
      <c r="IM775" s="89"/>
      <c r="IN775" s="89"/>
      <c r="IO775" s="89"/>
      <c r="IR775" s="89"/>
      <c r="IS775" s="89"/>
      <c r="IT775" s="89"/>
      <c r="IU775" s="89"/>
      <c r="IV775" s="89"/>
      <c r="IW775" s="89"/>
      <c r="IX775" s="147"/>
      <c r="IY775" s="89"/>
      <c r="IZ775" s="89"/>
      <c r="JA775" s="89"/>
      <c r="JB775" s="89"/>
      <c r="JC775" s="89"/>
      <c r="JD775" s="89"/>
      <c r="JE775" s="89"/>
      <c r="JF775" s="89"/>
      <c r="JG775" s="89"/>
      <c r="JH775" s="89"/>
      <c r="JI775" s="89"/>
      <c r="JJ775" s="89"/>
      <c r="JK775" s="89"/>
      <c r="JL775" s="89"/>
      <c r="JM775" s="154" t="s">
        <v>14</v>
      </c>
      <c r="JN775" s="155" t="s">
        <v>1664</v>
      </c>
      <c r="JO775" s="147"/>
      <c r="JS775" s="89"/>
      <c r="JT775" s="89"/>
      <c r="JU775" s="89"/>
      <c r="JV775" s="89"/>
      <c r="JW775" s="89"/>
      <c r="JX775" s="89"/>
      <c r="JY775" s="89"/>
      <c r="JZ775" s="156"/>
      <c r="KA775" s="154"/>
      <c r="KB775" s="147"/>
      <c r="KC775" s="89"/>
      <c r="KD775" s="147"/>
      <c r="KE775" s="89"/>
      <c r="KF775" s="89"/>
      <c r="KG775" s="89"/>
      <c r="KH775" s="147"/>
      <c r="KI775" s="89"/>
      <c r="KJ775" s="152"/>
      <c r="KK775" s="173"/>
      <c r="KL775" s="89"/>
      <c r="KM775" s="89"/>
      <c r="KN775" s="89"/>
      <c r="KO775" s="89"/>
      <c r="KP775" s="147"/>
      <c r="KQ775" s="89"/>
      <c r="KR775" s="177"/>
      <c r="KS775" s="154"/>
      <c r="KT775" s="89"/>
      <c r="KU775" s="89"/>
      <c r="KV775" s="158"/>
      <c r="KW775" s="173"/>
      <c r="KX775" s="89"/>
      <c r="KY775" s="89"/>
      <c r="KZ775" s="89"/>
      <c r="LA775" s="3"/>
      <c r="LB775" s="3"/>
      <c r="LC775" s="3"/>
      <c r="LD775" s="3"/>
      <c r="LE775" s="3"/>
      <c r="LF775" s="3"/>
      <c r="LG775" s="3"/>
      <c r="LH775" s="3"/>
      <c r="LI775" s="147"/>
      <c r="LJ775" s="147"/>
      <c r="LK775" s="147"/>
      <c r="LL775" s="147"/>
      <c r="LM775" s="147"/>
      <c r="LN775" s="89"/>
      <c r="LO775" s="147"/>
      <c r="LP775" s="147"/>
      <c r="LQ775" s="147"/>
      <c r="LR775" s="89"/>
      <c r="LS775" s="89"/>
      <c r="LT775" s="89"/>
      <c r="LU775" s="89"/>
      <c r="LV775" s="89"/>
      <c r="LW775" s="89"/>
      <c r="LX775" s="89"/>
      <c r="LY775" s="89"/>
      <c r="LZ775" s="89"/>
      <c r="MA775" s="89"/>
      <c r="MB775" s="89"/>
      <c r="MC775" s="89"/>
      <c r="MD775" s="89"/>
      <c r="ME775" s="89"/>
      <c r="MF775" s="89"/>
      <c r="MG775" s="89"/>
      <c r="MH775" s="89"/>
      <c r="MI775" s="89"/>
      <c r="MJ775" s="89"/>
      <c r="MK775" s="89"/>
      <c r="ML775" s="89"/>
      <c r="MM775" s="89"/>
      <c r="MN775" s="89"/>
      <c r="MO775" s="89"/>
      <c r="MP775" s="89"/>
      <c r="MQ775" s="89"/>
      <c r="MR775" s="89"/>
      <c r="MS775" s="89"/>
      <c r="MT775" s="89"/>
      <c r="MU775" s="89"/>
      <c r="MV775" s="89"/>
      <c r="MW775" s="89"/>
      <c r="MX775" s="89"/>
      <c r="MY775" s="89"/>
      <c r="MZ775" s="148" t="s">
        <v>2225</v>
      </c>
      <c r="NA775" s="89">
        <v>64</v>
      </c>
      <c r="NB775" s="148" t="s">
        <v>2235</v>
      </c>
      <c r="NC775" s="159" t="s">
        <v>2237</v>
      </c>
      <c r="NE775" s="159"/>
      <c r="NF775" s="159"/>
      <c r="NG775" s="159"/>
      <c r="NH775" s="159"/>
      <c r="NI775" s="159"/>
      <c r="NJ775" s="148"/>
      <c r="NK775" s="148" t="s">
        <v>2240</v>
      </c>
      <c r="NL775" s="148" t="s">
        <v>2241</v>
      </c>
      <c r="NM775" t="s">
        <v>8</v>
      </c>
      <c r="NN775" s="160" t="s">
        <v>13</v>
      </c>
      <c r="NO775" s="148"/>
      <c r="NP775" s="148"/>
      <c r="NQ775" s="148"/>
      <c r="NR775" s="148"/>
      <c r="NS775" s="148"/>
      <c r="NT775" s="148"/>
      <c r="NU775" s="148"/>
      <c r="NV775" s="148" t="s">
        <v>64</v>
      </c>
      <c r="NW775" s="161" t="s">
        <v>6</v>
      </c>
      <c r="NX775">
        <v>4852</v>
      </c>
      <c r="NY775" s="161" t="s">
        <v>4</v>
      </c>
      <c r="NZ775">
        <v>209</v>
      </c>
      <c r="OA775" s="175"/>
      <c r="OB775" s="89"/>
      <c r="OC775" s="148">
        <v>4</v>
      </c>
      <c r="OD775" s="2"/>
      <c r="OE775" s="2"/>
      <c r="OH775" s="89"/>
      <c r="OI775" s="89"/>
      <c r="OJ775" s="89"/>
      <c r="OK775" s="89"/>
      <c r="OL775" s="89"/>
      <c r="OM775" s="89"/>
      <c r="ON775" s="159"/>
      <c r="OO775" s="159"/>
      <c r="OP775" s="159"/>
      <c r="OQ775" s="159"/>
      <c r="OR775" s="159"/>
      <c r="OS775" s="159"/>
      <c r="OT775" s="148" t="s">
        <v>2242</v>
      </c>
      <c r="OU775" s="89"/>
      <c r="OV775" s="89">
        <v>2008</v>
      </c>
      <c r="OW775" s="89"/>
      <c r="OX775" s="89"/>
      <c r="OY775" s="148" t="s">
        <v>62</v>
      </c>
      <c r="OZ775" s="89"/>
      <c r="PA775" t="s">
        <v>1169</v>
      </c>
      <c r="PB775" s="58">
        <v>46134</v>
      </c>
    </row>
    <row r="776" spans="1:418" ht="17.25" thickBot="1">
      <c r="A776" t="s">
        <v>248</v>
      </c>
      <c r="B776" t="s">
        <v>2219</v>
      </c>
      <c r="C776" s="89" t="s">
        <v>34</v>
      </c>
      <c r="D776" s="147" t="s">
        <v>1936</v>
      </c>
      <c r="E776" s="89" t="s">
        <v>1658</v>
      </c>
      <c r="F776" t="s">
        <v>31</v>
      </c>
      <c r="G776" s="89" t="s">
        <v>2</v>
      </c>
      <c r="H776" s="147" t="s">
        <v>30</v>
      </c>
      <c r="I776">
        <v>-0.41666666699999999</v>
      </c>
      <c r="J776">
        <v>34.200000000000003</v>
      </c>
      <c r="K776" s="147" t="s">
        <v>29</v>
      </c>
      <c r="L776" s="89"/>
      <c r="M776" s="147"/>
      <c r="N776" s="89"/>
      <c r="O776" s="89"/>
      <c r="P776" s="89"/>
      <c r="Q776" s="89"/>
      <c r="R776" s="89"/>
      <c r="S776" s="89"/>
      <c r="T776" s="89"/>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c r="AV776" s="89" t="s">
        <v>2220</v>
      </c>
      <c r="AW776" s="89">
        <v>64</v>
      </c>
      <c r="AX776" s="89">
        <v>0.09</v>
      </c>
      <c r="AY776" s="89">
        <v>1</v>
      </c>
      <c r="AZ776" s="148" t="s">
        <v>2221</v>
      </c>
      <c r="BA776" s="148">
        <v>2007</v>
      </c>
      <c r="BB776" s="148">
        <v>2008</v>
      </c>
      <c r="BC776" s="148" t="s">
        <v>62</v>
      </c>
      <c r="BD776" s="148"/>
      <c r="BE776" s="148" t="s">
        <v>2222</v>
      </c>
      <c r="BF776" s="148" t="s">
        <v>39</v>
      </c>
      <c r="BG776" s="148" t="s">
        <v>1233</v>
      </c>
      <c r="BH776" s="148" t="s">
        <v>2223</v>
      </c>
      <c r="BI776" s="148" t="s">
        <v>29</v>
      </c>
      <c r="BJ776" s="149" t="s">
        <v>22</v>
      </c>
      <c r="BK776" s="150">
        <v>111000</v>
      </c>
      <c r="BL776" s="148"/>
      <c r="BM776" s="148"/>
      <c r="BN776" s="148"/>
      <c r="BO776" s="148"/>
      <c r="BP776" s="148"/>
      <c r="BQ776" s="148"/>
      <c r="BR776" s="148"/>
      <c r="BS776" s="148"/>
      <c r="BT776" s="148"/>
      <c r="BU776" s="148"/>
      <c r="BV776" s="148"/>
      <c r="BW776" s="3"/>
      <c r="BX776" s="3"/>
      <c r="BY776" s="3"/>
      <c r="BZ776" s="3"/>
      <c r="CA776" s="3"/>
      <c r="CB776" s="3"/>
      <c r="CC776" s="3"/>
      <c r="CD776" s="3"/>
      <c r="CE776" s="3"/>
      <c r="CF776" s="3"/>
      <c r="CG776" s="3"/>
      <c r="CH776" s="3"/>
      <c r="CI776" s="3"/>
      <c r="CJ776" s="3"/>
      <c r="CK776" s="3"/>
      <c r="CL776" s="3"/>
      <c r="CM776" s="3"/>
      <c r="CN776" s="3"/>
      <c r="CO776" s="3"/>
      <c r="CP776" s="3"/>
      <c r="CQ776" s="3"/>
      <c r="CR776" s="3"/>
      <c r="CS776" s="3"/>
      <c r="CT776" s="3"/>
      <c r="CU776" s="3"/>
      <c r="CV776" s="3"/>
      <c r="CW776" s="3"/>
      <c r="CX776" s="3"/>
      <c r="CY776" s="3"/>
      <c r="CZ776" s="3"/>
      <c r="DA776" s="3"/>
      <c r="DB776" s="3"/>
      <c r="DC776" s="3"/>
      <c r="DD776" s="3"/>
      <c r="DE776" s="3"/>
      <c r="DF776" s="3"/>
      <c r="DG776" s="3"/>
      <c r="DH776" s="3"/>
      <c r="DI776" s="3"/>
      <c r="DJ776" s="3"/>
      <c r="DK776" s="3"/>
      <c r="DL776" s="3"/>
      <c r="DM776" s="3"/>
      <c r="DN776" s="3"/>
      <c r="DO776" s="3"/>
      <c r="DP776" s="3"/>
      <c r="DQ776" s="3"/>
      <c r="DR776" s="3"/>
      <c r="DS776" s="3"/>
      <c r="DT776" s="3"/>
      <c r="DU776" s="3"/>
      <c r="DV776" s="3"/>
      <c r="DW776" s="3"/>
      <c r="DX776" s="3"/>
      <c r="DY776" s="3"/>
      <c r="DZ776" s="3"/>
      <c r="EA776" s="3"/>
      <c r="EB776" s="3"/>
      <c r="EC776" s="3"/>
      <c r="ED776" s="3"/>
      <c r="EE776" s="2"/>
      <c r="EF776" s="148"/>
      <c r="EG776" s="148"/>
      <c r="EH776" s="148"/>
      <c r="EI776" s="148"/>
      <c r="EJ776" s="148"/>
      <c r="EK776" s="148"/>
      <c r="EL776" s="148"/>
      <c r="EM776" s="3"/>
      <c r="EN776" s="3"/>
      <c r="EO776" s="3"/>
      <c r="EP776" s="3"/>
      <c r="EQ776" s="3"/>
      <c r="ER776" s="3"/>
      <c r="ES776" s="3"/>
      <c r="ET776" s="3"/>
      <c r="EU776" s="3"/>
      <c r="EV776" s="3"/>
      <c r="EW776" s="3"/>
      <c r="EX776" s="3"/>
      <c r="EY776" s="3"/>
      <c r="EZ776" s="3"/>
      <c r="FA776" s="3"/>
      <c r="FB776" s="3"/>
      <c r="FC776" s="3"/>
      <c r="FD776" s="3"/>
      <c r="FE776" s="3"/>
      <c r="FF776" s="3"/>
      <c r="FG776" s="3"/>
      <c r="FH776" s="3"/>
      <c r="FI776" s="3"/>
      <c r="FJ776" s="3"/>
      <c r="FK776" s="3"/>
      <c r="FL776" s="3"/>
      <c r="FM776" s="3"/>
      <c r="FN776" s="3"/>
      <c r="FO776" s="3"/>
      <c r="FP776" s="3"/>
      <c r="FQ776" s="3"/>
      <c r="FR776" s="3"/>
      <c r="FS776" s="3"/>
      <c r="FT776" s="3"/>
      <c r="FU776" s="3"/>
      <c r="FV776" s="3"/>
      <c r="FW776" s="3"/>
      <c r="FX776" s="3"/>
      <c r="FY776" s="3"/>
      <c r="FZ776" s="3"/>
      <c r="GA776" s="3"/>
      <c r="GB776" s="3"/>
      <c r="GC776" s="3"/>
      <c r="GD776" s="3"/>
      <c r="GE776" s="3"/>
      <c r="GF776" s="3"/>
      <c r="GG776" s="3"/>
      <c r="GH776" s="3"/>
      <c r="GI776" s="3"/>
      <c r="GJ776" s="3"/>
      <c r="GK776" s="3"/>
      <c r="GL776" s="3"/>
      <c r="GM776" s="3"/>
      <c r="GN776" s="3"/>
      <c r="GO776" s="3"/>
      <c r="GP776" s="3"/>
      <c r="GQ776" s="3"/>
      <c r="GR776" s="3"/>
      <c r="GS776" s="3"/>
      <c r="GT776" s="3"/>
      <c r="GU776" s="3"/>
      <c r="GV776" s="3"/>
      <c r="GW776" s="3"/>
      <c r="GX776" s="3"/>
      <c r="GY776" s="3"/>
      <c r="GZ776" s="3"/>
      <c r="HA776" s="3"/>
      <c r="HB776" s="3"/>
      <c r="HC776" s="3"/>
      <c r="HD776" s="3"/>
      <c r="HE776" s="3"/>
      <c r="HF776" s="3"/>
      <c r="HG776" s="3"/>
      <c r="HH776" s="3"/>
      <c r="HI776" s="3"/>
      <c r="HJ776" s="3"/>
      <c r="HK776" s="3"/>
      <c r="HL776" s="148"/>
      <c r="HM776" s="148"/>
      <c r="HN776" s="148"/>
      <c r="HO776" s="148"/>
      <c r="HP776" s="148"/>
      <c r="HQ776" s="148"/>
      <c r="HR776" s="148"/>
      <c r="HS776" s="148"/>
      <c r="HT776" s="149"/>
      <c r="HU776" s="148"/>
      <c r="HV776" s="148"/>
      <c r="HW776" s="148"/>
      <c r="HX776" s="148"/>
      <c r="HY776" s="151"/>
      <c r="HZ776" s="148"/>
      <c r="IA776" s="148"/>
      <c r="IB776" s="148"/>
      <c r="IC776" s="148"/>
      <c r="ID776" s="148"/>
      <c r="IE776" s="148"/>
      <c r="IF776" s="148"/>
      <c r="IG776" s="148"/>
      <c r="IH776" s="148"/>
      <c r="II776" s="148" t="s">
        <v>2224</v>
      </c>
      <c r="IJ776" s="152" t="s">
        <v>19</v>
      </c>
      <c r="IK776" s="152"/>
      <c r="IL776" s="153"/>
      <c r="IM776" s="148"/>
      <c r="IN776" s="148"/>
      <c r="IO776" s="148"/>
      <c r="IR776" s="148"/>
      <c r="IS776" s="148"/>
      <c r="IT776" s="148"/>
      <c r="IU776" s="148"/>
      <c r="IV776" s="148"/>
      <c r="IW776" s="148"/>
      <c r="IX776" s="148"/>
      <c r="IY776" s="148"/>
      <c r="IZ776" s="148"/>
      <c r="JA776" s="89"/>
      <c r="JB776" s="89"/>
      <c r="JC776" s="89"/>
      <c r="JD776" s="89"/>
      <c r="JE776" s="89"/>
      <c r="JF776" s="89"/>
      <c r="JG776" s="89"/>
      <c r="JH776" s="89"/>
      <c r="JI776" s="89"/>
      <c r="JJ776" s="89"/>
      <c r="JK776" s="89"/>
      <c r="JL776" s="89"/>
      <c r="JM776" s="154" t="s">
        <v>14</v>
      </c>
      <c r="JN776" s="155" t="s">
        <v>1664</v>
      </c>
      <c r="JO776" s="149"/>
      <c r="JS776" s="148"/>
      <c r="JT776" s="148"/>
      <c r="JU776" s="148"/>
      <c r="JV776" s="148"/>
      <c r="JW776" s="148"/>
      <c r="JX776" s="148"/>
      <c r="JY776" s="148"/>
      <c r="JZ776" s="156"/>
      <c r="KA776" s="156"/>
      <c r="KB776" s="149"/>
      <c r="KC776" s="148"/>
      <c r="KD776" s="149"/>
      <c r="KE776" s="148"/>
      <c r="KF776" s="148"/>
      <c r="KG776" s="148"/>
      <c r="KH776" s="149"/>
      <c r="KI776" s="149"/>
      <c r="KJ776" s="152"/>
      <c r="KK776" s="157"/>
      <c r="KL776" s="148"/>
      <c r="KM776" s="148"/>
      <c r="KN776" s="148"/>
      <c r="KO776" s="148"/>
      <c r="KP776" s="149"/>
      <c r="KQ776" s="148"/>
      <c r="KR776" s="152"/>
      <c r="KS776" s="157"/>
      <c r="KT776" s="148"/>
      <c r="KU776" s="148"/>
      <c r="KV776" s="158"/>
      <c r="KW776" s="157"/>
      <c r="KX776" s="148"/>
      <c r="KY776" s="148"/>
      <c r="KZ776" s="148"/>
      <c r="LA776" s="3"/>
      <c r="LB776" s="3"/>
      <c r="LC776" s="3"/>
      <c r="LD776" s="3"/>
      <c r="LE776" s="3"/>
      <c r="LF776" s="3"/>
      <c r="LG776" s="3"/>
      <c r="LH776" s="3"/>
      <c r="LI776" s="149"/>
      <c r="LJ776" s="149"/>
      <c r="LK776" s="149"/>
      <c r="LL776" s="149"/>
      <c r="LM776" s="149"/>
      <c r="LN776" s="149"/>
      <c r="LO776" s="149"/>
      <c r="LP776" s="149"/>
      <c r="LQ776" s="149"/>
      <c r="LR776" s="148"/>
      <c r="LS776" s="148"/>
      <c r="LT776" s="148"/>
      <c r="LU776" s="148"/>
      <c r="LV776" s="148"/>
      <c r="LW776" s="148"/>
      <c r="LX776" s="148"/>
      <c r="LY776" s="148"/>
      <c r="LZ776" s="148"/>
      <c r="MA776" s="89"/>
      <c r="MB776" s="89"/>
      <c r="MC776" s="89"/>
      <c r="MD776" s="89"/>
      <c r="ME776" s="89"/>
      <c r="MF776" s="159"/>
      <c r="MG776" s="159"/>
      <c r="MH776" s="159"/>
      <c r="MI776" s="2"/>
      <c r="MJ776" s="148"/>
      <c r="MK776" s="148"/>
      <c r="ML776" s="148"/>
      <c r="MM776" s="89"/>
      <c r="MN776" s="89"/>
      <c r="MO776" s="89"/>
      <c r="MP776" s="89"/>
      <c r="MQ776" s="89"/>
      <c r="MR776" s="89"/>
      <c r="MS776" s="89"/>
      <c r="MT776" s="89"/>
      <c r="MU776" s="148"/>
      <c r="MV776" s="148"/>
      <c r="MW776" s="148"/>
      <c r="MX776" s="148"/>
      <c r="MY776" s="148"/>
      <c r="MZ776" s="148" t="s">
        <v>2225</v>
      </c>
      <c r="NA776" s="89">
        <v>64</v>
      </c>
      <c r="NB776" s="148" t="s">
        <v>2244</v>
      </c>
      <c r="NC776" s="159" t="s">
        <v>2245</v>
      </c>
      <c r="ND776" s="159"/>
      <c r="NE776" s="159"/>
      <c r="NF776" s="159"/>
      <c r="NG776" s="159"/>
      <c r="NH776" s="159" t="s">
        <v>205</v>
      </c>
      <c r="NI776" s="159"/>
      <c r="NJ776" s="148"/>
      <c r="NK776" s="148" t="s">
        <v>2244</v>
      </c>
      <c r="NL776" s="148" t="s">
        <v>2246</v>
      </c>
      <c r="NM776" t="s">
        <v>203</v>
      </c>
      <c r="NN776" s="160" t="s">
        <v>2247</v>
      </c>
      <c r="NO776" s="148"/>
      <c r="NP776" s="148"/>
      <c r="NQ776" s="148"/>
      <c r="NR776" s="148"/>
      <c r="NS776" s="148"/>
      <c r="NT776" s="148"/>
      <c r="NU776" s="148"/>
      <c r="NV776" s="148" t="s">
        <v>64</v>
      </c>
      <c r="NW776" s="161" t="s">
        <v>6</v>
      </c>
      <c r="NX776" s="168">
        <v>2386.6999999999998</v>
      </c>
      <c r="NY776" s="161" t="s">
        <v>4</v>
      </c>
      <c r="NZ776" s="161">
        <v>108</v>
      </c>
      <c r="OA776" s="162"/>
      <c r="OB776" s="148"/>
      <c r="OC776" s="148">
        <v>4</v>
      </c>
      <c r="OD776" s="2"/>
      <c r="OE776" s="2"/>
      <c r="OH776" s="148"/>
      <c r="OI776" s="148"/>
      <c r="OJ776" s="148"/>
      <c r="OK776" s="148"/>
      <c r="OL776" s="148"/>
      <c r="OM776" s="148"/>
      <c r="ON776" s="148"/>
      <c r="OO776" s="148"/>
      <c r="OP776" s="148"/>
      <c r="OQ776" s="148"/>
      <c r="OR776" s="148"/>
      <c r="OS776" s="148"/>
      <c r="OT776" s="148" t="s">
        <v>1924</v>
      </c>
      <c r="OU776" s="148"/>
      <c r="OV776" s="148">
        <v>2007</v>
      </c>
      <c r="OW776" s="148"/>
      <c r="OX776" s="148"/>
      <c r="OY776" s="148" t="s">
        <v>62</v>
      </c>
      <c r="OZ776" s="148"/>
      <c r="PA776" t="s">
        <v>1169</v>
      </c>
      <c r="PB776" s="58">
        <v>46134</v>
      </c>
    </row>
    <row r="777" spans="1:418" ht="15.75" thickBot="1">
      <c r="A777" t="s">
        <v>248</v>
      </c>
      <c r="B777" t="s">
        <v>2219</v>
      </c>
      <c r="C777" s="89" t="s">
        <v>34</v>
      </c>
      <c r="D777" s="147" t="s">
        <v>1936</v>
      </c>
      <c r="E777" s="89" t="s">
        <v>1658</v>
      </c>
      <c r="F777" t="s">
        <v>31</v>
      </c>
      <c r="G777" s="89" t="s">
        <v>2</v>
      </c>
      <c r="H777" s="147" t="s">
        <v>30</v>
      </c>
      <c r="I777">
        <v>-0.41666666699999999</v>
      </c>
      <c r="J777">
        <v>34.200000000000003</v>
      </c>
      <c r="K777" s="147" t="s">
        <v>29</v>
      </c>
      <c r="L777" s="2"/>
      <c r="M777" s="99"/>
      <c r="N777" s="2"/>
      <c r="O777" s="89"/>
      <c r="P777" s="2"/>
      <c r="Q777" s="2"/>
      <c r="R777" s="89"/>
      <c r="S777" s="89"/>
      <c r="T777" s="89"/>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c r="AV777" s="89" t="s">
        <v>2220</v>
      </c>
      <c r="AW777" s="89">
        <v>64</v>
      </c>
      <c r="AX777" s="89">
        <v>0.09</v>
      </c>
      <c r="AY777" s="89">
        <v>1</v>
      </c>
      <c r="AZ777" s="148" t="s">
        <v>2221</v>
      </c>
      <c r="BA777" s="148">
        <v>2007</v>
      </c>
      <c r="BB777" s="148">
        <v>2008</v>
      </c>
      <c r="BC777" s="148" t="s">
        <v>62</v>
      </c>
      <c r="BD777" s="2"/>
      <c r="BE777" s="2" t="s">
        <v>2230</v>
      </c>
      <c r="BF777" s="2" t="s">
        <v>64</v>
      </c>
      <c r="BG777" s="148" t="s">
        <v>1233</v>
      </c>
      <c r="BH777" s="2" t="s">
        <v>2223</v>
      </c>
      <c r="BI777" s="148" t="s">
        <v>29</v>
      </c>
      <c r="BJ777" s="149" t="s">
        <v>22</v>
      </c>
      <c r="BK777" s="150">
        <v>55500</v>
      </c>
      <c r="BL777" s="2" t="s">
        <v>56</v>
      </c>
      <c r="BM777" t="s">
        <v>2231</v>
      </c>
      <c r="BN777" s="148" t="s">
        <v>29</v>
      </c>
      <c r="BO777" s="2" t="s">
        <v>22</v>
      </c>
      <c r="BP777" s="2">
        <v>55000</v>
      </c>
      <c r="BQ777" s="2"/>
      <c r="BR777" s="2"/>
      <c r="BS777" s="2"/>
      <c r="BT777" s="2"/>
      <c r="BU777" s="2"/>
      <c r="BV777" s="2"/>
      <c r="BW777" s="3"/>
      <c r="BX777" s="3"/>
      <c r="BY777" s="3"/>
      <c r="BZ777" s="3"/>
      <c r="CA777" s="3"/>
      <c r="CB777" s="3"/>
      <c r="CC777" s="3"/>
      <c r="CD777" s="3"/>
      <c r="CE777" s="3"/>
      <c r="CF777" s="3"/>
      <c r="CG777" s="3"/>
      <c r="CH777" s="3"/>
      <c r="CI777" s="3"/>
      <c r="CJ777" s="3"/>
      <c r="CK777" s="3"/>
      <c r="CL777" s="3"/>
      <c r="CM777" s="3"/>
      <c r="CN777" s="3"/>
      <c r="CO777" s="3"/>
      <c r="CP777" s="3"/>
      <c r="CQ777" s="3"/>
      <c r="CR777" s="3"/>
      <c r="CS777" s="3"/>
      <c r="CT777" s="3"/>
      <c r="CU777" s="3"/>
      <c r="CV777" s="3"/>
      <c r="CW777" s="3"/>
      <c r="CX777" s="3"/>
      <c r="CY777" s="3"/>
      <c r="CZ777" s="3"/>
      <c r="DA777" s="3"/>
      <c r="DB777" s="3"/>
      <c r="DC777" s="3"/>
      <c r="DD777" s="3"/>
      <c r="DE777" s="3"/>
      <c r="DF777" s="3"/>
      <c r="DG777" s="3"/>
      <c r="DH777" s="3"/>
      <c r="DI777" s="3"/>
      <c r="DJ777" s="3"/>
      <c r="DK777" s="3"/>
      <c r="DL777" s="3"/>
      <c r="DM777" s="3"/>
      <c r="DN777" s="3"/>
      <c r="DO777" s="3"/>
      <c r="DP777" s="3"/>
      <c r="DQ777" s="3"/>
      <c r="DR777" s="3"/>
      <c r="DS777" s="3"/>
      <c r="DT777" s="3"/>
      <c r="DU777" s="3"/>
      <c r="DV777" s="3"/>
      <c r="DW777" s="3"/>
      <c r="DX777" s="3"/>
      <c r="DY777" s="3"/>
      <c r="DZ777" s="3"/>
      <c r="EA777" s="3"/>
      <c r="EB777" s="3"/>
      <c r="EC777" s="3"/>
      <c r="ED777" s="3"/>
      <c r="EE777" s="2"/>
      <c r="EF777" s="2"/>
      <c r="EG777" s="2"/>
      <c r="EH777" s="2"/>
      <c r="EI777" s="2"/>
      <c r="EJ777" s="2"/>
      <c r="EK777" s="2"/>
      <c r="EL777" s="2"/>
      <c r="EM777" s="3"/>
      <c r="EN777" s="3"/>
      <c r="EO777" s="3"/>
      <c r="EP777" s="3"/>
      <c r="EQ777" s="3"/>
      <c r="ER777" s="3"/>
      <c r="ES777" s="3"/>
      <c r="ET777" s="3"/>
      <c r="EU777" s="3"/>
      <c r="EV777" s="3"/>
      <c r="EW777" s="3"/>
      <c r="EX777" s="3"/>
      <c r="EY777" s="3"/>
      <c r="EZ777" s="3"/>
      <c r="FA777" s="3"/>
      <c r="FB777" s="3"/>
      <c r="FC777" s="3"/>
      <c r="FD777" s="3"/>
      <c r="FE777" s="3"/>
      <c r="FF777" s="3"/>
      <c r="FG777" s="3"/>
      <c r="FH777" s="3"/>
      <c r="FI777" s="3"/>
      <c r="FJ777" s="3"/>
      <c r="FK777" s="3"/>
      <c r="FL777" s="3"/>
      <c r="FM777" s="3"/>
      <c r="FN777" s="3"/>
      <c r="FO777" s="3"/>
      <c r="FP777" s="3"/>
      <c r="FQ777" s="3"/>
      <c r="FR777" s="3"/>
      <c r="FS777" s="3"/>
      <c r="FT777" s="3"/>
      <c r="FU777" s="3"/>
      <c r="FV777" s="3"/>
      <c r="FW777" s="3"/>
      <c r="FX777" s="3"/>
      <c r="FY777" s="3"/>
      <c r="FZ777" s="3"/>
      <c r="GA777" s="3"/>
      <c r="GB777" s="3"/>
      <c r="GC777" s="3"/>
      <c r="GD777" s="3"/>
      <c r="GE777" s="3"/>
      <c r="GF777" s="3"/>
      <c r="GG777" s="3"/>
      <c r="GH777" s="3"/>
      <c r="GI777" s="3"/>
      <c r="GJ777" s="3"/>
      <c r="GK777" s="3"/>
      <c r="GL777" s="3"/>
      <c r="GM777" s="3"/>
      <c r="GN777" s="3"/>
      <c r="GO777" s="3"/>
      <c r="GP777" s="3"/>
      <c r="GQ777" s="3"/>
      <c r="GR777" s="3"/>
      <c r="GS777" s="3"/>
      <c r="GT777" s="3"/>
      <c r="GU777" s="3"/>
      <c r="GV777" s="3"/>
      <c r="GW777" s="3"/>
      <c r="GX777" s="3"/>
      <c r="GY777" s="3"/>
      <c r="GZ777" s="3"/>
      <c r="HA777" s="3"/>
      <c r="HB777" s="3"/>
      <c r="HC777" s="3"/>
      <c r="HD777" s="3"/>
      <c r="HE777" s="3"/>
      <c r="HF777" s="3"/>
      <c r="HG777" s="3"/>
      <c r="HH777" s="3"/>
      <c r="HI777" s="3"/>
      <c r="HJ777" s="3"/>
      <c r="HK777" s="3"/>
      <c r="HL777" s="2"/>
      <c r="HM777" s="2"/>
      <c r="HN777" s="2"/>
      <c r="HO777" s="2"/>
      <c r="HP777" s="2"/>
      <c r="HQ777" s="2"/>
      <c r="HR777" s="2"/>
      <c r="HS777" s="2"/>
      <c r="HT777" s="99"/>
      <c r="HU777" s="2"/>
      <c r="HV777" s="2"/>
      <c r="HW777" s="2"/>
      <c r="HX777" s="2"/>
      <c r="HY777" s="2"/>
      <c r="HZ777" s="2"/>
      <c r="IA777" s="2"/>
      <c r="IB777" s="2"/>
      <c r="IC777" s="2"/>
      <c r="ID777" s="2"/>
      <c r="IE777" s="2"/>
      <c r="IF777" s="2"/>
      <c r="IG777" s="2"/>
      <c r="IH777" s="2"/>
      <c r="II777" s="148" t="s">
        <v>2224</v>
      </c>
      <c r="IJ777" s="163" t="s">
        <v>1443</v>
      </c>
      <c r="IK777" s="164" t="s">
        <v>1466</v>
      </c>
      <c r="IL777" s="165" t="s">
        <v>661</v>
      </c>
      <c r="IM777" s="2">
        <v>2007</v>
      </c>
      <c r="IN777" s="2" t="s">
        <v>62</v>
      </c>
      <c r="IO777" s="2" t="s">
        <v>29</v>
      </c>
      <c r="IR777" s="2"/>
      <c r="IS777" s="2"/>
      <c r="IT777" s="2"/>
      <c r="IU777" s="2"/>
      <c r="IV777" s="2"/>
      <c r="IW777" s="2"/>
      <c r="IX777" s="2"/>
      <c r="IY777" s="2"/>
      <c r="IZ777" s="2"/>
      <c r="JA777" s="2"/>
      <c r="JB777" s="2"/>
      <c r="JC777" s="2"/>
      <c r="JD777" s="2"/>
      <c r="JE777" s="2"/>
      <c r="JF777" s="2"/>
      <c r="JG777" s="2"/>
      <c r="JH777" s="2"/>
      <c r="JI777" s="2"/>
      <c r="JJ777" s="2"/>
      <c r="JK777" s="2"/>
      <c r="JL777" s="2"/>
      <c r="JM777" s="154" t="s">
        <v>14</v>
      </c>
      <c r="JN777" s="155" t="s">
        <v>1664</v>
      </c>
      <c r="JO777" s="99"/>
      <c r="JS777" s="2"/>
      <c r="JT777" s="2"/>
      <c r="JU777" s="2"/>
      <c r="JV777" s="2"/>
      <c r="JW777" s="2"/>
      <c r="JX777" s="2"/>
      <c r="JY777" s="2"/>
      <c r="JZ777" s="156"/>
      <c r="KA777" s="166"/>
      <c r="KB777" s="99"/>
      <c r="KC777" s="2"/>
      <c r="KD777" s="99"/>
      <c r="KE777" s="2"/>
      <c r="KF777" s="2"/>
      <c r="KG777" s="2"/>
      <c r="KH777" s="99"/>
      <c r="KI777" s="2"/>
      <c r="KJ777" s="163"/>
      <c r="KK777" s="167"/>
      <c r="KL777" s="2"/>
      <c r="KM777" s="2"/>
      <c r="KN777" s="2"/>
      <c r="KO777" s="2"/>
      <c r="KP777" s="99"/>
      <c r="KQ777" s="2"/>
      <c r="KR777" s="163"/>
      <c r="KS777" s="167"/>
      <c r="KT777" s="2"/>
      <c r="KU777" s="2"/>
      <c r="KV777" s="158"/>
      <c r="KW777" s="167"/>
      <c r="KX777" s="2"/>
      <c r="KY777" s="2"/>
      <c r="KZ777" s="2"/>
      <c r="LA777" s="69"/>
      <c r="LB777" s="218"/>
      <c r="LC777" s="218"/>
      <c r="LD777" s="3"/>
      <c r="LE777" s="3"/>
      <c r="LF777" s="3"/>
      <c r="LG777" s="3"/>
      <c r="LH777" s="3"/>
      <c r="LI777" s="99"/>
      <c r="LJ777" s="99"/>
      <c r="LK777" s="99"/>
      <c r="LL777" s="99"/>
      <c r="LM777" s="99"/>
      <c r="LN777" s="2"/>
      <c r="LO777" s="99"/>
      <c r="LP777" s="99"/>
      <c r="LQ777" s="99"/>
      <c r="LR777" s="2"/>
      <c r="LS777" s="2"/>
      <c r="LT777" s="2"/>
      <c r="LU777" s="2"/>
      <c r="LV777" s="2"/>
      <c r="LW777" s="2"/>
      <c r="LX777" s="2"/>
      <c r="LY777" s="2"/>
      <c r="LZ777" s="2"/>
      <c r="MA777" s="2"/>
      <c r="MB777" s="2"/>
      <c r="MC777" s="2"/>
      <c r="MD777" s="2"/>
      <c r="ME777" s="2"/>
      <c r="MF777" s="2"/>
      <c r="MG777" s="2"/>
      <c r="MH777" s="2"/>
      <c r="MJ777" s="2"/>
      <c r="MK777" s="2"/>
      <c r="ML777" s="2"/>
      <c r="MM777" s="2"/>
      <c r="MN777" s="2"/>
      <c r="MO777" s="2"/>
      <c r="MP777" s="2"/>
      <c r="MQ777" s="2"/>
      <c r="MR777" s="2"/>
      <c r="MS777" s="2"/>
      <c r="MT777" s="2"/>
      <c r="MU777" s="2"/>
      <c r="MV777" s="2"/>
      <c r="MW777" s="2"/>
      <c r="MX777" s="2"/>
      <c r="MY777" s="2"/>
      <c r="MZ777" s="148" t="s">
        <v>2225</v>
      </c>
      <c r="NA777" s="89">
        <v>64</v>
      </c>
      <c r="NB777" s="148" t="s">
        <v>2244</v>
      </c>
      <c r="NC777" s="159" t="s">
        <v>2245</v>
      </c>
      <c r="ND777" s="159"/>
      <c r="NE777" s="159"/>
      <c r="NF777" s="159"/>
      <c r="NG777" s="159"/>
      <c r="NH777" s="159" t="s">
        <v>205</v>
      </c>
      <c r="NI777" s="159"/>
      <c r="NJ777" s="148"/>
      <c r="NK777" s="148" t="s">
        <v>2244</v>
      </c>
      <c r="NL777" s="148" t="s">
        <v>2246</v>
      </c>
      <c r="NM777" t="s">
        <v>203</v>
      </c>
      <c r="NN777" s="160" t="s">
        <v>2247</v>
      </c>
      <c r="NO777" s="148"/>
      <c r="NP777" s="148"/>
      <c r="NQ777" s="148"/>
      <c r="NR777" s="148"/>
      <c r="NS777" s="148"/>
      <c r="NT777" s="148"/>
      <c r="NU777" s="148"/>
      <c r="NV777" s="148"/>
      <c r="NW777" s="161" t="s">
        <v>6</v>
      </c>
      <c r="NX777" s="168">
        <v>6.6</v>
      </c>
      <c r="NY777" s="161" t="s">
        <v>4</v>
      </c>
      <c r="NZ777" s="168">
        <v>2</v>
      </c>
      <c r="OA777" s="169"/>
      <c r="OB777" s="2"/>
      <c r="OC777" s="148">
        <v>4</v>
      </c>
      <c r="OD777" s="148"/>
      <c r="OE777" s="148"/>
      <c r="OH777" s="2"/>
      <c r="OI777" s="2"/>
      <c r="OJ777" s="2"/>
      <c r="OK777" s="2"/>
      <c r="OL777" s="2"/>
      <c r="OM777" s="2"/>
      <c r="OT777" s="148" t="s">
        <v>1924</v>
      </c>
      <c r="OU777" s="2"/>
      <c r="OV777" s="148">
        <v>2007</v>
      </c>
      <c r="OW777" s="148"/>
      <c r="OX777" s="148"/>
      <c r="OY777" s="148" t="s">
        <v>62</v>
      </c>
      <c r="OZ777" s="2"/>
      <c r="PA777" t="s">
        <v>1169</v>
      </c>
      <c r="PB777" s="58">
        <v>46134</v>
      </c>
    </row>
    <row r="778" spans="1:418" ht="15.75" thickBot="1">
      <c r="A778" t="s">
        <v>248</v>
      </c>
      <c r="B778" t="s">
        <v>2219</v>
      </c>
      <c r="C778" s="89" t="s">
        <v>34</v>
      </c>
      <c r="D778" s="147" t="s">
        <v>1936</v>
      </c>
      <c r="E778" s="89" t="s">
        <v>1658</v>
      </c>
      <c r="F778" t="s">
        <v>31</v>
      </c>
      <c r="G778" s="89" t="s">
        <v>2</v>
      </c>
      <c r="H778" s="147" t="s">
        <v>30</v>
      </c>
      <c r="I778">
        <v>-0.41666666699999999</v>
      </c>
      <c r="J778">
        <v>34.200000000000003</v>
      </c>
      <c r="K778" s="147" t="s">
        <v>29</v>
      </c>
      <c r="L778" s="89"/>
      <c r="M778" s="147"/>
      <c r="N778" s="89"/>
      <c r="O778" s="89"/>
      <c r="P778" s="89"/>
      <c r="Q778" s="89"/>
      <c r="R778" s="89"/>
      <c r="S778" s="89"/>
      <c r="T778" s="89"/>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c r="AV778" s="89" t="s">
        <v>2220</v>
      </c>
      <c r="AW778" s="89">
        <v>64</v>
      </c>
      <c r="AX778" s="89">
        <v>0.09</v>
      </c>
      <c r="AY778" s="89">
        <v>1</v>
      </c>
      <c r="AZ778" s="148" t="s">
        <v>2221</v>
      </c>
      <c r="BA778" s="148">
        <v>2007</v>
      </c>
      <c r="BB778" s="148">
        <v>2008</v>
      </c>
      <c r="BC778" s="148" t="s">
        <v>1</v>
      </c>
      <c r="BD778" s="89"/>
      <c r="BE778" s="148" t="s">
        <v>2222</v>
      </c>
      <c r="BF778" s="148" t="s">
        <v>39</v>
      </c>
      <c r="BG778" s="148" t="s">
        <v>1233</v>
      </c>
      <c r="BH778" s="148" t="s">
        <v>2223</v>
      </c>
      <c r="BI778" s="148" t="s">
        <v>29</v>
      </c>
      <c r="BJ778" s="149" t="s">
        <v>22</v>
      </c>
      <c r="BK778" s="150">
        <v>111000</v>
      </c>
      <c r="BL778" s="89"/>
      <c r="BM778" s="89"/>
      <c r="BN778" s="89"/>
      <c r="BO778" s="147"/>
      <c r="BP778" s="170"/>
      <c r="BQ778" s="89"/>
      <c r="BR778" s="89"/>
      <c r="BS778" s="89"/>
      <c r="BT778" s="89"/>
      <c r="BU778" s="89"/>
      <c r="BV778" s="89"/>
      <c r="BW778" s="3"/>
      <c r="BX778" s="3"/>
      <c r="BY778" s="3"/>
      <c r="BZ778" s="3"/>
      <c r="CA778" s="3"/>
      <c r="CB778" s="3"/>
      <c r="CC778" s="3"/>
      <c r="CD778" s="3"/>
      <c r="CE778" s="3"/>
      <c r="CF778" s="3"/>
      <c r="CG778" s="3"/>
      <c r="CH778" s="3"/>
      <c r="CI778" s="3"/>
      <c r="CJ778" s="3"/>
      <c r="CK778" s="3"/>
      <c r="CL778" s="3"/>
      <c r="CM778" s="3"/>
      <c r="CN778" s="3"/>
      <c r="CO778" s="3"/>
      <c r="CP778" s="3"/>
      <c r="CQ778" s="3"/>
      <c r="CR778" s="3"/>
      <c r="CS778" s="3"/>
      <c r="CT778" s="3"/>
      <c r="CU778" s="3"/>
      <c r="CV778" s="3"/>
      <c r="CW778" s="3"/>
      <c r="CX778" s="3"/>
      <c r="CY778" s="3"/>
      <c r="CZ778" s="3"/>
      <c r="DA778" s="3"/>
      <c r="DB778" s="3"/>
      <c r="DC778" s="3"/>
      <c r="DD778" s="3"/>
      <c r="DE778" s="3"/>
      <c r="DF778" s="3"/>
      <c r="DG778" s="3"/>
      <c r="DH778" s="3"/>
      <c r="DI778" s="3"/>
      <c r="DJ778" s="3"/>
      <c r="DK778" s="3"/>
      <c r="DL778" s="3"/>
      <c r="DM778" s="3"/>
      <c r="DN778" s="3"/>
      <c r="DO778" s="3"/>
      <c r="DP778" s="3"/>
      <c r="DQ778" s="3"/>
      <c r="DR778" s="3"/>
      <c r="DS778" s="3"/>
      <c r="DT778" s="3"/>
      <c r="DU778" s="3"/>
      <c r="DV778" s="3"/>
      <c r="DW778" s="3"/>
      <c r="DX778" s="3"/>
      <c r="DY778" s="3"/>
      <c r="DZ778" s="3"/>
      <c r="EA778" s="3"/>
      <c r="EB778" s="3"/>
      <c r="EC778" s="3"/>
      <c r="ED778" s="3"/>
      <c r="EE778" s="89"/>
      <c r="EF778" s="89"/>
      <c r="EG778" s="89"/>
      <c r="EH778" s="89"/>
      <c r="EI778" s="89"/>
      <c r="EJ778" s="89"/>
      <c r="EK778" s="89"/>
      <c r="EL778" s="89"/>
      <c r="EM778" s="3"/>
      <c r="EN778" s="3"/>
      <c r="EO778" s="3"/>
      <c r="EP778" s="3"/>
      <c r="EQ778" s="3"/>
      <c r="ER778" s="3"/>
      <c r="ES778" s="3"/>
      <c r="ET778" s="3"/>
      <c r="EU778" s="3"/>
      <c r="EV778" s="3"/>
      <c r="EW778" s="3"/>
      <c r="EX778" s="3"/>
      <c r="EY778" s="3"/>
      <c r="EZ778" s="3"/>
      <c r="FA778" s="3"/>
      <c r="FB778" s="3"/>
      <c r="FC778" s="3"/>
      <c r="FD778" s="3"/>
      <c r="FE778" s="3"/>
      <c r="FF778" s="3"/>
      <c r="FG778" s="3"/>
      <c r="FH778" s="3"/>
      <c r="FI778" s="3"/>
      <c r="FJ778" s="3"/>
      <c r="FK778" s="3"/>
      <c r="FL778" s="3"/>
      <c r="FM778" s="3"/>
      <c r="FN778" s="3"/>
      <c r="FO778" s="3"/>
      <c r="FP778" s="3"/>
      <c r="FQ778" s="3"/>
      <c r="FR778" s="3"/>
      <c r="FS778" s="3"/>
      <c r="FT778" s="3"/>
      <c r="FU778" s="3"/>
      <c r="FV778" s="3"/>
      <c r="FW778" s="3"/>
      <c r="FX778" s="3"/>
      <c r="FY778" s="3"/>
      <c r="FZ778" s="3"/>
      <c r="GA778" s="3"/>
      <c r="GB778" s="3"/>
      <c r="GC778" s="3"/>
      <c r="GD778" s="3"/>
      <c r="GE778" s="3"/>
      <c r="GF778" s="3"/>
      <c r="GG778" s="3"/>
      <c r="GH778" s="3"/>
      <c r="GI778" s="3"/>
      <c r="GJ778" s="3"/>
      <c r="GK778" s="3"/>
      <c r="GL778" s="3"/>
      <c r="GM778" s="3"/>
      <c r="GN778" s="3"/>
      <c r="GO778" s="3"/>
      <c r="GP778" s="3"/>
      <c r="GQ778" s="3"/>
      <c r="GR778" s="3"/>
      <c r="GS778" s="3"/>
      <c r="GT778" s="3"/>
      <c r="GU778" s="3"/>
      <c r="GV778" s="3"/>
      <c r="GW778" s="3"/>
      <c r="GX778" s="3"/>
      <c r="GY778" s="3"/>
      <c r="GZ778" s="3"/>
      <c r="HA778" s="3"/>
      <c r="HB778" s="3"/>
      <c r="HC778" s="3"/>
      <c r="HD778" s="3"/>
      <c r="HE778" s="3"/>
      <c r="HF778" s="3"/>
      <c r="HG778" s="3"/>
      <c r="HH778" s="3"/>
      <c r="HI778" s="3"/>
      <c r="HJ778" s="3"/>
      <c r="HK778" s="3"/>
      <c r="HL778" s="89"/>
      <c r="HM778" s="89"/>
      <c r="HN778" s="89"/>
      <c r="HO778" s="89"/>
      <c r="HP778" s="89"/>
      <c r="HQ778" s="89"/>
      <c r="HR778" s="89"/>
      <c r="HS778" s="89"/>
      <c r="HT778" s="147"/>
      <c r="HU778" s="89"/>
      <c r="HV778" s="89"/>
      <c r="HW778" s="89"/>
      <c r="HX778" s="89"/>
      <c r="HY778" s="89"/>
      <c r="HZ778" s="89"/>
      <c r="IA778" s="89"/>
      <c r="IB778" s="89"/>
      <c r="IC778" s="89"/>
      <c r="ID778" s="89"/>
      <c r="IE778" s="89"/>
      <c r="IF778" s="89"/>
      <c r="IG778" s="89"/>
      <c r="IH778" s="89"/>
      <c r="II778" s="148" t="s">
        <v>2224</v>
      </c>
      <c r="IJ778" s="152" t="s">
        <v>19</v>
      </c>
      <c r="IK778" s="171"/>
      <c r="IL778" s="172"/>
      <c r="IM778" s="89"/>
      <c r="IN778" s="89"/>
      <c r="IO778" s="147"/>
      <c r="IR778" s="89"/>
      <c r="IS778" s="89"/>
      <c r="IT778" s="89"/>
      <c r="IU778" s="89"/>
      <c r="IV778" s="89"/>
      <c r="IW778" s="89"/>
      <c r="IX778" s="89"/>
      <c r="IY778" s="89"/>
      <c r="IZ778" s="89"/>
      <c r="JA778" s="89"/>
      <c r="JB778" s="89"/>
      <c r="JC778" s="89"/>
      <c r="JD778" s="89"/>
      <c r="JE778" s="89"/>
      <c r="JF778" s="89"/>
      <c r="JG778" s="89"/>
      <c r="JH778" s="89"/>
      <c r="JI778" s="89"/>
      <c r="JJ778" s="89"/>
      <c r="JK778" s="89"/>
      <c r="JL778" s="89"/>
      <c r="JM778" s="154" t="s">
        <v>14</v>
      </c>
      <c r="JN778" s="155" t="s">
        <v>1664</v>
      </c>
      <c r="JO778" s="147"/>
      <c r="JS778" s="89"/>
      <c r="JT778" s="89"/>
      <c r="JU778" s="89"/>
      <c r="JV778" s="89"/>
      <c r="JW778" s="89"/>
      <c r="JX778" s="89"/>
      <c r="JY778" s="89"/>
      <c r="JZ778" s="156"/>
      <c r="KA778" s="154"/>
      <c r="KB778" s="147"/>
      <c r="KC778" s="89"/>
      <c r="KD778" s="147"/>
      <c r="KE778" s="89"/>
      <c r="KF778" s="89"/>
      <c r="KG778" s="89"/>
      <c r="KH778" s="147"/>
      <c r="KI778" s="89"/>
      <c r="KJ778" s="152"/>
      <c r="KK778" s="173"/>
      <c r="KL778" s="89"/>
      <c r="KM778" s="89"/>
      <c r="KN778" s="89"/>
      <c r="KO778" s="89"/>
      <c r="KP778" s="147"/>
      <c r="KQ778" s="89"/>
      <c r="KR778" s="152"/>
      <c r="KS778" s="173"/>
      <c r="KT778" s="89"/>
      <c r="KU778" s="89"/>
      <c r="KV778" s="158"/>
      <c r="KW778" s="174"/>
      <c r="KX778" s="89"/>
      <c r="KY778" s="89"/>
      <c r="KZ778" s="89"/>
      <c r="LA778" s="3"/>
      <c r="LB778" s="3"/>
      <c r="LC778" s="3"/>
      <c r="LD778" s="3"/>
      <c r="LE778" s="3"/>
      <c r="LF778" s="3"/>
      <c r="LG778" s="3"/>
      <c r="LH778" s="3"/>
      <c r="LI778" s="147"/>
      <c r="LJ778" s="147"/>
      <c r="LK778" s="147"/>
      <c r="LL778" s="147"/>
      <c r="LM778" s="147"/>
      <c r="LN778" s="89"/>
      <c r="LO778" s="147"/>
      <c r="LP778" s="147"/>
      <c r="LQ778" s="147"/>
      <c r="LR778" s="89"/>
      <c r="LS778" s="89"/>
      <c r="LT778" s="89"/>
      <c r="LU778" s="89"/>
      <c r="LV778" s="89"/>
      <c r="LW778" s="89"/>
      <c r="LX778" s="89"/>
      <c r="LY778" s="89"/>
      <c r="LZ778" s="89"/>
      <c r="MA778" s="89"/>
      <c r="MB778" s="89"/>
      <c r="MC778" s="89"/>
      <c r="MD778" s="89"/>
      <c r="ME778" s="89"/>
      <c r="MF778" s="89"/>
      <c r="MG778" s="89"/>
      <c r="MH778" s="89"/>
      <c r="MI778" s="89"/>
      <c r="MJ778" s="89"/>
      <c r="MK778" s="89"/>
      <c r="ML778" s="89"/>
      <c r="MM778" s="89"/>
      <c r="MN778" s="89"/>
      <c r="MO778" s="89"/>
      <c r="MP778" s="89"/>
      <c r="MQ778" s="89"/>
      <c r="MR778" s="89"/>
      <c r="MS778" s="89"/>
      <c r="MT778" s="89"/>
      <c r="MU778" s="89"/>
      <c r="MV778" s="89"/>
      <c r="MW778" s="89"/>
      <c r="MX778" s="89"/>
      <c r="MY778" s="89"/>
      <c r="MZ778" s="148" t="s">
        <v>2225</v>
      </c>
      <c r="NA778" s="89">
        <v>64</v>
      </c>
      <c r="NB778" s="148" t="s">
        <v>2244</v>
      </c>
      <c r="NC778" s="159" t="s">
        <v>2245</v>
      </c>
      <c r="ND778" s="159"/>
      <c r="NE778" s="159"/>
      <c r="NF778" s="159"/>
      <c r="NG778" s="159"/>
      <c r="NH778" s="159" t="s">
        <v>205</v>
      </c>
      <c r="NI778" s="159"/>
      <c r="NJ778" s="148"/>
      <c r="NK778" s="148" t="s">
        <v>2244</v>
      </c>
      <c r="NL778" s="148" t="s">
        <v>2246</v>
      </c>
      <c r="NM778" t="s">
        <v>203</v>
      </c>
      <c r="NN778" s="160" t="s">
        <v>2247</v>
      </c>
      <c r="NO778" s="148"/>
      <c r="NP778" s="148"/>
      <c r="NQ778" s="148"/>
      <c r="NR778" s="148"/>
      <c r="NS778" s="148"/>
      <c r="NT778" s="148"/>
      <c r="NU778" s="148"/>
      <c r="NV778" s="148" t="s">
        <v>64</v>
      </c>
      <c r="NW778" s="161" t="s">
        <v>6</v>
      </c>
      <c r="NX778" s="168">
        <v>1932.7</v>
      </c>
      <c r="NY778" s="161" t="s">
        <v>4</v>
      </c>
      <c r="NZ778" s="97">
        <v>121</v>
      </c>
      <c r="OA778" s="175"/>
      <c r="OB778" s="89"/>
      <c r="OC778" s="148">
        <v>4</v>
      </c>
      <c r="OD778" s="2"/>
      <c r="OE778" s="2"/>
      <c r="OH778" s="89"/>
      <c r="OI778" s="89"/>
      <c r="OJ778" s="89"/>
      <c r="OK778" s="89"/>
      <c r="OL778" s="89"/>
      <c r="OM778" s="89"/>
      <c r="ON778" s="159"/>
      <c r="OO778" s="159"/>
      <c r="OP778" s="159"/>
      <c r="OQ778" s="159"/>
      <c r="OR778" s="159"/>
      <c r="OS778" s="159"/>
      <c r="OT778" s="148" t="s">
        <v>1924</v>
      </c>
      <c r="OU778" s="89"/>
      <c r="OV778" s="89">
        <v>2007</v>
      </c>
      <c r="OW778" s="89"/>
      <c r="OX778" s="89"/>
      <c r="OY778" s="89" t="s">
        <v>1</v>
      </c>
      <c r="OZ778" s="89"/>
      <c r="PA778" t="s">
        <v>1169</v>
      </c>
      <c r="PB778" s="58">
        <v>46134</v>
      </c>
    </row>
    <row r="779" spans="1:418" ht="15.75" thickBot="1">
      <c r="A779" t="s">
        <v>248</v>
      </c>
      <c r="B779" t="s">
        <v>2219</v>
      </c>
      <c r="C779" s="89" t="s">
        <v>34</v>
      </c>
      <c r="D779" s="147" t="s">
        <v>1936</v>
      </c>
      <c r="E779" s="89" t="s">
        <v>1658</v>
      </c>
      <c r="F779" t="s">
        <v>31</v>
      </c>
      <c r="G779" s="89" t="s">
        <v>2</v>
      </c>
      <c r="H779" s="147" t="s">
        <v>30</v>
      </c>
      <c r="I779">
        <v>-0.41666666699999999</v>
      </c>
      <c r="J779">
        <v>34.200000000000003</v>
      </c>
      <c r="K779" s="147" t="s">
        <v>29</v>
      </c>
      <c r="L779" s="2"/>
      <c r="M779" s="99"/>
      <c r="N779" s="2"/>
      <c r="O779" s="89"/>
      <c r="P779" s="2"/>
      <c r="Q779" s="2"/>
      <c r="R779" s="89"/>
      <c r="S779" s="89"/>
      <c r="T779" s="89"/>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c r="AV779" s="89" t="s">
        <v>2220</v>
      </c>
      <c r="AW779" s="89">
        <v>64</v>
      </c>
      <c r="AX779" s="89">
        <v>0.09</v>
      </c>
      <c r="AY779" s="89">
        <v>1</v>
      </c>
      <c r="AZ779" s="148" t="s">
        <v>2221</v>
      </c>
      <c r="BA779" s="148">
        <v>2007</v>
      </c>
      <c r="BB779" s="148">
        <v>2008</v>
      </c>
      <c r="BC779" s="148" t="s">
        <v>1</v>
      </c>
      <c r="BD779" s="2"/>
      <c r="BE779" s="2" t="s">
        <v>2230</v>
      </c>
      <c r="BF779" s="2" t="s">
        <v>64</v>
      </c>
      <c r="BG779" s="148" t="s">
        <v>1233</v>
      </c>
      <c r="BH779" s="2" t="s">
        <v>2223</v>
      </c>
      <c r="BI779" s="148" t="s">
        <v>29</v>
      </c>
      <c r="BJ779" s="149" t="s">
        <v>22</v>
      </c>
      <c r="BK779" s="150">
        <v>55500</v>
      </c>
      <c r="BL779" s="2" t="s">
        <v>56</v>
      </c>
      <c r="BM779" t="s">
        <v>2231</v>
      </c>
      <c r="BN779" s="148" t="s">
        <v>29</v>
      </c>
      <c r="BO779" s="2" t="s">
        <v>22</v>
      </c>
      <c r="BP779" s="2">
        <v>55000</v>
      </c>
      <c r="BQ779" s="2"/>
      <c r="BR779" s="2"/>
      <c r="BS779" s="2"/>
      <c r="BT779" s="2"/>
      <c r="BU779" s="2"/>
      <c r="BV779" s="2"/>
      <c r="BW779" s="3"/>
      <c r="BX779" s="3"/>
      <c r="BY779" s="3"/>
      <c r="BZ779" s="3"/>
      <c r="CA779" s="3"/>
      <c r="CB779" s="3"/>
      <c r="CC779" s="3"/>
      <c r="CD779" s="3"/>
      <c r="CE779" s="3"/>
      <c r="CF779" s="3"/>
      <c r="CG779" s="3"/>
      <c r="CH779" s="3"/>
      <c r="CI779" s="3"/>
      <c r="CJ779" s="3"/>
      <c r="CK779" s="3"/>
      <c r="CL779" s="3"/>
      <c r="CM779" s="3"/>
      <c r="CN779" s="3"/>
      <c r="CO779" s="3"/>
      <c r="CP779" s="3"/>
      <c r="CQ779" s="3"/>
      <c r="CR779" s="3"/>
      <c r="CS779" s="3"/>
      <c r="CT779" s="3"/>
      <c r="CU779" s="3"/>
      <c r="CV779" s="3"/>
      <c r="CW779" s="3"/>
      <c r="CX779" s="3"/>
      <c r="CY779" s="3"/>
      <c r="CZ779" s="3"/>
      <c r="DA779" s="3"/>
      <c r="DB779" s="3"/>
      <c r="DC779" s="3"/>
      <c r="DD779" s="3"/>
      <c r="DE779" s="3"/>
      <c r="DF779" s="3"/>
      <c r="DG779" s="3"/>
      <c r="DH779" s="3"/>
      <c r="DI779" s="3"/>
      <c r="DJ779" s="3"/>
      <c r="DK779" s="3"/>
      <c r="DL779" s="3"/>
      <c r="DM779" s="3"/>
      <c r="DN779" s="3"/>
      <c r="DO779" s="3"/>
      <c r="DP779" s="3"/>
      <c r="DQ779" s="3"/>
      <c r="DR779" s="3"/>
      <c r="DS779" s="3"/>
      <c r="DT779" s="3"/>
      <c r="DU779" s="3"/>
      <c r="DV779" s="3"/>
      <c r="DW779" s="3"/>
      <c r="DX779" s="3"/>
      <c r="DY779" s="3"/>
      <c r="DZ779" s="3"/>
      <c r="EA779" s="3"/>
      <c r="EB779" s="3"/>
      <c r="EC779" s="3"/>
      <c r="ED779" s="3"/>
      <c r="EE779" s="2"/>
      <c r="EF779" s="2"/>
      <c r="EG779" s="2"/>
      <c r="EH779" s="2"/>
      <c r="EI779" s="2"/>
      <c r="EJ779" s="2"/>
      <c r="EK779" s="2"/>
      <c r="EL779" s="2"/>
      <c r="EM779" s="3"/>
      <c r="EN779" s="3"/>
      <c r="EO779" s="3"/>
      <c r="EP779" s="3"/>
      <c r="EQ779" s="3"/>
      <c r="ER779" s="3"/>
      <c r="ES779" s="3"/>
      <c r="ET779" s="3"/>
      <c r="EU779" s="3"/>
      <c r="EV779" s="3"/>
      <c r="EW779" s="3"/>
      <c r="EX779" s="3"/>
      <c r="EY779" s="3"/>
      <c r="EZ779" s="3"/>
      <c r="FA779" s="3"/>
      <c r="FB779" s="3"/>
      <c r="FC779" s="3"/>
      <c r="FD779" s="3"/>
      <c r="FE779" s="3"/>
      <c r="FF779" s="3"/>
      <c r="FG779" s="3"/>
      <c r="FH779" s="3"/>
      <c r="FI779" s="3"/>
      <c r="FJ779" s="3"/>
      <c r="FK779" s="3"/>
      <c r="FL779" s="3"/>
      <c r="FM779" s="3"/>
      <c r="FN779" s="3"/>
      <c r="FO779" s="3"/>
      <c r="FP779" s="3"/>
      <c r="FQ779" s="3"/>
      <c r="FR779" s="3"/>
      <c r="FS779" s="3"/>
      <c r="FT779" s="3"/>
      <c r="FU779" s="3"/>
      <c r="FV779" s="3"/>
      <c r="FW779" s="3"/>
      <c r="FX779" s="3"/>
      <c r="FY779" s="3"/>
      <c r="FZ779" s="3"/>
      <c r="GA779" s="3"/>
      <c r="GB779" s="3"/>
      <c r="GC779" s="3"/>
      <c r="GD779" s="3"/>
      <c r="GE779" s="3"/>
      <c r="GF779" s="3"/>
      <c r="GG779" s="3"/>
      <c r="GH779" s="3"/>
      <c r="GI779" s="3"/>
      <c r="GJ779" s="3"/>
      <c r="GK779" s="3"/>
      <c r="GL779" s="3"/>
      <c r="GM779" s="3"/>
      <c r="GN779" s="3"/>
      <c r="GO779" s="3"/>
      <c r="GP779" s="3"/>
      <c r="GQ779" s="3"/>
      <c r="GR779" s="3"/>
      <c r="GS779" s="3"/>
      <c r="GT779" s="3"/>
      <c r="GU779" s="3"/>
      <c r="GV779" s="3"/>
      <c r="GW779" s="3"/>
      <c r="GX779" s="3"/>
      <c r="GY779" s="3"/>
      <c r="GZ779" s="3"/>
      <c r="HA779" s="3"/>
      <c r="HB779" s="3"/>
      <c r="HC779" s="3"/>
      <c r="HD779" s="3"/>
      <c r="HE779" s="3"/>
      <c r="HF779" s="3"/>
      <c r="HG779" s="3"/>
      <c r="HH779" s="3"/>
      <c r="HI779" s="3"/>
      <c r="HJ779" s="3"/>
      <c r="HK779" s="3"/>
      <c r="HL779" s="2"/>
      <c r="HM779" s="2"/>
      <c r="HN779" s="2"/>
      <c r="HO779" s="2"/>
      <c r="HP779" s="2"/>
      <c r="HQ779" s="2"/>
      <c r="HR779" s="2"/>
      <c r="HS779" s="2"/>
      <c r="HT779" s="99"/>
      <c r="HU779" s="2"/>
      <c r="HV779" s="2"/>
      <c r="HW779" s="2"/>
      <c r="HX779" s="2"/>
      <c r="HY779" s="2"/>
      <c r="HZ779" s="2"/>
      <c r="IA779" s="2"/>
      <c r="IB779" s="2"/>
      <c r="IC779" s="2"/>
      <c r="ID779" s="2"/>
      <c r="IE779" s="2"/>
      <c r="IF779" s="2"/>
      <c r="IG779" s="2"/>
      <c r="IH779" s="2"/>
      <c r="II779" s="148" t="s">
        <v>2224</v>
      </c>
      <c r="IJ779" s="163" t="s">
        <v>1443</v>
      </c>
      <c r="IK779" s="164" t="s">
        <v>1466</v>
      </c>
      <c r="IL779" s="165" t="s">
        <v>661</v>
      </c>
      <c r="IM779" s="2">
        <v>2007</v>
      </c>
      <c r="IN779" s="2" t="s">
        <v>62</v>
      </c>
      <c r="IO779" s="2" t="s">
        <v>29</v>
      </c>
      <c r="IR779" s="2"/>
      <c r="IS779" s="2"/>
      <c r="IT779" s="2"/>
      <c r="IU779" s="2"/>
      <c r="IV779" s="2"/>
      <c r="IW779" s="2"/>
      <c r="IX779" s="2"/>
      <c r="IY779" s="2"/>
      <c r="IZ779" s="2"/>
      <c r="JA779" s="2"/>
      <c r="JB779" s="2"/>
      <c r="JC779" s="2"/>
      <c r="JD779" s="2"/>
      <c r="JE779" s="2"/>
      <c r="JF779" s="2"/>
      <c r="JG779" s="2"/>
      <c r="JH779" s="2"/>
      <c r="JI779" s="2"/>
      <c r="JJ779" s="2"/>
      <c r="JK779" s="2"/>
      <c r="JL779" s="2"/>
      <c r="JM779" s="154" t="s">
        <v>14</v>
      </c>
      <c r="JN779" s="155" t="s">
        <v>1664</v>
      </c>
      <c r="JO779" s="99"/>
      <c r="JS779" s="2"/>
      <c r="JT779" s="2"/>
      <c r="JU779" s="2"/>
      <c r="JV779" s="2"/>
      <c r="JW779" s="2"/>
      <c r="JX779" s="2"/>
      <c r="JY779" s="2"/>
      <c r="JZ779" s="156"/>
      <c r="KA779" s="166"/>
      <c r="KB779" s="99"/>
      <c r="KC779" s="2"/>
      <c r="KD779" s="99"/>
      <c r="KE779" s="2"/>
      <c r="KF779" s="2"/>
      <c r="KG779" s="2"/>
      <c r="KH779" s="99"/>
      <c r="KI779" s="2"/>
      <c r="KJ779" s="163"/>
      <c r="KK779" s="167"/>
      <c r="KL779" s="2"/>
      <c r="KM779" s="2"/>
      <c r="KN779" s="2"/>
      <c r="KO779" s="2"/>
      <c r="KP779" s="99"/>
      <c r="KQ779" s="2"/>
      <c r="KR779" s="163"/>
      <c r="KS779" s="167"/>
      <c r="KT779" s="2"/>
      <c r="KU779" s="2"/>
      <c r="KV779" s="158"/>
      <c r="KW779" s="176"/>
      <c r="KX779" s="2"/>
      <c r="KY779" s="2"/>
      <c r="KZ779" s="2"/>
      <c r="LA779" s="3"/>
      <c r="LB779" s="3"/>
      <c r="LC779" s="3"/>
      <c r="LD779" s="3"/>
      <c r="LE779" s="3"/>
      <c r="LF779" s="3"/>
      <c r="LG779" s="3"/>
      <c r="LH779" s="3"/>
      <c r="LI779" s="99"/>
      <c r="LJ779" s="99"/>
      <c r="LK779" s="99"/>
      <c r="LL779" s="99"/>
      <c r="LM779" s="99"/>
      <c r="LN779" s="2"/>
      <c r="LO779" s="99"/>
      <c r="LP779" s="99"/>
      <c r="LQ779" s="99"/>
      <c r="LR779" s="2"/>
      <c r="LS779" s="2"/>
      <c r="LT779" s="2"/>
      <c r="LU779" s="2"/>
      <c r="LV779" s="2"/>
      <c r="LW779" s="2"/>
      <c r="LX779" s="2"/>
      <c r="LY779" s="2"/>
      <c r="LZ779" s="2"/>
      <c r="MA779" s="2"/>
      <c r="MB779" s="2"/>
      <c r="MC779" s="2"/>
      <c r="MD779" s="2"/>
      <c r="ME779" s="2"/>
      <c r="MF779" s="2"/>
      <c r="MG779" s="2"/>
      <c r="MH779" s="2"/>
      <c r="MI779" s="2"/>
      <c r="MJ779" s="2"/>
      <c r="MK779" s="2"/>
      <c r="ML779" s="2"/>
      <c r="MM779" s="2"/>
      <c r="MN779" s="2"/>
      <c r="MO779" s="2"/>
      <c r="MP779" s="2"/>
      <c r="MQ779" s="2"/>
      <c r="MR779" s="2"/>
      <c r="MS779" s="2"/>
      <c r="MT779" s="2"/>
      <c r="MU779" s="2"/>
      <c r="MV779" s="2"/>
      <c r="MW779" s="2"/>
      <c r="MX779" s="2"/>
      <c r="MY779" s="2"/>
      <c r="MZ779" s="148" t="s">
        <v>2225</v>
      </c>
      <c r="NA779" s="89">
        <v>64</v>
      </c>
      <c r="NB779" s="148" t="s">
        <v>2244</v>
      </c>
      <c r="NC779" s="159" t="s">
        <v>2245</v>
      </c>
      <c r="ND779" s="159"/>
      <c r="NE779" s="159"/>
      <c r="NF779" s="159"/>
      <c r="NG779" s="159"/>
      <c r="NH779" s="159" t="s">
        <v>205</v>
      </c>
      <c r="NI779" s="159"/>
      <c r="NJ779" s="148"/>
      <c r="NK779" s="148" t="s">
        <v>2244</v>
      </c>
      <c r="NL779" s="148" t="s">
        <v>2246</v>
      </c>
      <c r="NM779" t="s">
        <v>203</v>
      </c>
      <c r="NN779" s="160" t="s">
        <v>2247</v>
      </c>
      <c r="NO779" s="148"/>
      <c r="NP779" s="148"/>
      <c r="NQ779" s="148"/>
      <c r="NR779" s="148"/>
      <c r="NS779" s="148"/>
      <c r="NT779" s="148"/>
      <c r="NU779" s="148"/>
      <c r="NV779" s="148"/>
      <c r="NW779" s="161" t="s">
        <v>6</v>
      </c>
      <c r="NX779" s="168">
        <v>10.1</v>
      </c>
      <c r="NY779" s="161" t="s">
        <v>4</v>
      </c>
      <c r="NZ779" s="168">
        <v>3</v>
      </c>
      <c r="OA779" s="169"/>
      <c r="OB779" s="2"/>
      <c r="OC779" s="148">
        <v>4</v>
      </c>
      <c r="OD779" s="89"/>
      <c r="OE779" s="89"/>
      <c r="OH779" s="2"/>
      <c r="OI779" s="2"/>
      <c r="OJ779" s="2"/>
      <c r="OK779" s="2"/>
      <c r="OL779" s="2"/>
      <c r="OM779" s="2"/>
      <c r="OT779" s="148" t="s">
        <v>1924</v>
      </c>
      <c r="OU779" s="2"/>
      <c r="OV779" s="2">
        <v>2007</v>
      </c>
      <c r="OW779" s="2"/>
      <c r="OX779" s="2"/>
      <c r="OY779" s="2" t="s">
        <v>1</v>
      </c>
      <c r="OZ779" s="2"/>
      <c r="PA779" t="s">
        <v>1169</v>
      </c>
      <c r="PB779" s="58">
        <v>46134</v>
      </c>
    </row>
    <row r="780" spans="1:418" ht="15.75" thickBot="1">
      <c r="A780" t="s">
        <v>248</v>
      </c>
      <c r="B780" t="s">
        <v>2219</v>
      </c>
      <c r="C780" s="89" t="s">
        <v>34</v>
      </c>
      <c r="D780" s="147" t="s">
        <v>1936</v>
      </c>
      <c r="E780" s="89" t="s">
        <v>1658</v>
      </c>
      <c r="F780" t="s">
        <v>31</v>
      </c>
      <c r="G780" s="89" t="s">
        <v>2</v>
      </c>
      <c r="H780" s="147" t="s">
        <v>30</v>
      </c>
      <c r="I780">
        <v>-0.41666666699999999</v>
      </c>
      <c r="J780">
        <v>34.200000000000003</v>
      </c>
      <c r="K780" s="147" t="s">
        <v>29</v>
      </c>
      <c r="L780" s="89"/>
      <c r="M780" s="147"/>
      <c r="N780" s="89"/>
      <c r="O780" s="89"/>
      <c r="P780" s="89"/>
      <c r="Q780" s="89"/>
      <c r="R780" s="89"/>
      <c r="S780" s="89"/>
      <c r="T780" s="89"/>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c r="AV780" s="89" t="s">
        <v>2220</v>
      </c>
      <c r="AW780" s="89">
        <v>64</v>
      </c>
      <c r="AX780" s="89">
        <v>0.09</v>
      </c>
      <c r="AY780" s="89">
        <v>1</v>
      </c>
      <c r="AZ780" s="148" t="s">
        <v>2221</v>
      </c>
      <c r="BA780" s="148">
        <v>2007</v>
      </c>
      <c r="BB780" s="148">
        <v>2008</v>
      </c>
      <c r="BC780" s="148" t="s">
        <v>62</v>
      </c>
      <c r="BD780" s="89"/>
      <c r="BE780" s="148" t="s">
        <v>2222</v>
      </c>
      <c r="BF780" s="148" t="s">
        <v>39</v>
      </c>
      <c r="BG780" s="148" t="s">
        <v>1233</v>
      </c>
      <c r="BH780" s="148" t="s">
        <v>2223</v>
      </c>
      <c r="BI780" s="148" t="s">
        <v>29</v>
      </c>
      <c r="BJ780" s="149" t="s">
        <v>22</v>
      </c>
      <c r="BK780" s="150">
        <v>111000</v>
      </c>
      <c r="BL780" s="89"/>
      <c r="BM780" s="89"/>
      <c r="BN780" s="89"/>
      <c r="BO780" s="147"/>
      <c r="BP780" s="170"/>
      <c r="BQ780" s="89"/>
      <c r="BR780" s="89"/>
      <c r="BS780" s="89"/>
      <c r="BT780" s="147"/>
      <c r="BU780" s="170"/>
      <c r="BV780" s="89"/>
      <c r="BW780" s="3"/>
      <c r="BX780" s="3"/>
      <c r="BY780" s="3"/>
      <c r="BZ780" s="3"/>
      <c r="CA780" s="3"/>
      <c r="CB780" s="3"/>
      <c r="CC780" s="3"/>
      <c r="CD780" s="3"/>
      <c r="CE780" s="3"/>
      <c r="CF780" s="3"/>
      <c r="CG780" s="3"/>
      <c r="CH780" s="3"/>
      <c r="CI780" s="3"/>
      <c r="CJ780" s="3"/>
      <c r="CK780" s="3"/>
      <c r="CL780" s="3"/>
      <c r="CM780" s="3"/>
      <c r="CN780" s="3"/>
      <c r="CO780" s="3"/>
      <c r="CP780" s="3"/>
      <c r="CQ780" s="3"/>
      <c r="CR780" s="3"/>
      <c r="CS780" s="3"/>
      <c r="CT780" s="3"/>
      <c r="CU780" s="3"/>
      <c r="CV780" s="3"/>
      <c r="CW780" s="3"/>
      <c r="CX780" s="3"/>
      <c r="CY780" s="3"/>
      <c r="CZ780" s="3"/>
      <c r="DA780" s="3"/>
      <c r="DB780" s="3"/>
      <c r="DC780" s="3"/>
      <c r="DD780" s="3"/>
      <c r="DE780" s="3"/>
      <c r="DF780" s="3"/>
      <c r="DG780" s="3"/>
      <c r="DH780" s="3"/>
      <c r="DI780" s="3"/>
      <c r="DJ780" s="3"/>
      <c r="DK780" s="3"/>
      <c r="DL780" s="3"/>
      <c r="DM780" s="3"/>
      <c r="DN780" s="3"/>
      <c r="DO780" s="3"/>
      <c r="DP780" s="3"/>
      <c r="DQ780" s="3"/>
      <c r="DR780" s="3"/>
      <c r="DS780" s="3"/>
      <c r="DT780" s="3"/>
      <c r="DU780" s="3"/>
      <c r="DV780" s="3"/>
      <c r="DW780" s="3"/>
      <c r="DX780" s="3"/>
      <c r="DY780" s="3"/>
      <c r="DZ780" s="3"/>
      <c r="EA780" s="3"/>
      <c r="EB780" s="3"/>
      <c r="EC780" s="3"/>
      <c r="ED780" s="3"/>
      <c r="EE780" s="89"/>
      <c r="EF780" s="89"/>
      <c r="EG780" s="89"/>
      <c r="EH780" s="89"/>
      <c r="EI780" s="89"/>
      <c r="EJ780" s="89"/>
      <c r="EK780" s="89"/>
      <c r="EL780" s="89"/>
      <c r="EM780" s="3"/>
      <c r="EN780" s="3"/>
      <c r="EO780" s="3"/>
      <c r="EP780" s="3"/>
      <c r="EQ780" s="3"/>
      <c r="ER780" s="3"/>
      <c r="ES780" s="3"/>
      <c r="ET780" s="3"/>
      <c r="EU780" s="3"/>
      <c r="EV780" s="3"/>
      <c r="EW780" s="3"/>
      <c r="EX780" s="3"/>
      <c r="EY780" s="3"/>
      <c r="EZ780" s="3"/>
      <c r="FA780" s="3"/>
      <c r="FB780" s="3"/>
      <c r="FC780" s="3"/>
      <c r="FD780" s="3"/>
      <c r="FE780" s="3"/>
      <c r="FF780" s="3"/>
      <c r="FG780" s="3"/>
      <c r="FH780" s="3"/>
      <c r="FI780" s="3"/>
      <c r="FJ780" s="3"/>
      <c r="FK780" s="3"/>
      <c r="FL780" s="3"/>
      <c r="FM780" s="3"/>
      <c r="FN780" s="3"/>
      <c r="FO780" s="3"/>
      <c r="FP780" s="3"/>
      <c r="FQ780" s="3"/>
      <c r="FR780" s="3"/>
      <c r="FS780" s="3"/>
      <c r="FT780" s="3"/>
      <c r="FU780" s="3"/>
      <c r="FV780" s="3"/>
      <c r="FW780" s="3"/>
      <c r="FX780" s="3"/>
      <c r="FY780" s="3"/>
      <c r="FZ780" s="3"/>
      <c r="GA780" s="3"/>
      <c r="GB780" s="3"/>
      <c r="GC780" s="3"/>
      <c r="GD780" s="3"/>
      <c r="GE780" s="3"/>
      <c r="GF780" s="3"/>
      <c r="GG780" s="3"/>
      <c r="GH780" s="3"/>
      <c r="GI780" s="3"/>
      <c r="GJ780" s="3"/>
      <c r="GK780" s="3"/>
      <c r="GL780" s="3"/>
      <c r="GM780" s="3"/>
      <c r="GN780" s="3"/>
      <c r="GO780" s="3"/>
      <c r="GP780" s="3"/>
      <c r="GQ780" s="3"/>
      <c r="GR780" s="3"/>
      <c r="GS780" s="3"/>
      <c r="GT780" s="3"/>
      <c r="GU780" s="3"/>
      <c r="GV780" s="3"/>
      <c r="GW780" s="3"/>
      <c r="GX780" s="3"/>
      <c r="GY780" s="3"/>
      <c r="GZ780" s="3"/>
      <c r="HA780" s="3"/>
      <c r="HB780" s="3"/>
      <c r="HC780" s="3"/>
      <c r="HD780" s="3"/>
      <c r="HE780" s="3"/>
      <c r="HF780" s="3"/>
      <c r="HG780" s="3"/>
      <c r="HH780" s="3"/>
      <c r="HI780" s="3"/>
      <c r="HJ780" s="3"/>
      <c r="HK780" s="3"/>
      <c r="HL780" s="89"/>
      <c r="HM780" s="89"/>
      <c r="HN780" s="89"/>
      <c r="HO780" s="89"/>
      <c r="HP780" s="89"/>
      <c r="HQ780" s="89"/>
      <c r="HR780" s="89"/>
      <c r="HS780" s="89"/>
      <c r="HT780" s="147"/>
      <c r="HU780" s="89"/>
      <c r="HV780" s="89"/>
      <c r="HW780" s="89"/>
      <c r="HX780" s="89"/>
      <c r="HY780" s="89"/>
      <c r="HZ780" s="89"/>
      <c r="IA780" s="89"/>
      <c r="IB780" s="89"/>
      <c r="IC780" s="89"/>
      <c r="ID780" s="89"/>
      <c r="IE780" s="89"/>
      <c r="IF780" s="89"/>
      <c r="IG780" s="89"/>
      <c r="IH780" s="89"/>
      <c r="II780" s="148" t="s">
        <v>2224</v>
      </c>
      <c r="IJ780" s="152" t="s">
        <v>19</v>
      </c>
      <c r="IK780" s="89"/>
      <c r="IL780" s="89"/>
      <c r="IM780" s="89"/>
      <c r="IN780" s="89"/>
      <c r="IO780" s="89"/>
      <c r="IR780" s="89"/>
      <c r="IS780" s="89"/>
      <c r="IT780" s="89"/>
      <c r="IU780" s="89"/>
      <c r="IV780" s="89"/>
      <c r="IW780" s="89"/>
      <c r="IX780" s="147"/>
      <c r="IY780" s="89"/>
      <c r="IZ780" s="89"/>
      <c r="JA780" s="89"/>
      <c r="JB780" s="89"/>
      <c r="JC780" s="89"/>
      <c r="JD780" s="89"/>
      <c r="JE780" s="89"/>
      <c r="JF780" s="89"/>
      <c r="JG780" s="89"/>
      <c r="JH780" s="89"/>
      <c r="JI780" s="89"/>
      <c r="JJ780" s="89"/>
      <c r="JK780" s="89"/>
      <c r="JL780" s="89"/>
      <c r="JM780" s="154" t="s">
        <v>14</v>
      </c>
      <c r="JN780" s="155" t="s">
        <v>1664</v>
      </c>
      <c r="JO780" s="147"/>
      <c r="JS780" s="89"/>
      <c r="JT780" s="89"/>
      <c r="JU780" s="89"/>
      <c r="JV780" s="89"/>
      <c r="JW780" s="89"/>
      <c r="JX780" s="89"/>
      <c r="JY780" s="89"/>
      <c r="JZ780" s="156"/>
      <c r="KA780" s="154"/>
      <c r="KB780" s="147"/>
      <c r="KC780" s="89"/>
      <c r="KD780" s="147"/>
      <c r="KE780" s="89"/>
      <c r="KF780" s="89"/>
      <c r="KG780" s="89"/>
      <c r="KH780" s="147"/>
      <c r="KI780" s="89"/>
      <c r="KJ780" s="152"/>
      <c r="KK780" s="173"/>
      <c r="KL780" s="89"/>
      <c r="KM780" s="89"/>
      <c r="KN780" s="89"/>
      <c r="KO780" s="89"/>
      <c r="KP780" s="147"/>
      <c r="KQ780" s="89"/>
      <c r="KR780" s="177"/>
      <c r="KS780" s="154"/>
      <c r="KT780" s="89"/>
      <c r="KU780" s="89"/>
      <c r="KV780" s="158"/>
      <c r="KW780" s="173"/>
      <c r="KX780" s="89"/>
      <c r="KY780" s="89"/>
      <c r="KZ780" s="89"/>
      <c r="LA780" s="3"/>
      <c r="LB780" s="3"/>
      <c r="LC780" s="3"/>
      <c r="LD780" s="3"/>
      <c r="LE780" s="3"/>
      <c r="LF780" s="3"/>
      <c r="LG780" s="3"/>
      <c r="LH780" s="3"/>
      <c r="LI780" s="147"/>
      <c r="LJ780" s="147"/>
      <c r="LK780" s="147"/>
      <c r="LL780" s="147"/>
      <c r="LM780" s="147"/>
      <c r="LN780" s="89"/>
      <c r="LO780" s="147"/>
      <c r="LP780" s="147"/>
      <c r="LQ780" s="147"/>
      <c r="LR780" s="89"/>
      <c r="LS780" s="89"/>
      <c r="LT780" s="89"/>
      <c r="LU780" s="89"/>
      <c r="LV780" s="89"/>
      <c r="LW780" s="89"/>
      <c r="LX780" s="89"/>
      <c r="LY780" s="89"/>
      <c r="LZ780" s="89"/>
      <c r="MA780" s="89"/>
      <c r="MB780" s="89"/>
      <c r="MC780" s="89"/>
      <c r="MD780" s="89"/>
      <c r="ME780" s="89"/>
      <c r="MF780" s="89"/>
      <c r="MG780" s="89"/>
      <c r="MH780" s="89"/>
      <c r="MI780" s="89"/>
      <c r="MJ780" s="89"/>
      <c r="MK780" s="89"/>
      <c r="ML780" s="89"/>
      <c r="MM780" s="89"/>
      <c r="MN780" s="89"/>
      <c r="MO780" s="89"/>
      <c r="MP780" s="89"/>
      <c r="MQ780" s="89"/>
      <c r="MR780" s="89"/>
      <c r="MS780" s="89"/>
      <c r="MT780" s="89"/>
      <c r="MU780" s="89"/>
      <c r="MV780" s="89"/>
      <c r="MW780" s="89"/>
      <c r="MX780" s="89"/>
      <c r="MY780" s="89"/>
      <c r="MZ780" s="148" t="s">
        <v>2225</v>
      </c>
      <c r="NA780" s="89">
        <v>64</v>
      </c>
      <c r="NB780" s="148" t="s">
        <v>2244</v>
      </c>
      <c r="NC780" s="159" t="s">
        <v>2245</v>
      </c>
      <c r="ND780" s="159"/>
      <c r="NE780" s="159"/>
      <c r="NF780" s="159"/>
      <c r="NG780" s="159"/>
      <c r="NH780" s="159" t="s">
        <v>205</v>
      </c>
      <c r="NI780" s="159"/>
      <c r="NJ780" s="148"/>
      <c r="NK780" s="148" t="s">
        <v>2244</v>
      </c>
      <c r="NL780" s="148" t="s">
        <v>2246</v>
      </c>
      <c r="NM780" t="s">
        <v>203</v>
      </c>
      <c r="NN780" s="160" t="s">
        <v>2247</v>
      </c>
      <c r="NO780" s="148"/>
      <c r="NP780" s="148"/>
      <c r="NQ780" s="148"/>
      <c r="NR780" s="148"/>
      <c r="NS780" s="148"/>
      <c r="NT780" s="148"/>
      <c r="NU780" s="148"/>
      <c r="NV780" s="148" t="s">
        <v>64</v>
      </c>
      <c r="NW780" s="161" t="s">
        <v>6</v>
      </c>
      <c r="NX780" s="168">
        <v>283.5</v>
      </c>
      <c r="NY780" s="161" t="s">
        <v>4</v>
      </c>
      <c r="NZ780" s="97">
        <v>12</v>
      </c>
      <c r="OA780" s="175"/>
      <c r="OB780" s="89"/>
      <c r="OC780" s="148">
        <v>4</v>
      </c>
      <c r="OD780" s="2"/>
      <c r="OE780" s="2"/>
      <c r="OH780" s="89"/>
      <c r="OI780" s="89"/>
      <c r="OJ780" s="89"/>
      <c r="OK780" s="89"/>
      <c r="OL780" s="89"/>
      <c r="OM780" s="89"/>
      <c r="ON780" s="159"/>
      <c r="OO780" s="159"/>
      <c r="OP780" s="159"/>
      <c r="OQ780" s="159"/>
      <c r="OR780" s="159"/>
      <c r="OS780" s="159"/>
      <c r="OT780" s="148" t="s">
        <v>1924</v>
      </c>
      <c r="OU780" s="89"/>
      <c r="OV780" s="89">
        <v>2008</v>
      </c>
      <c r="OW780" s="89"/>
      <c r="OX780" s="89"/>
      <c r="OY780" s="148" t="s">
        <v>62</v>
      </c>
      <c r="OZ780" s="89"/>
      <c r="PA780" t="s">
        <v>1169</v>
      </c>
      <c r="PB780" s="58">
        <v>46134</v>
      </c>
    </row>
    <row r="781" spans="1:418" ht="15.75" thickBot="1">
      <c r="A781" t="s">
        <v>248</v>
      </c>
      <c r="B781" t="s">
        <v>2219</v>
      </c>
      <c r="C781" s="89" t="s">
        <v>34</v>
      </c>
      <c r="D781" s="147" t="s">
        <v>1936</v>
      </c>
      <c r="E781" s="89" t="s">
        <v>1658</v>
      </c>
      <c r="F781" t="s">
        <v>31</v>
      </c>
      <c r="G781" s="89" t="s">
        <v>2</v>
      </c>
      <c r="H781" s="147" t="s">
        <v>30</v>
      </c>
      <c r="I781">
        <v>-0.41666666699999999</v>
      </c>
      <c r="J781">
        <v>34.200000000000003</v>
      </c>
      <c r="K781" s="147" t="s">
        <v>29</v>
      </c>
      <c r="L781" s="2"/>
      <c r="M781" s="99"/>
      <c r="N781" s="2"/>
      <c r="O781" s="89"/>
      <c r="P781" s="2"/>
      <c r="Q781" s="2"/>
      <c r="R781" s="89"/>
      <c r="S781" s="89"/>
      <c r="T781" s="89"/>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c r="AV781" s="89" t="s">
        <v>2220</v>
      </c>
      <c r="AW781" s="89">
        <v>64</v>
      </c>
      <c r="AX781" s="89">
        <v>0.09</v>
      </c>
      <c r="AY781" s="89">
        <v>1</v>
      </c>
      <c r="AZ781" s="148" t="s">
        <v>2221</v>
      </c>
      <c r="BA781" s="148">
        <v>2007</v>
      </c>
      <c r="BB781" s="148">
        <v>2008</v>
      </c>
      <c r="BC781" s="148" t="s">
        <v>62</v>
      </c>
      <c r="BD781" s="2"/>
      <c r="BE781" s="2" t="s">
        <v>2230</v>
      </c>
      <c r="BF781" s="2" t="s">
        <v>64</v>
      </c>
      <c r="BG781" s="148" t="s">
        <v>1233</v>
      </c>
      <c r="BH781" s="2" t="s">
        <v>2223</v>
      </c>
      <c r="BI781" s="148" t="s">
        <v>29</v>
      </c>
      <c r="BJ781" s="149" t="s">
        <v>22</v>
      </c>
      <c r="BK781" s="150">
        <v>55500</v>
      </c>
      <c r="BL781" s="2" t="s">
        <v>56</v>
      </c>
      <c r="BM781" t="s">
        <v>2231</v>
      </c>
      <c r="BN781" s="148" t="s">
        <v>29</v>
      </c>
      <c r="BO781" s="2" t="s">
        <v>22</v>
      </c>
      <c r="BP781" s="2">
        <v>55000</v>
      </c>
      <c r="BQ781" s="2"/>
      <c r="BR781" s="2"/>
      <c r="BS781" s="2"/>
      <c r="BT781" s="99"/>
      <c r="BU781" s="2"/>
      <c r="BV781" s="2"/>
      <c r="BW781" s="3"/>
      <c r="BX781" s="3"/>
      <c r="BY781" s="3"/>
      <c r="BZ781" s="3"/>
      <c r="CA781" s="3"/>
      <c r="CB781" s="3"/>
      <c r="CC781" s="3"/>
      <c r="CD781" s="3"/>
      <c r="CE781" s="3"/>
      <c r="CF781" s="3"/>
      <c r="CG781" s="3"/>
      <c r="CH781" s="3"/>
      <c r="CI781" s="3"/>
      <c r="CJ781" s="3"/>
      <c r="CK781" s="3"/>
      <c r="CL781" s="3"/>
      <c r="CM781" s="3"/>
      <c r="CN781" s="3"/>
      <c r="CO781" s="3"/>
      <c r="CP781" s="3"/>
      <c r="CQ781" s="3"/>
      <c r="CR781" s="3"/>
      <c r="CS781" s="3"/>
      <c r="CT781" s="3"/>
      <c r="CU781" s="3"/>
      <c r="CV781" s="3"/>
      <c r="CW781" s="3"/>
      <c r="CX781" s="3"/>
      <c r="CY781" s="3"/>
      <c r="CZ781" s="3"/>
      <c r="DA781" s="3"/>
      <c r="DB781" s="3"/>
      <c r="DC781" s="3"/>
      <c r="DD781" s="3"/>
      <c r="DE781" s="3"/>
      <c r="DF781" s="3"/>
      <c r="DG781" s="3"/>
      <c r="DH781" s="3"/>
      <c r="DI781" s="3"/>
      <c r="DJ781" s="3"/>
      <c r="DK781" s="3"/>
      <c r="DL781" s="3"/>
      <c r="DM781" s="3"/>
      <c r="DN781" s="3"/>
      <c r="DO781" s="3"/>
      <c r="DP781" s="3"/>
      <c r="DQ781" s="3"/>
      <c r="DR781" s="3"/>
      <c r="DS781" s="3"/>
      <c r="DT781" s="3"/>
      <c r="DU781" s="3"/>
      <c r="DV781" s="3"/>
      <c r="DW781" s="3"/>
      <c r="DX781" s="3"/>
      <c r="DY781" s="3"/>
      <c r="DZ781" s="3"/>
      <c r="EA781" s="3"/>
      <c r="EB781" s="3"/>
      <c r="EC781" s="3"/>
      <c r="ED781" s="3"/>
      <c r="EE781" s="2"/>
      <c r="EF781" s="2"/>
      <c r="EG781" s="2"/>
      <c r="EH781" s="2"/>
      <c r="EI781" s="2"/>
      <c r="EJ781" s="2"/>
      <c r="EK781" s="2"/>
      <c r="EL781" s="2"/>
      <c r="EM781" s="3"/>
      <c r="EN781" s="3"/>
      <c r="EO781" s="3"/>
      <c r="EP781" s="3"/>
      <c r="EQ781" s="3"/>
      <c r="ER781" s="3"/>
      <c r="ES781" s="3"/>
      <c r="ET781" s="3"/>
      <c r="EU781" s="3"/>
      <c r="EV781" s="3"/>
      <c r="EW781" s="3"/>
      <c r="EX781" s="3"/>
      <c r="EY781" s="3"/>
      <c r="EZ781" s="3"/>
      <c r="FA781" s="3"/>
      <c r="FB781" s="3"/>
      <c r="FC781" s="3"/>
      <c r="FD781" s="3"/>
      <c r="FE781" s="3"/>
      <c r="FF781" s="3"/>
      <c r="FG781" s="3"/>
      <c r="FH781" s="3"/>
      <c r="FI781" s="3"/>
      <c r="FJ781" s="3"/>
      <c r="FK781" s="3"/>
      <c r="FL781" s="3"/>
      <c r="FM781" s="3"/>
      <c r="FN781" s="3"/>
      <c r="FO781" s="3"/>
      <c r="FP781" s="3"/>
      <c r="FQ781" s="3"/>
      <c r="FR781" s="3"/>
      <c r="FS781" s="3"/>
      <c r="FT781" s="3"/>
      <c r="FU781" s="3"/>
      <c r="FV781" s="3"/>
      <c r="FW781" s="3"/>
      <c r="FX781" s="3"/>
      <c r="FY781" s="3"/>
      <c r="FZ781" s="3"/>
      <c r="GA781" s="3"/>
      <c r="GB781" s="3"/>
      <c r="GC781" s="3"/>
      <c r="GD781" s="3"/>
      <c r="GE781" s="3"/>
      <c r="GF781" s="3"/>
      <c r="GG781" s="3"/>
      <c r="GH781" s="3"/>
      <c r="GI781" s="3"/>
      <c r="GJ781" s="3"/>
      <c r="GK781" s="3"/>
      <c r="GL781" s="3"/>
      <c r="GM781" s="3"/>
      <c r="GN781" s="3"/>
      <c r="GO781" s="3"/>
      <c r="GP781" s="3"/>
      <c r="GQ781" s="3"/>
      <c r="GR781" s="3"/>
      <c r="GS781" s="3"/>
      <c r="GT781" s="3"/>
      <c r="GU781" s="3"/>
      <c r="GV781" s="3"/>
      <c r="GW781" s="3"/>
      <c r="GX781" s="3"/>
      <c r="GY781" s="3"/>
      <c r="GZ781" s="3"/>
      <c r="HA781" s="3"/>
      <c r="HB781" s="3"/>
      <c r="HC781" s="3"/>
      <c r="HD781" s="3"/>
      <c r="HE781" s="3"/>
      <c r="HF781" s="3"/>
      <c r="HG781" s="3"/>
      <c r="HH781" s="3"/>
      <c r="HI781" s="3"/>
      <c r="HJ781" s="3"/>
      <c r="HK781" s="3"/>
      <c r="HL781" s="2"/>
      <c r="HM781" s="2"/>
      <c r="HN781" s="2"/>
      <c r="HO781" s="2"/>
      <c r="HP781" s="2"/>
      <c r="HQ781" s="2"/>
      <c r="HR781" s="2"/>
      <c r="HS781" s="2"/>
      <c r="HT781" s="99"/>
      <c r="HU781" s="2"/>
      <c r="HV781" s="2"/>
      <c r="HW781" s="2"/>
      <c r="HX781" s="2"/>
      <c r="HY781" s="2"/>
      <c r="HZ781" s="2"/>
      <c r="IA781" s="2"/>
      <c r="IB781" s="2"/>
      <c r="IC781" s="2"/>
      <c r="ID781" s="2"/>
      <c r="IE781" s="2"/>
      <c r="IF781" s="2"/>
      <c r="IG781" s="2"/>
      <c r="IH781" s="2"/>
      <c r="II781" s="148" t="s">
        <v>2224</v>
      </c>
      <c r="IJ781" s="163" t="s">
        <v>1443</v>
      </c>
      <c r="IK781" s="164" t="s">
        <v>1466</v>
      </c>
      <c r="IL781" s="165" t="s">
        <v>661</v>
      </c>
      <c r="IM781" s="2">
        <v>2007</v>
      </c>
      <c r="IN781" s="2" t="s">
        <v>62</v>
      </c>
      <c r="IO781" s="2" t="s">
        <v>29</v>
      </c>
      <c r="IR781" s="2"/>
      <c r="IS781" s="2"/>
      <c r="IT781" s="2"/>
      <c r="IU781" s="2"/>
      <c r="IV781" s="2"/>
      <c r="IW781" s="2"/>
      <c r="IX781" s="99"/>
      <c r="IY781" s="2"/>
      <c r="IZ781" s="2"/>
      <c r="JA781" s="2"/>
      <c r="JB781" s="2"/>
      <c r="JC781" s="2"/>
      <c r="JD781" s="2"/>
      <c r="JE781" s="2"/>
      <c r="JF781" s="2"/>
      <c r="JG781" s="2"/>
      <c r="JH781" s="2"/>
      <c r="JI781" s="2"/>
      <c r="JJ781" s="2"/>
      <c r="JK781" s="2"/>
      <c r="JL781" s="2"/>
      <c r="JM781" s="154" t="s">
        <v>14</v>
      </c>
      <c r="JN781" s="155" t="s">
        <v>1664</v>
      </c>
      <c r="JO781" s="99"/>
      <c r="JS781" s="2"/>
      <c r="JT781" s="2"/>
      <c r="JU781" s="2"/>
      <c r="JV781" s="2"/>
      <c r="JW781" s="2"/>
      <c r="JX781" s="2"/>
      <c r="JY781" s="2"/>
      <c r="JZ781" s="156"/>
      <c r="KA781" s="166"/>
      <c r="KB781" s="99"/>
      <c r="KC781" s="2"/>
      <c r="KD781" s="99"/>
      <c r="KE781" s="2"/>
      <c r="KF781" s="2"/>
      <c r="KG781" s="2"/>
      <c r="KH781" s="99"/>
      <c r="KI781" s="2"/>
      <c r="KJ781" s="163"/>
      <c r="KK781" s="167"/>
      <c r="KL781" s="2"/>
      <c r="KM781" s="2"/>
      <c r="KN781" s="2"/>
      <c r="KO781" s="2"/>
      <c r="KP781" s="99"/>
      <c r="KQ781" s="2"/>
      <c r="KR781" s="177"/>
      <c r="KS781" s="166"/>
      <c r="KT781" s="2"/>
      <c r="KU781" s="2"/>
      <c r="KV781" s="158"/>
      <c r="KW781" s="167"/>
      <c r="KX781" s="2"/>
      <c r="KY781" s="2"/>
      <c r="KZ781" s="2"/>
      <c r="LA781" s="3"/>
      <c r="LB781" s="3"/>
      <c r="LC781" s="3"/>
      <c r="LD781" s="3"/>
      <c r="LE781" s="3"/>
      <c r="LF781" s="3"/>
      <c r="LG781" s="3"/>
      <c r="LH781" s="3"/>
      <c r="LI781" s="99"/>
      <c r="LJ781" s="99"/>
      <c r="LK781" s="99"/>
      <c r="LL781" s="99"/>
      <c r="LM781" s="99"/>
      <c r="LN781" s="2"/>
      <c r="LO781" s="99"/>
      <c r="LP781" s="99"/>
      <c r="LQ781" s="99"/>
      <c r="LR781" s="2"/>
      <c r="LS781" s="2"/>
      <c r="LT781" s="2"/>
      <c r="LU781" s="2"/>
      <c r="LV781" s="2"/>
      <c r="LW781" s="2"/>
      <c r="LX781" s="2"/>
      <c r="LY781" s="2"/>
      <c r="LZ781" s="2"/>
      <c r="MA781" s="2"/>
      <c r="MB781" s="2"/>
      <c r="MC781" s="2"/>
      <c r="MD781" s="2"/>
      <c r="ME781" s="2"/>
      <c r="MF781" s="2"/>
      <c r="MG781" s="2"/>
      <c r="MH781" s="2"/>
      <c r="MI781" s="2"/>
      <c r="MJ781" s="2"/>
      <c r="MK781" s="2"/>
      <c r="ML781" s="2"/>
      <c r="MM781" s="2"/>
      <c r="MN781" s="2"/>
      <c r="MO781" s="2"/>
      <c r="MP781" s="2"/>
      <c r="MQ781" s="2"/>
      <c r="MR781" s="2"/>
      <c r="MS781" s="2"/>
      <c r="MT781" s="2"/>
      <c r="MU781" s="2"/>
      <c r="MV781" s="2"/>
      <c r="MW781" s="2"/>
      <c r="MX781" s="2"/>
      <c r="MY781" s="2"/>
      <c r="MZ781" s="148" t="s">
        <v>2225</v>
      </c>
      <c r="NA781" s="89">
        <v>64</v>
      </c>
      <c r="NB781" s="148" t="s">
        <v>2244</v>
      </c>
      <c r="NC781" s="159" t="s">
        <v>2245</v>
      </c>
      <c r="ND781" s="159"/>
      <c r="NE781" s="159"/>
      <c r="NF781" s="159"/>
      <c r="NG781" s="159"/>
      <c r="NH781" s="159" t="s">
        <v>205</v>
      </c>
      <c r="NI781" s="159"/>
      <c r="NJ781" s="148"/>
      <c r="NK781" s="148" t="s">
        <v>2244</v>
      </c>
      <c r="NL781" s="148" t="s">
        <v>2246</v>
      </c>
      <c r="NM781" t="s">
        <v>203</v>
      </c>
      <c r="NN781" s="160" t="s">
        <v>2247</v>
      </c>
      <c r="NO781" s="148"/>
      <c r="NP781" s="148"/>
      <c r="NQ781" s="148"/>
      <c r="NR781" s="148"/>
      <c r="NS781" s="148"/>
      <c r="NT781" s="148"/>
      <c r="NU781" s="148"/>
      <c r="NV781" s="148"/>
      <c r="NW781" s="161" t="s">
        <v>6</v>
      </c>
      <c r="NX781" s="168">
        <v>11.7</v>
      </c>
      <c r="NY781" s="161" t="s">
        <v>4</v>
      </c>
      <c r="NZ781" s="168">
        <v>3</v>
      </c>
      <c r="OA781" s="169"/>
      <c r="OB781" s="2"/>
      <c r="OC781" s="148">
        <v>4</v>
      </c>
      <c r="OD781" s="89"/>
      <c r="OE781" s="89"/>
      <c r="OH781" s="2"/>
      <c r="OI781" s="2"/>
      <c r="OJ781" s="2"/>
      <c r="OK781" s="2"/>
      <c r="OL781" s="2"/>
      <c r="OM781" s="2"/>
      <c r="OT781" s="148" t="s">
        <v>1924</v>
      </c>
      <c r="OU781" s="2"/>
      <c r="OV781" s="2">
        <v>2008</v>
      </c>
      <c r="OW781" s="2"/>
      <c r="OX781" s="2"/>
      <c r="OY781" s="148" t="s">
        <v>62</v>
      </c>
      <c r="OZ781" s="2"/>
      <c r="PA781" t="s">
        <v>1169</v>
      </c>
      <c r="PB781" s="58">
        <v>46134</v>
      </c>
    </row>
    <row r="782" spans="1:418" ht="15.75" thickBot="1">
      <c r="A782" t="s">
        <v>248</v>
      </c>
      <c r="B782" t="s">
        <v>2219</v>
      </c>
      <c r="C782" s="89" t="s">
        <v>34</v>
      </c>
      <c r="D782" s="147" t="s">
        <v>1936</v>
      </c>
      <c r="E782" s="89" t="s">
        <v>1658</v>
      </c>
      <c r="F782" t="s">
        <v>31</v>
      </c>
      <c r="G782" s="89" t="s">
        <v>2</v>
      </c>
      <c r="H782" s="147" t="s">
        <v>30</v>
      </c>
      <c r="I782">
        <v>-0.41666666699999999</v>
      </c>
      <c r="J782">
        <v>34.200000000000003</v>
      </c>
      <c r="K782" s="147" t="s">
        <v>29</v>
      </c>
      <c r="L782" s="89"/>
      <c r="M782" s="147"/>
      <c r="N782" s="89"/>
      <c r="O782" s="89"/>
      <c r="P782" s="89"/>
      <c r="Q782" s="89"/>
      <c r="R782" s="89"/>
      <c r="S782" s="89"/>
      <c r="T782" s="89"/>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c r="AV782" s="89" t="s">
        <v>2220</v>
      </c>
      <c r="AW782" s="89">
        <v>64</v>
      </c>
      <c r="AX782" s="89">
        <v>0.09</v>
      </c>
      <c r="AY782" s="89">
        <v>1</v>
      </c>
      <c r="AZ782" s="148" t="s">
        <v>2221</v>
      </c>
      <c r="BA782" s="148">
        <v>2007</v>
      </c>
      <c r="BB782" s="148">
        <v>2008</v>
      </c>
      <c r="BC782" s="148" t="s">
        <v>1</v>
      </c>
      <c r="BD782" s="89"/>
      <c r="BE782" s="148" t="s">
        <v>2222</v>
      </c>
      <c r="BF782" s="148" t="s">
        <v>39</v>
      </c>
      <c r="BG782" s="148" t="s">
        <v>1233</v>
      </c>
      <c r="BH782" s="148" t="s">
        <v>2223</v>
      </c>
      <c r="BI782" s="148" t="s">
        <v>29</v>
      </c>
      <c r="BJ782" s="149" t="s">
        <v>22</v>
      </c>
      <c r="BK782" s="150">
        <v>111000</v>
      </c>
      <c r="BL782" s="89"/>
      <c r="BM782" s="89"/>
      <c r="BN782" s="89"/>
      <c r="BO782" s="147"/>
      <c r="BP782" s="170"/>
      <c r="BQ782" s="89"/>
      <c r="BR782" s="89"/>
      <c r="BS782" s="89"/>
      <c r="BT782" s="147"/>
      <c r="BU782" s="170"/>
      <c r="BV782" s="89"/>
      <c r="BW782" s="3"/>
      <c r="BX782" s="3"/>
      <c r="BY782" s="3"/>
      <c r="BZ782" s="3"/>
      <c r="CA782" s="3"/>
      <c r="CB782" s="3"/>
      <c r="CC782" s="3"/>
      <c r="CD782" s="3"/>
      <c r="CE782" s="3"/>
      <c r="CF782" s="3"/>
      <c r="CG782" s="3"/>
      <c r="CH782" s="3"/>
      <c r="CI782" s="3"/>
      <c r="CJ782" s="3"/>
      <c r="CK782" s="3"/>
      <c r="CL782" s="3"/>
      <c r="CM782" s="3"/>
      <c r="CN782" s="3"/>
      <c r="CO782" s="3"/>
      <c r="CP782" s="3"/>
      <c r="CQ782" s="3"/>
      <c r="CR782" s="3"/>
      <c r="CS782" s="3"/>
      <c r="CT782" s="3"/>
      <c r="CU782" s="3"/>
      <c r="CV782" s="3"/>
      <c r="CW782" s="3"/>
      <c r="CX782" s="3"/>
      <c r="CY782" s="3"/>
      <c r="CZ782" s="3"/>
      <c r="DA782" s="3"/>
      <c r="DB782" s="3"/>
      <c r="DC782" s="3"/>
      <c r="DD782" s="3"/>
      <c r="DE782" s="3"/>
      <c r="DF782" s="3"/>
      <c r="DG782" s="3"/>
      <c r="DH782" s="3"/>
      <c r="DI782" s="3"/>
      <c r="DJ782" s="3"/>
      <c r="DK782" s="3"/>
      <c r="DL782" s="3"/>
      <c r="DM782" s="3"/>
      <c r="DN782" s="3"/>
      <c r="DO782" s="3"/>
      <c r="DP782" s="3"/>
      <c r="DQ782" s="3"/>
      <c r="DR782" s="3"/>
      <c r="DS782" s="3"/>
      <c r="DT782" s="3"/>
      <c r="DU782" s="3"/>
      <c r="DV782" s="3"/>
      <c r="DW782" s="3"/>
      <c r="DX782" s="3"/>
      <c r="DY782" s="3"/>
      <c r="DZ782" s="3"/>
      <c r="EA782" s="3"/>
      <c r="EB782" s="3"/>
      <c r="EC782" s="3"/>
      <c r="ED782" s="3"/>
      <c r="EE782" s="89"/>
      <c r="EF782" s="89"/>
      <c r="EG782" s="89"/>
      <c r="EH782" s="89"/>
      <c r="EI782" s="89"/>
      <c r="EJ782" s="89"/>
      <c r="EK782" s="89"/>
      <c r="EL782" s="89"/>
      <c r="EM782" s="3"/>
      <c r="EN782" s="3"/>
      <c r="EO782" s="3"/>
      <c r="EP782" s="3"/>
      <c r="EQ782" s="3"/>
      <c r="ER782" s="3"/>
      <c r="ES782" s="3"/>
      <c r="ET782" s="3"/>
      <c r="EU782" s="3"/>
      <c r="EV782" s="3"/>
      <c r="EW782" s="3"/>
      <c r="EX782" s="3"/>
      <c r="EY782" s="3"/>
      <c r="EZ782" s="3"/>
      <c r="FA782" s="3"/>
      <c r="FB782" s="3"/>
      <c r="FC782" s="3"/>
      <c r="FD782" s="3"/>
      <c r="FE782" s="3"/>
      <c r="FF782" s="3"/>
      <c r="FG782" s="3"/>
      <c r="FH782" s="3"/>
      <c r="FI782" s="3"/>
      <c r="FJ782" s="3"/>
      <c r="FK782" s="3"/>
      <c r="FL782" s="3"/>
      <c r="FM782" s="3"/>
      <c r="FN782" s="3"/>
      <c r="FO782" s="3"/>
      <c r="FP782" s="3"/>
      <c r="FQ782" s="3"/>
      <c r="FR782" s="3"/>
      <c r="FS782" s="3"/>
      <c r="FT782" s="3"/>
      <c r="FU782" s="3"/>
      <c r="FV782" s="3"/>
      <c r="FW782" s="3"/>
      <c r="FX782" s="3"/>
      <c r="FY782" s="3"/>
      <c r="FZ782" s="3"/>
      <c r="GA782" s="3"/>
      <c r="GB782" s="3"/>
      <c r="GC782" s="3"/>
      <c r="GD782" s="3"/>
      <c r="GE782" s="3"/>
      <c r="GF782" s="3"/>
      <c r="GG782" s="3"/>
      <c r="GH782" s="3"/>
      <c r="GI782" s="3"/>
      <c r="GJ782" s="3"/>
      <c r="GK782" s="3"/>
      <c r="GL782" s="3"/>
      <c r="GM782" s="3"/>
      <c r="GN782" s="3"/>
      <c r="GO782" s="3"/>
      <c r="GP782" s="3"/>
      <c r="GQ782" s="3"/>
      <c r="GR782" s="3"/>
      <c r="GS782" s="3"/>
      <c r="GT782" s="3"/>
      <c r="GU782" s="3"/>
      <c r="GV782" s="3"/>
      <c r="GW782" s="3"/>
      <c r="GX782" s="3"/>
      <c r="GY782" s="3"/>
      <c r="GZ782" s="3"/>
      <c r="HA782" s="3"/>
      <c r="HB782" s="3"/>
      <c r="HC782" s="3"/>
      <c r="HD782" s="3"/>
      <c r="HE782" s="3"/>
      <c r="HF782" s="3"/>
      <c r="HG782" s="3"/>
      <c r="HH782" s="3"/>
      <c r="HI782" s="3"/>
      <c r="HJ782" s="3"/>
      <c r="HK782" s="3"/>
      <c r="HL782" s="89"/>
      <c r="HM782" s="89"/>
      <c r="HN782" s="89"/>
      <c r="HO782" s="89"/>
      <c r="HP782" s="89"/>
      <c r="HQ782" s="89"/>
      <c r="HR782" s="89"/>
      <c r="HS782" s="89"/>
      <c r="HT782" s="147"/>
      <c r="HU782" s="89"/>
      <c r="HV782" s="89"/>
      <c r="HW782" s="89"/>
      <c r="HX782" s="89"/>
      <c r="HY782" s="89"/>
      <c r="HZ782" s="89"/>
      <c r="IA782" s="89"/>
      <c r="IB782" s="89"/>
      <c r="IC782" s="89"/>
      <c r="ID782" s="89"/>
      <c r="IE782" s="89"/>
      <c r="IF782" s="89"/>
      <c r="IG782" s="89"/>
      <c r="IH782" s="89"/>
      <c r="II782" s="148" t="s">
        <v>2224</v>
      </c>
      <c r="IJ782" s="152" t="s">
        <v>19</v>
      </c>
      <c r="IK782" s="89"/>
      <c r="IL782" s="89"/>
      <c r="IM782" s="89"/>
      <c r="IN782" s="89"/>
      <c r="IO782" s="89"/>
      <c r="IR782" s="89"/>
      <c r="IS782" s="89"/>
      <c r="IT782" s="89"/>
      <c r="IU782" s="89"/>
      <c r="IV782" s="89"/>
      <c r="IW782" s="89"/>
      <c r="IX782" s="147"/>
      <c r="IY782" s="89"/>
      <c r="IZ782" s="89"/>
      <c r="JA782" s="89"/>
      <c r="JB782" s="89"/>
      <c r="JC782" s="89"/>
      <c r="JD782" s="89"/>
      <c r="JE782" s="89"/>
      <c r="JF782" s="89"/>
      <c r="JG782" s="89"/>
      <c r="JH782" s="89"/>
      <c r="JI782" s="89"/>
      <c r="JJ782" s="89"/>
      <c r="JK782" s="89"/>
      <c r="JL782" s="89"/>
      <c r="JM782" s="154" t="s">
        <v>14</v>
      </c>
      <c r="JN782" s="155" t="s">
        <v>1664</v>
      </c>
      <c r="JO782" s="147"/>
      <c r="JS782" s="89"/>
      <c r="JT782" s="89"/>
      <c r="JU782" s="89"/>
      <c r="JV782" s="89"/>
      <c r="JW782" s="89"/>
      <c r="JX782" s="89"/>
      <c r="JY782" s="89"/>
      <c r="JZ782" s="156"/>
      <c r="KA782" s="154"/>
      <c r="KB782" s="147"/>
      <c r="KC782" s="89"/>
      <c r="KD782" s="147"/>
      <c r="KE782" s="89"/>
      <c r="KF782" s="89"/>
      <c r="KG782" s="89"/>
      <c r="KH782" s="147"/>
      <c r="KI782" s="89"/>
      <c r="KJ782" s="152"/>
      <c r="KK782" s="173"/>
      <c r="KL782" s="89"/>
      <c r="KM782" s="89"/>
      <c r="KN782" s="89"/>
      <c r="KO782" s="89"/>
      <c r="KP782" s="147"/>
      <c r="KQ782" s="89"/>
      <c r="KR782" s="177"/>
      <c r="KS782" s="154"/>
      <c r="KT782" s="89"/>
      <c r="KU782" s="89"/>
      <c r="KV782" s="158"/>
      <c r="KW782" s="173"/>
      <c r="KX782" s="89"/>
      <c r="KY782" s="89"/>
      <c r="KZ782" s="89"/>
      <c r="LA782" s="3"/>
      <c r="LB782" s="3"/>
      <c r="LC782" s="3"/>
      <c r="LD782" s="3"/>
      <c r="LE782" s="3"/>
      <c r="LF782" s="3"/>
      <c r="LG782" s="3"/>
      <c r="LH782" s="3"/>
      <c r="LI782" s="147"/>
      <c r="LJ782" s="147"/>
      <c r="LK782" s="147"/>
      <c r="LL782" s="147"/>
      <c r="LM782" s="147"/>
      <c r="LN782" s="89"/>
      <c r="LO782" s="147"/>
      <c r="LP782" s="147"/>
      <c r="LQ782" s="147"/>
      <c r="LR782" s="89"/>
      <c r="LS782" s="89"/>
      <c r="LT782" s="89"/>
      <c r="LU782" s="89"/>
      <c r="LV782" s="89"/>
      <c r="LW782" s="89"/>
      <c r="LX782" s="89"/>
      <c r="LY782" s="89"/>
      <c r="LZ782" s="89"/>
      <c r="MA782" s="89"/>
      <c r="MB782" s="89"/>
      <c r="MC782" s="89"/>
      <c r="MD782" s="89"/>
      <c r="ME782" s="89"/>
      <c r="MF782" s="89"/>
      <c r="MG782" s="89"/>
      <c r="MH782" s="89"/>
      <c r="MI782" s="89"/>
      <c r="MJ782" s="89"/>
      <c r="MK782" s="89"/>
      <c r="ML782" s="89"/>
      <c r="MM782" s="89"/>
      <c r="MN782" s="89"/>
      <c r="MO782" s="89"/>
      <c r="MP782" s="89"/>
      <c r="MQ782" s="89"/>
      <c r="MR782" s="89"/>
      <c r="MS782" s="89"/>
      <c r="MT782" s="89"/>
      <c r="MU782" s="89"/>
      <c r="MV782" s="89"/>
      <c r="MW782" s="89"/>
      <c r="MX782" s="89"/>
      <c r="MY782" s="89"/>
      <c r="MZ782" s="148" t="s">
        <v>2225</v>
      </c>
      <c r="NA782" s="89">
        <v>64</v>
      </c>
      <c r="NB782" s="148" t="s">
        <v>2244</v>
      </c>
      <c r="NC782" s="159" t="s">
        <v>2245</v>
      </c>
      <c r="ND782" s="159"/>
      <c r="NE782" s="159"/>
      <c r="NF782" s="159"/>
      <c r="NG782" s="159"/>
      <c r="NH782" s="159" t="s">
        <v>205</v>
      </c>
      <c r="NI782" s="159"/>
      <c r="NJ782" s="148"/>
      <c r="NK782" s="148" t="s">
        <v>2244</v>
      </c>
      <c r="NL782" s="148" t="s">
        <v>2246</v>
      </c>
      <c r="NM782" t="s">
        <v>203</v>
      </c>
      <c r="NN782" s="160" t="s">
        <v>2247</v>
      </c>
      <c r="NO782" s="148"/>
      <c r="NP782" s="148"/>
      <c r="NQ782" s="148"/>
      <c r="NR782" s="148"/>
      <c r="NS782" s="148"/>
      <c r="NT782" s="148"/>
      <c r="NU782" s="148"/>
      <c r="NV782" s="148" t="s">
        <v>64</v>
      </c>
      <c r="NW782" s="161" t="s">
        <v>6</v>
      </c>
      <c r="NX782" s="168">
        <v>175.2</v>
      </c>
      <c r="NY782" s="161" t="s">
        <v>4</v>
      </c>
      <c r="NZ782" s="97">
        <v>22</v>
      </c>
      <c r="OA782" s="175"/>
      <c r="OB782" s="89"/>
      <c r="OC782" s="148">
        <v>4</v>
      </c>
      <c r="OD782" s="2"/>
      <c r="OE782" s="2"/>
      <c r="OH782" s="89"/>
      <c r="OI782" s="89"/>
      <c r="OJ782" s="89"/>
      <c r="OK782" s="89"/>
      <c r="OL782" s="89"/>
      <c r="OM782" s="89"/>
      <c r="ON782" s="159"/>
      <c r="OO782" s="159"/>
      <c r="OP782" s="159"/>
      <c r="OQ782" s="159"/>
      <c r="OR782" s="159"/>
      <c r="OS782" s="159"/>
      <c r="OT782" s="148" t="s">
        <v>1924</v>
      </c>
      <c r="OU782" s="89"/>
      <c r="OV782" s="89">
        <v>2008</v>
      </c>
      <c r="OW782" s="89"/>
      <c r="OX782" s="89"/>
      <c r="OY782" s="89" t="s">
        <v>1</v>
      </c>
      <c r="OZ782" s="89"/>
      <c r="PA782" t="s">
        <v>1169</v>
      </c>
      <c r="PB782" s="58">
        <v>46134</v>
      </c>
    </row>
    <row r="783" spans="1:418" ht="15.75" thickBot="1">
      <c r="A783" t="s">
        <v>248</v>
      </c>
      <c r="B783" t="s">
        <v>2219</v>
      </c>
      <c r="C783" s="89" t="s">
        <v>34</v>
      </c>
      <c r="D783" s="147" t="s">
        <v>1936</v>
      </c>
      <c r="E783" s="89" t="s">
        <v>1658</v>
      </c>
      <c r="F783" t="s">
        <v>31</v>
      </c>
      <c r="G783" s="89" t="s">
        <v>2</v>
      </c>
      <c r="H783" s="147" t="s">
        <v>30</v>
      </c>
      <c r="I783">
        <v>-0.41666666699999999</v>
      </c>
      <c r="J783">
        <v>34.200000000000003</v>
      </c>
      <c r="K783" s="147" t="s">
        <v>29</v>
      </c>
      <c r="L783" s="2"/>
      <c r="M783" s="99"/>
      <c r="N783" s="2"/>
      <c r="O783" s="89"/>
      <c r="P783" s="2"/>
      <c r="Q783" s="2"/>
      <c r="R783" s="89"/>
      <c r="S783" s="89"/>
      <c r="T783" s="89"/>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c r="AV783" s="89" t="s">
        <v>2220</v>
      </c>
      <c r="AW783" s="89">
        <v>64</v>
      </c>
      <c r="AX783" s="89">
        <v>0.09</v>
      </c>
      <c r="AY783" s="89">
        <v>1</v>
      </c>
      <c r="AZ783" s="148" t="s">
        <v>2221</v>
      </c>
      <c r="BA783" s="148">
        <v>2007</v>
      </c>
      <c r="BB783" s="148">
        <v>2008</v>
      </c>
      <c r="BC783" s="148" t="s">
        <v>1</v>
      </c>
      <c r="BD783" s="2"/>
      <c r="BE783" s="2" t="s">
        <v>2230</v>
      </c>
      <c r="BF783" s="2" t="s">
        <v>64</v>
      </c>
      <c r="BG783" s="148" t="s">
        <v>1233</v>
      </c>
      <c r="BH783" s="2" t="s">
        <v>2223</v>
      </c>
      <c r="BI783" s="148" t="s">
        <v>29</v>
      </c>
      <c r="BJ783" s="149" t="s">
        <v>22</v>
      </c>
      <c r="BK783" s="150">
        <v>55500</v>
      </c>
      <c r="BL783" s="2" t="s">
        <v>56</v>
      </c>
      <c r="BM783" t="s">
        <v>2231</v>
      </c>
      <c r="BN783" s="148" t="s">
        <v>29</v>
      </c>
      <c r="BO783" s="2" t="s">
        <v>22</v>
      </c>
      <c r="BP783" s="2">
        <v>55000</v>
      </c>
      <c r="BQ783" s="2"/>
      <c r="BR783" s="2"/>
      <c r="BS783" s="2"/>
      <c r="BT783" s="99"/>
      <c r="BU783" s="2"/>
      <c r="BV783" s="2"/>
      <c r="BW783" s="3"/>
      <c r="BX783" s="3"/>
      <c r="BY783" s="3"/>
      <c r="BZ783" s="3"/>
      <c r="CA783" s="3"/>
      <c r="CB783" s="3"/>
      <c r="CC783" s="3"/>
      <c r="CD783" s="3"/>
      <c r="CE783" s="3"/>
      <c r="CF783" s="3"/>
      <c r="CG783" s="3"/>
      <c r="CH783" s="3"/>
      <c r="CI783" s="3"/>
      <c r="CJ783" s="3"/>
      <c r="CK783" s="3"/>
      <c r="CL783" s="3"/>
      <c r="CM783" s="3"/>
      <c r="CN783" s="3"/>
      <c r="CO783" s="3"/>
      <c r="CP783" s="3"/>
      <c r="CQ783" s="3"/>
      <c r="CR783" s="3"/>
      <c r="CS783" s="3"/>
      <c r="CT783" s="3"/>
      <c r="CU783" s="3"/>
      <c r="CV783" s="3"/>
      <c r="CW783" s="3"/>
      <c r="CX783" s="3"/>
      <c r="CY783" s="3"/>
      <c r="CZ783" s="3"/>
      <c r="DA783" s="3"/>
      <c r="DB783" s="3"/>
      <c r="DC783" s="3"/>
      <c r="DD783" s="3"/>
      <c r="DE783" s="3"/>
      <c r="DF783" s="3"/>
      <c r="DG783" s="3"/>
      <c r="DH783" s="3"/>
      <c r="DI783" s="3"/>
      <c r="DJ783" s="3"/>
      <c r="DK783" s="3"/>
      <c r="DL783" s="3"/>
      <c r="DM783" s="3"/>
      <c r="DN783" s="3"/>
      <c r="DO783" s="3"/>
      <c r="DP783" s="3"/>
      <c r="DQ783" s="3"/>
      <c r="DR783" s="3"/>
      <c r="DS783" s="3"/>
      <c r="DT783" s="3"/>
      <c r="DU783" s="3"/>
      <c r="DV783" s="3"/>
      <c r="DW783" s="3"/>
      <c r="DX783" s="3"/>
      <c r="DY783" s="3"/>
      <c r="DZ783" s="3"/>
      <c r="EA783" s="3"/>
      <c r="EB783" s="3"/>
      <c r="EC783" s="3"/>
      <c r="ED783" s="3"/>
      <c r="EE783" s="2"/>
      <c r="EF783" s="2"/>
      <c r="EG783" s="2"/>
      <c r="EH783" s="2"/>
      <c r="EI783" s="2"/>
      <c r="EJ783" s="2"/>
      <c r="EK783" s="2"/>
      <c r="EL783" s="2"/>
      <c r="EM783" s="3"/>
      <c r="EN783" s="3"/>
      <c r="EO783" s="3"/>
      <c r="EP783" s="3"/>
      <c r="EQ783" s="3"/>
      <c r="ER783" s="3"/>
      <c r="ES783" s="3"/>
      <c r="ET783" s="3"/>
      <c r="EU783" s="3"/>
      <c r="EV783" s="3"/>
      <c r="EW783" s="3"/>
      <c r="EX783" s="3"/>
      <c r="EY783" s="3"/>
      <c r="EZ783" s="3"/>
      <c r="FA783" s="3"/>
      <c r="FB783" s="3"/>
      <c r="FC783" s="3"/>
      <c r="FD783" s="3"/>
      <c r="FE783" s="3"/>
      <c r="FF783" s="3"/>
      <c r="FG783" s="3"/>
      <c r="FH783" s="3"/>
      <c r="FI783" s="3"/>
      <c r="FJ783" s="3"/>
      <c r="FK783" s="3"/>
      <c r="FL783" s="3"/>
      <c r="FM783" s="3"/>
      <c r="FN783" s="3"/>
      <c r="FO783" s="3"/>
      <c r="FP783" s="3"/>
      <c r="FQ783" s="3"/>
      <c r="FR783" s="3"/>
      <c r="FS783" s="3"/>
      <c r="FT783" s="3"/>
      <c r="FU783" s="3"/>
      <c r="FV783" s="3"/>
      <c r="FW783" s="3"/>
      <c r="FX783" s="3"/>
      <c r="FY783" s="3"/>
      <c r="FZ783" s="3"/>
      <c r="GA783" s="3"/>
      <c r="GB783" s="3"/>
      <c r="GC783" s="3"/>
      <c r="GD783" s="3"/>
      <c r="GE783" s="3"/>
      <c r="GF783" s="3"/>
      <c r="GG783" s="3"/>
      <c r="GH783" s="3"/>
      <c r="GI783" s="3"/>
      <c r="GJ783" s="3"/>
      <c r="GK783" s="3"/>
      <c r="GL783" s="3"/>
      <c r="GM783" s="3"/>
      <c r="GN783" s="3"/>
      <c r="GO783" s="3"/>
      <c r="GP783" s="3"/>
      <c r="GQ783" s="3"/>
      <c r="GR783" s="3"/>
      <c r="GS783" s="3"/>
      <c r="GT783" s="3"/>
      <c r="GU783" s="3"/>
      <c r="GV783" s="3"/>
      <c r="GW783" s="3"/>
      <c r="GX783" s="3"/>
      <c r="GY783" s="3"/>
      <c r="GZ783" s="3"/>
      <c r="HA783" s="3"/>
      <c r="HB783" s="3"/>
      <c r="HC783" s="3"/>
      <c r="HD783" s="3"/>
      <c r="HE783" s="3"/>
      <c r="HF783" s="3"/>
      <c r="HG783" s="3"/>
      <c r="HH783" s="3"/>
      <c r="HI783" s="3"/>
      <c r="HJ783" s="3"/>
      <c r="HK783" s="3"/>
      <c r="HL783" s="2"/>
      <c r="HM783" s="2"/>
      <c r="HN783" s="2"/>
      <c r="HO783" s="2"/>
      <c r="HP783" s="2"/>
      <c r="HQ783" s="2"/>
      <c r="HR783" s="2"/>
      <c r="HS783" s="2"/>
      <c r="HT783" s="99"/>
      <c r="HU783" s="2"/>
      <c r="HV783" s="2"/>
      <c r="HW783" s="2"/>
      <c r="HX783" s="2"/>
      <c r="HY783" s="2"/>
      <c r="HZ783" s="2"/>
      <c r="IA783" s="2"/>
      <c r="IB783" s="2"/>
      <c r="IC783" s="2"/>
      <c r="ID783" s="2"/>
      <c r="IE783" s="2"/>
      <c r="IF783" s="2"/>
      <c r="IG783" s="2"/>
      <c r="IH783" s="2"/>
      <c r="II783" s="148" t="s">
        <v>2224</v>
      </c>
      <c r="IJ783" s="163" t="s">
        <v>1443</v>
      </c>
      <c r="IK783" s="164" t="s">
        <v>1466</v>
      </c>
      <c r="IL783" s="165" t="s">
        <v>661</v>
      </c>
      <c r="IM783" s="2">
        <v>2007</v>
      </c>
      <c r="IN783" s="2" t="s">
        <v>62</v>
      </c>
      <c r="IO783" s="2" t="s">
        <v>29</v>
      </c>
      <c r="IR783" s="2"/>
      <c r="IS783" s="2"/>
      <c r="IT783" s="2"/>
      <c r="IU783" s="2"/>
      <c r="IV783" s="2"/>
      <c r="IW783" s="2"/>
      <c r="IX783" s="99"/>
      <c r="IY783" s="2"/>
      <c r="IZ783" s="2"/>
      <c r="JA783" s="2"/>
      <c r="JB783" s="2"/>
      <c r="JC783" s="2"/>
      <c r="JD783" s="2"/>
      <c r="JE783" s="2"/>
      <c r="JF783" s="2"/>
      <c r="JG783" s="2"/>
      <c r="JH783" s="2"/>
      <c r="JI783" s="2"/>
      <c r="JJ783" s="2"/>
      <c r="JK783" s="2"/>
      <c r="JL783" s="2"/>
      <c r="JM783" s="154" t="s">
        <v>14</v>
      </c>
      <c r="JN783" s="155" t="s">
        <v>1664</v>
      </c>
      <c r="JO783" s="99"/>
      <c r="JS783" s="2"/>
      <c r="JT783" s="2"/>
      <c r="JU783" s="2"/>
      <c r="JV783" s="2"/>
      <c r="JW783" s="2"/>
      <c r="JX783" s="2"/>
      <c r="JY783" s="2"/>
      <c r="JZ783" s="156"/>
      <c r="KA783" s="166"/>
      <c r="KB783" s="99"/>
      <c r="KC783" s="2"/>
      <c r="KD783" s="99"/>
      <c r="KE783" s="2"/>
      <c r="KF783" s="2"/>
      <c r="KG783" s="2"/>
      <c r="KH783" s="99"/>
      <c r="KI783" s="2"/>
      <c r="KJ783" s="163"/>
      <c r="KK783" s="167"/>
      <c r="KL783" s="2"/>
      <c r="KM783" s="2"/>
      <c r="KN783" s="2"/>
      <c r="KO783" s="2"/>
      <c r="KP783" s="99"/>
      <c r="KQ783" s="2"/>
      <c r="KR783" s="177"/>
      <c r="KS783" s="166"/>
      <c r="KT783" s="2"/>
      <c r="KU783" s="2"/>
      <c r="KV783" s="158"/>
      <c r="KW783" s="167"/>
      <c r="KX783" s="2"/>
      <c r="KY783" s="2"/>
      <c r="KZ783" s="2"/>
      <c r="LA783" s="3"/>
      <c r="LB783" s="3"/>
      <c r="LC783" s="3"/>
      <c r="LD783" s="3"/>
      <c r="LE783" s="3"/>
      <c r="LF783" s="3"/>
      <c r="LG783" s="3"/>
      <c r="LH783" s="3"/>
      <c r="LI783" s="99"/>
      <c r="LJ783" s="99"/>
      <c r="LK783" s="99"/>
      <c r="LL783" s="99"/>
      <c r="LM783" s="99"/>
      <c r="LN783" s="2"/>
      <c r="LO783" s="99"/>
      <c r="LP783" s="99"/>
      <c r="LQ783" s="99"/>
      <c r="LR783" s="2"/>
      <c r="LS783" s="2"/>
      <c r="LT783" s="2"/>
      <c r="LU783" s="2"/>
      <c r="LV783" s="2"/>
      <c r="LW783" s="2"/>
      <c r="LX783" s="2"/>
      <c r="LY783" s="2"/>
      <c r="LZ783" s="2"/>
      <c r="MA783" s="2"/>
      <c r="MB783" s="2"/>
      <c r="MC783" s="2"/>
      <c r="MD783" s="2"/>
      <c r="ME783" s="2"/>
      <c r="MF783" s="2"/>
      <c r="MG783" s="2"/>
      <c r="MH783" s="2"/>
      <c r="MI783" s="2"/>
      <c r="MJ783" s="2"/>
      <c r="MK783" s="2"/>
      <c r="ML783" s="2"/>
      <c r="MM783" s="2"/>
      <c r="MN783" s="2"/>
      <c r="MO783" s="2"/>
      <c r="MP783" s="2"/>
      <c r="MQ783" s="2"/>
      <c r="MR783" s="2"/>
      <c r="MS783" s="2"/>
      <c r="MT783" s="2"/>
      <c r="MU783" s="2"/>
      <c r="MV783" s="2"/>
      <c r="MW783" s="2"/>
      <c r="MX783" s="2"/>
      <c r="MY783" s="2"/>
      <c r="MZ783" s="148" t="s">
        <v>2225</v>
      </c>
      <c r="NA783" s="89">
        <v>64</v>
      </c>
      <c r="NB783" s="148" t="s">
        <v>2244</v>
      </c>
      <c r="NC783" s="159" t="s">
        <v>2245</v>
      </c>
      <c r="ND783" s="159"/>
      <c r="NE783" s="159"/>
      <c r="NF783" s="159"/>
      <c r="NG783" s="159"/>
      <c r="NH783" s="159" t="s">
        <v>205</v>
      </c>
      <c r="NI783" s="159"/>
      <c r="NJ783" s="148"/>
      <c r="NK783" s="148" t="s">
        <v>2244</v>
      </c>
      <c r="NL783" s="148" t="s">
        <v>2246</v>
      </c>
      <c r="NM783" t="s">
        <v>203</v>
      </c>
      <c r="NN783" s="160" t="s">
        <v>2247</v>
      </c>
      <c r="NO783" s="148"/>
      <c r="NP783" s="148"/>
      <c r="NQ783" s="148"/>
      <c r="NR783" s="148"/>
      <c r="NS783" s="148"/>
      <c r="NT783" s="148"/>
      <c r="NU783" s="148"/>
      <c r="NV783" s="148"/>
      <c r="NW783" s="161" t="s">
        <v>6</v>
      </c>
      <c r="NX783" s="168">
        <v>5.5</v>
      </c>
      <c r="NY783" s="161" t="s">
        <v>4</v>
      </c>
      <c r="NZ783" s="168">
        <v>2</v>
      </c>
      <c r="OA783" s="169"/>
      <c r="OB783" s="2"/>
      <c r="OC783" s="148">
        <v>4</v>
      </c>
      <c r="OD783" s="89"/>
      <c r="OE783" s="89"/>
      <c r="OH783" s="2"/>
      <c r="OI783" s="2"/>
      <c r="OJ783" s="2"/>
      <c r="OK783" s="2"/>
      <c r="OL783" s="2"/>
      <c r="OM783" s="2"/>
      <c r="OT783" s="148" t="s">
        <v>1924</v>
      </c>
      <c r="OU783" s="2"/>
      <c r="OV783" s="2">
        <v>2008</v>
      </c>
      <c r="OW783" s="2"/>
      <c r="OX783" s="2"/>
      <c r="OY783" s="2" t="s">
        <v>1</v>
      </c>
      <c r="OZ783" s="2"/>
      <c r="PA783" t="s">
        <v>1169</v>
      </c>
      <c r="PB783" s="58">
        <v>46134</v>
      </c>
    </row>
    <row r="784" spans="1:418" ht="15.75" thickBot="1">
      <c r="A784" t="s">
        <v>248</v>
      </c>
      <c r="B784" t="s">
        <v>2219</v>
      </c>
      <c r="C784" s="89" t="s">
        <v>34</v>
      </c>
      <c r="D784" s="147" t="s">
        <v>1936</v>
      </c>
      <c r="E784" s="89" t="s">
        <v>1658</v>
      </c>
      <c r="F784" t="s">
        <v>31</v>
      </c>
      <c r="G784" s="89" t="s">
        <v>2</v>
      </c>
      <c r="H784" s="147" t="s">
        <v>30</v>
      </c>
      <c r="I784">
        <v>-0.41666666699999999</v>
      </c>
      <c r="J784">
        <v>34.200000000000003</v>
      </c>
      <c r="K784" s="147" t="s">
        <v>29</v>
      </c>
      <c r="L784" s="89"/>
      <c r="M784" s="147"/>
      <c r="N784" s="89"/>
      <c r="O784" s="89"/>
      <c r="P784" s="89"/>
      <c r="Q784" s="89"/>
      <c r="R784" s="89"/>
      <c r="S784" s="89"/>
      <c r="T784" s="89"/>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c r="AV784" s="89" t="s">
        <v>2220</v>
      </c>
      <c r="AW784" s="89">
        <v>64</v>
      </c>
      <c r="AX784" s="89">
        <v>0.09</v>
      </c>
      <c r="AY784" s="89">
        <v>1</v>
      </c>
      <c r="AZ784" s="148" t="s">
        <v>2221</v>
      </c>
      <c r="BA784" s="148">
        <v>2007</v>
      </c>
      <c r="BB784" s="148">
        <v>2008</v>
      </c>
      <c r="BC784" s="148" t="s">
        <v>1</v>
      </c>
      <c r="BD784" s="89"/>
      <c r="BE784" s="148" t="s">
        <v>2222</v>
      </c>
      <c r="BF784" s="148" t="s">
        <v>39</v>
      </c>
      <c r="BG784" s="148" t="s">
        <v>1233</v>
      </c>
      <c r="BH784" s="148" t="s">
        <v>2223</v>
      </c>
      <c r="BI784" s="148" t="s">
        <v>29</v>
      </c>
      <c r="BJ784" s="149" t="s">
        <v>22</v>
      </c>
      <c r="BK784" s="150">
        <v>111000</v>
      </c>
      <c r="BL784" s="89"/>
      <c r="BM784" s="89"/>
      <c r="BN784" s="89"/>
      <c r="BO784" s="147"/>
      <c r="BP784" s="170"/>
      <c r="BQ784" s="89"/>
      <c r="BR784" s="89"/>
      <c r="BS784" s="89"/>
      <c r="BT784" s="147"/>
      <c r="BU784" s="170"/>
      <c r="BV784" s="89"/>
      <c r="BW784" s="3"/>
      <c r="BX784" s="3"/>
      <c r="BY784" s="3"/>
      <c r="BZ784" s="3"/>
      <c r="CA784" s="3"/>
      <c r="CB784" s="3"/>
      <c r="CC784" s="3"/>
      <c r="CD784" s="3"/>
      <c r="CE784" s="3"/>
      <c r="CF784" s="3"/>
      <c r="CG784" s="3"/>
      <c r="CH784" s="3"/>
      <c r="CI784" s="3"/>
      <c r="CJ784" s="3"/>
      <c r="CK784" s="3"/>
      <c r="CL784" s="3"/>
      <c r="CM784" s="3"/>
      <c r="CN784" s="3"/>
      <c r="CO784" s="3"/>
      <c r="CP784" s="3"/>
      <c r="CQ784" s="3"/>
      <c r="CR784" s="3"/>
      <c r="CS784" s="3"/>
      <c r="CT784" s="3"/>
      <c r="CU784" s="3"/>
      <c r="CV784" s="3"/>
      <c r="CW784" s="3"/>
      <c r="CX784" s="3"/>
      <c r="CY784" s="3"/>
      <c r="CZ784" s="3"/>
      <c r="DA784" s="3"/>
      <c r="DB784" s="3"/>
      <c r="DC784" s="3"/>
      <c r="DD784" s="3"/>
      <c r="DE784" s="3"/>
      <c r="DF784" s="3"/>
      <c r="DG784" s="3"/>
      <c r="DH784" s="3"/>
      <c r="DI784" s="3"/>
      <c r="DJ784" s="3"/>
      <c r="DK784" s="3"/>
      <c r="DL784" s="3"/>
      <c r="DM784" s="3"/>
      <c r="DN784" s="3"/>
      <c r="DO784" s="3"/>
      <c r="DP784" s="3"/>
      <c r="DQ784" s="3"/>
      <c r="DR784" s="3"/>
      <c r="DS784" s="3"/>
      <c r="DT784" s="3"/>
      <c r="DU784" s="3"/>
      <c r="DV784" s="3"/>
      <c r="DW784" s="3"/>
      <c r="DX784" s="3"/>
      <c r="DY784" s="3"/>
      <c r="DZ784" s="3"/>
      <c r="EA784" s="3"/>
      <c r="EB784" s="3"/>
      <c r="EC784" s="3"/>
      <c r="ED784" s="3"/>
      <c r="EE784" s="89"/>
      <c r="EF784" s="89"/>
      <c r="EG784" s="89"/>
      <c r="EH784" s="89"/>
      <c r="EI784" s="89"/>
      <c r="EJ784" s="89"/>
      <c r="EK784" s="89"/>
      <c r="EL784" s="89"/>
      <c r="EM784" s="3"/>
      <c r="EN784" s="3"/>
      <c r="EO784" s="3"/>
      <c r="EP784" s="3"/>
      <c r="EQ784" s="3"/>
      <c r="ER784" s="3"/>
      <c r="ES784" s="3"/>
      <c r="ET784" s="3"/>
      <c r="EU784" s="3"/>
      <c r="EV784" s="3"/>
      <c r="EW784" s="3"/>
      <c r="EX784" s="3"/>
      <c r="EY784" s="3"/>
      <c r="EZ784" s="3"/>
      <c r="FA784" s="3"/>
      <c r="FB784" s="3"/>
      <c r="FC784" s="3"/>
      <c r="FD784" s="3"/>
      <c r="FE784" s="3"/>
      <c r="FF784" s="3"/>
      <c r="FG784" s="3"/>
      <c r="FH784" s="3"/>
      <c r="FI784" s="3"/>
      <c r="FJ784" s="3"/>
      <c r="FK784" s="3"/>
      <c r="FL784" s="3"/>
      <c r="FM784" s="3"/>
      <c r="FN784" s="3"/>
      <c r="FO784" s="3"/>
      <c r="FP784" s="3"/>
      <c r="FQ784" s="3"/>
      <c r="FR784" s="3"/>
      <c r="FS784" s="3"/>
      <c r="FT784" s="3"/>
      <c r="FU784" s="3"/>
      <c r="FV784" s="3"/>
      <c r="FW784" s="3"/>
      <c r="FX784" s="3"/>
      <c r="FY784" s="3"/>
      <c r="FZ784" s="3"/>
      <c r="GA784" s="3"/>
      <c r="GB784" s="3"/>
      <c r="GC784" s="3"/>
      <c r="GD784" s="3"/>
      <c r="GE784" s="3"/>
      <c r="GF784" s="3"/>
      <c r="GG784" s="3"/>
      <c r="GH784" s="3"/>
      <c r="GI784" s="3"/>
      <c r="GJ784" s="3"/>
      <c r="GK784" s="3"/>
      <c r="GL784" s="3"/>
      <c r="GM784" s="3"/>
      <c r="GN784" s="3"/>
      <c r="GO784" s="3"/>
      <c r="GP784" s="3"/>
      <c r="GQ784" s="3"/>
      <c r="GR784" s="3"/>
      <c r="GS784" s="3"/>
      <c r="GT784" s="3"/>
      <c r="GU784" s="3"/>
      <c r="GV784" s="3"/>
      <c r="GW784" s="3"/>
      <c r="GX784" s="3"/>
      <c r="GY784" s="3"/>
      <c r="GZ784" s="3"/>
      <c r="HA784" s="3"/>
      <c r="HB784" s="3"/>
      <c r="HC784" s="3"/>
      <c r="HD784" s="3"/>
      <c r="HE784" s="3"/>
      <c r="HF784" s="3"/>
      <c r="HG784" s="3"/>
      <c r="HH784" s="3"/>
      <c r="HI784" s="3"/>
      <c r="HJ784" s="3"/>
      <c r="HK784" s="3"/>
      <c r="HL784" s="89"/>
      <c r="HM784" s="89"/>
      <c r="HN784" s="89"/>
      <c r="HO784" s="89"/>
      <c r="HP784" s="89"/>
      <c r="HQ784" s="89"/>
      <c r="HR784" s="89"/>
      <c r="HS784" s="89"/>
      <c r="HT784" s="147"/>
      <c r="HU784" s="89"/>
      <c r="HV784" s="89"/>
      <c r="HW784" s="89"/>
      <c r="HX784" s="89"/>
      <c r="HY784" s="89"/>
      <c r="HZ784" s="89"/>
      <c r="IA784" s="89"/>
      <c r="IB784" s="89"/>
      <c r="IC784" s="89"/>
      <c r="ID784" s="89"/>
      <c r="IE784" s="89"/>
      <c r="IF784" s="89"/>
      <c r="IG784" s="89"/>
      <c r="IH784" s="89"/>
      <c r="II784" s="148" t="s">
        <v>2224</v>
      </c>
      <c r="IJ784" s="152" t="s">
        <v>19</v>
      </c>
      <c r="IK784" s="89"/>
      <c r="IL784" s="89"/>
      <c r="IM784" s="89"/>
      <c r="IN784" s="89"/>
      <c r="IO784" s="89"/>
      <c r="IR784" s="89"/>
      <c r="IS784" s="89"/>
      <c r="IT784" s="89"/>
      <c r="IU784" s="89"/>
      <c r="IV784" s="89"/>
      <c r="IW784" s="89"/>
      <c r="IX784" s="147"/>
      <c r="IY784" s="89"/>
      <c r="IZ784" s="89"/>
      <c r="JA784" s="89"/>
      <c r="JB784" s="89"/>
      <c r="JC784" s="89"/>
      <c r="JD784" s="89"/>
      <c r="JE784" s="89"/>
      <c r="JF784" s="89"/>
      <c r="JG784" s="89"/>
      <c r="JH784" s="89"/>
      <c r="JI784" s="89"/>
      <c r="JJ784" s="89"/>
      <c r="JK784" s="89"/>
      <c r="JL784" s="89"/>
      <c r="JM784" s="154" t="s">
        <v>14</v>
      </c>
      <c r="JN784" s="155" t="s">
        <v>1664</v>
      </c>
      <c r="JO784" s="147"/>
      <c r="JS784" s="89"/>
      <c r="JT784" s="89"/>
      <c r="JU784" s="89"/>
      <c r="JV784" s="89"/>
      <c r="JW784" s="89"/>
      <c r="JX784" s="89"/>
      <c r="JY784" s="89"/>
      <c r="JZ784" s="156"/>
      <c r="KA784" s="154"/>
      <c r="KB784" s="147"/>
      <c r="KC784" s="89"/>
      <c r="KD784" s="147"/>
      <c r="KE784" s="89"/>
      <c r="KF784" s="89"/>
      <c r="KG784" s="89"/>
      <c r="KH784" s="147"/>
      <c r="KI784" s="89"/>
      <c r="KJ784" s="152"/>
      <c r="KK784" s="173"/>
      <c r="KL784" s="89"/>
      <c r="KM784" s="89"/>
      <c r="KN784" s="89"/>
      <c r="KO784" s="89"/>
      <c r="KP784" s="147"/>
      <c r="KQ784" s="89"/>
      <c r="KR784" s="177"/>
      <c r="KS784" s="154"/>
      <c r="KT784" s="89"/>
      <c r="KU784" s="89"/>
      <c r="KV784" s="158"/>
      <c r="KW784" s="173"/>
      <c r="KX784" s="89"/>
      <c r="KY784" s="89"/>
      <c r="KZ784" s="89"/>
      <c r="LA784" s="3"/>
      <c r="LB784" s="3"/>
      <c r="LC784" s="3"/>
      <c r="LD784" s="3"/>
      <c r="LE784" s="3"/>
      <c r="LF784" s="3"/>
      <c r="LG784" s="3"/>
      <c r="LH784" s="3"/>
      <c r="LI784" s="147"/>
      <c r="LJ784" s="147"/>
      <c r="LK784" s="147"/>
      <c r="LL784" s="147"/>
      <c r="LM784" s="147"/>
      <c r="LN784" s="89"/>
      <c r="LO784" s="147"/>
      <c r="LP784" s="147"/>
      <c r="LQ784" s="147"/>
      <c r="LR784" s="89"/>
      <c r="LS784" s="89"/>
      <c r="LT784" s="89"/>
      <c r="LU784" s="89"/>
      <c r="LV784" s="89"/>
      <c r="LW784" s="89"/>
      <c r="LX784" s="89"/>
      <c r="LY784" s="89"/>
      <c r="LZ784" s="89"/>
      <c r="MA784" s="89"/>
      <c r="MB784" s="89"/>
      <c r="MC784" s="89"/>
      <c r="MD784" s="89"/>
      <c r="ME784" s="89"/>
      <c r="MF784" s="89"/>
      <c r="MG784" s="89"/>
      <c r="MH784" s="89"/>
      <c r="MI784" s="89"/>
      <c r="MJ784" s="89"/>
      <c r="MK784" s="89"/>
      <c r="ML784" s="89"/>
      <c r="MM784" s="89"/>
      <c r="MN784" s="89"/>
      <c r="MO784" s="89"/>
      <c r="MP784" s="89"/>
      <c r="MQ784" s="89"/>
      <c r="MR784" s="89"/>
      <c r="MS784" s="89"/>
      <c r="MT784" s="89"/>
      <c r="MU784" s="89"/>
      <c r="MV784" s="89"/>
      <c r="MW784" s="89"/>
      <c r="MX784" s="89"/>
      <c r="MY784" s="89"/>
      <c r="MZ784" s="148" t="s">
        <v>2225</v>
      </c>
      <c r="NA784" s="89">
        <v>64</v>
      </c>
      <c r="NB784" s="148"/>
      <c r="NC784" s="159" t="s">
        <v>2236</v>
      </c>
      <c r="ND784" s="159" t="s">
        <v>2237</v>
      </c>
      <c r="NE784" s="159"/>
      <c r="NF784" s="159"/>
      <c r="NG784" s="159"/>
      <c r="NH784" s="159"/>
      <c r="NI784" s="159"/>
      <c r="NJ784" s="148"/>
      <c r="NK784" s="148" t="s">
        <v>2462</v>
      </c>
      <c r="NL784" s="148"/>
      <c r="NM784" t="s">
        <v>2460</v>
      </c>
      <c r="NN784" s="160" t="s">
        <v>2463</v>
      </c>
      <c r="NO784" s="148"/>
      <c r="NP784" s="148"/>
      <c r="NQ784" s="148"/>
      <c r="NR784" s="148"/>
      <c r="NS784" s="148"/>
      <c r="NT784" s="148"/>
      <c r="NU784" s="148"/>
      <c r="NV784" s="148" t="s">
        <v>64</v>
      </c>
      <c r="NW784" s="161" t="s">
        <v>6</v>
      </c>
      <c r="NX784" s="168">
        <v>12.6</v>
      </c>
      <c r="NY784" s="161" t="s">
        <v>4</v>
      </c>
      <c r="NZ784" s="97">
        <v>2</v>
      </c>
      <c r="OA784" s="175"/>
      <c r="OB784" s="89"/>
      <c r="OC784" s="148">
        <v>4</v>
      </c>
      <c r="OD784" s="2"/>
      <c r="OE784" s="2"/>
      <c r="OH784" s="89"/>
      <c r="OI784" s="89"/>
      <c r="OJ784" s="89"/>
      <c r="OK784" s="89"/>
      <c r="OL784" s="89"/>
      <c r="OM784" s="89"/>
      <c r="ON784" s="159"/>
      <c r="OO784" s="159"/>
      <c r="OP784" s="159"/>
      <c r="OQ784" s="159"/>
      <c r="OR784" s="159"/>
      <c r="OS784" s="159"/>
      <c r="OT784" s="148" t="s">
        <v>2461</v>
      </c>
      <c r="OU784" s="89" t="s">
        <v>6</v>
      </c>
      <c r="OW784" s="89">
        <v>2007</v>
      </c>
      <c r="OX784" s="89">
        <v>2008</v>
      </c>
      <c r="OY784" s="89"/>
      <c r="OZ784" s="89"/>
      <c r="PA784" t="s">
        <v>1169</v>
      </c>
      <c r="PB784" s="58">
        <v>46134</v>
      </c>
    </row>
    <row r="785" spans="1:418" ht="15.75" thickBot="1">
      <c r="A785" t="s">
        <v>248</v>
      </c>
      <c r="B785" t="s">
        <v>2219</v>
      </c>
      <c r="C785" s="89" t="s">
        <v>34</v>
      </c>
      <c r="D785" s="147" t="s">
        <v>1936</v>
      </c>
      <c r="E785" s="89" t="s">
        <v>1658</v>
      </c>
      <c r="F785" t="s">
        <v>31</v>
      </c>
      <c r="G785" s="89" t="s">
        <v>2</v>
      </c>
      <c r="H785" s="147" t="s">
        <v>30</v>
      </c>
      <c r="I785">
        <v>-0.41666666699999999</v>
      </c>
      <c r="J785">
        <v>34.200000000000003</v>
      </c>
      <c r="K785" s="147" t="s">
        <v>29</v>
      </c>
      <c r="L785" s="2"/>
      <c r="M785" s="99"/>
      <c r="N785" s="2"/>
      <c r="O785" s="89"/>
      <c r="P785" s="2"/>
      <c r="Q785" s="2"/>
      <c r="R785" s="89"/>
      <c r="S785" s="89"/>
      <c r="T785" s="89"/>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c r="AV785" s="89" t="s">
        <v>2220</v>
      </c>
      <c r="AW785" s="89">
        <v>64</v>
      </c>
      <c r="AX785" s="89">
        <v>0.09</v>
      </c>
      <c r="AY785" s="89">
        <v>1</v>
      </c>
      <c r="AZ785" s="148" t="s">
        <v>2221</v>
      </c>
      <c r="BA785" s="148">
        <v>2007</v>
      </c>
      <c r="BB785" s="148">
        <v>2008</v>
      </c>
      <c r="BC785" s="148" t="s">
        <v>1</v>
      </c>
      <c r="BD785" s="2"/>
      <c r="BE785" s="2" t="s">
        <v>2230</v>
      </c>
      <c r="BF785" s="2" t="s">
        <v>64</v>
      </c>
      <c r="BG785" s="148" t="s">
        <v>1233</v>
      </c>
      <c r="BH785" s="2" t="s">
        <v>2223</v>
      </c>
      <c r="BI785" s="148" t="s">
        <v>29</v>
      </c>
      <c r="BJ785" s="149" t="s">
        <v>22</v>
      </c>
      <c r="BK785" s="150">
        <v>55500</v>
      </c>
      <c r="BL785" s="2" t="s">
        <v>56</v>
      </c>
      <c r="BM785" t="s">
        <v>2231</v>
      </c>
      <c r="BN785" s="148" t="s">
        <v>29</v>
      </c>
      <c r="BO785" s="2" t="s">
        <v>22</v>
      </c>
      <c r="BP785" s="2">
        <v>55000</v>
      </c>
      <c r="BQ785" s="2"/>
      <c r="BR785" s="2"/>
      <c r="BS785" s="2"/>
      <c r="BT785" s="99"/>
      <c r="BU785" s="2"/>
      <c r="BV785" s="2"/>
      <c r="BW785" s="3"/>
      <c r="BX785" s="3"/>
      <c r="BY785" s="3"/>
      <c r="BZ785" s="3"/>
      <c r="CA785" s="3"/>
      <c r="CB785" s="3"/>
      <c r="CC785" s="3"/>
      <c r="CD785" s="3"/>
      <c r="CE785" s="3"/>
      <c r="CF785" s="3"/>
      <c r="CG785" s="3"/>
      <c r="CH785" s="3"/>
      <c r="CI785" s="3"/>
      <c r="CJ785" s="3"/>
      <c r="CK785" s="3"/>
      <c r="CL785" s="3"/>
      <c r="CM785" s="3"/>
      <c r="CN785" s="3"/>
      <c r="CO785" s="3"/>
      <c r="CP785" s="3"/>
      <c r="CQ785" s="3"/>
      <c r="CR785" s="3"/>
      <c r="CS785" s="3"/>
      <c r="CT785" s="3"/>
      <c r="CU785" s="3"/>
      <c r="CV785" s="3"/>
      <c r="CW785" s="3"/>
      <c r="CX785" s="3"/>
      <c r="CY785" s="3"/>
      <c r="CZ785" s="3"/>
      <c r="DA785" s="3"/>
      <c r="DB785" s="3"/>
      <c r="DC785" s="3"/>
      <c r="DD785" s="3"/>
      <c r="DE785" s="3"/>
      <c r="DF785" s="3"/>
      <c r="DG785" s="3"/>
      <c r="DH785" s="3"/>
      <c r="DI785" s="3"/>
      <c r="DJ785" s="3"/>
      <c r="DK785" s="3"/>
      <c r="DL785" s="3"/>
      <c r="DM785" s="3"/>
      <c r="DN785" s="3"/>
      <c r="DO785" s="3"/>
      <c r="DP785" s="3"/>
      <c r="DQ785" s="3"/>
      <c r="DR785" s="3"/>
      <c r="DS785" s="3"/>
      <c r="DT785" s="3"/>
      <c r="DU785" s="3"/>
      <c r="DV785" s="3"/>
      <c r="DW785" s="3"/>
      <c r="DX785" s="3"/>
      <c r="DY785" s="3"/>
      <c r="DZ785" s="3"/>
      <c r="EA785" s="3"/>
      <c r="EB785" s="3"/>
      <c r="EC785" s="3"/>
      <c r="ED785" s="3"/>
      <c r="EE785" s="2"/>
      <c r="EF785" s="2"/>
      <c r="EG785" s="2"/>
      <c r="EH785" s="2"/>
      <c r="EI785" s="2"/>
      <c r="EJ785" s="2"/>
      <c r="EK785" s="2"/>
      <c r="EL785" s="2"/>
      <c r="EM785" s="3"/>
      <c r="EN785" s="3"/>
      <c r="EO785" s="3"/>
      <c r="EP785" s="3"/>
      <c r="EQ785" s="3"/>
      <c r="ER785" s="3"/>
      <c r="ES785" s="3"/>
      <c r="ET785" s="3"/>
      <c r="EU785" s="3"/>
      <c r="EV785" s="3"/>
      <c r="EW785" s="3"/>
      <c r="EX785" s="3"/>
      <c r="EY785" s="3"/>
      <c r="EZ785" s="3"/>
      <c r="FA785" s="3"/>
      <c r="FB785" s="3"/>
      <c r="FC785" s="3"/>
      <c r="FD785" s="3"/>
      <c r="FE785" s="3"/>
      <c r="FF785" s="3"/>
      <c r="FG785" s="3"/>
      <c r="FH785" s="3"/>
      <c r="FI785" s="3"/>
      <c r="FJ785" s="3"/>
      <c r="FK785" s="3"/>
      <c r="FL785" s="3"/>
      <c r="FM785" s="3"/>
      <c r="FN785" s="3"/>
      <c r="FO785" s="3"/>
      <c r="FP785" s="3"/>
      <c r="FQ785" s="3"/>
      <c r="FR785" s="3"/>
      <c r="FS785" s="3"/>
      <c r="FT785" s="3"/>
      <c r="FU785" s="3"/>
      <c r="FV785" s="3"/>
      <c r="FW785" s="3"/>
      <c r="FX785" s="3"/>
      <c r="FY785" s="3"/>
      <c r="FZ785" s="3"/>
      <c r="GA785" s="3"/>
      <c r="GB785" s="3"/>
      <c r="GC785" s="3"/>
      <c r="GD785" s="3"/>
      <c r="GE785" s="3"/>
      <c r="GF785" s="3"/>
      <c r="GG785" s="3"/>
      <c r="GH785" s="3"/>
      <c r="GI785" s="3"/>
      <c r="GJ785" s="3"/>
      <c r="GK785" s="3"/>
      <c r="GL785" s="3"/>
      <c r="GM785" s="3"/>
      <c r="GN785" s="3"/>
      <c r="GO785" s="3"/>
      <c r="GP785" s="3"/>
      <c r="GQ785" s="3"/>
      <c r="GR785" s="3"/>
      <c r="GS785" s="3"/>
      <c r="GT785" s="3"/>
      <c r="GU785" s="3"/>
      <c r="GV785" s="3"/>
      <c r="GW785" s="3"/>
      <c r="GX785" s="3"/>
      <c r="GY785" s="3"/>
      <c r="GZ785" s="3"/>
      <c r="HA785" s="3"/>
      <c r="HB785" s="3"/>
      <c r="HC785" s="3"/>
      <c r="HD785" s="3"/>
      <c r="HE785" s="3"/>
      <c r="HF785" s="3"/>
      <c r="HG785" s="3"/>
      <c r="HH785" s="3"/>
      <c r="HI785" s="3"/>
      <c r="HJ785" s="3"/>
      <c r="HK785" s="3"/>
      <c r="HL785" s="2"/>
      <c r="HM785" s="2"/>
      <c r="HN785" s="2"/>
      <c r="HO785" s="2"/>
      <c r="HP785" s="2"/>
      <c r="HQ785" s="2"/>
      <c r="HR785" s="2"/>
      <c r="HS785" s="2"/>
      <c r="HT785" s="99"/>
      <c r="HU785" s="2"/>
      <c r="HV785" s="2"/>
      <c r="HW785" s="2"/>
      <c r="HX785" s="2"/>
      <c r="HY785" s="2"/>
      <c r="HZ785" s="2"/>
      <c r="IA785" s="2"/>
      <c r="IB785" s="2"/>
      <c r="IC785" s="2"/>
      <c r="ID785" s="2"/>
      <c r="IE785" s="2"/>
      <c r="IF785" s="2"/>
      <c r="IG785" s="2"/>
      <c r="IH785" s="2"/>
      <c r="II785" s="148" t="s">
        <v>2224</v>
      </c>
      <c r="IJ785" s="163" t="s">
        <v>1443</v>
      </c>
      <c r="IK785" s="164" t="s">
        <v>1466</v>
      </c>
      <c r="IL785" s="165" t="s">
        <v>661</v>
      </c>
      <c r="IM785" s="2">
        <v>2007</v>
      </c>
      <c r="IN785" s="2" t="s">
        <v>62</v>
      </c>
      <c r="IO785" s="2" t="s">
        <v>29</v>
      </c>
      <c r="IR785" s="2"/>
      <c r="IS785" s="2"/>
      <c r="IT785" s="2"/>
      <c r="IU785" s="2"/>
      <c r="IV785" s="2"/>
      <c r="IW785" s="2"/>
      <c r="IX785" s="99"/>
      <c r="IY785" s="2"/>
      <c r="IZ785" s="2"/>
      <c r="JA785" s="2"/>
      <c r="JB785" s="2"/>
      <c r="JC785" s="2"/>
      <c r="JD785" s="2"/>
      <c r="JE785" s="2"/>
      <c r="JF785" s="2"/>
      <c r="JG785" s="2"/>
      <c r="JH785" s="2"/>
      <c r="JI785" s="2"/>
      <c r="JJ785" s="2"/>
      <c r="JK785" s="2"/>
      <c r="JL785" s="2"/>
      <c r="JM785" s="154" t="s">
        <v>14</v>
      </c>
      <c r="JN785" s="155" t="s">
        <v>1664</v>
      </c>
      <c r="JO785" s="99"/>
      <c r="JS785" s="2"/>
      <c r="JT785" s="2"/>
      <c r="JU785" s="2"/>
      <c r="JV785" s="2"/>
      <c r="JW785" s="2"/>
      <c r="JX785" s="2"/>
      <c r="JY785" s="2"/>
      <c r="JZ785" s="156"/>
      <c r="KA785" s="166"/>
      <c r="KB785" s="99"/>
      <c r="KC785" s="2"/>
      <c r="KD785" s="99"/>
      <c r="KE785" s="2"/>
      <c r="KF785" s="2"/>
      <c r="KG785" s="2"/>
      <c r="KH785" s="99"/>
      <c r="KI785" s="2"/>
      <c r="KJ785" s="163"/>
      <c r="KK785" s="167"/>
      <c r="KL785" s="2"/>
      <c r="KM785" s="2"/>
      <c r="KN785" s="2"/>
      <c r="KO785" s="2"/>
      <c r="KP785" s="99"/>
      <c r="KQ785" s="2"/>
      <c r="KR785" s="177"/>
      <c r="KS785" s="166"/>
      <c r="KT785" s="2"/>
      <c r="KU785" s="2"/>
      <c r="KV785" s="158"/>
      <c r="KW785" s="167"/>
      <c r="KX785" s="2"/>
      <c r="KY785" s="2"/>
      <c r="KZ785" s="2"/>
      <c r="LA785" s="3"/>
      <c r="LB785" s="3"/>
      <c r="LC785" s="3"/>
      <c r="LD785" s="3"/>
      <c r="LE785" s="3"/>
      <c r="LF785" s="3"/>
      <c r="LG785" s="3"/>
      <c r="LH785" s="3"/>
      <c r="LI785" s="99"/>
      <c r="LJ785" s="99"/>
      <c r="LK785" s="99"/>
      <c r="LL785" s="99"/>
      <c r="LM785" s="99"/>
      <c r="LN785" s="2"/>
      <c r="LO785" s="99"/>
      <c r="LP785" s="99"/>
      <c r="LQ785" s="99"/>
      <c r="LR785" s="2"/>
      <c r="LS785" s="2"/>
      <c r="LT785" s="2"/>
      <c r="LU785" s="2"/>
      <c r="LV785" s="2"/>
      <c r="LW785" s="2"/>
      <c r="LX785" s="2"/>
      <c r="LY785" s="2"/>
      <c r="LZ785" s="2"/>
      <c r="MA785" s="2"/>
      <c r="MB785" s="2"/>
      <c r="MC785" s="2"/>
      <c r="MD785" s="2"/>
      <c r="ME785" s="2"/>
      <c r="MF785" s="2"/>
      <c r="MG785" s="2"/>
      <c r="MH785" s="2"/>
      <c r="MI785" s="2"/>
      <c r="MJ785" s="2"/>
      <c r="MK785" s="2"/>
      <c r="ML785" s="2"/>
      <c r="MM785" s="2"/>
      <c r="MN785" s="2"/>
      <c r="MO785" s="2"/>
      <c r="MP785" s="2"/>
      <c r="MQ785" s="2"/>
      <c r="MR785" s="2"/>
      <c r="MS785" s="2"/>
      <c r="MT785" s="2"/>
      <c r="MU785" s="2"/>
      <c r="MV785" s="2"/>
      <c r="MW785" s="2"/>
      <c r="MX785" s="2"/>
      <c r="MY785" s="2"/>
      <c r="MZ785" s="148" t="s">
        <v>2225</v>
      </c>
      <c r="NA785" s="89">
        <v>64</v>
      </c>
      <c r="NB785" s="148"/>
      <c r="NC785" s="159" t="s">
        <v>2236</v>
      </c>
      <c r="ND785" s="159" t="s">
        <v>2237</v>
      </c>
      <c r="NE785" s="159" t="s">
        <v>2238</v>
      </c>
      <c r="NF785" s="159"/>
      <c r="NG785" s="159"/>
      <c r="NH785" s="159"/>
      <c r="NI785" s="159"/>
      <c r="NJ785" s="148"/>
      <c r="NK785" s="148" t="s">
        <v>2462</v>
      </c>
      <c r="NL785" s="148"/>
      <c r="NM785" t="s">
        <v>2460</v>
      </c>
      <c r="NN785" s="160" t="s">
        <v>2463</v>
      </c>
      <c r="NO785" s="148"/>
      <c r="NP785" s="148"/>
      <c r="NQ785" s="148"/>
      <c r="NR785" s="148"/>
      <c r="NS785" s="148"/>
      <c r="NT785" s="148"/>
      <c r="NU785" s="148"/>
      <c r="NV785" s="148"/>
      <c r="NW785" s="161" t="s">
        <v>6</v>
      </c>
      <c r="NX785" s="168">
        <v>5.9</v>
      </c>
      <c r="NY785" s="161" t="s">
        <v>4</v>
      </c>
      <c r="NZ785" s="168">
        <v>1</v>
      </c>
      <c r="OA785" s="169"/>
      <c r="OB785" s="2"/>
      <c r="OC785" s="148">
        <v>4</v>
      </c>
      <c r="OD785" s="89"/>
      <c r="OE785" s="89"/>
      <c r="OH785" s="2"/>
      <c r="OI785" s="2"/>
      <c r="OJ785" s="2"/>
      <c r="OK785" s="2"/>
      <c r="OL785" s="2"/>
      <c r="OM785" s="2"/>
      <c r="OT785" s="148" t="s">
        <v>2461</v>
      </c>
      <c r="OU785" s="89" t="s">
        <v>6</v>
      </c>
      <c r="OW785" s="2"/>
      <c r="OX785" s="2">
        <v>2008</v>
      </c>
      <c r="OY785" s="2"/>
      <c r="OZ785" s="2"/>
      <c r="PA785" t="s">
        <v>1169</v>
      </c>
      <c r="PB785" s="58">
        <v>46134</v>
      </c>
    </row>
    <row r="786" spans="1:418" ht="15.75" thickBot="1">
      <c r="A786" t="s">
        <v>248</v>
      </c>
      <c r="B786" t="s">
        <v>2327</v>
      </c>
      <c r="C786" t="s">
        <v>1885</v>
      </c>
      <c r="D786" t="s">
        <v>1936</v>
      </c>
      <c r="E786" s="90" t="s">
        <v>2326</v>
      </c>
      <c r="F786" s="89" t="s">
        <v>31</v>
      </c>
      <c r="G786" t="s">
        <v>2</v>
      </c>
      <c r="H786" t="s">
        <v>30</v>
      </c>
      <c r="I786">
        <v>23.983611109999998</v>
      </c>
      <c r="J786">
        <v>90.402222219999999</v>
      </c>
      <c r="K786" t="s">
        <v>29</v>
      </c>
      <c r="AV786" t="s">
        <v>2325</v>
      </c>
      <c r="AW786">
        <f t="shared" ref="AW786:AW817" si="0">35*41</f>
        <v>1435</v>
      </c>
      <c r="AX786" t="s">
        <v>29</v>
      </c>
      <c r="AY786">
        <v>3</v>
      </c>
      <c r="AZ786" t="s">
        <v>2324</v>
      </c>
      <c r="BA786">
        <v>2009</v>
      </c>
      <c r="BB786">
        <v>2012</v>
      </c>
      <c r="BC786">
        <v>2009.2</v>
      </c>
      <c r="BD786" t="s">
        <v>19</v>
      </c>
      <c r="BE786" t="s">
        <v>2354</v>
      </c>
      <c r="BF786" t="s">
        <v>39</v>
      </c>
      <c r="BG786" t="s">
        <v>1233</v>
      </c>
      <c r="BH786" t="s">
        <v>2319</v>
      </c>
      <c r="BI786" t="s">
        <v>2342</v>
      </c>
      <c r="BJ786" t="s">
        <v>2262</v>
      </c>
      <c r="BK786">
        <v>45</v>
      </c>
      <c r="BL786" t="s">
        <v>275</v>
      </c>
      <c r="BM786" t="s">
        <v>2319</v>
      </c>
      <c r="BN786" t="s">
        <v>2355</v>
      </c>
      <c r="BO786" t="s">
        <v>2262</v>
      </c>
      <c r="BP786">
        <v>49</v>
      </c>
      <c r="BQ786" t="s">
        <v>275</v>
      </c>
      <c r="BR786" t="s">
        <v>2319</v>
      </c>
      <c r="BS786" t="s">
        <v>2341</v>
      </c>
      <c r="BT786" t="s">
        <v>2262</v>
      </c>
      <c r="BU786">
        <v>49</v>
      </c>
      <c r="HL786" t="s">
        <v>2350</v>
      </c>
      <c r="HM786" t="s">
        <v>297</v>
      </c>
      <c r="HN786" t="s">
        <v>2349</v>
      </c>
      <c r="HP786" t="s">
        <v>29</v>
      </c>
      <c r="HQ786">
        <v>12</v>
      </c>
      <c r="HR786" t="s">
        <v>2348</v>
      </c>
      <c r="HT786" t="s">
        <v>2314</v>
      </c>
      <c r="HU786" s="58">
        <v>40202</v>
      </c>
      <c r="HV786" s="58"/>
      <c r="IP786" t="s">
        <v>2354</v>
      </c>
      <c r="IQ786" s="54" t="s">
        <v>2337</v>
      </c>
      <c r="IT786">
        <v>2009</v>
      </c>
      <c r="IU786" t="s">
        <v>2311</v>
      </c>
      <c r="IV786" s="4" t="s">
        <v>1879</v>
      </c>
      <c r="JM786" t="s">
        <v>14</v>
      </c>
      <c r="KF786" t="s">
        <v>2353</v>
      </c>
      <c r="KG786" t="s">
        <v>1548</v>
      </c>
      <c r="KH786" t="s">
        <v>2309</v>
      </c>
      <c r="KI786">
        <v>3</v>
      </c>
      <c r="KJ786" t="s">
        <v>2308</v>
      </c>
      <c r="KK786" t="s">
        <v>2152</v>
      </c>
      <c r="KO786" t="s">
        <v>219</v>
      </c>
      <c r="KP786" s="8" t="s">
        <v>2357</v>
      </c>
      <c r="KW786" t="s">
        <v>2352</v>
      </c>
      <c r="KX786" t="s">
        <v>2305</v>
      </c>
      <c r="LD786" t="s">
        <v>13</v>
      </c>
      <c r="LE786">
        <v>1500</v>
      </c>
      <c r="LM786" t="s">
        <v>2304</v>
      </c>
      <c r="LN786" t="s">
        <v>2303</v>
      </c>
      <c r="LO786">
        <v>7.5</v>
      </c>
      <c r="LU786" t="s">
        <v>2351</v>
      </c>
      <c r="LV786" t="s">
        <v>2301</v>
      </c>
      <c r="LZ786" t="s">
        <v>1925</v>
      </c>
      <c r="MA786">
        <v>2084</v>
      </c>
      <c r="MB786" t="s">
        <v>2300</v>
      </c>
      <c r="MH786" t="s">
        <v>2332</v>
      </c>
      <c r="MJ786" s="58">
        <v>40292</v>
      </c>
      <c r="MZ786" t="s">
        <v>2298</v>
      </c>
      <c r="NA786">
        <v>1435</v>
      </c>
      <c r="NB786" t="s">
        <v>2464</v>
      </c>
      <c r="NC786" s="2" t="s">
        <v>2296</v>
      </c>
      <c r="NE786" s="2"/>
      <c r="NF786" s="2"/>
      <c r="NG786" s="2"/>
      <c r="NK786" t="s">
        <v>2465</v>
      </c>
      <c r="NM786" s="147" t="s">
        <v>8</v>
      </c>
      <c r="NN786" s="203" t="s">
        <v>2372</v>
      </c>
      <c r="NV786" t="s">
        <v>2343</v>
      </c>
      <c r="NW786" t="s">
        <v>6</v>
      </c>
      <c r="NX786">
        <v>4.3</v>
      </c>
      <c r="NY786" t="s">
        <v>29</v>
      </c>
      <c r="NZ786" t="s">
        <v>29</v>
      </c>
      <c r="OC786">
        <v>3</v>
      </c>
      <c r="OT786" t="s">
        <v>2371</v>
      </c>
      <c r="OU786" t="s">
        <v>6</v>
      </c>
      <c r="OW786">
        <v>2009</v>
      </c>
      <c r="OX786">
        <v>2010</v>
      </c>
      <c r="OY786" t="s">
        <v>2311</v>
      </c>
      <c r="OZ786" t="s">
        <v>2373</v>
      </c>
      <c r="PA786" t="s">
        <v>1169</v>
      </c>
      <c r="PB786" s="58">
        <v>46136</v>
      </c>
    </row>
    <row r="787" spans="1:418" ht="15.75" thickBot="1">
      <c r="A787" t="s">
        <v>248</v>
      </c>
      <c r="B787" t="s">
        <v>2327</v>
      </c>
      <c r="C787" t="s">
        <v>1885</v>
      </c>
      <c r="D787" t="s">
        <v>1936</v>
      </c>
      <c r="E787" s="90" t="s">
        <v>2326</v>
      </c>
      <c r="F787" s="89" t="s">
        <v>31</v>
      </c>
      <c r="G787" t="s">
        <v>2</v>
      </c>
      <c r="H787" t="s">
        <v>30</v>
      </c>
      <c r="I787">
        <v>23.983611109999998</v>
      </c>
      <c r="J787">
        <v>90.402222219999999</v>
      </c>
      <c r="K787" t="s">
        <v>29</v>
      </c>
      <c r="AV787" t="s">
        <v>2325</v>
      </c>
      <c r="AW787">
        <f t="shared" si="0"/>
        <v>1435</v>
      </c>
      <c r="AX787" t="s">
        <v>29</v>
      </c>
      <c r="AY787">
        <v>3</v>
      </c>
      <c r="AZ787" t="s">
        <v>2324</v>
      </c>
      <c r="BA787">
        <v>2009</v>
      </c>
      <c r="BB787">
        <v>2012</v>
      </c>
      <c r="BC787">
        <v>2009.2</v>
      </c>
      <c r="BD787" t="s">
        <v>19</v>
      </c>
      <c r="BE787" t="s">
        <v>2347</v>
      </c>
      <c r="BF787" t="s">
        <v>24</v>
      </c>
      <c r="BG787" t="s">
        <v>1233</v>
      </c>
      <c r="BH787" t="s">
        <v>2319</v>
      </c>
      <c r="BI787" t="s">
        <v>2342</v>
      </c>
      <c r="BJ787" t="s">
        <v>2262</v>
      </c>
      <c r="BK787">
        <v>30</v>
      </c>
      <c r="BL787" t="s">
        <v>275</v>
      </c>
      <c r="BM787" t="s">
        <v>2319</v>
      </c>
      <c r="BN787" t="s">
        <v>2341</v>
      </c>
      <c r="BO787" t="s">
        <v>2262</v>
      </c>
      <c r="BP787">
        <v>35</v>
      </c>
      <c r="HL787" t="s">
        <v>2350</v>
      </c>
      <c r="HM787" t="s">
        <v>297</v>
      </c>
      <c r="HN787" t="s">
        <v>2349</v>
      </c>
      <c r="HP787" t="s">
        <v>29</v>
      </c>
      <c r="HQ787">
        <v>12</v>
      </c>
      <c r="HR787" t="s">
        <v>2348</v>
      </c>
      <c r="HT787" t="s">
        <v>2314</v>
      </c>
      <c r="HU787" s="58">
        <v>40192</v>
      </c>
      <c r="HV787" s="58"/>
      <c r="IP787" t="s">
        <v>2347</v>
      </c>
      <c r="IQ787" s="54" t="s">
        <v>2337</v>
      </c>
      <c r="IT787">
        <v>2009</v>
      </c>
      <c r="IU787" t="s">
        <v>2311</v>
      </c>
      <c r="IV787" s="4" t="s">
        <v>1879</v>
      </c>
      <c r="JM787" t="s">
        <v>14</v>
      </c>
      <c r="KF787" t="s">
        <v>2346</v>
      </c>
      <c r="KG787" t="s">
        <v>1548</v>
      </c>
      <c r="KH787" t="s">
        <v>2309</v>
      </c>
      <c r="KI787">
        <v>6</v>
      </c>
      <c r="KJ787" t="s">
        <v>2308</v>
      </c>
      <c r="KK787" t="s">
        <v>222</v>
      </c>
      <c r="KL787" s="8" t="s">
        <v>1922</v>
      </c>
      <c r="KO787" t="s">
        <v>219</v>
      </c>
      <c r="KP787" t="s">
        <v>2335</v>
      </c>
      <c r="KW787" t="s">
        <v>2345</v>
      </c>
      <c r="KX787" t="s">
        <v>2305</v>
      </c>
      <c r="LD787" t="s">
        <v>13</v>
      </c>
      <c r="LE787">
        <v>2200</v>
      </c>
      <c r="LM787" t="s">
        <v>2304</v>
      </c>
      <c r="LN787" t="s">
        <v>2303</v>
      </c>
      <c r="LO787">
        <v>30</v>
      </c>
      <c r="LU787" t="s">
        <v>2344</v>
      </c>
      <c r="LV787" t="s">
        <v>2301</v>
      </c>
      <c r="LZ787" t="s">
        <v>1925</v>
      </c>
      <c r="MA787">
        <v>1789</v>
      </c>
      <c r="MB787" t="s">
        <v>2300</v>
      </c>
      <c r="MH787" t="s">
        <v>2332</v>
      </c>
      <c r="MJ787" s="58">
        <v>40298</v>
      </c>
      <c r="MZ787" t="s">
        <v>2298</v>
      </c>
      <c r="NA787">
        <v>1435</v>
      </c>
      <c r="NB787" t="s">
        <v>2464</v>
      </c>
      <c r="NC787" s="2" t="s">
        <v>2296</v>
      </c>
      <c r="NE787" s="2"/>
      <c r="NF787" s="2"/>
      <c r="NG787" s="2"/>
      <c r="NK787" t="s">
        <v>2465</v>
      </c>
      <c r="NM787" s="147" t="s">
        <v>8</v>
      </c>
      <c r="NN787" s="203" t="s">
        <v>2372</v>
      </c>
      <c r="NV787" t="s">
        <v>2343</v>
      </c>
      <c r="NW787" t="s">
        <v>6</v>
      </c>
      <c r="NX787">
        <v>5.0999999999999996</v>
      </c>
      <c r="NY787" t="s">
        <v>29</v>
      </c>
      <c r="NZ787" t="s">
        <v>29</v>
      </c>
      <c r="OC787">
        <v>3</v>
      </c>
      <c r="OT787" t="s">
        <v>2371</v>
      </c>
      <c r="OU787" t="s">
        <v>6</v>
      </c>
      <c r="OW787">
        <v>2009</v>
      </c>
      <c r="OX787">
        <v>2010</v>
      </c>
      <c r="OY787" t="s">
        <v>2311</v>
      </c>
      <c r="OZ787" t="s">
        <v>2373</v>
      </c>
      <c r="PA787" t="s">
        <v>1169</v>
      </c>
      <c r="PB787" s="58">
        <v>46136</v>
      </c>
    </row>
    <row r="788" spans="1:418" ht="15.75" thickBot="1">
      <c r="A788" t="s">
        <v>248</v>
      </c>
      <c r="B788" t="s">
        <v>2327</v>
      </c>
      <c r="C788" t="s">
        <v>1885</v>
      </c>
      <c r="D788" t="s">
        <v>1936</v>
      </c>
      <c r="E788" s="90" t="s">
        <v>2326</v>
      </c>
      <c r="F788" s="89" t="s">
        <v>31</v>
      </c>
      <c r="G788" t="s">
        <v>2</v>
      </c>
      <c r="H788" t="s">
        <v>30</v>
      </c>
      <c r="I788">
        <v>23.983611109999998</v>
      </c>
      <c r="J788">
        <v>90.402222219999999</v>
      </c>
      <c r="K788" t="s">
        <v>29</v>
      </c>
      <c r="AV788" t="s">
        <v>2325</v>
      </c>
      <c r="AW788">
        <f t="shared" si="0"/>
        <v>1435</v>
      </c>
      <c r="AX788" t="s">
        <v>29</v>
      </c>
      <c r="AY788">
        <v>3</v>
      </c>
      <c r="AZ788" t="s">
        <v>2324</v>
      </c>
      <c r="BA788">
        <v>2009</v>
      </c>
      <c r="BB788">
        <v>2012</v>
      </c>
      <c r="BC788">
        <v>2009.2</v>
      </c>
      <c r="BD788" t="s">
        <v>19</v>
      </c>
      <c r="BE788" t="s">
        <v>2338</v>
      </c>
      <c r="BF788" t="s">
        <v>299</v>
      </c>
      <c r="BG788" t="s">
        <v>1233</v>
      </c>
      <c r="BH788" t="s">
        <v>2319</v>
      </c>
      <c r="BI788" t="s">
        <v>2342</v>
      </c>
      <c r="BJ788" t="s">
        <v>2262</v>
      </c>
      <c r="BK788">
        <v>30</v>
      </c>
      <c r="BL788" t="s">
        <v>275</v>
      </c>
      <c r="BM788" t="s">
        <v>2319</v>
      </c>
      <c r="BN788" t="s">
        <v>2341</v>
      </c>
      <c r="BO788" t="s">
        <v>2262</v>
      </c>
      <c r="BP788">
        <v>19</v>
      </c>
      <c r="HL788" t="s">
        <v>2340</v>
      </c>
      <c r="HM788" t="s">
        <v>2316</v>
      </c>
      <c r="HP788" t="s">
        <v>29</v>
      </c>
      <c r="HQ788">
        <v>4</v>
      </c>
      <c r="HR788" t="s">
        <v>2339</v>
      </c>
      <c r="HT788" t="s">
        <v>2314</v>
      </c>
      <c r="HU788" s="58">
        <v>40192</v>
      </c>
      <c r="HV788" s="58"/>
      <c r="IP788" t="s">
        <v>2338</v>
      </c>
      <c r="IQ788" s="54" t="s">
        <v>2337</v>
      </c>
      <c r="IT788">
        <v>2009</v>
      </c>
      <c r="IU788" t="s">
        <v>2311</v>
      </c>
      <c r="IV788" s="4" t="s">
        <v>1879</v>
      </c>
      <c r="JM788" t="s">
        <v>14</v>
      </c>
      <c r="KF788" t="s">
        <v>2336</v>
      </c>
      <c r="KG788" t="s">
        <v>1548</v>
      </c>
      <c r="KH788" t="s">
        <v>2309</v>
      </c>
      <c r="KI788">
        <v>7</v>
      </c>
      <c r="KJ788" t="s">
        <v>2308</v>
      </c>
      <c r="KK788" t="s">
        <v>222</v>
      </c>
      <c r="KL788" s="8" t="s">
        <v>1922</v>
      </c>
      <c r="KO788" t="s">
        <v>219</v>
      </c>
      <c r="KP788" t="s">
        <v>2335</v>
      </c>
      <c r="KW788" t="s">
        <v>2334</v>
      </c>
      <c r="KX788" t="s">
        <v>2305</v>
      </c>
      <c r="LD788" t="s">
        <v>13</v>
      </c>
      <c r="LE788">
        <v>2600</v>
      </c>
      <c r="LM788" t="s">
        <v>2304</v>
      </c>
      <c r="LN788" t="s">
        <v>2303</v>
      </c>
      <c r="LO788">
        <v>30</v>
      </c>
      <c r="LU788" t="s">
        <v>2333</v>
      </c>
      <c r="LV788" t="s">
        <v>2301</v>
      </c>
      <c r="LZ788" t="s">
        <v>1925</v>
      </c>
      <c r="MA788">
        <v>1898</v>
      </c>
      <c r="MB788" t="s">
        <v>2300</v>
      </c>
      <c r="MH788" t="s">
        <v>2332</v>
      </c>
      <c r="MJ788" s="58">
        <v>40299</v>
      </c>
      <c r="MZ788" t="s">
        <v>2298</v>
      </c>
      <c r="NA788">
        <v>1435</v>
      </c>
      <c r="NB788" t="s">
        <v>2464</v>
      </c>
      <c r="NC788" s="2" t="s">
        <v>2296</v>
      </c>
      <c r="NE788" s="2"/>
      <c r="NF788" s="2"/>
      <c r="NG788" s="2"/>
      <c r="NK788" t="s">
        <v>2465</v>
      </c>
      <c r="NM788" s="147" t="s">
        <v>8</v>
      </c>
      <c r="NN788" s="203" t="s">
        <v>2372</v>
      </c>
      <c r="NV788" t="s">
        <v>64</v>
      </c>
      <c r="NW788" t="s">
        <v>6</v>
      </c>
      <c r="NX788">
        <v>5</v>
      </c>
      <c r="NY788" t="s">
        <v>29</v>
      </c>
      <c r="NZ788" t="s">
        <v>29</v>
      </c>
      <c r="OC788">
        <v>3</v>
      </c>
      <c r="OT788" t="s">
        <v>2371</v>
      </c>
      <c r="OU788" t="s">
        <v>6</v>
      </c>
      <c r="OW788">
        <v>2009</v>
      </c>
      <c r="OX788">
        <v>2010</v>
      </c>
      <c r="OY788" t="s">
        <v>2311</v>
      </c>
      <c r="OZ788" t="s">
        <v>2373</v>
      </c>
      <c r="PA788" t="s">
        <v>1169</v>
      </c>
      <c r="PB788" s="58">
        <v>46136</v>
      </c>
    </row>
    <row r="789" spans="1:418" ht="15.75" thickBot="1">
      <c r="A789" t="s">
        <v>248</v>
      </c>
      <c r="B789" t="s">
        <v>2327</v>
      </c>
      <c r="C789" t="s">
        <v>1885</v>
      </c>
      <c r="D789" t="s">
        <v>1936</v>
      </c>
      <c r="E789" s="90" t="s">
        <v>2326</v>
      </c>
      <c r="F789" s="89" t="s">
        <v>31</v>
      </c>
      <c r="G789" t="s">
        <v>2</v>
      </c>
      <c r="H789" t="s">
        <v>30</v>
      </c>
      <c r="I789">
        <v>23.983611109999998</v>
      </c>
      <c r="J789">
        <v>90.402222219999999</v>
      </c>
      <c r="K789" t="s">
        <v>29</v>
      </c>
      <c r="AV789" t="s">
        <v>2325</v>
      </c>
      <c r="AW789">
        <f t="shared" si="0"/>
        <v>1435</v>
      </c>
      <c r="AX789" t="s">
        <v>29</v>
      </c>
      <c r="AY789">
        <v>3</v>
      </c>
      <c r="AZ789" t="s">
        <v>2324</v>
      </c>
      <c r="BA789">
        <v>2009</v>
      </c>
      <c r="BB789">
        <v>2012</v>
      </c>
      <c r="BC789">
        <v>2009.2</v>
      </c>
      <c r="BD789" t="s">
        <v>274</v>
      </c>
      <c r="BE789" t="s">
        <v>2313</v>
      </c>
      <c r="BF789" t="s">
        <v>64</v>
      </c>
      <c r="BG789" t="s">
        <v>1233</v>
      </c>
      <c r="BH789" t="s">
        <v>1894</v>
      </c>
      <c r="BI789" t="s">
        <v>2323</v>
      </c>
      <c r="BJ789" t="s">
        <v>2262</v>
      </c>
      <c r="BK789">
        <v>1614</v>
      </c>
      <c r="BL789" t="s">
        <v>275</v>
      </c>
      <c r="BM789" t="s">
        <v>23</v>
      </c>
      <c r="BN789" t="s">
        <v>2322</v>
      </c>
      <c r="BO789" t="s">
        <v>2262</v>
      </c>
      <c r="BP789">
        <v>20</v>
      </c>
      <c r="BQ789" t="s">
        <v>275</v>
      </c>
      <c r="BR789" t="s">
        <v>1917</v>
      </c>
      <c r="BS789" t="s">
        <v>2321</v>
      </c>
      <c r="BT789" t="s">
        <v>2262</v>
      </c>
      <c r="BU789">
        <v>30</v>
      </c>
      <c r="BV789" t="s">
        <v>275</v>
      </c>
      <c r="BW789" t="s">
        <v>2319</v>
      </c>
      <c r="BX789" t="s">
        <v>2320</v>
      </c>
      <c r="BY789" t="s">
        <v>2262</v>
      </c>
      <c r="BZ789">
        <v>35</v>
      </c>
      <c r="CA789" t="s">
        <v>275</v>
      </c>
      <c r="CB789" t="s">
        <v>2319</v>
      </c>
      <c r="CC789" t="s">
        <v>2318</v>
      </c>
      <c r="CD789" t="s">
        <v>2262</v>
      </c>
      <c r="CE789">
        <v>19</v>
      </c>
      <c r="HL789" t="s">
        <v>2317</v>
      </c>
      <c r="HM789" t="s">
        <v>2316</v>
      </c>
      <c r="HP789" t="s">
        <v>29</v>
      </c>
      <c r="HQ789">
        <v>9</v>
      </c>
      <c r="HR789" t="s">
        <v>2315</v>
      </c>
      <c r="HT789" t="s">
        <v>2314</v>
      </c>
      <c r="HU789" s="58">
        <v>40153</v>
      </c>
      <c r="IP789" t="s">
        <v>2313</v>
      </c>
      <c r="IQ789" t="s">
        <v>2312</v>
      </c>
      <c r="IT789">
        <v>2009</v>
      </c>
      <c r="IU789" t="s">
        <v>2311</v>
      </c>
      <c r="IV789" s="4" t="s">
        <v>1879</v>
      </c>
      <c r="JM789" t="s">
        <v>14</v>
      </c>
      <c r="KF789" t="s">
        <v>2310</v>
      </c>
      <c r="KG789" t="s">
        <v>1548</v>
      </c>
      <c r="KH789" t="s">
        <v>2309</v>
      </c>
      <c r="KI789">
        <v>4</v>
      </c>
      <c r="KJ789" t="s">
        <v>2308</v>
      </c>
      <c r="KK789" t="s">
        <v>2152</v>
      </c>
      <c r="KO789" t="s">
        <v>219</v>
      </c>
      <c r="KP789" t="s">
        <v>2307</v>
      </c>
      <c r="KW789" t="s">
        <v>2306</v>
      </c>
      <c r="KX789" t="s">
        <v>2305</v>
      </c>
      <c r="LD789" t="s">
        <v>13</v>
      </c>
      <c r="LE789">
        <v>4600</v>
      </c>
      <c r="LM789" t="s">
        <v>2304</v>
      </c>
      <c r="LN789" t="s">
        <v>2303</v>
      </c>
      <c r="LO789">
        <v>30</v>
      </c>
      <c r="LU789" t="s">
        <v>2302</v>
      </c>
      <c r="LV789" t="s">
        <v>2301</v>
      </c>
      <c r="LZ789" t="s">
        <v>1925</v>
      </c>
      <c r="MA789">
        <v>1426</v>
      </c>
      <c r="MB789" t="s">
        <v>2300</v>
      </c>
      <c r="MH789" t="s">
        <v>2299</v>
      </c>
      <c r="MJ789" s="58">
        <v>40224</v>
      </c>
      <c r="MZ789" t="s">
        <v>2298</v>
      </c>
      <c r="NA789">
        <v>1435</v>
      </c>
      <c r="NB789" t="s">
        <v>2464</v>
      </c>
      <c r="NC789" s="2" t="s">
        <v>2296</v>
      </c>
      <c r="NF789" s="2"/>
      <c r="NG789" s="2"/>
      <c r="NK789" t="s">
        <v>2465</v>
      </c>
      <c r="NM789" s="147" t="s">
        <v>8</v>
      </c>
      <c r="NN789" s="203" t="s">
        <v>2372</v>
      </c>
      <c r="NW789" t="s">
        <v>6</v>
      </c>
      <c r="NX789">
        <v>4.8</v>
      </c>
      <c r="NY789" t="s">
        <v>29</v>
      </c>
      <c r="NZ789" t="s">
        <v>29</v>
      </c>
      <c r="OC789">
        <v>3</v>
      </c>
      <c r="OT789" t="s">
        <v>2371</v>
      </c>
      <c r="OU789" t="s">
        <v>6</v>
      </c>
      <c r="OW789">
        <v>2009</v>
      </c>
      <c r="OX789">
        <v>2010</v>
      </c>
      <c r="OY789" t="s">
        <v>2311</v>
      </c>
      <c r="OZ789" t="s">
        <v>2373</v>
      </c>
      <c r="PA789" t="s">
        <v>1169</v>
      </c>
      <c r="PB789" s="58">
        <v>46136</v>
      </c>
    </row>
    <row r="790" spans="1:418" ht="15.75" thickBot="1">
      <c r="A790" t="s">
        <v>248</v>
      </c>
      <c r="B790" t="s">
        <v>2327</v>
      </c>
      <c r="C790" t="s">
        <v>1885</v>
      </c>
      <c r="D790" t="s">
        <v>1936</v>
      </c>
      <c r="E790" s="90" t="s">
        <v>2326</v>
      </c>
      <c r="F790" s="89" t="s">
        <v>31</v>
      </c>
      <c r="G790" t="s">
        <v>2</v>
      </c>
      <c r="H790" t="s">
        <v>30</v>
      </c>
      <c r="I790">
        <v>23.983611109999998</v>
      </c>
      <c r="J790">
        <v>90.402222219999999</v>
      </c>
      <c r="K790" t="s">
        <v>29</v>
      </c>
      <c r="AV790" t="s">
        <v>2325</v>
      </c>
      <c r="AW790">
        <f t="shared" si="0"/>
        <v>1435</v>
      </c>
      <c r="AX790" t="s">
        <v>29</v>
      </c>
      <c r="AY790">
        <v>3</v>
      </c>
      <c r="AZ790" t="s">
        <v>2324</v>
      </c>
      <c r="BA790">
        <v>2009</v>
      </c>
      <c r="BB790">
        <v>2012</v>
      </c>
      <c r="BC790">
        <v>2009.2</v>
      </c>
      <c r="BD790" t="s">
        <v>19</v>
      </c>
      <c r="BE790" t="s">
        <v>2354</v>
      </c>
      <c r="BF790" t="s">
        <v>39</v>
      </c>
      <c r="BG790" t="s">
        <v>1233</v>
      </c>
      <c r="BH790" t="s">
        <v>2319</v>
      </c>
      <c r="BI790" t="s">
        <v>2342</v>
      </c>
      <c r="BJ790" t="s">
        <v>2262</v>
      </c>
      <c r="BK790">
        <v>45</v>
      </c>
      <c r="BL790" t="s">
        <v>275</v>
      </c>
      <c r="BM790" t="s">
        <v>2319</v>
      </c>
      <c r="BN790" t="s">
        <v>2355</v>
      </c>
      <c r="BO790" t="s">
        <v>2262</v>
      </c>
      <c r="BP790">
        <v>49</v>
      </c>
      <c r="BQ790" t="s">
        <v>275</v>
      </c>
      <c r="BR790" t="s">
        <v>2319</v>
      </c>
      <c r="BS790" t="s">
        <v>2341</v>
      </c>
      <c r="BT790" t="s">
        <v>2262</v>
      </c>
      <c r="BU790">
        <v>49</v>
      </c>
      <c r="HL790" t="s">
        <v>2350</v>
      </c>
      <c r="HM790" t="s">
        <v>297</v>
      </c>
      <c r="HN790" t="s">
        <v>2349</v>
      </c>
      <c r="HP790" t="s">
        <v>29</v>
      </c>
      <c r="HQ790">
        <v>12</v>
      </c>
      <c r="HR790" t="s">
        <v>2348</v>
      </c>
      <c r="HT790" t="s">
        <v>2314</v>
      </c>
      <c r="HU790" s="58">
        <v>40202</v>
      </c>
      <c r="HV790" s="58"/>
      <c r="IP790" t="s">
        <v>2354</v>
      </c>
      <c r="IQ790" s="54" t="s">
        <v>2337</v>
      </c>
      <c r="IT790">
        <v>2009</v>
      </c>
      <c r="IU790" t="s">
        <v>2311</v>
      </c>
      <c r="IV790" s="4" t="s">
        <v>1879</v>
      </c>
      <c r="JM790" t="s">
        <v>14</v>
      </c>
      <c r="KF790" t="s">
        <v>2353</v>
      </c>
      <c r="KG790" t="s">
        <v>1548</v>
      </c>
      <c r="KH790" t="s">
        <v>2309</v>
      </c>
      <c r="KI790">
        <v>3</v>
      </c>
      <c r="KJ790" t="s">
        <v>2308</v>
      </c>
      <c r="KK790" t="s">
        <v>2152</v>
      </c>
      <c r="KO790" t="s">
        <v>219</v>
      </c>
      <c r="KP790" s="8" t="s">
        <v>2357</v>
      </c>
      <c r="KW790" t="s">
        <v>2352</v>
      </c>
      <c r="KX790" t="s">
        <v>2305</v>
      </c>
      <c r="LD790" t="s">
        <v>13</v>
      </c>
      <c r="LE790">
        <v>0</v>
      </c>
      <c r="LM790" t="s">
        <v>2304</v>
      </c>
      <c r="LN790" t="s">
        <v>2303</v>
      </c>
      <c r="LO790">
        <v>7.5</v>
      </c>
      <c r="LU790" t="s">
        <v>2351</v>
      </c>
      <c r="LV790" t="s">
        <v>2301</v>
      </c>
      <c r="LZ790" t="s">
        <v>1925</v>
      </c>
      <c r="MA790">
        <v>2172</v>
      </c>
      <c r="MB790" t="s">
        <v>2300</v>
      </c>
      <c r="MH790" t="s">
        <v>2332</v>
      </c>
      <c r="MJ790" s="58">
        <v>40292</v>
      </c>
      <c r="MZ790" t="s">
        <v>2298</v>
      </c>
      <c r="NA790">
        <v>1435</v>
      </c>
      <c r="NB790" t="s">
        <v>2464</v>
      </c>
      <c r="NC790" s="2" t="s">
        <v>2296</v>
      </c>
      <c r="NE790" s="2"/>
      <c r="NF790" s="2"/>
      <c r="NG790" s="2"/>
      <c r="NK790" t="s">
        <v>2465</v>
      </c>
      <c r="NM790" s="147" t="s">
        <v>8</v>
      </c>
      <c r="NN790" s="203" t="s">
        <v>2372</v>
      </c>
      <c r="NV790" t="s">
        <v>2343</v>
      </c>
      <c r="NW790" t="s">
        <v>6</v>
      </c>
      <c r="NX790">
        <v>3.5</v>
      </c>
      <c r="NY790" t="s">
        <v>29</v>
      </c>
      <c r="NZ790" t="s">
        <v>29</v>
      </c>
      <c r="OC790">
        <v>3</v>
      </c>
      <c r="OT790" t="s">
        <v>2371</v>
      </c>
      <c r="OU790" t="s">
        <v>6</v>
      </c>
      <c r="OW790">
        <v>2010</v>
      </c>
      <c r="OX790">
        <v>2011</v>
      </c>
      <c r="OY790" t="s">
        <v>2311</v>
      </c>
      <c r="OZ790" t="s">
        <v>2373</v>
      </c>
      <c r="PA790" t="s">
        <v>1169</v>
      </c>
      <c r="PB790" s="58">
        <v>46136</v>
      </c>
    </row>
    <row r="791" spans="1:418" ht="15.75" thickBot="1">
      <c r="A791" t="s">
        <v>248</v>
      </c>
      <c r="B791" t="s">
        <v>2327</v>
      </c>
      <c r="C791" t="s">
        <v>1885</v>
      </c>
      <c r="D791" t="s">
        <v>1936</v>
      </c>
      <c r="E791" s="90" t="s">
        <v>2326</v>
      </c>
      <c r="F791" s="89" t="s">
        <v>31</v>
      </c>
      <c r="G791" t="s">
        <v>2</v>
      </c>
      <c r="H791" t="s">
        <v>30</v>
      </c>
      <c r="I791">
        <v>23.983611109999998</v>
      </c>
      <c r="J791">
        <v>90.402222219999999</v>
      </c>
      <c r="K791" t="s">
        <v>29</v>
      </c>
      <c r="AV791" t="s">
        <v>2325</v>
      </c>
      <c r="AW791">
        <f t="shared" si="0"/>
        <v>1435</v>
      </c>
      <c r="AX791" t="s">
        <v>29</v>
      </c>
      <c r="AY791">
        <v>3</v>
      </c>
      <c r="AZ791" t="s">
        <v>2324</v>
      </c>
      <c r="BA791">
        <v>2009</v>
      </c>
      <c r="BB791">
        <v>2012</v>
      </c>
      <c r="BC791">
        <v>2009.2</v>
      </c>
      <c r="BD791" t="s">
        <v>19</v>
      </c>
      <c r="BE791" t="s">
        <v>2347</v>
      </c>
      <c r="BF791" t="s">
        <v>24</v>
      </c>
      <c r="BG791" t="s">
        <v>1233</v>
      </c>
      <c r="BH791" t="s">
        <v>2319</v>
      </c>
      <c r="BI791" t="s">
        <v>2342</v>
      </c>
      <c r="BJ791" t="s">
        <v>2262</v>
      </c>
      <c r="BK791">
        <v>30</v>
      </c>
      <c r="BL791" t="s">
        <v>275</v>
      </c>
      <c r="BM791" t="s">
        <v>2319</v>
      </c>
      <c r="BN791" t="s">
        <v>2341</v>
      </c>
      <c r="BO791" t="s">
        <v>2262</v>
      </c>
      <c r="BP791">
        <v>35</v>
      </c>
      <c r="HL791" t="s">
        <v>2350</v>
      </c>
      <c r="HM791" t="s">
        <v>297</v>
      </c>
      <c r="HN791" t="s">
        <v>2349</v>
      </c>
      <c r="HP791" t="s">
        <v>29</v>
      </c>
      <c r="HQ791">
        <v>12</v>
      </c>
      <c r="HR791" t="s">
        <v>2348</v>
      </c>
      <c r="HT791" t="s">
        <v>2314</v>
      </c>
      <c r="HU791" s="58">
        <v>40192</v>
      </c>
      <c r="HV791" s="58"/>
      <c r="IP791" t="s">
        <v>2347</v>
      </c>
      <c r="IQ791" s="54" t="s">
        <v>2337</v>
      </c>
      <c r="IT791">
        <v>2009</v>
      </c>
      <c r="IU791" t="s">
        <v>2311</v>
      </c>
      <c r="IV791" s="4" t="s">
        <v>1879</v>
      </c>
      <c r="JM791" t="s">
        <v>14</v>
      </c>
      <c r="KF791" t="s">
        <v>2346</v>
      </c>
      <c r="KG791" t="s">
        <v>1548</v>
      </c>
      <c r="KH791" t="s">
        <v>2309</v>
      </c>
      <c r="KI791">
        <v>6</v>
      </c>
      <c r="KJ791" t="s">
        <v>2308</v>
      </c>
      <c r="KK791" t="s">
        <v>222</v>
      </c>
      <c r="KL791" s="8" t="s">
        <v>1922</v>
      </c>
      <c r="KO791" t="s">
        <v>219</v>
      </c>
      <c r="KP791" t="s">
        <v>2335</v>
      </c>
      <c r="KW791" t="s">
        <v>2345</v>
      </c>
      <c r="KX791" t="s">
        <v>2305</v>
      </c>
      <c r="LD791" t="s">
        <v>13</v>
      </c>
      <c r="LE791">
        <v>1600</v>
      </c>
      <c r="LM791" t="s">
        <v>2304</v>
      </c>
      <c r="LN791" t="s">
        <v>2303</v>
      </c>
      <c r="LO791">
        <v>30</v>
      </c>
      <c r="LU791" t="s">
        <v>2344</v>
      </c>
      <c r="LV791" t="s">
        <v>2301</v>
      </c>
      <c r="LZ791" t="s">
        <v>1925</v>
      </c>
      <c r="MA791">
        <v>1946</v>
      </c>
      <c r="MB791" t="s">
        <v>2300</v>
      </c>
      <c r="MH791" t="s">
        <v>2332</v>
      </c>
      <c r="MJ791" s="58">
        <v>40298</v>
      </c>
      <c r="MZ791" t="s">
        <v>2298</v>
      </c>
      <c r="NA791">
        <v>1435</v>
      </c>
      <c r="NB791" t="s">
        <v>2464</v>
      </c>
      <c r="NC791" s="2" t="s">
        <v>2296</v>
      </c>
      <c r="NE791" s="2"/>
      <c r="NF791" s="2"/>
      <c r="NG791" s="2"/>
      <c r="NK791" t="s">
        <v>2465</v>
      </c>
      <c r="NM791" s="147" t="s">
        <v>8</v>
      </c>
      <c r="NN791" s="203" t="s">
        <v>2372</v>
      </c>
      <c r="NV791" t="s">
        <v>2343</v>
      </c>
      <c r="NW791" t="s">
        <v>6</v>
      </c>
      <c r="NX791">
        <v>5.2</v>
      </c>
      <c r="NY791" t="s">
        <v>29</v>
      </c>
      <c r="NZ791" t="s">
        <v>29</v>
      </c>
      <c r="OC791">
        <v>3</v>
      </c>
      <c r="OT791" t="s">
        <v>2371</v>
      </c>
      <c r="OU791" t="s">
        <v>6</v>
      </c>
      <c r="OW791">
        <v>2010</v>
      </c>
      <c r="OX791">
        <v>2011</v>
      </c>
      <c r="OY791" t="s">
        <v>2311</v>
      </c>
      <c r="OZ791" t="s">
        <v>2373</v>
      </c>
      <c r="PA791" t="s">
        <v>1169</v>
      </c>
      <c r="PB791" s="58">
        <v>46136</v>
      </c>
    </row>
    <row r="792" spans="1:418" ht="15.75" thickBot="1">
      <c r="A792" t="s">
        <v>248</v>
      </c>
      <c r="B792" t="s">
        <v>2327</v>
      </c>
      <c r="C792" t="s">
        <v>1885</v>
      </c>
      <c r="D792" t="s">
        <v>1936</v>
      </c>
      <c r="E792" s="90" t="s">
        <v>2326</v>
      </c>
      <c r="F792" s="89" t="s">
        <v>31</v>
      </c>
      <c r="G792" t="s">
        <v>2</v>
      </c>
      <c r="H792" t="s">
        <v>30</v>
      </c>
      <c r="I792">
        <v>23.983611109999998</v>
      </c>
      <c r="J792">
        <v>90.402222219999999</v>
      </c>
      <c r="K792" t="s">
        <v>29</v>
      </c>
      <c r="AV792" t="s">
        <v>2325</v>
      </c>
      <c r="AW792">
        <f t="shared" si="0"/>
        <v>1435</v>
      </c>
      <c r="AX792" t="s">
        <v>29</v>
      </c>
      <c r="AY792">
        <v>3</v>
      </c>
      <c r="AZ792" t="s">
        <v>2324</v>
      </c>
      <c r="BA792">
        <v>2009</v>
      </c>
      <c r="BB792">
        <v>2012</v>
      </c>
      <c r="BC792">
        <v>2009.2</v>
      </c>
      <c r="BD792" t="s">
        <v>19</v>
      </c>
      <c r="BE792" t="s">
        <v>2338</v>
      </c>
      <c r="BF792" t="s">
        <v>299</v>
      </c>
      <c r="BG792" t="s">
        <v>1233</v>
      </c>
      <c r="BH792" t="s">
        <v>2319</v>
      </c>
      <c r="BI792" t="s">
        <v>2342</v>
      </c>
      <c r="BJ792" t="s">
        <v>2262</v>
      </c>
      <c r="BK792">
        <v>30</v>
      </c>
      <c r="BL792" t="s">
        <v>275</v>
      </c>
      <c r="BM792" t="s">
        <v>2319</v>
      </c>
      <c r="BN792" t="s">
        <v>2341</v>
      </c>
      <c r="BO792" t="s">
        <v>2262</v>
      </c>
      <c r="BP792">
        <v>19</v>
      </c>
      <c r="HL792" t="s">
        <v>2340</v>
      </c>
      <c r="HM792" t="s">
        <v>2316</v>
      </c>
      <c r="HP792" t="s">
        <v>29</v>
      </c>
      <c r="HQ792">
        <v>4</v>
      </c>
      <c r="HR792" t="s">
        <v>2339</v>
      </c>
      <c r="HT792" t="s">
        <v>2314</v>
      </c>
      <c r="HU792" s="58">
        <v>40192</v>
      </c>
      <c r="HV792" s="58"/>
      <c r="IP792" t="s">
        <v>2338</v>
      </c>
      <c r="IQ792" s="54" t="s">
        <v>2337</v>
      </c>
      <c r="IT792">
        <v>2009</v>
      </c>
      <c r="IU792" t="s">
        <v>2311</v>
      </c>
      <c r="IV792" s="4" t="s">
        <v>1879</v>
      </c>
      <c r="JM792" t="s">
        <v>14</v>
      </c>
      <c r="KF792" t="s">
        <v>2336</v>
      </c>
      <c r="KG792" t="s">
        <v>1548</v>
      </c>
      <c r="KH792" t="s">
        <v>2309</v>
      </c>
      <c r="KI792">
        <v>7</v>
      </c>
      <c r="KJ792" t="s">
        <v>2308</v>
      </c>
      <c r="KK792" t="s">
        <v>222</v>
      </c>
      <c r="KL792" s="8" t="s">
        <v>1922</v>
      </c>
      <c r="KO792" t="s">
        <v>219</v>
      </c>
      <c r="KP792" t="s">
        <v>2335</v>
      </c>
      <c r="KW792" t="s">
        <v>2334</v>
      </c>
      <c r="KX792" t="s">
        <v>2305</v>
      </c>
      <c r="LD792" t="s">
        <v>13</v>
      </c>
      <c r="LE792">
        <v>1400</v>
      </c>
      <c r="LM792" t="s">
        <v>2304</v>
      </c>
      <c r="LN792" t="s">
        <v>2303</v>
      </c>
      <c r="LO792">
        <v>30</v>
      </c>
      <c r="LU792" t="s">
        <v>2333</v>
      </c>
      <c r="LV792" t="s">
        <v>2301</v>
      </c>
      <c r="LZ792" t="s">
        <v>1925</v>
      </c>
      <c r="MA792">
        <v>2001</v>
      </c>
      <c r="MB792" t="s">
        <v>2300</v>
      </c>
      <c r="MH792" t="s">
        <v>2332</v>
      </c>
      <c r="MJ792" s="58">
        <v>40299</v>
      </c>
      <c r="MZ792" t="s">
        <v>2298</v>
      </c>
      <c r="NA792">
        <v>1435</v>
      </c>
      <c r="NB792" t="s">
        <v>2464</v>
      </c>
      <c r="NC792" s="2" t="s">
        <v>2296</v>
      </c>
      <c r="NE792" s="2"/>
      <c r="NF792" s="2"/>
      <c r="NG792" s="2"/>
      <c r="NK792" t="s">
        <v>2465</v>
      </c>
      <c r="NM792" s="147" t="s">
        <v>8</v>
      </c>
      <c r="NN792" s="203" t="s">
        <v>2372</v>
      </c>
      <c r="NV792" t="s">
        <v>64</v>
      </c>
      <c r="NW792" t="s">
        <v>6</v>
      </c>
      <c r="NX792">
        <v>5.0999999999999996</v>
      </c>
      <c r="NY792" t="s">
        <v>29</v>
      </c>
      <c r="NZ792" t="s">
        <v>29</v>
      </c>
      <c r="OC792">
        <v>3</v>
      </c>
      <c r="OT792" t="s">
        <v>2371</v>
      </c>
      <c r="OU792" t="s">
        <v>6</v>
      </c>
      <c r="OW792">
        <v>2010</v>
      </c>
      <c r="OX792">
        <v>2011</v>
      </c>
      <c r="OY792" t="s">
        <v>2311</v>
      </c>
      <c r="OZ792" t="s">
        <v>2373</v>
      </c>
      <c r="PA792" t="s">
        <v>1169</v>
      </c>
      <c r="PB792" s="58">
        <v>46136</v>
      </c>
    </row>
    <row r="793" spans="1:418" ht="15.75" thickBot="1">
      <c r="A793" t="s">
        <v>248</v>
      </c>
      <c r="B793" t="s">
        <v>2327</v>
      </c>
      <c r="C793" t="s">
        <v>1885</v>
      </c>
      <c r="D793" t="s">
        <v>1936</v>
      </c>
      <c r="E793" s="90" t="s">
        <v>2326</v>
      </c>
      <c r="F793" s="89" t="s">
        <v>31</v>
      </c>
      <c r="G793" t="s">
        <v>2</v>
      </c>
      <c r="H793" t="s">
        <v>30</v>
      </c>
      <c r="I793">
        <v>23.983611109999998</v>
      </c>
      <c r="J793">
        <v>90.402222219999999</v>
      </c>
      <c r="K793" t="s">
        <v>29</v>
      </c>
      <c r="AV793" t="s">
        <v>2325</v>
      </c>
      <c r="AW793">
        <f t="shared" si="0"/>
        <v>1435</v>
      </c>
      <c r="AX793" t="s">
        <v>29</v>
      </c>
      <c r="AY793">
        <v>3</v>
      </c>
      <c r="AZ793" t="s">
        <v>2324</v>
      </c>
      <c r="BA793">
        <v>2009</v>
      </c>
      <c r="BB793">
        <v>2012</v>
      </c>
      <c r="BC793">
        <v>2009.2</v>
      </c>
      <c r="BD793" t="s">
        <v>274</v>
      </c>
      <c r="BE793" t="s">
        <v>2313</v>
      </c>
      <c r="BF793" t="s">
        <v>64</v>
      </c>
      <c r="BG793" t="s">
        <v>1233</v>
      </c>
      <c r="BH793" t="s">
        <v>1894</v>
      </c>
      <c r="BI793" t="s">
        <v>2323</v>
      </c>
      <c r="BJ793" t="s">
        <v>2262</v>
      </c>
      <c r="BK793">
        <v>1614</v>
      </c>
      <c r="BL793" t="s">
        <v>275</v>
      </c>
      <c r="BM793" t="s">
        <v>23</v>
      </c>
      <c r="BN793" t="s">
        <v>2322</v>
      </c>
      <c r="BO793" t="s">
        <v>2262</v>
      </c>
      <c r="BP793">
        <v>20</v>
      </c>
      <c r="BQ793" t="s">
        <v>275</v>
      </c>
      <c r="BR793" t="s">
        <v>1917</v>
      </c>
      <c r="BS793" t="s">
        <v>2321</v>
      </c>
      <c r="BT793" t="s">
        <v>2262</v>
      </c>
      <c r="BU793">
        <v>30</v>
      </c>
      <c r="BV793" t="s">
        <v>275</v>
      </c>
      <c r="BW793" t="s">
        <v>2319</v>
      </c>
      <c r="BX793" t="s">
        <v>2320</v>
      </c>
      <c r="BY793" t="s">
        <v>2262</v>
      </c>
      <c r="BZ793">
        <v>35</v>
      </c>
      <c r="CA793" t="s">
        <v>275</v>
      </c>
      <c r="CB793" t="s">
        <v>2319</v>
      </c>
      <c r="CC793" t="s">
        <v>2318</v>
      </c>
      <c r="CD793" t="s">
        <v>2262</v>
      </c>
      <c r="CE793">
        <v>19</v>
      </c>
      <c r="HL793" t="s">
        <v>2317</v>
      </c>
      <c r="HM793" t="s">
        <v>2316</v>
      </c>
      <c r="HP793" t="s">
        <v>29</v>
      </c>
      <c r="HQ793">
        <v>9</v>
      </c>
      <c r="HR793" t="s">
        <v>2315</v>
      </c>
      <c r="HT793" t="s">
        <v>2314</v>
      </c>
      <c r="HU793" s="58">
        <v>40153</v>
      </c>
      <c r="IP793" t="s">
        <v>2313</v>
      </c>
      <c r="IQ793" t="s">
        <v>2312</v>
      </c>
      <c r="IT793">
        <v>2009</v>
      </c>
      <c r="IU793" t="s">
        <v>2311</v>
      </c>
      <c r="IV793" s="4" t="s">
        <v>1879</v>
      </c>
      <c r="JM793" t="s">
        <v>14</v>
      </c>
      <c r="KF793" t="s">
        <v>2310</v>
      </c>
      <c r="KG793" t="s">
        <v>1548</v>
      </c>
      <c r="KH793" t="s">
        <v>2309</v>
      </c>
      <c r="KI793">
        <v>4</v>
      </c>
      <c r="KJ793" t="s">
        <v>2308</v>
      </c>
      <c r="KK793" t="s">
        <v>2152</v>
      </c>
      <c r="KO793" t="s">
        <v>219</v>
      </c>
      <c r="KP793" t="s">
        <v>2307</v>
      </c>
      <c r="KS793" t="s">
        <v>219</v>
      </c>
      <c r="KT793" s="8" t="s">
        <v>2356</v>
      </c>
      <c r="KW793" t="s">
        <v>2306</v>
      </c>
      <c r="KX793" t="s">
        <v>2305</v>
      </c>
      <c r="LD793" t="s">
        <v>13</v>
      </c>
      <c r="LE793">
        <v>1600</v>
      </c>
      <c r="LM793" t="s">
        <v>2304</v>
      </c>
      <c r="LN793" t="s">
        <v>2303</v>
      </c>
      <c r="LO793">
        <v>30</v>
      </c>
      <c r="LU793" t="s">
        <v>2302</v>
      </c>
      <c r="LV793" t="s">
        <v>2301</v>
      </c>
      <c r="LZ793" t="s">
        <v>1925</v>
      </c>
      <c r="MA793">
        <v>1186</v>
      </c>
      <c r="MB793" t="s">
        <v>2300</v>
      </c>
      <c r="MH793" t="s">
        <v>2299</v>
      </c>
      <c r="MJ793" s="58">
        <v>40224</v>
      </c>
      <c r="MZ793" t="s">
        <v>2298</v>
      </c>
      <c r="NA793">
        <v>1435</v>
      </c>
      <c r="NB793" t="s">
        <v>2464</v>
      </c>
      <c r="NC793" s="2" t="s">
        <v>2296</v>
      </c>
      <c r="NE793" s="2"/>
      <c r="NF793" s="2"/>
      <c r="NG793" s="2"/>
      <c r="NK793" t="s">
        <v>2465</v>
      </c>
      <c r="NM793" s="147" t="s">
        <v>8</v>
      </c>
      <c r="NN793" s="203" t="s">
        <v>2372</v>
      </c>
      <c r="NW793" t="s">
        <v>6</v>
      </c>
      <c r="NX793">
        <v>4.5</v>
      </c>
      <c r="NY793" t="s">
        <v>29</v>
      </c>
      <c r="NZ793" t="s">
        <v>29</v>
      </c>
      <c r="OC793">
        <v>3</v>
      </c>
      <c r="OT793" t="s">
        <v>2371</v>
      </c>
      <c r="OU793" t="s">
        <v>6</v>
      </c>
      <c r="OW793">
        <v>2010</v>
      </c>
      <c r="OX793">
        <v>2011</v>
      </c>
      <c r="OY793" t="s">
        <v>2311</v>
      </c>
      <c r="OZ793" t="s">
        <v>2373</v>
      </c>
      <c r="PA793" t="s">
        <v>1169</v>
      </c>
      <c r="PB793" s="58">
        <v>46136</v>
      </c>
    </row>
    <row r="794" spans="1:418" ht="15.75" thickBot="1">
      <c r="A794" t="s">
        <v>248</v>
      </c>
      <c r="B794" t="s">
        <v>2327</v>
      </c>
      <c r="C794" t="s">
        <v>1885</v>
      </c>
      <c r="D794" t="s">
        <v>1936</v>
      </c>
      <c r="E794" s="90" t="s">
        <v>2326</v>
      </c>
      <c r="F794" s="89" t="s">
        <v>31</v>
      </c>
      <c r="G794" t="s">
        <v>2</v>
      </c>
      <c r="H794" t="s">
        <v>30</v>
      </c>
      <c r="I794">
        <v>23.983611109999998</v>
      </c>
      <c r="J794">
        <v>90.402222219999999</v>
      </c>
      <c r="K794" t="s">
        <v>29</v>
      </c>
      <c r="AV794" t="s">
        <v>2325</v>
      </c>
      <c r="AW794">
        <f t="shared" si="0"/>
        <v>1435</v>
      </c>
      <c r="AX794" t="s">
        <v>29</v>
      </c>
      <c r="AY794">
        <v>3</v>
      </c>
      <c r="AZ794" t="s">
        <v>2324</v>
      </c>
      <c r="BA794">
        <v>2009</v>
      </c>
      <c r="BB794">
        <v>2012</v>
      </c>
      <c r="BC794">
        <v>2009.2</v>
      </c>
      <c r="BD794" t="s">
        <v>19</v>
      </c>
      <c r="BE794" t="s">
        <v>2354</v>
      </c>
      <c r="BF794" t="s">
        <v>39</v>
      </c>
      <c r="BG794" t="s">
        <v>1233</v>
      </c>
      <c r="BH794" t="s">
        <v>2319</v>
      </c>
      <c r="BI794" t="s">
        <v>2342</v>
      </c>
      <c r="BJ794" t="s">
        <v>2262</v>
      </c>
      <c r="BK794">
        <v>45</v>
      </c>
      <c r="BL794" t="s">
        <v>275</v>
      </c>
      <c r="BM794" t="s">
        <v>2319</v>
      </c>
      <c r="BN794" t="s">
        <v>2355</v>
      </c>
      <c r="BO794" t="s">
        <v>2262</v>
      </c>
      <c r="BP794">
        <v>49</v>
      </c>
      <c r="BQ794" t="s">
        <v>275</v>
      </c>
      <c r="BR794" t="s">
        <v>2319</v>
      </c>
      <c r="BS794" t="s">
        <v>2341</v>
      </c>
      <c r="BT794" t="s">
        <v>2262</v>
      </c>
      <c r="BU794">
        <v>49</v>
      </c>
      <c r="HL794" t="s">
        <v>2350</v>
      </c>
      <c r="HM794" t="s">
        <v>297</v>
      </c>
      <c r="HN794" t="s">
        <v>2349</v>
      </c>
      <c r="HP794" t="s">
        <v>29</v>
      </c>
      <c r="HQ794">
        <v>12</v>
      </c>
      <c r="HR794" t="s">
        <v>2348</v>
      </c>
      <c r="HT794" t="s">
        <v>2314</v>
      </c>
      <c r="HU794" s="58">
        <v>40202</v>
      </c>
      <c r="HV794" s="58"/>
      <c r="IP794" t="s">
        <v>2354</v>
      </c>
      <c r="IQ794" s="54" t="s">
        <v>2337</v>
      </c>
      <c r="IT794">
        <v>2009</v>
      </c>
      <c r="IU794" t="s">
        <v>2311</v>
      </c>
      <c r="IV794" s="4" t="s">
        <v>1879</v>
      </c>
      <c r="JM794" t="s">
        <v>14</v>
      </c>
      <c r="KF794" t="s">
        <v>2353</v>
      </c>
      <c r="KG794" t="s">
        <v>1548</v>
      </c>
      <c r="KH794" t="s">
        <v>2309</v>
      </c>
      <c r="KI794">
        <v>3</v>
      </c>
      <c r="KJ794" t="s">
        <v>2308</v>
      </c>
      <c r="KK794" t="s">
        <v>2152</v>
      </c>
      <c r="KO794" t="s">
        <v>219</v>
      </c>
      <c r="KP794" t="s">
        <v>2335</v>
      </c>
      <c r="KW794" t="s">
        <v>2352</v>
      </c>
      <c r="KX794" t="s">
        <v>2305</v>
      </c>
      <c r="LD794" t="s">
        <v>13</v>
      </c>
      <c r="LE794">
        <v>1600</v>
      </c>
      <c r="LM794" t="s">
        <v>2304</v>
      </c>
      <c r="LN794" t="s">
        <v>2303</v>
      </c>
      <c r="LO794">
        <v>7.5</v>
      </c>
      <c r="LU794" t="s">
        <v>2351</v>
      </c>
      <c r="LV794" t="s">
        <v>2301</v>
      </c>
      <c r="LZ794" t="s">
        <v>1925</v>
      </c>
      <c r="MA794">
        <v>1450</v>
      </c>
      <c r="MB794" t="s">
        <v>2300</v>
      </c>
      <c r="MH794" t="s">
        <v>2332</v>
      </c>
      <c r="MJ794" s="58">
        <v>40292</v>
      </c>
      <c r="MZ794" t="s">
        <v>2298</v>
      </c>
      <c r="NA794">
        <v>1435</v>
      </c>
      <c r="NB794" t="s">
        <v>2464</v>
      </c>
      <c r="NC794" s="2" t="s">
        <v>2296</v>
      </c>
      <c r="NE794" s="2"/>
      <c r="NF794" s="2"/>
      <c r="NG794" s="2"/>
      <c r="NK794" t="s">
        <v>2465</v>
      </c>
      <c r="NM794" s="147" t="s">
        <v>8</v>
      </c>
      <c r="NN794" s="203" t="s">
        <v>2372</v>
      </c>
      <c r="NV794" t="s">
        <v>2343</v>
      </c>
      <c r="NW794" t="s">
        <v>6</v>
      </c>
      <c r="NX794">
        <v>3.6</v>
      </c>
      <c r="NY794" t="s">
        <v>29</v>
      </c>
      <c r="NZ794" t="s">
        <v>29</v>
      </c>
      <c r="OC794">
        <v>3</v>
      </c>
      <c r="OT794" t="s">
        <v>2371</v>
      </c>
      <c r="OU794" t="s">
        <v>6</v>
      </c>
      <c r="OW794">
        <v>2011</v>
      </c>
      <c r="OX794">
        <v>2012</v>
      </c>
      <c r="OY794" t="s">
        <v>2311</v>
      </c>
      <c r="OZ794" t="s">
        <v>2373</v>
      </c>
      <c r="PA794" t="s">
        <v>1169</v>
      </c>
      <c r="PB794" s="58">
        <v>46136</v>
      </c>
    </row>
    <row r="795" spans="1:418" ht="15.75" thickBot="1">
      <c r="A795" t="s">
        <v>248</v>
      </c>
      <c r="B795" t="s">
        <v>2327</v>
      </c>
      <c r="C795" t="s">
        <v>1885</v>
      </c>
      <c r="D795" t="s">
        <v>1936</v>
      </c>
      <c r="E795" s="90" t="s">
        <v>2326</v>
      </c>
      <c r="F795" s="89" t="s">
        <v>31</v>
      </c>
      <c r="G795" t="s">
        <v>2</v>
      </c>
      <c r="H795" t="s">
        <v>30</v>
      </c>
      <c r="I795">
        <v>23.983611109999998</v>
      </c>
      <c r="J795">
        <v>90.402222219999999</v>
      </c>
      <c r="K795" t="s">
        <v>29</v>
      </c>
      <c r="AV795" t="s">
        <v>2325</v>
      </c>
      <c r="AW795">
        <f t="shared" si="0"/>
        <v>1435</v>
      </c>
      <c r="AX795" t="s">
        <v>29</v>
      </c>
      <c r="AY795">
        <v>3</v>
      </c>
      <c r="AZ795" t="s">
        <v>2324</v>
      </c>
      <c r="BA795">
        <v>2009</v>
      </c>
      <c r="BB795">
        <v>2012</v>
      </c>
      <c r="BC795">
        <v>2009.2</v>
      </c>
      <c r="BD795" t="s">
        <v>19</v>
      </c>
      <c r="BE795" t="s">
        <v>2347</v>
      </c>
      <c r="BF795" t="s">
        <v>24</v>
      </c>
      <c r="BG795" t="s">
        <v>1233</v>
      </c>
      <c r="BH795" t="s">
        <v>2319</v>
      </c>
      <c r="BI795" t="s">
        <v>2342</v>
      </c>
      <c r="BJ795" t="s">
        <v>2262</v>
      </c>
      <c r="BK795">
        <v>30</v>
      </c>
      <c r="BL795" t="s">
        <v>275</v>
      </c>
      <c r="BM795" t="s">
        <v>2319</v>
      </c>
      <c r="BN795" t="s">
        <v>2341</v>
      </c>
      <c r="BO795" t="s">
        <v>2262</v>
      </c>
      <c r="BP795">
        <v>35</v>
      </c>
      <c r="HL795" t="s">
        <v>2350</v>
      </c>
      <c r="HM795" t="s">
        <v>297</v>
      </c>
      <c r="HN795" t="s">
        <v>2349</v>
      </c>
      <c r="HP795" t="s">
        <v>29</v>
      </c>
      <c r="HQ795">
        <v>12</v>
      </c>
      <c r="HR795" t="s">
        <v>2348</v>
      </c>
      <c r="HT795" t="s">
        <v>2314</v>
      </c>
      <c r="HU795" s="58">
        <v>40192</v>
      </c>
      <c r="HV795" s="58"/>
      <c r="IP795" t="s">
        <v>2347</v>
      </c>
      <c r="IQ795" s="54" t="s">
        <v>2337</v>
      </c>
      <c r="IT795">
        <v>2009</v>
      </c>
      <c r="IU795" t="s">
        <v>2311</v>
      </c>
      <c r="IV795" s="4" t="s">
        <v>1879</v>
      </c>
      <c r="JM795" t="s">
        <v>14</v>
      </c>
      <c r="KF795" t="s">
        <v>2346</v>
      </c>
      <c r="KG795" t="s">
        <v>1548</v>
      </c>
      <c r="KH795" t="s">
        <v>2309</v>
      </c>
      <c r="KI795">
        <v>6</v>
      </c>
      <c r="KJ795" t="s">
        <v>2308</v>
      </c>
      <c r="KK795" t="s">
        <v>222</v>
      </c>
      <c r="KL795" s="8" t="s">
        <v>1922</v>
      </c>
      <c r="KO795" t="s">
        <v>219</v>
      </c>
      <c r="KP795" t="s">
        <v>2335</v>
      </c>
      <c r="KW795" t="s">
        <v>2345</v>
      </c>
      <c r="KX795" t="s">
        <v>2305</v>
      </c>
      <c r="LD795" t="s">
        <v>13</v>
      </c>
      <c r="LE795">
        <v>2000</v>
      </c>
      <c r="LM795" t="s">
        <v>2304</v>
      </c>
      <c r="LN795" t="s">
        <v>2303</v>
      </c>
      <c r="LO795">
        <v>30</v>
      </c>
      <c r="LU795" t="s">
        <v>2344</v>
      </c>
      <c r="LV795" t="s">
        <v>2301</v>
      </c>
      <c r="LZ795" t="s">
        <v>1925</v>
      </c>
      <c r="MA795">
        <v>1481</v>
      </c>
      <c r="MB795" t="s">
        <v>2300</v>
      </c>
      <c r="MH795" t="s">
        <v>2332</v>
      </c>
      <c r="MJ795" s="58">
        <v>40298</v>
      </c>
      <c r="MZ795" t="s">
        <v>2298</v>
      </c>
      <c r="NA795">
        <v>1435</v>
      </c>
      <c r="NB795" t="s">
        <v>2464</v>
      </c>
      <c r="NC795" s="2" t="s">
        <v>2296</v>
      </c>
      <c r="NE795" s="2"/>
      <c r="NF795" s="2"/>
      <c r="NG795" s="2"/>
      <c r="NK795" t="s">
        <v>2465</v>
      </c>
      <c r="NM795" s="147" t="s">
        <v>8</v>
      </c>
      <c r="NN795" s="203" t="s">
        <v>2372</v>
      </c>
      <c r="NV795" t="s">
        <v>2343</v>
      </c>
      <c r="NW795" t="s">
        <v>6</v>
      </c>
      <c r="NX795">
        <v>5.3</v>
      </c>
      <c r="NY795" t="s">
        <v>29</v>
      </c>
      <c r="NZ795" t="s">
        <v>29</v>
      </c>
      <c r="OC795">
        <v>3</v>
      </c>
      <c r="OT795" t="s">
        <v>2371</v>
      </c>
      <c r="OU795" t="s">
        <v>6</v>
      </c>
      <c r="OW795">
        <v>2011</v>
      </c>
      <c r="OX795">
        <v>2012</v>
      </c>
      <c r="OY795" t="s">
        <v>2311</v>
      </c>
      <c r="OZ795" t="s">
        <v>2373</v>
      </c>
      <c r="PA795" t="s">
        <v>1169</v>
      </c>
      <c r="PB795" s="58">
        <v>46136</v>
      </c>
    </row>
    <row r="796" spans="1:418" ht="15.75" thickBot="1">
      <c r="A796" t="s">
        <v>248</v>
      </c>
      <c r="B796" t="s">
        <v>2327</v>
      </c>
      <c r="C796" t="s">
        <v>1885</v>
      </c>
      <c r="D796" t="s">
        <v>1936</v>
      </c>
      <c r="E796" s="90" t="s">
        <v>2326</v>
      </c>
      <c r="F796" s="89" t="s">
        <v>31</v>
      </c>
      <c r="G796" t="s">
        <v>2</v>
      </c>
      <c r="H796" t="s">
        <v>30</v>
      </c>
      <c r="I796">
        <v>23.983611109999998</v>
      </c>
      <c r="J796">
        <v>90.402222219999999</v>
      </c>
      <c r="K796" t="s">
        <v>29</v>
      </c>
      <c r="AV796" t="s">
        <v>2325</v>
      </c>
      <c r="AW796">
        <f t="shared" si="0"/>
        <v>1435</v>
      </c>
      <c r="AX796" t="s">
        <v>29</v>
      </c>
      <c r="AY796">
        <v>3</v>
      </c>
      <c r="AZ796" t="s">
        <v>2324</v>
      </c>
      <c r="BA796">
        <v>2009</v>
      </c>
      <c r="BB796">
        <v>2012</v>
      </c>
      <c r="BC796">
        <v>2009.2</v>
      </c>
      <c r="BD796" t="s">
        <v>19</v>
      </c>
      <c r="BE796" t="s">
        <v>2338</v>
      </c>
      <c r="BF796" t="s">
        <v>299</v>
      </c>
      <c r="BG796" t="s">
        <v>1233</v>
      </c>
      <c r="BH796" t="s">
        <v>2319</v>
      </c>
      <c r="BI796" t="s">
        <v>2342</v>
      </c>
      <c r="BJ796" t="s">
        <v>2262</v>
      </c>
      <c r="BK796">
        <v>30</v>
      </c>
      <c r="BL796" t="s">
        <v>275</v>
      </c>
      <c r="BM796" t="s">
        <v>2319</v>
      </c>
      <c r="BN796" t="s">
        <v>2341</v>
      </c>
      <c r="BO796" t="s">
        <v>2262</v>
      </c>
      <c r="BP796">
        <v>19</v>
      </c>
      <c r="HL796" t="s">
        <v>2340</v>
      </c>
      <c r="HM796" t="s">
        <v>2316</v>
      </c>
      <c r="HP796" t="s">
        <v>29</v>
      </c>
      <c r="HQ796">
        <v>4</v>
      </c>
      <c r="HR796" t="s">
        <v>2339</v>
      </c>
      <c r="HT796" t="s">
        <v>2314</v>
      </c>
      <c r="HU796" s="58">
        <v>40192</v>
      </c>
      <c r="HV796" s="58"/>
      <c r="IP796" t="s">
        <v>2338</v>
      </c>
      <c r="IQ796" s="54" t="s">
        <v>2337</v>
      </c>
      <c r="IT796">
        <v>2009</v>
      </c>
      <c r="IU796" t="s">
        <v>2311</v>
      </c>
      <c r="IV796" s="4" t="s">
        <v>1879</v>
      </c>
      <c r="JM796" t="s">
        <v>14</v>
      </c>
      <c r="KF796" t="s">
        <v>2336</v>
      </c>
      <c r="KG796" t="s">
        <v>1548</v>
      </c>
      <c r="KH796" t="s">
        <v>2309</v>
      </c>
      <c r="KI796">
        <v>7</v>
      </c>
      <c r="KJ796" t="s">
        <v>2308</v>
      </c>
      <c r="KK796" t="s">
        <v>222</v>
      </c>
      <c r="KL796" s="8" t="s">
        <v>1922</v>
      </c>
      <c r="KO796" t="s">
        <v>219</v>
      </c>
      <c r="KP796" t="s">
        <v>2335</v>
      </c>
      <c r="KW796" t="s">
        <v>2334</v>
      </c>
      <c r="KX796" t="s">
        <v>2305</v>
      </c>
      <c r="LD796" t="s">
        <v>13</v>
      </c>
      <c r="LE796">
        <v>1900</v>
      </c>
      <c r="LM796" t="s">
        <v>2304</v>
      </c>
      <c r="LN796" t="s">
        <v>2303</v>
      </c>
      <c r="LO796">
        <v>30</v>
      </c>
      <c r="LU796" t="s">
        <v>2333</v>
      </c>
      <c r="LV796" t="s">
        <v>2301</v>
      </c>
      <c r="LZ796" t="s">
        <v>1925</v>
      </c>
      <c r="MA796">
        <v>1530</v>
      </c>
      <c r="MB796" t="s">
        <v>2300</v>
      </c>
      <c r="MH796" t="s">
        <v>2332</v>
      </c>
      <c r="MJ796" s="58">
        <v>40299</v>
      </c>
      <c r="MZ796" t="s">
        <v>2298</v>
      </c>
      <c r="NA796">
        <v>1435</v>
      </c>
      <c r="NB796" t="s">
        <v>2464</v>
      </c>
      <c r="NC796" s="2" t="s">
        <v>2296</v>
      </c>
      <c r="NE796" s="2"/>
      <c r="NF796" s="2"/>
      <c r="NG796" s="2"/>
      <c r="NK796" t="s">
        <v>2465</v>
      </c>
      <c r="NM796" s="147" t="s">
        <v>8</v>
      </c>
      <c r="NN796" s="203" t="s">
        <v>2372</v>
      </c>
      <c r="NV796" t="s">
        <v>64</v>
      </c>
      <c r="NW796" t="s">
        <v>6</v>
      </c>
      <c r="NX796">
        <v>4.9000000000000004</v>
      </c>
      <c r="NY796" t="s">
        <v>29</v>
      </c>
      <c r="NZ796" t="s">
        <v>29</v>
      </c>
      <c r="OC796">
        <v>3</v>
      </c>
      <c r="OT796" t="s">
        <v>2371</v>
      </c>
      <c r="OU796" t="s">
        <v>6</v>
      </c>
      <c r="OW796">
        <v>2011</v>
      </c>
      <c r="OX796">
        <v>2012</v>
      </c>
      <c r="OY796" t="s">
        <v>2311</v>
      </c>
      <c r="OZ796" t="s">
        <v>2373</v>
      </c>
      <c r="PA796" t="s">
        <v>1169</v>
      </c>
      <c r="PB796" s="58">
        <v>46136</v>
      </c>
    </row>
    <row r="797" spans="1:418" ht="15.75" thickBot="1">
      <c r="A797" t="s">
        <v>248</v>
      </c>
      <c r="B797" t="s">
        <v>2327</v>
      </c>
      <c r="C797" t="s">
        <v>1885</v>
      </c>
      <c r="D797" t="s">
        <v>1936</v>
      </c>
      <c r="E797" s="90" t="s">
        <v>2326</v>
      </c>
      <c r="F797" s="89" t="s">
        <v>31</v>
      </c>
      <c r="G797" t="s">
        <v>2</v>
      </c>
      <c r="H797" t="s">
        <v>30</v>
      </c>
      <c r="I797">
        <v>23.983611109999998</v>
      </c>
      <c r="J797">
        <v>90.402222219999999</v>
      </c>
      <c r="K797" t="s">
        <v>29</v>
      </c>
      <c r="AV797" t="s">
        <v>2325</v>
      </c>
      <c r="AW797">
        <f t="shared" si="0"/>
        <v>1435</v>
      </c>
      <c r="AX797" t="s">
        <v>29</v>
      </c>
      <c r="AY797">
        <v>3</v>
      </c>
      <c r="AZ797" t="s">
        <v>2324</v>
      </c>
      <c r="BA797">
        <v>2009</v>
      </c>
      <c r="BB797">
        <v>2012</v>
      </c>
      <c r="BC797">
        <v>2009.2</v>
      </c>
      <c r="BD797" t="s">
        <v>274</v>
      </c>
      <c r="BE797" t="s">
        <v>2313</v>
      </c>
      <c r="BF797" t="s">
        <v>64</v>
      </c>
      <c r="BG797" t="s">
        <v>1233</v>
      </c>
      <c r="BH797" t="s">
        <v>1894</v>
      </c>
      <c r="BI797" t="s">
        <v>2323</v>
      </c>
      <c r="BJ797" t="s">
        <v>2262</v>
      </c>
      <c r="BK797">
        <v>1614</v>
      </c>
      <c r="BL797" t="s">
        <v>275</v>
      </c>
      <c r="BM797" t="s">
        <v>23</v>
      </c>
      <c r="BN797" t="s">
        <v>2322</v>
      </c>
      <c r="BO797" t="s">
        <v>2262</v>
      </c>
      <c r="BP797">
        <v>20</v>
      </c>
      <c r="BQ797" t="s">
        <v>275</v>
      </c>
      <c r="BR797" t="s">
        <v>1917</v>
      </c>
      <c r="BS797" t="s">
        <v>2321</v>
      </c>
      <c r="BT797" t="s">
        <v>2262</v>
      </c>
      <c r="BU797">
        <v>30</v>
      </c>
      <c r="BV797" t="s">
        <v>275</v>
      </c>
      <c r="BW797" t="s">
        <v>2319</v>
      </c>
      <c r="BX797" t="s">
        <v>2320</v>
      </c>
      <c r="BY797" t="s">
        <v>2262</v>
      </c>
      <c r="BZ797">
        <v>35</v>
      </c>
      <c r="CA797" t="s">
        <v>275</v>
      </c>
      <c r="CB797" t="s">
        <v>2319</v>
      </c>
      <c r="CC797" t="s">
        <v>2318</v>
      </c>
      <c r="CD797" t="s">
        <v>2262</v>
      </c>
      <c r="CE797">
        <v>19</v>
      </c>
      <c r="HL797" t="s">
        <v>2317</v>
      </c>
      <c r="HM797" t="s">
        <v>2316</v>
      </c>
      <c r="HP797" t="s">
        <v>29</v>
      </c>
      <c r="HQ797">
        <v>9</v>
      </c>
      <c r="HR797" t="s">
        <v>2315</v>
      </c>
      <c r="HT797" t="s">
        <v>2314</v>
      </c>
      <c r="HU797" s="58">
        <v>40153</v>
      </c>
      <c r="IP797" t="s">
        <v>2313</v>
      </c>
      <c r="IQ797" t="s">
        <v>2312</v>
      </c>
      <c r="IT797">
        <v>2009</v>
      </c>
      <c r="IU797" t="s">
        <v>2311</v>
      </c>
      <c r="IV797" s="4" t="s">
        <v>1879</v>
      </c>
      <c r="JM797" t="s">
        <v>14</v>
      </c>
      <c r="KF797" t="s">
        <v>2310</v>
      </c>
      <c r="KG797" t="s">
        <v>1548</v>
      </c>
      <c r="KH797" t="s">
        <v>2309</v>
      </c>
      <c r="KI797">
        <v>4</v>
      </c>
      <c r="KJ797" t="s">
        <v>2308</v>
      </c>
      <c r="KK797" t="s">
        <v>2152</v>
      </c>
      <c r="KO797" t="s">
        <v>219</v>
      </c>
      <c r="KP797" t="s">
        <v>2307</v>
      </c>
      <c r="KW797" t="s">
        <v>2306</v>
      </c>
      <c r="KX797" t="s">
        <v>2305</v>
      </c>
      <c r="LD797" t="s">
        <v>13</v>
      </c>
      <c r="LE797">
        <v>1600</v>
      </c>
      <c r="LM797" t="s">
        <v>2304</v>
      </c>
      <c r="LN797" t="s">
        <v>2303</v>
      </c>
      <c r="LO797">
        <v>30</v>
      </c>
      <c r="LU797" t="s">
        <v>2302</v>
      </c>
      <c r="LV797" t="s">
        <v>2301</v>
      </c>
      <c r="LZ797" t="s">
        <v>1925</v>
      </c>
      <c r="MA797">
        <v>805</v>
      </c>
      <c r="MB797" t="s">
        <v>2300</v>
      </c>
      <c r="MH797" t="s">
        <v>2299</v>
      </c>
      <c r="MJ797" s="58">
        <v>40224</v>
      </c>
      <c r="MZ797" t="s">
        <v>2298</v>
      </c>
      <c r="NA797">
        <v>1435</v>
      </c>
      <c r="NB797" t="s">
        <v>2464</v>
      </c>
      <c r="NC797" s="2" t="s">
        <v>2296</v>
      </c>
      <c r="NF797" s="2"/>
      <c r="NG797" s="2"/>
      <c r="NK797" t="s">
        <v>2465</v>
      </c>
      <c r="NM797" s="147" t="s">
        <v>8</v>
      </c>
      <c r="NN797" s="203" t="s">
        <v>2372</v>
      </c>
      <c r="NW797" t="s">
        <v>6</v>
      </c>
      <c r="NX797">
        <v>4.8</v>
      </c>
      <c r="NY797" t="s">
        <v>29</v>
      </c>
      <c r="NZ797" t="s">
        <v>29</v>
      </c>
      <c r="OC797">
        <v>3</v>
      </c>
      <c r="OT797" t="s">
        <v>2371</v>
      </c>
      <c r="OU797" t="s">
        <v>6</v>
      </c>
      <c r="OW797">
        <v>2011</v>
      </c>
      <c r="OX797">
        <v>2012</v>
      </c>
      <c r="OY797" t="s">
        <v>2311</v>
      </c>
      <c r="OZ797" t="s">
        <v>2373</v>
      </c>
      <c r="PA797" t="s">
        <v>1169</v>
      </c>
      <c r="PB797" s="58">
        <v>46136</v>
      </c>
    </row>
    <row r="798" spans="1:418" ht="15.75" thickBot="1">
      <c r="A798" t="s">
        <v>248</v>
      </c>
      <c r="B798" t="s">
        <v>2327</v>
      </c>
      <c r="C798" t="s">
        <v>1885</v>
      </c>
      <c r="D798" t="s">
        <v>1936</v>
      </c>
      <c r="E798" s="90" t="s">
        <v>2326</v>
      </c>
      <c r="F798" s="89" t="s">
        <v>31</v>
      </c>
      <c r="G798" t="s">
        <v>2</v>
      </c>
      <c r="H798" t="s">
        <v>30</v>
      </c>
      <c r="I798">
        <v>23.983611109999998</v>
      </c>
      <c r="J798">
        <v>90.402222219999999</v>
      </c>
      <c r="K798" t="s">
        <v>29</v>
      </c>
      <c r="AV798" t="s">
        <v>2325</v>
      </c>
      <c r="AW798">
        <f t="shared" si="0"/>
        <v>1435</v>
      </c>
      <c r="AX798" t="s">
        <v>29</v>
      </c>
      <c r="AY798">
        <v>3</v>
      </c>
      <c r="AZ798" t="s">
        <v>2324</v>
      </c>
      <c r="BA798">
        <v>2009</v>
      </c>
      <c r="BB798">
        <v>2012</v>
      </c>
      <c r="BC798">
        <v>2009.2</v>
      </c>
      <c r="BD798" t="s">
        <v>19</v>
      </c>
      <c r="BE798" t="s">
        <v>2354</v>
      </c>
      <c r="BF798" t="s">
        <v>39</v>
      </c>
      <c r="BG798" t="s">
        <v>1233</v>
      </c>
      <c r="BH798" t="s">
        <v>2319</v>
      </c>
      <c r="BI798" t="s">
        <v>2342</v>
      </c>
      <c r="BJ798" t="s">
        <v>2262</v>
      </c>
      <c r="BK798">
        <v>45</v>
      </c>
      <c r="BL798" t="s">
        <v>275</v>
      </c>
      <c r="BM798" t="s">
        <v>2319</v>
      </c>
      <c r="BN798" t="s">
        <v>2355</v>
      </c>
      <c r="BO798" t="s">
        <v>2262</v>
      </c>
      <c r="BP798">
        <v>49</v>
      </c>
      <c r="BQ798" t="s">
        <v>275</v>
      </c>
      <c r="BR798" t="s">
        <v>2319</v>
      </c>
      <c r="BS798" t="s">
        <v>2341</v>
      </c>
      <c r="BT798" t="s">
        <v>2262</v>
      </c>
      <c r="BU798">
        <v>49</v>
      </c>
      <c r="HL798" t="s">
        <v>2350</v>
      </c>
      <c r="HM798" t="s">
        <v>297</v>
      </c>
      <c r="HN798" t="s">
        <v>2349</v>
      </c>
      <c r="HP798" t="s">
        <v>29</v>
      </c>
      <c r="HQ798">
        <v>12</v>
      </c>
      <c r="HR798" t="s">
        <v>2348</v>
      </c>
      <c r="HT798" t="s">
        <v>2314</v>
      </c>
      <c r="HU798" s="58">
        <v>40202</v>
      </c>
      <c r="HV798" s="58"/>
      <c r="IP798" t="s">
        <v>2354</v>
      </c>
      <c r="IQ798" s="54" t="s">
        <v>2337</v>
      </c>
      <c r="IT798">
        <v>2009</v>
      </c>
      <c r="IU798" t="s">
        <v>2311</v>
      </c>
      <c r="IV798" s="4" t="s">
        <v>1879</v>
      </c>
      <c r="JM798" t="s">
        <v>14</v>
      </c>
      <c r="KF798" t="s">
        <v>2353</v>
      </c>
      <c r="KG798" t="s">
        <v>1548</v>
      </c>
      <c r="KH798" t="s">
        <v>2309</v>
      </c>
      <c r="KI798">
        <v>3</v>
      </c>
      <c r="KJ798" t="s">
        <v>2308</v>
      </c>
      <c r="KK798" t="s">
        <v>2152</v>
      </c>
      <c r="KO798" t="s">
        <v>219</v>
      </c>
      <c r="KP798" s="8" t="s">
        <v>2357</v>
      </c>
      <c r="KW798" t="s">
        <v>2352</v>
      </c>
      <c r="KX798" t="s">
        <v>2305</v>
      </c>
      <c r="LD798" t="s">
        <v>13</v>
      </c>
      <c r="LE798">
        <v>1500</v>
      </c>
      <c r="LM798" t="s">
        <v>2304</v>
      </c>
      <c r="LN798" t="s">
        <v>2303</v>
      </c>
      <c r="LO798">
        <v>7.5</v>
      </c>
      <c r="LU798" t="s">
        <v>2351</v>
      </c>
      <c r="LV798" t="s">
        <v>2301</v>
      </c>
      <c r="LZ798" t="s">
        <v>1925</v>
      </c>
      <c r="MA798">
        <v>2084</v>
      </c>
      <c r="MB798" t="s">
        <v>2300</v>
      </c>
      <c r="MH798" t="s">
        <v>2332</v>
      </c>
      <c r="MJ798" s="58">
        <v>40292</v>
      </c>
      <c r="MZ798" t="s">
        <v>2298</v>
      </c>
      <c r="NA798">
        <v>1435</v>
      </c>
      <c r="NB798" t="s">
        <v>2331</v>
      </c>
      <c r="NC798" s="2" t="s">
        <v>2296</v>
      </c>
      <c r="ND798" s="2" t="s">
        <v>2296</v>
      </c>
      <c r="NE798" s="2"/>
      <c r="NF798" s="2"/>
      <c r="NK798" t="s">
        <v>2370</v>
      </c>
      <c r="NL798" t="s">
        <v>2369</v>
      </c>
      <c r="NM798" s="147" t="s">
        <v>1931</v>
      </c>
      <c r="NN798" s="203" t="s">
        <v>1930</v>
      </c>
      <c r="NV798" t="s">
        <v>2343</v>
      </c>
      <c r="NW798" t="s">
        <v>6</v>
      </c>
      <c r="NX798">
        <v>0.5</v>
      </c>
      <c r="NY798" t="s">
        <v>29</v>
      </c>
      <c r="OC798">
        <v>3</v>
      </c>
      <c r="OT798" t="s">
        <v>2368</v>
      </c>
      <c r="OU798" t="s">
        <v>6</v>
      </c>
      <c r="OW798">
        <v>2009</v>
      </c>
      <c r="OX798">
        <v>2010</v>
      </c>
      <c r="OY798" t="s">
        <v>2311</v>
      </c>
      <c r="OZ798" t="s">
        <v>2373</v>
      </c>
      <c r="PA798" t="s">
        <v>1169</v>
      </c>
      <c r="PB798" s="58">
        <v>46136</v>
      </c>
    </row>
    <row r="799" spans="1:418" ht="15.75" thickBot="1">
      <c r="A799" t="s">
        <v>248</v>
      </c>
      <c r="B799" t="s">
        <v>2327</v>
      </c>
      <c r="C799" t="s">
        <v>1885</v>
      </c>
      <c r="D799" t="s">
        <v>1936</v>
      </c>
      <c r="E799" s="90" t="s">
        <v>2326</v>
      </c>
      <c r="F799" s="89" t="s">
        <v>31</v>
      </c>
      <c r="G799" t="s">
        <v>2</v>
      </c>
      <c r="H799" t="s">
        <v>30</v>
      </c>
      <c r="I799">
        <v>23.983611109999998</v>
      </c>
      <c r="J799">
        <v>90.402222219999999</v>
      </c>
      <c r="K799" t="s">
        <v>29</v>
      </c>
      <c r="AV799" t="s">
        <v>2325</v>
      </c>
      <c r="AW799">
        <f t="shared" si="0"/>
        <v>1435</v>
      </c>
      <c r="AX799" t="s">
        <v>29</v>
      </c>
      <c r="AY799">
        <v>3</v>
      </c>
      <c r="AZ799" t="s">
        <v>2324</v>
      </c>
      <c r="BA799">
        <v>2009</v>
      </c>
      <c r="BB799">
        <v>2012</v>
      </c>
      <c r="BC799">
        <v>2009.2</v>
      </c>
      <c r="BD799" t="s">
        <v>19</v>
      </c>
      <c r="BE799" t="s">
        <v>2347</v>
      </c>
      <c r="BF799" t="s">
        <v>24</v>
      </c>
      <c r="BG799" t="s">
        <v>1233</v>
      </c>
      <c r="BH799" t="s">
        <v>2319</v>
      </c>
      <c r="BI799" t="s">
        <v>2342</v>
      </c>
      <c r="BJ799" t="s">
        <v>2262</v>
      </c>
      <c r="BK799">
        <v>30</v>
      </c>
      <c r="BL799" t="s">
        <v>275</v>
      </c>
      <c r="BM799" t="s">
        <v>2319</v>
      </c>
      <c r="BN799" t="s">
        <v>2341</v>
      </c>
      <c r="BO799" t="s">
        <v>2262</v>
      </c>
      <c r="BP799">
        <v>35</v>
      </c>
      <c r="HL799" t="s">
        <v>2350</v>
      </c>
      <c r="HM799" t="s">
        <v>297</v>
      </c>
      <c r="HN799" t="s">
        <v>2349</v>
      </c>
      <c r="HP799" t="s">
        <v>29</v>
      </c>
      <c r="HQ799">
        <v>12</v>
      </c>
      <c r="HR799" t="s">
        <v>2348</v>
      </c>
      <c r="HT799" t="s">
        <v>2314</v>
      </c>
      <c r="HU799" s="58">
        <v>40192</v>
      </c>
      <c r="HV799" s="58"/>
      <c r="IP799" t="s">
        <v>2347</v>
      </c>
      <c r="IQ799" s="54" t="s">
        <v>2337</v>
      </c>
      <c r="IT799">
        <v>2009</v>
      </c>
      <c r="IU799" t="s">
        <v>2311</v>
      </c>
      <c r="IV799" s="4" t="s">
        <v>1879</v>
      </c>
      <c r="JM799" t="s">
        <v>14</v>
      </c>
      <c r="KF799" t="s">
        <v>2346</v>
      </c>
      <c r="KG799" t="s">
        <v>1548</v>
      </c>
      <c r="KH799" t="s">
        <v>2309</v>
      </c>
      <c r="KI799">
        <v>6</v>
      </c>
      <c r="KJ799" t="s">
        <v>2308</v>
      </c>
      <c r="KK799" t="s">
        <v>222</v>
      </c>
      <c r="KL799" s="8" t="s">
        <v>1922</v>
      </c>
      <c r="KO799" t="s">
        <v>219</v>
      </c>
      <c r="KP799" t="s">
        <v>2335</v>
      </c>
      <c r="KW799" t="s">
        <v>2345</v>
      </c>
      <c r="KX799" t="s">
        <v>2305</v>
      </c>
      <c r="LD799" t="s">
        <v>13</v>
      </c>
      <c r="LE799">
        <v>2200</v>
      </c>
      <c r="LM799" t="s">
        <v>2304</v>
      </c>
      <c r="LN799" t="s">
        <v>2303</v>
      </c>
      <c r="LO799">
        <v>30</v>
      </c>
      <c r="LU799" t="s">
        <v>2344</v>
      </c>
      <c r="LV799" t="s">
        <v>2301</v>
      </c>
      <c r="LZ799" t="s">
        <v>1925</v>
      </c>
      <c r="MA799">
        <v>1789</v>
      </c>
      <c r="MB799" t="s">
        <v>2300</v>
      </c>
      <c r="MH799" t="s">
        <v>2332</v>
      </c>
      <c r="MJ799" s="58">
        <v>40298</v>
      </c>
      <c r="MZ799" t="s">
        <v>2298</v>
      </c>
      <c r="NA799">
        <v>1435</v>
      </c>
      <c r="NB799" t="s">
        <v>2331</v>
      </c>
      <c r="NC799" s="2" t="s">
        <v>2296</v>
      </c>
      <c r="ND799" s="2" t="s">
        <v>2296</v>
      </c>
      <c r="NE799" s="2"/>
      <c r="NF799" s="2"/>
      <c r="NK799" t="s">
        <v>2370</v>
      </c>
      <c r="NL799" t="s">
        <v>2369</v>
      </c>
      <c r="NM799" s="147" t="s">
        <v>1931</v>
      </c>
      <c r="NN799" s="203" t="s">
        <v>1930</v>
      </c>
      <c r="NV799" t="s">
        <v>2343</v>
      </c>
      <c r="NW799" t="s">
        <v>6</v>
      </c>
      <c r="NX799">
        <v>0.7</v>
      </c>
      <c r="NY799" t="s">
        <v>29</v>
      </c>
      <c r="OC799">
        <v>3</v>
      </c>
      <c r="OT799" t="s">
        <v>2368</v>
      </c>
      <c r="OU799" t="s">
        <v>6</v>
      </c>
      <c r="OW799">
        <v>2009</v>
      </c>
      <c r="OX799">
        <v>2010</v>
      </c>
      <c r="OY799" t="s">
        <v>2311</v>
      </c>
      <c r="OZ799" t="s">
        <v>2373</v>
      </c>
      <c r="PA799" t="s">
        <v>1169</v>
      </c>
      <c r="PB799" s="58">
        <v>46136</v>
      </c>
    </row>
    <row r="800" spans="1:418" ht="15.75" thickBot="1">
      <c r="A800" t="s">
        <v>248</v>
      </c>
      <c r="B800" t="s">
        <v>2327</v>
      </c>
      <c r="C800" t="s">
        <v>1885</v>
      </c>
      <c r="D800" t="s">
        <v>1936</v>
      </c>
      <c r="E800" s="90" t="s">
        <v>2326</v>
      </c>
      <c r="F800" s="89" t="s">
        <v>31</v>
      </c>
      <c r="G800" t="s">
        <v>2</v>
      </c>
      <c r="H800" t="s">
        <v>30</v>
      </c>
      <c r="I800">
        <v>23.983611109999998</v>
      </c>
      <c r="J800">
        <v>90.402222219999999</v>
      </c>
      <c r="K800" t="s">
        <v>29</v>
      </c>
      <c r="AV800" t="s">
        <v>2325</v>
      </c>
      <c r="AW800">
        <f t="shared" si="0"/>
        <v>1435</v>
      </c>
      <c r="AX800" t="s">
        <v>29</v>
      </c>
      <c r="AY800">
        <v>3</v>
      </c>
      <c r="AZ800" t="s">
        <v>2324</v>
      </c>
      <c r="BA800">
        <v>2009</v>
      </c>
      <c r="BB800">
        <v>2012</v>
      </c>
      <c r="BC800">
        <v>2009.2</v>
      </c>
      <c r="BD800" t="s">
        <v>19</v>
      </c>
      <c r="BE800" t="s">
        <v>2338</v>
      </c>
      <c r="BF800" t="s">
        <v>299</v>
      </c>
      <c r="BG800" t="s">
        <v>1233</v>
      </c>
      <c r="BH800" t="s">
        <v>2319</v>
      </c>
      <c r="BI800" t="s">
        <v>2342</v>
      </c>
      <c r="BJ800" t="s">
        <v>2262</v>
      </c>
      <c r="BK800">
        <v>30</v>
      </c>
      <c r="BL800" t="s">
        <v>275</v>
      </c>
      <c r="BM800" t="s">
        <v>2319</v>
      </c>
      <c r="BN800" t="s">
        <v>2341</v>
      </c>
      <c r="BO800" t="s">
        <v>2262</v>
      </c>
      <c r="BP800">
        <v>19</v>
      </c>
      <c r="HL800" t="s">
        <v>2340</v>
      </c>
      <c r="HM800" t="s">
        <v>2316</v>
      </c>
      <c r="HP800" t="s">
        <v>29</v>
      </c>
      <c r="HQ800">
        <v>4</v>
      </c>
      <c r="HR800" t="s">
        <v>2339</v>
      </c>
      <c r="HT800" t="s">
        <v>2314</v>
      </c>
      <c r="HU800" s="58">
        <v>40192</v>
      </c>
      <c r="HV800" s="58"/>
      <c r="IP800" t="s">
        <v>2338</v>
      </c>
      <c r="IQ800" s="54" t="s">
        <v>2337</v>
      </c>
      <c r="IT800">
        <v>2009</v>
      </c>
      <c r="IU800" t="s">
        <v>2311</v>
      </c>
      <c r="IV800" s="4" t="s">
        <v>1879</v>
      </c>
      <c r="JM800" t="s">
        <v>14</v>
      </c>
      <c r="KF800" t="s">
        <v>2336</v>
      </c>
      <c r="KG800" t="s">
        <v>1548</v>
      </c>
      <c r="KH800" t="s">
        <v>2309</v>
      </c>
      <c r="KI800">
        <v>7</v>
      </c>
      <c r="KJ800" t="s">
        <v>2308</v>
      </c>
      <c r="KK800" t="s">
        <v>222</v>
      </c>
      <c r="KL800" s="8" t="s">
        <v>1922</v>
      </c>
      <c r="KO800" t="s">
        <v>219</v>
      </c>
      <c r="KP800" t="s">
        <v>2335</v>
      </c>
      <c r="KW800" t="s">
        <v>2334</v>
      </c>
      <c r="KX800" t="s">
        <v>2305</v>
      </c>
      <c r="LD800" t="s">
        <v>13</v>
      </c>
      <c r="LE800">
        <v>2600</v>
      </c>
      <c r="LM800" t="s">
        <v>2304</v>
      </c>
      <c r="LN800" t="s">
        <v>2303</v>
      </c>
      <c r="LO800">
        <v>30</v>
      </c>
      <c r="LU800" t="s">
        <v>2333</v>
      </c>
      <c r="LV800" t="s">
        <v>2301</v>
      </c>
      <c r="LZ800" t="s">
        <v>1925</v>
      </c>
      <c r="MA800">
        <v>1898</v>
      </c>
      <c r="MB800" t="s">
        <v>2300</v>
      </c>
      <c r="MH800" t="s">
        <v>2332</v>
      </c>
      <c r="MJ800" s="58">
        <v>40299</v>
      </c>
      <c r="MZ800" t="s">
        <v>2298</v>
      </c>
      <c r="NA800">
        <v>1435</v>
      </c>
      <c r="NB800" t="s">
        <v>2331</v>
      </c>
      <c r="NC800" s="2" t="s">
        <v>2296</v>
      </c>
      <c r="ND800" s="2" t="s">
        <v>2296</v>
      </c>
      <c r="NE800" s="2"/>
      <c r="NF800" s="2"/>
      <c r="NK800" t="s">
        <v>2370</v>
      </c>
      <c r="NL800" t="s">
        <v>2369</v>
      </c>
      <c r="NM800" s="147" t="s">
        <v>1931</v>
      </c>
      <c r="NN800" s="203" t="s">
        <v>1930</v>
      </c>
      <c r="NV800" t="s">
        <v>64</v>
      </c>
      <c r="NW800" t="s">
        <v>6</v>
      </c>
      <c r="NX800">
        <v>0.6</v>
      </c>
      <c r="NY800" t="s">
        <v>29</v>
      </c>
      <c r="OC800">
        <v>3</v>
      </c>
      <c r="OT800" t="s">
        <v>2368</v>
      </c>
      <c r="OU800" t="s">
        <v>6</v>
      </c>
      <c r="OW800">
        <v>2009</v>
      </c>
      <c r="OX800">
        <v>2010</v>
      </c>
      <c r="OY800" t="s">
        <v>2311</v>
      </c>
      <c r="OZ800" t="s">
        <v>2373</v>
      </c>
      <c r="PA800" t="s">
        <v>1169</v>
      </c>
      <c r="PB800" s="58">
        <v>46136</v>
      </c>
    </row>
    <row r="801" spans="1:418" ht="15.75" thickBot="1">
      <c r="A801" t="s">
        <v>248</v>
      </c>
      <c r="B801" t="s">
        <v>2327</v>
      </c>
      <c r="C801" t="s">
        <v>1885</v>
      </c>
      <c r="D801" t="s">
        <v>1936</v>
      </c>
      <c r="E801" s="90" t="s">
        <v>2326</v>
      </c>
      <c r="F801" s="89" t="s">
        <v>31</v>
      </c>
      <c r="G801" t="s">
        <v>2</v>
      </c>
      <c r="H801" t="s">
        <v>30</v>
      </c>
      <c r="I801">
        <v>23.983611109999998</v>
      </c>
      <c r="J801">
        <v>90.402222219999999</v>
      </c>
      <c r="K801" t="s">
        <v>29</v>
      </c>
      <c r="AV801" t="s">
        <v>2325</v>
      </c>
      <c r="AW801">
        <f t="shared" si="0"/>
        <v>1435</v>
      </c>
      <c r="AX801" t="s">
        <v>29</v>
      </c>
      <c r="AY801">
        <v>3</v>
      </c>
      <c r="AZ801" t="s">
        <v>2324</v>
      </c>
      <c r="BA801">
        <v>2009</v>
      </c>
      <c r="BB801">
        <v>2012</v>
      </c>
      <c r="BC801">
        <v>2009.2</v>
      </c>
      <c r="BD801" t="s">
        <v>274</v>
      </c>
      <c r="BE801" t="s">
        <v>2313</v>
      </c>
      <c r="BF801" t="s">
        <v>64</v>
      </c>
      <c r="BG801" t="s">
        <v>1233</v>
      </c>
      <c r="BH801" t="s">
        <v>1894</v>
      </c>
      <c r="BI801" t="s">
        <v>2323</v>
      </c>
      <c r="BJ801" t="s">
        <v>2262</v>
      </c>
      <c r="BK801">
        <v>1614</v>
      </c>
      <c r="BL801" t="s">
        <v>275</v>
      </c>
      <c r="BM801" t="s">
        <v>23</v>
      </c>
      <c r="BN801" t="s">
        <v>2322</v>
      </c>
      <c r="BO801" t="s">
        <v>2262</v>
      </c>
      <c r="BP801">
        <v>20</v>
      </c>
      <c r="BQ801" t="s">
        <v>275</v>
      </c>
      <c r="BR801" t="s">
        <v>1917</v>
      </c>
      <c r="BS801" t="s">
        <v>2321</v>
      </c>
      <c r="BT801" t="s">
        <v>2262</v>
      </c>
      <c r="BU801">
        <v>30</v>
      </c>
      <c r="BV801" t="s">
        <v>275</v>
      </c>
      <c r="BW801" t="s">
        <v>2319</v>
      </c>
      <c r="BX801" t="s">
        <v>2320</v>
      </c>
      <c r="BY801" t="s">
        <v>2262</v>
      </c>
      <c r="BZ801">
        <v>35</v>
      </c>
      <c r="CA801" t="s">
        <v>275</v>
      </c>
      <c r="CB801" t="s">
        <v>2319</v>
      </c>
      <c r="CC801" t="s">
        <v>2318</v>
      </c>
      <c r="CD801" t="s">
        <v>2262</v>
      </c>
      <c r="CE801">
        <v>19</v>
      </c>
      <c r="HL801" t="s">
        <v>2317</v>
      </c>
      <c r="HM801" t="s">
        <v>2316</v>
      </c>
      <c r="HP801" t="s">
        <v>29</v>
      </c>
      <c r="HQ801">
        <v>9</v>
      </c>
      <c r="HR801" t="s">
        <v>2315</v>
      </c>
      <c r="HT801" t="s">
        <v>2314</v>
      </c>
      <c r="HU801" s="58">
        <v>40153</v>
      </c>
      <c r="IP801" t="s">
        <v>2313</v>
      </c>
      <c r="IQ801" t="s">
        <v>2312</v>
      </c>
      <c r="IT801">
        <v>2009</v>
      </c>
      <c r="IU801" t="s">
        <v>2311</v>
      </c>
      <c r="IV801" s="4" t="s">
        <v>1879</v>
      </c>
      <c r="JM801" t="s">
        <v>14</v>
      </c>
      <c r="KF801" t="s">
        <v>2310</v>
      </c>
      <c r="KG801" t="s">
        <v>1548</v>
      </c>
      <c r="KH801" t="s">
        <v>2309</v>
      </c>
      <c r="KI801">
        <v>4</v>
      </c>
      <c r="KJ801" t="s">
        <v>2308</v>
      </c>
      <c r="KK801" t="s">
        <v>2152</v>
      </c>
      <c r="KO801" t="s">
        <v>219</v>
      </c>
      <c r="KP801" t="s">
        <v>2307</v>
      </c>
      <c r="KW801" t="s">
        <v>2306</v>
      </c>
      <c r="KX801" t="s">
        <v>2305</v>
      </c>
      <c r="LD801" t="s">
        <v>13</v>
      </c>
      <c r="LE801">
        <v>4600</v>
      </c>
      <c r="LM801" t="s">
        <v>2304</v>
      </c>
      <c r="LN801" t="s">
        <v>2303</v>
      </c>
      <c r="LO801">
        <v>30</v>
      </c>
      <c r="LU801" t="s">
        <v>2302</v>
      </c>
      <c r="LV801" t="s">
        <v>2301</v>
      </c>
      <c r="LZ801" t="s">
        <v>1925</v>
      </c>
      <c r="MA801">
        <v>1426</v>
      </c>
      <c r="MB801" t="s">
        <v>2300</v>
      </c>
      <c r="MH801" t="s">
        <v>2299</v>
      </c>
      <c r="MJ801" s="58">
        <v>40224</v>
      </c>
      <c r="MZ801" t="s">
        <v>2298</v>
      </c>
      <c r="NA801">
        <v>1435</v>
      </c>
      <c r="NB801" t="s">
        <v>2297</v>
      </c>
      <c r="NC801" s="2"/>
      <c r="ND801" s="2" t="s">
        <v>2296</v>
      </c>
      <c r="NE801" t="s">
        <v>1894</v>
      </c>
      <c r="NF801" s="2" t="s">
        <v>168</v>
      </c>
      <c r="NK801" t="s">
        <v>2370</v>
      </c>
      <c r="NL801" t="s">
        <v>2369</v>
      </c>
      <c r="NM801" s="147" t="s">
        <v>1931</v>
      </c>
      <c r="NN801" s="203" t="s">
        <v>1930</v>
      </c>
      <c r="NW801" t="s">
        <v>6</v>
      </c>
      <c r="NX801">
        <v>1.4</v>
      </c>
      <c r="NY801" t="s">
        <v>29</v>
      </c>
      <c r="OC801">
        <v>3</v>
      </c>
      <c r="OT801" t="s">
        <v>2368</v>
      </c>
      <c r="OU801" t="s">
        <v>6</v>
      </c>
      <c r="OW801">
        <v>2009</v>
      </c>
      <c r="OX801">
        <v>2010</v>
      </c>
      <c r="OY801" t="s">
        <v>2311</v>
      </c>
      <c r="OZ801" t="s">
        <v>2373</v>
      </c>
      <c r="PA801" t="s">
        <v>1169</v>
      </c>
      <c r="PB801" s="58">
        <v>46136</v>
      </c>
    </row>
    <row r="802" spans="1:418" ht="15.75" thickBot="1">
      <c r="A802" t="s">
        <v>248</v>
      </c>
      <c r="B802" t="s">
        <v>2327</v>
      </c>
      <c r="C802" t="s">
        <v>1885</v>
      </c>
      <c r="D802" t="s">
        <v>1936</v>
      </c>
      <c r="E802" s="90" t="s">
        <v>2326</v>
      </c>
      <c r="F802" s="89" t="s">
        <v>31</v>
      </c>
      <c r="G802" t="s">
        <v>2</v>
      </c>
      <c r="H802" t="s">
        <v>30</v>
      </c>
      <c r="I802">
        <v>23.983611109999998</v>
      </c>
      <c r="J802">
        <v>90.402222219999999</v>
      </c>
      <c r="K802" t="s">
        <v>29</v>
      </c>
      <c r="AV802" t="s">
        <v>2325</v>
      </c>
      <c r="AW802">
        <f t="shared" si="0"/>
        <v>1435</v>
      </c>
      <c r="AX802" t="s">
        <v>29</v>
      </c>
      <c r="AY802">
        <v>3</v>
      </c>
      <c r="AZ802" t="s">
        <v>2324</v>
      </c>
      <c r="BA802">
        <v>2009</v>
      </c>
      <c r="BB802">
        <v>2012</v>
      </c>
      <c r="BC802">
        <v>2009.2</v>
      </c>
      <c r="BD802" t="s">
        <v>19</v>
      </c>
      <c r="BE802" t="s">
        <v>2354</v>
      </c>
      <c r="BF802" t="s">
        <v>39</v>
      </c>
      <c r="BG802" t="s">
        <v>1233</v>
      </c>
      <c r="BH802" t="s">
        <v>2319</v>
      </c>
      <c r="BI802" t="s">
        <v>2342</v>
      </c>
      <c r="BJ802" t="s">
        <v>2262</v>
      </c>
      <c r="BK802">
        <v>45</v>
      </c>
      <c r="BL802" t="s">
        <v>275</v>
      </c>
      <c r="BM802" t="s">
        <v>2319</v>
      </c>
      <c r="BN802" t="s">
        <v>2355</v>
      </c>
      <c r="BO802" t="s">
        <v>2262</v>
      </c>
      <c r="BP802">
        <v>49</v>
      </c>
      <c r="BQ802" t="s">
        <v>275</v>
      </c>
      <c r="BR802" t="s">
        <v>2319</v>
      </c>
      <c r="BS802" t="s">
        <v>2341</v>
      </c>
      <c r="BT802" t="s">
        <v>2262</v>
      </c>
      <c r="BU802">
        <v>49</v>
      </c>
      <c r="HL802" t="s">
        <v>2350</v>
      </c>
      <c r="HM802" t="s">
        <v>297</v>
      </c>
      <c r="HN802" t="s">
        <v>2349</v>
      </c>
      <c r="HP802" t="s">
        <v>29</v>
      </c>
      <c r="HQ802">
        <v>12</v>
      </c>
      <c r="HR802" t="s">
        <v>2348</v>
      </c>
      <c r="HT802" t="s">
        <v>2314</v>
      </c>
      <c r="HU802" s="58">
        <v>40202</v>
      </c>
      <c r="HV802" s="58"/>
      <c r="IP802" t="s">
        <v>2354</v>
      </c>
      <c r="IQ802" s="54" t="s">
        <v>2337</v>
      </c>
      <c r="IT802">
        <v>2009</v>
      </c>
      <c r="IU802" t="s">
        <v>2311</v>
      </c>
      <c r="IV802" s="4" t="s">
        <v>1879</v>
      </c>
      <c r="JM802" t="s">
        <v>14</v>
      </c>
      <c r="KF802" t="s">
        <v>2353</v>
      </c>
      <c r="KG802" t="s">
        <v>1548</v>
      </c>
      <c r="KH802" t="s">
        <v>2309</v>
      </c>
      <c r="KI802">
        <v>3</v>
      </c>
      <c r="KJ802" t="s">
        <v>2308</v>
      </c>
      <c r="KK802" t="s">
        <v>2152</v>
      </c>
      <c r="KO802" t="s">
        <v>219</v>
      </c>
      <c r="KP802" s="8" t="s">
        <v>2357</v>
      </c>
      <c r="KW802" t="s">
        <v>2352</v>
      </c>
      <c r="KX802" t="s">
        <v>2305</v>
      </c>
      <c r="LD802" t="s">
        <v>13</v>
      </c>
      <c r="LE802">
        <v>0</v>
      </c>
      <c r="LM802" t="s">
        <v>2304</v>
      </c>
      <c r="LN802" t="s">
        <v>2303</v>
      </c>
      <c r="LO802">
        <v>7.5</v>
      </c>
      <c r="LU802" t="s">
        <v>2351</v>
      </c>
      <c r="LV802" t="s">
        <v>2301</v>
      </c>
      <c r="LZ802" t="s">
        <v>1925</v>
      </c>
      <c r="MA802">
        <v>2172</v>
      </c>
      <c r="MB802" t="s">
        <v>2300</v>
      </c>
      <c r="MH802" t="s">
        <v>2332</v>
      </c>
      <c r="MJ802" s="58">
        <v>40292</v>
      </c>
      <c r="MZ802" t="s">
        <v>2298</v>
      </c>
      <c r="NA802">
        <v>1435</v>
      </c>
      <c r="NB802" t="s">
        <v>2331</v>
      </c>
      <c r="NC802" s="2" t="s">
        <v>2296</v>
      </c>
      <c r="ND802" s="2" t="s">
        <v>2296</v>
      </c>
      <c r="NE802" s="2"/>
      <c r="NF802" s="2"/>
      <c r="NK802" t="s">
        <v>2370</v>
      </c>
      <c r="NL802" t="s">
        <v>2369</v>
      </c>
      <c r="NM802" s="147" t="s">
        <v>1931</v>
      </c>
      <c r="NN802" s="203" t="s">
        <v>1930</v>
      </c>
      <c r="NV802" t="s">
        <v>2343</v>
      </c>
      <c r="NW802" t="s">
        <v>6</v>
      </c>
      <c r="NX802">
        <v>0.4</v>
      </c>
      <c r="NY802" t="s">
        <v>29</v>
      </c>
      <c r="OC802">
        <v>3</v>
      </c>
      <c r="OT802" t="s">
        <v>2368</v>
      </c>
      <c r="OU802" t="s">
        <v>6</v>
      </c>
      <c r="OW802">
        <v>2010</v>
      </c>
      <c r="OX802">
        <v>2011</v>
      </c>
      <c r="OY802" t="s">
        <v>2311</v>
      </c>
      <c r="OZ802" t="s">
        <v>2373</v>
      </c>
      <c r="PA802" t="s">
        <v>1169</v>
      </c>
      <c r="PB802" s="58">
        <v>46136</v>
      </c>
    </row>
    <row r="803" spans="1:418" ht="15.75" thickBot="1">
      <c r="A803" t="s">
        <v>248</v>
      </c>
      <c r="B803" t="s">
        <v>2327</v>
      </c>
      <c r="C803" t="s">
        <v>1885</v>
      </c>
      <c r="D803" t="s">
        <v>1936</v>
      </c>
      <c r="E803" s="90" t="s">
        <v>2326</v>
      </c>
      <c r="F803" s="89" t="s">
        <v>31</v>
      </c>
      <c r="G803" t="s">
        <v>2</v>
      </c>
      <c r="H803" t="s">
        <v>30</v>
      </c>
      <c r="I803">
        <v>23.983611109999998</v>
      </c>
      <c r="J803">
        <v>90.402222219999999</v>
      </c>
      <c r="K803" t="s">
        <v>29</v>
      </c>
      <c r="AV803" t="s">
        <v>2325</v>
      </c>
      <c r="AW803">
        <f t="shared" si="0"/>
        <v>1435</v>
      </c>
      <c r="AX803" t="s">
        <v>29</v>
      </c>
      <c r="AY803">
        <v>3</v>
      </c>
      <c r="AZ803" t="s">
        <v>2324</v>
      </c>
      <c r="BA803">
        <v>2009</v>
      </c>
      <c r="BB803">
        <v>2012</v>
      </c>
      <c r="BC803">
        <v>2009.2</v>
      </c>
      <c r="BD803" t="s">
        <v>19</v>
      </c>
      <c r="BE803" t="s">
        <v>2347</v>
      </c>
      <c r="BF803" t="s">
        <v>24</v>
      </c>
      <c r="BG803" t="s">
        <v>1233</v>
      </c>
      <c r="BH803" t="s">
        <v>2319</v>
      </c>
      <c r="BI803" t="s">
        <v>2342</v>
      </c>
      <c r="BJ803" t="s">
        <v>2262</v>
      </c>
      <c r="BK803">
        <v>30</v>
      </c>
      <c r="BL803" t="s">
        <v>275</v>
      </c>
      <c r="BM803" t="s">
        <v>2319</v>
      </c>
      <c r="BN803" t="s">
        <v>2341</v>
      </c>
      <c r="BO803" t="s">
        <v>2262</v>
      </c>
      <c r="BP803">
        <v>35</v>
      </c>
      <c r="HL803" t="s">
        <v>2350</v>
      </c>
      <c r="HM803" t="s">
        <v>297</v>
      </c>
      <c r="HN803" t="s">
        <v>2349</v>
      </c>
      <c r="HP803" t="s">
        <v>29</v>
      </c>
      <c r="HQ803">
        <v>12</v>
      </c>
      <c r="HR803" t="s">
        <v>2348</v>
      </c>
      <c r="HT803" t="s">
        <v>2314</v>
      </c>
      <c r="HU803" s="58">
        <v>40192</v>
      </c>
      <c r="HV803" s="58"/>
      <c r="IP803" t="s">
        <v>2347</v>
      </c>
      <c r="IQ803" s="54" t="s">
        <v>2337</v>
      </c>
      <c r="IT803">
        <v>2009</v>
      </c>
      <c r="IU803" t="s">
        <v>2311</v>
      </c>
      <c r="IV803" s="4" t="s">
        <v>1879</v>
      </c>
      <c r="JM803" t="s">
        <v>14</v>
      </c>
      <c r="KF803" t="s">
        <v>2346</v>
      </c>
      <c r="KG803" t="s">
        <v>1548</v>
      </c>
      <c r="KH803" t="s">
        <v>2309</v>
      </c>
      <c r="KI803">
        <v>6</v>
      </c>
      <c r="KJ803" t="s">
        <v>2308</v>
      </c>
      <c r="KK803" t="s">
        <v>222</v>
      </c>
      <c r="KL803" s="8" t="s">
        <v>1922</v>
      </c>
      <c r="KO803" t="s">
        <v>219</v>
      </c>
      <c r="KP803" t="s">
        <v>2335</v>
      </c>
      <c r="KW803" t="s">
        <v>2345</v>
      </c>
      <c r="KX803" t="s">
        <v>2305</v>
      </c>
      <c r="LD803" t="s">
        <v>13</v>
      </c>
      <c r="LE803">
        <v>1600</v>
      </c>
      <c r="LM803" t="s">
        <v>2304</v>
      </c>
      <c r="LN803" t="s">
        <v>2303</v>
      </c>
      <c r="LO803">
        <v>30</v>
      </c>
      <c r="LU803" t="s">
        <v>2344</v>
      </c>
      <c r="LV803" t="s">
        <v>2301</v>
      </c>
      <c r="LZ803" t="s">
        <v>1925</v>
      </c>
      <c r="MA803">
        <v>1946</v>
      </c>
      <c r="MB803" t="s">
        <v>2300</v>
      </c>
      <c r="MH803" t="s">
        <v>2332</v>
      </c>
      <c r="MJ803" s="58">
        <v>40298</v>
      </c>
      <c r="MZ803" t="s">
        <v>2298</v>
      </c>
      <c r="NA803">
        <v>1435</v>
      </c>
      <c r="NB803" t="s">
        <v>2331</v>
      </c>
      <c r="NC803" s="2" t="s">
        <v>2296</v>
      </c>
      <c r="ND803" s="2" t="s">
        <v>2296</v>
      </c>
      <c r="NE803" s="2"/>
      <c r="NF803" s="2"/>
      <c r="NK803" t="s">
        <v>2370</v>
      </c>
      <c r="NL803" t="s">
        <v>2369</v>
      </c>
      <c r="NM803" s="147" t="s">
        <v>1931</v>
      </c>
      <c r="NN803" s="203" t="s">
        <v>1930</v>
      </c>
      <c r="NV803" t="s">
        <v>2343</v>
      </c>
      <c r="NW803" t="s">
        <v>6</v>
      </c>
      <c r="NX803">
        <v>0.6</v>
      </c>
      <c r="NY803" t="s">
        <v>29</v>
      </c>
      <c r="OC803">
        <v>3</v>
      </c>
      <c r="OT803" t="s">
        <v>2368</v>
      </c>
      <c r="OU803" t="s">
        <v>6</v>
      </c>
      <c r="OW803">
        <v>2010</v>
      </c>
      <c r="OX803">
        <v>2011</v>
      </c>
      <c r="OY803" t="s">
        <v>2311</v>
      </c>
      <c r="OZ803" t="s">
        <v>2373</v>
      </c>
      <c r="PA803" t="s">
        <v>1169</v>
      </c>
      <c r="PB803" s="58">
        <v>46136</v>
      </c>
    </row>
    <row r="804" spans="1:418" ht="15.75" thickBot="1">
      <c r="A804" t="s">
        <v>248</v>
      </c>
      <c r="B804" t="s">
        <v>2327</v>
      </c>
      <c r="C804" t="s">
        <v>1885</v>
      </c>
      <c r="D804" t="s">
        <v>1936</v>
      </c>
      <c r="E804" s="90" t="s">
        <v>2326</v>
      </c>
      <c r="F804" s="89" t="s">
        <v>31</v>
      </c>
      <c r="G804" t="s">
        <v>2</v>
      </c>
      <c r="H804" t="s">
        <v>30</v>
      </c>
      <c r="I804">
        <v>23.983611109999998</v>
      </c>
      <c r="J804">
        <v>90.402222219999999</v>
      </c>
      <c r="K804" t="s">
        <v>29</v>
      </c>
      <c r="AV804" t="s">
        <v>2325</v>
      </c>
      <c r="AW804">
        <f t="shared" si="0"/>
        <v>1435</v>
      </c>
      <c r="AX804" t="s">
        <v>29</v>
      </c>
      <c r="AY804">
        <v>3</v>
      </c>
      <c r="AZ804" t="s">
        <v>2324</v>
      </c>
      <c r="BA804">
        <v>2009</v>
      </c>
      <c r="BB804">
        <v>2012</v>
      </c>
      <c r="BC804">
        <v>2009.2</v>
      </c>
      <c r="BD804" t="s">
        <v>19</v>
      </c>
      <c r="BE804" t="s">
        <v>2338</v>
      </c>
      <c r="BF804" t="s">
        <v>299</v>
      </c>
      <c r="BG804" t="s">
        <v>1233</v>
      </c>
      <c r="BH804" t="s">
        <v>2319</v>
      </c>
      <c r="BI804" t="s">
        <v>2342</v>
      </c>
      <c r="BJ804" t="s">
        <v>2262</v>
      </c>
      <c r="BK804">
        <v>30</v>
      </c>
      <c r="BL804" t="s">
        <v>275</v>
      </c>
      <c r="BM804" t="s">
        <v>2319</v>
      </c>
      <c r="BN804" t="s">
        <v>2341</v>
      </c>
      <c r="BO804" t="s">
        <v>2262</v>
      </c>
      <c r="BP804">
        <v>19</v>
      </c>
      <c r="HL804" t="s">
        <v>2340</v>
      </c>
      <c r="HM804" t="s">
        <v>2316</v>
      </c>
      <c r="HP804" t="s">
        <v>29</v>
      </c>
      <c r="HQ804">
        <v>4</v>
      </c>
      <c r="HR804" t="s">
        <v>2339</v>
      </c>
      <c r="HT804" t="s">
        <v>2314</v>
      </c>
      <c r="HU804" s="58">
        <v>40192</v>
      </c>
      <c r="HV804" s="58"/>
      <c r="IP804" t="s">
        <v>2338</v>
      </c>
      <c r="IQ804" s="54" t="s">
        <v>2337</v>
      </c>
      <c r="IT804">
        <v>2009</v>
      </c>
      <c r="IU804" t="s">
        <v>2311</v>
      </c>
      <c r="IV804" s="4" t="s">
        <v>1879</v>
      </c>
      <c r="JM804" t="s">
        <v>14</v>
      </c>
      <c r="KF804" t="s">
        <v>2336</v>
      </c>
      <c r="KG804" t="s">
        <v>1548</v>
      </c>
      <c r="KH804" t="s">
        <v>2309</v>
      </c>
      <c r="KI804">
        <v>7</v>
      </c>
      <c r="KJ804" t="s">
        <v>2308</v>
      </c>
      <c r="KK804" t="s">
        <v>222</v>
      </c>
      <c r="KL804" s="8" t="s">
        <v>1922</v>
      </c>
      <c r="KO804" t="s">
        <v>219</v>
      </c>
      <c r="KP804" t="s">
        <v>2335</v>
      </c>
      <c r="KW804" t="s">
        <v>2334</v>
      </c>
      <c r="KX804" t="s">
        <v>2305</v>
      </c>
      <c r="LD804" t="s">
        <v>13</v>
      </c>
      <c r="LE804">
        <v>1400</v>
      </c>
      <c r="LM804" t="s">
        <v>2304</v>
      </c>
      <c r="LN804" t="s">
        <v>2303</v>
      </c>
      <c r="LO804">
        <v>30</v>
      </c>
      <c r="LU804" t="s">
        <v>2333</v>
      </c>
      <c r="LV804" t="s">
        <v>2301</v>
      </c>
      <c r="LZ804" t="s">
        <v>1925</v>
      </c>
      <c r="MA804">
        <v>2001</v>
      </c>
      <c r="MB804" t="s">
        <v>2300</v>
      </c>
      <c r="MH804" t="s">
        <v>2332</v>
      </c>
      <c r="MJ804" s="58">
        <v>40299</v>
      </c>
      <c r="MZ804" t="s">
        <v>2298</v>
      </c>
      <c r="NA804">
        <v>1435</v>
      </c>
      <c r="NB804" t="s">
        <v>2331</v>
      </c>
      <c r="NC804" s="2" t="s">
        <v>2296</v>
      </c>
      <c r="ND804" s="2" t="s">
        <v>2296</v>
      </c>
      <c r="NE804" s="2"/>
      <c r="NF804" s="2"/>
      <c r="NK804" t="s">
        <v>2370</v>
      </c>
      <c r="NL804" t="s">
        <v>2369</v>
      </c>
      <c r="NM804" s="147" t="s">
        <v>1931</v>
      </c>
      <c r="NN804" s="203" t="s">
        <v>1930</v>
      </c>
      <c r="NV804" t="s">
        <v>64</v>
      </c>
      <c r="NW804" t="s">
        <v>6</v>
      </c>
      <c r="NX804">
        <v>0.5</v>
      </c>
      <c r="NY804" t="s">
        <v>29</v>
      </c>
      <c r="OC804">
        <v>3</v>
      </c>
      <c r="OT804" t="s">
        <v>2368</v>
      </c>
      <c r="OU804" t="s">
        <v>6</v>
      </c>
      <c r="OW804">
        <v>2010</v>
      </c>
      <c r="OX804">
        <v>2011</v>
      </c>
      <c r="OY804" t="s">
        <v>2311</v>
      </c>
      <c r="OZ804" t="s">
        <v>2373</v>
      </c>
      <c r="PA804" t="s">
        <v>1169</v>
      </c>
      <c r="PB804" s="58">
        <v>46136</v>
      </c>
    </row>
    <row r="805" spans="1:418" ht="15.75" thickBot="1">
      <c r="A805" t="s">
        <v>248</v>
      </c>
      <c r="B805" t="s">
        <v>2327</v>
      </c>
      <c r="C805" t="s">
        <v>1885</v>
      </c>
      <c r="D805" t="s">
        <v>1936</v>
      </c>
      <c r="E805" s="90" t="s">
        <v>2326</v>
      </c>
      <c r="F805" s="89" t="s">
        <v>31</v>
      </c>
      <c r="G805" t="s">
        <v>2</v>
      </c>
      <c r="H805" t="s">
        <v>30</v>
      </c>
      <c r="I805">
        <v>23.983611109999998</v>
      </c>
      <c r="J805">
        <v>90.402222219999999</v>
      </c>
      <c r="K805" t="s">
        <v>29</v>
      </c>
      <c r="AV805" t="s">
        <v>2325</v>
      </c>
      <c r="AW805">
        <f t="shared" si="0"/>
        <v>1435</v>
      </c>
      <c r="AX805" t="s">
        <v>29</v>
      </c>
      <c r="AY805">
        <v>3</v>
      </c>
      <c r="AZ805" t="s">
        <v>2324</v>
      </c>
      <c r="BA805">
        <v>2009</v>
      </c>
      <c r="BB805">
        <v>2012</v>
      </c>
      <c r="BC805">
        <v>2009.2</v>
      </c>
      <c r="BD805" t="s">
        <v>274</v>
      </c>
      <c r="BE805" t="s">
        <v>2313</v>
      </c>
      <c r="BF805" t="s">
        <v>64</v>
      </c>
      <c r="BG805" t="s">
        <v>1233</v>
      </c>
      <c r="BH805" t="s">
        <v>1894</v>
      </c>
      <c r="BI805" t="s">
        <v>2323</v>
      </c>
      <c r="BJ805" t="s">
        <v>2262</v>
      </c>
      <c r="BK805">
        <v>1614</v>
      </c>
      <c r="BL805" t="s">
        <v>275</v>
      </c>
      <c r="BM805" t="s">
        <v>23</v>
      </c>
      <c r="BN805" t="s">
        <v>2322</v>
      </c>
      <c r="BO805" t="s">
        <v>2262</v>
      </c>
      <c r="BP805">
        <v>20</v>
      </c>
      <c r="BQ805" t="s">
        <v>275</v>
      </c>
      <c r="BR805" t="s">
        <v>1917</v>
      </c>
      <c r="BS805" t="s">
        <v>2321</v>
      </c>
      <c r="BT805" t="s">
        <v>2262</v>
      </c>
      <c r="BU805">
        <v>30</v>
      </c>
      <c r="BV805" t="s">
        <v>275</v>
      </c>
      <c r="BW805" t="s">
        <v>2319</v>
      </c>
      <c r="BX805" t="s">
        <v>2320</v>
      </c>
      <c r="BY805" t="s">
        <v>2262</v>
      </c>
      <c r="BZ805">
        <v>35</v>
      </c>
      <c r="CA805" t="s">
        <v>275</v>
      </c>
      <c r="CB805" t="s">
        <v>2319</v>
      </c>
      <c r="CC805" t="s">
        <v>2318</v>
      </c>
      <c r="CD805" t="s">
        <v>2262</v>
      </c>
      <c r="CE805">
        <v>19</v>
      </c>
      <c r="HL805" t="s">
        <v>2317</v>
      </c>
      <c r="HM805" t="s">
        <v>2316</v>
      </c>
      <c r="HP805" t="s">
        <v>29</v>
      </c>
      <c r="HQ805">
        <v>9</v>
      </c>
      <c r="HR805" t="s">
        <v>2315</v>
      </c>
      <c r="HT805" t="s">
        <v>2314</v>
      </c>
      <c r="HU805" s="58">
        <v>40153</v>
      </c>
      <c r="IP805" t="s">
        <v>2313</v>
      </c>
      <c r="IQ805" t="s">
        <v>2312</v>
      </c>
      <c r="IT805">
        <v>2009</v>
      </c>
      <c r="IU805" t="s">
        <v>2311</v>
      </c>
      <c r="IV805" s="4" t="s">
        <v>1879</v>
      </c>
      <c r="JM805" t="s">
        <v>14</v>
      </c>
      <c r="KF805" t="s">
        <v>2310</v>
      </c>
      <c r="KG805" t="s">
        <v>1548</v>
      </c>
      <c r="KH805" t="s">
        <v>2309</v>
      </c>
      <c r="KI805">
        <v>4</v>
      </c>
      <c r="KJ805" t="s">
        <v>2308</v>
      </c>
      <c r="KK805" t="s">
        <v>2152</v>
      </c>
      <c r="KO805" t="s">
        <v>219</v>
      </c>
      <c r="KP805" t="s">
        <v>2307</v>
      </c>
      <c r="KS805" t="s">
        <v>219</v>
      </c>
      <c r="KT805" s="8" t="s">
        <v>2356</v>
      </c>
      <c r="KW805" t="s">
        <v>2306</v>
      </c>
      <c r="KX805" t="s">
        <v>2305</v>
      </c>
      <c r="LD805" t="s">
        <v>13</v>
      </c>
      <c r="LE805">
        <v>1600</v>
      </c>
      <c r="LM805" t="s">
        <v>2304</v>
      </c>
      <c r="LN805" t="s">
        <v>2303</v>
      </c>
      <c r="LO805">
        <v>30</v>
      </c>
      <c r="LU805" t="s">
        <v>2302</v>
      </c>
      <c r="LV805" t="s">
        <v>2301</v>
      </c>
      <c r="LZ805" t="s">
        <v>1925</v>
      </c>
      <c r="MA805">
        <v>1186</v>
      </c>
      <c r="MB805" t="s">
        <v>2300</v>
      </c>
      <c r="MH805" t="s">
        <v>2299</v>
      </c>
      <c r="MJ805" s="58">
        <v>40224</v>
      </c>
      <c r="MZ805" t="s">
        <v>2298</v>
      </c>
      <c r="NA805">
        <v>1435</v>
      </c>
      <c r="NB805" t="s">
        <v>2297</v>
      </c>
      <c r="NC805" s="2"/>
      <c r="ND805" s="2" t="s">
        <v>2296</v>
      </c>
      <c r="NE805" s="2"/>
      <c r="NF805" s="2"/>
      <c r="NK805" t="s">
        <v>2370</v>
      </c>
      <c r="NL805" t="s">
        <v>2369</v>
      </c>
      <c r="NM805" s="147" t="s">
        <v>1931</v>
      </c>
      <c r="NN805" s="203" t="s">
        <v>1930</v>
      </c>
      <c r="NW805" t="s">
        <v>6</v>
      </c>
      <c r="NX805">
        <v>1</v>
      </c>
      <c r="NY805" t="s">
        <v>29</v>
      </c>
      <c r="OC805">
        <v>3</v>
      </c>
      <c r="OT805" t="s">
        <v>2368</v>
      </c>
      <c r="OU805" t="s">
        <v>6</v>
      </c>
      <c r="OW805">
        <v>2010</v>
      </c>
      <c r="OX805">
        <v>2011</v>
      </c>
      <c r="OY805" t="s">
        <v>2311</v>
      </c>
      <c r="OZ805" t="s">
        <v>2373</v>
      </c>
      <c r="PA805" t="s">
        <v>1169</v>
      </c>
      <c r="PB805" s="58">
        <v>46136</v>
      </c>
    </row>
    <row r="806" spans="1:418" ht="15.75" thickBot="1">
      <c r="A806" t="s">
        <v>248</v>
      </c>
      <c r="B806" t="s">
        <v>2327</v>
      </c>
      <c r="C806" t="s">
        <v>1885</v>
      </c>
      <c r="D806" t="s">
        <v>1936</v>
      </c>
      <c r="E806" s="90" t="s">
        <v>2326</v>
      </c>
      <c r="F806" s="89" t="s">
        <v>31</v>
      </c>
      <c r="G806" t="s">
        <v>2</v>
      </c>
      <c r="H806" t="s">
        <v>30</v>
      </c>
      <c r="I806">
        <v>23.983611109999998</v>
      </c>
      <c r="J806">
        <v>90.402222219999999</v>
      </c>
      <c r="K806" t="s">
        <v>29</v>
      </c>
      <c r="AV806" t="s">
        <v>2325</v>
      </c>
      <c r="AW806">
        <f t="shared" si="0"/>
        <v>1435</v>
      </c>
      <c r="AX806" t="s">
        <v>29</v>
      </c>
      <c r="AY806">
        <v>3</v>
      </c>
      <c r="AZ806" t="s">
        <v>2324</v>
      </c>
      <c r="BA806">
        <v>2009</v>
      </c>
      <c r="BB806">
        <v>2012</v>
      </c>
      <c r="BC806">
        <v>2009.2</v>
      </c>
      <c r="BD806" t="s">
        <v>19</v>
      </c>
      <c r="BE806" t="s">
        <v>2354</v>
      </c>
      <c r="BF806" t="s">
        <v>39</v>
      </c>
      <c r="BG806" t="s">
        <v>1233</v>
      </c>
      <c r="BH806" t="s">
        <v>2319</v>
      </c>
      <c r="BI806" t="s">
        <v>2342</v>
      </c>
      <c r="BJ806" t="s">
        <v>2262</v>
      </c>
      <c r="BK806">
        <v>45</v>
      </c>
      <c r="BL806" t="s">
        <v>275</v>
      </c>
      <c r="BM806" t="s">
        <v>2319</v>
      </c>
      <c r="BN806" t="s">
        <v>2355</v>
      </c>
      <c r="BO806" t="s">
        <v>2262</v>
      </c>
      <c r="BP806">
        <v>49</v>
      </c>
      <c r="BQ806" t="s">
        <v>275</v>
      </c>
      <c r="BR806" t="s">
        <v>2319</v>
      </c>
      <c r="BS806" t="s">
        <v>2341</v>
      </c>
      <c r="BT806" t="s">
        <v>2262</v>
      </c>
      <c r="BU806">
        <v>49</v>
      </c>
      <c r="HL806" t="s">
        <v>2350</v>
      </c>
      <c r="HM806" t="s">
        <v>297</v>
      </c>
      <c r="HN806" t="s">
        <v>2349</v>
      </c>
      <c r="HP806" t="s">
        <v>29</v>
      </c>
      <c r="HQ806">
        <v>12</v>
      </c>
      <c r="HR806" t="s">
        <v>2348</v>
      </c>
      <c r="HT806" t="s">
        <v>2314</v>
      </c>
      <c r="HU806" s="58">
        <v>40202</v>
      </c>
      <c r="HV806" s="58"/>
      <c r="IP806" t="s">
        <v>2354</v>
      </c>
      <c r="IQ806" s="54" t="s">
        <v>2337</v>
      </c>
      <c r="IT806">
        <v>2009</v>
      </c>
      <c r="IU806" t="s">
        <v>2311</v>
      </c>
      <c r="IV806" s="4" t="s">
        <v>1879</v>
      </c>
      <c r="JM806" t="s">
        <v>14</v>
      </c>
      <c r="KF806" t="s">
        <v>2353</v>
      </c>
      <c r="KG806" t="s">
        <v>1548</v>
      </c>
      <c r="KH806" t="s">
        <v>2309</v>
      </c>
      <c r="KI806">
        <v>3</v>
      </c>
      <c r="KJ806" t="s">
        <v>2308</v>
      </c>
      <c r="KK806" t="s">
        <v>2152</v>
      </c>
      <c r="KO806" t="s">
        <v>219</v>
      </c>
      <c r="KP806" t="s">
        <v>2335</v>
      </c>
      <c r="KW806" t="s">
        <v>2352</v>
      </c>
      <c r="KX806" t="s">
        <v>2305</v>
      </c>
      <c r="LD806" t="s">
        <v>13</v>
      </c>
      <c r="LE806">
        <v>1600</v>
      </c>
      <c r="LM806" t="s">
        <v>2304</v>
      </c>
      <c r="LN806" t="s">
        <v>2303</v>
      </c>
      <c r="LO806">
        <v>7.5</v>
      </c>
      <c r="LU806" t="s">
        <v>2351</v>
      </c>
      <c r="LV806" t="s">
        <v>2301</v>
      </c>
      <c r="LZ806" t="s">
        <v>1925</v>
      </c>
      <c r="MA806">
        <v>1450</v>
      </c>
      <c r="MB806" t="s">
        <v>2300</v>
      </c>
      <c r="MH806" t="s">
        <v>2332</v>
      </c>
      <c r="MJ806" s="58">
        <v>40292</v>
      </c>
      <c r="MZ806" t="s">
        <v>2298</v>
      </c>
      <c r="NA806">
        <v>1435</v>
      </c>
      <c r="NB806" t="s">
        <v>2331</v>
      </c>
      <c r="NC806" s="2" t="s">
        <v>2296</v>
      </c>
      <c r="ND806" s="2" t="s">
        <v>2296</v>
      </c>
      <c r="NE806" s="2"/>
      <c r="NF806" s="2"/>
      <c r="NK806" t="s">
        <v>2370</v>
      </c>
      <c r="NL806" t="s">
        <v>2369</v>
      </c>
      <c r="NM806" s="147" t="s">
        <v>1931</v>
      </c>
      <c r="NN806" s="203" t="s">
        <v>1930</v>
      </c>
      <c r="NV806" t="s">
        <v>2343</v>
      </c>
      <c r="NW806" t="s">
        <v>6</v>
      </c>
      <c r="NX806">
        <v>0.6</v>
      </c>
      <c r="NY806" t="s">
        <v>29</v>
      </c>
      <c r="OC806">
        <v>3</v>
      </c>
      <c r="OT806" t="s">
        <v>2368</v>
      </c>
      <c r="OU806" t="s">
        <v>6</v>
      </c>
      <c r="OW806">
        <v>2011</v>
      </c>
      <c r="OX806">
        <v>2012</v>
      </c>
      <c r="OY806" t="s">
        <v>2311</v>
      </c>
      <c r="OZ806" t="s">
        <v>2373</v>
      </c>
      <c r="PA806" t="s">
        <v>1169</v>
      </c>
      <c r="PB806" s="58">
        <v>46136</v>
      </c>
    </row>
    <row r="807" spans="1:418" ht="15.75" thickBot="1">
      <c r="A807" t="s">
        <v>248</v>
      </c>
      <c r="B807" t="s">
        <v>2327</v>
      </c>
      <c r="C807" t="s">
        <v>1885</v>
      </c>
      <c r="D807" t="s">
        <v>1936</v>
      </c>
      <c r="E807" s="90" t="s">
        <v>2326</v>
      </c>
      <c r="F807" s="89" t="s">
        <v>31</v>
      </c>
      <c r="G807" t="s">
        <v>2</v>
      </c>
      <c r="H807" t="s">
        <v>30</v>
      </c>
      <c r="I807">
        <v>23.983611109999998</v>
      </c>
      <c r="J807">
        <v>90.402222219999999</v>
      </c>
      <c r="K807" t="s">
        <v>29</v>
      </c>
      <c r="AV807" t="s">
        <v>2325</v>
      </c>
      <c r="AW807">
        <f t="shared" si="0"/>
        <v>1435</v>
      </c>
      <c r="AX807" t="s">
        <v>29</v>
      </c>
      <c r="AY807">
        <v>3</v>
      </c>
      <c r="AZ807" t="s">
        <v>2324</v>
      </c>
      <c r="BA807">
        <v>2009</v>
      </c>
      <c r="BB807">
        <v>2012</v>
      </c>
      <c r="BC807">
        <v>2009.2</v>
      </c>
      <c r="BD807" t="s">
        <v>19</v>
      </c>
      <c r="BE807" t="s">
        <v>2347</v>
      </c>
      <c r="BF807" t="s">
        <v>24</v>
      </c>
      <c r="BG807" t="s">
        <v>1233</v>
      </c>
      <c r="BH807" t="s">
        <v>2319</v>
      </c>
      <c r="BI807" t="s">
        <v>2342</v>
      </c>
      <c r="BJ807" t="s">
        <v>2262</v>
      </c>
      <c r="BK807">
        <v>30</v>
      </c>
      <c r="BL807" t="s">
        <v>275</v>
      </c>
      <c r="BM807" t="s">
        <v>2319</v>
      </c>
      <c r="BN807" t="s">
        <v>2341</v>
      </c>
      <c r="BO807" t="s">
        <v>2262</v>
      </c>
      <c r="BP807">
        <v>35</v>
      </c>
      <c r="HL807" t="s">
        <v>2350</v>
      </c>
      <c r="HM807" t="s">
        <v>297</v>
      </c>
      <c r="HN807" t="s">
        <v>2349</v>
      </c>
      <c r="HP807" t="s">
        <v>29</v>
      </c>
      <c r="HQ807">
        <v>12</v>
      </c>
      <c r="HR807" t="s">
        <v>2348</v>
      </c>
      <c r="HT807" t="s">
        <v>2314</v>
      </c>
      <c r="HU807" s="58">
        <v>40192</v>
      </c>
      <c r="HV807" s="58"/>
      <c r="IP807" t="s">
        <v>2347</v>
      </c>
      <c r="IQ807" s="54" t="s">
        <v>2337</v>
      </c>
      <c r="IT807">
        <v>2009</v>
      </c>
      <c r="IU807" t="s">
        <v>2311</v>
      </c>
      <c r="IV807" s="4" t="s">
        <v>1879</v>
      </c>
      <c r="JM807" t="s">
        <v>14</v>
      </c>
      <c r="KF807" t="s">
        <v>2346</v>
      </c>
      <c r="KG807" t="s">
        <v>1548</v>
      </c>
      <c r="KH807" t="s">
        <v>2309</v>
      </c>
      <c r="KI807">
        <v>6</v>
      </c>
      <c r="KJ807" t="s">
        <v>2308</v>
      </c>
      <c r="KK807" t="s">
        <v>222</v>
      </c>
      <c r="KL807" s="8" t="s">
        <v>1922</v>
      </c>
      <c r="KO807" t="s">
        <v>219</v>
      </c>
      <c r="KP807" t="s">
        <v>2335</v>
      </c>
      <c r="KW807" t="s">
        <v>2345</v>
      </c>
      <c r="KX807" t="s">
        <v>2305</v>
      </c>
      <c r="LD807" t="s">
        <v>13</v>
      </c>
      <c r="LE807">
        <v>2000</v>
      </c>
      <c r="LM807" t="s">
        <v>2304</v>
      </c>
      <c r="LN807" t="s">
        <v>2303</v>
      </c>
      <c r="LO807">
        <v>30</v>
      </c>
      <c r="LU807" t="s">
        <v>2344</v>
      </c>
      <c r="LV807" t="s">
        <v>2301</v>
      </c>
      <c r="LZ807" t="s">
        <v>1925</v>
      </c>
      <c r="MA807">
        <v>1481</v>
      </c>
      <c r="MB807" t="s">
        <v>2300</v>
      </c>
      <c r="MH807" t="s">
        <v>2332</v>
      </c>
      <c r="MJ807" s="58">
        <v>40298</v>
      </c>
      <c r="MZ807" t="s">
        <v>2298</v>
      </c>
      <c r="NA807">
        <v>1435</v>
      </c>
      <c r="NB807" t="s">
        <v>2331</v>
      </c>
      <c r="NC807" s="2" t="s">
        <v>2296</v>
      </c>
      <c r="ND807" s="2" t="s">
        <v>2296</v>
      </c>
      <c r="NE807" s="2"/>
      <c r="NF807" s="2"/>
      <c r="NK807" t="s">
        <v>2370</v>
      </c>
      <c r="NL807" t="s">
        <v>2369</v>
      </c>
      <c r="NM807" s="147" t="s">
        <v>1931</v>
      </c>
      <c r="NN807" s="203" t="s">
        <v>1930</v>
      </c>
      <c r="NV807" t="s">
        <v>2343</v>
      </c>
      <c r="NW807" t="s">
        <v>6</v>
      </c>
      <c r="NX807">
        <v>0.7</v>
      </c>
      <c r="NY807" t="s">
        <v>29</v>
      </c>
      <c r="OC807">
        <v>3</v>
      </c>
      <c r="OT807" t="s">
        <v>2368</v>
      </c>
      <c r="OU807" t="s">
        <v>6</v>
      </c>
      <c r="OW807">
        <v>2011</v>
      </c>
      <c r="OX807">
        <v>2012</v>
      </c>
      <c r="OY807" t="s">
        <v>2311</v>
      </c>
      <c r="OZ807" t="s">
        <v>2373</v>
      </c>
      <c r="PA807" t="s">
        <v>1169</v>
      </c>
      <c r="PB807" s="58">
        <v>46136</v>
      </c>
    </row>
    <row r="808" spans="1:418" ht="15.75" thickBot="1">
      <c r="A808" t="s">
        <v>248</v>
      </c>
      <c r="B808" t="s">
        <v>2327</v>
      </c>
      <c r="C808" t="s">
        <v>1885</v>
      </c>
      <c r="D808" t="s">
        <v>1936</v>
      </c>
      <c r="E808" s="90" t="s">
        <v>2326</v>
      </c>
      <c r="F808" s="89" t="s">
        <v>31</v>
      </c>
      <c r="G808" t="s">
        <v>2</v>
      </c>
      <c r="H808" t="s">
        <v>30</v>
      </c>
      <c r="I808">
        <v>23.983611109999998</v>
      </c>
      <c r="J808">
        <v>90.402222219999999</v>
      </c>
      <c r="K808" t="s">
        <v>29</v>
      </c>
      <c r="AV808" t="s">
        <v>2325</v>
      </c>
      <c r="AW808">
        <f t="shared" si="0"/>
        <v>1435</v>
      </c>
      <c r="AX808" t="s">
        <v>29</v>
      </c>
      <c r="AY808">
        <v>3</v>
      </c>
      <c r="AZ808" t="s">
        <v>2324</v>
      </c>
      <c r="BA808">
        <v>2009</v>
      </c>
      <c r="BB808">
        <v>2012</v>
      </c>
      <c r="BC808">
        <v>2009.2</v>
      </c>
      <c r="BD808" t="s">
        <v>19</v>
      </c>
      <c r="BE808" t="s">
        <v>2338</v>
      </c>
      <c r="BF808" t="s">
        <v>299</v>
      </c>
      <c r="BG808" t="s">
        <v>1233</v>
      </c>
      <c r="BH808" t="s">
        <v>2319</v>
      </c>
      <c r="BI808" t="s">
        <v>2342</v>
      </c>
      <c r="BJ808" t="s">
        <v>2262</v>
      </c>
      <c r="BK808">
        <v>30</v>
      </c>
      <c r="BL808" t="s">
        <v>275</v>
      </c>
      <c r="BM808" t="s">
        <v>2319</v>
      </c>
      <c r="BN808" t="s">
        <v>2341</v>
      </c>
      <c r="BO808" t="s">
        <v>2262</v>
      </c>
      <c r="BP808">
        <v>19</v>
      </c>
      <c r="HL808" t="s">
        <v>2340</v>
      </c>
      <c r="HM808" t="s">
        <v>2316</v>
      </c>
      <c r="HP808" t="s">
        <v>29</v>
      </c>
      <c r="HQ808">
        <v>4</v>
      </c>
      <c r="HR808" t="s">
        <v>2339</v>
      </c>
      <c r="HT808" t="s">
        <v>2314</v>
      </c>
      <c r="HU808" s="58">
        <v>40192</v>
      </c>
      <c r="HV808" s="58"/>
      <c r="IP808" t="s">
        <v>2338</v>
      </c>
      <c r="IQ808" s="54" t="s">
        <v>2337</v>
      </c>
      <c r="IT808">
        <v>2009</v>
      </c>
      <c r="IU808" t="s">
        <v>2311</v>
      </c>
      <c r="IV808" s="4" t="s">
        <v>1879</v>
      </c>
      <c r="JM808" t="s">
        <v>14</v>
      </c>
      <c r="KF808" t="s">
        <v>2336</v>
      </c>
      <c r="KG808" t="s">
        <v>1548</v>
      </c>
      <c r="KH808" t="s">
        <v>2309</v>
      </c>
      <c r="KI808">
        <v>7</v>
      </c>
      <c r="KJ808" t="s">
        <v>2308</v>
      </c>
      <c r="KK808" t="s">
        <v>222</v>
      </c>
      <c r="KL808" s="8" t="s">
        <v>1922</v>
      </c>
      <c r="KO808" t="s">
        <v>219</v>
      </c>
      <c r="KP808" t="s">
        <v>2335</v>
      </c>
      <c r="KW808" t="s">
        <v>2334</v>
      </c>
      <c r="KX808" t="s">
        <v>2305</v>
      </c>
      <c r="LD808" t="s">
        <v>13</v>
      </c>
      <c r="LE808">
        <v>1900</v>
      </c>
      <c r="LM808" t="s">
        <v>2304</v>
      </c>
      <c r="LN808" t="s">
        <v>2303</v>
      </c>
      <c r="LO808">
        <v>30</v>
      </c>
      <c r="LU808" t="s">
        <v>2333</v>
      </c>
      <c r="LV808" t="s">
        <v>2301</v>
      </c>
      <c r="LZ808" t="s">
        <v>1925</v>
      </c>
      <c r="MA808">
        <v>1530</v>
      </c>
      <c r="MB808" t="s">
        <v>2300</v>
      </c>
      <c r="MH808" t="s">
        <v>2332</v>
      </c>
      <c r="MJ808" s="58">
        <v>40299</v>
      </c>
      <c r="MZ808" t="s">
        <v>2298</v>
      </c>
      <c r="NA808">
        <v>1435</v>
      </c>
      <c r="NB808" t="s">
        <v>2331</v>
      </c>
      <c r="NC808" s="2" t="s">
        <v>2296</v>
      </c>
      <c r="ND808" s="2" t="s">
        <v>2296</v>
      </c>
      <c r="NE808" s="2"/>
      <c r="NF808" s="2"/>
      <c r="NK808" t="s">
        <v>2370</v>
      </c>
      <c r="NL808" t="s">
        <v>2369</v>
      </c>
      <c r="NM808" s="147" t="s">
        <v>1931</v>
      </c>
      <c r="NN808" s="203" t="s">
        <v>1930</v>
      </c>
      <c r="NV808" t="s">
        <v>64</v>
      </c>
      <c r="NW808" t="s">
        <v>6</v>
      </c>
      <c r="NX808">
        <v>0.7</v>
      </c>
      <c r="NY808" t="s">
        <v>29</v>
      </c>
      <c r="OC808">
        <v>3</v>
      </c>
      <c r="OT808" t="s">
        <v>2368</v>
      </c>
      <c r="OU808" t="s">
        <v>6</v>
      </c>
      <c r="OW808">
        <v>2011</v>
      </c>
      <c r="OX808">
        <v>2012</v>
      </c>
      <c r="OY808" t="s">
        <v>2311</v>
      </c>
      <c r="OZ808" t="s">
        <v>2373</v>
      </c>
      <c r="PA808" t="s">
        <v>1169</v>
      </c>
      <c r="PB808" s="58">
        <v>46136</v>
      </c>
    </row>
    <row r="809" spans="1:418" ht="15.75" thickBot="1">
      <c r="A809" t="s">
        <v>248</v>
      </c>
      <c r="B809" t="s">
        <v>2327</v>
      </c>
      <c r="C809" t="s">
        <v>1885</v>
      </c>
      <c r="D809" t="s">
        <v>1936</v>
      </c>
      <c r="E809" s="90" t="s">
        <v>2326</v>
      </c>
      <c r="F809" s="89" t="s">
        <v>31</v>
      </c>
      <c r="G809" t="s">
        <v>2</v>
      </c>
      <c r="H809" t="s">
        <v>30</v>
      </c>
      <c r="I809">
        <v>23.983611109999998</v>
      </c>
      <c r="J809">
        <v>90.402222219999999</v>
      </c>
      <c r="K809" t="s">
        <v>29</v>
      </c>
      <c r="AV809" t="s">
        <v>2325</v>
      </c>
      <c r="AW809">
        <f t="shared" si="0"/>
        <v>1435</v>
      </c>
      <c r="AX809" t="s">
        <v>29</v>
      </c>
      <c r="AY809">
        <v>3</v>
      </c>
      <c r="AZ809" t="s">
        <v>2324</v>
      </c>
      <c r="BA809">
        <v>2009</v>
      </c>
      <c r="BB809">
        <v>2012</v>
      </c>
      <c r="BC809">
        <v>2009.2</v>
      </c>
      <c r="BD809" t="s">
        <v>274</v>
      </c>
      <c r="BE809" t="s">
        <v>2313</v>
      </c>
      <c r="BF809" t="s">
        <v>64</v>
      </c>
      <c r="BG809" t="s">
        <v>1233</v>
      </c>
      <c r="BH809" t="s">
        <v>1894</v>
      </c>
      <c r="BI809" t="s">
        <v>2323</v>
      </c>
      <c r="BJ809" t="s">
        <v>2262</v>
      </c>
      <c r="BK809">
        <v>1614</v>
      </c>
      <c r="BL809" t="s">
        <v>275</v>
      </c>
      <c r="BM809" t="s">
        <v>23</v>
      </c>
      <c r="BN809" t="s">
        <v>2322</v>
      </c>
      <c r="BO809" t="s">
        <v>2262</v>
      </c>
      <c r="BP809">
        <v>20</v>
      </c>
      <c r="BQ809" t="s">
        <v>275</v>
      </c>
      <c r="BR809" t="s">
        <v>1917</v>
      </c>
      <c r="BS809" t="s">
        <v>2321</v>
      </c>
      <c r="BT809" t="s">
        <v>2262</v>
      </c>
      <c r="BU809">
        <v>30</v>
      </c>
      <c r="BV809" t="s">
        <v>275</v>
      </c>
      <c r="BW809" t="s">
        <v>2319</v>
      </c>
      <c r="BX809" t="s">
        <v>2320</v>
      </c>
      <c r="BY809" t="s">
        <v>2262</v>
      </c>
      <c r="BZ809">
        <v>35</v>
      </c>
      <c r="CA809" t="s">
        <v>275</v>
      </c>
      <c r="CB809" t="s">
        <v>2319</v>
      </c>
      <c r="CC809" t="s">
        <v>2318</v>
      </c>
      <c r="CD809" t="s">
        <v>2262</v>
      </c>
      <c r="CE809">
        <v>19</v>
      </c>
      <c r="HL809" t="s">
        <v>2317</v>
      </c>
      <c r="HM809" t="s">
        <v>2316</v>
      </c>
      <c r="HP809" t="s">
        <v>29</v>
      </c>
      <c r="HQ809">
        <v>9</v>
      </c>
      <c r="HR809" t="s">
        <v>2315</v>
      </c>
      <c r="HT809" t="s">
        <v>2314</v>
      </c>
      <c r="HU809" s="58">
        <v>40153</v>
      </c>
      <c r="IP809" t="s">
        <v>2313</v>
      </c>
      <c r="IQ809" t="s">
        <v>2312</v>
      </c>
      <c r="IT809">
        <v>2009</v>
      </c>
      <c r="IU809" t="s">
        <v>2311</v>
      </c>
      <c r="IV809" s="4" t="s">
        <v>1879</v>
      </c>
      <c r="JM809" t="s">
        <v>14</v>
      </c>
      <c r="KF809" t="s">
        <v>2310</v>
      </c>
      <c r="KG809" t="s">
        <v>1548</v>
      </c>
      <c r="KH809" t="s">
        <v>2309</v>
      </c>
      <c r="KI809">
        <v>4</v>
      </c>
      <c r="KJ809" t="s">
        <v>2308</v>
      </c>
      <c r="KK809" t="s">
        <v>2152</v>
      </c>
      <c r="KO809" t="s">
        <v>219</v>
      </c>
      <c r="KP809" t="s">
        <v>2307</v>
      </c>
      <c r="KW809" t="s">
        <v>2306</v>
      </c>
      <c r="KX809" t="s">
        <v>2305</v>
      </c>
      <c r="LD809" t="s">
        <v>13</v>
      </c>
      <c r="LE809">
        <v>1600</v>
      </c>
      <c r="LM809" t="s">
        <v>2304</v>
      </c>
      <c r="LN809" t="s">
        <v>2303</v>
      </c>
      <c r="LO809">
        <v>30</v>
      </c>
      <c r="LU809" t="s">
        <v>2302</v>
      </c>
      <c r="LV809" t="s">
        <v>2301</v>
      </c>
      <c r="LZ809" t="s">
        <v>1925</v>
      </c>
      <c r="MA809">
        <v>805</v>
      </c>
      <c r="MB809" t="s">
        <v>2300</v>
      </c>
      <c r="MH809" t="s">
        <v>2299</v>
      </c>
      <c r="MJ809" s="58">
        <v>40224</v>
      </c>
      <c r="MZ809" t="s">
        <v>2298</v>
      </c>
      <c r="NA809">
        <v>1435</v>
      </c>
      <c r="NB809" t="s">
        <v>2297</v>
      </c>
      <c r="NC809" s="2"/>
      <c r="ND809" s="2" t="s">
        <v>2296</v>
      </c>
      <c r="NE809" t="s">
        <v>1894</v>
      </c>
      <c r="NF809" s="2" t="s">
        <v>1917</v>
      </c>
      <c r="NK809" t="s">
        <v>2370</v>
      </c>
      <c r="NL809" t="s">
        <v>2369</v>
      </c>
      <c r="NM809" s="147" t="s">
        <v>1931</v>
      </c>
      <c r="NN809" s="203" t="s">
        <v>1930</v>
      </c>
      <c r="NW809" t="s">
        <v>6</v>
      </c>
      <c r="NX809">
        <v>1.9</v>
      </c>
      <c r="NY809" t="s">
        <v>29</v>
      </c>
      <c r="OC809">
        <v>3</v>
      </c>
      <c r="OT809" t="s">
        <v>2368</v>
      </c>
      <c r="OU809" t="s">
        <v>6</v>
      </c>
      <c r="OW809">
        <v>2011</v>
      </c>
      <c r="OX809">
        <v>2012</v>
      </c>
      <c r="OY809" t="s">
        <v>2311</v>
      </c>
      <c r="OZ809" t="s">
        <v>2373</v>
      </c>
      <c r="PA809" t="s">
        <v>1169</v>
      </c>
      <c r="PB809" s="58">
        <v>46136</v>
      </c>
    </row>
    <row r="810" spans="1:418" ht="15.75" thickBot="1">
      <c r="A810" t="s">
        <v>248</v>
      </c>
      <c r="B810" t="s">
        <v>2327</v>
      </c>
      <c r="C810" t="s">
        <v>1885</v>
      </c>
      <c r="D810" t="s">
        <v>1936</v>
      </c>
      <c r="E810" s="90" t="s">
        <v>2326</v>
      </c>
      <c r="F810" s="89" t="s">
        <v>31</v>
      </c>
      <c r="G810" t="s">
        <v>2</v>
      </c>
      <c r="H810" t="s">
        <v>30</v>
      </c>
      <c r="I810">
        <v>23.983611109999998</v>
      </c>
      <c r="J810">
        <v>90.402222219999999</v>
      </c>
      <c r="K810" t="s">
        <v>29</v>
      </c>
      <c r="AV810" t="s">
        <v>2325</v>
      </c>
      <c r="AW810">
        <f t="shared" si="0"/>
        <v>1435</v>
      </c>
      <c r="AX810" t="s">
        <v>29</v>
      </c>
      <c r="AY810">
        <v>3</v>
      </c>
      <c r="AZ810" t="s">
        <v>2324</v>
      </c>
      <c r="BA810">
        <v>2009</v>
      </c>
      <c r="BB810">
        <v>2012</v>
      </c>
      <c r="BC810">
        <v>2009.2</v>
      </c>
      <c r="BD810" t="s">
        <v>19</v>
      </c>
      <c r="BE810" t="s">
        <v>2354</v>
      </c>
      <c r="BF810" t="s">
        <v>39</v>
      </c>
      <c r="BG810" t="s">
        <v>1233</v>
      </c>
      <c r="BH810" t="s">
        <v>2319</v>
      </c>
      <c r="BI810" t="s">
        <v>2342</v>
      </c>
      <c r="BJ810" t="s">
        <v>2262</v>
      </c>
      <c r="BK810">
        <v>45</v>
      </c>
      <c r="BL810" t="s">
        <v>275</v>
      </c>
      <c r="BM810" t="s">
        <v>2319</v>
      </c>
      <c r="BN810" t="s">
        <v>2355</v>
      </c>
      <c r="BO810" t="s">
        <v>2262</v>
      </c>
      <c r="BP810">
        <v>49</v>
      </c>
      <c r="BQ810" t="s">
        <v>275</v>
      </c>
      <c r="BR810" t="s">
        <v>2319</v>
      </c>
      <c r="BS810" t="s">
        <v>2341</v>
      </c>
      <c r="BT810" t="s">
        <v>2262</v>
      </c>
      <c r="BU810">
        <v>49</v>
      </c>
      <c r="HL810" t="s">
        <v>2350</v>
      </c>
      <c r="HM810" t="s">
        <v>297</v>
      </c>
      <c r="HN810" t="s">
        <v>2349</v>
      </c>
      <c r="HP810" t="s">
        <v>29</v>
      </c>
      <c r="HQ810">
        <v>12</v>
      </c>
      <c r="HR810" t="s">
        <v>2348</v>
      </c>
      <c r="HT810" t="s">
        <v>2314</v>
      </c>
      <c r="HU810" s="58">
        <v>40202</v>
      </c>
      <c r="HV810" s="58"/>
      <c r="IP810" t="s">
        <v>2354</v>
      </c>
      <c r="IQ810" s="54" t="s">
        <v>2337</v>
      </c>
      <c r="IT810">
        <v>2009</v>
      </c>
      <c r="IU810" t="s">
        <v>2311</v>
      </c>
      <c r="IV810" s="4" t="s">
        <v>1879</v>
      </c>
      <c r="JM810" t="s">
        <v>14</v>
      </c>
      <c r="KF810" t="s">
        <v>2353</v>
      </c>
      <c r="KG810" t="s">
        <v>1548</v>
      </c>
      <c r="KH810" t="s">
        <v>2309</v>
      </c>
      <c r="KI810">
        <v>3</v>
      </c>
      <c r="KJ810" t="s">
        <v>2308</v>
      </c>
      <c r="KK810" t="s">
        <v>2152</v>
      </c>
      <c r="KO810" t="s">
        <v>219</v>
      </c>
      <c r="KP810" s="8" t="s">
        <v>2357</v>
      </c>
      <c r="KW810" t="s">
        <v>2352</v>
      </c>
      <c r="KX810" t="s">
        <v>2305</v>
      </c>
      <c r="LD810" t="s">
        <v>13</v>
      </c>
      <c r="LE810">
        <v>1500</v>
      </c>
      <c r="LM810" t="s">
        <v>2304</v>
      </c>
      <c r="LN810" t="s">
        <v>2303</v>
      </c>
      <c r="LO810">
        <v>7.5</v>
      </c>
      <c r="LU810" t="s">
        <v>2351</v>
      </c>
      <c r="LV810" t="s">
        <v>2301</v>
      </c>
      <c r="LZ810" t="s">
        <v>1925</v>
      </c>
      <c r="MA810">
        <v>2084</v>
      </c>
      <c r="MB810" t="s">
        <v>2300</v>
      </c>
      <c r="MH810" t="s">
        <v>2332</v>
      </c>
      <c r="MJ810" s="58">
        <v>40292</v>
      </c>
      <c r="MZ810" t="s">
        <v>2298</v>
      </c>
      <c r="NA810">
        <v>1435</v>
      </c>
      <c r="NJ810" t="s">
        <v>2295</v>
      </c>
      <c r="NK810" t="s">
        <v>2367</v>
      </c>
      <c r="NL810" t="s">
        <v>2366</v>
      </c>
      <c r="NM810" t="s">
        <v>1416</v>
      </c>
      <c r="NN810" t="s">
        <v>265</v>
      </c>
      <c r="NV810" t="s">
        <v>2343</v>
      </c>
      <c r="NW810" t="s">
        <v>6</v>
      </c>
      <c r="NX810">
        <v>1916</v>
      </c>
      <c r="NY810" t="s">
        <v>29</v>
      </c>
      <c r="OC810">
        <v>3</v>
      </c>
      <c r="OT810" t="s">
        <v>2365</v>
      </c>
      <c r="OU810" t="s">
        <v>6</v>
      </c>
      <c r="OW810">
        <v>2009</v>
      </c>
      <c r="OX810">
        <v>2010</v>
      </c>
      <c r="OY810" t="s">
        <v>2311</v>
      </c>
      <c r="OZ810" t="s">
        <v>2373</v>
      </c>
      <c r="PA810" t="s">
        <v>1169</v>
      </c>
      <c r="PB810" s="58">
        <v>46136</v>
      </c>
    </row>
    <row r="811" spans="1:418" ht="15.75" thickBot="1">
      <c r="A811" t="s">
        <v>248</v>
      </c>
      <c r="B811" t="s">
        <v>2327</v>
      </c>
      <c r="C811" t="s">
        <v>1885</v>
      </c>
      <c r="D811" t="s">
        <v>1936</v>
      </c>
      <c r="E811" s="90" t="s">
        <v>2326</v>
      </c>
      <c r="F811" s="89" t="s">
        <v>31</v>
      </c>
      <c r="G811" t="s">
        <v>2</v>
      </c>
      <c r="H811" t="s">
        <v>30</v>
      </c>
      <c r="I811">
        <v>23.983611109999998</v>
      </c>
      <c r="J811">
        <v>90.402222219999999</v>
      </c>
      <c r="K811" t="s">
        <v>29</v>
      </c>
      <c r="AV811" t="s">
        <v>2325</v>
      </c>
      <c r="AW811">
        <f t="shared" si="0"/>
        <v>1435</v>
      </c>
      <c r="AX811" t="s">
        <v>29</v>
      </c>
      <c r="AY811">
        <v>3</v>
      </c>
      <c r="AZ811" t="s">
        <v>2324</v>
      </c>
      <c r="BA811">
        <v>2009</v>
      </c>
      <c r="BB811">
        <v>2012</v>
      </c>
      <c r="BC811">
        <v>2009.2</v>
      </c>
      <c r="BD811" t="s">
        <v>19</v>
      </c>
      <c r="BE811" t="s">
        <v>2347</v>
      </c>
      <c r="BF811" t="s">
        <v>24</v>
      </c>
      <c r="BG811" t="s">
        <v>1233</v>
      </c>
      <c r="BH811" t="s">
        <v>2319</v>
      </c>
      <c r="BI811" t="s">
        <v>2342</v>
      </c>
      <c r="BJ811" t="s">
        <v>2262</v>
      </c>
      <c r="BK811">
        <v>30</v>
      </c>
      <c r="BL811" t="s">
        <v>275</v>
      </c>
      <c r="BM811" t="s">
        <v>2319</v>
      </c>
      <c r="BN811" t="s">
        <v>2341</v>
      </c>
      <c r="BO811" t="s">
        <v>2262</v>
      </c>
      <c r="BP811">
        <v>35</v>
      </c>
      <c r="HL811" t="s">
        <v>2350</v>
      </c>
      <c r="HM811" t="s">
        <v>297</v>
      </c>
      <c r="HN811" t="s">
        <v>2349</v>
      </c>
      <c r="HP811" t="s">
        <v>29</v>
      </c>
      <c r="HQ811">
        <v>12</v>
      </c>
      <c r="HR811" t="s">
        <v>2348</v>
      </c>
      <c r="HT811" t="s">
        <v>2314</v>
      </c>
      <c r="HU811" s="58">
        <v>40192</v>
      </c>
      <c r="HV811" s="58"/>
      <c r="IP811" t="s">
        <v>2347</v>
      </c>
      <c r="IQ811" s="54" t="s">
        <v>2337</v>
      </c>
      <c r="IT811">
        <v>2009</v>
      </c>
      <c r="IU811" t="s">
        <v>2311</v>
      </c>
      <c r="IV811" s="4" t="s">
        <v>1879</v>
      </c>
      <c r="JM811" t="s">
        <v>14</v>
      </c>
      <c r="KF811" t="s">
        <v>2346</v>
      </c>
      <c r="KG811" t="s">
        <v>1548</v>
      </c>
      <c r="KH811" t="s">
        <v>2309</v>
      </c>
      <c r="KI811">
        <v>6</v>
      </c>
      <c r="KJ811" t="s">
        <v>2308</v>
      </c>
      <c r="KK811" t="s">
        <v>222</v>
      </c>
      <c r="KL811" s="8" t="s">
        <v>1922</v>
      </c>
      <c r="KO811" t="s">
        <v>219</v>
      </c>
      <c r="KP811" t="s">
        <v>2335</v>
      </c>
      <c r="KW811" t="s">
        <v>2345</v>
      </c>
      <c r="KX811" t="s">
        <v>2305</v>
      </c>
      <c r="LD811" t="s">
        <v>13</v>
      </c>
      <c r="LE811">
        <v>2200</v>
      </c>
      <c r="LM811" t="s">
        <v>2304</v>
      </c>
      <c r="LN811" t="s">
        <v>2303</v>
      </c>
      <c r="LO811">
        <v>30</v>
      </c>
      <c r="LU811" t="s">
        <v>2344</v>
      </c>
      <c r="LV811" t="s">
        <v>2301</v>
      </c>
      <c r="LZ811" t="s">
        <v>1925</v>
      </c>
      <c r="MA811">
        <v>1789</v>
      </c>
      <c r="MB811" t="s">
        <v>2300</v>
      </c>
      <c r="MH811" t="s">
        <v>2332</v>
      </c>
      <c r="MJ811" s="58">
        <v>40298</v>
      </c>
      <c r="MZ811" t="s">
        <v>2298</v>
      </c>
      <c r="NA811">
        <v>1435</v>
      </c>
      <c r="NJ811" t="s">
        <v>2295</v>
      </c>
      <c r="NK811" t="s">
        <v>2367</v>
      </c>
      <c r="NL811" t="s">
        <v>2366</v>
      </c>
      <c r="NM811" t="s">
        <v>1416</v>
      </c>
      <c r="NN811" t="s">
        <v>265</v>
      </c>
      <c r="NV811" t="s">
        <v>2343</v>
      </c>
      <c r="NW811" t="s">
        <v>6</v>
      </c>
      <c r="NX811">
        <v>1964</v>
      </c>
      <c r="NY811" t="s">
        <v>29</v>
      </c>
      <c r="OC811">
        <v>3</v>
      </c>
      <c r="OT811" t="s">
        <v>2365</v>
      </c>
      <c r="OU811" t="s">
        <v>6</v>
      </c>
      <c r="OW811">
        <v>2009</v>
      </c>
      <c r="OX811">
        <v>2010</v>
      </c>
      <c r="OY811" t="s">
        <v>2311</v>
      </c>
      <c r="OZ811" t="s">
        <v>2373</v>
      </c>
      <c r="PA811" t="s">
        <v>1169</v>
      </c>
      <c r="PB811" s="58">
        <v>46136</v>
      </c>
    </row>
    <row r="812" spans="1:418" ht="15.75" thickBot="1">
      <c r="A812" t="s">
        <v>248</v>
      </c>
      <c r="B812" t="s">
        <v>2327</v>
      </c>
      <c r="C812" t="s">
        <v>1885</v>
      </c>
      <c r="D812" t="s">
        <v>1936</v>
      </c>
      <c r="E812" s="90" t="s">
        <v>2326</v>
      </c>
      <c r="F812" s="89" t="s">
        <v>31</v>
      </c>
      <c r="G812" t="s">
        <v>2</v>
      </c>
      <c r="H812" t="s">
        <v>30</v>
      </c>
      <c r="I812">
        <v>23.983611109999998</v>
      </c>
      <c r="J812">
        <v>90.402222219999999</v>
      </c>
      <c r="K812" t="s">
        <v>29</v>
      </c>
      <c r="AV812" t="s">
        <v>2325</v>
      </c>
      <c r="AW812">
        <f t="shared" si="0"/>
        <v>1435</v>
      </c>
      <c r="AX812" t="s">
        <v>29</v>
      </c>
      <c r="AY812">
        <v>3</v>
      </c>
      <c r="AZ812" t="s">
        <v>2324</v>
      </c>
      <c r="BA812">
        <v>2009</v>
      </c>
      <c r="BB812">
        <v>2012</v>
      </c>
      <c r="BC812">
        <v>2009.2</v>
      </c>
      <c r="BD812" t="s">
        <v>19</v>
      </c>
      <c r="BE812" t="s">
        <v>2338</v>
      </c>
      <c r="BF812" t="s">
        <v>299</v>
      </c>
      <c r="BG812" t="s">
        <v>1233</v>
      </c>
      <c r="BH812" t="s">
        <v>2319</v>
      </c>
      <c r="BI812" t="s">
        <v>2342</v>
      </c>
      <c r="BJ812" t="s">
        <v>2262</v>
      </c>
      <c r="BK812">
        <v>30</v>
      </c>
      <c r="BL812" t="s">
        <v>275</v>
      </c>
      <c r="BM812" t="s">
        <v>2319</v>
      </c>
      <c r="BN812" t="s">
        <v>2341</v>
      </c>
      <c r="BO812" t="s">
        <v>2262</v>
      </c>
      <c r="BP812">
        <v>19</v>
      </c>
      <c r="HL812" t="s">
        <v>2340</v>
      </c>
      <c r="HM812" t="s">
        <v>2316</v>
      </c>
      <c r="HP812" t="s">
        <v>29</v>
      </c>
      <c r="HQ812">
        <v>4</v>
      </c>
      <c r="HR812" t="s">
        <v>2339</v>
      </c>
      <c r="HT812" t="s">
        <v>2314</v>
      </c>
      <c r="HU812" s="58">
        <v>40192</v>
      </c>
      <c r="HV812" s="58"/>
      <c r="IP812" t="s">
        <v>2338</v>
      </c>
      <c r="IQ812" s="54" t="s">
        <v>2337</v>
      </c>
      <c r="IT812">
        <v>2009</v>
      </c>
      <c r="IU812" t="s">
        <v>2311</v>
      </c>
      <c r="IV812" s="4" t="s">
        <v>1879</v>
      </c>
      <c r="JM812" t="s">
        <v>14</v>
      </c>
      <c r="KF812" t="s">
        <v>2336</v>
      </c>
      <c r="KG812" t="s">
        <v>1548</v>
      </c>
      <c r="KH812" t="s">
        <v>2309</v>
      </c>
      <c r="KI812">
        <v>7</v>
      </c>
      <c r="KJ812" t="s">
        <v>2308</v>
      </c>
      <c r="KK812" t="s">
        <v>222</v>
      </c>
      <c r="KL812" s="8" t="s">
        <v>1922</v>
      </c>
      <c r="KO812" t="s">
        <v>219</v>
      </c>
      <c r="KP812" t="s">
        <v>2335</v>
      </c>
      <c r="KW812" t="s">
        <v>2334</v>
      </c>
      <c r="KX812" t="s">
        <v>2305</v>
      </c>
      <c r="LD812" t="s">
        <v>13</v>
      </c>
      <c r="LE812">
        <v>2600</v>
      </c>
      <c r="LM812" t="s">
        <v>2304</v>
      </c>
      <c r="LN812" t="s">
        <v>2303</v>
      </c>
      <c r="LO812">
        <v>30</v>
      </c>
      <c r="LU812" t="s">
        <v>2333</v>
      </c>
      <c r="LV812" t="s">
        <v>2301</v>
      </c>
      <c r="LZ812" t="s">
        <v>1925</v>
      </c>
      <c r="MA812">
        <v>1898</v>
      </c>
      <c r="MB812" t="s">
        <v>2300</v>
      </c>
      <c r="MH812" t="s">
        <v>2332</v>
      </c>
      <c r="MJ812" s="58">
        <v>40299</v>
      </c>
      <c r="MZ812" t="s">
        <v>2298</v>
      </c>
      <c r="NA812">
        <v>1435</v>
      </c>
      <c r="NJ812" t="s">
        <v>2295</v>
      </c>
      <c r="NK812" t="s">
        <v>2367</v>
      </c>
      <c r="NL812" t="s">
        <v>2366</v>
      </c>
      <c r="NM812" t="s">
        <v>1416</v>
      </c>
      <c r="NN812" t="s">
        <v>265</v>
      </c>
      <c r="NV812" t="s">
        <v>64</v>
      </c>
      <c r="NW812" t="s">
        <v>6</v>
      </c>
      <c r="NX812">
        <v>1896</v>
      </c>
      <c r="NY812" t="s">
        <v>29</v>
      </c>
      <c r="OC812">
        <v>3</v>
      </c>
      <c r="OT812" t="s">
        <v>2365</v>
      </c>
      <c r="OU812" t="s">
        <v>6</v>
      </c>
      <c r="OW812">
        <v>2009</v>
      </c>
      <c r="OX812">
        <v>2010</v>
      </c>
      <c r="OY812" t="s">
        <v>2311</v>
      </c>
      <c r="OZ812" t="s">
        <v>2373</v>
      </c>
      <c r="PA812" t="s">
        <v>1169</v>
      </c>
      <c r="PB812" s="58">
        <v>46136</v>
      </c>
    </row>
    <row r="813" spans="1:418" ht="15.75" thickBot="1">
      <c r="A813" t="s">
        <v>248</v>
      </c>
      <c r="B813" t="s">
        <v>2327</v>
      </c>
      <c r="C813" t="s">
        <v>1885</v>
      </c>
      <c r="D813" t="s">
        <v>1936</v>
      </c>
      <c r="E813" s="90" t="s">
        <v>2326</v>
      </c>
      <c r="F813" s="89" t="s">
        <v>31</v>
      </c>
      <c r="G813" t="s">
        <v>2</v>
      </c>
      <c r="H813" t="s">
        <v>30</v>
      </c>
      <c r="I813">
        <v>23.983611109999998</v>
      </c>
      <c r="J813">
        <v>90.402222219999999</v>
      </c>
      <c r="K813" t="s">
        <v>29</v>
      </c>
      <c r="AV813" t="s">
        <v>2325</v>
      </c>
      <c r="AW813">
        <f t="shared" si="0"/>
        <v>1435</v>
      </c>
      <c r="AX813" t="s">
        <v>29</v>
      </c>
      <c r="AY813">
        <v>3</v>
      </c>
      <c r="AZ813" t="s">
        <v>2324</v>
      </c>
      <c r="BA813">
        <v>2009</v>
      </c>
      <c r="BB813">
        <v>2012</v>
      </c>
      <c r="BC813">
        <v>2009.2</v>
      </c>
      <c r="BD813" t="s">
        <v>274</v>
      </c>
      <c r="BE813" t="s">
        <v>2313</v>
      </c>
      <c r="BF813" t="s">
        <v>64</v>
      </c>
      <c r="BG813" t="s">
        <v>1233</v>
      </c>
      <c r="BH813" t="s">
        <v>1894</v>
      </c>
      <c r="BI813" t="s">
        <v>2323</v>
      </c>
      <c r="BJ813" t="s">
        <v>2262</v>
      </c>
      <c r="BK813">
        <v>1614</v>
      </c>
      <c r="BL813" t="s">
        <v>275</v>
      </c>
      <c r="BM813" t="s">
        <v>23</v>
      </c>
      <c r="BN813" t="s">
        <v>2322</v>
      </c>
      <c r="BO813" t="s">
        <v>2262</v>
      </c>
      <c r="BP813">
        <v>20</v>
      </c>
      <c r="BQ813" t="s">
        <v>275</v>
      </c>
      <c r="BR813" t="s">
        <v>1917</v>
      </c>
      <c r="BS813" t="s">
        <v>2321</v>
      </c>
      <c r="BT813" t="s">
        <v>2262</v>
      </c>
      <c r="BU813">
        <v>30</v>
      </c>
      <c r="BV813" t="s">
        <v>275</v>
      </c>
      <c r="BW813" t="s">
        <v>2319</v>
      </c>
      <c r="BX813" t="s">
        <v>2320</v>
      </c>
      <c r="BY813" t="s">
        <v>2262</v>
      </c>
      <c r="BZ813">
        <v>35</v>
      </c>
      <c r="CA813" t="s">
        <v>275</v>
      </c>
      <c r="CB813" t="s">
        <v>2319</v>
      </c>
      <c r="CC813" t="s">
        <v>2318</v>
      </c>
      <c r="CD813" t="s">
        <v>2262</v>
      </c>
      <c r="CE813">
        <v>19</v>
      </c>
      <c r="HL813" t="s">
        <v>2317</v>
      </c>
      <c r="HM813" t="s">
        <v>2316</v>
      </c>
      <c r="HP813" t="s">
        <v>29</v>
      </c>
      <c r="HQ813">
        <v>9</v>
      </c>
      <c r="HR813" t="s">
        <v>2315</v>
      </c>
      <c r="HT813" t="s">
        <v>2314</v>
      </c>
      <c r="HU813" s="58">
        <v>40153</v>
      </c>
      <c r="IP813" t="s">
        <v>2313</v>
      </c>
      <c r="IQ813" t="s">
        <v>2312</v>
      </c>
      <c r="IT813">
        <v>2009</v>
      </c>
      <c r="IU813" t="s">
        <v>2311</v>
      </c>
      <c r="IV813" s="4" t="s">
        <v>1879</v>
      </c>
      <c r="JM813" t="s">
        <v>14</v>
      </c>
      <c r="KF813" t="s">
        <v>2310</v>
      </c>
      <c r="KG813" t="s">
        <v>1548</v>
      </c>
      <c r="KH813" t="s">
        <v>2309</v>
      </c>
      <c r="KI813">
        <v>4</v>
      </c>
      <c r="KJ813" t="s">
        <v>2308</v>
      </c>
      <c r="KK813" t="s">
        <v>2152</v>
      </c>
      <c r="KO813" t="s">
        <v>219</v>
      </c>
      <c r="KP813" t="s">
        <v>2307</v>
      </c>
      <c r="KW813" t="s">
        <v>2306</v>
      </c>
      <c r="KX813" t="s">
        <v>2305</v>
      </c>
      <c r="LD813" t="s">
        <v>13</v>
      </c>
      <c r="LE813">
        <v>4600</v>
      </c>
      <c r="LM813" t="s">
        <v>2304</v>
      </c>
      <c r="LN813" t="s">
        <v>2303</v>
      </c>
      <c r="LO813">
        <v>30</v>
      </c>
      <c r="LU813" t="s">
        <v>2302</v>
      </c>
      <c r="LV813" t="s">
        <v>2301</v>
      </c>
      <c r="LZ813" t="s">
        <v>1925</v>
      </c>
      <c r="MA813">
        <v>1426</v>
      </c>
      <c r="MB813" t="s">
        <v>2300</v>
      </c>
      <c r="MH813" t="s">
        <v>2299</v>
      </c>
      <c r="MJ813" s="58">
        <v>40224</v>
      </c>
      <c r="MZ813" t="s">
        <v>2298</v>
      </c>
      <c r="NA813">
        <v>1435</v>
      </c>
      <c r="NJ813" t="s">
        <v>2295</v>
      </c>
      <c r="NK813" t="s">
        <v>2367</v>
      </c>
      <c r="NL813" t="s">
        <v>2366</v>
      </c>
      <c r="NM813" t="s">
        <v>1416</v>
      </c>
      <c r="NN813" t="s">
        <v>265</v>
      </c>
      <c r="NW813" t="s">
        <v>6</v>
      </c>
      <c r="NX813">
        <v>4059</v>
      </c>
      <c r="NY813" t="s">
        <v>29</v>
      </c>
      <c r="OC813">
        <v>3</v>
      </c>
      <c r="OT813" t="s">
        <v>2365</v>
      </c>
      <c r="OU813" t="s">
        <v>6</v>
      </c>
      <c r="OW813">
        <v>2009</v>
      </c>
      <c r="OX813">
        <v>2010</v>
      </c>
      <c r="OY813" t="s">
        <v>2311</v>
      </c>
      <c r="OZ813" t="s">
        <v>2373</v>
      </c>
      <c r="PA813" t="s">
        <v>1169</v>
      </c>
      <c r="PB813" s="58">
        <v>46136</v>
      </c>
    </row>
    <row r="814" spans="1:418" ht="15.75" thickBot="1">
      <c r="A814" t="s">
        <v>248</v>
      </c>
      <c r="B814" t="s">
        <v>2327</v>
      </c>
      <c r="C814" t="s">
        <v>1885</v>
      </c>
      <c r="D814" t="s">
        <v>1936</v>
      </c>
      <c r="E814" s="90" t="s">
        <v>2326</v>
      </c>
      <c r="F814" s="89" t="s">
        <v>31</v>
      </c>
      <c r="G814" t="s">
        <v>2</v>
      </c>
      <c r="H814" t="s">
        <v>30</v>
      </c>
      <c r="I814">
        <v>23.983611109999998</v>
      </c>
      <c r="J814">
        <v>90.402222219999999</v>
      </c>
      <c r="K814" t="s">
        <v>29</v>
      </c>
      <c r="AV814" t="s">
        <v>2325</v>
      </c>
      <c r="AW814">
        <f t="shared" si="0"/>
        <v>1435</v>
      </c>
      <c r="AX814" t="s">
        <v>29</v>
      </c>
      <c r="AY814">
        <v>3</v>
      </c>
      <c r="AZ814" t="s">
        <v>2324</v>
      </c>
      <c r="BA814">
        <v>2009</v>
      </c>
      <c r="BB814">
        <v>2012</v>
      </c>
      <c r="BC814">
        <v>2009.2</v>
      </c>
      <c r="BD814" t="s">
        <v>19</v>
      </c>
      <c r="BE814" t="s">
        <v>2354</v>
      </c>
      <c r="BF814" t="s">
        <v>39</v>
      </c>
      <c r="BG814" t="s">
        <v>1233</v>
      </c>
      <c r="BH814" t="s">
        <v>2319</v>
      </c>
      <c r="BI814" t="s">
        <v>2342</v>
      </c>
      <c r="BJ814" t="s">
        <v>2262</v>
      </c>
      <c r="BK814">
        <v>45</v>
      </c>
      <c r="BL814" t="s">
        <v>275</v>
      </c>
      <c r="BM814" t="s">
        <v>2319</v>
      </c>
      <c r="BN814" t="s">
        <v>2355</v>
      </c>
      <c r="BO814" t="s">
        <v>2262</v>
      </c>
      <c r="BP814">
        <v>49</v>
      </c>
      <c r="BQ814" t="s">
        <v>275</v>
      </c>
      <c r="BR814" t="s">
        <v>2319</v>
      </c>
      <c r="BS814" t="s">
        <v>2341</v>
      </c>
      <c r="BT814" t="s">
        <v>2262</v>
      </c>
      <c r="BU814">
        <v>49</v>
      </c>
      <c r="HL814" t="s">
        <v>2350</v>
      </c>
      <c r="HM814" t="s">
        <v>297</v>
      </c>
      <c r="HN814" t="s">
        <v>2349</v>
      </c>
      <c r="HP814" t="s">
        <v>29</v>
      </c>
      <c r="HQ814">
        <v>12</v>
      </c>
      <c r="HR814" t="s">
        <v>2348</v>
      </c>
      <c r="HT814" t="s">
        <v>2314</v>
      </c>
      <c r="HU814" s="58">
        <v>40202</v>
      </c>
      <c r="HV814" s="58"/>
      <c r="IP814" t="s">
        <v>2354</v>
      </c>
      <c r="IQ814" s="54" t="s">
        <v>2337</v>
      </c>
      <c r="IT814">
        <v>2009</v>
      </c>
      <c r="IU814" t="s">
        <v>2311</v>
      </c>
      <c r="IV814" s="4" t="s">
        <v>1879</v>
      </c>
      <c r="JM814" t="s">
        <v>14</v>
      </c>
      <c r="KF814" t="s">
        <v>2353</v>
      </c>
      <c r="KG814" t="s">
        <v>1548</v>
      </c>
      <c r="KH814" t="s">
        <v>2309</v>
      </c>
      <c r="KI814">
        <v>3</v>
      </c>
      <c r="KJ814" t="s">
        <v>2308</v>
      </c>
      <c r="KK814" t="s">
        <v>2152</v>
      </c>
      <c r="KO814" t="s">
        <v>219</v>
      </c>
      <c r="KP814" s="8" t="s">
        <v>2357</v>
      </c>
      <c r="KW814" t="s">
        <v>2352</v>
      </c>
      <c r="KX814" t="s">
        <v>2305</v>
      </c>
      <c r="LD814" t="s">
        <v>13</v>
      </c>
      <c r="LE814">
        <v>0</v>
      </c>
      <c r="LM814" t="s">
        <v>2304</v>
      </c>
      <c r="LN814" t="s">
        <v>2303</v>
      </c>
      <c r="LO814">
        <v>7.5</v>
      </c>
      <c r="LU814" t="s">
        <v>2351</v>
      </c>
      <c r="LV814" t="s">
        <v>2301</v>
      </c>
      <c r="LZ814" t="s">
        <v>1925</v>
      </c>
      <c r="MA814">
        <v>2172</v>
      </c>
      <c r="MB814" t="s">
        <v>2300</v>
      </c>
      <c r="MH814" t="s">
        <v>2332</v>
      </c>
      <c r="MJ814" s="58">
        <v>40292</v>
      </c>
      <c r="MZ814" t="s">
        <v>2298</v>
      </c>
      <c r="NA814">
        <v>1435</v>
      </c>
      <c r="NJ814" t="s">
        <v>2295</v>
      </c>
      <c r="NK814" t="s">
        <v>2367</v>
      </c>
      <c r="NL814" t="s">
        <v>2366</v>
      </c>
      <c r="NM814" t="s">
        <v>1416</v>
      </c>
      <c r="NN814" t="s">
        <v>265</v>
      </c>
      <c r="NV814" t="s">
        <v>2343</v>
      </c>
      <c r="NW814" t="s">
        <v>6</v>
      </c>
      <c r="NX814">
        <v>1782</v>
      </c>
      <c r="NY814" t="s">
        <v>29</v>
      </c>
      <c r="OC814">
        <v>3</v>
      </c>
      <c r="OT814" t="s">
        <v>2365</v>
      </c>
      <c r="OU814" t="s">
        <v>6</v>
      </c>
      <c r="OW814">
        <v>2010</v>
      </c>
      <c r="OX814">
        <v>2011</v>
      </c>
      <c r="OY814" t="s">
        <v>2311</v>
      </c>
      <c r="OZ814" t="s">
        <v>2373</v>
      </c>
      <c r="PA814" t="s">
        <v>1169</v>
      </c>
      <c r="PB814" s="58">
        <v>46136</v>
      </c>
    </row>
    <row r="815" spans="1:418" ht="15.75" thickBot="1">
      <c r="A815" t="s">
        <v>248</v>
      </c>
      <c r="B815" t="s">
        <v>2327</v>
      </c>
      <c r="C815" t="s">
        <v>1885</v>
      </c>
      <c r="D815" t="s">
        <v>1936</v>
      </c>
      <c r="E815" s="90" t="s">
        <v>2326</v>
      </c>
      <c r="F815" s="89" t="s">
        <v>31</v>
      </c>
      <c r="G815" t="s">
        <v>2</v>
      </c>
      <c r="H815" t="s">
        <v>30</v>
      </c>
      <c r="I815">
        <v>23.983611109999998</v>
      </c>
      <c r="J815">
        <v>90.402222219999999</v>
      </c>
      <c r="K815" t="s">
        <v>29</v>
      </c>
      <c r="AV815" t="s">
        <v>2325</v>
      </c>
      <c r="AW815">
        <f t="shared" si="0"/>
        <v>1435</v>
      </c>
      <c r="AX815" t="s">
        <v>29</v>
      </c>
      <c r="AY815">
        <v>3</v>
      </c>
      <c r="AZ815" t="s">
        <v>2324</v>
      </c>
      <c r="BA815">
        <v>2009</v>
      </c>
      <c r="BB815">
        <v>2012</v>
      </c>
      <c r="BC815">
        <v>2009.2</v>
      </c>
      <c r="BD815" t="s">
        <v>19</v>
      </c>
      <c r="BE815" t="s">
        <v>2347</v>
      </c>
      <c r="BF815" t="s">
        <v>24</v>
      </c>
      <c r="BG815" t="s">
        <v>1233</v>
      </c>
      <c r="BH815" t="s">
        <v>2319</v>
      </c>
      <c r="BI815" t="s">
        <v>2342</v>
      </c>
      <c r="BJ815" t="s">
        <v>2262</v>
      </c>
      <c r="BK815">
        <v>30</v>
      </c>
      <c r="BL815" t="s">
        <v>275</v>
      </c>
      <c r="BM815" t="s">
        <v>2319</v>
      </c>
      <c r="BN815" t="s">
        <v>2341</v>
      </c>
      <c r="BO815" t="s">
        <v>2262</v>
      </c>
      <c r="BP815">
        <v>35</v>
      </c>
      <c r="HL815" t="s">
        <v>2350</v>
      </c>
      <c r="HM815" t="s">
        <v>297</v>
      </c>
      <c r="HN815" t="s">
        <v>2349</v>
      </c>
      <c r="HP815" t="s">
        <v>29</v>
      </c>
      <c r="HQ815">
        <v>12</v>
      </c>
      <c r="HR815" t="s">
        <v>2348</v>
      </c>
      <c r="HT815" t="s">
        <v>2314</v>
      </c>
      <c r="HU815" s="58">
        <v>40192</v>
      </c>
      <c r="HV815" s="58"/>
      <c r="IP815" t="s">
        <v>2347</v>
      </c>
      <c r="IQ815" s="54" t="s">
        <v>2337</v>
      </c>
      <c r="IT815">
        <v>2009</v>
      </c>
      <c r="IU815" t="s">
        <v>2311</v>
      </c>
      <c r="IV815" s="4" t="s">
        <v>1879</v>
      </c>
      <c r="JM815" t="s">
        <v>14</v>
      </c>
      <c r="KF815" t="s">
        <v>2346</v>
      </c>
      <c r="KG815" t="s">
        <v>1548</v>
      </c>
      <c r="KH815" t="s">
        <v>2309</v>
      </c>
      <c r="KI815">
        <v>6</v>
      </c>
      <c r="KJ815" t="s">
        <v>2308</v>
      </c>
      <c r="KK815" t="s">
        <v>222</v>
      </c>
      <c r="KL815" s="8" t="s">
        <v>1922</v>
      </c>
      <c r="KO815" t="s">
        <v>219</v>
      </c>
      <c r="KP815" t="s">
        <v>2335</v>
      </c>
      <c r="KW815" t="s">
        <v>2345</v>
      </c>
      <c r="KX815" t="s">
        <v>2305</v>
      </c>
      <c r="LD815" t="s">
        <v>13</v>
      </c>
      <c r="LE815">
        <v>1600</v>
      </c>
      <c r="LM815" t="s">
        <v>2304</v>
      </c>
      <c r="LN815" t="s">
        <v>2303</v>
      </c>
      <c r="LO815">
        <v>30</v>
      </c>
      <c r="LU815" t="s">
        <v>2344</v>
      </c>
      <c r="LV815" t="s">
        <v>2301</v>
      </c>
      <c r="LZ815" t="s">
        <v>1925</v>
      </c>
      <c r="MA815">
        <v>1946</v>
      </c>
      <c r="MB815" t="s">
        <v>2300</v>
      </c>
      <c r="MH815" t="s">
        <v>2332</v>
      </c>
      <c r="MJ815" s="58">
        <v>40298</v>
      </c>
      <c r="MZ815" t="s">
        <v>2298</v>
      </c>
      <c r="NA815">
        <v>1435</v>
      </c>
      <c r="NJ815" t="s">
        <v>2295</v>
      </c>
      <c r="NK815" t="s">
        <v>2367</v>
      </c>
      <c r="NL815" t="s">
        <v>2366</v>
      </c>
      <c r="NM815" t="s">
        <v>1416</v>
      </c>
      <c r="NN815" t="s">
        <v>265</v>
      </c>
      <c r="NV815" t="s">
        <v>2343</v>
      </c>
      <c r="NW815" t="s">
        <v>6</v>
      </c>
      <c r="NX815">
        <v>1900</v>
      </c>
      <c r="NY815" t="s">
        <v>29</v>
      </c>
      <c r="OC815">
        <v>3</v>
      </c>
      <c r="OT815" t="s">
        <v>2365</v>
      </c>
      <c r="OU815" t="s">
        <v>6</v>
      </c>
      <c r="OW815">
        <v>2010</v>
      </c>
      <c r="OX815">
        <v>2011</v>
      </c>
      <c r="OY815" t="s">
        <v>2311</v>
      </c>
      <c r="OZ815" t="s">
        <v>2373</v>
      </c>
      <c r="PA815" t="s">
        <v>1169</v>
      </c>
      <c r="PB815" s="58">
        <v>46136</v>
      </c>
    </row>
    <row r="816" spans="1:418" ht="15.75" thickBot="1">
      <c r="A816" t="s">
        <v>248</v>
      </c>
      <c r="B816" t="s">
        <v>2327</v>
      </c>
      <c r="C816" t="s">
        <v>1885</v>
      </c>
      <c r="D816" t="s">
        <v>1936</v>
      </c>
      <c r="E816" s="90" t="s">
        <v>2326</v>
      </c>
      <c r="F816" s="89" t="s">
        <v>31</v>
      </c>
      <c r="G816" t="s">
        <v>2</v>
      </c>
      <c r="H816" t="s">
        <v>30</v>
      </c>
      <c r="I816">
        <v>23.983611109999998</v>
      </c>
      <c r="J816">
        <v>90.402222219999999</v>
      </c>
      <c r="K816" t="s">
        <v>29</v>
      </c>
      <c r="AV816" t="s">
        <v>2325</v>
      </c>
      <c r="AW816">
        <f t="shared" si="0"/>
        <v>1435</v>
      </c>
      <c r="AX816" t="s">
        <v>29</v>
      </c>
      <c r="AY816">
        <v>3</v>
      </c>
      <c r="AZ816" t="s">
        <v>2324</v>
      </c>
      <c r="BA816">
        <v>2009</v>
      </c>
      <c r="BB816">
        <v>2012</v>
      </c>
      <c r="BC816">
        <v>2009.2</v>
      </c>
      <c r="BD816" t="s">
        <v>19</v>
      </c>
      <c r="BE816" t="s">
        <v>2338</v>
      </c>
      <c r="BF816" t="s">
        <v>299</v>
      </c>
      <c r="BG816" t="s">
        <v>1233</v>
      </c>
      <c r="BH816" t="s">
        <v>2319</v>
      </c>
      <c r="BI816" t="s">
        <v>2342</v>
      </c>
      <c r="BJ816" t="s">
        <v>2262</v>
      </c>
      <c r="BK816">
        <v>30</v>
      </c>
      <c r="BL816" t="s">
        <v>275</v>
      </c>
      <c r="BM816" t="s">
        <v>2319</v>
      </c>
      <c r="BN816" t="s">
        <v>2341</v>
      </c>
      <c r="BO816" t="s">
        <v>2262</v>
      </c>
      <c r="BP816">
        <v>19</v>
      </c>
      <c r="HL816" t="s">
        <v>2340</v>
      </c>
      <c r="HM816" t="s">
        <v>2316</v>
      </c>
      <c r="HP816" t="s">
        <v>29</v>
      </c>
      <c r="HQ816">
        <v>4</v>
      </c>
      <c r="HR816" t="s">
        <v>2339</v>
      </c>
      <c r="HT816" t="s">
        <v>2314</v>
      </c>
      <c r="HU816" s="58">
        <v>40192</v>
      </c>
      <c r="HV816" s="58"/>
      <c r="IP816" t="s">
        <v>2338</v>
      </c>
      <c r="IQ816" s="54" t="s">
        <v>2337</v>
      </c>
      <c r="IT816">
        <v>2009</v>
      </c>
      <c r="IU816" t="s">
        <v>2311</v>
      </c>
      <c r="IV816" s="4" t="s">
        <v>1879</v>
      </c>
      <c r="JM816" t="s">
        <v>14</v>
      </c>
      <c r="KF816" t="s">
        <v>2336</v>
      </c>
      <c r="KG816" t="s">
        <v>1548</v>
      </c>
      <c r="KH816" t="s">
        <v>2309</v>
      </c>
      <c r="KI816">
        <v>7</v>
      </c>
      <c r="KJ816" t="s">
        <v>2308</v>
      </c>
      <c r="KK816" t="s">
        <v>222</v>
      </c>
      <c r="KL816" s="8" t="s">
        <v>1922</v>
      </c>
      <c r="KO816" t="s">
        <v>219</v>
      </c>
      <c r="KP816" t="s">
        <v>2335</v>
      </c>
      <c r="KW816" t="s">
        <v>2334</v>
      </c>
      <c r="KX816" t="s">
        <v>2305</v>
      </c>
      <c r="LD816" t="s">
        <v>13</v>
      </c>
      <c r="LE816">
        <v>1400</v>
      </c>
      <c r="LM816" t="s">
        <v>2304</v>
      </c>
      <c r="LN816" t="s">
        <v>2303</v>
      </c>
      <c r="LO816">
        <v>30</v>
      </c>
      <c r="LU816" t="s">
        <v>2333</v>
      </c>
      <c r="LV816" t="s">
        <v>2301</v>
      </c>
      <c r="LZ816" t="s">
        <v>1925</v>
      </c>
      <c r="MA816">
        <v>2001</v>
      </c>
      <c r="MB816" t="s">
        <v>2300</v>
      </c>
      <c r="MH816" t="s">
        <v>2332</v>
      </c>
      <c r="MJ816" s="58">
        <v>40299</v>
      </c>
      <c r="MZ816" t="s">
        <v>2298</v>
      </c>
      <c r="NA816">
        <v>1435</v>
      </c>
      <c r="NJ816" t="s">
        <v>2295</v>
      </c>
      <c r="NK816" t="s">
        <v>2367</v>
      </c>
      <c r="NL816" t="s">
        <v>2366</v>
      </c>
      <c r="NM816" t="s">
        <v>1416</v>
      </c>
      <c r="NN816" t="s">
        <v>265</v>
      </c>
      <c r="NV816" t="s">
        <v>64</v>
      </c>
      <c r="NW816" t="s">
        <v>6</v>
      </c>
      <c r="NX816">
        <v>1735</v>
      </c>
      <c r="NY816" t="s">
        <v>29</v>
      </c>
      <c r="OC816">
        <v>3</v>
      </c>
      <c r="OT816" t="s">
        <v>2365</v>
      </c>
      <c r="OU816" t="s">
        <v>6</v>
      </c>
      <c r="OW816">
        <v>2010</v>
      </c>
      <c r="OX816">
        <v>2011</v>
      </c>
      <c r="OY816" t="s">
        <v>2311</v>
      </c>
      <c r="OZ816" t="s">
        <v>2373</v>
      </c>
      <c r="PA816" t="s">
        <v>1169</v>
      </c>
      <c r="PB816" s="58">
        <v>46136</v>
      </c>
    </row>
    <row r="817" spans="1:418" ht="15.75" thickBot="1">
      <c r="A817" t="s">
        <v>248</v>
      </c>
      <c r="B817" t="s">
        <v>2327</v>
      </c>
      <c r="C817" t="s">
        <v>1885</v>
      </c>
      <c r="D817" t="s">
        <v>1936</v>
      </c>
      <c r="E817" s="90" t="s">
        <v>2326</v>
      </c>
      <c r="F817" s="89" t="s">
        <v>31</v>
      </c>
      <c r="G817" t="s">
        <v>2</v>
      </c>
      <c r="H817" t="s">
        <v>30</v>
      </c>
      <c r="I817">
        <v>23.983611109999998</v>
      </c>
      <c r="J817">
        <v>90.402222219999999</v>
      </c>
      <c r="K817" t="s">
        <v>29</v>
      </c>
      <c r="AV817" t="s">
        <v>2325</v>
      </c>
      <c r="AW817">
        <f t="shared" si="0"/>
        <v>1435</v>
      </c>
      <c r="AX817" t="s">
        <v>29</v>
      </c>
      <c r="AY817">
        <v>3</v>
      </c>
      <c r="AZ817" t="s">
        <v>2324</v>
      </c>
      <c r="BA817">
        <v>2009</v>
      </c>
      <c r="BB817">
        <v>2012</v>
      </c>
      <c r="BC817">
        <v>2009.2</v>
      </c>
      <c r="BD817" t="s">
        <v>274</v>
      </c>
      <c r="BE817" t="s">
        <v>2313</v>
      </c>
      <c r="BF817" t="s">
        <v>64</v>
      </c>
      <c r="BG817" t="s">
        <v>1233</v>
      </c>
      <c r="BH817" t="s">
        <v>1894</v>
      </c>
      <c r="BI817" t="s">
        <v>2323</v>
      </c>
      <c r="BJ817" t="s">
        <v>2262</v>
      </c>
      <c r="BK817">
        <v>1614</v>
      </c>
      <c r="BL817" t="s">
        <v>275</v>
      </c>
      <c r="BM817" t="s">
        <v>23</v>
      </c>
      <c r="BN817" t="s">
        <v>2322</v>
      </c>
      <c r="BO817" t="s">
        <v>2262</v>
      </c>
      <c r="BP817">
        <v>20</v>
      </c>
      <c r="BQ817" t="s">
        <v>275</v>
      </c>
      <c r="BR817" t="s">
        <v>1917</v>
      </c>
      <c r="BS817" t="s">
        <v>2321</v>
      </c>
      <c r="BT817" t="s">
        <v>2262</v>
      </c>
      <c r="BU817">
        <v>30</v>
      </c>
      <c r="BV817" t="s">
        <v>275</v>
      </c>
      <c r="BW817" t="s">
        <v>2319</v>
      </c>
      <c r="BX817" t="s">
        <v>2320</v>
      </c>
      <c r="BY817" t="s">
        <v>2262</v>
      </c>
      <c r="BZ817">
        <v>35</v>
      </c>
      <c r="CA817" t="s">
        <v>275</v>
      </c>
      <c r="CB817" t="s">
        <v>2319</v>
      </c>
      <c r="CC817" t="s">
        <v>2318</v>
      </c>
      <c r="CD817" t="s">
        <v>2262</v>
      </c>
      <c r="CE817">
        <v>19</v>
      </c>
      <c r="HL817" t="s">
        <v>2317</v>
      </c>
      <c r="HM817" t="s">
        <v>2316</v>
      </c>
      <c r="HP817" t="s">
        <v>29</v>
      </c>
      <c r="HQ817">
        <v>9</v>
      </c>
      <c r="HR817" t="s">
        <v>2315</v>
      </c>
      <c r="HT817" t="s">
        <v>2314</v>
      </c>
      <c r="HU817" s="58">
        <v>40153</v>
      </c>
      <c r="IP817" t="s">
        <v>2313</v>
      </c>
      <c r="IQ817" t="s">
        <v>2312</v>
      </c>
      <c r="IT817">
        <v>2009</v>
      </c>
      <c r="IU817" t="s">
        <v>2311</v>
      </c>
      <c r="IV817" s="4" t="s">
        <v>1879</v>
      </c>
      <c r="JM817" t="s">
        <v>14</v>
      </c>
      <c r="KF817" t="s">
        <v>2310</v>
      </c>
      <c r="KG817" t="s">
        <v>1548</v>
      </c>
      <c r="KH817" t="s">
        <v>2309</v>
      </c>
      <c r="KI817">
        <v>4</v>
      </c>
      <c r="KJ817" t="s">
        <v>2308</v>
      </c>
      <c r="KK817" t="s">
        <v>2152</v>
      </c>
      <c r="KO817" t="s">
        <v>219</v>
      </c>
      <c r="KP817" t="s">
        <v>2307</v>
      </c>
      <c r="KS817" t="s">
        <v>219</v>
      </c>
      <c r="KT817" s="8" t="s">
        <v>2356</v>
      </c>
      <c r="KW817" t="s">
        <v>2306</v>
      </c>
      <c r="KX817" t="s">
        <v>2305</v>
      </c>
      <c r="LD817" t="s">
        <v>13</v>
      </c>
      <c r="LE817">
        <v>1600</v>
      </c>
      <c r="LM817" t="s">
        <v>2304</v>
      </c>
      <c r="LN817" t="s">
        <v>2303</v>
      </c>
      <c r="LO817">
        <v>30</v>
      </c>
      <c r="LU817" t="s">
        <v>2302</v>
      </c>
      <c r="LV817" t="s">
        <v>2301</v>
      </c>
      <c r="LZ817" t="s">
        <v>1925</v>
      </c>
      <c r="MA817">
        <v>1186</v>
      </c>
      <c r="MB817" t="s">
        <v>2300</v>
      </c>
      <c r="MH817" t="s">
        <v>2299</v>
      </c>
      <c r="MJ817" s="58">
        <v>40224</v>
      </c>
      <c r="MZ817" t="s">
        <v>2298</v>
      </c>
      <c r="NA817">
        <v>1435</v>
      </c>
      <c r="NJ817" t="s">
        <v>2295</v>
      </c>
      <c r="NK817" t="s">
        <v>2367</v>
      </c>
      <c r="NL817" t="s">
        <v>2366</v>
      </c>
      <c r="NM817" t="s">
        <v>1416</v>
      </c>
      <c r="NN817" t="s">
        <v>265</v>
      </c>
      <c r="NW817" t="s">
        <v>6</v>
      </c>
      <c r="NX817">
        <v>3140</v>
      </c>
      <c r="NY817" t="s">
        <v>29</v>
      </c>
      <c r="OC817">
        <v>3</v>
      </c>
      <c r="OT817" t="s">
        <v>2365</v>
      </c>
      <c r="OU817" t="s">
        <v>6</v>
      </c>
      <c r="OW817">
        <v>2010</v>
      </c>
      <c r="OX817">
        <v>2011</v>
      </c>
      <c r="OY817" t="s">
        <v>2311</v>
      </c>
      <c r="OZ817" t="s">
        <v>2373</v>
      </c>
      <c r="PA817" t="s">
        <v>1169</v>
      </c>
      <c r="PB817" s="58">
        <v>46136</v>
      </c>
    </row>
    <row r="818" spans="1:418" ht="15.75" thickBot="1">
      <c r="A818" t="s">
        <v>248</v>
      </c>
      <c r="B818" t="s">
        <v>2327</v>
      </c>
      <c r="C818" t="s">
        <v>1885</v>
      </c>
      <c r="D818" t="s">
        <v>1936</v>
      </c>
      <c r="E818" s="90" t="s">
        <v>2326</v>
      </c>
      <c r="F818" s="89" t="s">
        <v>31</v>
      </c>
      <c r="G818" t="s">
        <v>2</v>
      </c>
      <c r="H818" t="s">
        <v>30</v>
      </c>
      <c r="I818">
        <v>23.983611109999998</v>
      </c>
      <c r="J818">
        <v>90.402222219999999</v>
      </c>
      <c r="K818" t="s">
        <v>29</v>
      </c>
      <c r="AV818" t="s">
        <v>2325</v>
      </c>
      <c r="AW818">
        <f t="shared" ref="AW818:AW849" si="1">35*41</f>
        <v>1435</v>
      </c>
      <c r="AX818" t="s">
        <v>29</v>
      </c>
      <c r="AY818">
        <v>3</v>
      </c>
      <c r="AZ818" t="s">
        <v>2324</v>
      </c>
      <c r="BA818">
        <v>2009</v>
      </c>
      <c r="BB818">
        <v>2012</v>
      </c>
      <c r="BC818">
        <v>2009.2</v>
      </c>
      <c r="BD818" t="s">
        <v>19</v>
      </c>
      <c r="BE818" t="s">
        <v>2354</v>
      </c>
      <c r="BF818" t="s">
        <v>39</v>
      </c>
      <c r="BG818" t="s">
        <v>1233</v>
      </c>
      <c r="BH818" t="s">
        <v>2319</v>
      </c>
      <c r="BI818" t="s">
        <v>2342</v>
      </c>
      <c r="BJ818" t="s">
        <v>2262</v>
      </c>
      <c r="BK818">
        <v>45</v>
      </c>
      <c r="BL818" t="s">
        <v>275</v>
      </c>
      <c r="BM818" t="s">
        <v>2319</v>
      </c>
      <c r="BN818" t="s">
        <v>2355</v>
      </c>
      <c r="BO818" t="s">
        <v>2262</v>
      </c>
      <c r="BP818">
        <v>49</v>
      </c>
      <c r="BQ818" t="s">
        <v>275</v>
      </c>
      <c r="BR818" t="s">
        <v>2319</v>
      </c>
      <c r="BS818" t="s">
        <v>2341</v>
      </c>
      <c r="BT818" t="s">
        <v>2262</v>
      </c>
      <c r="BU818">
        <v>49</v>
      </c>
      <c r="HL818" t="s">
        <v>2350</v>
      </c>
      <c r="HM818" t="s">
        <v>297</v>
      </c>
      <c r="HN818" t="s">
        <v>2349</v>
      </c>
      <c r="HP818" t="s">
        <v>29</v>
      </c>
      <c r="HQ818">
        <v>12</v>
      </c>
      <c r="HR818" t="s">
        <v>2348</v>
      </c>
      <c r="HT818" t="s">
        <v>2314</v>
      </c>
      <c r="HU818" s="58">
        <v>40202</v>
      </c>
      <c r="HV818" s="58"/>
      <c r="IP818" t="s">
        <v>2354</v>
      </c>
      <c r="IQ818" s="54" t="s">
        <v>2337</v>
      </c>
      <c r="IT818">
        <v>2009</v>
      </c>
      <c r="IU818" t="s">
        <v>2311</v>
      </c>
      <c r="IV818" s="4" t="s">
        <v>1879</v>
      </c>
      <c r="JM818" t="s">
        <v>14</v>
      </c>
      <c r="KF818" t="s">
        <v>2353</v>
      </c>
      <c r="KG818" t="s">
        <v>1548</v>
      </c>
      <c r="KH818" t="s">
        <v>2309</v>
      </c>
      <c r="KI818">
        <v>3</v>
      </c>
      <c r="KJ818" t="s">
        <v>2308</v>
      </c>
      <c r="KK818" t="s">
        <v>2152</v>
      </c>
      <c r="KO818" t="s">
        <v>219</v>
      </c>
      <c r="KP818" t="s">
        <v>2335</v>
      </c>
      <c r="KW818" t="s">
        <v>2352</v>
      </c>
      <c r="KX818" t="s">
        <v>2305</v>
      </c>
      <c r="LD818" t="s">
        <v>13</v>
      </c>
      <c r="LE818">
        <v>1600</v>
      </c>
      <c r="LM818" t="s">
        <v>2304</v>
      </c>
      <c r="LN818" t="s">
        <v>2303</v>
      </c>
      <c r="LO818">
        <v>7.5</v>
      </c>
      <c r="LU818" t="s">
        <v>2351</v>
      </c>
      <c r="LV818" t="s">
        <v>2301</v>
      </c>
      <c r="LZ818" t="s">
        <v>1925</v>
      </c>
      <c r="MA818">
        <v>1450</v>
      </c>
      <c r="MB818" t="s">
        <v>2300</v>
      </c>
      <c r="MH818" t="s">
        <v>2332</v>
      </c>
      <c r="MJ818" s="58">
        <v>40292</v>
      </c>
      <c r="MZ818" t="s">
        <v>2298</v>
      </c>
      <c r="NA818">
        <v>1435</v>
      </c>
      <c r="NJ818" t="s">
        <v>2295</v>
      </c>
      <c r="NK818" t="s">
        <v>2367</v>
      </c>
      <c r="NL818" t="s">
        <v>2366</v>
      </c>
      <c r="NM818" t="s">
        <v>1416</v>
      </c>
      <c r="NN818" t="s">
        <v>265</v>
      </c>
      <c r="NV818" t="s">
        <v>2343</v>
      </c>
      <c r="NW818" t="s">
        <v>6</v>
      </c>
      <c r="NX818">
        <v>1608</v>
      </c>
      <c r="NY818" t="s">
        <v>29</v>
      </c>
      <c r="OC818">
        <v>3</v>
      </c>
      <c r="OT818" t="s">
        <v>2365</v>
      </c>
      <c r="OU818" t="s">
        <v>6</v>
      </c>
      <c r="OW818">
        <v>2011</v>
      </c>
      <c r="OX818">
        <v>2012</v>
      </c>
      <c r="OY818" t="s">
        <v>2311</v>
      </c>
      <c r="OZ818" t="s">
        <v>2373</v>
      </c>
      <c r="PA818" t="s">
        <v>1169</v>
      </c>
      <c r="PB818" s="58">
        <v>46136</v>
      </c>
    </row>
    <row r="819" spans="1:418" ht="15.75" thickBot="1">
      <c r="A819" t="s">
        <v>248</v>
      </c>
      <c r="B819" t="s">
        <v>2327</v>
      </c>
      <c r="C819" t="s">
        <v>1885</v>
      </c>
      <c r="D819" t="s">
        <v>1936</v>
      </c>
      <c r="E819" s="90" t="s">
        <v>2326</v>
      </c>
      <c r="F819" s="89" t="s">
        <v>31</v>
      </c>
      <c r="G819" t="s">
        <v>2</v>
      </c>
      <c r="H819" t="s">
        <v>30</v>
      </c>
      <c r="I819">
        <v>23.983611109999998</v>
      </c>
      <c r="J819">
        <v>90.402222219999999</v>
      </c>
      <c r="K819" t="s">
        <v>29</v>
      </c>
      <c r="AV819" t="s">
        <v>2325</v>
      </c>
      <c r="AW819">
        <f t="shared" si="1"/>
        <v>1435</v>
      </c>
      <c r="AX819" t="s">
        <v>29</v>
      </c>
      <c r="AY819">
        <v>3</v>
      </c>
      <c r="AZ819" t="s">
        <v>2324</v>
      </c>
      <c r="BA819">
        <v>2009</v>
      </c>
      <c r="BB819">
        <v>2012</v>
      </c>
      <c r="BC819">
        <v>2009.2</v>
      </c>
      <c r="BD819" t="s">
        <v>19</v>
      </c>
      <c r="BE819" t="s">
        <v>2347</v>
      </c>
      <c r="BF819" t="s">
        <v>24</v>
      </c>
      <c r="BG819" t="s">
        <v>1233</v>
      </c>
      <c r="BH819" t="s">
        <v>2319</v>
      </c>
      <c r="BI819" t="s">
        <v>2342</v>
      </c>
      <c r="BJ819" t="s">
        <v>2262</v>
      </c>
      <c r="BK819">
        <v>30</v>
      </c>
      <c r="BL819" t="s">
        <v>275</v>
      </c>
      <c r="BM819" t="s">
        <v>2319</v>
      </c>
      <c r="BN819" t="s">
        <v>2341</v>
      </c>
      <c r="BO819" t="s">
        <v>2262</v>
      </c>
      <c r="BP819">
        <v>35</v>
      </c>
      <c r="HL819" t="s">
        <v>2350</v>
      </c>
      <c r="HM819" t="s">
        <v>297</v>
      </c>
      <c r="HN819" t="s">
        <v>2349</v>
      </c>
      <c r="HP819" t="s">
        <v>29</v>
      </c>
      <c r="HQ819">
        <v>12</v>
      </c>
      <c r="HR819" t="s">
        <v>2348</v>
      </c>
      <c r="HT819" t="s">
        <v>2314</v>
      </c>
      <c r="HU819" s="58">
        <v>40192</v>
      </c>
      <c r="HV819" s="58"/>
      <c r="IP819" t="s">
        <v>2347</v>
      </c>
      <c r="IQ819" s="54" t="s">
        <v>2337</v>
      </c>
      <c r="IT819">
        <v>2009</v>
      </c>
      <c r="IU819" t="s">
        <v>2311</v>
      </c>
      <c r="IV819" s="4" t="s">
        <v>1879</v>
      </c>
      <c r="JM819" t="s">
        <v>14</v>
      </c>
      <c r="KF819" t="s">
        <v>2346</v>
      </c>
      <c r="KG819" t="s">
        <v>1548</v>
      </c>
      <c r="KH819" t="s">
        <v>2309</v>
      </c>
      <c r="KI819">
        <v>6</v>
      </c>
      <c r="KJ819" t="s">
        <v>2308</v>
      </c>
      <c r="KK819" t="s">
        <v>222</v>
      </c>
      <c r="KL819" s="8" t="s">
        <v>1922</v>
      </c>
      <c r="KO819" t="s">
        <v>219</v>
      </c>
      <c r="KP819" t="s">
        <v>2335</v>
      </c>
      <c r="KW819" t="s">
        <v>2345</v>
      </c>
      <c r="KX819" t="s">
        <v>2305</v>
      </c>
      <c r="LD819" t="s">
        <v>13</v>
      </c>
      <c r="LE819">
        <v>2000</v>
      </c>
      <c r="LM819" t="s">
        <v>2304</v>
      </c>
      <c r="LN819" t="s">
        <v>2303</v>
      </c>
      <c r="LO819">
        <v>30</v>
      </c>
      <c r="LU819" t="s">
        <v>2344</v>
      </c>
      <c r="LV819" t="s">
        <v>2301</v>
      </c>
      <c r="LZ819" t="s">
        <v>1925</v>
      </c>
      <c r="MA819">
        <v>1481</v>
      </c>
      <c r="MB819" t="s">
        <v>2300</v>
      </c>
      <c r="MH819" t="s">
        <v>2332</v>
      </c>
      <c r="MJ819" s="58">
        <v>40298</v>
      </c>
      <c r="MZ819" t="s">
        <v>2298</v>
      </c>
      <c r="NA819">
        <v>1435</v>
      </c>
      <c r="NJ819" t="s">
        <v>2295</v>
      </c>
      <c r="NK819" t="s">
        <v>2367</v>
      </c>
      <c r="NL819" t="s">
        <v>2366</v>
      </c>
      <c r="NM819" t="s">
        <v>1416</v>
      </c>
      <c r="NN819" t="s">
        <v>265</v>
      </c>
      <c r="NV819" t="s">
        <v>2343</v>
      </c>
      <c r="NW819" t="s">
        <v>6</v>
      </c>
      <c r="NX819">
        <v>1900</v>
      </c>
      <c r="NY819" t="s">
        <v>29</v>
      </c>
      <c r="OC819">
        <v>3</v>
      </c>
      <c r="OT819" t="s">
        <v>2365</v>
      </c>
      <c r="OU819" t="s">
        <v>6</v>
      </c>
      <c r="OW819">
        <v>2011</v>
      </c>
      <c r="OX819">
        <v>2012</v>
      </c>
      <c r="OY819" t="s">
        <v>2311</v>
      </c>
      <c r="OZ819" t="s">
        <v>2373</v>
      </c>
      <c r="PA819" t="s">
        <v>1169</v>
      </c>
      <c r="PB819" s="58">
        <v>46136</v>
      </c>
    </row>
    <row r="820" spans="1:418" ht="15.75" thickBot="1">
      <c r="A820" t="s">
        <v>248</v>
      </c>
      <c r="B820" t="s">
        <v>2327</v>
      </c>
      <c r="C820" t="s">
        <v>1885</v>
      </c>
      <c r="D820" t="s">
        <v>1936</v>
      </c>
      <c r="E820" s="90" t="s">
        <v>2326</v>
      </c>
      <c r="F820" s="89" t="s">
        <v>31</v>
      </c>
      <c r="G820" t="s">
        <v>2</v>
      </c>
      <c r="H820" t="s">
        <v>30</v>
      </c>
      <c r="I820">
        <v>23.983611109999998</v>
      </c>
      <c r="J820">
        <v>90.402222219999999</v>
      </c>
      <c r="K820" t="s">
        <v>29</v>
      </c>
      <c r="AV820" t="s">
        <v>2325</v>
      </c>
      <c r="AW820">
        <f t="shared" si="1"/>
        <v>1435</v>
      </c>
      <c r="AX820" t="s">
        <v>29</v>
      </c>
      <c r="AY820">
        <v>3</v>
      </c>
      <c r="AZ820" t="s">
        <v>2324</v>
      </c>
      <c r="BA820">
        <v>2009</v>
      </c>
      <c r="BB820">
        <v>2012</v>
      </c>
      <c r="BC820">
        <v>2009.2</v>
      </c>
      <c r="BD820" t="s">
        <v>19</v>
      </c>
      <c r="BE820" t="s">
        <v>2338</v>
      </c>
      <c r="BF820" t="s">
        <v>299</v>
      </c>
      <c r="BG820" t="s">
        <v>1233</v>
      </c>
      <c r="BH820" t="s">
        <v>2319</v>
      </c>
      <c r="BI820" t="s">
        <v>2342</v>
      </c>
      <c r="BJ820" t="s">
        <v>2262</v>
      </c>
      <c r="BK820">
        <v>30</v>
      </c>
      <c r="BL820" t="s">
        <v>275</v>
      </c>
      <c r="BM820" t="s">
        <v>2319</v>
      </c>
      <c r="BN820" t="s">
        <v>2341</v>
      </c>
      <c r="BO820" t="s">
        <v>2262</v>
      </c>
      <c r="BP820">
        <v>19</v>
      </c>
      <c r="HL820" t="s">
        <v>2340</v>
      </c>
      <c r="HM820" t="s">
        <v>2316</v>
      </c>
      <c r="HP820" t="s">
        <v>29</v>
      </c>
      <c r="HQ820">
        <v>4</v>
      </c>
      <c r="HR820" t="s">
        <v>2339</v>
      </c>
      <c r="HT820" t="s">
        <v>2314</v>
      </c>
      <c r="HU820" s="58">
        <v>40192</v>
      </c>
      <c r="HV820" s="58"/>
      <c r="IP820" t="s">
        <v>2338</v>
      </c>
      <c r="IQ820" s="54" t="s">
        <v>2337</v>
      </c>
      <c r="IT820">
        <v>2009</v>
      </c>
      <c r="IU820" t="s">
        <v>2311</v>
      </c>
      <c r="IV820" s="4" t="s">
        <v>1879</v>
      </c>
      <c r="JM820" t="s">
        <v>14</v>
      </c>
      <c r="KF820" t="s">
        <v>2336</v>
      </c>
      <c r="KG820" t="s">
        <v>1548</v>
      </c>
      <c r="KH820" t="s">
        <v>2309</v>
      </c>
      <c r="KI820">
        <v>7</v>
      </c>
      <c r="KJ820" t="s">
        <v>2308</v>
      </c>
      <c r="KK820" t="s">
        <v>222</v>
      </c>
      <c r="KL820" s="8" t="s">
        <v>1922</v>
      </c>
      <c r="KO820" t="s">
        <v>219</v>
      </c>
      <c r="KP820" t="s">
        <v>2335</v>
      </c>
      <c r="KW820" t="s">
        <v>2334</v>
      </c>
      <c r="KX820" t="s">
        <v>2305</v>
      </c>
      <c r="LD820" t="s">
        <v>13</v>
      </c>
      <c r="LE820">
        <v>1900</v>
      </c>
      <c r="LM820" t="s">
        <v>2304</v>
      </c>
      <c r="LN820" t="s">
        <v>2303</v>
      </c>
      <c r="LO820">
        <v>30</v>
      </c>
      <c r="LU820" t="s">
        <v>2333</v>
      </c>
      <c r="LV820" t="s">
        <v>2301</v>
      </c>
      <c r="LZ820" t="s">
        <v>1925</v>
      </c>
      <c r="MA820">
        <v>1530</v>
      </c>
      <c r="MB820" t="s">
        <v>2300</v>
      </c>
      <c r="MH820" t="s">
        <v>2332</v>
      </c>
      <c r="MJ820" s="58">
        <v>40299</v>
      </c>
      <c r="MZ820" t="s">
        <v>2298</v>
      </c>
      <c r="NA820">
        <v>1435</v>
      </c>
      <c r="NJ820" t="s">
        <v>2295</v>
      </c>
      <c r="NK820" t="s">
        <v>2367</v>
      </c>
      <c r="NL820" t="s">
        <v>2366</v>
      </c>
      <c r="NM820" t="s">
        <v>1416</v>
      </c>
      <c r="NN820" t="s">
        <v>265</v>
      </c>
      <c r="NV820" t="s">
        <v>64</v>
      </c>
      <c r="NW820" t="s">
        <v>6</v>
      </c>
      <c r="NX820">
        <v>1656</v>
      </c>
      <c r="NY820" t="s">
        <v>29</v>
      </c>
      <c r="OC820">
        <v>3</v>
      </c>
      <c r="OT820" t="s">
        <v>2365</v>
      </c>
      <c r="OU820" t="s">
        <v>6</v>
      </c>
      <c r="OW820">
        <v>2011</v>
      </c>
      <c r="OX820">
        <v>2012</v>
      </c>
      <c r="OY820" t="s">
        <v>2311</v>
      </c>
      <c r="OZ820" t="s">
        <v>2373</v>
      </c>
      <c r="PA820" t="s">
        <v>1169</v>
      </c>
      <c r="PB820" s="58">
        <v>46136</v>
      </c>
    </row>
    <row r="821" spans="1:418" ht="15.75" thickBot="1">
      <c r="A821" t="s">
        <v>248</v>
      </c>
      <c r="B821" t="s">
        <v>2327</v>
      </c>
      <c r="C821" t="s">
        <v>1885</v>
      </c>
      <c r="D821" t="s">
        <v>1936</v>
      </c>
      <c r="E821" s="90" t="s">
        <v>2326</v>
      </c>
      <c r="F821" s="89" t="s">
        <v>31</v>
      </c>
      <c r="G821" t="s">
        <v>2</v>
      </c>
      <c r="H821" t="s">
        <v>30</v>
      </c>
      <c r="I821">
        <v>23.983611109999998</v>
      </c>
      <c r="J821">
        <v>90.402222219999999</v>
      </c>
      <c r="K821" t="s">
        <v>29</v>
      </c>
      <c r="AV821" t="s">
        <v>2325</v>
      </c>
      <c r="AW821">
        <f t="shared" si="1"/>
        <v>1435</v>
      </c>
      <c r="AX821" t="s">
        <v>29</v>
      </c>
      <c r="AY821">
        <v>3</v>
      </c>
      <c r="AZ821" t="s">
        <v>2324</v>
      </c>
      <c r="BA821">
        <v>2009</v>
      </c>
      <c r="BB821">
        <v>2012</v>
      </c>
      <c r="BC821">
        <v>2009.2</v>
      </c>
      <c r="BD821" t="s">
        <v>274</v>
      </c>
      <c r="BE821" t="s">
        <v>2313</v>
      </c>
      <c r="BF821" t="s">
        <v>64</v>
      </c>
      <c r="BG821" t="s">
        <v>1233</v>
      </c>
      <c r="BH821" t="s">
        <v>1894</v>
      </c>
      <c r="BI821" t="s">
        <v>2323</v>
      </c>
      <c r="BJ821" t="s">
        <v>2262</v>
      </c>
      <c r="BK821">
        <v>1614</v>
      </c>
      <c r="BL821" t="s">
        <v>275</v>
      </c>
      <c r="BM821" t="s">
        <v>23</v>
      </c>
      <c r="BN821" t="s">
        <v>2322</v>
      </c>
      <c r="BO821" t="s">
        <v>2262</v>
      </c>
      <c r="BP821">
        <v>20</v>
      </c>
      <c r="BQ821" t="s">
        <v>275</v>
      </c>
      <c r="BR821" t="s">
        <v>1917</v>
      </c>
      <c r="BS821" t="s">
        <v>2321</v>
      </c>
      <c r="BT821" t="s">
        <v>2262</v>
      </c>
      <c r="BU821">
        <v>30</v>
      </c>
      <c r="BV821" t="s">
        <v>275</v>
      </c>
      <c r="BW821" t="s">
        <v>2319</v>
      </c>
      <c r="BX821" t="s">
        <v>2320</v>
      </c>
      <c r="BY821" t="s">
        <v>2262</v>
      </c>
      <c r="BZ821">
        <v>35</v>
      </c>
      <c r="CA821" t="s">
        <v>275</v>
      </c>
      <c r="CB821" t="s">
        <v>2319</v>
      </c>
      <c r="CC821" t="s">
        <v>2318</v>
      </c>
      <c r="CD821" t="s">
        <v>2262</v>
      </c>
      <c r="CE821">
        <v>19</v>
      </c>
      <c r="HL821" t="s">
        <v>2317</v>
      </c>
      <c r="HM821" t="s">
        <v>2316</v>
      </c>
      <c r="HP821" t="s">
        <v>29</v>
      </c>
      <c r="HQ821">
        <v>9</v>
      </c>
      <c r="HR821" t="s">
        <v>2315</v>
      </c>
      <c r="HT821" t="s">
        <v>2314</v>
      </c>
      <c r="HU821" s="58">
        <v>40153</v>
      </c>
      <c r="IP821" t="s">
        <v>2313</v>
      </c>
      <c r="IQ821" t="s">
        <v>2312</v>
      </c>
      <c r="IT821">
        <v>2009</v>
      </c>
      <c r="IU821" t="s">
        <v>2311</v>
      </c>
      <c r="IV821" s="4" t="s">
        <v>1879</v>
      </c>
      <c r="JM821" t="s">
        <v>14</v>
      </c>
      <c r="KF821" t="s">
        <v>2310</v>
      </c>
      <c r="KG821" t="s">
        <v>1548</v>
      </c>
      <c r="KH821" t="s">
        <v>2309</v>
      </c>
      <c r="KI821">
        <v>4</v>
      </c>
      <c r="KJ821" t="s">
        <v>2308</v>
      </c>
      <c r="KK821" t="s">
        <v>2152</v>
      </c>
      <c r="KO821" t="s">
        <v>219</v>
      </c>
      <c r="KP821" t="s">
        <v>2307</v>
      </c>
      <c r="KW821" t="s">
        <v>2306</v>
      </c>
      <c r="KX821" t="s">
        <v>2305</v>
      </c>
      <c r="LD821" t="s">
        <v>13</v>
      </c>
      <c r="LE821">
        <v>1600</v>
      </c>
      <c r="LM821" t="s">
        <v>2304</v>
      </c>
      <c r="LN821" t="s">
        <v>2303</v>
      </c>
      <c r="LO821">
        <v>30</v>
      </c>
      <c r="LU821" t="s">
        <v>2302</v>
      </c>
      <c r="LV821" t="s">
        <v>2301</v>
      </c>
      <c r="LZ821" t="s">
        <v>1925</v>
      </c>
      <c r="MA821">
        <v>805</v>
      </c>
      <c r="MB821" t="s">
        <v>2300</v>
      </c>
      <c r="MH821" t="s">
        <v>2299</v>
      </c>
      <c r="MJ821" s="58">
        <v>40224</v>
      </c>
      <c r="MZ821" t="s">
        <v>2298</v>
      </c>
      <c r="NA821">
        <v>1435</v>
      </c>
      <c r="NJ821" t="s">
        <v>2295</v>
      </c>
      <c r="NK821" t="s">
        <v>2367</v>
      </c>
      <c r="NL821" t="s">
        <v>2366</v>
      </c>
      <c r="NM821" t="s">
        <v>1416</v>
      </c>
      <c r="NN821" t="s">
        <v>265</v>
      </c>
      <c r="NW821" t="s">
        <v>6</v>
      </c>
      <c r="NX821">
        <v>3068</v>
      </c>
      <c r="NY821" t="s">
        <v>29</v>
      </c>
      <c r="OC821">
        <v>3</v>
      </c>
      <c r="OT821" t="s">
        <v>2365</v>
      </c>
      <c r="OU821" t="s">
        <v>6</v>
      </c>
      <c r="OW821">
        <v>2011</v>
      </c>
      <c r="OX821">
        <v>2012</v>
      </c>
      <c r="OY821" t="s">
        <v>2311</v>
      </c>
      <c r="OZ821" t="s">
        <v>2373</v>
      </c>
      <c r="PA821" t="s">
        <v>1169</v>
      </c>
      <c r="PB821" s="58">
        <v>46136</v>
      </c>
    </row>
    <row r="822" spans="1:418" ht="15.75" thickBot="1">
      <c r="A822" t="s">
        <v>248</v>
      </c>
      <c r="B822" t="s">
        <v>2327</v>
      </c>
      <c r="C822" t="s">
        <v>1885</v>
      </c>
      <c r="D822" t="s">
        <v>1936</v>
      </c>
      <c r="E822" s="90" t="s">
        <v>2326</v>
      </c>
      <c r="F822" s="89" t="s">
        <v>31</v>
      </c>
      <c r="G822" t="s">
        <v>2</v>
      </c>
      <c r="H822" t="s">
        <v>30</v>
      </c>
      <c r="I822">
        <v>23.983611109999998</v>
      </c>
      <c r="J822">
        <v>90.402222219999999</v>
      </c>
      <c r="K822" t="s">
        <v>29</v>
      </c>
      <c r="AV822" t="s">
        <v>2325</v>
      </c>
      <c r="AW822">
        <f t="shared" si="1"/>
        <v>1435</v>
      </c>
      <c r="AX822" t="s">
        <v>29</v>
      </c>
      <c r="AY822">
        <v>3</v>
      </c>
      <c r="AZ822" t="s">
        <v>2324</v>
      </c>
      <c r="BA822">
        <v>2009</v>
      </c>
      <c r="BB822">
        <v>2012</v>
      </c>
      <c r="BC822">
        <v>2009.2</v>
      </c>
      <c r="BD822" t="s">
        <v>19</v>
      </c>
      <c r="BE822" t="s">
        <v>2354</v>
      </c>
      <c r="BF822" t="s">
        <v>39</v>
      </c>
      <c r="BG822" t="s">
        <v>1233</v>
      </c>
      <c r="BH822" t="s">
        <v>2319</v>
      </c>
      <c r="BI822" t="s">
        <v>2342</v>
      </c>
      <c r="BJ822" t="s">
        <v>2262</v>
      </c>
      <c r="BK822">
        <v>45</v>
      </c>
      <c r="BL822" t="s">
        <v>275</v>
      </c>
      <c r="BM822" t="s">
        <v>2319</v>
      </c>
      <c r="BN822" t="s">
        <v>2355</v>
      </c>
      <c r="BO822" t="s">
        <v>2262</v>
      </c>
      <c r="BP822">
        <v>49</v>
      </c>
      <c r="BQ822" t="s">
        <v>275</v>
      </c>
      <c r="BR822" t="s">
        <v>2319</v>
      </c>
      <c r="BS822" t="s">
        <v>2341</v>
      </c>
      <c r="BT822" t="s">
        <v>2262</v>
      </c>
      <c r="BU822">
        <v>49</v>
      </c>
      <c r="HL822" t="s">
        <v>2350</v>
      </c>
      <c r="HM822" t="s">
        <v>297</v>
      </c>
      <c r="HN822" t="s">
        <v>2349</v>
      </c>
      <c r="HP822" t="s">
        <v>29</v>
      </c>
      <c r="HQ822">
        <v>12</v>
      </c>
      <c r="HR822" t="s">
        <v>2348</v>
      </c>
      <c r="HT822" t="s">
        <v>2314</v>
      </c>
      <c r="HU822" s="58">
        <v>40202</v>
      </c>
      <c r="HV822" s="58"/>
      <c r="IP822" t="s">
        <v>2354</v>
      </c>
      <c r="IQ822" s="54" t="s">
        <v>2337</v>
      </c>
      <c r="IT822">
        <v>2009</v>
      </c>
      <c r="IU822" t="s">
        <v>2311</v>
      </c>
      <c r="IV822" s="4" t="s">
        <v>1879</v>
      </c>
      <c r="JM822" t="s">
        <v>14</v>
      </c>
      <c r="KF822" t="s">
        <v>2353</v>
      </c>
      <c r="KG822" t="s">
        <v>1548</v>
      </c>
      <c r="KH822" t="s">
        <v>2309</v>
      </c>
      <c r="KI822">
        <v>3</v>
      </c>
      <c r="KJ822" t="s">
        <v>2308</v>
      </c>
      <c r="KK822" t="s">
        <v>2152</v>
      </c>
      <c r="KO822" t="s">
        <v>219</v>
      </c>
      <c r="KP822" s="8" t="s">
        <v>2357</v>
      </c>
      <c r="KW822" t="s">
        <v>2352</v>
      </c>
      <c r="KX822" t="s">
        <v>2305</v>
      </c>
      <c r="LD822" t="s">
        <v>13</v>
      </c>
      <c r="LE822">
        <v>1500</v>
      </c>
      <c r="LM822" t="s">
        <v>2304</v>
      </c>
      <c r="LN822" t="s">
        <v>2303</v>
      </c>
      <c r="LO822">
        <v>7.5</v>
      </c>
      <c r="LU822" t="s">
        <v>2351</v>
      </c>
      <c r="LV822" t="s">
        <v>2301</v>
      </c>
      <c r="LZ822" t="s">
        <v>1925</v>
      </c>
      <c r="MA822">
        <v>2084</v>
      </c>
      <c r="MB822" t="s">
        <v>2300</v>
      </c>
      <c r="MH822" t="s">
        <v>2332</v>
      </c>
      <c r="MJ822" s="58">
        <v>40292</v>
      </c>
      <c r="MZ822" t="s">
        <v>2298</v>
      </c>
      <c r="NA822">
        <v>1435</v>
      </c>
      <c r="NB822" t="s">
        <v>2331</v>
      </c>
      <c r="NC822" s="2" t="s">
        <v>2296</v>
      </c>
      <c r="ND822" s="2" t="s">
        <v>2296</v>
      </c>
      <c r="NE822" s="2"/>
      <c r="NF822" s="2"/>
      <c r="NK822" t="s">
        <v>2364</v>
      </c>
      <c r="NL822" t="s">
        <v>2363</v>
      </c>
      <c r="NM822" t="s">
        <v>1518</v>
      </c>
      <c r="NN822" t="s">
        <v>265</v>
      </c>
      <c r="NV822" t="s">
        <v>2343</v>
      </c>
      <c r="NW822" t="s">
        <v>6</v>
      </c>
      <c r="NX822">
        <v>2312</v>
      </c>
      <c r="NY822" t="s">
        <v>29</v>
      </c>
      <c r="OC822">
        <v>3</v>
      </c>
      <c r="OT822" t="s">
        <v>2358</v>
      </c>
      <c r="OU822" t="s">
        <v>6</v>
      </c>
      <c r="OW822">
        <v>2009</v>
      </c>
      <c r="OX822">
        <v>2010</v>
      </c>
      <c r="OY822" t="s">
        <v>2311</v>
      </c>
      <c r="OZ822" t="s">
        <v>2373</v>
      </c>
      <c r="PA822" t="s">
        <v>1169</v>
      </c>
      <c r="PB822" s="58">
        <v>46136</v>
      </c>
    </row>
    <row r="823" spans="1:418" ht="15.75" thickBot="1">
      <c r="A823" t="s">
        <v>248</v>
      </c>
      <c r="B823" t="s">
        <v>2327</v>
      </c>
      <c r="C823" t="s">
        <v>1885</v>
      </c>
      <c r="D823" t="s">
        <v>1936</v>
      </c>
      <c r="E823" s="90" t="s">
        <v>2326</v>
      </c>
      <c r="F823" s="89" t="s">
        <v>31</v>
      </c>
      <c r="G823" t="s">
        <v>2</v>
      </c>
      <c r="H823" t="s">
        <v>30</v>
      </c>
      <c r="I823">
        <v>23.983611109999998</v>
      </c>
      <c r="J823">
        <v>90.402222219999999</v>
      </c>
      <c r="K823" t="s">
        <v>29</v>
      </c>
      <c r="AV823" t="s">
        <v>2325</v>
      </c>
      <c r="AW823">
        <f t="shared" si="1"/>
        <v>1435</v>
      </c>
      <c r="AX823" t="s">
        <v>29</v>
      </c>
      <c r="AY823">
        <v>3</v>
      </c>
      <c r="AZ823" t="s">
        <v>2324</v>
      </c>
      <c r="BA823">
        <v>2009</v>
      </c>
      <c r="BB823">
        <v>2012</v>
      </c>
      <c r="BC823">
        <v>2009.2</v>
      </c>
      <c r="BD823" t="s">
        <v>19</v>
      </c>
      <c r="BE823" t="s">
        <v>2347</v>
      </c>
      <c r="BF823" t="s">
        <v>24</v>
      </c>
      <c r="BG823" t="s">
        <v>1233</v>
      </c>
      <c r="BH823" t="s">
        <v>2319</v>
      </c>
      <c r="BI823" t="s">
        <v>2342</v>
      </c>
      <c r="BJ823" t="s">
        <v>2262</v>
      </c>
      <c r="BK823">
        <v>30</v>
      </c>
      <c r="BL823" t="s">
        <v>275</v>
      </c>
      <c r="BM823" t="s">
        <v>2319</v>
      </c>
      <c r="BN823" t="s">
        <v>2341</v>
      </c>
      <c r="BO823" t="s">
        <v>2262</v>
      </c>
      <c r="BP823">
        <v>35</v>
      </c>
      <c r="HL823" t="s">
        <v>2350</v>
      </c>
      <c r="HM823" t="s">
        <v>297</v>
      </c>
      <c r="HN823" t="s">
        <v>2349</v>
      </c>
      <c r="HP823" t="s">
        <v>29</v>
      </c>
      <c r="HQ823">
        <v>12</v>
      </c>
      <c r="HR823" t="s">
        <v>2348</v>
      </c>
      <c r="HT823" t="s">
        <v>2314</v>
      </c>
      <c r="HU823" s="58">
        <v>40192</v>
      </c>
      <c r="HV823" s="58"/>
      <c r="IP823" t="s">
        <v>2347</v>
      </c>
      <c r="IQ823" s="54" t="s">
        <v>2337</v>
      </c>
      <c r="IT823">
        <v>2009</v>
      </c>
      <c r="IU823" t="s">
        <v>2311</v>
      </c>
      <c r="IV823" s="4" t="s">
        <v>1879</v>
      </c>
      <c r="JM823" t="s">
        <v>14</v>
      </c>
      <c r="KF823" t="s">
        <v>2346</v>
      </c>
      <c r="KG823" t="s">
        <v>1548</v>
      </c>
      <c r="KH823" t="s">
        <v>2309</v>
      </c>
      <c r="KI823">
        <v>6</v>
      </c>
      <c r="KJ823" t="s">
        <v>2308</v>
      </c>
      <c r="KK823" t="s">
        <v>222</v>
      </c>
      <c r="KL823" s="8" t="s">
        <v>1922</v>
      </c>
      <c r="KO823" t="s">
        <v>219</v>
      </c>
      <c r="KP823" t="s">
        <v>2335</v>
      </c>
      <c r="KW823" t="s">
        <v>2345</v>
      </c>
      <c r="KX823" t="s">
        <v>2305</v>
      </c>
      <c r="LD823" t="s">
        <v>13</v>
      </c>
      <c r="LE823">
        <v>2200</v>
      </c>
      <c r="LM823" t="s">
        <v>2304</v>
      </c>
      <c r="LN823" t="s">
        <v>2303</v>
      </c>
      <c r="LO823">
        <v>30</v>
      </c>
      <c r="LU823" t="s">
        <v>2344</v>
      </c>
      <c r="LV823" t="s">
        <v>2301</v>
      </c>
      <c r="LZ823" t="s">
        <v>1925</v>
      </c>
      <c r="MA823">
        <v>1789</v>
      </c>
      <c r="MB823" t="s">
        <v>2300</v>
      </c>
      <c r="MH823" t="s">
        <v>2332</v>
      </c>
      <c r="MJ823" s="58">
        <v>40298</v>
      </c>
      <c r="MZ823" t="s">
        <v>2298</v>
      </c>
      <c r="NA823">
        <v>1435</v>
      </c>
      <c r="NB823" t="s">
        <v>2331</v>
      </c>
      <c r="NC823" s="2" t="s">
        <v>2296</v>
      </c>
      <c r="ND823" s="2" t="s">
        <v>2296</v>
      </c>
      <c r="NE823" s="2"/>
      <c r="NF823" s="2"/>
      <c r="NK823" t="s">
        <v>2364</v>
      </c>
      <c r="NL823" t="s">
        <v>2363</v>
      </c>
      <c r="NM823" t="s">
        <v>1518</v>
      </c>
      <c r="NN823" t="s">
        <v>265</v>
      </c>
      <c r="NV823" t="s">
        <v>2343</v>
      </c>
      <c r="NW823" t="s">
        <v>6</v>
      </c>
      <c r="NX823">
        <v>2929</v>
      </c>
      <c r="NY823" t="s">
        <v>29</v>
      </c>
      <c r="OC823">
        <v>3</v>
      </c>
      <c r="OT823" t="s">
        <v>2358</v>
      </c>
      <c r="OU823" t="s">
        <v>6</v>
      </c>
      <c r="OW823">
        <v>2009</v>
      </c>
      <c r="OX823">
        <v>2010</v>
      </c>
      <c r="OY823" t="s">
        <v>2311</v>
      </c>
      <c r="OZ823" t="s">
        <v>2373</v>
      </c>
      <c r="PA823" t="s">
        <v>1169</v>
      </c>
      <c r="PB823" s="58">
        <v>46136</v>
      </c>
    </row>
    <row r="824" spans="1:418" ht="15.75" thickBot="1">
      <c r="A824" t="s">
        <v>248</v>
      </c>
      <c r="B824" t="s">
        <v>2327</v>
      </c>
      <c r="C824" t="s">
        <v>1885</v>
      </c>
      <c r="D824" t="s">
        <v>1936</v>
      </c>
      <c r="E824" s="90" t="s">
        <v>2326</v>
      </c>
      <c r="F824" s="89" t="s">
        <v>31</v>
      </c>
      <c r="G824" t="s">
        <v>2</v>
      </c>
      <c r="H824" t="s">
        <v>30</v>
      </c>
      <c r="I824">
        <v>23.983611109999998</v>
      </c>
      <c r="J824">
        <v>90.402222219999999</v>
      </c>
      <c r="K824" t="s">
        <v>29</v>
      </c>
      <c r="AV824" t="s">
        <v>2325</v>
      </c>
      <c r="AW824">
        <f t="shared" si="1"/>
        <v>1435</v>
      </c>
      <c r="AX824" t="s">
        <v>29</v>
      </c>
      <c r="AY824">
        <v>3</v>
      </c>
      <c r="AZ824" t="s">
        <v>2324</v>
      </c>
      <c r="BA824">
        <v>2009</v>
      </c>
      <c r="BB824">
        <v>2012</v>
      </c>
      <c r="BC824">
        <v>2009.2</v>
      </c>
      <c r="BD824" t="s">
        <v>19</v>
      </c>
      <c r="BE824" t="s">
        <v>2338</v>
      </c>
      <c r="BF824" t="s">
        <v>299</v>
      </c>
      <c r="BG824" t="s">
        <v>1233</v>
      </c>
      <c r="BH824" t="s">
        <v>2319</v>
      </c>
      <c r="BI824" t="s">
        <v>2342</v>
      </c>
      <c r="BJ824" t="s">
        <v>2262</v>
      </c>
      <c r="BK824">
        <v>30</v>
      </c>
      <c r="BL824" t="s">
        <v>275</v>
      </c>
      <c r="BM824" t="s">
        <v>2319</v>
      </c>
      <c r="BN824" t="s">
        <v>2341</v>
      </c>
      <c r="BO824" t="s">
        <v>2262</v>
      </c>
      <c r="BP824">
        <v>19</v>
      </c>
      <c r="HL824" t="s">
        <v>2340</v>
      </c>
      <c r="HM824" t="s">
        <v>2316</v>
      </c>
      <c r="HP824" t="s">
        <v>29</v>
      </c>
      <c r="HQ824">
        <v>4</v>
      </c>
      <c r="HR824" t="s">
        <v>2339</v>
      </c>
      <c r="HT824" t="s">
        <v>2314</v>
      </c>
      <c r="HU824" s="58">
        <v>40192</v>
      </c>
      <c r="HV824" s="58"/>
      <c r="IP824" t="s">
        <v>2338</v>
      </c>
      <c r="IQ824" s="54" t="s">
        <v>2337</v>
      </c>
      <c r="IT824">
        <v>2009</v>
      </c>
      <c r="IU824" t="s">
        <v>2311</v>
      </c>
      <c r="IV824" s="4" t="s">
        <v>1879</v>
      </c>
      <c r="JM824" t="s">
        <v>14</v>
      </c>
      <c r="KF824" t="s">
        <v>2336</v>
      </c>
      <c r="KG824" t="s">
        <v>1548</v>
      </c>
      <c r="KH824" t="s">
        <v>2309</v>
      </c>
      <c r="KI824">
        <v>7</v>
      </c>
      <c r="KJ824" t="s">
        <v>2308</v>
      </c>
      <c r="KK824" t="s">
        <v>222</v>
      </c>
      <c r="KL824" s="8" t="s">
        <v>1922</v>
      </c>
      <c r="KO824" t="s">
        <v>219</v>
      </c>
      <c r="KP824" t="s">
        <v>2335</v>
      </c>
      <c r="KW824" t="s">
        <v>2334</v>
      </c>
      <c r="KX824" t="s">
        <v>2305</v>
      </c>
      <c r="LD824" t="s">
        <v>13</v>
      </c>
      <c r="LE824">
        <v>2600</v>
      </c>
      <c r="LM824" t="s">
        <v>2304</v>
      </c>
      <c r="LN824" t="s">
        <v>2303</v>
      </c>
      <c r="LO824">
        <v>30</v>
      </c>
      <c r="LU824" t="s">
        <v>2333</v>
      </c>
      <c r="LV824" t="s">
        <v>2301</v>
      </c>
      <c r="LZ824" t="s">
        <v>1925</v>
      </c>
      <c r="MA824">
        <v>1898</v>
      </c>
      <c r="MB824" t="s">
        <v>2300</v>
      </c>
      <c r="MH824" t="s">
        <v>2332</v>
      </c>
      <c r="MJ824" s="58">
        <v>40299</v>
      </c>
      <c r="MZ824" t="s">
        <v>2298</v>
      </c>
      <c r="NA824">
        <v>1435</v>
      </c>
      <c r="NB824" t="s">
        <v>2331</v>
      </c>
      <c r="NC824" s="2" t="s">
        <v>2296</v>
      </c>
      <c r="ND824" s="2" t="s">
        <v>2296</v>
      </c>
      <c r="NE824" s="2"/>
      <c r="NF824" s="2"/>
      <c r="NK824" t="s">
        <v>2364</v>
      </c>
      <c r="NL824" t="s">
        <v>2363</v>
      </c>
      <c r="NM824" t="s">
        <v>1518</v>
      </c>
      <c r="NN824" t="s">
        <v>265</v>
      </c>
      <c r="NV824" t="s">
        <v>64</v>
      </c>
      <c r="NW824" t="s">
        <v>6</v>
      </c>
      <c r="NX824">
        <v>2892</v>
      </c>
      <c r="NY824" t="s">
        <v>29</v>
      </c>
      <c r="OC824">
        <v>3</v>
      </c>
      <c r="OT824" t="s">
        <v>2358</v>
      </c>
      <c r="OU824" t="s">
        <v>6</v>
      </c>
      <c r="OW824">
        <v>2009</v>
      </c>
      <c r="OX824">
        <v>2010</v>
      </c>
      <c r="OY824" t="s">
        <v>2311</v>
      </c>
      <c r="OZ824" t="s">
        <v>2373</v>
      </c>
      <c r="PA824" t="s">
        <v>1169</v>
      </c>
      <c r="PB824" s="58">
        <v>46136</v>
      </c>
    </row>
    <row r="825" spans="1:418" ht="15.75" thickBot="1">
      <c r="A825" t="s">
        <v>248</v>
      </c>
      <c r="B825" t="s">
        <v>2327</v>
      </c>
      <c r="C825" t="s">
        <v>1885</v>
      </c>
      <c r="D825" t="s">
        <v>1936</v>
      </c>
      <c r="E825" s="90" t="s">
        <v>2326</v>
      </c>
      <c r="F825" s="89" t="s">
        <v>31</v>
      </c>
      <c r="G825" t="s">
        <v>2</v>
      </c>
      <c r="H825" t="s">
        <v>30</v>
      </c>
      <c r="I825">
        <v>23.983611109999998</v>
      </c>
      <c r="J825">
        <v>90.402222219999999</v>
      </c>
      <c r="K825" t="s">
        <v>29</v>
      </c>
      <c r="AV825" t="s">
        <v>2325</v>
      </c>
      <c r="AW825">
        <f t="shared" si="1"/>
        <v>1435</v>
      </c>
      <c r="AX825" t="s">
        <v>29</v>
      </c>
      <c r="AY825">
        <v>3</v>
      </c>
      <c r="AZ825" t="s">
        <v>2324</v>
      </c>
      <c r="BA825">
        <v>2009</v>
      </c>
      <c r="BB825">
        <v>2012</v>
      </c>
      <c r="BC825">
        <v>2009.2</v>
      </c>
      <c r="BD825" t="s">
        <v>274</v>
      </c>
      <c r="BE825" t="s">
        <v>2313</v>
      </c>
      <c r="BF825" t="s">
        <v>64</v>
      </c>
      <c r="BG825" t="s">
        <v>1233</v>
      </c>
      <c r="BH825" t="s">
        <v>1894</v>
      </c>
      <c r="BI825" t="s">
        <v>2323</v>
      </c>
      <c r="BJ825" t="s">
        <v>2262</v>
      </c>
      <c r="BK825">
        <v>1614</v>
      </c>
      <c r="BL825" t="s">
        <v>275</v>
      </c>
      <c r="BM825" t="s">
        <v>23</v>
      </c>
      <c r="BN825" t="s">
        <v>2322</v>
      </c>
      <c r="BO825" t="s">
        <v>2262</v>
      </c>
      <c r="BP825">
        <v>20</v>
      </c>
      <c r="BQ825" t="s">
        <v>275</v>
      </c>
      <c r="BR825" t="s">
        <v>1917</v>
      </c>
      <c r="BS825" t="s">
        <v>2321</v>
      </c>
      <c r="BT825" t="s">
        <v>2262</v>
      </c>
      <c r="BU825">
        <v>30</v>
      </c>
      <c r="BV825" t="s">
        <v>275</v>
      </c>
      <c r="BW825" t="s">
        <v>2319</v>
      </c>
      <c r="BX825" t="s">
        <v>2320</v>
      </c>
      <c r="BY825" t="s">
        <v>2262</v>
      </c>
      <c r="BZ825">
        <v>35</v>
      </c>
      <c r="CA825" t="s">
        <v>275</v>
      </c>
      <c r="CB825" t="s">
        <v>2319</v>
      </c>
      <c r="CC825" t="s">
        <v>2318</v>
      </c>
      <c r="CD825" t="s">
        <v>2262</v>
      </c>
      <c r="CE825">
        <v>19</v>
      </c>
      <c r="HL825" t="s">
        <v>2317</v>
      </c>
      <c r="HM825" t="s">
        <v>2316</v>
      </c>
      <c r="HP825" t="s">
        <v>29</v>
      </c>
      <c r="HQ825">
        <v>9</v>
      </c>
      <c r="HR825" t="s">
        <v>2315</v>
      </c>
      <c r="HT825" t="s">
        <v>2314</v>
      </c>
      <c r="HU825" s="58">
        <v>40153</v>
      </c>
      <c r="IP825" t="s">
        <v>2313</v>
      </c>
      <c r="IQ825" t="s">
        <v>2312</v>
      </c>
      <c r="IT825">
        <v>2009</v>
      </c>
      <c r="IU825" t="s">
        <v>2311</v>
      </c>
      <c r="IV825" s="4" t="s">
        <v>1879</v>
      </c>
      <c r="JM825" t="s">
        <v>14</v>
      </c>
      <c r="KF825" t="s">
        <v>2310</v>
      </c>
      <c r="KG825" t="s">
        <v>1548</v>
      </c>
      <c r="KH825" t="s">
        <v>2309</v>
      </c>
      <c r="KI825">
        <v>4</v>
      </c>
      <c r="KJ825" t="s">
        <v>2308</v>
      </c>
      <c r="KK825" t="s">
        <v>2152</v>
      </c>
      <c r="KO825" t="s">
        <v>219</v>
      </c>
      <c r="KP825" t="s">
        <v>2307</v>
      </c>
      <c r="KW825" t="s">
        <v>2306</v>
      </c>
      <c r="KX825" t="s">
        <v>2305</v>
      </c>
      <c r="LD825" t="s">
        <v>13</v>
      </c>
      <c r="LE825">
        <v>4600</v>
      </c>
      <c r="LM825" t="s">
        <v>2304</v>
      </c>
      <c r="LN825" t="s">
        <v>2303</v>
      </c>
      <c r="LO825">
        <v>30</v>
      </c>
      <c r="LU825" t="s">
        <v>2302</v>
      </c>
      <c r="LV825" t="s">
        <v>2301</v>
      </c>
      <c r="LZ825" t="s">
        <v>1925</v>
      </c>
      <c r="MA825">
        <v>1426</v>
      </c>
      <c r="MB825" t="s">
        <v>2300</v>
      </c>
      <c r="MH825" t="s">
        <v>2299</v>
      </c>
      <c r="MJ825" s="58">
        <v>40224</v>
      </c>
      <c r="MZ825" t="s">
        <v>2298</v>
      </c>
      <c r="NA825">
        <v>1435</v>
      </c>
      <c r="NB825" t="s">
        <v>2297</v>
      </c>
      <c r="NC825" s="2"/>
      <c r="ND825" s="2" t="s">
        <v>2296</v>
      </c>
      <c r="NE825" t="s">
        <v>1894</v>
      </c>
      <c r="NF825" s="2" t="s">
        <v>168</v>
      </c>
      <c r="NK825" t="s">
        <v>2364</v>
      </c>
      <c r="NL825" t="s">
        <v>2363</v>
      </c>
      <c r="NM825" t="s">
        <v>1518</v>
      </c>
      <c r="NN825" t="s">
        <v>265</v>
      </c>
      <c r="NW825" t="s">
        <v>6</v>
      </c>
      <c r="NX825">
        <v>5545</v>
      </c>
      <c r="NY825" t="s">
        <v>29</v>
      </c>
      <c r="OC825">
        <v>3</v>
      </c>
      <c r="OT825" t="s">
        <v>2358</v>
      </c>
      <c r="OU825" t="s">
        <v>6</v>
      </c>
      <c r="OW825">
        <v>2009</v>
      </c>
      <c r="OX825">
        <v>2010</v>
      </c>
      <c r="OY825" t="s">
        <v>2311</v>
      </c>
      <c r="OZ825" t="s">
        <v>2373</v>
      </c>
      <c r="PA825" t="s">
        <v>1169</v>
      </c>
      <c r="PB825" s="58">
        <v>46136</v>
      </c>
    </row>
    <row r="826" spans="1:418" ht="15.75" thickBot="1">
      <c r="A826" t="s">
        <v>248</v>
      </c>
      <c r="B826" t="s">
        <v>2327</v>
      </c>
      <c r="C826" t="s">
        <v>1885</v>
      </c>
      <c r="D826" t="s">
        <v>1936</v>
      </c>
      <c r="E826" s="90" t="s">
        <v>2326</v>
      </c>
      <c r="F826" s="89" t="s">
        <v>31</v>
      </c>
      <c r="G826" t="s">
        <v>2</v>
      </c>
      <c r="H826" t="s">
        <v>30</v>
      </c>
      <c r="I826">
        <v>23.983611109999998</v>
      </c>
      <c r="J826">
        <v>90.402222219999999</v>
      </c>
      <c r="K826" t="s">
        <v>29</v>
      </c>
      <c r="AV826" t="s">
        <v>2325</v>
      </c>
      <c r="AW826">
        <f t="shared" si="1"/>
        <v>1435</v>
      </c>
      <c r="AX826" t="s">
        <v>29</v>
      </c>
      <c r="AY826">
        <v>3</v>
      </c>
      <c r="AZ826" t="s">
        <v>2324</v>
      </c>
      <c r="BA826">
        <v>2009</v>
      </c>
      <c r="BB826">
        <v>2012</v>
      </c>
      <c r="BC826">
        <v>2009.2</v>
      </c>
      <c r="BD826" t="s">
        <v>19</v>
      </c>
      <c r="BE826" t="s">
        <v>2354</v>
      </c>
      <c r="BF826" t="s">
        <v>39</v>
      </c>
      <c r="BG826" t="s">
        <v>1233</v>
      </c>
      <c r="BH826" t="s">
        <v>2319</v>
      </c>
      <c r="BI826" t="s">
        <v>2342</v>
      </c>
      <c r="BJ826" t="s">
        <v>2262</v>
      </c>
      <c r="BK826">
        <v>45</v>
      </c>
      <c r="BL826" t="s">
        <v>275</v>
      </c>
      <c r="BM826" t="s">
        <v>2319</v>
      </c>
      <c r="BN826" t="s">
        <v>2355</v>
      </c>
      <c r="BO826" t="s">
        <v>2262</v>
      </c>
      <c r="BP826">
        <v>49</v>
      </c>
      <c r="BQ826" t="s">
        <v>275</v>
      </c>
      <c r="BR826" t="s">
        <v>2319</v>
      </c>
      <c r="BS826" t="s">
        <v>2341</v>
      </c>
      <c r="BT826" t="s">
        <v>2262</v>
      </c>
      <c r="BU826">
        <v>49</v>
      </c>
      <c r="HL826" t="s">
        <v>2350</v>
      </c>
      <c r="HM826" t="s">
        <v>297</v>
      </c>
      <c r="HN826" t="s">
        <v>2349</v>
      </c>
      <c r="HP826" t="s">
        <v>29</v>
      </c>
      <c r="HQ826">
        <v>12</v>
      </c>
      <c r="HR826" t="s">
        <v>2348</v>
      </c>
      <c r="HT826" t="s">
        <v>2314</v>
      </c>
      <c r="HU826" s="58">
        <v>40202</v>
      </c>
      <c r="HV826" s="58"/>
      <c r="IP826" t="s">
        <v>2354</v>
      </c>
      <c r="IQ826" s="54" t="s">
        <v>2337</v>
      </c>
      <c r="IT826">
        <v>2009</v>
      </c>
      <c r="IU826" t="s">
        <v>2311</v>
      </c>
      <c r="IV826" s="4" t="s">
        <v>1879</v>
      </c>
      <c r="JM826" t="s">
        <v>14</v>
      </c>
      <c r="KF826" t="s">
        <v>2353</v>
      </c>
      <c r="KG826" t="s">
        <v>1548</v>
      </c>
      <c r="KH826" t="s">
        <v>2309</v>
      </c>
      <c r="KI826">
        <v>3</v>
      </c>
      <c r="KJ826" t="s">
        <v>2308</v>
      </c>
      <c r="KK826" t="s">
        <v>2152</v>
      </c>
      <c r="KO826" t="s">
        <v>219</v>
      </c>
      <c r="KP826" s="8" t="s">
        <v>2357</v>
      </c>
      <c r="KW826" t="s">
        <v>2352</v>
      </c>
      <c r="KX826" t="s">
        <v>2305</v>
      </c>
      <c r="LD826" t="s">
        <v>13</v>
      </c>
      <c r="LE826">
        <v>0</v>
      </c>
      <c r="LM826" t="s">
        <v>2304</v>
      </c>
      <c r="LN826" t="s">
        <v>2303</v>
      </c>
      <c r="LO826">
        <v>7.5</v>
      </c>
      <c r="LU826" t="s">
        <v>2351</v>
      </c>
      <c r="LV826" t="s">
        <v>2301</v>
      </c>
      <c r="LZ826" t="s">
        <v>1925</v>
      </c>
      <c r="MA826">
        <v>2172</v>
      </c>
      <c r="MB826" t="s">
        <v>2300</v>
      </c>
      <c r="MH826" t="s">
        <v>2332</v>
      </c>
      <c r="MJ826" s="58">
        <v>40292</v>
      </c>
      <c r="MZ826" t="s">
        <v>2298</v>
      </c>
      <c r="NA826">
        <v>1435</v>
      </c>
      <c r="NB826" t="s">
        <v>2331</v>
      </c>
      <c r="NC826" s="2" t="s">
        <v>2296</v>
      </c>
      <c r="ND826" s="2" t="s">
        <v>2296</v>
      </c>
      <c r="NE826" s="2"/>
      <c r="NF826" s="2"/>
      <c r="NK826" t="s">
        <v>2364</v>
      </c>
      <c r="NL826" t="s">
        <v>2363</v>
      </c>
      <c r="NM826" t="s">
        <v>1518</v>
      </c>
      <c r="NN826" t="s">
        <v>265</v>
      </c>
      <c r="NV826" t="s">
        <v>2343</v>
      </c>
      <c r="NW826" t="s">
        <v>6</v>
      </c>
      <c r="NX826">
        <v>2128</v>
      </c>
      <c r="NY826" t="s">
        <v>29</v>
      </c>
      <c r="OC826">
        <v>3</v>
      </c>
      <c r="OT826" t="s">
        <v>2358</v>
      </c>
      <c r="OU826" t="s">
        <v>6</v>
      </c>
      <c r="OW826">
        <v>2010</v>
      </c>
      <c r="OX826">
        <v>2011</v>
      </c>
      <c r="OY826" t="s">
        <v>2311</v>
      </c>
      <c r="OZ826" t="s">
        <v>2373</v>
      </c>
      <c r="PA826" t="s">
        <v>1169</v>
      </c>
      <c r="PB826" s="58">
        <v>46136</v>
      </c>
    </row>
    <row r="827" spans="1:418" ht="15.75" thickBot="1">
      <c r="A827" t="s">
        <v>248</v>
      </c>
      <c r="B827" t="s">
        <v>2327</v>
      </c>
      <c r="C827" t="s">
        <v>1885</v>
      </c>
      <c r="D827" t="s">
        <v>1936</v>
      </c>
      <c r="E827" s="90" t="s">
        <v>2326</v>
      </c>
      <c r="F827" s="89" t="s">
        <v>31</v>
      </c>
      <c r="G827" t="s">
        <v>2</v>
      </c>
      <c r="H827" t="s">
        <v>30</v>
      </c>
      <c r="I827">
        <v>23.983611109999998</v>
      </c>
      <c r="J827">
        <v>90.402222219999999</v>
      </c>
      <c r="K827" t="s">
        <v>29</v>
      </c>
      <c r="AV827" t="s">
        <v>2325</v>
      </c>
      <c r="AW827">
        <f t="shared" si="1"/>
        <v>1435</v>
      </c>
      <c r="AX827" t="s">
        <v>29</v>
      </c>
      <c r="AY827">
        <v>3</v>
      </c>
      <c r="AZ827" t="s">
        <v>2324</v>
      </c>
      <c r="BA827">
        <v>2009</v>
      </c>
      <c r="BB827">
        <v>2012</v>
      </c>
      <c r="BC827">
        <v>2009.2</v>
      </c>
      <c r="BD827" t="s">
        <v>19</v>
      </c>
      <c r="BE827" t="s">
        <v>2347</v>
      </c>
      <c r="BF827" t="s">
        <v>24</v>
      </c>
      <c r="BG827" t="s">
        <v>1233</v>
      </c>
      <c r="BH827" t="s">
        <v>2319</v>
      </c>
      <c r="BI827" t="s">
        <v>2342</v>
      </c>
      <c r="BJ827" t="s">
        <v>2262</v>
      </c>
      <c r="BK827">
        <v>30</v>
      </c>
      <c r="BL827" t="s">
        <v>275</v>
      </c>
      <c r="BM827" t="s">
        <v>2319</v>
      </c>
      <c r="BN827" t="s">
        <v>2341</v>
      </c>
      <c r="BO827" t="s">
        <v>2262</v>
      </c>
      <c r="BP827">
        <v>35</v>
      </c>
      <c r="HL827" t="s">
        <v>2350</v>
      </c>
      <c r="HM827" t="s">
        <v>297</v>
      </c>
      <c r="HN827" t="s">
        <v>2349</v>
      </c>
      <c r="HP827" t="s">
        <v>29</v>
      </c>
      <c r="HQ827">
        <v>12</v>
      </c>
      <c r="HR827" t="s">
        <v>2348</v>
      </c>
      <c r="HT827" t="s">
        <v>2314</v>
      </c>
      <c r="HU827" s="58">
        <v>40192</v>
      </c>
      <c r="HV827" s="58"/>
      <c r="IP827" t="s">
        <v>2347</v>
      </c>
      <c r="IQ827" s="54" t="s">
        <v>2337</v>
      </c>
      <c r="IT827">
        <v>2009</v>
      </c>
      <c r="IU827" t="s">
        <v>2311</v>
      </c>
      <c r="IV827" s="4" t="s">
        <v>1879</v>
      </c>
      <c r="JM827" t="s">
        <v>14</v>
      </c>
      <c r="KF827" t="s">
        <v>2346</v>
      </c>
      <c r="KG827" t="s">
        <v>1548</v>
      </c>
      <c r="KH827" t="s">
        <v>2309</v>
      </c>
      <c r="KI827">
        <v>6</v>
      </c>
      <c r="KJ827" t="s">
        <v>2308</v>
      </c>
      <c r="KK827" t="s">
        <v>222</v>
      </c>
      <c r="KL827" s="8" t="s">
        <v>1922</v>
      </c>
      <c r="KO827" t="s">
        <v>219</v>
      </c>
      <c r="KP827" t="s">
        <v>2335</v>
      </c>
      <c r="KW827" t="s">
        <v>2345</v>
      </c>
      <c r="KX827" t="s">
        <v>2305</v>
      </c>
      <c r="LD827" t="s">
        <v>13</v>
      </c>
      <c r="LE827">
        <v>1600</v>
      </c>
      <c r="LM827" t="s">
        <v>2304</v>
      </c>
      <c r="LN827" t="s">
        <v>2303</v>
      </c>
      <c r="LO827">
        <v>30</v>
      </c>
      <c r="LU827" t="s">
        <v>2344</v>
      </c>
      <c r="LV827" t="s">
        <v>2301</v>
      </c>
      <c r="LZ827" t="s">
        <v>1925</v>
      </c>
      <c r="MA827">
        <v>1946</v>
      </c>
      <c r="MB827" t="s">
        <v>2300</v>
      </c>
      <c r="MH827" t="s">
        <v>2332</v>
      </c>
      <c r="MJ827" s="58">
        <v>40298</v>
      </c>
      <c r="MZ827" t="s">
        <v>2298</v>
      </c>
      <c r="NA827">
        <v>1435</v>
      </c>
      <c r="NB827" t="s">
        <v>2331</v>
      </c>
      <c r="NC827" s="2" t="s">
        <v>2296</v>
      </c>
      <c r="ND827" s="2" t="s">
        <v>2296</v>
      </c>
      <c r="NE827" s="2"/>
      <c r="NF827" s="2"/>
      <c r="NK827" t="s">
        <v>2364</v>
      </c>
      <c r="NL827" t="s">
        <v>2363</v>
      </c>
      <c r="NM827" t="s">
        <v>1518</v>
      </c>
      <c r="NN827" t="s">
        <v>265</v>
      </c>
      <c r="NV827" t="s">
        <v>2343</v>
      </c>
      <c r="NW827" t="s">
        <v>6</v>
      </c>
      <c r="NX827">
        <v>2833</v>
      </c>
      <c r="NY827" t="s">
        <v>29</v>
      </c>
      <c r="OC827">
        <v>3</v>
      </c>
      <c r="OT827" t="s">
        <v>2358</v>
      </c>
      <c r="OU827" t="s">
        <v>6</v>
      </c>
      <c r="OW827">
        <v>2010</v>
      </c>
      <c r="OX827">
        <v>2011</v>
      </c>
      <c r="OY827" t="s">
        <v>2311</v>
      </c>
      <c r="OZ827" t="s">
        <v>2373</v>
      </c>
      <c r="PA827" t="s">
        <v>1169</v>
      </c>
      <c r="PB827" s="58">
        <v>46136</v>
      </c>
    </row>
    <row r="828" spans="1:418" ht="15.75" thickBot="1">
      <c r="A828" t="s">
        <v>248</v>
      </c>
      <c r="B828" t="s">
        <v>2327</v>
      </c>
      <c r="C828" t="s">
        <v>1885</v>
      </c>
      <c r="D828" t="s">
        <v>1936</v>
      </c>
      <c r="E828" s="90" t="s">
        <v>2326</v>
      </c>
      <c r="F828" s="89" t="s">
        <v>31</v>
      </c>
      <c r="G828" t="s">
        <v>2</v>
      </c>
      <c r="H828" t="s">
        <v>30</v>
      </c>
      <c r="I828">
        <v>23.983611109999998</v>
      </c>
      <c r="J828">
        <v>90.402222219999999</v>
      </c>
      <c r="K828" t="s">
        <v>29</v>
      </c>
      <c r="AV828" t="s">
        <v>2325</v>
      </c>
      <c r="AW828">
        <f t="shared" si="1"/>
        <v>1435</v>
      </c>
      <c r="AX828" t="s">
        <v>29</v>
      </c>
      <c r="AY828">
        <v>3</v>
      </c>
      <c r="AZ828" t="s">
        <v>2324</v>
      </c>
      <c r="BA828">
        <v>2009</v>
      </c>
      <c r="BB828">
        <v>2012</v>
      </c>
      <c r="BC828">
        <v>2009.2</v>
      </c>
      <c r="BD828" t="s">
        <v>19</v>
      </c>
      <c r="BE828" t="s">
        <v>2338</v>
      </c>
      <c r="BF828" t="s">
        <v>299</v>
      </c>
      <c r="BG828" t="s">
        <v>1233</v>
      </c>
      <c r="BH828" t="s">
        <v>2319</v>
      </c>
      <c r="BI828" t="s">
        <v>2342</v>
      </c>
      <c r="BJ828" t="s">
        <v>2262</v>
      </c>
      <c r="BK828">
        <v>30</v>
      </c>
      <c r="BL828" t="s">
        <v>275</v>
      </c>
      <c r="BM828" t="s">
        <v>2319</v>
      </c>
      <c r="BN828" t="s">
        <v>2341</v>
      </c>
      <c r="BO828" t="s">
        <v>2262</v>
      </c>
      <c r="BP828">
        <v>19</v>
      </c>
      <c r="HL828" t="s">
        <v>2340</v>
      </c>
      <c r="HM828" t="s">
        <v>2316</v>
      </c>
      <c r="HP828" t="s">
        <v>29</v>
      </c>
      <c r="HQ828">
        <v>4</v>
      </c>
      <c r="HR828" t="s">
        <v>2339</v>
      </c>
      <c r="HT828" t="s">
        <v>2314</v>
      </c>
      <c r="HU828" s="58">
        <v>40192</v>
      </c>
      <c r="HV828" s="58"/>
      <c r="IP828" t="s">
        <v>2338</v>
      </c>
      <c r="IQ828" s="54" t="s">
        <v>2337</v>
      </c>
      <c r="IT828">
        <v>2009</v>
      </c>
      <c r="IU828" t="s">
        <v>2311</v>
      </c>
      <c r="IV828" s="4" t="s">
        <v>1879</v>
      </c>
      <c r="JM828" t="s">
        <v>14</v>
      </c>
      <c r="KF828" t="s">
        <v>2336</v>
      </c>
      <c r="KG828" t="s">
        <v>1548</v>
      </c>
      <c r="KH828" t="s">
        <v>2309</v>
      </c>
      <c r="KI828">
        <v>7</v>
      </c>
      <c r="KJ828" t="s">
        <v>2308</v>
      </c>
      <c r="KK828" t="s">
        <v>222</v>
      </c>
      <c r="KL828" s="8" t="s">
        <v>1922</v>
      </c>
      <c r="KO828" t="s">
        <v>219</v>
      </c>
      <c r="KP828" t="s">
        <v>2335</v>
      </c>
      <c r="KW828" t="s">
        <v>2334</v>
      </c>
      <c r="KX828" t="s">
        <v>2305</v>
      </c>
      <c r="LD828" t="s">
        <v>13</v>
      </c>
      <c r="LE828">
        <v>1400</v>
      </c>
      <c r="LM828" t="s">
        <v>2304</v>
      </c>
      <c r="LN828" t="s">
        <v>2303</v>
      </c>
      <c r="LO828">
        <v>30</v>
      </c>
      <c r="LU828" t="s">
        <v>2333</v>
      </c>
      <c r="LV828" t="s">
        <v>2301</v>
      </c>
      <c r="LZ828" t="s">
        <v>1925</v>
      </c>
      <c r="MA828">
        <v>2001</v>
      </c>
      <c r="MB828" t="s">
        <v>2300</v>
      </c>
      <c r="MH828" t="s">
        <v>2332</v>
      </c>
      <c r="MJ828" s="58">
        <v>40299</v>
      </c>
      <c r="MZ828" t="s">
        <v>2298</v>
      </c>
      <c r="NA828">
        <v>1435</v>
      </c>
      <c r="NB828" t="s">
        <v>2331</v>
      </c>
      <c r="NC828" s="2" t="s">
        <v>2296</v>
      </c>
      <c r="ND828" s="2" t="s">
        <v>2296</v>
      </c>
      <c r="NE828" s="2"/>
      <c r="NF828" s="2"/>
      <c r="NK828" t="s">
        <v>2364</v>
      </c>
      <c r="NL828" t="s">
        <v>2363</v>
      </c>
      <c r="NM828" t="s">
        <v>1518</v>
      </c>
      <c r="NN828" t="s">
        <v>265</v>
      </c>
      <c r="NV828" t="s">
        <v>64</v>
      </c>
      <c r="NW828" t="s">
        <v>6</v>
      </c>
      <c r="NX828">
        <v>2781</v>
      </c>
      <c r="NY828" t="s">
        <v>29</v>
      </c>
      <c r="OC828">
        <v>3</v>
      </c>
      <c r="OT828" t="s">
        <v>2358</v>
      </c>
      <c r="OU828" t="s">
        <v>6</v>
      </c>
      <c r="OW828">
        <v>2010</v>
      </c>
      <c r="OX828">
        <v>2011</v>
      </c>
      <c r="OY828" t="s">
        <v>2311</v>
      </c>
      <c r="OZ828" t="s">
        <v>2373</v>
      </c>
      <c r="PA828" t="s">
        <v>1169</v>
      </c>
      <c r="PB828" s="58">
        <v>46136</v>
      </c>
    </row>
    <row r="829" spans="1:418" ht="15.75" thickBot="1">
      <c r="A829" t="s">
        <v>248</v>
      </c>
      <c r="B829" t="s">
        <v>2327</v>
      </c>
      <c r="C829" t="s">
        <v>1885</v>
      </c>
      <c r="D829" t="s">
        <v>1936</v>
      </c>
      <c r="E829" s="90" t="s">
        <v>2326</v>
      </c>
      <c r="F829" s="89" t="s">
        <v>31</v>
      </c>
      <c r="G829" t="s">
        <v>2</v>
      </c>
      <c r="H829" t="s">
        <v>30</v>
      </c>
      <c r="I829">
        <v>23.983611109999998</v>
      </c>
      <c r="J829">
        <v>90.402222219999999</v>
      </c>
      <c r="K829" t="s">
        <v>29</v>
      </c>
      <c r="AV829" t="s">
        <v>2325</v>
      </c>
      <c r="AW829">
        <f t="shared" si="1"/>
        <v>1435</v>
      </c>
      <c r="AX829" t="s">
        <v>29</v>
      </c>
      <c r="AY829">
        <v>3</v>
      </c>
      <c r="AZ829" t="s">
        <v>2324</v>
      </c>
      <c r="BA829">
        <v>2009</v>
      </c>
      <c r="BB829">
        <v>2012</v>
      </c>
      <c r="BC829">
        <v>2009.2</v>
      </c>
      <c r="BD829" t="s">
        <v>274</v>
      </c>
      <c r="BE829" t="s">
        <v>2313</v>
      </c>
      <c r="BF829" t="s">
        <v>64</v>
      </c>
      <c r="BG829" t="s">
        <v>1233</v>
      </c>
      <c r="BH829" t="s">
        <v>1894</v>
      </c>
      <c r="BI829" t="s">
        <v>2323</v>
      </c>
      <c r="BJ829" t="s">
        <v>2262</v>
      </c>
      <c r="BK829">
        <v>1614</v>
      </c>
      <c r="BL829" t="s">
        <v>275</v>
      </c>
      <c r="BM829" t="s">
        <v>23</v>
      </c>
      <c r="BN829" t="s">
        <v>2322</v>
      </c>
      <c r="BO829" t="s">
        <v>2262</v>
      </c>
      <c r="BP829">
        <v>20</v>
      </c>
      <c r="BQ829" t="s">
        <v>275</v>
      </c>
      <c r="BR829" t="s">
        <v>1917</v>
      </c>
      <c r="BS829" t="s">
        <v>2321</v>
      </c>
      <c r="BT829" t="s">
        <v>2262</v>
      </c>
      <c r="BU829">
        <v>30</v>
      </c>
      <c r="BV829" t="s">
        <v>275</v>
      </c>
      <c r="BW829" t="s">
        <v>2319</v>
      </c>
      <c r="BX829" t="s">
        <v>2320</v>
      </c>
      <c r="BY829" t="s">
        <v>2262</v>
      </c>
      <c r="BZ829">
        <v>35</v>
      </c>
      <c r="CA829" t="s">
        <v>275</v>
      </c>
      <c r="CB829" t="s">
        <v>2319</v>
      </c>
      <c r="CC829" t="s">
        <v>2318</v>
      </c>
      <c r="CD829" t="s">
        <v>2262</v>
      </c>
      <c r="CE829">
        <v>19</v>
      </c>
      <c r="HL829" t="s">
        <v>2317</v>
      </c>
      <c r="HM829" t="s">
        <v>2316</v>
      </c>
      <c r="HP829" t="s">
        <v>29</v>
      </c>
      <c r="HQ829">
        <v>9</v>
      </c>
      <c r="HR829" t="s">
        <v>2315</v>
      </c>
      <c r="HT829" t="s">
        <v>2314</v>
      </c>
      <c r="HU829" s="58">
        <v>40153</v>
      </c>
      <c r="IP829" t="s">
        <v>2313</v>
      </c>
      <c r="IQ829" t="s">
        <v>2312</v>
      </c>
      <c r="IT829">
        <v>2009</v>
      </c>
      <c r="IU829" t="s">
        <v>2311</v>
      </c>
      <c r="IV829" s="4" t="s">
        <v>1879</v>
      </c>
      <c r="JM829" t="s">
        <v>14</v>
      </c>
      <c r="KF829" t="s">
        <v>2310</v>
      </c>
      <c r="KG829" t="s">
        <v>1548</v>
      </c>
      <c r="KH829" t="s">
        <v>2309</v>
      </c>
      <c r="KI829">
        <v>4</v>
      </c>
      <c r="KJ829" t="s">
        <v>2308</v>
      </c>
      <c r="KK829" t="s">
        <v>2152</v>
      </c>
      <c r="KO829" t="s">
        <v>219</v>
      </c>
      <c r="KP829" t="s">
        <v>2307</v>
      </c>
      <c r="KS829" t="s">
        <v>219</v>
      </c>
      <c r="KT829" s="8" t="s">
        <v>2356</v>
      </c>
      <c r="KW829" t="s">
        <v>2306</v>
      </c>
      <c r="KX829" t="s">
        <v>2305</v>
      </c>
      <c r="LD829" t="s">
        <v>13</v>
      </c>
      <c r="LE829">
        <v>1600</v>
      </c>
      <c r="LM829" t="s">
        <v>2304</v>
      </c>
      <c r="LN829" t="s">
        <v>2303</v>
      </c>
      <c r="LO829">
        <v>30</v>
      </c>
      <c r="LU829" t="s">
        <v>2302</v>
      </c>
      <c r="LV829" t="s">
        <v>2301</v>
      </c>
      <c r="LZ829" t="s">
        <v>1925</v>
      </c>
      <c r="MA829">
        <v>1186</v>
      </c>
      <c r="MB829" t="s">
        <v>2300</v>
      </c>
      <c r="MH829" t="s">
        <v>2299</v>
      </c>
      <c r="MJ829" s="58">
        <v>40224</v>
      </c>
      <c r="MZ829" t="s">
        <v>2298</v>
      </c>
      <c r="NA829">
        <v>1435</v>
      </c>
      <c r="NB829" t="s">
        <v>2297</v>
      </c>
      <c r="NC829" s="2"/>
      <c r="ND829" s="2" t="s">
        <v>2296</v>
      </c>
      <c r="NE829" s="2"/>
      <c r="NF829" s="2"/>
      <c r="NK829" t="s">
        <v>2364</v>
      </c>
      <c r="NL829" t="s">
        <v>2363</v>
      </c>
      <c r="NM829" t="s">
        <v>1518</v>
      </c>
      <c r="NN829" t="s">
        <v>265</v>
      </c>
      <c r="NW829" t="s">
        <v>6</v>
      </c>
      <c r="NX829">
        <v>3871</v>
      </c>
      <c r="NY829" t="s">
        <v>29</v>
      </c>
      <c r="OC829">
        <v>3</v>
      </c>
      <c r="OT829" t="s">
        <v>2358</v>
      </c>
      <c r="OU829" t="s">
        <v>6</v>
      </c>
      <c r="OW829">
        <v>2010</v>
      </c>
      <c r="OX829">
        <v>2011</v>
      </c>
      <c r="OY829" t="s">
        <v>2311</v>
      </c>
      <c r="OZ829" t="s">
        <v>2373</v>
      </c>
      <c r="PA829" t="s">
        <v>1169</v>
      </c>
      <c r="PB829" s="58">
        <v>46136</v>
      </c>
    </row>
    <row r="830" spans="1:418" ht="15.75" thickBot="1">
      <c r="A830" t="s">
        <v>248</v>
      </c>
      <c r="B830" t="s">
        <v>2327</v>
      </c>
      <c r="C830" t="s">
        <v>1885</v>
      </c>
      <c r="D830" t="s">
        <v>1936</v>
      </c>
      <c r="E830" s="90" t="s">
        <v>2326</v>
      </c>
      <c r="F830" s="89" t="s">
        <v>31</v>
      </c>
      <c r="G830" t="s">
        <v>2</v>
      </c>
      <c r="H830" t="s">
        <v>30</v>
      </c>
      <c r="I830">
        <v>23.983611109999998</v>
      </c>
      <c r="J830">
        <v>90.402222219999999</v>
      </c>
      <c r="K830" t="s">
        <v>29</v>
      </c>
      <c r="AV830" t="s">
        <v>2325</v>
      </c>
      <c r="AW830">
        <f t="shared" si="1"/>
        <v>1435</v>
      </c>
      <c r="AX830" t="s">
        <v>29</v>
      </c>
      <c r="AY830">
        <v>3</v>
      </c>
      <c r="AZ830" t="s">
        <v>2324</v>
      </c>
      <c r="BA830">
        <v>2009</v>
      </c>
      <c r="BB830">
        <v>2012</v>
      </c>
      <c r="BC830">
        <v>2009.2</v>
      </c>
      <c r="BD830" t="s">
        <v>19</v>
      </c>
      <c r="BE830" t="s">
        <v>2354</v>
      </c>
      <c r="BF830" t="s">
        <v>39</v>
      </c>
      <c r="BG830" t="s">
        <v>1233</v>
      </c>
      <c r="BH830" t="s">
        <v>2319</v>
      </c>
      <c r="BI830" t="s">
        <v>2342</v>
      </c>
      <c r="BJ830" t="s">
        <v>2262</v>
      </c>
      <c r="BK830">
        <v>45</v>
      </c>
      <c r="BL830" t="s">
        <v>275</v>
      </c>
      <c r="BM830" t="s">
        <v>2319</v>
      </c>
      <c r="BN830" t="s">
        <v>2355</v>
      </c>
      <c r="BO830" t="s">
        <v>2262</v>
      </c>
      <c r="BP830">
        <v>49</v>
      </c>
      <c r="BQ830" t="s">
        <v>275</v>
      </c>
      <c r="BR830" t="s">
        <v>2319</v>
      </c>
      <c r="BS830" t="s">
        <v>2341</v>
      </c>
      <c r="BT830" t="s">
        <v>2262</v>
      </c>
      <c r="BU830">
        <v>49</v>
      </c>
      <c r="HL830" t="s">
        <v>2350</v>
      </c>
      <c r="HM830" t="s">
        <v>297</v>
      </c>
      <c r="HN830" t="s">
        <v>2349</v>
      </c>
      <c r="HP830" t="s">
        <v>29</v>
      </c>
      <c r="HQ830">
        <v>12</v>
      </c>
      <c r="HR830" t="s">
        <v>2348</v>
      </c>
      <c r="HT830" t="s">
        <v>2314</v>
      </c>
      <c r="HU830" s="58">
        <v>40202</v>
      </c>
      <c r="HV830" s="58"/>
      <c r="IP830" t="s">
        <v>2354</v>
      </c>
      <c r="IQ830" s="54" t="s">
        <v>2337</v>
      </c>
      <c r="IT830">
        <v>2009</v>
      </c>
      <c r="IU830" t="s">
        <v>2311</v>
      </c>
      <c r="IV830" s="4" t="s">
        <v>1879</v>
      </c>
      <c r="JM830" t="s">
        <v>14</v>
      </c>
      <c r="KF830" t="s">
        <v>2353</v>
      </c>
      <c r="KG830" t="s">
        <v>1548</v>
      </c>
      <c r="KH830" t="s">
        <v>2309</v>
      </c>
      <c r="KI830">
        <v>3</v>
      </c>
      <c r="KJ830" t="s">
        <v>2308</v>
      </c>
      <c r="KK830" t="s">
        <v>2152</v>
      </c>
      <c r="KO830" t="s">
        <v>219</v>
      </c>
      <c r="KP830" t="s">
        <v>2335</v>
      </c>
      <c r="KW830" t="s">
        <v>2352</v>
      </c>
      <c r="KX830" t="s">
        <v>2305</v>
      </c>
      <c r="LD830" t="s">
        <v>13</v>
      </c>
      <c r="LE830">
        <v>1600</v>
      </c>
      <c r="LM830" t="s">
        <v>2304</v>
      </c>
      <c r="LN830" t="s">
        <v>2303</v>
      </c>
      <c r="LO830">
        <v>7.5</v>
      </c>
      <c r="LU830" t="s">
        <v>2351</v>
      </c>
      <c r="LV830" t="s">
        <v>2301</v>
      </c>
      <c r="LZ830" t="s">
        <v>1925</v>
      </c>
      <c r="MA830">
        <v>1450</v>
      </c>
      <c r="MB830" t="s">
        <v>2300</v>
      </c>
      <c r="MH830" t="s">
        <v>2332</v>
      </c>
      <c r="MJ830" s="58">
        <v>40292</v>
      </c>
      <c r="MZ830" t="s">
        <v>2298</v>
      </c>
      <c r="NA830">
        <v>1435</v>
      </c>
      <c r="NB830" t="s">
        <v>2331</v>
      </c>
      <c r="NC830" s="2" t="s">
        <v>2296</v>
      </c>
      <c r="ND830" s="2" t="s">
        <v>2296</v>
      </c>
      <c r="NE830" s="2"/>
      <c r="NF830" s="2"/>
      <c r="NK830" t="s">
        <v>2364</v>
      </c>
      <c r="NL830" t="s">
        <v>2363</v>
      </c>
      <c r="NM830" t="s">
        <v>1518</v>
      </c>
      <c r="NN830" t="s">
        <v>265</v>
      </c>
      <c r="NV830" t="s">
        <v>2343</v>
      </c>
      <c r="NW830" t="s">
        <v>6</v>
      </c>
      <c r="NX830">
        <v>1882</v>
      </c>
      <c r="NY830" t="s">
        <v>29</v>
      </c>
      <c r="OC830">
        <v>3</v>
      </c>
      <c r="OT830" t="s">
        <v>2358</v>
      </c>
      <c r="OU830" t="s">
        <v>6</v>
      </c>
      <c r="OW830">
        <v>2011</v>
      </c>
      <c r="OX830">
        <v>2012</v>
      </c>
      <c r="OY830" t="s">
        <v>2311</v>
      </c>
      <c r="OZ830" t="s">
        <v>2373</v>
      </c>
      <c r="PA830" t="s">
        <v>1169</v>
      </c>
      <c r="PB830" s="58">
        <v>46136</v>
      </c>
    </row>
    <row r="831" spans="1:418" ht="15.75" thickBot="1">
      <c r="A831" t="s">
        <v>248</v>
      </c>
      <c r="B831" t="s">
        <v>2327</v>
      </c>
      <c r="C831" t="s">
        <v>1885</v>
      </c>
      <c r="D831" t="s">
        <v>1936</v>
      </c>
      <c r="E831" s="90" t="s">
        <v>2326</v>
      </c>
      <c r="F831" s="89" t="s">
        <v>31</v>
      </c>
      <c r="G831" t="s">
        <v>2</v>
      </c>
      <c r="H831" t="s">
        <v>30</v>
      </c>
      <c r="I831">
        <v>23.983611109999998</v>
      </c>
      <c r="J831">
        <v>90.402222219999999</v>
      </c>
      <c r="K831" t="s">
        <v>29</v>
      </c>
      <c r="AV831" t="s">
        <v>2325</v>
      </c>
      <c r="AW831">
        <f t="shared" si="1"/>
        <v>1435</v>
      </c>
      <c r="AX831" t="s">
        <v>29</v>
      </c>
      <c r="AY831">
        <v>3</v>
      </c>
      <c r="AZ831" t="s">
        <v>2324</v>
      </c>
      <c r="BA831">
        <v>2009</v>
      </c>
      <c r="BB831">
        <v>2012</v>
      </c>
      <c r="BC831">
        <v>2009.2</v>
      </c>
      <c r="BD831" t="s">
        <v>19</v>
      </c>
      <c r="BE831" t="s">
        <v>2347</v>
      </c>
      <c r="BF831" t="s">
        <v>24</v>
      </c>
      <c r="BG831" t="s">
        <v>1233</v>
      </c>
      <c r="BH831" t="s">
        <v>2319</v>
      </c>
      <c r="BI831" t="s">
        <v>2342</v>
      </c>
      <c r="BJ831" t="s">
        <v>2262</v>
      </c>
      <c r="BK831">
        <v>30</v>
      </c>
      <c r="BL831" t="s">
        <v>275</v>
      </c>
      <c r="BM831" t="s">
        <v>2319</v>
      </c>
      <c r="BN831" t="s">
        <v>2341</v>
      </c>
      <c r="BO831" t="s">
        <v>2262</v>
      </c>
      <c r="BP831">
        <v>35</v>
      </c>
      <c r="HL831" t="s">
        <v>2350</v>
      </c>
      <c r="HM831" t="s">
        <v>297</v>
      </c>
      <c r="HN831" t="s">
        <v>2349</v>
      </c>
      <c r="HP831" t="s">
        <v>29</v>
      </c>
      <c r="HQ831">
        <v>12</v>
      </c>
      <c r="HR831" t="s">
        <v>2348</v>
      </c>
      <c r="HT831" t="s">
        <v>2314</v>
      </c>
      <c r="HU831" s="58">
        <v>40192</v>
      </c>
      <c r="HV831" s="58"/>
      <c r="IP831" t="s">
        <v>2347</v>
      </c>
      <c r="IQ831" s="54" t="s">
        <v>2337</v>
      </c>
      <c r="IT831">
        <v>2009</v>
      </c>
      <c r="IU831" t="s">
        <v>2311</v>
      </c>
      <c r="IV831" s="4" t="s">
        <v>1879</v>
      </c>
      <c r="JM831" t="s">
        <v>14</v>
      </c>
      <c r="KF831" t="s">
        <v>2346</v>
      </c>
      <c r="KG831" t="s">
        <v>1548</v>
      </c>
      <c r="KH831" t="s">
        <v>2309</v>
      </c>
      <c r="KI831">
        <v>6</v>
      </c>
      <c r="KJ831" t="s">
        <v>2308</v>
      </c>
      <c r="KK831" t="s">
        <v>222</v>
      </c>
      <c r="KL831" s="8" t="s">
        <v>1922</v>
      </c>
      <c r="KO831" t="s">
        <v>219</v>
      </c>
      <c r="KP831" t="s">
        <v>2335</v>
      </c>
      <c r="KW831" t="s">
        <v>2345</v>
      </c>
      <c r="KX831" t="s">
        <v>2305</v>
      </c>
      <c r="LD831" t="s">
        <v>13</v>
      </c>
      <c r="LE831">
        <v>2000</v>
      </c>
      <c r="LM831" t="s">
        <v>2304</v>
      </c>
      <c r="LN831" t="s">
        <v>2303</v>
      </c>
      <c r="LO831">
        <v>30</v>
      </c>
      <c r="LU831" t="s">
        <v>2344</v>
      </c>
      <c r="LV831" t="s">
        <v>2301</v>
      </c>
      <c r="LZ831" t="s">
        <v>1925</v>
      </c>
      <c r="MA831">
        <v>1481</v>
      </c>
      <c r="MB831" t="s">
        <v>2300</v>
      </c>
      <c r="MH831" t="s">
        <v>2332</v>
      </c>
      <c r="MJ831" s="58">
        <v>40298</v>
      </c>
      <c r="MZ831" t="s">
        <v>2298</v>
      </c>
      <c r="NA831">
        <v>1435</v>
      </c>
      <c r="NB831" t="s">
        <v>2331</v>
      </c>
      <c r="NC831" s="2" t="s">
        <v>2296</v>
      </c>
      <c r="ND831" s="2" t="s">
        <v>2296</v>
      </c>
      <c r="NE831" s="2"/>
      <c r="NF831" s="2"/>
      <c r="NK831" t="s">
        <v>2364</v>
      </c>
      <c r="NL831" t="s">
        <v>2363</v>
      </c>
      <c r="NM831" t="s">
        <v>1518</v>
      </c>
      <c r="NN831" t="s">
        <v>265</v>
      </c>
      <c r="NV831" t="s">
        <v>2343</v>
      </c>
      <c r="NW831" t="s">
        <v>6</v>
      </c>
      <c r="NX831">
        <v>2407</v>
      </c>
      <c r="NY831" t="s">
        <v>29</v>
      </c>
      <c r="OC831">
        <v>3</v>
      </c>
      <c r="OT831" t="s">
        <v>2358</v>
      </c>
      <c r="OU831" t="s">
        <v>6</v>
      </c>
      <c r="OW831">
        <v>2011</v>
      </c>
      <c r="OX831">
        <v>2012</v>
      </c>
      <c r="OY831" t="s">
        <v>2311</v>
      </c>
      <c r="OZ831" t="s">
        <v>2373</v>
      </c>
      <c r="PA831" t="s">
        <v>1169</v>
      </c>
      <c r="PB831" s="58">
        <v>46136</v>
      </c>
    </row>
    <row r="832" spans="1:418" ht="15.75" thickBot="1">
      <c r="A832" t="s">
        <v>248</v>
      </c>
      <c r="B832" t="s">
        <v>2327</v>
      </c>
      <c r="C832" t="s">
        <v>1885</v>
      </c>
      <c r="D832" t="s">
        <v>1936</v>
      </c>
      <c r="E832" s="90" t="s">
        <v>2326</v>
      </c>
      <c r="F832" s="89" t="s">
        <v>31</v>
      </c>
      <c r="G832" t="s">
        <v>2</v>
      </c>
      <c r="H832" t="s">
        <v>30</v>
      </c>
      <c r="I832">
        <v>23.983611109999998</v>
      </c>
      <c r="J832">
        <v>90.402222219999999</v>
      </c>
      <c r="K832" t="s">
        <v>29</v>
      </c>
      <c r="AV832" t="s">
        <v>2325</v>
      </c>
      <c r="AW832">
        <f t="shared" si="1"/>
        <v>1435</v>
      </c>
      <c r="AX832" t="s">
        <v>29</v>
      </c>
      <c r="AY832">
        <v>3</v>
      </c>
      <c r="AZ832" t="s">
        <v>2324</v>
      </c>
      <c r="BA832">
        <v>2009</v>
      </c>
      <c r="BB832">
        <v>2012</v>
      </c>
      <c r="BC832">
        <v>2009.2</v>
      </c>
      <c r="BD832" t="s">
        <v>19</v>
      </c>
      <c r="BE832" t="s">
        <v>2338</v>
      </c>
      <c r="BF832" t="s">
        <v>299</v>
      </c>
      <c r="BG832" t="s">
        <v>1233</v>
      </c>
      <c r="BH832" t="s">
        <v>2319</v>
      </c>
      <c r="BI832" t="s">
        <v>2342</v>
      </c>
      <c r="BJ832" t="s">
        <v>2262</v>
      </c>
      <c r="BK832">
        <v>30</v>
      </c>
      <c r="BL832" t="s">
        <v>275</v>
      </c>
      <c r="BM832" t="s">
        <v>2319</v>
      </c>
      <c r="BN832" t="s">
        <v>2341</v>
      </c>
      <c r="BO832" t="s">
        <v>2262</v>
      </c>
      <c r="BP832">
        <v>19</v>
      </c>
      <c r="HL832" t="s">
        <v>2340</v>
      </c>
      <c r="HM832" t="s">
        <v>2316</v>
      </c>
      <c r="HP832" t="s">
        <v>29</v>
      </c>
      <c r="HQ832">
        <v>4</v>
      </c>
      <c r="HR832" t="s">
        <v>2339</v>
      </c>
      <c r="HT832" t="s">
        <v>2314</v>
      </c>
      <c r="HU832" s="58">
        <v>40192</v>
      </c>
      <c r="HV832" s="58"/>
      <c r="IP832" t="s">
        <v>2338</v>
      </c>
      <c r="IQ832" s="54" t="s">
        <v>2337</v>
      </c>
      <c r="IT832">
        <v>2009</v>
      </c>
      <c r="IU832" t="s">
        <v>2311</v>
      </c>
      <c r="IV832" s="4" t="s">
        <v>1879</v>
      </c>
      <c r="JM832" t="s">
        <v>14</v>
      </c>
      <c r="KF832" t="s">
        <v>2336</v>
      </c>
      <c r="KG832" t="s">
        <v>1548</v>
      </c>
      <c r="KH832" t="s">
        <v>2309</v>
      </c>
      <c r="KI832">
        <v>7</v>
      </c>
      <c r="KJ832" t="s">
        <v>2308</v>
      </c>
      <c r="KK832" t="s">
        <v>222</v>
      </c>
      <c r="KL832" s="8" t="s">
        <v>1922</v>
      </c>
      <c r="KO832" t="s">
        <v>219</v>
      </c>
      <c r="KP832" t="s">
        <v>2335</v>
      </c>
      <c r="KW832" t="s">
        <v>2334</v>
      </c>
      <c r="KX832" t="s">
        <v>2305</v>
      </c>
      <c r="LD832" t="s">
        <v>13</v>
      </c>
      <c r="LE832">
        <v>1900</v>
      </c>
      <c r="LM832" t="s">
        <v>2304</v>
      </c>
      <c r="LN832" t="s">
        <v>2303</v>
      </c>
      <c r="LO832">
        <v>30</v>
      </c>
      <c r="LU832" t="s">
        <v>2333</v>
      </c>
      <c r="LV832" t="s">
        <v>2301</v>
      </c>
      <c r="LZ832" t="s">
        <v>1925</v>
      </c>
      <c r="MA832">
        <v>1530</v>
      </c>
      <c r="MB832" t="s">
        <v>2300</v>
      </c>
      <c r="MH832" t="s">
        <v>2332</v>
      </c>
      <c r="MJ832" s="58">
        <v>40299</v>
      </c>
      <c r="MZ832" t="s">
        <v>2298</v>
      </c>
      <c r="NA832">
        <v>1435</v>
      </c>
      <c r="NB832" t="s">
        <v>2331</v>
      </c>
      <c r="NC832" s="2" t="s">
        <v>2296</v>
      </c>
      <c r="ND832" s="2" t="s">
        <v>2296</v>
      </c>
      <c r="NE832" s="2"/>
      <c r="NF832" s="2"/>
      <c r="NK832" t="s">
        <v>2364</v>
      </c>
      <c r="NL832" t="s">
        <v>2363</v>
      </c>
      <c r="NM832" t="s">
        <v>1518</v>
      </c>
      <c r="NN832" t="s">
        <v>265</v>
      </c>
      <c r="NV832" t="s">
        <v>64</v>
      </c>
      <c r="NW832" t="s">
        <v>6</v>
      </c>
      <c r="NX832">
        <v>2314</v>
      </c>
      <c r="NY832" t="s">
        <v>29</v>
      </c>
      <c r="OC832">
        <v>3</v>
      </c>
      <c r="OT832" t="s">
        <v>2358</v>
      </c>
      <c r="OU832" t="s">
        <v>6</v>
      </c>
      <c r="OW832">
        <v>2011</v>
      </c>
      <c r="OX832">
        <v>2012</v>
      </c>
      <c r="OY832" t="s">
        <v>2311</v>
      </c>
      <c r="OZ832" t="s">
        <v>2373</v>
      </c>
      <c r="PA832" t="s">
        <v>1169</v>
      </c>
      <c r="PB832" s="58">
        <v>46136</v>
      </c>
    </row>
    <row r="833" spans="1:418" ht="15.75" thickBot="1">
      <c r="A833" t="s">
        <v>248</v>
      </c>
      <c r="B833" t="s">
        <v>2327</v>
      </c>
      <c r="C833" t="s">
        <v>1885</v>
      </c>
      <c r="D833" t="s">
        <v>1936</v>
      </c>
      <c r="E833" s="90" t="s">
        <v>2326</v>
      </c>
      <c r="F833" s="89" t="s">
        <v>31</v>
      </c>
      <c r="G833" t="s">
        <v>2</v>
      </c>
      <c r="H833" t="s">
        <v>30</v>
      </c>
      <c r="I833">
        <v>23.983611109999998</v>
      </c>
      <c r="J833">
        <v>90.402222219999999</v>
      </c>
      <c r="K833" t="s">
        <v>29</v>
      </c>
      <c r="AV833" t="s">
        <v>2325</v>
      </c>
      <c r="AW833">
        <f t="shared" si="1"/>
        <v>1435</v>
      </c>
      <c r="AX833" t="s">
        <v>29</v>
      </c>
      <c r="AY833">
        <v>3</v>
      </c>
      <c r="AZ833" t="s">
        <v>2324</v>
      </c>
      <c r="BA833">
        <v>2009</v>
      </c>
      <c r="BB833">
        <v>2012</v>
      </c>
      <c r="BC833">
        <v>2009.2</v>
      </c>
      <c r="BD833" t="s">
        <v>274</v>
      </c>
      <c r="BE833" t="s">
        <v>2313</v>
      </c>
      <c r="BF833" t="s">
        <v>64</v>
      </c>
      <c r="BG833" t="s">
        <v>1233</v>
      </c>
      <c r="BH833" t="s">
        <v>1894</v>
      </c>
      <c r="BI833" t="s">
        <v>2323</v>
      </c>
      <c r="BJ833" t="s">
        <v>2262</v>
      </c>
      <c r="BK833">
        <v>1614</v>
      </c>
      <c r="BL833" t="s">
        <v>275</v>
      </c>
      <c r="BM833" t="s">
        <v>23</v>
      </c>
      <c r="BN833" t="s">
        <v>2322</v>
      </c>
      <c r="BO833" t="s">
        <v>2262</v>
      </c>
      <c r="BP833">
        <v>20</v>
      </c>
      <c r="BQ833" t="s">
        <v>275</v>
      </c>
      <c r="BR833" t="s">
        <v>1917</v>
      </c>
      <c r="BS833" t="s">
        <v>2321</v>
      </c>
      <c r="BT833" t="s">
        <v>2262</v>
      </c>
      <c r="BU833">
        <v>30</v>
      </c>
      <c r="BV833" t="s">
        <v>275</v>
      </c>
      <c r="BW833" t="s">
        <v>2319</v>
      </c>
      <c r="BX833" t="s">
        <v>2320</v>
      </c>
      <c r="BY833" t="s">
        <v>2262</v>
      </c>
      <c r="BZ833">
        <v>35</v>
      </c>
      <c r="CA833" t="s">
        <v>275</v>
      </c>
      <c r="CB833" t="s">
        <v>2319</v>
      </c>
      <c r="CC833" t="s">
        <v>2318</v>
      </c>
      <c r="CD833" t="s">
        <v>2262</v>
      </c>
      <c r="CE833">
        <v>19</v>
      </c>
      <c r="HL833" t="s">
        <v>2317</v>
      </c>
      <c r="HM833" t="s">
        <v>2316</v>
      </c>
      <c r="HP833" t="s">
        <v>29</v>
      </c>
      <c r="HQ833">
        <v>9</v>
      </c>
      <c r="HR833" t="s">
        <v>2315</v>
      </c>
      <c r="HT833" t="s">
        <v>2314</v>
      </c>
      <c r="HU833" s="58">
        <v>40153</v>
      </c>
      <c r="IP833" t="s">
        <v>2313</v>
      </c>
      <c r="IQ833" t="s">
        <v>2312</v>
      </c>
      <c r="IT833">
        <v>2009</v>
      </c>
      <c r="IU833" t="s">
        <v>2311</v>
      </c>
      <c r="IV833" s="4" t="s">
        <v>1879</v>
      </c>
      <c r="JM833" t="s">
        <v>14</v>
      </c>
      <c r="KF833" t="s">
        <v>2310</v>
      </c>
      <c r="KG833" t="s">
        <v>1548</v>
      </c>
      <c r="KH833" t="s">
        <v>2309</v>
      </c>
      <c r="KI833">
        <v>4</v>
      </c>
      <c r="KJ833" t="s">
        <v>2308</v>
      </c>
      <c r="KK833" t="s">
        <v>2152</v>
      </c>
      <c r="KO833" t="s">
        <v>219</v>
      </c>
      <c r="KP833" t="s">
        <v>2307</v>
      </c>
      <c r="KW833" t="s">
        <v>2306</v>
      </c>
      <c r="KX833" t="s">
        <v>2305</v>
      </c>
      <c r="LD833" t="s">
        <v>13</v>
      </c>
      <c r="LE833">
        <v>1600</v>
      </c>
      <c r="LM833" t="s">
        <v>2304</v>
      </c>
      <c r="LN833" t="s">
        <v>2303</v>
      </c>
      <c r="LO833">
        <v>30</v>
      </c>
      <c r="LU833" t="s">
        <v>2302</v>
      </c>
      <c r="LV833" t="s">
        <v>2301</v>
      </c>
      <c r="LZ833" t="s">
        <v>1925</v>
      </c>
      <c r="MA833">
        <v>805</v>
      </c>
      <c r="MB833" t="s">
        <v>2300</v>
      </c>
      <c r="MH833" t="s">
        <v>2299</v>
      </c>
      <c r="MJ833" s="58">
        <v>40224</v>
      </c>
      <c r="MZ833" t="s">
        <v>2298</v>
      </c>
      <c r="NA833">
        <v>1435</v>
      </c>
      <c r="NB833" t="s">
        <v>2297</v>
      </c>
      <c r="NC833" s="2"/>
      <c r="ND833" s="2" t="s">
        <v>2296</v>
      </c>
      <c r="NE833" t="s">
        <v>1894</v>
      </c>
      <c r="NF833" s="2" t="s">
        <v>1917</v>
      </c>
      <c r="NK833" t="s">
        <v>2364</v>
      </c>
      <c r="NL833" t="s">
        <v>2363</v>
      </c>
      <c r="NM833" t="s">
        <v>1518</v>
      </c>
      <c r="NN833" t="s">
        <v>265</v>
      </c>
      <c r="NW833" t="s">
        <v>6</v>
      </c>
      <c r="NX833">
        <v>3766</v>
      </c>
      <c r="NY833" t="s">
        <v>29</v>
      </c>
      <c r="OC833">
        <v>3</v>
      </c>
      <c r="OT833" t="s">
        <v>2358</v>
      </c>
      <c r="OU833" t="s">
        <v>6</v>
      </c>
      <c r="OW833">
        <v>2011</v>
      </c>
      <c r="OX833">
        <v>2012</v>
      </c>
      <c r="OY833" t="s">
        <v>2311</v>
      </c>
      <c r="OZ833" t="s">
        <v>2373</v>
      </c>
      <c r="PA833" t="s">
        <v>1169</v>
      </c>
      <c r="PB833" s="58">
        <v>46136</v>
      </c>
    </row>
    <row r="834" spans="1:418" ht="15.75" thickBot="1">
      <c r="A834" t="s">
        <v>248</v>
      </c>
      <c r="B834" t="s">
        <v>2327</v>
      </c>
      <c r="C834" t="s">
        <v>1885</v>
      </c>
      <c r="D834" t="s">
        <v>1936</v>
      </c>
      <c r="E834" s="90" t="s">
        <v>2326</v>
      </c>
      <c r="F834" s="89" t="s">
        <v>31</v>
      </c>
      <c r="G834" t="s">
        <v>2</v>
      </c>
      <c r="H834" t="s">
        <v>30</v>
      </c>
      <c r="I834">
        <v>23.983611109999998</v>
      </c>
      <c r="J834">
        <v>90.402222219999999</v>
      </c>
      <c r="K834" t="s">
        <v>29</v>
      </c>
      <c r="AV834" t="s">
        <v>2325</v>
      </c>
      <c r="AW834">
        <f t="shared" si="1"/>
        <v>1435</v>
      </c>
      <c r="AX834" t="s">
        <v>29</v>
      </c>
      <c r="AY834">
        <v>3</v>
      </c>
      <c r="AZ834" t="s">
        <v>2324</v>
      </c>
      <c r="BA834">
        <v>2009</v>
      </c>
      <c r="BB834">
        <v>2012</v>
      </c>
      <c r="BC834">
        <v>2009.2</v>
      </c>
      <c r="BD834" t="s">
        <v>19</v>
      </c>
      <c r="BE834" t="s">
        <v>2354</v>
      </c>
      <c r="BF834" t="s">
        <v>39</v>
      </c>
      <c r="BG834" t="s">
        <v>1233</v>
      </c>
      <c r="BH834" t="s">
        <v>2319</v>
      </c>
      <c r="BI834" t="s">
        <v>2342</v>
      </c>
      <c r="BJ834" t="s">
        <v>2262</v>
      </c>
      <c r="BK834">
        <v>45</v>
      </c>
      <c r="BL834" t="s">
        <v>275</v>
      </c>
      <c r="BM834" t="s">
        <v>2319</v>
      </c>
      <c r="BN834" t="s">
        <v>2355</v>
      </c>
      <c r="BO834" t="s">
        <v>2262</v>
      </c>
      <c r="BP834">
        <v>49</v>
      </c>
      <c r="BQ834" t="s">
        <v>275</v>
      </c>
      <c r="BR834" t="s">
        <v>2319</v>
      </c>
      <c r="BS834" t="s">
        <v>2341</v>
      </c>
      <c r="BT834" t="s">
        <v>2262</v>
      </c>
      <c r="BU834">
        <v>49</v>
      </c>
      <c r="HL834" t="s">
        <v>2350</v>
      </c>
      <c r="HM834" t="s">
        <v>297</v>
      </c>
      <c r="HN834" t="s">
        <v>2349</v>
      </c>
      <c r="HP834" t="s">
        <v>29</v>
      </c>
      <c r="HQ834">
        <v>12</v>
      </c>
      <c r="HR834" t="s">
        <v>2348</v>
      </c>
      <c r="HT834" t="s">
        <v>2314</v>
      </c>
      <c r="HU834" s="58">
        <v>40202</v>
      </c>
      <c r="HV834" s="58"/>
      <c r="IP834" t="s">
        <v>2354</v>
      </c>
      <c r="IQ834" s="54" t="s">
        <v>2337</v>
      </c>
      <c r="IT834">
        <v>2009</v>
      </c>
      <c r="IU834" t="s">
        <v>2311</v>
      </c>
      <c r="IV834" s="4" t="s">
        <v>1879</v>
      </c>
      <c r="JM834" t="s">
        <v>14</v>
      </c>
      <c r="KF834" t="s">
        <v>2353</v>
      </c>
      <c r="KG834" t="s">
        <v>1548</v>
      </c>
      <c r="KH834" t="s">
        <v>2309</v>
      </c>
      <c r="KI834">
        <v>3</v>
      </c>
      <c r="KJ834" t="s">
        <v>2308</v>
      </c>
      <c r="KK834" t="s">
        <v>2152</v>
      </c>
      <c r="KO834" t="s">
        <v>219</v>
      </c>
      <c r="KP834" s="8" t="s">
        <v>2357</v>
      </c>
      <c r="KW834" t="s">
        <v>2352</v>
      </c>
      <c r="KX834" t="s">
        <v>2305</v>
      </c>
      <c r="LD834" t="s">
        <v>13</v>
      </c>
      <c r="LE834">
        <v>1500</v>
      </c>
      <c r="LM834" t="s">
        <v>2304</v>
      </c>
      <c r="LN834" t="s">
        <v>2303</v>
      </c>
      <c r="LO834">
        <v>7.5</v>
      </c>
      <c r="LU834" t="s">
        <v>2351</v>
      </c>
      <c r="LV834" t="s">
        <v>2301</v>
      </c>
      <c r="LZ834" t="s">
        <v>1925</v>
      </c>
      <c r="MA834">
        <v>2084</v>
      </c>
      <c r="MB834" t="s">
        <v>2300</v>
      </c>
      <c r="MH834" t="s">
        <v>2332</v>
      </c>
      <c r="MJ834" s="58">
        <v>40292</v>
      </c>
      <c r="MZ834" t="s">
        <v>2298</v>
      </c>
      <c r="NA834">
        <v>1435</v>
      </c>
      <c r="NB834" t="s">
        <v>2331</v>
      </c>
      <c r="NC834" s="2" t="s">
        <v>2296</v>
      </c>
      <c r="ND834" s="2" t="s">
        <v>2296</v>
      </c>
      <c r="NE834" s="2"/>
      <c r="NF834" s="2"/>
      <c r="NK834" t="s">
        <v>2362</v>
      </c>
      <c r="NL834" t="s">
        <v>2374</v>
      </c>
      <c r="NM834" t="s">
        <v>266</v>
      </c>
      <c r="NN834" t="s">
        <v>265</v>
      </c>
      <c r="NV834" t="s">
        <v>2343</v>
      </c>
      <c r="NW834" t="s">
        <v>6</v>
      </c>
      <c r="NX834">
        <v>396</v>
      </c>
      <c r="NY834" t="s">
        <v>29</v>
      </c>
      <c r="OC834">
        <v>3</v>
      </c>
      <c r="OT834" t="s">
        <v>2358</v>
      </c>
      <c r="OU834" t="s">
        <v>6</v>
      </c>
      <c r="OW834">
        <v>2009</v>
      </c>
      <c r="OX834">
        <v>2010</v>
      </c>
      <c r="OY834" t="s">
        <v>2311</v>
      </c>
      <c r="OZ834" t="s">
        <v>2373</v>
      </c>
      <c r="PA834" t="s">
        <v>1169</v>
      </c>
      <c r="PB834" s="58">
        <v>46136</v>
      </c>
    </row>
    <row r="835" spans="1:418" ht="15.75" thickBot="1">
      <c r="A835" t="s">
        <v>248</v>
      </c>
      <c r="B835" t="s">
        <v>2327</v>
      </c>
      <c r="C835" t="s">
        <v>1885</v>
      </c>
      <c r="D835" t="s">
        <v>1936</v>
      </c>
      <c r="E835" s="90" t="s">
        <v>2326</v>
      </c>
      <c r="F835" s="89" t="s">
        <v>31</v>
      </c>
      <c r="G835" t="s">
        <v>2</v>
      </c>
      <c r="H835" t="s">
        <v>30</v>
      </c>
      <c r="I835">
        <v>23.983611109999998</v>
      </c>
      <c r="J835">
        <v>90.402222219999999</v>
      </c>
      <c r="K835" t="s">
        <v>29</v>
      </c>
      <c r="AV835" t="s">
        <v>2325</v>
      </c>
      <c r="AW835">
        <f t="shared" si="1"/>
        <v>1435</v>
      </c>
      <c r="AX835" t="s">
        <v>29</v>
      </c>
      <c r="AY835">
        <v>3</v>
      </c>
      <c r="AZ835" t="s">
        <v>2324</v>
      </c>
      <c r="BA835">
        <v>2009</v>
      </c>
      <c r="BB835">
        <v>2012</v>
      </c>
      <c r="BC835">
        <v>2009.2</v>
      </c>
      <c r="BD835" t="s">
        <v>19</v>
      </c>
      <c r="BE835" t="s">
        <v>2347</v>
      </c>
      <c r="BF835" t="s">
        <v>24</v>
      </c>
      <c r="BG835" t="s">
        <v>1233</v>
      </c>
      <c r="BH835" t="s">
        <v>2319</v>
      </c>
      <c r="BI835" t="s">
        <v>2342</v>
      </c>
      <c r="BJ835" t="s">
        <v>2262</v>
      </c>
      <c r="BK835">
        <v>30</v>
      </c>
      <c r="BL835" t="s">
        <v>275</v>
      </c>
      <c r="BM835" t="s">
        <v>2319</v>
      </c>
      <c r="BN835" t="s">
        <v>2341</v>
      </c>
      <c r="BO835" t="s">
        <v>2262</v>
      </c>
      <c r="BP835">
        <v>35</v>
      </c>
      <c r="HL835" t="s">
        <v>2350</v>
      </c>
      <c r="HM835" t="s">
        <v>297</v>
      </c>
      <c r="HN835" t="s">
        <v>2349</v>
      </c>
      <c r="HP835" t="s">
        <v>29</v>
      </c>
      <c r="HQ835">
        <v>12</v>
      </c>
      <c r="HR835" t="s">
        <v>2348</v>
      </c>
      <c r="HT835" t="s">
        <v>2314</v>
      </c>
      <c r="HU835" s="58">
        <v>40192</v>
      </c>
      <c r="HV835" s="58"/>
      <c r="IP835" t="s">
        <v>2347</v>
      </c>
      <c r="IQ835" s="54" t="s">
        <v>2337</v>
      </c>
      <c r="IT835">
        <v>2009</v>
      </c>
      <c r="IU835" t="s">
        <v>2311</v>
      </c>
      <c r="IV835" s="4" t="s">
        <v>1879</v>
      </c>
      <c r="JM835" t="s">
        <v>14</v>
      </c>
      <c r="KF835" t="s">
        <v>2346</v>
      </c>
      <c r="KG835" t="s">
        <v>1548</v>
      </c>
      <c r="KH835" t="s">
        <v>2309</v>
      </c>
      <c r="KI835">
        <v>6</v>
      </c>
      <c r="KJ835" t="s">
        <v>2308</v>
      </c>
      <c r="KK835" t="s">
        <v>222</v>
      </c>
      <c r="KL835" s="8" t="s">
        <v>1922</v>
      </c>
      <c r="KO835" t="s">
        <v>219</v>
      </c>
      <c r="KP835" t="s">
        <v>2335</v>
      </c>
      <c r="KW835" t="s">
        <v>2345</v>
      </c>
      <c r="KX835" t="s">
        <v>2305</v>
      </c>
      <c r="LD835" t="s">
        <v>13</v>
      </c>
      <c r="LE835">
        <v>2200</v>
      </c>
      <c r="LM835" t="s">
        <v>2304</v>
      </c>
      <c r="LN835" t="s">
        <v>2303</v>
      </c>
      <c r="LO835">
        <v>30</v>
      </c>
      <c r="LU835" t="s">
        <v>2344</v>
      </c>
      <c r="LV835" t="s">
        <v>2301</v>
      </c>
      <c r="LZ835" t="s">
        <v>1925</v>
      </c>
      <c r="MA835">
        <v>1789</v>
      </c>
      <c r="MB835" t="s">
        <v>2300</v>
      </c>
      <c r="MH835" t="s">
        <v>2332</v>
      </c>
      <c r="MJ835" s="58">
        <v>40298</v>
      </c>
      <c r="MZ835" t="s">
        <v>2298</v>
      </c>
      <c r="NA835">
        <v>1435</v>
      </c>
      <c r="NB835" t="s">
        <v>2331</v>
      </c>
      <c r="NC835" s="2" t="s">
        <v>2296</v>
      </c>
      <c r="ND835" s="2" t="s">
        <v>2296</v>
      </c>
      <c r="NE835" s="2"/>
      <c r="NF835" s="2"/>
      <c r="NK835" t="s">
        <v>2362</v>
      </c>
      <c r="NL835" t="s">
        <v>2374</v>
      </c>
      <c r="NM835" t="s">
        <v>266</v>
      </c>
      <c r="NN835" t="s">
        <v>265</v>
      </c>
      <c r="NV835" t="s">
        <v>2343</v>
      </c>
      <c r="NW835" t="s">
        <v>6</v>
      </c>
      <c r="NX835">
        <v>966</v>
      </c>
      <c r="NY835" t="s">
        <v>29</v>
      </c>
      <c r="OC835">
        <v>3</v>
      </c>
      <c r="OT835" t="s">
        <v>2358</v>
      </c>
      <c r="OU835" t="s">
        <v>6</v>
      </c>
      <c r="OW835">
        <v>2009</v>
      </c>
      <c r="OX835">
        <v>2010</v>
      </c>
      <c r="OY835" t="s">
        <v>2311</v>
      </c>
      <c r="OZ835" t="s">
        <v>2373</v>
      </c>
      <c r="PA835" t="s">
        <v>1169</v>
      </c>
      <c r="PB835" s="58">
        <v>46136</v>
      </c>
    </row>
    <row r="836" spans="1:418" ht="15.75" thickBot="1">
      <c r="A836" t="s">
        <v>248</v>
      </c>
      <c r="B836" t="s">
        <v>2327</v>
      </c>
      <c r="C836" t="s">
        <v>1885</v>
      </c>
      <c r="D836" t="s">
        <v>1936</v>
      </c>
      <c r="E836" s="90" t="s">
        <v>2326</v>
      </c>
      <c r="F836" s="89" t="s">
        <v>31</v>
      </c>
      <c r="G836" t="s">
        <v>2</v>
      </c>
      <c r="H836" t="s">
        <v>30</v>
      </c>
      <c r="I836">
        <v>23.983611109999998</v>
      </c>
      <c r="J836">
        <v>90.402222219999999</v>
      </c>
      <c r="K836" t="s">
        <v>29</v>
      </c>
      <c r="AV836" t="s">
        <v>2325</v>
      </c>
      <c r="AW836">
        <f t="shared" si="1"/>
        <v>1435</v>
      </c>
      <c r="AX836" t="s">
        <v>29</v>
      </c>
      <c r="AY836">
        <v>3</v>
      </c>
      <c r="AZ836" t="s">
        <v>2324</v>
      </c>
      <c r="BA836">
        <v>2009</v>
      </c>
      <c r="BB836">
        <v>2012</v>
      </c>
      <c r="BC836">
        <v>2009.2</v>
      </c>
      <c r="BD836" t="s">
        <v>19</v>
      </c>
      <c r="BE836" t="s">
        <v>2338</v>
      </c>
      <c r="BF836" t="s">
        <v>299</v>
      </c>
      <c r="BG836" t="s">
        <v>1233</v>
      </c>
      <c r="BH836" t="s">
        <v>2319</v>
      </c>
      <c r="BI836" t="s">
        <v>2342</v>
      </c>
      <c r="BJ836" t="s">
        <v>2262</v>
      </c>
      <c r="BK836">
        <v>30</v>
      </c>
      <c r="BL836" t="s">
        <v>275</v>
      </c>
      <c r="BM836" t="s">
        <v>2319</v>
      </c>
      <c r="BN836" t="s">
        <v>2341</v>
      </c>
      <c r="BO836" t="s">
        <v>2262</v>
      </c>
      <c r="BP836">
        <v>19</v>
      </c>
      <c r="HL836" t="s">
        <v>2340</v>
      </c>
      <c r="HM836" t="s">
        <v>2316</v>
      </c>
      <c r="HP836" t="s">
        <v>29</v>
      </c>
      <c r="HQ836">
        <v>4</v>
      </c>
      <c r="HR836" t="s">
        <v>2339</v>
      </c>
      <c r="HT836" t="s">
        <v>2314</v>
      </c>
      <c r="HU836" s="58">
        <v>40192</v>
      </c>
      <c r="HV836" s="58"/>
      <c r="IP836" t="s">
        <v>2338</v>
      </c>
      <c r="IQ836" s="54" t="s">
        <v>2337</v>
      </c>
      <c r="IT836">
        <v>2009</v>
      </c>
      <c r="IU836" t="s">
        <v>2311</v>
      </c>
      <c r="IV836" s="4" t="s">
        <v>1879</v>
      </c>
      <c r="JM836" t="s">
        <v>14</v>
      </c>
      <c r="KF836" t="s">
        <v>2336</v>
      </c>
      <c r="KG836" t="s">
        <v>1548</v>
      </c>
      <c r="KH836" t="s">
        <v>2309</v>
      </c>
      <c r="KI836">
        <v>7</v>
      </c>
      <c r="KJ836" t="s">
        <v>2308</v>
      </c>
      <c r="KK836" t="s">
        <v>222</v>
      </c>
      <c r="KL836" s="8" t="s">
        <v>1922</v>
      </c>
      <c r="KO836" t="s">
        <v>219</v>
      </c>
      <c r="KP836" t="s">
        <v>2335</v>
      </c>
      <c r="KW836" t="s">
        <v>2334</v>
      </c>
      <c r="KX836" t="s">
        <v>2305</v>
      </c>
      <c r="LD836" t="s">
        <v>13</v>
      </c>
      <c r="LE836">
        <v>2600</v>
      </c>
      <c r="LM836" t="s">
        <v>2304</v>
      </c>
      <c r="LN836" t="s">
        <v>2303</v>
      </c>
      <c r="LO836">
        <v>30</v>
      </c>
      <c r="LU836" t="s">
        <v>2333</v>
      </c>
      <c r="LV836" t="s">
        <v>2301</v>
      </c>
      <c r="LZ836" t="s">
        <v>1925</v>
      </c>
      <c r="MA836">
        <v>1898</v>
      </c>
      <c r="MB836" t="s">
        <v>2300</v>
      </c>
      <c r="MH836" t="s">
        <v>2332</v>
      </c>
      <c r="MJ836" s="58">
        <v>40299</v>
      </c>
      <c r="MZ836" t="s">
        <v>2298</v>
      </c>
      <c r="NA836">
        <v>1435</v>
      </c>
      <c r="NB836" t="s">
        <v>2331</v>
      </c>
      <c r="NC836" s="2" t="s">
        <v>2296</v>
      </c>
      <c r="ND836" s="2" t="s">
        <v>2296</v>
      </c>
      <c r="NE836" s="2"/>
      <c r="NF836" s="2"/>
      <c r="NK836" t="s">
        <v>2362</v>
      </c>
      <c r="NL836" t="s">
        <v>2374</v>
      </c>
      <c r="NM836" t="s">
        <v>266</v>
      </c>
      <c r="NN836" t="s">
        <v>265</v>
      </c>
      <c r="NV836" t="s">
        <v>64</v>
      </c>
      <c r="NW836" t="s">
        <v>6</v>
      </c>
      <c r="NX836">
        <v>996</v>
      </c>
      <c r="NY836" t="s">
        <v>29</v>
      </c>
      <c r="OC836">
        <v>3</v>
      </c>
      <c r="OT836" t="s">
        <v>2358</v>
      </c>
      <c r="OU836" t="s">
        <v>6</v>
      </c>
      <c r="OW836">
        <v>2009</v>
      </c>
      <c r="OX836">
        <v>2010</v>
      </c>
      <c r="OY836" t="s">
        <v>2311</v>
      </c>
      <c r="OZ836" t="s">
        <v>2373</v>
      </c>
      <c r="PA836" t="s">
        <v>1169</v>
      </c>
      <c r="PB836" s="58">
        <v>46136</v>
      </c>
    </row>
    <row r="837" spans="1:418" ht="15.75" thickBot="1">
      <c r="A837" t="s">
        <v>248</v>
      </c>
      <c r="B837" t="s">
        <v>2327</v>
      </c>
      <c r="C837" t="s">
        <v>1885</v>
      </c>
      <c r="D837" t="s">
        <v>1936</v>
      </c>
      <c r="E837" s="90" t="s">
        <v>2326</v>
      </c>
      <c r="F837" s="89" t="s">
        <v>31</v>
      </c>
      <c r="G837" t="s">
        <v>2</v>
      </c>
      <c r="H837" t="s">
        <v>30</v>
      </c>
      <c r="I837">
        <v>23.983611109999998</v>
      </c>
      <c r="J837">
        <v>90.402222219999999</v>
      </c>
      <c r="K837" t="s">
        <v>29</v>
      </c>
      <c r="AV837" t="s">
        <v>2325</v>
      </c>
      <c r="AW837">
        <f t="shared" si="1"/>
        <v>1435</v>
      </c>
      <c r="AX837" t="s">
        <v>29</v>
      </c>
      <c r="AY837">
        <v>3</v>
      </c>
      <c r="AZ837" t="s">
        <v>2324</v>
      </c>
      <c r="BA837">
        <v>2009</v>
      </c>
      <c r="BB837">
        <v>2012</v>
      </c>
      <c r="BC837">
        <v>2009.2</v>
      </c>
      <c r="BD837" t="s">
        <v>274</v>
      </c>
      <c r="BE837" t="s">
        <v>2313</v>
      </c>
      <c r="BF837" t="s">
        <v>64</v>
      </c>
      <c r="BG837" t="s">
        <v>1233</v>
      </c>
      <c r="BH837" t="s">
        <v>1894</v>
      </c>
      <c r="BI837" t="s">
        <v>2323</v>
      </c>
      <c r="BJ837" t="s">
        <v>2262</v>
      </c>
      <c r="BK837">
        <v>1614</v>
      </c>
      <c r="BL837" t="s">
        <v>275</v>
      </c>
      <c r="BM837" t="s">
        <v>23</v>
      </c>
      <c r="BN837" t="s">
        <v>2322</v>
      </c>
      <c r="BO837" t="s">
        <v>2262</v>
      </c>
      <c r="BP837">
        <v>20</v>
      </c>
      <c r="BQ837" t="s">
        <v>275</v>
      </c>
      <c r="BR837" t="s">
        <v>1917</v>
      </c>
      <c r="BS837" t="s">
        <v>2321</v>
      </c>
      <c r="BT837" t="s">
        <v>2262</v>
      </c>
      <c r="BU837">
        <v>30</v>
      </c>
      <c r="BV837" t="s">
        <v>275</v>
      </c>
      <c r="BW837" t="s">
        <v>2319</v>
      </c>
      <c r="BX837" t="s">
        <v>2320</v>
      </c>
      <c r="BY837" t="s">
        <v>2262</v>
      </c>
      <c r="BZ837">
        <v>35</v>
      </c>
      <c r="CA837" t="s">
        <v>275</v>
      </c>
      <c r="CB837" t="s">
        <v>2319</v>
      </c>
      <c r="CC837" t="s">
        <v>2318</v>
      </c>
      <c r="CD837" t="s">
        <v>2262</v>
      </c>
      <c r="CE837">
        <v>19</v>
      </c>
      <c r="HL837" t="s">
        <v>2317</v>
      </c>
      <c r="HM837" t="s">
        <v>2316</v>
      </c>
      <c r="HP837" t="s">
        <v>29</v>
      </c>
      <c r="HQ837">
        <v>9</v>
      </c>
      <c r="HR837" t="s">
        <v>2315</v>
      </c>
      <c r="HT837" t="s">
        <v>2314</v>
      </c>
      <c r="HU837" s="58">
        <v>40153</v>
      </c>
      <c r="IP837" t="s">
        <v>2313</v>
      </c>
      <c r="IQ837" t="s">
        <v>2312</v>
      </c>
      <c r="IT837">
        <v>2009</v>
      </c>
      <c r="IU837" t="s">
        <v>2311</v>
      </c>
      <c r="IV837" s="4" t="s">
        <v>1879</v>
      </c>
      <c r="JM837" t="s">
        <v>14</v>
      </c>
      <c r="KF837" t="s">
        <v>2310</v>
      </c>
      <c r="KG837" t="s">
        <v>1548</v>
      </c>
      <c r="KH837" t="s">
        <v>2309</v>
      </c>
      <c r="KI837">
        <v>4</v>
      </c>
      <c r="KJ837" t="s">
        <v>2308</v>
      </c>
      <c r="KK837" t="s">
        <v>2152</v>
      </c>
      <c r="KO837" t="s">
        <v>219</v>
      </c>
      <c r="KP837" t="s">
        <v>2307</v>
      </c>
      <c r="KW837" t="s">
        <v>2306</v>
      </c>
      <c r="KX837" t="s">
        <v>2305</v>
      </c>
      <c r="LD837" t="s">
        <v>13</v>
      </c>
      <c r="LE837">
        <v>4600</v>
      </c>
      <c r="LM837" t="s">
        <v>2304</v>
      </c>
      <c r="LN837" t="s">
        <v>2303</v>
      </c>
      <c r="LO837">
        <v>30</v>
      </c>
      <c r="LU837" t="s">
        <v>2302</v>
      </c>
      <c r="LV837" t="s">
        <v>2301</v>
      </c>
      <c r="LZ837" t="s">
        <v>1925</v>
      </c>
      <c r="MA837">
        <v>1426</v>
      </c>
      <c r="MB837" t="s">
        <v>2300</v>
      </c>
      <c r="MH837" t="s">
        <v>2299</v>
      </c>
      <c r="MJ837" s="58">
        <v>40224</v>
      </c>
      <c r="MZ837" t="s">
        <v>2298</v>
      </c>
      <c r="NA837">
        <v>1435</v>
      </c>
      <c r="NB837" t="s">
        <v>2297</v>
      </c>
      <c r="NC837" s="2"/>
      <c r="ND837" s="2" t="s">
        <v>2296</v>
      </c>
      <c r="NE837" t="s">
        <v>1894</v>
      </c>
      <c r="NF837" s="2" t="s">
        <v>168</v>
      </c>
      <c r="NK837" t="s">
        <v>2362</v>
      </c>
      <c r="NL837" t="s">
        <v>2374</v>
      </c>
      <c r="NM837" t="s">
        <v>266</v>
      </c>
      <c r="NN837" t="s">
        <v>265</v>
      </c>
      <c r="NW837" t="s">
        <v>6</v>
      </c>
      <c r="NX837">
        <v>1486</v>
      </c>
      <c r="NY837" t="s">
        <v>29</v>
      </c>
      <c r="OC837">
        <v>3</v>
      </c>
      <c r="OT837" t="s">
        <v>2358</v>
      </c>
      <c r="OU837" t="s">
        <v>6</v>
      </c>
      <c r="OW837">
        <v>2009</v>
      </c>
      <c r="OX837">
        <v>2010</v>
      </c>
      <c r="OY837" t="s">
        <v>2311</v>
      </c>
      <c r="OZ837" t="s">
        <v>2373</v>
      </c>
      <c r="PA837" t="s">
        <v>1169</v>
      </c>
      <c r="PB837" s="58">
        <v>46136</v>
      </c>
    </row>
    <row r="838" spans="1:418" ht="15.75" thickBot="1">
      <c r="A838" t="s">
        <v>248</v>
      </c>
      <c r="B838" t="s">
        <v>2327</v>
      </c>
      <c r="C838" t="s">
        <v>1885</v>
      </c>
      <c r="D838" t="s">
        <v>1936</v>
      </c>
      <c r="E838" s="90" t="s">
        <v>2326</v>
      </c>
      <c r="F838" s="89" t="s">
        <v>31</v>
      </c>
      <c r="G838" t="s">
        <v>2</v>
      </c>
      <c r="H838" t="s">
        <v>30</v>
      </c>
      <c r="I838">
        <v>23.983611109999998</v>
      </c>
      <c r="J838">
        <v>90.402222219999999</v>
      </c>
      <c r="K838" t="s">
        <v>29</v>
      </c>
      <c r="AV838" t="s">
        <v>2325</v>
      </c>
      <c r="AW838">
        <f t="shared" si="1"/>
        <v>1435</v>
      </c>
      <c r="AX838" t="s">
        <v>29</v>
      </c>
      <c r="AY838">
        <v>3</v>
      </c>
      <c r="AZ838" t="s">
        <v>2324</v>
      </c>
      <c r="BA838">
        <v>2009</v>
      </c>
      <c r="BB838">
        <v>2012</v>
      </c>
      <c r="BC838">
        <v>2009.2</v>
      </c>
      <c r="BD838" t="s">
        <v>19</v>
      </c>
      <c r="BE838" t="s">
        <v>2354</v>
      </c>
      <c r="BF838" t="s">
        <v>39</v>
      </c>
      <c r="BG838" t="s">
        <v>1233</v>
      </c>
      <c r="BH838" t="s">
        <v>2319</v>
      </c>
      <c r="BI838" t="s">
        <v>2342</v>
      </c>
      <c r="BJ838" t="s">
        <v>2262</v>
      </c>
      <c r="BK838">
        <v>45</v>
      </c>
      <c r="BL838" t="s">
        <v>275</v>
      </c>
      <c r="BM838" t="s">
        <v>2319</v>
      </c>
      <c r="BN838" t="s">
        <v>2355</v>
      </c>
      <c r="BO838" t="s">
        <v>2262</v>
      </c>
      <c r="BP838">
        <v>49</v>
      </c>
      <c r="BQ838" t="s">
        <v>275</v>
      </c>
      <c r="BR838" t="s">
        <v>2319</v>
      </c>
      <c r="BS838" t="s">
        <v>2341</v>
      </c>
      <c r="BT838" t="s">
        <v>2262</v>
      </c>
      <c r="BU838">
        <v>49</v>
      </c>
      <c r="HL838" t="s">
        <v>2350</v>
      </c>
      <c r="HM838" t="s">
        <v>297</v>
      </c>
      <c r="HN838" t="s">
        <v>2349</v>
      </c>
      <c r="HP838" t="s">
        <v>29</v>
      </c>
      <c r="HQ838">
        <v>12</v>
      </c>
      <c r="HR838" t="s">
        <v>2348</v>
      </c>
      <c r="HT838" t="s">
        <v>2314</v>
      </c>
      <c r="HU838" s="58">
        <v>40202</v>
      </c>
      <c r="HV838" s="58"/>
      <c r="IP838" t="s">
        <v>2354</v>
      </c>
      <c r="IQ838" s="54" t="s">
        <v>2337</v>
      </c>
      <c r="IT838">
        <v>2009</v>
      </c>
      <c r="IU838" t="s">
        <v>2311</v>
      </c>
      <c r="IV838" s="4" t="s">
        <v>1879</v>
      </c>
      <c r="JM838" t="s">
        <v>14</v>
      </c>
      <c r="KF838" t="s">
        <v>2353</v>
      </c>
      <c r="KG838" t="s">
        <v>1548</v>
      </c>
      <c r="KH838" t="s">
        <v>2309</v>
      </c>
      <c r="KI838">
        <v>3</v>
      </c>
      <c r="KJ838" t="s">
        <v>2308</v>
      </c>
      <c r="KK838" t="s">
        <v>2152</v>
      </c>
      <c r="KO838" t="s">
        <v>219</v>
      </c>
      <c r="KP838" s="8" t="s">
        <v>2357</v>
      </c>
      <c r="KW838" t="s">
        <v>2352</v>
      </c>
      <c r="KX838" t="s">
        <v>2305</v>
      </c>
      <c r="LD838" t="s">
        <v>13</v>
      </c>
      <c r="LE838">
        <v>0</v>
      </c>
      <c r="LM838" t="s">
        <v>2304</v>
      </c>
      <c r="LN838" t="s">
        <v>2303</v>
      </c>
      <c r="LO838">
        <v>7.5</v>
      </c>
      <c r="LU838" t="s">
        <v>2351</v>
      </c>
      <c r="LV838" t="s">
        <v>2301</v>
      </c>
      <c r="LZ838" t="s">
        <v>1925</v>
      </c>
      <c r="MA838">
        <v>2172</v>
      </c>
      <c r="MB838" t="s">
        <v>2300</v>
      </c>
      <c r="MH838" t="s">
        <v>2332</v>
      </c>
      <c r="MJ838" s="58">
        <v>40292</v>
      </c>
      <c r="MZ838" t="s">
        <v>2298</v>
      </c>
      <c r="NA838">
        <v>1435</v>
      </c>
      <c r="NB838" t="s">
        <v>2331</v>
      </c>
      <c r="NC838" s="2" t="s">
        <v>2296</v>
      </c>
      <c r="ND838" s="2" t="s">
        <v>2296</v>
      </c>
      <c r="NE838" s="2"/>
      <c r="NF838" s="2"/>
      <c r="NK838" t="s">
        <v>2362</v>
      </c>
      <c r="NL838" t="s">
        <v>2374</v>
      </c>
      <c r="NM838" t="s">
        <v>266</v>
      </c>
      <c r="NN838" t="s">
        <v>265</v>
      </c>
      <c r="NV838" t="s">
        <v>2343</v>
      </c>
      <c r="NW838" t="s">
        <v>6</v>
      </c>
      <c r="NX838">
        <v>346</v>
      </c>
      <c r="NY838" t="s">
        <v>29</v>
      </c>
      <c r="OC838">
        <v>3</v>
      </c>
      <c r="OT838" t="s">
        <v>2358</v>
      </c>
      <c r="OU838" t="s">
        <v>6</v>
      </c>
      <c r="OW838">
        <v>2010</v>
      </c>
      <c r="OX838">
        <v>2011</v>
      </c>
      <c r="OY838" t="s">
        <v>2311</v>
      </c>
      <c r="OZ838" t="s">
        <v>2373</v>
      </c>
      <c r="PA838" t="s">
        <v>1169</v>
      </c>
      <c r="PB838" s="58">
        <v>46136</v>
      </c>
    </row>
    <row r="839" spans="1:418" ht="15.75" thickBot="1">
      <c r="A839" t="s">
        <v>248</v>
      </c>
      <c r="B839" t="s">
        <v>2327</v>
      </c>
      <c r="C839" t="s">
        <v>1885</v>
      </c>
      <c r="D839" t="s">
        <v>1936</v>
      </c>
      <c r="E839" s="90" t="s">
        <v>2326</v>
      </c>
      <c r="F839" s="89" t="s">
        <v>31</v>
      </c>
      <c r="G839" t="s">
        <v>2</v>
      </c>
      <c r="H839" t="s">
        <v>30</v>
      </c>
      <c r="I839">
        <v>23.983611109999998</v>
      </c>
      <c r="J839">
        <v>90.402222219999999</v>
      </c>
      <c r="K839" t="s">
        <v>29</v>
      </c>
      <c r="AV839" t="s">
        <v>2325</v>
      </c>
      <c r="AW839">
        <f t="shared" si="1"/>
        <v>1435</v>
      </c>
      <c r="AX839" t="s">
        <v>29</v>
      </c>
      <c r="AY839">
        <v>3</v>
      </c>
      <c r="AZ839" t="s">
        <v>2324</v>
      </c>
      <c r="BA839">
        <v>2009</v>
      </c>
      <c r="BB839">
        <v>2012</v>
      </c>
      <c r="BC839">
        <v>2009.2</v>
      </c>
      <c r="BD839" t="s">
        <v>19</v>
      </c>
      <c r="BE839" t="s">
        <v>2347</v>
      </c>
      <c r="BF839" t="s">
        <v>24</v>
      </c>
      <c r="BG839" t="s">
        <v>1233</v>
      </c>
      <c r="BH839" t="s">
        <v>2319</v>
      </c>
      <c r="BI839" t="s">
        <v>2342</v>
      </c>
      <c r="BJ839" t="s">
        <v>2262</v>
      </c>
      <c r="BK839">
        <v>30</v>
      </c>
      <c r="BL839" t="s">
        <v>275</v>
      </c>
      <c r="BM839" t="s">
        <v>2319</v>
      </c>
      <c r="BN839" t="s">
        <v>2341</v>
      </c>
      <c r="BO839" t="s">
        <v>2262</v>
      </c>
      <c r="BP839">
        <v>35</v>
      </c>
      <c r="HL839" t="s">
        <v>2350</v>
      </c>
      <c r="HM839" t="s">
        <v>297</v>
      </c>
      <c r="HN839" t="s">
        <v>2349</v>
      </c>
      <c r="HP839" t="s">
        <v>29</v>
      </c>
      <c r="HQ839">
        <v>12</v>
      </c>
      <c r="HR839" t="s">
        <v>2348</v>
      </c>
      <c r="HT839" t="s">
        <v>2314</v>
      </c>
      <c r="HU839" s="58">
        <v>40192</v>
      </c>
      <c r="HV839" s="58"/>
      <c r="IP839" t="s">
        <v>2347</v>
      </c>
      <c r="IQ839" s="54" t="s">
        <v>2337</v>
      </c>
      <c r="IT839">
        <v>2009</v>
      </c>
      <c r="IU839" t="s">
        <v>2311</v>
      </c>
      <c r="IV839" s="4" t="s">
        <v>1879</v>
      </c>
      <c r="JM839" t="s">
        <v>14</v>
      </c>
      <c r="KF839" t="s">
        <v>2346</v>
      </c>
      <c r="KG839" t="s">
        <v>1548</v>
      </c>
      <c r="KH839" t="s">
        <v>2309</v>
      </c>
      <c r="KI839">
        <v>6</v>
      </c>
      <c r="KJ839" t="s">
        <v>2308</v>
      </c>
      <c r="KK839" t="s">
        <v>222</v>
      </c>
      <c r="KL839" s="8" t="s">
        <v>1922</v>
      </c>
      <c r="KO839" t="s">
        <v>219</v>
      </c>
      <c r="KP839" t="s">
        <v>2335</v>
      </c>
      <c r="KW839" t="s">
        <v>2345</v>
      </c>
      <c r="KX839" t="s">
        <v>2305</v>
      </c>
      <c r="LD839" t="s">
        <v>13</v>
      </c>
      <c r="LE839">
        <v>1600</v>
      </c>
      <c r="LM839" t="s">
        <v>2304</v>
      </c>
      <c r="LN839" t="s">
        <v>2303</v>
      </c>
      <c r="LO839">
        <v>30</v>
      </c>
      <c r="LU839" t="s">
        <v>2344</v>
      </c>
      <c r="LV839" t="s">
        <v>2301</v>
      </c>
      <c r="LZ839" t="s">
        <v>1925</v>
      </c>
      <c r="MA839">
        <v>1946</v>
      </c>
      <c r="MB839" t="s">
        <v>2300</v>
      </c>
      <c r="MH839" t="s">
        <v>2332</v>
      </c>
      <c r="MJ839" s="58">
        <v>40298</v>
      </c>
      <c r="MZ839" t="s">
        <v>2298</v>
      </c>
      <c r="NA839">
        <v>1435</v>
      </c>
      <c r="NB839" t="s">
        <v>2331</v>
      </c>
      <c r="NC839" s="2" t="s">
        <v>2296</v>
      </c>
      <c r="ND839" s="2" t="s">
        <v>2296</v>
      </c>
      <c r="NE839" s="2"/>
      <c r="NF839" s="2"/>
      <c r="NK839" t="s">
        <v>2362</v>
      </c>
      <c r="NL839" t="s">
        <v>2374</v>
      </c>
      <c r="NM839" t="s">
        <v>266</v>
      </c>
      <c r="NN839" t="s">
        <v>265</v>
      </c>
      <c r="NV839" t="s">
        <v>2343</v>
      </c>
      <c r="NW839" t="s">
        <v>6</v>
      </c>
      <c r="NX839">
        <v>933</v>
      </c>
      <c r="NY839" t="s">
        <v>29</v>
      </c>
      <c r="OC839">
        <v>3</v>
      </c>
      <c r="OT839" t="s">
        <v>2358</v>
      </c>
      <c r="OU839" t="s">
        <v>6</v>
      </c>
      <c r="OW839">
        <v>2010</v>
      </c>
      <c r="OX839">
        <v>2011</v>
      </c>
      <c r="OY839" t="s">
        <v>2311</v>
      </c>
      <c r="OZ839" t="s">
        <v>2373</v>
      </c>
      <c r="PA839" t="s">
        <v>1169</v>
      </c>
      <c r="PB839" s="58">
        <v>46136</v>
      </c>
    </row>
    <row r="840" spans="1:418" ht="15.75" thickBot="1">
      <c r="A840" t="s">
        <v>248</v>
      </c>
      <c r="B840" t="s">
        <v>2327</v>
      </c>
      <c r="C840" t="s">
        <v>1885</v>
      </c>
      <c r="D840" t="s">
        <v>1936</v>
      </c>
      <c r="E840" s="90" t="s">
        <v>2326</v>
      </c>
      <c r="F840" s="89" t="s">
        <v>31</v>
      </c>
      <c r="G840" t="s">
        <v>2</v>
      </c>
      <c r="H840" t="s">
        <v>30</v>
      </c>
      <c r="I840">
        <v>23.983611109999998</v>
      </c>
      <c r="J840">
        <v>90.402222219999999</v>
      </c>
      <c r="K840" t="s">
        <v>29</v>
      </c>
      <c r="AV840" t="s">
        <v>2325</v>
      </c>
      <c r="AW840">
        <f t="shared" si="1"/>
        <v>1435</v>
      </c>
      <c r="AX840" t="s">
        <v>29</v>
      </c>
      <c r="AY840">
        <v>3</v>
      </c>
      <c r="AZ840" t="s">
        <v>2324</v>
      </c>
      <c r="BA840">
        <v>2009</v>
      </c>
      <c r="BB840">
        <v>2012</v>
      </c>
      <c r="BC840">
        <v>2009.2</v>
      </c>
      <c r="BD840" t="s">
        <v>19</v>
      </c>
      <c r="BE840" t="s">
        <v>2338</v>
      </c>
      <c r="BF840" t="s">
        <v>299</v>
      </c>
      <c r="BG840" t="s">
        <v>1233</v>
      </c>
      <c r="BH840" t="s">
        <v>2319</v>
      </c>
      <c r="BI840" t="s">
        <v>2342</v>
      </c>
      <c r="BJ840" t="s">
        <v>2262</v>
      </c>
      <c r="BK840">
        <v>30</v>
      </c>
      <c r="BL840" t="s">
        <v>275</v>
      </c>
      <c r="BM840" t="s">
        <v>2319</v>
      </c>
      <c r="BN840" t="s">
        <v>2341</v>
      </c>
      <c r="BO840" t="s">
        <v>2262</v>
      </c>
      <c r="BP840">
        <v>19</v>
      </c>
      <c r="HL840" t="s">
        <v>2340</v>
      </c>
      <c r="HM840" t="s">
        <v>2316</v>
      </c>
      <c r="HP840" t="s">
        <v>29</v>
      </c>
      <c r="HQ840">
        <v>4</v>
      </c>
      <c r="HR840" t="s">
        <v>2339</v>
      </c>
      <c r="HT840" t="s">
        <v>2314</v>
      </c>
      <c r="HU840" s="58">
        <v>40192</v>
      </c>
      <c r="HV840" s="58"/>
      <c r="IP840" t="s">
        <v>2338</v>
      </c>
      <c r="IQ840" s="54" t="s">
        <v>2337</v>
      </c>
      <c r="IT840">
        <v>2009</v>
      </c>
      <c r="IU840" t="s">
        <v>2311</v>
      </c>
      <c r="IV840" s="4" t="s">
        <v>1879</v>
      </c>
      <c r="JM840" t="s">
        <v>14</v>
      </c>
      <c r="KF840" t="s">
        <v>2336</v>
      </c>
      <c r="KG840" t="s">
        <v>1548</v>
      </c>
      <c r="KH840" t="s">
        <v>2309</v>
      </c>
      <c r="KI840">
        <v>7</v>
      </c>
      <c r="KJ840" t="s">
        <v>2308</v>
      </c>
      <c r="KK840" t="s">
        <v>222</v>
      </c>
      <c r="KL840" s="8" t="s">
        <v>1922</v>
      </c>
      <c r="KO840" t="s">
        <v>219</v>
      </c>
      <c r="KP840" t="s">
        <v>2335</v>
      </c>
      <c r="KW840" t="s">
        <v>2334</v>
      </c>
      <c r="KX840" t="s">
        <v>2305</v>
      </c>
      <c r="LD840" t="s">
        <v>13</v>
      </c>
      <c r="LE840">
        <v>1400</v>
      </c>
      <c r="LM840" t="s">
        <v>2304</v>
      </c>
      <c r="LN840" t="s">
        <v>2303</v>
      </c>
      <c r="LO840">
        <v>30</v>
      </c>
      <c r="LU840" t="s">
        <v>2333</v>
      </c>
      <c r="LV840" t="s">
        <v>2301</v>
      </c>
      <c r="LZ840" t="s">
        <v>1925</v>
      </c>
      <c r="MA840">
        <v>2001</v>
      </c>
      <c r="MB840" t="s">
        <v>2300</v>
      </c>
      <c r="MH840" t="s">
        <v>2332</v>
      </c>
      <c r="MJ840" s="58">
        <v>40299</v>
      </c>
      <c r="MZ840" t="s">
        <v>2298</v>
      </c>
      <c r="NA840">
        <v>1435</v>
      </c>
      <c r="NB840" t="s">
        <v>2331</v>
      </c>
      <c r="NC840" s="2" t="s">
        <v>2296</v>
      </c>
      <c r="ND840" s="2" t="s">
        <v>2296</v>
      </c>
      <c r="NE840" s="2"/>
      <c r="NF840" s="2"/>
      <c r="NK840" t="s">
        <v>2362</v>
      </c>
      <c r="NL840" t="s">
        <v>2374</v>
      </c>
      <c r="NM840" t="s">
        <v>266</v>
      </c>
      <c r="NN840" t="s">
        <v>265</v>
      </c>
      <c r="NV840" t="s">
        <v>64</v>
      </c>
      <c r="NW840" t="s">
        <v>6</v>
      </c>
      <c r="NX840">
        <v>1046</v>
      </c>
      <c r="NY840" t="s">
        <v>29</v>
      </c>
      <c r="OC840">
        <v>3</v>
      </c>
      <c r="OT840" t="s">
        <v>2358</v>
      </c>
      <c r="OU840" t="s">
        <v>6</v>
      </c>
      <c r="OW840">
        <v>2010</v>
      </c>
      <c r="OX840">
        <v>2011</v>
      </c>
      <c r="OY840" t="s">
        <v>2311</v>
      </c>
      <c r="OZ840" t="s">
        <v>2373</v>
      </c>
      <c r="PA840" t="s">
        <v>1169</v>
      </c>
      <c r="PB840" s="58">
        <v>46136</v>
      </c>
    </row>
    <row r="841" spans="1:418" ht="15.75" thickBot="1">
      <c r="A841" t="s">
        <v>248</v>
      </c>
      <c r="B841" t="s">
        <v>2327</v>
      </c>
      <c r="C841" t="s">
        <v>1885</v>
      </c>
      <c r="D841" t="s">
        <v>1936</v>
      </c>
      <c r="E841" s="90" t="s">
        <v>2326</v>
      </c>
      <c r="F841" s="89" t="s">
        <v>31</v>
      </c>
      <c r="G841" t="s">
        <v>2</v>
      </c>
      <c r="H841" t="s">
        <v>30</v>
      </c>
      <c r="I841">
        <v>23.983611109999998</v>
      </c>
      <c r="J841">
        <v>90.402222219999999</v>
      </c>
      <c r="K841" t="s">
        <v>29</v>
      </c>
      <c r="AV841" t="s">
        <v>2325</v>
      </c>
      <c r="AW841">
        <f t="shared" si="1"/>
        <v>1435</v>
      </c>
      <c r="AX841" t="s">
        <v>29</v>
      </c>
      <c r="AY841">
        <v>3</v>
      </c>
      <c r="AZ841" t="s">
        <v>2324</v>
      </c>
      <c r="BA841">
        <v>2009</v>
      </c>
      <c r="BB841">
        <v>2012</v>
      </c>
      <c r="BC841">
        <v>2009.2</v>
      </c>
      <c r="BD841" t="s">
        <v>274</v>
      </c>
      <c r="BE841" t="s">
        <v>2313</v>
      </c>
      <c r="BF841" t="s">
        <v>64</v>
      </c>
      <c r="BG841" t="s">
        <v>1233</v>
      </c>
      <c r="BH841" t="s">
        <v>1894</v>
      </c>
      <c r="BI841" t="s">
        <v>2323</v>
      </c>
      <c r="BJ841" t="s">
        <v>2262</v>
      </c>
      <c r="BK841">
        <v>1614</v>
      </c>
      <c r="BL841" t="s">
        <v>275</v>
      </c>
      <c r="BM841" t="s">
        <v>23</v>
      </c>
      <c r="BN841" t="s">
        <v>2322</v>
      </c>
      <c r="BO841" t="s">
        <v>2262</v>
      </c>
      <c r="BP841">
        <v>20</v>
      </c>
      <c r="BQ841" t="s">
        <v>275</v>
      </c>
      <c r="BR841" t="s">
        <v>1917</v>
      </c>
      <c r="BS841" t="s">
        <v>2321</v>
      </c>
      <c r="BT841" t="s">
        <v>2262</v>
      </c>
      <c r="BU841">
        <v>30</v>
      </c>
      <c r="BV841" t="s">
        <v>275</v>
      </c>
      <c r="BW841" t="s">
        <v>2319</v>
      </c>
      <c r="BX841" t="s">
        <v>2320</v>
      </c>
      <c r="BY841" t="s">
        <v>2262</v>
      </c>
      <c r="BZ841">
        <v>35</v>
      </c>
      <c r="CA841" t="s">
        <v>275</v>
      </c>
      <c r="CB841" t="s">
        <v>2319</v>
      </c>
      <c r="CC841" t="s">
        <v>2318</v>
      </c>
      <c r="CD841" t="s">
        <v>2262</v>
      </c>
      <c r="CE841">
        <v>19</v>
      </c>
      <c r="HL841" t="s">
        <v>2317</v>
      </c>
      <c r="HM841" t="s">
        <v>2316</v>
      </c>
      <c r="HP841" t="s">
        <v>29</v>
      </c>
      <c r="HQ841">
        <v>9</v>
      </c>
      <c r="HR841" t="s">
        <v>2315</v>
      </c>
      <c r="HT841" t="s">
        <v>2314</v>
      </c>
      <c r="HU841" s="58">
        <v>40153</v>
      </c>
      <c r="IP841" t="s">
        <v>2313</v>
      </c>
      <c r="IQ841" t="s">
        <v>2312</v>
      </c>
      <c r="IT841">
        <v>2009</v>
      </c>
      <c r="IU841" t="s">
        <v>2311</v>
      </c>
      <c r="IV841" s="4" t="s">
        <v>1879</v>
      </c>
      <c r="JM841" t="s">
        <v>14</v>
      </c>
      <c r="KF841" t="s">
        <v>2310</v>
      </c>
      <c r="KG841" t="s">
        <v>1548</v>
      </c>
      <c r="KH841" t="s">
        <v>2309</v>
      </c>
      <c r="KI841">
        <v>4</v>
      </c>
      <c r="KJ841" t="s">
        <v>2308</v>
      </c>
      <c r="KK841" t="s">
        <v>2152</v>
      </c>
      <c r="KO841" t="s">
        <v>219</v>
      </c>
      <c r="KP841" t="s">
        <v>2307</v>
      </c>
      <c r="KS841" t="s">
        <v>219</v>
      </c>
      <c r="KT841" s="8" t="s">
        <v>2356</v>
      </c>
      <c r="KW841" t="s">
        <v>2306</v>
      </c>
      <c r="KX841" t="s">
        <v>2305</v>
      </c>
      <c r="LD841" t="s">
        <v>13</v>
      </c>
      <c r="LE841">
        <v>1600</v>
      </c>
      <c r="LM841" t="s">
        <v>2304</v>
      </c>
      <c r="LN841" t="s">
        <v>2303</v>
      </c>
      <c r="LO841">
        <v>30</v>
      </c>
      <c r="LU841" t="s">
        <v>2302</v>
      </c>
      <c r="LV841" t="s">
        <v>2301</v>
      </c>
      <c r="LZ841" t="s">
        <v>1925</v>
      </c>
      <c r="MA841">
        <v>1186</v>
      </c>
      <c r="MB841" t="s">
        <v>2300</v>
      </c>
      <c r="MH841" t="s">
        <v>2299</v>
      </c>
      <c r="MJ841" s="58">
        <v>40224</v>
      </c>
      <c r="MZ841" t="s">
        <v>2298</v>
      </c>
      <c r="NA841">
        <v>1435</v>
      </c>
      <c r="NB841" t="s">
        <v>2297</v>
      </c>
      <c r="NC841" s="2"/>
      <c r="ND841" s="2" t="s">
        <v>2296</v>
      </c>
      <c r="NE841" s="2"/>
      <c r="NF841" s="2"/>
      <c r="NK841" t="s">
        <v>2362</v>
      </c>
      <c r="NL841" t="s">
        <v>2374</v>
      </c>
      <c r="NM841" t="s">
        <v>266</v>
      </c>
      <c r="NN841" t="s">
        <v>265</v>
      </c>
      <c r="NW841" t="s">
        <v>6</v>
      </c>
      <c r="NX841">
        <v>677</v>
      </c>
      <c r="NY841" t="s">
        <v>29</v>
      </c>
      <c r="OC841">
        <v>3</v>
      </c>
      <c r="OT841" t="s">
        <v>2358</v>
      </c>
      <c r="OU841" t="s">
        <v>6</v>
      </c>
      <c r="OW841">
        <v>2010</v>
      </c>
      <c r="OX841">
        <v>2011</v>
      </c>
      <c r="OY841" t="s">
        <v>2311</v>
      </c>
      <c r="OZ841" t="s">
        <v>2373</v>
      </c>
      <c r="PA841" t="s">
        <v>1169</v>
      </c>
      <c r="PB841" s="58">
        <v>46136</v>
      </c>
    </row>
    <row r="842" spans="1:418" ht="15.75" thickBot="1">
      <c r="A842" t="s">
        <v>248</v>
      </c>
      <c r="B842" t="s">
        <v>2327</v>
      </c>
      <c r="C842" t="s">
        <v>1885</v>
      </c>
      <c r="D842" t="s">
        <v>1936</v>
      </c>
      <c r="E842" s="90" t="s">
        <v>2326</v>
      </c>
      <c r="F842" s="89" t="s">
        <v>31</v>
      </c>
      <c r="G842" t="s">
        <v>2</v>
      </c>
      <c r="H842" t="s">
        <v>30</v>
      </c>
      <c r="I842">
        <v>23.983611109999998</v>
      </c>
      <c r="J842">
        <v>90.402222219999999</v>
      </c>
      <c r="K842" t="s">
        <v>29</v>
      </c>
      <c r="AV842" t="s">
        <v>2325</v>
      </c>
      <c r="AW842">
        <f t="shared" si="1"/>
        <v>1435</v>
      </c>
      <c r="AX842" t="s">
        <v>29</v>
      </c>
      <c r="AY842">
        <v>3</v>
      </c>
      <c r="AZ842" t="s">
        <v>2324</v>
      </c>
      <c r="BA842">
        <v>2009</v>
      </c>
      <c r="BB842">
        <v>2012</v>
      </c>
      <c r="BC842">
        <v>2009.2</v>
      </c>
      <c r="BD842" t="s">
        <v>19</v>
      </c>
      <c r="BE842" t="s">
        <v>2354</v>
      </c>
      <c r="BF842" t="s">
        <v>39</v>
      </c>
      <c r="BG842" t="s">
        <v>1233</v>
      </c>
      <c r="BH842" t="s">
        <v>2319</v>
      </c>
      <c r="BI842" t="s">
        <v>2342</v>
      </c>
      <c r="BJ842" t="s">
        <v>2262</v>
      </c>
      <c r="BK842">
        <v>45</v>
      </c>
      <c r="BL842" t="s">
        <v>275</v>
      </c>
      <c r="BM842" t="s">
        <v>2319</v>
      </c>
      <c r="BN842" t="s">
        <v>2355</v>
      </c>
      <c r="BO842" t="s">
        <v>2262</v>
      </c>
      <c r="BP842">
        <v>49</v>
      </c>
      <c r="BQ842" t="s">
        <v>275</v>
      </c>
      <c r="BR842" t="s">
        <v>2319</v>
      </c>
      <c r="BS842" t="s">
        <v>2341</v>
      </c>
      <c r="BT842" t="s">
        <v>2262</v>
      </c>
      <c r="BU842">
        <v>49</v>
      </c>
      <c r="HL842" t="s">
        <v>2350</v>
      </c>
      <c r="HM842" t="s">
        <v>297</v>
      </c>
      <c r="HN842" t="s">
        <v>2349</v>
      </c>
      <c r="HP842" t="s">
        <v>29</v>
      </c>
      <c r="HQ842">
        <v>12</v>
      </c>
      <c r="HR842" t="s">
        <v>2348</v>
      </c>
      <c r="HT842" t="s">
        <v>2314</v>
      </c>
      <c r="HU842" s="58">
        <v>40202</v>
      </c>
      <c r="HV842" s="58"/>
      <c r="IP842" t="s">
        <v>2354</v>
      </c>
      <c r="IQ842" s="54" t="s">
        <v>2337</v>
      </c>
      <c r="IT842">
        <v>2009</v>
      </c>
      <c r="IU842" t="s">
        <v>2311</v>
      </c>
      <c r="IV842" s="4" t="s">
        <v>1879</v>
      </c>
      <c r="JM842" t="s">
        <v>14</v>
      </c>
      <c r="KF842" t="s">
        <v>2353</v>
      </c>
      <c r="KG842" t="s">
        <v>1548</v>
      </c>
      <c r="KH842" t="s">
        <v>2309</v>
      </c>
      <c r="KI842">
        <v>3</v>
      </c>
      <c r="KJ842" t="s">
        <v>2308</v>
      </c>
      <c r="KK842" t="s">
        <v>2152</v>
      </c>
      <c r="KO842" t="s">
        <v>219</v>
      </c>
      <c r="KP842" t="s">
        <v>2335</v>
      </c>
      <c r="KW842" t="s">
        <v>2352</v>
      </c>
      <c r="KX842" t="s">
        <v>2305</v>
      </c>
      <c r="LD842" t="s">
        <v>13</v>
      </c>
      <c r="LE842">
        <v>1600</v>
      </c>
      <c r="LM842" t="s">
        <v>2304</v>
      </c>
      <c r="LN842" t="s">
        <v>2303</v>
      </c>
      <c r="LO842">
        <v>7.5</v>
      </c>
      <c r="LU842" t="s">
        <v>2351</v>
      </c>
      <c r="LV842" t="s">
        <v>2301</v>
      </c>
      <c r="LZ842" t="s">
        <v>1925</v>
      </c>
      <c r="MA842">
        <v>1450</v>
      </c>
      <c r="MB842" t="s">
        <v>2300</v>
      </c>
      <c r="MH842" t="s">
        <v>2332</v>
      </c>
      <c r="MJ842" s="58">
        <v>40292</v>
      </c>
      <c r="MZ842" t="s">
        <v>2298</v>
      </c>
      <c r="NA842">
        <v>1435</v>
      </c>
      <c r="NB842" t="s">
        <v>2331</v>
      </c>
      <c r="NC842" s="2" t="s">
        <v>2296</v>
      </c>
      <c r="ND842" s="2" t="s">
        <v>2296</v>
      </c>
      <c r="NE842" s="2"/>
      <c r="NF842" s="2"/>
      <c r="NK842" t="s">
        <v>2362</v>
      </c>
      <c r="NL842" t="s">
        <v>2374</v>
      </c>
      <c r="NM842" t="s">
        <v>266</v>
      </c>
      <c r="NN842" t="s">
        <v>265</v>
      </c>
      <c r="NV842" t="s">
        <v>2343</v>
      </c>
      <c r="NW842" t="s">
        <v>6</v>
      </c>
      <c r="NX842">
        <v>274</v>
      </c>
      <c r="NY842" t="s">
        <v>29</v>
      </c>
      <c r="OC842">
        <v>3</v>
      </c>
      <c r="OT842" t="s">
        <v>2358</v>
      </c>
      <c r="OU842" t="s">
        <v>6</v>
      </c>
      <c r="OW842">
        <v>2011</v>
      </c>
      <c r="OX842">
        <v>2012</v>
      </c>
      <c r="OY842" t="s">
        <v>2311</v>
      </c>
      <c r="OZ842" t="s">
        <v>2373</v>
      </c>
      <c r="PA842" t="s">
        <v>1169</v>
      </c>
      <c r="PB842" s="58">
        <v>46136</v>
      </c>
    </row>
    <row r="843" spans="1:418" ht="15.75" thickBot="1">
      <c r="A843" t="s">
        <v>248</v>
      </c>
      <c r="B843" t="s">
        <v>2327</v>
      </c>
      <c r="C843" t="s">
        <v>1885</v>
      </c>
      <c r="D843" t="s">
        <v>1936</v>
      </c>
      <c r="E843" s="90" t="s">
        <v>2326</v>
      </c>
      <c r="F843" s="89" t="s">
        <v>31</v>
      </c>
      <c r="G843" t="s">
        <v>2</v>
      </c>
      <c r="H843" t="s">
        <v>30</v>
      </c>
      <c r="I843">
        <v>23.983611109999998</v>
      </c>
      <c r="J843">
        <v>90.402222219999999</v>
      </c>
      <c r="K843" t="s">
        <v>29</v>
      </c>
      <c r="AV843" t="s">
        <v>2325</v>
      </c>
      <c r="AW843">
        <f t="shared" si="1"/>
        <v>1435</v>
      </c>
      <c r="AX843" t="s">
        <v>29</v>
      </c>
      <c r="AY843">
        <v>3</v>
      </c>
      <c r="AZ843" t="s">
        <v>2324</v>
      </c>
      <c r="BA843">
        <v>2009</v>
      </c>
      <c r="BB843">
        <v>2012</v>
      </c>
      <c r="BC843">
        <v>2009.2</v>
      </c>
      <c r="BD843" t="s">
        <v>19</v>
      </c>
      <c r="BE843" t="s">
        <v>2347</v>
      </c>
      <c r="BF843" t="s">
        <v>24</v>
      </c>
      <c r="BG843" t="s">
        <v>1233</v>
      </c>
      <c r="BH843" t="s">
        <v>2319</v>
      </c>
      <c r="BI843" t="s">
        <v>2342</v>
      </c>
      <c r="BJ843" t="s">
        <v>2262</v>
      </c>
      <c r="BK843">
        <v>30</v>
      </c>
      <c r="BL843" t="s">
        <v>275</v>
      </c>
      <c r="BM843" t="s">
        <v>2319</v>
      </c>
      <c r="BN843" t="s">
        <v>2341</v>
      </c>
      <c r="BO843" t="s">
        <v>2262</v>
      </c>
      <c r="BP843">
        <v>35</v>
      </c>
      <c r="HL843" t="s">
        <v>2350</v>
      </c>
      <c r="HM843" t="s">
        <v>297</v>
      </c>
      <c r="HN843" t="s">
        <v>2349</v>
      </c>
      <c r="HP843" t="s">
        <v>29</v>
      </c>
      <c r="HQ843">
        <v>12</v>
      </c>
      <c r="HR843" t="s">
        <v>2348</v>
      </c>
      <c r="HT843" t="s">
        <v>2314</v>
      </c>
      <c r="HU843" s="58">
        <v>40192</v>
      </c>
      <c r="HV843" s="58"/>
      <c r="IP843" t="s">
        <v>2347</v>
      </c>
      <c r="IQ843" s="54" t="s">
        <v>2337</v>
      </c>
      <c r="IT843">
        <v>2009</v>
      </c>
      <c r="IU843" t="s">
        <v>2311</v>
      </c>
      <c r="IV843" s="4" t="s">
        <v>1879</v>
      </c>
      <c r="JM843" t="s">
        <v>14</v>
      </c>
      <c r="KF843" t="s">
        <v>2346</v>
      </c>
      <c r="KG843" t="s">
        <v>1548</v>
      </c>
      <c r="KH843" t="s">
        <v>2309</v>
      </c>
      <c r="KI843">
        <v>6</v>
      </c>
      <c r="KJ843" t="s">
        <v>2308</v>
      </c>
      <c r="KK843" t="s">
        <v>222</v>
      </c>
      <c r="KL843" s="8" t="s">
        <v>1922</v>
      </c>
      <c r="KO843" t="s">
        <v>219</v>
      </c>
      <c r="KP843" t="s">
        <v>2335</v>
      </c>
      <c r="KW843" t="s">
        <v>2345</v>
      </c>
      <c r="KX843" t="s">
        <v>2305</v>
      </c>
      <c r="LD843" t="s">
        <v>13</v>
      </c>
      <c r="LE843">
        <v>2000</v>
      </c>
      <c r="LM843" t="s">
        <v>2304</v>
      </c>
      <c r="LN843" t="s">
        <v>2303</v>
      </c>
      <c r="LO843">
        <v>30</v>
      </c>
      <c r="LU843" t="s">
        <v>2344</v>
      </c>
      <c r="LV843" t="s">
        <v>2301</v>
      </c>
      <c r="LZ843" t="s">
        <v>1925</v>
      </c>
      <c r="MA843">
        <v>1481</v>
      </c>
      <c r="MB843" t="s">
        <v>2300</v>
      </c>
      <c r="MH843" t="s">
        <v>2332</v>
      </c>
      <c r="MJ843" s="58">
        <v>40298</v>
      </c>
      <c r="MZ843" t="s">
        <v>2298</v>
      </c>
      <c r="NA843">
        <v>1435</v>
      </c>
      <c r="NB843" t="s">
        <v>2331</v>
      </c>
      <c r="NC843" s="2" t="s">
        <v>2296</v>
      </c>
      <c r="ND843" s="2" t="s">
        <v>2296</v>
      </c>
      <c r="NE843" s="2"/>
      <c r="NF843" s="2"/>
      <c r="NK843" t="s">
        <v>2362</v>
      </c>
      <c r="NL843" t="s">
        <v>2374</v>
      </c>
      <c r="NM843" t="s">
        <v>266</v>
      </c>
      <c r="NN843" t="s">
        <v>265</v>
      </c>
      <c r="NV843" t="s">
        <v>2343</v>
      </c>
      <c r="NW843" t="s">
        <v>6</v>
      </c>
      <c r="NX843">
        <v>507</v>
      </c>
      <c r="NY843" t="s">
        <v>29</v>
      </c>
      <c r="OC843">
        <v>3</v>
      </c>
      <c r="OT843" t="s">
        <v>2358</v>
      </c>
      <c r="OU843" t="s">
        <v>6</v>
      </c>
      <c r="OW843">
        <v>2011</v>
      </c>
      <c r="OX843">
        <v>2012</v>
      </c>
      <c r="OY843" t="s">
        <v>2311</v>
      </c>
      <c r="OZ843" t="s">
        <v>2373</v>
      </c>
      <c r="PA843" t="s">
        <v>1169</v>
      </c>
      <c r="PB843" s="58">
        <v>46136</v>
      </c>
    </row>
    <row r="844" spans="1:418" ht="15.75" thickBot="1">
      <c r="A844" t="s">
        <v>248</v>
      </c>
      <c r="B844" t="s">
        <v>2327</v>
      </c>
      <c r="C844" t="s">
        <v>1885</v>
      </c>
      <c r="D844" t="s">
        <v>1936</v>
      </c>
      <c r="E844" s="90" t="s">
        <v>2326</v>
      </c>
      <c r="F844" s="89" t="s">
        <v>31</v>
      </c>
      <c r="G844" t="s">
        <v>2</v>
      </c>
      <c r="H844" t="s">
        <v>30</v>
      </c>
      <c r="I844">
        <v>23.983611109999998</v>
      </c>
      <c r="J844">
        <v>90.402222219999999</v>
      </c>
      <c r="K844" t="s">
        <v>29</v>
      </c>
      <c r="AV844" t="s">
        <v>2325</v>
      </c>
      <c r="AW844">
        <f t="shared" si="1"/>
        <v>1435</v>
      </c>
      <c r="AX844" t="s">
        <v>29</v>
      </c>
      <c r="AY844">
        <v>3</v>
      </c>
      <c r="AZ844" t="s">
        <v>2324</v>
      </c>
      <c r="BA844">
        <v>2009</v>
      </c>
      <c r="BB844">
        <v>2012</v>
      </c>
      <c r="BC844">
        <v>2009.2</v>
      </c>
      <c r="BD844" t="s">
        <v>19</v>
      </c>
      <c r="BE844" t="s">
        <v>2338</v>
      </c>
      <c r="BF844" t="s">
        <v>299</v>
      </c>
      <c r="BG844" t="s">
        <v>1233</v>
      </c>
      <c r="BH844" t="s">
        <v>2319</v>
      </c>
      <c r="BI844" t="s">
        <v>2342</v>
      </c>
      <c r="BJ844" t="s">
        <v>2262</v>
      </c>
      <c r="BK844">
        <v>30</v>
      </c>
      <c r="BL844" t="s">
        <v>275</v>
      </c>
      <c r="BM844" t="s">
        <v>2319</v>
      </c>
      <c r="BN844" t="s">
        <v>2341</v>
      </c>
      <c r="BO844" t="s">
        <v>2262</v>
      </c>
      <c r="BP844">
        <v>19</v>
      </c>
      <c r="HL844" t="s">
        <v>2340</v>
      </c>
      <c r="HM844" t="s">
        <v>2316</v>
      </c>
      <c r="HP844" t="s">
        <v>29</v>
      </c>
      <c r="HQ844">
        <v>4</v>
      </c>
      <c r="HR844" t="s">
        <v>2339</v>
      </c>
      <c r="HT844" t="s">
        <v>2314</v>
      </c>
      <c r="HU844" s="58">
        <v>40192</v>
      </c>
      <c r="HV844" s="58"/>
      <c r="IP844" t="s">
        <v>2338</v>
      </c>
      <c r="IQ844" s="54" t="s">
        <v>2337</v>
      </c>
      <c r="IT844">
        <v>2009</v>
      </c>
      <c r="IU844" t="s">
        <v>2311</v>
      </c>
      <c r="IV844" s="4" t="s">
        <v>1879</v>
      </c>
      <c r="JM844" t="s">
        <v>14</v>
      </c>
      <c r="KF844" t="s">
        <v>2336</v>
      </c>
      <c r="KG844" t="s">
        <v>1548</v>
      </c>
      <c r="KH844" t="s">
        <v>2309</v>
      </c>
      <c r="KI844">
        <v>7</v>
      </c>
      <c r="KJ844" t="s">
        <v>2308</v>
      </c>
      <c r="KK844" t="s">
        <v>222</v>
      </c>
      <c r="KL844" s="8" t="s">
        <v>1922</v>
      </c>
      <c r="KO844" t="s">
        <v>219</v>
      </c>
      <c r="KP844" t="s">
        <v>2335</v>
      </c>
      <c r="KW844" t="s">
        <v>2334</v>
      </c>
      <c r="KX844" t="s">
        <v>2305</v>
      </c>
      <c r="LD844" t="s">
        <v>13</v>
      </c>
      <c r="LE844">
        <v>1900</v>
      </c>
      <c r="LM844" t="s">
        <v>2304</v>
      </c>
      <c r="LN844" t="s">
        <v>2303</v>
      </c>
      <c r="LO844">
        <v>30</v>
      </c>
      <c r="LU844" t="s">
        <v>2333</v>
      </c>
      <c r="LV844" t="s">
        <v>2301</v>
      </c>
      <c r="LZ844" t="s">
        <v>1925</v>
      </c>
      <c r="MA844">
        <v>1530</v>
      </c>
      <c r="MB844" t="s">
        <v>2300</v>
      </c>
      <c r="MH844" t="s">
        <v>2332</v>
      </c>
      <c r="MJ844" s="58">
        <v>40299</v>
      </c>
      <c r="MZ844" t="s">
        <v>2298</v>
      </c>
      <c r="NA844">
        <v>1435</v>
      </c>
      <c r="NB844" t="s">
        <v>2331</v>
      </c>
      <c r="NC844" s="2" t="s">
        <v>2296</v>
      </c>
      <c r="ND844" s="2" t="s">
        <v>2296</v>
      </c>
      <c r="NE844" s="2"/>
      <c r="NF844" s="2"/>
      <c r="NK844" t="s">
        <v>2362</v>
      </c>
      <c r="NL844" t="s">
        <v>2374</v>
      </c>
      <c r="NM844" t="s">
        <v>266</v>
      </c>
      <c r="NN844" t="s">
        <v>265</v>
      </c>
      <c r="NV844" t="s">
        <v>64</v>
      </c>
      <c r="NW844" t="s">
        <v>6</v>
      </c>
      <c r="NX844">
        <v>658</v>
      </c>
      <c r="NY844" t="s">
        <v>29</v>
      </c>
      <c r="OC844">
        <v>3</v>
      </c>
      <c r="OT844" t="s">
        <v>2358</v>
      </c>
      <c r="OU844" t="s">
        <v>6</v>
      </c>
      <c r="OW844">
        <v>2011</v>
      </c>
      <c r="OX844">
        <v>2012</v>
      </c>
      <c r="OY844" t="s">
        <v>2311</v>
      </c>
      <c r="OZ844" t="s">
        <v>2373</v>
      </c>
      <c r="PA844" t="s">
        <v>1169</v>
      </c>
      <c r="PB844" s="58">
        <v>46136</v>
      </c>
    </row>
    <row r="845" spans="1:418" ht="15.75" thickBot="1">
      <c r="A845" t="s">
        <v>248</v>
      </c>
      <c r="B845" t="s">
        <v>2327</v>
      </c>
      <c r="C845" t="s">
        <v>1885</v>
      </c>
      <c r="D845" t="s">
        <v>1936</v>
      </c>
      <c r="E845" s="90" t="s">
        <v>2326</v>
      </c>
      <c r="F845" s="89" t="s">
        <v>31</v>
      </c>
      <c r="G845" t="s">
        <v>2</v>
      </c>
      <c r="H845" t="s">
        <v>30</v>
      </c>
      <c r="I845">
        <v>23.983611109999998</v>
      </c>
      <c r="J845">
        <v>90.402222219999999</v>
      </c>
      <c r="K845" t="s">
        <v>29</v>
      </c>
      <c r="AV845" t="s">
        <v>2325</v>
      </c>
      <c r="AW845">
        <f t="shared" si="1"/>
        <v>1435</v>
      </c>
      <c r="AX845" t="s">
        <v>29</v>
      </c>
      <c r="AY845">
        <v>3</v>
      </c>
      <c r="AZ845" t="s">
        <v>2324</v>
      </c>
      <c r="BA845">
        <v>2009</v>
      </c>
      <c r="BB845">
        <v>2012</v>
      </c>
      <c r="BC845">
        <v>2009.2</v>
      </c>
      <c r="BD845" t="s">
        <v>274</v>
      </c>
      <c r="BE845" t="s">
        <v>2313</v>
      </c>
      <c r="BF845" t="s">
        <v>64</v>
      </c>
      <c r="BG845" t="s">
        <v>1233</v>
      </c>
      <c r="BH845" t="s">
        <v>1894</v>
      </c>
      <c r="BI845" t="s">
        <v>2323</v>
      </c>
      <c r="BJ845" t="s">
        <v>2262</v>
      </c>
      <c r="BK845">
        <v>1614</v>
      </c>
      <c r="BL845" t="s">
        <v>275</v>
      </c>
      <c r="BM845" t="s">
        <v>23</v>
      </c>
      <c r="BN845" t="s">
        <v>2322</v>
      </c>
      <c r="BO845" t="s">
        <v>2262</v>
      </c>
      <c r="BP845">
        <v>20</v>
      </c>
      <c r="BQ845" t="s">
        <v>275</v>
      </c>
      <c r="BR845" t="s">
        <v>1917</v>
      </c>
      <c r="BS845" t="s">
        <v>2321</v>
      </c>
      <c r="BT845" t="s">
        <v>2262</v>
      </c>
      <c r="BU845">
        <v>30</v>
      </c>
      <c r="BV845" t="s">
        <v>275</v>
      </c>
      <c r="BW845" t="s">
        <v>2319</v>
      </c>
      <c r="BX845" t="s">
        <v>2320</v>
      </c>
      <c r="BY845" t="s">
        <v>2262</v>
      </c>
      <c r="BZ845">
        <v>35</v>
      </c>
      <c r="CA845" t="s">
        <v>275</v>
      </c>
      <c r="CB845" t="s">
        <v>2319</v>
      </c>
      <c r="CC845" t="s">
        <v>2318</v>
      </c>
      <c r="CD845" t="s">
        <v>2262</v>
      </c>
      <c r="CE845">
        <v>19</v>
      </c>
      <c r="HL845" t="s">
        <v>2317</v>
      </c>
      <c r="HM845" t="s">
        <v>2316</v>
      </c>
      <c r="HP845" t="s">
        <v>29</v>
      </c>
      <c r="HQ845">
        <v>9</v>
      </c>
      <c r="HR845" t="s">
        <v>2315</v>
      </c>
      <c r="HT845" t="s">
        <v>2314</v>
      </c>
      <c r="HU845" s="58">
        <v>40153</v>
      </c>
      <c r="IP845" t="s">
        <v>2313</v>
      </c>
      <c r="IQ845" t="s">
        <v>2312</v>
      </c>
      <c r="IT845">
        <v>2009</v>
      </c>
      <c r="IU845" t="s">
        <v>2311</v>
      </c>
      <c r="IV845" s="4" t="s">
        <v>1879</v>
      </c>
      <c r="JM845" t="s">
        <v>14</v>
      </c>
      <c r="KF845" t="s">
        <v>2310</v>
      </c>
      <c r="KG845" t="s">
        <v>1548</v>
      </c>
      <c r="KH845" t="s">
        <v>2309</v>
      </c>
      <c r="KI845">
        <v>4</v>
      </c>
      <c r="KJ845" t="s">
        <v>2308</v>
      </c>
      <c r="KK845" t="s">
        <v>2152</v>
      </c>
      <c r="KO845" t="s">
        <v>219</v>
      </c>
      <c r="KP845" t="s">
        <v>2307</v>
      </c>
      <c r="KW845" t="s">
        <v>2306</v>
      </c>
      <c r="KX845" t="s">
        <v>2305</v>
      </c>
      <c r="LD845" t="s">
        <v>13</v>
      </c>
      <c r="LE845">
        <v>1600</v>
      </c>
      <c r="LM845" t="s">
        <v>2304</v>
      </c>
      <c r="LN845" t="s">
        <v>2303</v>
      </c>
      <c r="LO845">
        <v>30</v>
      </c>
      <c r="LU845" t="s">
        <v>2302</v>
      </c>
      <c r="LV845" t="s">
        <v>2301</v>
      </c>
      <c r="LZ845" t="s">
        <v>1925</v>
      </c>
      <c r="MA845">
        <v>805</v>
      </c>
      <c r="MB845" t="s">
        <v>2300</v>
      </c>
      <c r="MH845" t="s">
        <v>2299</v>
      </c>
      <c r="MJ845" s="58">
        <v>40224</v>
      </c>
      <c r="MZ845" t="s">
        <v>2298</v>
      </c>
      <c r="NA845">
        <v>1435</v>
      </c>
      <c r="NB845" t="s">
        <v>2297</v>
      </c>
      <c r="NC845" s="2"/>
      <c r="ND845" s="2" t="s">
        <v>2296</v>
      </c>
      <c r="NE845" t="s">
        <v>1894</v>
      </c>
      <c r="NF845" s="2" t="s">
        <v>1917</v>
      </c>
      <c r="NK845" t="s">
        <v>2362</v>
      </c>
      <c r="NL845" t="s">
        <v>2374</v>
      </c>
      <c r="NM845" t="s">
        <v>266</v>
      </c>
      <c r="NN845" t="s">
        <v>265</v>
      </c>
      <c r="NW845" t="s">
        <v>6</v>
      </c>
      <c r="NX845">
        <v>699</v>
      </c>
      <c r="NY845" t="s">
        <v>29</v>
      </c>
      <c r="OC845">
        <v>3</v>
      </c>
      <c r="OT845" t="s">
        <v>2358</v>
      </c>
      <c r="OU845" t="s">
        <v>6</v>
      </c>
      <c r="OW845">
        <v>2011</v>
      </c>
      <c r="OX845">
        <v>2012</v>
      </c>
      <c r="OY845" t="s">
        <v>2311</v>
      </c>
      <c r="OZ845" t="s">
        <v>2373</v>
      </c>
      <c r="PA845" t="s">
        <v>1169</v>
      </c>
      <c r="PB845" s="58">
        <v>46136</v>
      </c>
    </row>
    <row r="846" spans="1:418" ht="15.75" thickBot="1">
      <c r="A846" t="s">
        <v>248</v>
      </c>
      <c r="B846" t="s">
        <v>2327</v>
      </c>
      <c r="C846" t="s">
        <v>1885</v>
      </c>
      <c r="D846" t="s">
        <v>1936</v>
      </c>
      <c r="E846" s="90" t="s">
        <v>2326</v>
      </c>
      <c r="F846" s="89" t="s">
        <v>31</v>
      </c>
      <c r="G846" t="s">
        <v>2</v>
      </c>
      <c r="H846" t="s">
        <v>30</v>
      </c>
      <c r="I846">
        <v>23.983611109999998</v>
      </c>
      <c r="J846">
        <v>90.402222219999999</v>
      </c>
      <c r="K846" t="s">
        <v>29</v>
      </c>
      <c r="AV846" t="s">
        <v>2325</v>
      </c>
      <c r="AW846">
        <f t="shared" si="1"/>
        <v>1435</v>
      </c>
      <c r="AX846" t="s">
        <v>29</v>
      </c>
      <c r="AY846">
        <v>3</v>
      </c>
      <c r="AZ846" t="s">
        <v>2324</v>
      </c>
      <c r="BA846">
        <v>2009</v>
      </c>
      <c r="BB846">
        <v>2012</v>
      </c>
      <c r="BC846">
        <v>2009.2</v>
      </c>
      <c r="BD846" t="s">
        <v>19</v>
      </c>
      <c r="BE846" t="s">
        <v>2354</v>
      </c>
      <c r="BF846" t="s">
        <v>39</v>
      </c>
      <c r="BG846" t="s">
        <v>1233</v>
      </c>
      <c r="BH846" t="s">
        <v>2319</v>
      </c>
      <c r="BI846" t="s">
        <v>2342</v>
      </c>
      <c r="BJ846" t="s">
        <v>2262</v>
      </c>
      <c r="BK846">
        <v>45</v>
      </c>
      <c r="BL846" t="s">
        <v>275</v>
      </c>
      <c r="BM846" t="s">
        <v>2319</v>
      </c>
      <c r="BN846" t="s">
        <v>2355</v>
      </c>
      <c r="BO846" t="s">
        <v>2262</v>
      </c>
      <c r="BP846">
        <v>49</v>
      </c>
      <c r="BQ846" t="s">
        <v>275</v>
      </c>
      <c r="BR846" t="s">
        <v>2319</v>
      </c>
      <c r="BS846" t="s">
        <v>2341</v>
      </c>
      <c r="BT846" t="s">
        <v>2262</v>
      </c>
      <c r="BU846">
        <v>49</v>
      </c>
      <c r="HL846" t="s">
        <v>2350</v>
      </c>
      <c r="HM846" t="s">
        <v>297</v>
      </c>
      <c r="HN846" t="s">
        <v>2349</v>
      </c>
      <c r="HP846" t="s">
        <v>29</v>
      </c>
      <c r="HQ846">
        <v>12</v>
      </c>
      <c r="HR846" t="s">
        <v>2348</v>
      </c>
      <c r="HT846" t="s">
        <v>2314</v>
      </c>
      <c r="HU846" s="58">
        <v>40202</v>
      </c>
      <c r="HV846" s="58"/>
      <c r="IP846" t="s">
        <v>2354</v>
      </c>
      <c r="IQ846" s="54" t="s">
        <v>2337</v>
      </c>
      <c r="IT846">
        <v>2009</v>
      </c>
      <c r="IU846" t="s">
        <v>2311</v>
      </c>
      <c r="IV846" s="4" t="s">
        <v>1879</v>
      </c>
      <c r="JM846" t="s">
        <v>14</v>
      </c>
      <c r="KF846" t="s">
        <v>2353</v>
      </c>
      <c r="KG846" t="s">
        <v>1548</v>
      </c>
      <c r="KH846" t="s">
        <v>2309</v>
      </c>
      <c r="KI846">
        <v>3</v>
      </c>
      <c r="KJ846" t="s">
        <v>2308</v>
      </c>
      <c r="KK846" t="s">
        <v>2152</v>
      </c>
      <c r="KO846" t="s">
        <v>219</v>
      </c>
      <c r="KP846" s="8" t="s">
        <v>2357</v>
      </c>
      <c r="KW846" t="s">
        <v>2352</v>
      </c>
      <c r="KX846" t="s">
        <v>2305</v>
      </c>
      <c r="LD846" t="s">
        <v>13</v>
      </c>
      <c r="LE846">
        <v>1500</v>
      </c>
      <c r="LM846" t="s">
        <v>2304</v>
      </c>
      <c r="LN846" t="s">
        <v>2303</v>
      </c>
      <c r="LO846">
        <v>7.5</v>
      </c>
      <c r="LU846" t="s">
        <v>2351</v>
      </c>
      <c r="LV846" t="s">
        <v>2301</v>
      </c>
      <c r="LZ846" t="s">
        <v>1925</v>
      </c>
      <c r="MA846">
        <v>2084</v>
      </c>
      <c r="MB846" t="s">
        <v>2300</v>
      </c>
      <c r="MH846" t="s">
        <v>2332</v>
      </c>
      <c r="MJ846" s="58">
        <v>40292</v>
      </c>
      <c r="MZ846" t="s">
        <v>2298</v>
      </c>
      <c r="NA846">
        <v>1435</v>
      </c>
      <c r="NB846" t="s">
        <v>2331</v>
      </c>
      <c r="NC846" s="2" t="s">
        <v>2296</v>
      </c>
      <c r="ND846" s="2" t="s">
        <v>2296</v>
      </c>
      <c r="NE846" s="2"/>
      <c r="NF846" s="2"/>
      <c r="NK846" t="s">
        <v>2361</v>
      </c>
      <c r="NL846" t="s">
        <v>2360</v>
      </c>
      <c r="NM846" t="s">
        <v>2359</v>
      </c>
      <c r="NV846" t="s">
        <v>2343</v>
      </c>
      <c r="NW846" t="s">
        <v>6</v>
      </c>
      <c r="NX846">
        <v>1.2</v>
      </c>
      <c r="NY846" t="s">
        <v>29</v>
      </c>
      <c r="OC846">
        <v>3</v>
      </c>
      <c r="OT846" t="s">
        <v>2358</v>
      </c>
      <c r="OU846" t="s">
        <v>6</v>
      </c>
      <c r="OW846">
        <v>2009</v>
      </c>
      <c r="OX846">
        <v>2010</v>
      </c>
      <c r="OY846" t="s">
        <v>2311</v>
      </c>
      <c r="OZ846" t="s">
        <v>2373</v>
      </c>
      <c r="PA846" t="s">
        <v>1169</v>
      </c>
      <c r="PB846" s="58">
        <v>46136</v>
      </c>
    </row>
    <row r="847" spans="1:418" ht="15.75" thickBot="1">
      <c r="A847" t="s">
        <v>248</v>
      </c>
      <c r="B847" t="s">
        <v>2327</v>
      </c>
      <c r="C847" t="s">
        <v>1885</v>
      </c>
      <c r="D847" t="s">
        <v>1936</v>
      </c>
      <c r="E847" s="90" t="s">
        <v>2326</v>
      </c>
      <c r="F847" s="89" t="s">
        <v>31</v>
      </c>
      <c r="G847" t="s">
        <v>2</v>
      </c>
      <c r="H847" t="s">
        <v>30</v>
      </c>
      <c r="I847">
        <v>23.983611109999998</v>
      </c>
      <c r="J847">
        <v>90.402222219999999</v>
      </c>
      <c r="K847" t="s">
        <v>29</v>
      </c>
      <c r="AV847" t="s">
        <v>2325</v>
      </c>
      <c r="AW847">
        <f t="shared" si="1"/>
        <v>1435</v>
      </c>
      <c r="AX847" t="s">
        <v>29</v>
      </c>
      <c r="AY847">
        <v>3</v>
      </c>
      <c r="AZ847" t="s">
        <v>2324</v>
      </c>
      <c r="BA847">
        <v>2009</v>
      </c>
      <c r="BB847">
        <v>2012</v>
      </c>
      <c r="BC847">
        <v>2009.2</v>
      </c>
      <c r="BD847" t="s">
        <v>19</v>
      </c>
      <c r="BE847" t="s">
        <v>2347</v>
      </c>
      <c r="BF847" t="s">
        <v>24</v>
      </c>
      <c r="BG847" t="s">
        <v>1233</v>
      </c>
      <c r="BH847" t="s">
        <v>2319</v>
      </c>
      <c r="BI847" t="s">
        <v>2342</v>
      </c>
      <c r="BJ847" t="s">
        <v>2262</v>
      </c>
      <c r="BK847">
        <v>30</v>
      </c>
      <c r="BL847" t="s">
        <v>275</v>
      </c>
      <c r="BM847" t="s">
        <v>2319</v>
      </c>
      <c r="BN847" t="s">
        <v>2341</v>
      </c>
      <c r="BO847" t="s">
        <v>2262</v>
      </c>
      <c r="BP847">
        <v>35</v>
      </c>
      <c r="HL847" t="s">
        <v>2350</v>
      </c>
      <c r="HM847" t="s">
        <v>297</v>
      </c>
      <c r="HN847" t="s">
        <v>2349</v>
      </c>
      <c r="HP847" t="s">
        <v>29</v>
      </c>
      <c r="HQ847">
        <v>12</v>
      </c>
      <c r="HR847" t="s">
        <v>2348</v>
      </c>
      <c r="HT847" t="s">
        <v>2314</v>
      </c>
      <c r="HU847" s="58">
        <v>40192</v>
      </c>
      <c r="HV847" s="58"/>
      <c r="IP847" t="s">
        <v>2347</v>
      </c>
      <c r="IQ847" s="54" t="s">
        <v>2337</v>
      </c>
      <c r="IT847">
        <v>2009</v>
      </c>
      <c r="IU847" t="s">
        <v>2311</v>
      </c>
      <c r="IV847" s="4" t="s">
        <v>1879</v>
      </c>
      <c r="JM847" t="s">
        <v>14</v>
      </c>
      <c r="KF847" t="s">
        <v>2346</v>
      </c>
      <c r="KG847" t="s">
        <v>1548</v>
      </c>
      <c r="KH847" t="s">
        <v>2309</v>
      </c>
      <c r="KI847">
        <v>6</v>
      </c>
      <c r="KJ847" t="s">
        <v>2308</v>
      </c>
      <c r="KK847" t="s">
        <v>222</v>
      </c>
      <c r="KL847" s="8" t="s">
        <v>1922</v>
      </c>
      <c r="KO847" t="s">
        <v>219</v>
      </c>
      <c r="KP847" t="s">
        <v>2335</v>
      </c>
      <c r="KW847" t="s">
        <v>2345</v>
      </c>
      <c r="KX847" t="s">
        <v>2305</v>
      </c>
      <c r="LD847" t="s">
        <v>13</v>
      </c>
      <c r="LE847">
        <v>2200</v>
      </c>
      <c r="LM847" t="s">
        <v>2304</v>
      </c>
      <c r="LN847" t="s">
        <v>2303</v>
      </c>
      <c r="LO847">
        <v>30</v>
      </c>
      <c r="LU847" t="s">
        <v>2344</v>
      </c>
      <c r="LV847" t="s">
        <v>2301</v>
      </c>
      <c r="LZ847" t="s">
        <v>1925</v>
      </c>
      <c r="MA847">
        <v>1789</v>
      </c>
      <c r="MB847" t="s">
        <v>2300</v>
      </c>
      <c r="MH847" t="s">
        <v>2332</v>
      </c>
      <c r="MJ847" s="58">
        <v>40298</v>
      </c>
      <c r="MZ847" t="s">
        <v>2298</v>
      </c>
      <c r="NA847">
        <v>1435</v>
      </c>
      <c r="NB847" t="s">
        <v>2331</v>
      </c>
      <c r="NC847" s="2" t="s">
        <v>2296</v>
      </c>
      <c r="ND847" s="2" t="s">
        <v>2296</v>
      </c>
      <c r="NE847" s="2"/>
      <c r="NF847" s="2"/>
      <c r="NK847" t="s">
        <v>2361</v>
      </c>
      <c r="NL847" t="s">
        <v>2360</v>
      </c>
      <c r="NM847" t="s">
        <v>2359</v>
      </c>
      <c r="NV847" t="s">
        <v>2343</v>
      </c>
      <c r="NW847" t="s">
        <v>6</v>
      </c>
      <c r="NX847">
        <v>1.5</v>
      </c>
      <c r="NY847" t="s">
        <v>29</v>
      </c>
      <c r="OC847">
        <v>3</v>
      </c>
      <c r="OT847" t="s">
        <v>2358</v>
      </c>
      <c r="OU847" t="s">
        <v>6</v>
      </c>
      <c r="OW847">
        <v>2009</v>
      </c>
      <c r="OX847">
        <v>2010</v>
      </c>
      <c r="OY847" t="s">
        <v>2311</v>
      </c>
      <c r="OZ847" t="s">
        <v>2373</v>
      </c>
      <c r="PA847" t="s">
        <v>1169</v>
      </c>
      <c r="PB847" s="58">
        <v>46136</v>
      </c>
    </row>
    <row r="848" spans="1:418" ht="15.75" thickBot="1">
      <c r="A848" t="s">
        <v>248</v>
      </c>
      <c r="B848" t="s">
        <v>2327</v>
      </c>
      <c r="C848" t="s">
        <v>1885</v>
      </c>
      <c r="D848" t="s">
        <v>1936</v>
      </c>
      <c r="E848" s="90" t="s">
        <v>2326</v>
      </c>
      <c r="F848" s="89" t="s">
        <v>31</v>
      </c>
      <c r="G848" t="s">
        <v>2</v>
      </c>
      <c r="H848" t="s">
        <v>30</v>
      </c>
      <c r="I848">
        <v>23.983611109999998</v>
      </c>
      <c r="J848">
        <v>90.402222219999999</v>
      </c>
      <c r="K848" t="s">
        <v>29</v>
      </c>
      <c r="AV848" t="s">
        <v>2325</v>
      </c>
      <c r="AW848">
        <f t="shared" si="1"/>
        <v>1435</v>
      </c>
      <c r="AX848" t="s">
        <v>29</v>
      </c>
      <c r="AY848">
        <v>3</v>
      </c>
      <c r="AZ848" t="s">
        <v>2324</v>
      </c>
      <c r="BA848">
        <v>2009</v>
      </c>
      <c r="BB848">
        <v>2012</v>
      </c>
      <c r="BC848">
        <v>2009.2</v>
      </c>
      <c r="BD848" t="s">
        <v>19</v>
      </c>
      <c r="BE848" t="s">
        <v>2338</v>
      </c>
      <c r="BF848" t="s">
        <v>299</v>
      </c>
      <c r="BG848" t="s">
        <v>1233</v>
      </c>
      <c r="BH848" t="s">
        <v>2319</v>
      </c>
      <c r="BI848" t="s">
        <v>2342</v>
      </c>
      <c r="BJ848" t="s">
        <v>2262</v>
      </c>
      <c r="BK848">
        <v>30</v>
      </c>
      <c r="BL848" t="s">
        <v>275</v>
      </c>
      <c r="BM848" t="s">
        <v>2319</v>
      </c>
      <c r="BN848" t="s">
        <v>2341</v>
      </c>
      <c r="BO848" t="s">
        <v>2262</v>
      </c>
      <c r="BP848">
        <v>19</v>
      </c>
      <c r="HL848" t="s">
        <v>2340</v>
      </c>
      <c r="HM848" t="s">
        <v>2316</v>
      </c>
      <c r="HP848" t="s">
        <v>29</v>
      </c>
      <c r="HQ848">
        <v>4</v>
      </c>
      <c r="HR848" t="s">
        <v>2339</v>
      </c>
      <c r="HT848" t="s">
        <v>2314</v>
      </c>
      <c r="HU848" s="58">
        <v>40192</v>
      </c>
      <c r="HV848" s="58"/>
      <c r="IP848" t="s">
        <v>2338</v>
      </c>
      <c r="IQ848" s="54" t="s">
        <v>2337</v>
      </c>
      <c r="IT848">
        <v>2009</v>
      </c>
      <c r="IU848" t="s">
        <v>2311</v>
      </c>
      <c r="IV848" s="4" t="s">
        <v>1879</v>
      </c>
      <c r="JM848" t="s">
        <v>14</v>
      </c>
      <c r="KF848" t="s">
        <v>2336</v>
      </c>
      <c r="KG848" t="s">
        <v>1548</v>
      </c>
      <c r="KH848" t="s">
        <v>2309</v>
      </c>
      <c r="KI848">
        <v>7</v>
      </c>
      <c r="KJ848" t="s">
        <v>2308</v>
      </c>
      <c r="KK848" t="s">
        <v>222</v>
      </c>
      <c r="KL848" s="8" t="s">
        <v>1922</v>
      </c>
      <c r="KO848" t="s">
        <v>219</v>
      </c>
      <c r="KP848" t="s">
        <v>2335</v>
      </c>
      <c r="KW848" t="s">
        <v>2334</v>
      </c>
      <c r="KX848" t="s">
        <v>2305</v>
      </c>
      <c r="LD848" t="s">
        <v>13</v>
      </c>
      <c r="LE848">
        <v>2600</v>
      </c>
      <c r="LM848" t="s">
        <v>2304</v>
      </c>
      <c r="LN848" t="s">
        <v>2303</v>
      </c>
      <c r="LO848">
        <v>30</v>
      </c>
      <c r="LU848" t="s">
        <v>2333</v>
      </c>
      <c r="LV848" t="s">
        <v>2301</v>
      </c>
      <c r="LZ848" t="s">
        <v>1925</v>
      </c>
      <c r="MA848">
        <v>1898</v>
      </c>
      <c r="MB848" t="s">
        <v>2300</v>
      </c>
      <c r="MH848" t="s">
        <v>2332</v>
      </c>
      <c r="MJ848" s="58">
        <v>40299</v>
      </c>
      <c r="MZ848" t="s">
        <v>2298</v>
      </c>
      <c r="NA848">
        <v>1435</v>
      </c>
      <c r="NB848" t="s">
        <v>2331</v>
      </c>
      <c r="NC848" s="2" t="s">
        <v>2296</v>
      </c>
      <c r="ND848" s="2" t="s">
        <v>2296</v>
      </c>
      <c r="NE848" s="2"/>
      <c r="NF848" s="2"/>
      <c r="NK848" t="s">
        <v>2361</v>
      </c>
      <c r="NL848" t="s">
        <v>2360</v>
      </c>
      <c r="NM848" t="s">
        <v>2359</v>
      </c>
      <c r="NV848" t="s">
        <v>64</v>
      </c>
      <c r="NW848" t="s">
        <v>6</v>
      </c>
      <c r="NX848">
        <v>1.5</v>
      </c>
      <c r="NY848" t="s">
        <v>29</v>
      </c>
      <c r="OC848">
        <v>3</v>
      </c>
      <c r="OT848" t="s">
        <v>2358</v>
      </c>
      <c r="OU848" t="s">
        <v>6</v>
      </c>
      <c r="OW848">
        <v>2009</v>
      </c>
      <c r="OX848">
        <v>2010</v>
      </c>
      <c r="OY848" t="s">
        <v>2311</v>
      </c>
      <c r="OZ848" t="s">
        <v>2373</v>
      </c>
      <c r="PA848" t="s">
        <v>1169</v>
      </c>
      <c r="PB848" s="58">
        <v>46136</v>
      </c>
    </row>
    <row r="849" spans="1:418" ht="15.75" thickBot="1">
      <c r="A849" t="s">
        <v>248</v>
      </c>
      <c r="B849" t="s">
        <v>2327</v>
      </c>
      <c r="C849" t="s">
        <v>1885</v>
      </c>
      <c r="D849" t="s">
        <v>1936</v>
      </c>
      <c r="E849" s="90" t="s">
        <v>2326</v>
      </c>
      <c r="F849" s="89" t="s">
        <v>31</v>
      </c>
      <c r="G849" t="s">
        <v>2</v>
      </c>
      <c r="H849" t="s">
        <v>30</v>
      </c>
      <c r="I849">
        <v>23.983611109999998</v>
      </c>
      <c r="J849">
        <v>90.402222219999999</v>
      </c>
      <c r="K849" t="s">
        <v>29</v>
      </c>
      <c r="AV849" t="s">
        <v>2325</v>
      </c>
      <c r="AW849">
        <f t="shared" si="1"/>
        <v>1435</v>
      </c>
      <c r="AX849" t="s">
        <v>29</v>
      </c>
      <c r="AY849">
        <v>3</v>
      </c>
      <c r="AZ849" t="s">
        <v>2324</v>
      </c>
      <c r="BA849">
        <v>2009</v>
      </c>
      <c r="BB849">
        <v>2012</v>
      </c>
      <c r="BC849">
        <v>2009.2</v>
      </c>
      <c r="BD849" t="s">
        <v>274</v>
      </c>
      <c r="BE849" t="s">
        <v>2313</v>
      </c>
      <c r="BF849" t="s">
        <v>64</v>
      </c>
      <c r="BG849" t="s">
        <v>1233</v>
      </c>
      <c r="BH849" t="s">
        <v>1894</v>
      </c>
      <c r="BI849" t="s">
        <v>2323</v>
      </c>
      <c r="BJ849" t="s">
        <v>2262</v>
      </c>
      <c r="BK849">
        <v>1614</v>
      </c>
      <c r="BL849" t="s">
        <v>275</v>
      </c>
      <c r="BM849" t="s">
        <v>23</v>
      </c>
      <c r="BN849" t="s">
        <v>2322</v>
      </c>
      <c r="BO849" t="s">
        <v>2262</v>
      </c>
      <c r="BP849">
        <v>20</v>
      </c>
      <c r="BQ849" t="s">
        <v>275</v>
      </c>
      <c r="BR849" t="s">
        <v>1917</v>
      </c>
      <c r="BS849" t="s">
        <v>2321</v>
      </c>
      <c r="BT849" t="s">
        <v>2262</v>
      </c>
      <c r="BU849">
        <v>30</v>
      </c>
      <c r="BV849" t="s">
        <v>275</v>
      </c>
      <c r="BW849" t="s">
        <v>2319</v>
      </c>
      <c r="BX849" t="s">
        <v>2320</v>
      </c>
      <c r="BY849" t="s">
        <v>2262</v>
      </c>
      <c r="BZ849">
        <v>35</v>
      </c>
      <c r="CA849" t="s">
        <v>275</v>
      </c>
      <c r="CB849" t="s">
        <v>2319</v>
      </c>
      <c r="CC849" t="s">
        <v>2318</v>
      </c>
      <c r="CD849" t="s">
        <v>2262</v>
      </c>
      <c r="CE849">
        <v>19</v>
      </c>
      <c r="HL849" t="s">
        <v>2317</v>
      </c>
      <c r="HM849" t="s">
        <v>2316</v>
      </c>
      <c r="HP849" t="s">
        <v>29</v>
      </c>
      <c r="HQ849">
        <v>9</v>
      </c>
      <c r="HR849" t="s">
        <v>2315</v>
      </c>
      <c r="HT849" t="s">
        <v>2314</v>
      </c>
      <c r="HU849" s="58">
        <v>40153</v>
      </c>
      <c r="IP849" t="s">
        <v>2313</v>
      </c>
      <c r="IQ849" t="s">
        <v>2312</v>
      </c>
      <c r="IT849">
        <v>2009</v>
      </c>
      <c r="IU849" t="s">
        <v>2311</v>
      </c>
      <c r="IV849" s="4" t="s">
        <v>1879</v>
      </c>
      <c r="JM849" t="s">
        <v>14</v>
      </c>
      <c r="KF849" t="s">
        <v>2310</v>
      </c>
      <c r="KG849" t="s">
        <v>1548</v>
      </c>
      <c r="KH849" t="s">
        <v>2309</v>
      </c>
      <c r="KI849">
        <v>4</v>
      </c>
      <c r="KJ849" t="s">
        <v>2308</v>
      </c>
      <c r="KK849" t="s">
        <v>2152</v>
      </c>
      <c r="KO849" t="s">
        <v>219</v>
      </c>
      <c r="KP849" t="s">
        <v>2307</v>
      </c>
      <c r="KW849" t="s">
        <v>2306</v>
      </c>
      <c r="KX849" t="s">
        <v>2305</v>
      </c>
      <c r="LD849" t="s">
        <v>13</v>
      </c>
      <c r="LE849">
        <v>4600</v>
      </c>
      <c r="LM849" t="s">
        <v>2304</v>
      </c>
      <c r="LN849" t="s">
        <v>2303</v>
      </c>
      <c r="LO849">
        <v>30</v>
      </c>
      <c r="LU849" t="s">
        <v>2302</v>
      </c>
      <c r="LV849" t="s">
        <v>2301</v>
      </c>
      <c r="LZ849" t="s">
        <v>1925</v>
      </c>
      <c r="MA849">
        <v>1426</v>
      </c>
      <c r="MB849" t="s">
        <v>2300</v>
      </c>
      <c r="MH849" t="s">
        <v>2299</v>
      </c>
      <c r="MJ849" s="58">
        <v>40224</v>
      </c>
      <c r="MZ849" t="s">
        <v>2298</v>
      </c>
      <c r="NA849">
        <v>1435</v>
      </c>
      <c r="NB849" t="s">
        <v>2297</v>
      </c>
      <c r="NC849" s="2"/>
      <c r="ND849" s="2" t="s">
        <v>2296</v>
      </c>
      <c r="NE849" t="s">
        <v>1894</v>
      </c>
      <c r="NF849" s="2" t="s">
        <v>168</v>
      </c>
      <c r="NK849" t="s">
        <v>2361</v>
      </c>
      <c r="NL849" t="s">
        <v>2360</v>
      </c>
      <c r="NM849" t="s">
        <v>2359</v>
      </c>
      <c r="NW849" t="s">
        <v>6</v>
      </c>
      <c r="NX849">
        <v>1.4</v>
      </c>
      <c r="NY849" t="s">
        <v>29</v>
      </c>
      <c r="OC849">
        <v>3</v>
      </c>
      <c r="OT849" t="s">
        <v>2358</v>
      </c>
      <c r="OU849" t="s">
        <v>6</v>
      </c>
      <c r="OW849">
        <v>2009</v>
      </c>
      <c r="OX849">
        <v>2010</v>
      </c>
      <c r="OY849" t="s">
        <v>2311</v>
      </c>
      <c r="OZ849" t="s">
        <v>2373</v>
      </c>
      <c r="PA849" t="s">
        <v>1169</v>
      </c>
      <c r="PB849" s="58">
        <v>46136</v>
      </c>
    </row>
    <row r="850" spans="1:418" ht="15.75" thickBot="1">
      <c r="A850" t="s">
        <v>248</v>
      </c>
      <c r="B850" t="s">
        <v>2327</v>
      </c>
      <c r="C850" t="s">
        <v>1885</v>
      </c>
      <c r="D850" t="s">
        <v>1936</v>
      </c>
      <c r="E850" s="90" t="s">
        <v>2326</v>
      </c>
      <c r="F850" s="89" t="s">
        <v>31</v>
      </c>
      <c r="G850" t="s">
        <v>2</v>
      </c>
      <c r="H850" t="s">
        <v>30</v>
      </c>
      <c r="I850">
        <v>23.983611109999998</v>
      </c>
      <c r="J850">
        <v>90.402222219999999</v>
      </c>
      <c r="K850" t="s">
        <v>29</v>
      </c>
      <c r="AV850" t="s">
        <v>2325</v>
      </c>
      <c r="AW850">
        <f t="shared" ref="AW850:AW869" si="2">35*41</f>
        <v>1435</v>
      </c>
      <c r="AX850" t="s">
        <v>29</v>
      </c>
      <c r="AY850">
        <v>3</v>
      </c>
      <c r="AZ850" t="s">
        <v>2324</v>
      </c>
      <c r="BA850">
        <v>2009</v>
      </c>
      <c r="BB850">
        <v>2012</v>
      </c>
      <c r="BC850">
        <v>2009.2</v>
      </c>
      <c r="BD850" t="s">
        <v>19</v>
      </c>
      <c r="BE850" t="s">
        <v>2354</v>
      </c>
      <c r="BF850" t="s">
        <v>39</v>
      </c>
      <c r="BG850" t="s">
        <v>1233</v>
      </c>
      <c r="BH850" t="s">
        <v>2319</v>
      </c>
      <c r="BI850" t="s">
        <v>2342</v>
      </c>
      <c r="BJ850" t="s">
        <v>2262</v>
      </c>
      <c r="BK850">
        <v>45</v>
      </c>
      <c r="BL850" t="s">
        <v>275</v>
      </c>
      <c r="BM850" t="s">
        <v>2319</v>
      </c>
      <c r="BN850" t="s">
        <v>2355</v>
      </c>
      <c r="BO850" t="s">
        <v>2262</v>
      </c>
      <c r="BP850">
        <v>49</v>
      </c>
      <c r="BQ850" t="s">
        <v>275</v>
      </c>
      <c r="BR850" t="s">
        <v>2319</v>
      </c>
      <c r="BS850" t="s">
        <v>2341</v>
      </c>
      <c r="BT850" t="s">
        <v>2262</v>
      </c>
      <c r="BU850">
        <v>49</v>
      </c>
      <c r="HL850" t="s">
        <v>2350</v>
      </c>
      <c r="HM850" t="s">
        <v>297</v>
      </c>
      <c r="HN850" t="s">
        <v>2349</v>
      </c>
      <c r="HP850" t="s">
        <v>29</v>
      </c>
      <c r="HQ850">
        <v>12</v>
      </c>
      <c r="HR850" t="s">
        <v>2348</v>
      </c>
      <c r="HT850" t="s">
        <v>2314</v>
      </c>
      <c r="HU850" s="58">
        <v>40202</v>
      </c>
      <c r="HV850" s="58"/>
      <c r="IP850" t="s">
        <v>2354</v>
      </c>
      <c r="IQ850" s="54" t="s">
        <v>2337</v>
      </c>
      <c r="IT850">
        <v>2009</v>
      </c>
      <c r="IU850" t="s">
        <v>2311</v>
      </c>
      <c r="IV850" s="4" t="s">
        <v>1879</v>
      </c>
      <c r="JM850" t="s">
        <v>14</v>
      </c>
      <c r="KF850" t="s">
        <v>2353</v>
      </c>
      <c r="KG850" t="s">
        <v>1548</v>
      </c>
      <c r="KH850" t="s">
        <v>2309</v>
      </c>
      <c r="KI850">
        <v>3</v>
      </c>
      <c r="KJ850" t="s">
        <v>2308</v>
      </c>
      <c r="KK850" t="s">
        <v>2152</v>
      </c>
      <c r="KO850" t="s">
        <v>219</v>
      </c>
      <c r="KP850" s="8" t="s">
        <v>2357</v>
      </c>
      <c r="KW850" t="s">
        <v>2352</v>
      </c>
      <c r="KX850" t="s">
        <v>2305</v>
      </c>
      <c r="LD850" t="s">
        <v>13</v>
      </c>
      <c r="LE850">
        <v>0</v>
      </c>
      <c r="LM850" t="s">
        <v>2304</v>
      </c>
      <c r="LN850" t="s">
        <v>2303</v>
      </c>
      <c r="LO850">
        <v>7.5</v>
      </c>
      <c r="LU850" t="s">
        <v>2351</v>
      </c>
      <c r="LV850" t="s">
        <v>2301</v>
      </c>
      <c r="LZ850" t="s">
        <v>1925</v>
      </c>
      <c r="MA850">
        <v>2172</v>
      </c>
      <c r="MB850" t="s">
        <v>2300</v>
      </c>
      <c r="MH850" t="s">
        <v>2332</v>
      </c>
      <c r="MJ850" s="58">
        <v>40292</v>
      </c>
      <c r="MZ850" t="s">
        <v>2298</v>
      </c>
      <c r="NA850">
        <v>1435</v>
      </c>
      <c r="NB850" t="s">
        <v>2331</v>
      </c>
      <c r="NC850" s="2" t="s">
        <v>2296</v>
      </c>
      <c r="ND850" s="2" t="s">
        <v>2296</v>
      </c>
      <c r="NE850" s="2"/>
      <c r="NF850" s="2"/>
      <c r="NK850" t="s">
        <v>2361</v>
      </c>
      <c r="NL850" t="s">
        <v>2360</v>
      </c>
      <c r="NM850" t="s">
        <v>2359</v>
      </c>
      <c r="NV850" t="s">
        <v>2343</v>
      </c>
      <c r="NW850" t="s">
        <v>6</v>
      </c>
      <c r="NX850">
        <v>1.2</v>
      </c>
      <c r="NY850" t="s">
        <v>29</v>
      </c>
      <c r="OC850">
        <v>3</v>
      </c>
      <c r="OT850" t="s">
        <v>2358</v>
      </c>
      <c r="OU850" t="s">
        <v>6</v>
      </c>
      <c r="OW850">
        <v>2010</v>
      </c>
      <c r="OX850">
        <v>2011</v>
      </c>
      <c r="OY850" t="s">
        <v>2311</v>
      </c>
      <c r="OZ850" t="s">
        <v>2373</v>
      </c>
      <c r="PA850" t="s">
        <v>1169</v>
      </c>
      <c r="PB850" s="58">
        <v>46136</v>
      </c>
    </row>
    <row r="851" spans="1:418" ht="15.75" thickBot="1">
      <c r="A851" t="s">
        <v>248</v>
      </c>
      <c r="B851" t="s">
        <v>2327</v>
      </c>
      <c r="C851" t="s">
        <v>1885</v>
      </c>
      <c r="D851" t="s">
        <v>1936</v>
      </c>
      <c r="E851" s="90" t="s">
        <v>2326</v>
      </c>
      <c r="F851" s="89" t="s">
        <v>31</v>
      </c>
      <c r="G851" t="s">
        <v>2</v>
      </c>
      <c r="H851" t="s">
        <v>30</v>
      </c>
      <c r="I851">
        <v>23.983611109999998</v>
      </c>
      <c r="J851">
        <v>90.402222219999999</v>
      </c>
      <c r="K851" t="s">
        <v>29</v>
      </c>
      <c r="AV851" t="s">
        <v>2325</v>
      </c>
      <c r="AW851">
        <f t="shared" si="2"/>
        <v>1435</v>
      </c>
      <c r="AX851" t="s">
        <v>29</v>
      </c>
      <c r="AY851">
        <v>3</v>
      </c>
      <c r="AZ851" t="s">
        <v>2324</v>
      </c>
      <c r="BA851">
        <v>2009</v>
      </c>
      <c r="BB851">
        <v>2012</v>
      </c>
      <c r="BC851">
        <v>2009.2</v>
      </c>
      <c r="BD851" t="s">
        <v>19</v>
      </c>
      <c r="BE851" t="s">
        <v>2347</v>
      </c>
      <c r="BF851" t="s">
        <v>24</v>
      </c>
      <c r="BG851" t="s">
        <v>1233</v>
      </c>
      <c r="BH851" t="s">
        <v>2319</v>
      </c>
      <c r="BI851" t="s">
        <v>2342</v>
      </c>
      <c r="BJ851" t="s">
        <v>2262</v>
      </c>
      <c r="BK851">
        <v>30</v>
      </c>
      <c r="BL851" t="s">
        <v>275</v>
      </c>
      <c r="BM851" t="s">
        <v>2319</v>
      </c>
      <c r="BN851" t="s">
        <v>2341</v>
      </c>
      <c r="BO851" t="s">
        <v>2262</v>
      </c>
      <c r="BP851">
        <v>35</v>
      </c>
      <c r="HL851" t="s">
        <v>2350</v>
      </c>
      <c r="HM851" t="s">
        <v>297</v>
      </c>
      <c r="HN851" t="s">
        <v>2349</v>
      </c>
      <c r="HP851" t="s">
        <v>29</v>
      </c>
      <c r="HQ851">
        <v>12</v>
      </c>
      <c r="HR851" t="s">
        <v>2348</v>
      </c>
      <c r="HT851" t="s">
        <v>2314</v>
      </c>
      <c r="HU851" s="58">
        <v>40192</v>
      </c>
      <c r="HV851" s="58"/>
      <c r="IP851" t="s">
        <v>2347</v>
      </c>
      <c r="IQ851" s="54" t="s">
        <v>2337</v>
      </c>
      <c r="IT851">
        <v>2009</v>
      </c>
      <c r="IU851" t="s">
        <v>2311</v>
      </c>
      <c r="IV851" s="4" t="s">
        <v>1879</v>
      </c>
      <c r="JM851" t="s">
        <v>14</v>
      </c>
      <c r="KF851" t="s">
        <v>2346</v>
      </c>
      <c r="KG851" t="s">
        <v>1548</v>
      </c>
      <c r="KH851" t="s">
        <v>2309</v>
      </c>
      <c r="KI851">
        <v>6</v>
      </c>
      <c r="KJ851" t="s">
        <v>2308</v>
      </c>
      <c r="KK851" t="s">
        <v>222</v>
      </c>
      <c r="KL851" s="8" t="s">
        <v>1922</v>
      </c>
      <c r="KO851" t="s">
        <v>219</v>
      </c>
      <c r="KP851" t="s">
        <v>2335</v>
      </c>
      <c r="KW851" t="s">
        <v>2345</v>
      </c>
      <c r="KX851" t="s">
        <v>2305</v>
      </c>
      <c r="LD851" t="s">
        <v>13</v>
      </c>
      <c r="LE851">
        <v>1600</v>
      </c>
      <c r="LM851" t="s">
        <v>2304</v>
      </c>
      <c r="LN851" t="s">
        <v>2303</v>
      </c>
      <c r="LO851">
        <v>30</v>
      </c>
      <c r="LU851" t="s">
        <v>2344</v>
      </c>
      <c r="LV851" t="s">
        <v>2301</v>
      </c>
      <c r="LZ851" t="s">
        <v>1925</v>
      </c>
      <c r="MA851">
        <v>1946</v>
      </c>
      <c r="MB851" t="s">
        <v>2300</v>
      </c>
      <c r="MH851" t="s">
        <v>2332</v>
      </c>
      <c r="MJ851" s="58">
        <v>40298</v>
      </c>
      <c r="MZ851" t="s">
        <v>2298</v>
      </c>
      <c r="NA851">
        <v>1435</v>
      </c>
      <c r="NB851" t="s">
        <v>2331</v>
      </c>
      <c r="NC851" s="2" t="s">
        <v>2296</v>
      </c>
      <c r="ND851" s="2" t="s">
        <v>2296</v>
      </c>
      <c r="NE851" s="2"/>
      <c r="NF851" s="2"/>
      <c r="NK851" t="s">
        <v>2361</v>
      </c>
      <c r="NL851" t="s">
        <v>2360</v>
      </c>
      <c r="NM851" t="s">
        <v>2359</v>
      </c>
      <c r="NV851" t="s">
        <v>2343</v>
      </c>
      <c r="NW851" t="s">
        <v>6</v>
      </c>
      <c r="NX851">
        <v>1.5</v>
      </c>
      <c r="NY851" t="s">
        <v>29</v>
      </c>
      <c r="OC851">
        <v>3</v>
      </c>
      <c r="OT851" t="s">
        <v>2358</v>
      </c>
      <c r="OU851" t="s">
        <v>6</v>
      </c>
      <c r="OW851">
        <v>2010</v>
      </c>
      <c r="OX851">
        <v>2011</v>
      </c>
      <c r="OY851" t="s">
        <v>2311</v>
      </c>
      <c r="OZ851" t="s">
        <v>2373</v>
      </c>
      <c r="PA851" t="s">
        <v>1169</v>
      </c>
      <c r="PB851" s="58">
        <v>46136</v>
      </c>
    </row>
    <row r="852" spans="1:418" ht="15.75" thickBot="1">
      <c r="A852" t="s">
        <v>248</v>
      </c>
      <c r="B852" t="s">
        <v>2327</v>
      </c>
      <c r="C852" t="s">
        <v>1885</v>
      </c>
      <c r="D852" t="s">
        <v>1936</v>
      </c>
      <c r="E852" s="90" t="s">
        <v>2326</v>
      </c>
      <c r="F852" s="89" t="s">
        <v>31</v>
      </c>
      <c r="G852" t="s">
        <v>2</v>
      </c>
      <c r="H852" t="s">
        <v>30</v>
      </c>
      <c r="I852">
        <v>23.983611109999998</v>
      </c>
      <c r="J852">
        <v>90.402222219999999</v>
      </c>
      <c r="K852" t="s">
        <v>29</v>
      </c>
      <c r="AV852" t="s">
        <v>2325</v>
      </c>
      <c r="AW852">
        <f t="shared" si="2"/>
        <v>1435</v>
      </c>
      <c r="AX852" t="s">
        <v>29</v>
      </c>
      <c r="AY852">
        <v>3</v>
      </c>
      <c r="AZ852" t="s">
        <v>2324</v>
      </c>
      <c r="BA852">
        <v>2009</v>
      </c>
      <c r="BB852">
        <v>2012</v>
      </c>
      <c r="BC852">
        <v>2009.2</v>
      </c>
      <c r="BD852" t="s">
        <v>19</v>
      </c>
      <c r="BE852" t="s">
        <v>2338</v>
      </c>
      <c r="BF852" t="s">
        <v>299</v>
      </c>
      <c r="BG852" t="s">
        <v>1233</v>
      </c>
      <c r="BH852" t="s">
        <v>2319</v>
      </c>
      <c r="BI852" t="s">
        <v>2342</v>
      </c>
      <c r="BJ852" t="s">
        <v>2262</v>
      </c>
      <c r="BK852">
        <v>30</v>
      </c>
      <c r="BL852" t="s">
        <v>275</v>
      </c>
      <c r="BM852" t="s">
        <v>2319</v>
      </c>
      <c r="BN852" t="s">
        <v>2341</v>
      </c>
      <c r="BO852" t="s">
        <v>2262</v>
      </c>
      <c r="BP852">
        <v>19</v>
      </c>
      <c r="HL852" t="s">
        <v>2340</v>
      </c>
      <c r="HM852" t="s">
        <v>2316</v>
      </c>
      <c r="HP852" t="s">
        <v>29</v>
      </c>
      <c r="HQ852">
        <v>4</v>
      </c>
      <c r="HR852" t="s">
        <v>2339</v>
      </c>
      <c r="HT852" t="s">
        <v>2314</v>
      </c>
      <c r="HU852" s="58">
        <v>40192</v>
      </c>
      <c r="HV852" s="58"/>
      <c r="IP852" t="s">
        <v>2338</v>
      </c>
      <c r="IQ852" s="54" t="s">
        <v>2337</v>
      </c>
      <c r="IT852">
        <v>2009</v>
      </c>
      <c r="IU852" t="s">
        <v>2311</v>
      </c>
      <c r="IV852" s="4" t="s">
        <v>1879</v>
      </c>
      <c r="JM852" t="s">
        <v>14</v>
      </c>
      <c r="KF852" t="s">
        <v>2336</v>
      </c>
      <c r="KG852" t="s">
        <v>1548</v>
      </c>
      <c r="KH852" t="s">
        <v>2309</v>
      </c>
      <c r="KI852">
        <v>7</v>
      </c>
      <c r="KJ852" t="s">
        <v>2308</v>
      </c>
      <c r="KK852" t="s">
        <v>222</v>
      </c>
      <c r="KL852" s="8" t="s">
        <v>1922</v>
      </c>
      <c r="KO852" t="s">
        <v>219</v>
      </c>
      <c r="KP852" t="s">
        <v>2335</v>
      </c>
      <c r="KW852" t="s">
        <v>2334</v>
      </c>
      <c r="KX852" t="s">
        <v>2305</v>
      </c>
      <c r="LD852" t="s">
        <v>13</v>
      </c>
      <c r="LE852">
        <v>1400</v>
      </c>
      <c r="LM852" t="s">
        <v>2304</v>
      </c>
      <c r="LN852" t="s">
        <v>2303</v>
      </c>
      <c r="LO852">
        <v>30</v>
      </c>
      <c r="LU852" t="s">
        <v>2333</v>
      </c>
      <c r="LV852" t="s">
        <v>2301</v>
      </c>
      <c r="LZ852" t="s">
        <v>1925</v>
      </c>
      <c r="MA852">
        <v>2001</v>
      </c>
      <c r="MB852" t="s">
        <v>2300</v>
      </c>
      <c r="MH852" t="s">
        <v>2332</v>
      </c>
      <c r="MJ852" s="58">
        <v>40299</v>
      </c>
      <c r="MZ852" t="s">
        <v>2298</v>
      </c>
      <c r="NA852">
        <v>1435</v>
      </c>
      <c r="NB852" t="s">
        <v>2331</v>
      </c>
      <c r="NC852" s="2" t="s">
        <v>2296</v>
      </c>
      <c r="ND852" s="2" t="s">
        <v>2296</v>
      </c>
      <c r="NE852" s="2"/>
      <c r="NF852" s="2"/>
      <c r="NK852" t="s">
        <v>2361</v>
      </c>
      <c r="NL852" t="s">
        <v>2360</v>
      </c>
      <c r="NM852" t="s">
        <v>2359</v>
      </c>
      <c r="NV852" t="s">
        <v>64</v>
      </c>
      <c r="NW852" t="s">
        <v>6</v>
      </c>
      <c r="NX852">
        <v>1.6</v>
      </c>
      <c r="NY852" t="s">
        <v>29</v>
      </c>
      <c r="OC852">
        <v>3</v>
      </c>
      <c r="OT852" t="s">
        <v>2358</v>
      </c>
      <c r="OU852" t="s">
        <v>6</v>
      </c>
      <c r="OW852">
        <v>2010</v>
      </c>
      <c r="OX852">
        <v>2011</v>
      </c>
      <c r="OY852" t="s">
        <v>2311</v>
      </c>
      <c r="OZ852" t="s">
        <v>2373</v>
      </c>
      <c r="PA852" t="s">
        <v>1169</v>
      </c>
      <c r="PB852" s="58">
        <v>46136</v>
      </c>
    </row>
    <row r="853" spans="1:418" ht="15.75" thickBot="1">
      <c r="A853" t="s">
        <v>248</v>
      </c>
      <c r="B853" t="s">
        <v>2327</v>
      </c>
      <c r="C853" t="s">
        <v>1885</v>
      </c>
      <c r="D853" t="s">
        <v>1936</v>
      </c>
      <c r="E853" s="90" t="s">
        <v>2326</v>
      </c>
      <c r="F853" s="89" t="s">
        <v>31</v>
      </c>
      <c r="G853" t="s">
        <v>2</v>
      </c>
      <c r="H853" t="s">
        <v>30</v>
      </c>
      <c r="I853">
        <v>23.983611109999998</v>
      </c>
      <c r="J853">
        <v>90.402222219999999</v>
      </c>
      <c r="K853" t="s">
        <v>29</v>
      </c>
      <c r="AV853" t="s">
        <v>2325</v>
      </c>
      <c r="AW853">
        <f t="shared" si="2"/>
        <v>1435</v>
      </c>
      <c r="AX853" t="s">
        <v>29</v>
      </c>
      <c r="AY853">
        <v>3</v>
      </c>
      <c r="AZ853" t="s">
        <v>2324</v>
      </c>
      <c r="BA853">
        <v>2009</v>
      </c>
      <c r="BB853">
        <v>2012</v>
      </c>
      <c r="BC853">
        <v>2009.2</v>
      </c>
      <c r="BD853" t="s">
        <v>274</v>
      </c>
      <c r="BE853" t="s">
        <v>2313</v>
      </c>
      <c r="BF853" t="s">
        <v>64</v>
      </c>
      <c r="BG853" t="s">
        <v>1233</v>
      </c>
      <c r="BH853" t="s">
        <v>1894</v>
      </c>
      <c r="BI853" t="s">
        <v>2323</v>
      </c>
      <c r="BJ853" t="s">
        <v>2262</v>
      </c>
      <c r="BK853">
        <v>1614</v>
      </c>
      <c r="BL853" t="s">
        <v>275</v>
      </c>
      <c r="BM853" t="s">
        <v>23</v>
      </c>
      <c r="BN853" t="s">
        <v>2322</v>
      </c>
      <c r="BO853" t="s">
        <v>2262</v>
      </c>
      <c r="BP853">
        <v>20</v>
      </c>
      <c r="BQ853" t="s">
        <v>275</v>
      </c>
      <c r="BR853" t="s">
        <v>1917</v>
      </c>
      <c r="BS853" t="s">
        <v>2321</v>
      </c>
      <c r="BT853" t="s">
        <v>2262</v>
      </c>
      <c r="BU853">
        <v>30</v>
      </c>
      <c r="BV853" t="s">
        <v>275</v>
      </c>
      <c r="BW853" t="s">
        <v>2319</v>
      </c>
      <c r="BX853" t="s">
        <v>2320</v>
      </c>
      <c r="BY853" t="s">
        <v>2262</v>
      </c>
      <c r="BZ853">
        <v>35</v>
      </c>
      <c r="CA853" t="s">
        <v>275</v>
      </c>
      <c r="CB853" t="s">
        <v>2319</v>
      </c>
      <c r="CC853" t="s">
        <v>2318</v>
      </c>
      <c r="CD853" t="s">
        <v>2262</v>
      </c>
      <c r="CE853">
        <v>19</v>
      </c>
      <c r="HL853" t="s">
        <v>2317</v>
      </c>
      <c r="HM853" t="s">
        <v>2316</v>
      </c>
      <c r="HP853" t="s">
        <v>29</v>
      </c>
      <c r="HQ853">
        <v>9</v>
      </c>
      <c r="HR853" t="s">
        <v>2315</v>
      </c>
      <c r="HT853" t="s">
        <v>2314</v>
      </c>
      <c r="HU853" s="58">
        <v>40153</v>
      </c>
      <c r="IP853" t="s">
        <v>2313</v>
      </c>
      <c r="IQ853" t="s">
        <v>2312</v>
      </c>
      <c r="IT853">
        <v>2009</v>
      </c>
      <c r="IU853" t="s">
        <v>2311</v>
      </c>
      <c r="IV853" s="4" t="s">
        <v>1879</v>
      </c>
      <c r="JM853" t="s">
        <v>14</v>
      </c>
      <c r="KF853" t="s">
        <v>2310</v>
      </c>
      <c r="KG853" t="s">
        <v>1548</v>
      </c>
      <c r="KH853" t="s">
        <v>2309</v>
      </c>
      <c r="KI853">
        <v>4</v>
      </c>
      <c r="KJ853" t="s">
        <v>2308</v>
      </c>
      <c r="KK853" t="s">
        <v>2152</v>
      </c>
      <c r="KO853" t="s">
        <v>219</v>
      </c>
      <c r="KP853" t="s">
        <v>2307</v>
      </c>
      <c r="KS853" t="s">
        <v>219</v>
      </c>
      <c r="KT853" s="8" t="s">
        <v>2356</v>
      </c>
      <c r="KW853" t="s">
        <v>2306</v>
      </c>
      <c r="KX853" t="s">
        <v>2305</v>
      </c>
      <c r="LD853" t="s">
        <v>13</v>
      </c>
      <c r="LE853">
        <v>1600</v>
      </c>
      <c r="LM853" t="s">
        <v>2304</v>
      </c>
      <c r="LN853" t="s">
        <v>2303</v>
      </c>
      <c r="LO853">
        <v>30</v>
      </c>
      <c r="LU853" t="s">
        <v>2302</v>
      </c>
      <c r="LV853" t="s">
        <v>2301</v>
      </c>
      <c r="LZ853" t="s">
        <v>1925</v>
      </c>
      <c r="MA853">
        <v>1186</v>
      </c>
      <c r="MB853" t="s">
        <v>2300</v>
      </c>
      <c r="MH853" t="s">
        <v>2299</v>
      </c>
      <c r="MJ853" s="58">
        <v>40224</v>
      </c>
      <c r="MZ853" t="s">
        <v>2298</v>
      </c>
      <c r="NA853">
        <v>1435</v>
      </c>
      <c r="NB853" t="s">
        <v>2297</v>
      </c>
      <c r="NC853" s="2"/>
      <c r="ND853" s="2" t="s">
        <v>2296</v>
      </c>
      <c r="NE853" s="2"/>
      <c r="NF853" s="2"/>
      <c r="NK853" t="s">
        <v>2361</v>
      </c>
      <c r="NL853" t="s">
        <v>2360</v>
      </c>
      <c r="NM853" t="s">
        <v>2359</v>
      </c>
      <c r="NW853" t="s">
        <v>6</v>
      </c>
      <c r="NX853">
        <v>1.2</v>
      </c>
      <c r="NY853" t="s">
        <v>29</v>
      </c>
      <c r="OC853">
        <v>3</v>
      </c>
      <c r="OT853" t="s">
        <v>2358</v>
      </c>
      <c r="OU853" t="s">
        <v>6</v>
      </c>
      <c r="OW853">
        <v>2010</v>
      </c>
      <c r="OX853">
        <v>2011</v>
      </c>
      <c r="OY853" t="s">
        <v>2311</v>
      </c>
      <c r="OZ853" t="s">
        <v>2373</v>
      </c>
      <c r="PA853" t="s">
        <v>1169</v>
      </c>
      <c r="PB853" s="58">
        <v>46136</v>
      </c>
    </row>
    <row r="854" spans="1:418" ht="15.75" thickBot="1">
      <c r="A854" t="s">
        <v>248</v>
      </c>
      <c r="B854" t="s">
        <v>2327</v>
      </c>
      <c r="C854" t="s">
        <v>1885</v>
      </c>
      <c r="D854" t="s">
        <v>1936</v>
      </c>
      <c r="E854" s="90" t="s">
        <v>2326</v>
      </c>
      <c r="F854" s="89" t="s">
        <v>31</v>
      </c>
      <c r="G854" t="s">
        <v>2</v>
      </c>
      <c r="H854" t="s">
        <v>30</v>
      </c>
      <c r="I854">
        <v>23.983611109999998</v>
      </c>
      <c r="J854">
        <v>90.402222219999999</v>
      </c>
      <c r="K854" t="s">
        <v>29</v>
      </c>
      <c r="AV854" t="s">
        <v>2325</v>
      </c>
      <c r="AW854">
        <f t="shared" si="2"/>
        <v>1435</v>
      </c>
      <c r="AX854" t="s">
        <v>29</v>
      </c>
      <c r="AY854">
        <v>3</v>
      </c>
      <c r="AZ854" t="s">
        <v>2324</v>
      </c>
      <c r="BA854">
        <v>2009</v>
      </c>
      <c r="BB854">
        <v>2012</v>
      </c>
      <c r="BC854">
        <v>2009.2</v>
      </c>
      <c r="BD854" t="s">
        <v>19</v>
      </c>
      <c r="BE854" t="s">
        <v>2354</v>
      </c>
      <c r="BF854" t="s">
        <v>39</v>
      </c>
      <c r="BG854" t="s">
        <v>1233</v>
      </c>
      <c r="BH854" t="s">
        <v>2319</v>
      </c>
      <c r="BI854" t="s">
        <v>2342</v>
      </c>
      <c r="BJ854" t="s">
        <v>2262</v>
      </c>
      <c r="BK854">
        <v>45</v>
      </c>
      <c r="BL854" t="s">
        <v>275</v>
      </c>
      <c r="BM854" t="s">
        <v>2319</v>
      </c>
      <c r="BN854" t="s">
        <v>2355</v>
      </c>
      <c r="BO854" t="s">
        <v>2262</v>
      </c>
      <c r="BP854">
        <v>49</v>
      </c>
      <c r="BQ854" t="s">
        <v>275</v>
      </c>
      <c r="BR854" t="s">
        <v>2319</v>
      </c>
      <c r="BS854" t="s">
        <v>2341</v>
      </c>
      <c r="BT854" t="s">
        <v>2262</v>
      </c>
      <c r="BU854">
        <v>49</v>
      </c>
      <c r="HL854" t="s">
        <v>2350</v>
      </c>
      <c r="HM854" t="s">
        <v>297</v>
      </c>
      <c r="HN854" t="s">
        <v>2349</v>
      </c>
      <c r="HP854" t="s">
        <v>29</v>
      </c>
      <c r="HQ854">
        <v>12</v>
      </c>
      <c r="HR854" t="s">
        <v>2348</v>
      </c>
      <c r="HT854" t="s">
        <v>2314</v>
      </c>
      <c r="HU854" s="58">
        <v>40202</v>
      </c>
      <c r="HV854" s="58"/>
      <c r="IP854" t="s">
        <v>2354</v>
      </c>
      <c r="IQ854" s="54" t="s">
        <v>2337</v>
      </c>
      <c r="IT854">
        <v>2009</v>
      </c>
      <c r="IU854" t="s">
        <v>2311</v>
      </c>
      <c r="IV854" s="4" t="s">
        <v>1879</v>
      </c>
      <c r="JM854" t="s">
        <v>14</v>
      </c>
      <c r="KF854" t="s">
        <v>2353</v>
      </c>
      <c r="KG854" t="s">
        <v>1548</v>
      </c>
      <c r="KH854" t="s">
        <v>2309</v>
      </c>
      <c r="KI854">
        <v>3</v>
      </c>
      <c r="KJ854" t="s">
        <v>2308</v>
      </c>
      <c r="KK854" t="s">
        <v>2152</v>
      </c>
      <c r="KO854" t="s">
        <v>219</v>
      </c>
      <c r="KP854" t="s">
        <v>2335</v>
      </c>
      <c r="KW854" t="s">
        <v>2352</v>
      </c>
      <c r="KX854" t="s">
        <v>2305</v>
      </c>
      <c r="LD854" t="s">
        <v>13</v>
      </c>
      <c r="LE854">
        <v>1600</v>
      </c>
      <c r="LM854" t="s">
        <v>2304</v>
      </c>
      <c r="LN854" t="s">
        <v>2303</v>
      </c>
      <c r="LO854">
        <v>7.5</v>
      </c>
      <c r="LU854" t="s">
        <v>2351</v>
      </c>
      <c r="LV854" t="s">
        <v>2301</v>
      </c>
      <c r="LZ854" t="s">
        <v>1925</v>
      </c>
      <c r="MA854">
        <v>1450</v>
      </c>
      <c r="MB854" t="s">
        <v>2300</v>
      </c>
      <c r="MH854" t="s">
        <v>2332</v>
      </c>
      <c r="MJ854" s="58">
        <v>40292</v>
      </c>
      <c r="MZ854" t="s">
        <v>2298</v>
      </c>
      <c r="NA854">
        <v>1435</v>
      </c>
      <c r="NB854" t="s">
        <v>2331</v>
      </c>
      <c r="NC854" s="2" t="s">
        <v>2296</v>
      </c>
      <c r="ND854" s="2" t="s">
        <v>2296</v>
      </c>
      <c r="NE854" s="2"/>
      <c r="NF854" s="2"/>
      <c r="NK854" t="s">
        <v>2361</v>
      </c>
      <c r="NL854" t="s">
        <v>2360</v>
      </c>
      <c r="NM854" t="s">
        <v>2359</v>
      </c>
      <c r="NV854" t="s">
        <v>2343</v>
      </c>
      <c r="NW854" t="s">
        <v>6</v>
      </c>
      <c r="NX854">
        <v>1.2</v>
      </c>
      <c r="NY854" t="s">
        <v>29</v>
      </c>
      <c r="OC854">
        <v>3</v>
      </c>
      <c r="OT854" t="s">
        <v>2358</v>
      </c>
      <c r="OU854" t="s">
        <v>6</v>
      </c>
      <c r="OW854">
        <v>2011</v>
      </c>
      <c r="OX854">
        <v>2012</v>
      </c>
      <c r="OY854" t="s">
        <v>2311</v>
      </c>
      <c r="OZ854" t="s">
        <v>2373</v>
      </c>
      <c r="PA854" t="s">
        <v>1169</v>
      </c>
      <c r="PB854" s="58">
        <v>46136</v>
      </c>
    </row>
    <row r="855" spans="1:418" ht="15.75" thickBot="1">
      <c r="A855" t="s">
        <v>248</v>
      </c>
      <c r="B855" t="s">
        <v>2327</v>
      </c>
      <c r="C855" t="s">
        <v>1885</v>
      </c>
      <c r="D855" t="s">
        <v>1936</v>
      </c>
      <c r="E855" s="90" t="s">
        <v>2326</v>
      </c>
      <c r="F855" s="89" t="s">
        <v>31</v>
      </c>
      <c r="G855" t="s">
        <v>2</v>
      </c>
      <c r="H855" t="s">
        <v>30</v>
      </c>
      <c r="I855">
        <v>23.983611109999998</v>
      </c>
      <c r="J855">
        <v>90.402222219999999</v>
      </c>
      <c r="K855" t="s">
        <v>29</v>
      </c>
      <c r="AV855" t="s">
        <v>2325</v>
      </c>
      <c r="AW855">
        <f t="shared" si="2"/>
        <v>1435</v>
      </c>
      <c r="AX855" t="s">
        <v>29</v>
      </c>
      <c r="AY855">
        <v>3</v>
      </c>
      <c r="AZ855" t="s">
        <v>2324</v>
      </c>
      <c r="BA855">
        <v>2009</v>
      </c>
      <c r="BB855">
        <v>2012</v>
      </c>
      <c r="BC855">
        <v>2009.2</v>
      </c>
      <c r="BD855" t="s">
        <v>19</v>
      </c>
      <c r="BE855" t="s">
        <v>2347</v>
      </c>
      <c r="BF855" t="s">
        <v>24</v>
      </c>
      <c r="BG855" t="s">
        <v>1233</v>
      </c>
      <c r="BH855" t="s">
        <v>2319</v>
      </c>
      <c r="BI855" t="s">
        <v>2342</v>
      </c>
      <c r="BJ855" t="s">
        <v>2262</v>
      </c>
      <c r="BK855">
        <v>30</v>
      </c>
      <c r="BL855" t="s">
        <v>275</v>
      </c>
      <c r="BM855" t="s">
        <v>2319</v>
      </c>
      <c r="BN855" t="s">
        <v>2341</v>
      </c>
      <c r="BO855" t="s">
        <v>2262</v>
      </c>
      <c r="BP855">
        <v>35</v>
      </c>
      <c r="HL855" t="s">
        <v>2350</v>
      </c>
      <c r="HM855" t="s">
        <v>297</v>
      </c>
      <c r="HN855" t="s">
        <v>2349</v>
      </c>
      <c r="HP855" t="s">
        <v>29</v>
      </c>
      <c r="HQ855">
        <v>12</v>
      </c>
      <c r="HR855" t="s">
        <v>2348</v>
      </c>
      <c r="HT855" t="s">
        <v>2314</v>
      </c>
      <c r="HU855" s="58">
        <v>40192</v>
      </c>
      <c r="HV855" s="58"/>
      <c r="IP855" t="s">
        <v>2347</v>
      </c>
      <c r="IQ855" s="54" t="s">
        <v>2337</v>
      </c>
      <c r="IT855">
        <v>2009</v>
      </c>
      <c r="IU855" t="s">
        <v>2311</v>
      </c>
      <c r="IV855" s="4" t="s">
        <v>1879</v>
      </c>
      <c r="JM855" t="s">
        <v>14</v>
      </c>
      <c r="KF855" t="s">
        <v>2346</v>
      </c>
      <c r="KG855" t="s">
        <v>1548</v>
      </c>
      <c r="KH855" t="s">
        <v>2309</v>
      </c>
      <c r="KI855">
        <v>6</v>
      </c>
      <c r="KJ855" t="s">
        <v>2308</v>
      </c>
      <c r="KK855" t="s">
        <v>222</v>
      </c>
      <c r="KL855" s="8" t="s">
        <v>1922</v>
      </c>
      <c r="KO855" t="s">
        <v>219</v>
      </c>
      <c r="KP855" t="s">
        <v>2335</v>
      </c>
      <c r="KW855" t="s">
        <v>2345</v>
      </c>
      <c r="KX855" t="s">
        <v>2305</v>
      </c>
      <c r="LD855" t="s">
        <v>13</v>
      </c>
      <c r="LE855">
        <v>2000</v>
      </c>
      <c r="LM855" t="s">
        <v>2304</v>
      </c>
      <c r="LN855" t="s">
        <v>2303</v>
      </c>
      <c r="LO855">
        <v>30</v>
      </c>
      <c r="LU855" t="s">
        <v>2344</v>
      </c>
      <c r="LV855" t="s">
        <v>2301</v>
      </c>
      <c r="LZ855" t="s">
        <v>1925</v>
      </c>
      <c r="MA855">
        <v>1481</v>
      </c>
      <c r="MB855" t="s">
        <v>2300</v>
      </c>
      <c r="MH855" t="s">
        <v>2332</v>
      </c>
      <c r="MJ855" s="58">
        <v>40298</v>
      </c>
      <c r="MZ855" t="s">
        <v>2298</v>
      </c>
      <c r="NA855">
        <v>1435</v>
      </c>
      <c r="NB855" t="s">
        <v>2331</v>
      </c>
      <c r="NC855" s="2" t="s">
        <v>2296</v>
      </c>
      <c r="ND855" s="2" t="s">
        <v>2296</v>
      </c>
      <c r="NE855" s="2"/>
      <c r="NF855" s="2"/>
      <c r="NK855" t="s">
        <v>2361</v>
      </c>
      <c r="NL855" t="s">
        <v>2360</v>
      </c>
      <c r="NM855" t="s">
        <v>2359</v>
      </c>
      <c r="NV855" t="s">
        <v>2343</v>
      </c>
      <c r="NW855" t="s">
        <v>6</v>
      </c>
      <c r="NX855">
        <v>1.3</v>
      </c>
      <c r="NY855" t="s">
        <v>29</v>
      </c>
      <c r="OC855">
        <v>3</v>
      </c>
      <c r="OT855" t="s">
        <v>2358</v>
      </c>
      <c r="OU855" t="s">
        <v>6</v>
      </c>
      <c r="OW855">
        <v>2011</v>
      </c>
      <c r="OX855">
        <v>2012</v>
      </c>
      <c r="OY855" t="s">
        <v>2311</v>
      </c>
      <c r="OZ855" t="s">
        <v>2373</v>
      </c>
      <c r="PA855" t="s">
        <v>1169</v>
      </c>
      <c r="PB855" s="58">
        <v>46136</v>
      </c>
    </row>
    <row r="856" spans="1:418" ht="15.75" thickBot="1">
      <c r="A856" t="s">
        <v>248</v>
      </c>
      <c r="B856" t="s">
        <v>2327</v>
      </c>
      <c r="C856" t="s">
        <v>1885</v>
      </c>
      <c r="D856" t="s">
        <v>1936</v>
      </c>
      <c r="E856" s="90" t="s">
        <v>2326</v>
      </c>
      <c r="F856" s="89" t="s">
        <v>31</v>
      </c>
      <c r="G856" t="s">
        <v>2</v>
      </c>
      <c r="H856" t="s">
        <v>30</v>
      </c>
      <c r="I856">
        <v>23.983611109999998</v>
      </c>
      <c r="J856">
        <v>90.402222219999999</v>
      </c>
      <c r="K856" t="s">
        <v>29</v>
      </c>
      <c r="AV856" t="s">
        <v>2325</v>
      </c>
      <c r="AW856">
        <f t="shared" si="2"/>
        <v>1435</v>
      </c>
      <c r="AX856" t="s">
        <v>29</v>
      </c>
      <c r="AY856">
        <v>3</v>
      </c>
      <c r="AZ856" t="s">
        <v>2324</v>
      </c>
      <c r="BA856">
        <v>2009</v>
      </c>
      <c r="BB856">
        <v>2012</v>
      </c>
      <c r="BC856">
        <v>2009.2</v>
      </c>
      <c r="BD856" t="s">
        <v>19</v>
      </c>
      <c r="BE856" t="s">
        <v>2338</v>
      </c>
      <c r="BF856" t="s">
        <v>299</v>
      </c>
      <c r="BG856" t="s">
        <v>1233</v>
      </c>
      <c r="BH856" t="s">
        <v>2319</v>
      </c>
      <c r="BI856" t="s">
        <v>2342</v>
      </c>
      <c r="BJ856" t="s">
        <v>2262</v>
      </c>
      <c r="BK856">
        <v>30</v>
      </c>
      <c r="BL856" t="s">
        <v>275</v>
      </c>
      <c r="BM856" t="s">
        <v>2319</v>
      </c>
      <c r="BN856" t="s">
        <v>2341</v>
      </c>
      <c r="BO856" t="s">
        <v>2262</v>
      </c>
      <c r="BP856">
        <v>19</v>
      </c>
      <c r="HL856" t="s">
        <v>2340</v>
      </c>
      <c r="HM856" t="s">
        <v>2316</v>
      </c>
      <c r="HP856" t="s">
        <v>29</v>
      </c>
      <c r="HQ856">
        <v>4</v>
      </c>
      <c r="HR856" t="s">
        <v>2339</v>
      </c>
      <c r="HT856" t="s">
        <v>2314</v>
      </c>
      <c r="HU856" s="58">
        <v>40192</v>
      </c>
      <c r="HV856" s="58"/>
      <c r="IP856" t="s">
        <v>2338</v>
      </c>
      <c r="IQ856" s="54" t="s">
        <v>2337</v>
      </c>
      <c r="IT856">
        <v>2009</v>
      </c>
      <c r="IU856" t="s">
        <v>2311</v>
      </c>
      <c r="IV856" s="4" t="s">
        <v>1879</v>
      </c>
      <c r="JM856" t="s">
        <v>14</v>
      </c>
      <c r="KF856" t="s">
        <v>2336</v>
      </c>
      <c r="KG856" t="s">
        <v>1548</v>
      </c>
      <c r="KH856" t="s">
        <v>2309</v>
      </c>
      <c r="KI856">
        <v>7</v>
      </c>
      <c r="KJ856" t="s">
        <v>2308</v>
      </c>
      <c r="KK856" t="s">
        <v>222</v>
      </c>
      <c r="KL856" s="8" t="s">
        <v>1922</v>
      </c>
      <c r="KO856" t="s">
        <v>219</v>
      </c>
      <c r="KP856" t="s">
        <v>2335</v>
      </c>
      <c r="KW856" t="s">
        <v>2334</v>
      </c>
      <c r="KX856" t="s">
        <v>2305</v>
      </c>
      <c r="LD856" t="s">
        <v>13</v>
      </c>
      <c r="LE856">
        <v>1900</v>
      </c>
      <c r="LM856" t="s">
        <v>2304</v>
      </c>
      <c r="LN856" t="s">
        <v>2303</v>
      </c>
      <c r="LO856">
        <v>30</v>
      </c>
      <c r="LU856" t="s">
        <v>2333</v>
      </c>
      <c r="LV856" t="s">
        <v>2301</v>
      </c>
      <c r="LZ856" t="s">
        <v>1925</v>
      </c>
      <c r="MA856">
        <v>1530</v>
      </c>
      <c r="MB856" t="s">
        <v>2300</v>
      </c>
      <c r="MH856" t="s">
        <v>2332</v>
      </c>
      <c r="MJ856" s="58">
        <v>40299</v>
      </c>
      <c r="MZ856" t="s">
        <v>2298</v>
      </c>
      <c r="NA856">
        <v>1435</v>
      </c>
      <c r="NB856" t="s">
        <v>2331</v>
      </c>
      <c r="NC856" s="2" t="s">
        <v>2296</v>
      </c>
      <c r="ND856" s="2" t="s">
        <v>2296</v>
      </c>
      <c r="NE856" s="2"/>
      <c r="NF856" s="2"/>
      <c r="NK856" t="s">
        <v>2361</v>
      </c>
      <c r="NL856" t="s">
        <v>2360</v>
      </c>
      <c r="NM856" t="s">
        <v>2359</v>
      </c>
      <c r="NV856" t="s">
        <v>64</v>
      </c>
      <c r="NW856" t="s">
        <v>6</v>
      </c>
      <c r="NX856">
        <v>1.4</v>
      </c>
      <c r="NY856" t="s">
        <v>29</v>
      </c>
      <c r="OC856">
        <v>3</v>
      </c>
      <c r="OT856" t="s">
        <v>2358</v>
      </c>
      <c r="OU856" t="s">
        <v>6</v>
      </c>
      <c r="OW856">
        <v>2011</v>
      </c>
      <c r="OX856">
        <v>2012</v>
      </c>
      <c r="OY856" t="s">
        <v>2311</v>
      </c>
      <c r="OZ856" t="s">
        <v>2373</v>
      </c>
      <c r="PA856" t="s">
        <v>1169</v>
      </c>
      <c r="PB856" s="58">
        <v>46136</v>
      </c>
    </row>
    <row r="857" spans="1:418" ht="15.75" thickBot="1">
      <c r="A857" t="s">
        <v>248</v>
      </c>
      <c r="B857" t="s">
        <v>2327</v>
      </c>
      <c r="C857" t="s">
        <v>1885</v>
      </c>
      <c r="D857" t="s">
        <v>1936</v>
      </c>
      <c r="E857" s="90" t="s">
        <v>2326</v>
      </c>
      <c r="F857" s="89" t="s">
        <v>31</v>
      </c>
      <c r="G857" t="s">
        <v>2</v>
      </c>
      <c r="H857" t="s">
        <v>30</v>
      </c>
      <c r="I857">
        <v>23.983611109999998</v>
      </c>
      <c r="J857">
        <v>90.402222219999999</v>
      </c>
      <c r="K857" t="s">
        <v>29</v>
      </c>
      <c r="AV857" t="s">
        <v>2325</v>
      </c>
      <c r="AW857">
        <f t="shared" si="2"/>
        <v>1435</v>
      </c>
      <c r="AX857" t="s">
        <v>29</v>
      </c>
      <c r="AY857">
        <v>3</v>
      </c>
      <c r="AZ857" t="s">
        <v>2324</v>
      </c>
      <c r="BA857">
        <v>2009</v>
      </c>
      <c r="BB857">
        <v>2012</v>
      </c>
      <c r="BC857">
        <v>2009.2</v>
      </c>
      <c r="BD857" t="s">
        <v>274</v>
      </c>
      <c r="BE857" t="s">
        <v>2313</v>
      </c>
      <c r="BF857" t="s">
        <v>64</v>
      </c>
      <c r="BG857" t="s">
        <v>1233</v>
      </c>
      <c r="BH857" t="s">
        <v>1894</v>
      </c>
      <c r="BI857" t="s">
        <v>2323</v>
      </c>
      <c r="BJ857" t="s">
        <v>2262</v>
      </c>
      <c r="BK857">
        <v>1614</v>
      </c>
      <c r="BL857" t="s">
        <v>275</v>
      </c>
      <c r="BM857" t="s">
        <v>23</v>
      </c>
      <c r="BN857" t="s">
        <v>2322</v>
      </c>
      <c r="BO857" t="s">
        <v>2262</v>
      </c>
      <c r="BP857">
        <v>20</v>
      </c>
      <c r="BQ857" t="s">
        <v>275</v>
      </c>
      <c r="BR857" t="s">
        <v>1917</v>
      </c>
      <c r="BS857" t="s">
        <v>2321</v>
      </c>
      <c r="BT857" t="s">
        <v>2262</v>
      </c>
      <c r="BU857">
        <v>30</v>
      </c>
      <c r="BV857" t="s">
        <v>275</v>
      </c>
      <c r="BW857" t="s">
        <v>2319</v>
      </c>
      <c r="BX857" t="s">
        <v>2320</v>
      </c>
      <c r="BY857" t="s">
        <v>2262</v>
      </c>
      <c r="BZ857">
        <v>35</v>
      </c>
      <c r="CA857" t="s">
        <v>275</v>
      </c>
      <c r="CB857" t="s">
        <v>2319</v>
      </c>
      <c r="CC857" t="s">
        <v>2318</v>
      </c>
      <c r="CD857" t="s">
        <v>2262</v>
      </c>
      <c r="CE857">
        <v>19</v>
      </c>
      <c r="HL857" t="s">
        <v>2317</v>
      </c>
      <c r="HM857" t="s">
        <v>2316</v>
      </c>
      <c r="HP857" t="s">
        <v>29</v>
      </c>
      <c r="HQ857">
        <v>9</v>
      </c>
      <c r="HR857" t="s">
        <v>2315</v>
      </c>
      <c r="HT857" t="s">
        <v>2314</v>
      </c>
      <c r="HU857" s="58">
        <v>40153</v>
      </c>
      <c r="IP857" t="s">
        <v>2313</v>
      </c>
      <c r="IQ857" t="s">
        <v>2312</v>
      </c>
      <c r="IT857">
        <v>2009</v>
      </c>
      <c r="IU857" t="s">
        <v>2311</v>
      </c>
      <c r="IV857" s="4" t="s">
        <v>1879</v>
      </c>
      <c r="JM857" t="s">
        <v>14</v>
      </c>
      <c r="KF857" t="s">
        <v>2310</v>
      </c>
      <c r="KG857" t="s">
        <v>1548</v>
      </c>
      <c r="KH857" t="s">
        <v>2309</v>
      </c>
      <c r="KI857">
        <v>4</v>
      </c>
      <c r="KJ857" t="s">
        <v>2308</v>
      </c>
      <c r="KK857" t="s">
        <v>2152</v>
      </c>
      <c r="KO857" t="s">
        <v>219</v>
      </c>
      <c r="KP857" t="s">
        <v>2307</v>
      </c>
      <c r="KW857" t="s">
        <v>2306</v>
      </c>
      <c r="KX857" t="s">
        <v>2305</v>
      </c>
      <c r="LD857" t="s">
        <v>13</v>
      </c>
      <c r="LE857">
        <v>1600</v>
      </c>
      <c r="LM857" t="s">
        <v>2304</v>
      </c>
      <c r="LN857" t="s">
        <v>2303</v>
      </c>
      <c r="LO857">
        <v>30</v>
      </c>
      <c r="LU857" t="s">
        <v>2302</v>
      </c>
      <c r="LV857" t="s">
        <v>2301</v>
      </c>
      <c r="LZ857" t="s">
        <v>1925</v>
      </c>
      <c r="MA857">
        <v>805</v>
      </c>
      <c r="MB857" t="s">
        <v>2300</v>
      </c>
      <c r="MH857" t="s">
        <v>2299</v>
      </c>
      <c r="MJ857" s="58">
        <v>40224</v>
      </c>
      <c r="MZ857" t="s">
        <v>2298</v>
      </c>
      <c r="NA857">
        <v>1435</v>
      </c>
      <c r="NB857" t="s">
        <v>2297</v>
      </c>
      <c r="NC857" s="2"/>
      <c r="ND857" s="2" t="s">
        <v>2296</v>
      </c>
      <c r="NE857" t="s">
        <v>1894</v>
      </c>
      <c r="NF857" s="2" t="s">
        <v>1917</v>
      </c>
      <c r="NK857" t="s">
        <v>2361</v>
      </c>
      <c r="NL857" t="s">
        <v>2360</v>
      </c>
      <c r="NM857" t="s">
        <v>2359</v>
      </c>
      <c r="NW857" t="s">
        <v>6</v>
      </c>
      <c r="NX857">
        <v>1.2</v>
      </c>
      <c r="NY857" t="s">
        <v>29</v>
      </c>
      <c r="OC857">
        <v>3</v>
      </c>
      <c r="OT857" t="s">
        <v>2358</v>
      </c>
      <c r="OU857" t="s">
        <v>6</v>
      </c>
      <c r="OW857">
        <v>2011</v>
      </c>
      <c r="OX857">
        <v>2012</v>
      </c>
      <c r="OY857" t="s">
        <v>2311</v>
      </c>
      <c r="OZ857" t="s">
        <v>2373</v>
      </c>
      <c r="PA857" t="s">
        <v>1169</v>
      </c>
      <c r="PB857" s="58">
        <v>46136</v>
      </c>
    </row>
    <row r="858" spans="1:418" ht="15.75" thickBot="1">
      <c r="A858" t="s">
        <v>248</v>
      </c>
      <c r="B858" t="s">
        <v>2327</v>
      </c>
      <c r="C858" t="s">
        <v>1885</v>
      </c>
      <c r="D858" t="s">
        <v>1936</v>
      </c>
      <c r="E858" s="90" t="s">
        <v>2326</v>
      </c>
      <c r="F858" s="89" t="s">
        <v>31</v>
      </c>
      <c r="G858" t="s">
        <v>2</v>
      </c>
      <c r="H858" t="s">
        <v>30</v>
      </c>
      <c r="I858">
        <v>23.983611109999998</v>
      </c>
      <c r="J858">
        <v>90.402222219999999</v>
      </c>
      <c r="K858" t="s">
        <v>29</v>
      </c>
      <c r="AV858" t="s">
        <v>2325</v>
      </c>
      <c r="AW858">
        <f t="shared" si="2"/>
        <v>1435</v>
      </c>
      <c r="AX858" t="s">
        <v>29</v>
      </c>
      <c r="AY858">
        <v>3</v>
      </c>
      <c r="AZ858" t="s">
        <v>2324</v>
      </c>
      <c r="BA858">
        <v>2009</v>
      </c>
      <c r="BB858">
        <v>2012</v>
      </c>
      <c r="BC858">
        <v>2009.2</v>
      </c>
      <c r="BD858" t="s">
        <v>19</v>
      </c>
      <c r="BE858" t="s">
        <v>2354</v>
      </c>
      <c r="BF858" t="s">
        <v>39</v>
      </c>
      <c r="BG858" t="s">
        <v>1233</v>
      </c>
      <c r="BH858" t="s">
        <v>2319</v>
      </c>
      <c r="BI858" t="s">
        <v>2342</v>
      </c>
      <c r="BJ858" t="s">
        <v>2262</v>
      </c>
      <c r="BK858">
        <v>45</v>
      </c>
      <c r="BL858" t="s">
        <v>275</v>
      </c>
      <c r="BM858" t="s">
        <v>2319</v>
      </c>
      <c r="BN858" t="s">
        <v>2355</v>
      </c>
      <c r="BO858" t="s">
        <v>2262</v>
      </c>
      <c r="BP858">
        <v>49</v>
      </c>
      <c r="BQ858" t="s">
        <v>275</v>
      </c>
      <c r="BR858" t="s">
        <v>2319</v>
      </c>
      <c r="BS858" t="s">
        <v>2341</v>
      </c>
      <c r="BT858" t="s">
        <v>2262</v>
      </c>
      <c r="BU858">
        <v>49</v>
      </c>
      <c r="HL858" t="s">
        <v>2350</v>
      </c>
      <c r="HM858" t="s">
        <v>297</v>
      </c>
      <c r="HN858" t="s">
        <v>2349</v>
      </c>
      <c r="HP858" t="s">
        <v>29</v>
      </c>
      <c r="HQ858">
        <v>12</v>
      </c>
      <c r="HR858" t="s">
        <v>2348</v>
      </c>
      <c r="HT858" t="s">
        <v>2314</v>
      </c>
      <c r="HU858" s="58">
        <v>40202</v>
      </c>
      <c r="HV858" s="58"/>
      <c r="IP858" t="s">
        <v>2354</v>
      </c>
      <c r="IQ858" s="54" t="s">
        <v>2337</v>
      </c>
      <c r="IT858">
        <v>2009</v>
      </c>
      <c r="IU858" t="s">
        <v>2311</v>
      </c>
      <c r="IV858" s="4" t="s">
        <v>1879</v>
      </c>
      <c r="JM858" t="s">
        <v>14</v>
      </c>
      <c r="KF858" t="s">
        <v>2353</v>
      </c>
      <c r="KG858" t="s">
        <v>1548</v>
      </c>
      <c r="KH858" t="s">
        <v>2309</v>
      </c>
      <c r="KI858">
        <v>3</v>
      </c>
      <c r="KJ858" t="s">
        <v>2308</v>
      </c>
      <c r="KK858" t="s">
        <v>2152</v>
      </c>
      <c r="KO858" t="s">
        <v>219</v>
      </c>
      <c r="KP858" s="8" t="s">
        <v>2357</v>
      </c>
      <c r="KW858" t="s">
        <v>2352</v>
      </c>
      <c r="KX858" t="s">
        <v>2305</v>
      </c>
      <c r="LD858" t="s">
        <v>13</v>
      </c>
      <c r="LE858">
        <v>1500</v>
      </c>
      <c r="LM858" t="s">
        <v>2304</v>
      </c>
      <c r="LN858" t="s">
        <v>2303</v>
      </c>
      <c r="LO858">
        <v>7.5</v>
      </c>
      <c r="LU858" t="s">
        <v>2351</v>
      </c>
      <c r="LV858" t="s">
        <v>2301</v>
      </c>
      <c r="LZ858" t="s">
        <v>1925</v>
      </c>
      <c r="MA858">
        <v>2084</v>
      </c>
      <c r="MB858" t="s">
        <v>2300</v>
      </c>
      <c r="MH858" t="s">
        <v>2332</v>
      </c>
      <c r="MJ858" s="58">
        <v>40292</v>
      </c>
      <c r="MZ858" t="s">
        <v>2298</v>
      </c>
      <c r="NA858">
        <v>1435</v>
      </c>
      <c r="NB858" t="s">
        <v>2331</v>
      </c>
      <c r="NC858" s="2" t="s">
        <v>2296</v>
      </c>
      <c r="ND858" s="2" t="s">
        <v>2296</v>
      </c>
      <c r="NE858" s="2"/>
      <c r="NF858" s="2"/>
      <c r="NJ858" t="s">
        <v>2295</v>
      </c>
      <c r="NK858" t="s">
        <v>2330</v>
      </c>
      <c r="NL858" t="s">
        <v>2329</v>
      </c>
      <c r="NM858" s="4" t="s">
        <v>1947</v>
      </c>
      <c r="NN858" t="s">
        <v>2328</v>
      </c>
      <c r="NV858" t="s">
        <v>2343</v>
      </c>
      <c r="NW858" t="s">
        <v>6</v>
      </c>
      <c r="NX858">
        <v>5</v>
      </c>
      <c r="NY858" t="s">
        <v>29</v>
      </c>
      <c r="OC858">
        <v>3</v>
      </c>
      <c r="OT858" t="s">
        <v>2294</v>
      </c>
      <c r="OU858" t="s">
        <v>6</v>
      </c>
      <c r="OW858">
        <v>2009</v>
      </c>
      <c r="OX858">
        <v>2010</v>
      </c>
      <c r="OY858" t="s">
        <v>2311</v>
      </c>
      <c r="OZ858" t="s">
        <v>2373</v>
      </c>
      <c r="PA858" t="s">
        <v>1169</v>
      </c>
      <c r="PB858" s="58">
        <v>46136</v>
      </c>
    </row>
    <row r="859" spans="1:418" ht="15.75" thickBot="1">
      <c r="A859" t="s">
        <v>248</v>
      </c>
      <c r="B859" t="s">
        <v>2327</v>
      </c>
      <c r="C859" t="s">
        <v>1885</v>
      </c>
      <c r="D859" t="s">
        <v>1936</v>
      </c>
      <c r="E859" s="90" t="s">
        <v>2326</v>
      </c>
      <c r="F859" s="89" t="s">
        <v>31</v>
      </c>
      <c r="G859" t="s">
        <v>2</v>
      </c>
      <c r="H859" t="s">
        <v>30</v>
      </c>
      <c r="I859">
        <v>23.983611109999998</v>
      </c>
      <c r="J859">
        <v>90.402222219999999</v>
      </c>
      <c r="K859" t="s">
        <v>29</v>
      </c>
      <c r="AV859" t="s">
        <v>2325</v>
      </c>
      <c r="AW859">
        <f t="shared" si="2"/>
        <v>1435</v>
      </c>
      <c r="AX859" t="s">
        <v>29</v>
      </c>
      <c r="AY859">
        <v>3</v>
      </c>
      <c r="AZ859" t="s">
        <v>2324</v>
      </c>
      <c r="BA859">
        <v>2009</v>
      </c>
      <c r="BB859">
        <v>2012</v>
      </c>
      <c r="BC859">
        <v>2009.2</v>
      </c>
      <c r="BD859" t="s">
        <v>19</v>
      </c>
      <c r="BE859" t="s">
        <v>2347</v>
      </c>
      <c r="BF859" t="s">
        <v>24</v>
      </c>
      <c r="BG859" t="s">
        <v>1233</v>
      </c>
      <c r="BH859" t="s">
        <v>2319</v>
      </c>
      <c r="BI859" t="s">
        <v>2342</v>
      </c>
      <c r="BJ859" t="s">
        <v>2262</v>
      </c>
      <c r="BK859">
        <v>30</v>
      </c>
      <c r="BL859" t="s">
        <v>275</v>
      </c>
      <c r="BM859" t="s">
        <v>2319</v>
      </c>
      <c r="BN859" t="s">
        <v>2341</v>
      </c>
      <c r="BO859" t="s">
        <v>2262</v>
      </c>
      <c r="BP859">
        <v>35</v>
      </c>
      <c r="HL859" t="s">
        <v>2350</v>
      </c>
      <c r="HM859" t="s">
        <v>297</v>
      </c>
      <c r="HN859" t="s">
        <v>2349</v>
      </c>
      <c r="HP859" t="s">
        <v>29</v>
      </c>
      <c r="HQ859">
        <v>12</v>
      </c>
      <c r="HR859" t="s">
        <v>2348</v>
      </c>
      <c r="HT859" t="s">
        <v>2314</v>
      </c>
      <c r="HU859" s="58">
        <v>40192</v>
      </c>
      <c r="HV859" s="58"/>
      <c r="IP859" t="s">
        <v>2347</v>
      </c>
      <c r="IQ859" s="54" t="s">
        <v>2337</v>
      </c>
      <c r="IT859">
        <v>2009</v>
      </c>
      <c r="IU859" t="s">
        <v>2311</v>
      </c>
      <c r="IV859" s="4" t="s">
        <v>1879</v>
      </c>
      <c r="JM859" t="s">
        <v>14</v>
      </c>
      <c r="KF859" t="s">
        <v>2346</v>
      </c>
      <c r="KG859" t="s">
        <v>1548</v>
      </c>
      <c r="KH859" t="s">
        <v>2309</v>
      </c>
      <c r="KI859">
        <v>6</v>
      </c>
      <c r="KJ859" t="s">
        <v>2308</v>
      </c>
      <c r="KK859" t="s">
        <v>222</v>
      </c>
      <c r="KL859" s="8" t="s">
        <v>1922</v>
      </c>
      <c r="KO859" t="s">
        <v>219</v>
      </c>
      <c r="KP859" t="s">
        <v>2335</v>
      </c>
      <c r="KW859" t="s">
        <v>2345</v>
      </c>
      <c r="KX859" t="s">
        <v>2305</v>
      </c>
      <c r="LD859" t="s">
        <v>13</v>
      </c>
      <c r="LE859">
        <v>2200</v>
      </c>
      <c r="LM859" t="s">
        <v>2304</v>
      </c>
      <c r="LN859" t="s">
        <v>2303</v>
      </c>
      <c r="LO859">
        <v>30</v>
      </c>
      <c r="LU859" t="s">
        <v>2344</v>
      </c>
      <c r="LV859" t="s">
        <v>2301</v>
      </c>
      <c r="LZ859" t="s">
        <v>1925</v>
      </c>
      <c r="MA859">
        <v>1789</v>
      </c>
      <c r="MB859" t="s">
        <v>2300</v>
      </c>
      <c r="MH859" t="s">
        <v>2332</v>
      </c>
      <c r="MJ859" s="58">
        <v>40298</v>
      </c>
      <c r="MZ859" t="s">
        <v>2298</v>
      </c>
      <c r="NA859">
        <v>1435</v>
      </c>
      <c r="NB859" t="s">
        <v>2331</v>
      </c>
      <c r="NC859" s="2" t="s">
        <v>2296</v>
      </c>
      <c r="ND859" s="2" t="s">
        <v>2296</v>
      </c>
      <c r="NE859" s="2"/>
      <c r="NF859" s="2"/>
      <c r="NJ859" t="s">
        <v>2295</v>
      </c>
      <c r="NK859" t="s">
        <v>2330</v>
      </c>
      <c r="NL859" t="s">
        <v>2329</v>
      </c>
      <c r="NM859" s="4" t="s">
        <v>1947</v>
      </c>
      <c r="NN859" t="s">
        <v>2328</v>
      </c>
      <c r="NV859" t="s">
        <v>2343</v>
      </c>
      <c r="NW859" t="s">
        <v>6</v>
      </c>
      <c r="NX859">
        <v>4.3</v>
      </c>
      <c r="NY859" t="s">
        <v>29</v>
      </c>
      <c r="OC859">
        <v>3</v>
      </c>
      <c r="OT859" t="s">
        <v>2294</v>
      </c>
      <c r="OU859" t="s">
        <v>6</v>
      </c>
      <c r="OW859">
        <v>2009</v>
      </c>
      <c r="OX859">
        <v>2010</v>
      </c>
      <c r="OY859" t="s">
        <v>2311</v>
      </c>
      <c r="OZ859" t="s">
        <v>2373</v>
      </c>
      <c r="PA859" t="s">
        <v>1169</v>
      </c>
      <c r="PB859" s="58">
        <v>46136</v>
      </c>
    </row>
    <row r="860" spans="1:418" ht="15.75" thickBot="1">
      <c r="A860" t="s">
        <v>248</v>
      </c>
      <c r="B860" t="s">
        <v>2327</v>
      </c>
      <c r="C860" t="s">
        <v>1885</v>
      </c>
      <c r="D860" t="s">
        <v>1936</v>
      </c>
      <c r="E860" s="90" t="s">
        <v>2326</v>
      </c>
      <c r="F860" s="89" t="s">
        <v>31</v>
      </c>
      <c r="G860" t="s">
        <v>2</v>
      </c>
      <c r="H860" t="s">
        <v>30</v>
      </c>
      <c r="I860">
        <v>23.983611109999998</v>
      </c>
      <c r="J860">
        <v>90.402222219999999</v>
      </c>
      <c r="K860" t="s">
        <v>29</v>
      </c>
      <c r="AV860" t="s">
        <v>2325</v>
      </c>
      <c r="AW860">
        <f t="shared" si="2"/>
        <v>1435</v>
      </c>
      <c r="AX860" t="s">
        <v>29</v>
      </c>
      <c r="AY860">
        <v>3</v>
      </c>
      <c r="AZ860" t="s">
        <v>2324</v>
      </c>
      <c r="BA860">
        <v>2009</v>
      </c>
      <c r="BB860">
        <v>2012</v>
      </c>
      <c r="BC860">
        <v>2009.2</v>
      </c>
      <c r="BD860" t="s">
        <v>19</v>
      </c>
      <c r="BE860" t="s">
        <v>2338</v>
      </c>
      <c r="BF860" t="s">
        <v>299</v>
      </c>
      <c r="BG860" t="s">
        <v>1233</v>
      </c>
      <c r="BH860" t="s">
        <v>2319</v>
      </c>
      <c r="BI860" t="s">
        <v>2342</v>
      </c>
      <c r="BJ860" t="s">
        <v>2262</v>
      </c>
      <c r="BK860">
        <v>30</v>
      </c>
      <c r="BL860" t="s">
        <v>275</v>
      </c>
      <c r="BM860" t="s">
        <v>2319</v>
      </c>
      <c r="BN860" t="s">
        <v>2341</v>
      </c>
      <c r="BO860" t="s">
        <v>2262</v>
      </c>
      <c r="BP860">
        <v>19</v>
      </c>
      <c r="HL860" t="s">
        <v>2340</v>
      </c>
      <c r="HM860" t="s">
        <v>2316</v>
      </c>
      <c r="HP860" t="s">
        <v>29</v>
      </c>
      <c r="HQ860">
        <v>4</v>
      </c>
      <c r="HR860" t="s">
        <v>2339</v>
      </c>
      <c r="HT860" t="s">
        <v>2314</v>
      </c>
      <c r="HU860" s="58">
        <v>40192</v>
      </c>
      <c r="HV860" s="58"/>
      <c r="IP860" t="s">
        <v>2338</v>
      </c>
      <c r="IQ860" s="54" t="s">
        <v>2337</v>
      </c>
      <c r="IT860">
        <v>2009</v>
      </c>
      <c r="IU860" t="s">
        <v>2311</v>
      </c>
      <c r="IV860" s="4" t="s">
        <v>1879</v>
      </c>
      <c r="JM860" t="s">
        <v>14</v>
      </c>
      <c r="KF860" t="s">
        <v>2336</v>
      </c>
      <c r="KG860" t="s">
        <v>1548</v>
      </c>
      <c r="KH860" t="s">
        <v>2309</v>
      </c>
      <c r="KI860">
        <v>7</v>
      </c>
      <c r="KJ860" t="s">
        <v>2308</v>
      </c>
      <c r="KK860" t="s">
        <v>222</v>
      </c>
      <c r="KL860" s="8" t="s">
        <v>1922</v>
      </c>
      <c r="KO860" t="s">
        <v>219</v>
      </c>
      <c r="KP860" t="s">
        <v>2335</v>
      </c>
      <c r="KW860" t="s">
        <v>2334</v>
      </c>
      <c r="KX860" t="s">
        <v>2305</v>
      </c>
      <c r="LD860" t="s">
        <v>13</v>
      </c>
      <c r="LE860">
        <v>2600</v>
      </c>
      <c r="LM860" t="s">
        <v>2304</v>
      </c>
      <c r="LN860" t="s">
        <v>2303</v>
      </c>
      <c r="LO860">
        <v>30</v>
      </c>
      <c r="LU860" t="s">
        <v>2333</v>
      </c>
      <c r="LV860" t="s">
        <v>2301</v>
      </c>
      <c r="LZ860" t="s">
        <v>1925</v>
      </c>
      <c r="MA860">
        <v>1898</v>
      </c>
      <c r="MB860" t="s">
        <v>2300</v>
      </c>
      <c r="MH860" t="s">
        <v>2332</v>
      </c>
      <c r="MJ860" s="58">
        <v>40299</v>
      </c>
      <c r="MZ860" t="s">
        <v>2298</v>
      </c>
      <c r="NA860">
        <v>1435</v>
      </c>
      <c r="NB860" t="s">
        <v>2331</v>
      </c>
      <c r="NC860" s="2" t="s">
        <v>2296</v>
      </c>
      <c r="ND860" s="2" t="s">
        <v>2296</v>
      </c>
      <c r="NE860" s="2"/>
      <c r="NF860" s="2"/>
      <c r="NJ860" t="s">
        <v>2295</v>
      </c>
      <c r="NK860" t="s">
        <v>2330</v>
      </c>
      <c r="NL860" t="s">
        <v>2329</v>
      </c>
      <c r="NM860" s="4" t="s">
        <v>1947</v>
      </c>
      <c r="NN860" t="s">
        <v>2328</v>
      </c>
      <c r="NV860" t="s">
        <v>64</v>
      </c>
      <c r="NW860" t="s">
        <v>6</v>
      </c>
      <c r="NX860">
        <v>4.4000000000000004</v>
      </c>
      <c r="NY860" t="s">
        <v>29</v>
      </c>
      <c r="OC860">
        <v>3</v>
      </c>
      <c r="OT860" t="s">
        <v>2294</v>
      </c>
      <c r="OU860" t="s">
        <v>6</v>
      </c>
      <c r="OW860">
        <v>2009</v>
      </c>
      <c r="OX860">
        <v>2010</v>
      </c>
      <c r="OY860" t="s">
        <v>2311</v>
      </c>
      <c r="OZ860" t="s">
        <v>2373</v>
      </c>
      <c r="PA860" t="s">
        <v>1169</v>
      </c>
      <c r="PB860" s="58">
        <v>46136</v>
      </c>
    </row>
    <row r="861" spans="1:418" ht="15.75" thickBot="1">
      <c r="A861" t="s">
        <v>248</v>
      </c>
      <c r="B861" t="s">
        <v>2327</v>
      </c>
      <c r="C861" t="s">
        <v>1885</v>
      </c>
      <c r="D861" t="s">
        <v>1936</v>
      </c>
      <c r="E861" s="90" t="s">
        <v>2326</v>
      </c>
      <c r="F861" s="89" t="s">
        <v>31</v>
      </c>
      <c r="G861" t="s">
        <v>2</v>
      </c>
      <c r="H861" t="s">
        <v>30</v>
      </c>
      <c r="I861">
        <v>23.983611109999998</v>
      </c>
      <c r="J861">
        <v>90.402222219999999</v>
      </c>
      <c r="K861" t="s">
        <v>29</v>
      </c>
      <c r="AV861" t="s">
        <v>2325</v>
      </c>
      <c r="AW861">
        <f t="shared" si="2"/>
        <v>1435</v>
      </c>
      <c r="AX861" t="s">
        <v>29</v>
      </c>
      <c r="AY861">
        <v>3</v>
      </c>
      <c r="AZ861" t="s">
        <v>2324</v>
      </c>
      <c r="BA861">
        <v>2009</v>
      </c>
      <c r="BB861">
        <v>2012</v>
      </c>
      <c r="BC861">
        <v>2009.2</v>
      </c>
      <c r="BD861" t="s">
        <v>274</v>
      </c>
      <c r="BE861" t="s">
        <v>2313</v>
      </c>
      <c r="BF861" t="s">
        <v>64</v>
      </c>
      <c r="BG861" t="s">
        <v>1233</v>
      </c>
      <c r="BH861" t="s">
        <v>1894</v>
      </c>
      <c r="BI861" t="s">
        <v>2323</v>
      </c>
      <c r="BJ861" t="s">
        <v>2262</v>
      </c>
      <c r="BK861">
        <v>1614</v>
      </c>
      <c r="BL861" t="s">
        <v>275</v>
      </c>
      <c r="BM861" t="s">
        <v>23</v>
      </c>
      <c r="BN861" t="s">
        <v>2322</v>
      </c>
      <c r="BO861" t="s">
        <v>2262</v>
      </c>
      <c r="BP861">
        <v>20</v>
      </c>
      <c r="BQ861" t="s">
        <v>275</v>
      </c>
      <c r="BR861" t="s">
        <v>1917</v>
      </c>
      <c r="BS861" t="s">
        <v>2321</v>
      </c>
      <c r="BT861" t="s">
        <v>2262</v>
      </c>
      <c r="BU861">
        <v>30</v>
      </c>
      <c r="BV861" t="s">
        <v>275</v>
      </c>
      <c r="BW861" t="s">
        <v>2319</v>
      </c>
      <c r="BX861" t="s">
        <v>2320</v>
      </c>
      <c r="BY861" t="s">
        <v>2262</v>
      </c>
      <c r="BZ861">
        <v>35</v>
      </c>
      <c r="CA861" t="s">
        <v>275</v>
      </c>
      <c r="CB861" t="s">
        <v>2319</v>
      </c>
      <c r="CC861" t="s">
        <v>2318</v>
      </c>
      <c r="CD861" t="s">
        <v>2262</v>
      </c>
      <c r="CE861">
        <v>19</v>
      </c>
      <c r="HL861" t="s">
        <v>2317</v>
      </c>
      <c r="HM861" t="s">
        <v>2316</v>
      </c>
      <c r="HP861" t="s">
        <v>29</v>
      </c>
      <c r="HQ861">
        <v>9</v>
      </c>
      <c r="HR861" t="s">
        <v>2315</v>
      </c>
      <c r="HT861" t="s">
        <v>2314</v>
      </c>
      <c r="HU861" s="58">
        <v>40153</v>
      </c>
      <c r="IP861" t="s">
        <v>2313</v>
      </c>
      <c r="IQ861" t="s">
        <v>2312</v>
      </c>
      <c r="IT861">
        <v>2009</v>
      </c>
      <c r="IU861" t="s">
        <v>2311</v>
      </c>
      <c r="IV861" s="4" t="s">
        <v>1879</v>
      </c>
      <c r="JM861" t="s">
        <v>14</v>
      </c>
      <c r="KF861" t="s">
        <v>2310</v>
      </c>
      <c r="KG861" t="s">
        <v>1548</v>
      </c>
      <c r="KH861" t="s">
        <v>2309</v>
      </c>
      <c r="KI861">
        <v>4</v>
      </c>
      <c r="KJ861" t="s">
        <v>2308</v>
      </c>
      <c r="KK861" t="s">
        <v>2152</v>
      </c>
      <c r="KO861" t="s">
        <v>219</v>
      </c>
      <c r="KP861" t="s">
        <v>2307</v>
      </c>
      <c r="KW861" t="s">
        <v>2306</v>
      </c>
      <c r="KX861" t="s">
        <v>2305</v>
      </c>
      <c r="LD861" t="s">
        <v>13</v>
      </c>
      <c r="LE861">
        <v>4600</v>
      </c>
      <c r="LM861" t="s">
        <v>2304</v>
      </c>
      <c r="LN861" t="s">
        <v>2303</v>
      </c>
      <c r="LO861">
        <v>30</v>
      </c>
      <c r="LU861" t="s">
        <v>2302</v>
      </c>
      <c r="LV861" t="s">
        <v>2301</v>
      </c>
      <c r="LZ861" t="s">
        <v>1925</v>
      </c>
      <c r="MA861">
        <v>1426</v>
      </c>
      <c r="MB861" t="s">
        <v>2300</v>
      </c>
      <c r="MH861" t="s">
        <v>2299</v>
      </c>
      <c r="MJ861" s="58">
        <v>40224</v>
      </c>
      <c r="MZ861" t="s">
        <v>2298</v>
      </c>
      <c r="NA861">
        <v>1435</v>
      </c>
      <c r="NB861" t="s">
        <v>2297</v>
      </c>
      <c r="NC861" s="2"/>
      <c r="ND861" s="2" t="s">
        <v>2296</v>
      </c>
      <c r="NE861" t="s">
        <v>1894</v>
      </c>
      <c r="NF861" s="2" t="s">
        <v>168</v>
      </c>
      <c r="NJ861" t="s">
        <v>2295</v>
      </c>
      <c r="NK861" t="s">
        <v>2330</v>
      </c>
      <c r="NL861" t="s">
        <v>2329</v>
      </c>
      <c r="NM861" s="4" t="s">
        <v>1947</v>
      </c>
      <c r="NN861" t="s">
        <v>2328</v>
      </c>
      <c r="NW861" t="s">
        <v>6</v>
      </c>
      <c r="NX861">
        <v>1.7</v>
      </c>
      <c r="NY861" t="s">
        <v>29</v>
      </c>
      <c r="OC861">
        <v>3</v>
      </c>
      <c r="OT861" t="s">
        <v>2294</v>
      </c>
      <c r="OU861" t="s">
        <v>6</v>
      </c>
      <c r="OW861">
        <v>2009</v>
      </c>
      <c r="OX861">
        <v>2010</v>
      </c>
      <c r="OY861" t="s">
        <v>2311</v>
      </c>
      <c r="OZ861" t="s">
        <v>2373</v>
      </c>
      <c r="PA861" t="s">
        <v>1169</v>
      </c>
      <c r="PB861" s="58">
        <v>46136</v>
      </c>
    </row>
    <row r="862" spans="1:418" ht="15.75" thickBot="1">
      <c r="A862" t="s">
        <v>248</v>
      </c>
      <c r="B862" t="s">
        <v>2327</v>
      </c>
      <c r="C862" t="s">
        <v>1885</v>
      </c>
      <c r="D862" t="s">
        <v>1936</v>
      </c>
      <c r="E862" s="90" t="s">
        <v>2326</v>
      </c>
      <c r="F862" s="89" t="s">
        <v>31</v>
      </c>
      <c r="G862" t="s">
        <v>2</v>
      </c>
      <c r="H862" t="s">
        <v>30</v>
      </c>
      <c r="I862">
        <v>23.983611109999998</v>
      </c>
      <c r="J862">
        <v>90.402222219999999</v>
      </c>
      <c r="K862" t="s">
        <v>29</v>
      </c>
      <c r="AV862" t="s">
        <v>2325</v>
      </c>
      <c r="AW862">
        <f t="shared" si="2"/>
        <v>1435</v>
      </c>
      <c r="AX862" t="s">
        <v>29</v>
      </c>
      <c r="AY862">
        <v>3</v>
      </c>
      <c r="AZ862" t="s">
        <v>2324</v>
      </c>
      <c r="BA862">
        <v>2009</v>
      </c>
      <c r="BB862">
        <v>2012</v>
      </c>
      <c r="BC862">
        <v>2009.2</v>
      </c>
      <c r="BD862" t="s">
        <v>19</v>
      </c>
      <c r="BE862" t="s">
        <v>2354</v>
      </c>
      <c r="BF862" t="s">
        <v>39</v>
      </c>
      <c r="BG862" t="s">
        <v>1233</v>
      </c>
      <c r="BH862" t="s">
        <v>2319</v>
      </c>
      <c r="BI862" t="s">
        <v>2342</v>
      </c>
      <c r="BJ862" t="s">
        <v>2262</v>
      </c>
      <c r="BK862">
        <v>45</v>
      </c>
      <c r="BL862" t="s">
        <v>275</v>
      </c>
      <c r="BM862" t="s">
        <v>2319</v>
      </c>
      <c r="BN862" t="s">
        <v>2355</v>
      </c>
      <c r="BO862" t="s">
        <v>2262</v>
      </c>
      <c r="BP862">
        <v>49</v>
      </c>
      <c r="BQ862" t="s">
        <v>275</v>
      </c>
      <c r="BR862" t="s">
        <v>2319</v>
      </c>
      <c r="BS862" t="s">
        <v>2341</v>
      </c>
      <c r="BT862" t="s">
        <v>2262</v>
      </c>
      <c r="BU862">
        <v>49</v>
      </c>
      <c r="HL862" t="s">
        <v>2350</v>
      </c>
      <c r="HM862" t="s">
        <v>297</v>
      </c>
      <c r="HN862" t="s">
        <v>2349</v>
      </c>
      <c r="HP862" t="s">
        <v>29</v>
      </c>
      <c r="HQ862">
        <v>12</v>
      </c>
      <c r="HR862" t="s">
        <v>2348</v>
      </c>
      <c r="HT862" t="s">
        <v>2314</v>
      </c>
      <c r="HU862" s="58">
        <v>40202</v>
      </c>
      <c r="HV862" s="58"/>
      <c r="IP862" t="s">
        <v>2354</v>
      </c>
      <c r="IQ862" s="54" t="s">
        <v>2337</v>
      </c>
      <c r="IT862">
        <v>2009</v>
      </c>
      <c r="IU862" t="s">
        <v>2311</v>
      </c>
      <c r="IV862" s="4" t="s">
        <v>1879</v>
      </c>
      <c r="JM862" t="s">
        <v>14</v>
      </c>
      <c r="KF862" t="s">
        <v>2353</v>
      </c>
      <c r="KG862" t="s">
        <v>1548</v>
      </c>
      <c r="KH862" t="s">
        <v>2309</v>
      </c>
      <c r="KI862">
        <v>3</v>
      </c>
      <c r="KJ862" t="s">
        <v>2308</v>
      </c>
      <c r="KK862" t="s">
        <v>2152</v>
      </c>
      <c r="KO862" t="s">
        <v>219</v>
      </c>
      <c r="KP862" s="8" t="s">
        <v>2357</v>
      </c>
      <c r="KW862" t="s">
        <v>2352</v>
      </c>
      <c r="KX862" t="s">
        <v>2305</v>
      </c>
      <c r="LD862" t="s">
        <v>13</v>
      </c>
      <c r="LE862">
        <v>0</v>
      </c>
      <c r="LM862" t="s">
        <v>2304</v>
      </c>
      <c r="LN862" t="s">
        <v>2303</v>
      </c>
      <c r="LO862">
        <v>7.5</v>
      </c>
      <c r="LU862" t="s">
        <v>2351</v>
      </c>
      <c r="LV862" t="s">
        <v>2301</v>
      </c>
      <c r="LZ862" t="s">
        <v>1925</v>
      </c>
      <c r="MA862">
        <v>2172</v>
      </c>
      <c r="MB862" t="s">
        <v>2300</v>
      </c>
      <c r="MH862" t="s">
        <v>2332</v>
      </c>
      <c r="MJ862" s="58">
        <v>40292</v>
      </c>
      <c r="MZ862" t="s">
        <v>2298</v>
      </c>
      <c r="NA862">
        <v>1435</v>
      </c>
      <c r="NB862" t="s">
        <v>2331</v>
      </c>
      <c r="NC862" s="2" t="s">
        <v>2296</v>
      </c>
      <c r="ND862" s="2" t="s">
        <v>2296</v>
      </c>
      <c r="NE862" s="2"/>
      <c r="NF862" s="2"/>
      <c r="NJ862" t="s">
        <v>2295</v>
      </c>
      <c r="NK862" t="s">
        <v>2330</v>
      </c>
      <c r="NL862" t="s">
        <v>2329</v>
      </c>
      <c r="NM862" s="4" t="s">
        <v>1947</v>
      </c>
      <c r="NN862" t="s">
        <v>2328</v>
      </c>
      <c r="NV862" t="s">
        <v>2343</v>
      </c>
      <c r="NW862" t="s">
        <v>6</v>
      </c>
      <c r="NX862">
        <v>5.0999999999999996</v>
      </c>
      <c r="NY862" t="s">
        <v>29</v>
      </c>
      <c r="OC862">
        <v>3</v>
      </c>
      <c r="OT862" t="s">
        <v>2294</v>
      </c>
      <c r="OU862" t="s">
        <v>6</v>
      </c>
      <c r="OW862">
        <v>2010</v>
      </c>
      <c r="OX862">
        <v>2011</v>
      </c>
      <c r="OY862" t="s">
        <v>2311</v>
      </c>
      <c r="OZ862" t="s">
        <v>2373</v>
      </c>
      <c r="PA862" t="s">
        <v>1169</v>
      </c>
      <c r="PB862" s="58">
        <v>46136</v>
      </c>
    </row>
    <row r="863" spans="1:418" ht="15.75" thickBot="1">
      <c r="A863" t="s">
        <v>248</v>
      </c>
      <c r="B863" t="s">
        <v>2327</v>
      </c>
      <c r="C863" t="s">
        <v>1885</v>
      </c>
      <c r="D863" t="s">
        <v>1936</v>
      </c>
      <c r="E863" s="90" t="s">
        <v>2326</v>
      </c>
      <c r="F863" s="89" t="s">
        <v>31</v>
      </c>
      <c r="G863" t="s">
        <v>2</v>
      </c>
      <c r="H863" t="s">
        <v>30</v>
      </c>
      <c r="I863">
        <v>23.983611109999998</v>
      </c>
      <c r="J863">
        <v>90.402222219999999</v>
      </c>
      <c r="K863" t="s">
        <v>29</v>
      </c>
      <c r="AV863" t="s">
        <v>2325</v>
      </c>
      <c r="AW863">
        <f t="shared" si="2"/>
        <v>1435</v>
      </c>
      <c r="AX863" t="s">
        <v>29</v>
      </c>
      <c r="AY863">
        <v>3</v>
      </c>
      <c r="AZ863" t="s">
        <v>2324</v>
      </c>
      <c r="BA863">
        <v>2009</v>
      </c>
      <c r="BB863">
        <v>2012</v>
      </c>
      <c r="BC863">
        <v>2009.2</v>
      </c>
      <c r="BD863" t="s">
        <v>19</v>
      </c>
      <c r="BE863" t="s">
        <v>2347</v>
      </c>
      <c r="BF863" t="s">
        <v>24</v>
      </c>
      <c r="BG863" t="s">
        <v>1233</v>
      </c>
      <c r="BH863" t="s">
        <v>2319</v>
      </c>
      <c r="BI863" t="s">
        <v>2342</v>
      </c>
      <c r="BJ863" t="s">
        <v>2262</v>
      </c>
      <c r="BK863">
        <v>30</v>
      </c>
      <c r="BL863" t="s">
        <v>275</v>
      </c>
      <c r="BM863" t="s">
        <v>2319</v>
      </c>
      <c r="BN863" t="s">
        <v>2341</v>
      </c>
      <c r="BO863" t="s">
        <v>2262</v>
      </c>
      <c r="BP863">
        <v>35</v>
      </c>
      <c r="HL863" t="s">
        <v>2350</v>
      </c>
      <c r="HM863" t="s">
        <v>297</v>
      </c>
      <c r="HN863" t="s">
        <v>2349</v>
      </c>
      <c r="HP863" t="s">
        <v>29</v>
      </c>
      <c r="HQ863">
        <v>12</v>
      </c>
      <c r="HR863" t="s">
        <v>2348</v>
      </c>
      <c r="HT863" t="s">
        <v>2314</v>
      </c>
      <c r="HU863" s="58">
        <v>40192</v>
      </c>
      <c r="HV863" s="58"/>
      <c r="IP863" t="s">
        <v>2347</v>
      </c>
      <c r="IQ863" s="54" t="s">
        <v>2337</v>
      </c>
      <c r="IT863">
        <v>2009</v>
      </c>
      <c r="IU863" t="s">
        <v>2311</v>
      </c>
      <c r="IV863" s="4" t="s">
        <v>1879</v>
      </c>
      <c r="JM863" t="s">
        <v>14</v>
      </c>
      <c r="KF863" t="s">
        <v>2346</v>
      </c>
      <c r="KG863" t="s">
        <v>1548</v>
      </c>
      <c r="KH863" t="s">
        <v>2309</v>
      </c>
      <c r="KI863">
        <v>6</v>
      </c>
      <c r="KJ863" t="s">
        <v>2308</v>
      </c>
      <c r="KK863" t="s">
        <v>222</v>
      </c>
      <c r="KL863" s="8" t="s">
        <v>1922</v>
      </c>
      <c r="KO863" t="s">
        <v>219</v>
      </c>
      <c r="KP863" t="s">
        <v>2335</v>
      </c>
      <c r="KW863" t="s">
        <v>2345</v>
      </c>
      <c r="KX863" t="s">
        <v>2305</v>
      </c>
      <c r="LD863" t="s">
        <v>13</v>
      </c>
      <c r="LE863">
        <v>1600</v>
      </c>
      <c r="LM863" t="s">
        <v>2304</v>
      </c>
      <c r="LN863" t="s">
        <v>2303</v>
      </c>
      <c r="LO863">
        <v>30</v>
      </c>
      <c r="LU863" t="s">
        <v>2344</v>
      </c>
      <c r="LV863" t="s">
        <v>2301</v>
      </c>
      <c r="LZ863" t="s">
        <v>1925</v>
      </c>
      <c r="MA863">
        <v>1946</v>
      </c>
      <c r="MB863" t="s">
        <v>2300</v>
      </c>
      <c r="MH863" t="s">
        <v>2332</v>
      </c>
      <c r="MJ863" s="58">
        <v>40298</v>
      </c>
      <c r="MZ863" t="s">
        <v>2298</v>
      </c>
      <c r="NA863">
        <v>1435</v>
      </c>
      <c r="NB863" t="s">
        <v>2331</v>
      </c>
      <c r="NC863" s="2" t="s">
        <v>2296</v>
      </c>
      <c r="ND863" s="2" t="s">
        <v>2296</v>
      </c>
      <c r="NE863" s="2"/>
      <c r="NF863" s="2"/>
      <c r="NJ863" t="s">
        <v>2295</v>
      </c>
      <c r="NK863" t="s">
        <v>2330</v>
      </c>
      <c r="NL863" t="s">
        <v>2329</v>
      </c>
      <c r="NM863" s="4" t="s">
        <v>1947</v>
      </c>
      <c r="NN863" t="s">
        <v>2328</v>
      </c>
      <c r="NV863" t="s">
        <v>2343</v>
      </c>
      <c r="NW863" t="s">
        <v>6</v>
      </c>
      <c r="NX863">
        <v>4.2</v>
      </c>
      <c r="NY863" t="s">
        <v>29</v>
      </c>
      <c r="OC863">
        <v>3</v>
      </c>
      <c r="OT863" t="s">
        <v>2294</v>
      </c>
      <c r="OU863" t="s">
        <v>6</v>
      </c>
      <c r="OW863">
        <v>2010</v>
      </c>
      <c r="OX863">
        <v>2011</v>
      </c>
      <c r="OY863" t="s">
        <v>2311</v>
      </c>
      <c r="OZ863" t="s">
        <v>2373</v>
      </c>
      <c r="PA863" t="s">
        <v>1169</v>
      </c>
      <c r="PB863" s="58">
        <v>46136</v>
      </c>
    </row>
    <row r="864" spans="1:418" ht="15.75" thickBot="1">
      <c r="A864" t="s">
        <v>248</v>
      </c>
      <c r="B864" t="s">
        <v>2327</v>
      </c>
      <c r="C864" t="s">
        <v>1885</v>
      </c>
      <c r="D864" t="s">
        <v>1936</v>
      </c>
      <c r="E864" s="90" t="s">
        <v>2326</v>
      </c>
      <c r="F864" s="89" t="s">
        <v>31</v>
      </c>
      <c r="G864" t="s">
        <v>2</v>
      </c>
      <c r="H864" t="s">
        <v>30</v>
      </c>
      <c r="I864">
        <v>23.983611109999998</v>
      </c>
      <c r="J864">
        <v>90.402222219999999</v>
      </c>
      <c r="K864" t="s">
        <v>29</v>
      </c>
      <c r="AV864" t="s">
        <v>2325</v>
      </c>
      <c r="AW864">
        <f t="shared" si="2"/>
        <v>1435</v>
      </c>
      <c r="AX864" t="s">
        <v>29</v>
      </c>
      <c r="AY864">
        <v>3</v>
      </c>
      <c r="AZ864" t="s">
        <v>2324</v>
      </c>
      <c r="BA864">
        <v>2009</v>
      </c>
      <c r="BB864">
        <v>2012</v>
      </c>
      <c r="BC864">
        <v>2009.2</v>
      </c>
      <c r="BD864" t="s">
        <v>19</v>
      </c>
      <c r="BE864" t="s">
        <v>2338</v>
      </c>
      <c r="BF864" t="s">
        <v>299</v>
      </c>
      <c r="BG864" t="s">
        <v>1233</v>
      </c>
      <c r="BH864" t="s">
        <v>2319</v>
      </c>
      <c r="BI864" t="s">
        <v>2342</v>
      </c>
      <c r="BJ864" t="s">
        <v>2262</v>
      </c>
      <c r="BK864">
        <v>30</v>
      </c>
      <c r="BL864" t="s">
        <v>275</v>
      </c>
      <c r="BM864" t="s">
        <v>2319</v>
      </c>
      <c r="BN864" t="s">
        <v>2341</v>
      </c>
      <c r="BO864" t="s">
        <v>2262</v>
      </c>
      <c r="BP864">
        <v>19</v>
      </c>
      <c r="HL864" t="s">
        <v>2340</v>
      </c>
      <c r="HM864" t="s">
        <v>2316</v>
      </c>
      <c r="HP864" t="s">
        <v>29</v>
      </c>
      <c r="HQ864">
        <v>4</v>
      </c>
      <c r="HR864" t="s">
        <v>2339</v>
      </c>
      <c r="HT864" t="s">
        <v>2314</v>
      </c>
      <c r="HU864" s="58">
        <v>40192</v>
      </c>
      <c r="HV864" s="58"/>
      <c r="IP864" t="s">
        <v>2338</v>
      </c>
      <c r="IQ864" s="54" t="s">
        <v>2337</v>
      </c>
      <c r="IT864">
        <v>2009</v>
      </c>
      <c r="IU864" t="s">
        <v>2311</v>
      </c>
      <c r="IV864" s="4" t="s">
        <v>1879</v>
      </c>
      <c r="JM864" t="s">
        <v>14</v>
      </c>
      <c r="KF864" t="s">
        <v>2336</v>
      </c>
      <c r="KG864" t="s">
        <v>1548</v>
      </c>
      <c r="KH864" t="s">
        <v>2309</v>
      </c>
      <c r="KI864">
        <v>7</v>
      </c>
      <c r="KJ864" t="s">
        <v>2308</v>
      </c>
      <c r="KK864" t="s">
        <v>222</v>
      </c>
      <c r="KL864" s="8" t="s">
        <v>1922</v>
      </c>
      <c r="KO864" t="s">
        <v>219</v>
      </c>
      <c r="KP864" t="s">
        <v>2335</v>
      </c>
      <c r="KW864" t="s">
        <v>2334</v>
      </c>
      <c r="KX864" t="s">
        <v>2305</v>
      </c>
      <c r="LD864" t="s">
        <v>13</v>
      </c>
      <c r="LE864">
        <v>1400</v>
      </c>
      <c r="LM864" t="s">
        <v>2304</v>
      </c>
      <c r="LN864" t="s">
        <v>2303</v>
      </c>
      <c r="LO864">
        <v>30</v>
      </c>
      <c r="LU864" t="s">
        <v>2333</v>
      </c>
      <c r="LV864" t="s">
        <v>2301</v>
      </c>
      <c r="LZ864" t="s">
        <v>1925</v>
      </c>
      <c r="MA864">
        <v>2001</v>
      </c>
      <c r="MB864" t="s">
        <v>2300</v>
      </c>
      <c r="MH864" t="s">
        <v>2332</v>
      </c>
      <c r="MJ864" s="58">
        <v>40299</v>
      </c>
      <c r="MZ864" t="s">
        <v>2298</v>
      </c>
      <c r="NA864">
        <v>1435</v>
      </c>
      <c r="NB864" t="s">
        <v>2331</v>
      </c>
      <c r="NC864" s="2" t="s">
        <v>2296</v>
      </c>
      <c r="ND864" s="2" t="s">
        <v>2296</v>
      </c>
      <c r="NE864" s="2"/>
      <c r="NF864" s="2"/>
      <c r="NJ864" t="s">
        <v>2295</v>
      </c>
      <c r="NK864" t="s">
        <v>2330</v>
      </c>
      <c r="NL864" t="s">
        <v>2329</v>
      </c>
      <c r="NM864" s="4" t="s">
        <v>1947</v>
      </c>
      <c r="NN864" t="s">
        <v>2328</v>
      </c>
      <c r="NV864" t="s">
        <v>64</v>
      </c>
      <c r="NW864" t="s">
        <v>6</v>
      </c>
      <c r="NX864">
        <v>4.5</v>
      </c>
      <c r="NY864" t="s">
        <v>29</v>
      </c>
      <c r="OC864">
        <v>3</v>
      </c>
      <c r="OT864" t="s">
        <v>2294</v>
      </c>
      <c r="OU864" t="s">
        <v>6</v>
      </c>
      <c r="OW864">
        <v>2010</v>
      </c>
      <c r="OX864">
        <v>2011</v>
      </c>
      <c r="OY864" t="s">
        <v>2311</v>
      </c>
      <c r="OZ864" t="s">
        <v>2373</v>
      </c>
      <c r="PA864" t="s">
        <v>1169</v>
      </c>
      <c r="PB864" s="58">
        <v>46136</v>
      </c>
    </row>
    <row r="865" spans="1:418" ht="15.75" thickBot="1">
      <c r="A865" t="s">
        <v>248</v>
      </c>
      <c r="B865" t="s">
        <v>2327</v>
      </c>
      <c r="C865" t="s">
        <v>1885</v>
      </c>
      <c r="D865" t="s">
        <v>1936</v>
      </c>
      <c r="E865" s="90" t="s">
        <v>2326</v>
      </c>
      <c r="F865" s="89" t="s">
        <v>31</v>
      </c>
      <c r="G865" t="s">
        <v>2</v>
      </c>
      <c r="H865" t="s">
        <v>30</v>
      </c>
      <c r="I865">
        <v>23.983611109999998</v>
      </c>
      <c r="J865">
        <v>90.402222219999999</v>
      </c>
      <c r="K865" t="s">
        <v>29</v>
      </c>
      <c r="AV865" t="s">
        <v>2325</v>
      </c>
      <c r="AW865">
        <f t="shared" si="2"/>
        <v>1435</v>
      </c>
      <c r="AX865" t="s">
        <v>29</v>
      </c>
      <c r="AY865">
        <v>3</v>
      </c>
      <c r="AZ865" t="s">
        <v>2324</v>
      </c>
      <c r="BA865">
        <v>2009</v>
      </c>
      <c r="BB865">
        <v>2012</v>
      </c>
      <c r="BC865">
        <v>2009.2</v>
      </c>
      <c r="BD865" t="s">
        <v>274</v>
      </c>
      <c r="BE865" t="s">
        <v>2313</v>
      </c>
      <c r="BF865" t="s">
        <v>64</v>
      </c>
      <c r="BG865" t="s">
        <v>1233</v>
      </c>
      <c r="BH865" t="s">
        <v>1894</v>
      </c>
      <c r="BI865" t="s">
        <v>2323</v>
      </c>
      <c r="BJ865" t="s">
        <v>2262</v>
      </c>
      <c r="BK865">
        <v>1614</v>
      </c>
      <c r="BL865" t="s">
        <v>275</v>
      </c>
      <c r="BM865" t="s">
        <v>23</v>
      </c>
      <c r="BN865" t="s">
        <v>2322</v>
      </c>
      <c r="BO865" t="s">
        <v>2262</v>
      </c>
      <c r="BP865">
        <v>20</v>
      </c>
      <c r="BQ865" t="s">
        <v>275</v>
      </c>
      <c r="BR865" t="s">
        <v>1917</v>
      </c>
      <c r="BS865" t="s">
        <v>2321</v>
      </c>
      <c r="BT865" t="s">
        <v>2262</v>
      </c>
      <c r="BU865">
        <v>30</v>
      </c>
      <c r="BV865" t="s">
        <v>275</v>
      </c>
      <c r="BW865" t="s">
        <v>2319</v>
      </c>
      <c r="BX865" t="s">
        <v>2320</v>
      </c>
      <c r="BY865" t="s">
        <v>2262</v>
      </c>
      <c r="BZ865">
        <v>35</v>
      </c>
      <c r="CA865" t="s">
        <v>275</v>
      </c>
      <c r="CB865" t="s">
        <v>2319</v>
      </c>
      <c r="CC865" t="s">
        <v>2318</v>
      </c>
      <c r="CD865" t="s">
        <v>2262</v>
      </c>
      <c r="CE865">
        <v>19</v>
      </c>
      <c r="HL865" t="s">
        <v>2317</v>
      </c>
      <c r="HM865" t="s">
        <v>2316</v>
      </c>
      <c r="HP865" t="s">
        <v>29</v>
      </c>
      <c r="HQ865">
        <v>9</v>
      </c>
      <c r="HR865" t="s">
        <v>2315</v>
      </c>
      <c r="HT865" t="s">
        <v>2314</v>
      </c>
      <c r="HU865" s="58">
        <v>40153</v>
      </c>
      <c r="IP865" t="s">
        <v>2313</v>
      </c>
      <c r="IQ865" t="s">
        <v>2312</v>
      </c>
      <c r="IT865">
        <v>2009</v>
      </c>
      <c r="IU865" t="s">
        <v>2311</v>
      </c>
      <c r="IV865" s="4" t="s">
        <v>1879</v>
      </c>
      <c r="JM865" t="s">
        <v>14</v>
      </c>
      <c r="KF865" t="s">
        <v>2310</v>
      </c>
      <c r="KG865" t="s">
        <v>1548</v>
      </c>
      <c r="KH865" t="s">
        <v>2309</v>
      </c>
      <c r="KI865">
        <v>4</v>
      </c>
      <c r="KJ865" t="s">
        <v>2308</v>
      </c>
      <c r="KK865" t="s">
        <v>2152</v>
      </c>
      <c r="KO865" t="s">
        <v>219</v>
      </c>
      <c r="KP865" t="s">
        <v>2307</v>
      </c>
      <c r="KS865" t="s">
        <v>219</v>
      </c>
      <c r="KT865" s="8" t="s">
        <v>2356</v>
      </c>
      <c r="KW865" t="s">
        <v>2306</v>
      </c>
      <c r="KX865" t="s">
        <v>2305</v>
      </c>
      <c r="LD865" t="s">
        <v>13</v>
      </c>
      <c r="LE865">
        <v>1600</v>
      </c>
      <c r="LM865" t="s">
        <v>2304</v>
      </c>
      <c r="LN865" t="s">
        <v>2303</v>
      </c>
      <c r="LO865">
        <v>30</v>
      </c>
      <c r="LU865" t="s">
        <v>2302</v>
      </c>
      <c r="LV865" t="s">
        <v>2301</v>
      </c>
      <c r="LZ865" t="s">
        <v>1925</v>
      </c>
      <c r="MA865">
        <v>1186</v>
      </c>
      <c r="MB865" t="s">
        <v>2300</v>
      </c>
      <c r="MH865" t="s">
        <v>2299</v>
      </c>
      <c r="MJ865" s="58">
        <v>40224</v>
      </c>
      <c r="MZ865" t="s">
        <v>2298</v>
      </c>
      <c r="NA865">
        <v>1435</v>
      </c>
      <c r="NB865" t="s">
        <v>2297</v>
      </c>
      <c r="NC865" s="2"/>
      <c r="ND865" s="2" t="s">
        <v>2296</v>
      </c>
      <c r="NE865" s="2"/>
      <c r="NF865" s="2"/>
      <c r="NJ865" t="s">
        <v>2295</v>
      </c>
      <c r="NK865" t="s">
        <v>2330</v>
      </c>
      <c r="NL865" t="s">
        <v>2329</v>
      </c>
      <c r="NM865" s="4" t="s">
        <v>1947</v>
      </c>
      <c r="NN865" t="s">
        <v>2328</v>
      </c>
      <c r="NW865" t="s">
        <v>6</v>
      </c>
      <c r="NX865">
        <v>2</v>
      </c>
      <c r="NY865" t="s">
        <v>29</v>
      </c>
      <c r="OC865">
        <v>3</v>
      </c>
      <c r="OT865" t="s">
        <v>2294</v>
      </c>
      <c r="OU865" t="s">
        <v>6</v>
      </c>
      <c r="OW865">
        <v>2010</v>
      </c>
      <c r="OX865">
        <v>2011</v>
      </c>
      <c r="OY865" t="s">
        <v>2311</v>
      </c>
      <c r="OZ865" t="s">
        <v>2373</v>
      </c>
      <c r="PA865" t="s">
        <v>1169</v>
      </c>
      <c r="PB865" s="58">
        <v>46136</v>
      </c>
    </row>
    <row r="866" spans="1:418" ht="15.75" thickBot="1">
      <c r="A866" t="s">
        <v>248</v>
      </c>
      <c r="B866" t="s">
        <v>2327</v>
      </c>
      <c r="C866" t="s">
        <v>1885</v>
      </c>
      <c r="D866" t="s">
        <v>1936</v>
      </c>
      <c r="E866" s="90" t="s">
        <v>2326</v>
      </c>
      <c r="F866" s="89" t="s">
        <v>31</v>
      </c>
      <c r="G866" t="s">
        <v>2</v>
      </c>
      <c r="H866" t="s">
        <v>30</v>
      </c>
      <c r="I866">
        <v>23.983611109999998</v>
      </c>
      <c r="J866">
        <v>90.402222219999999</v>
      </c>
      <c r="K866" t="s">
        <v>29</v>
      </c>
      <c r="AV866" t="s">
        <v>2325</v>
      </c>
      <c r="AW866">
        <f t="shared" si="2"/>
        <v>1435</v>
      </c>
      <c r="AX866" t="s">
        <v>29</v>
      </c>
      <c r="AY866">
        <v>3</v>
      </c>
      <c r="AZ866" t="s">
        <v>2324</v>
      </c>
      <c r="BA866">
        <v>2009</v>
      </c>
      <c r="BB866">
        <v>2012</v>
      </c>
      <c r="BC866">
        <v>2009.2</v>
      </c>
      <c r="BD866" t="s">
        <v>19</v>
      </c>
      <c r="BE866" t="s">
        <v>2354</v>
      </c>
      <c r="BF866" t="s">
        <v>39</v>
      </c>
      <c r="BG866" t="s">
        <v>1233</v>
      </c>
      <c r="BH866" t="s">
        <v>2319</v>
      </c>
      <c r="BI866" t="s">
        <v>2342</v>
      </c>
      <c r="BJ866" t="s">
        <v>2262</v>
      </c>
      <c r="BK866">
        <v>45</v>
      </c>
      <c r="BL866" t="s">
        <v>275</v>
      </c>
      <c r="BM866" t="s">
        <v>2319</v>
      </c>
      <c r="BN866" t="s">
        <v>2355</v>
      </c>
      <c r="BO866" t="s">
        <v>2262</v>
      </c>
      <c r="BP866">
        <v>49</v>
      </c>
      <c r="BQ866" t="s">
        <v>275</v>
      </c>
      <c r="BR866" t="s">
        <v>2319</v>
      </c>
      <c r="BS866" t="s">
        <v>2341</v>
      </c>
      <c r="BT866" t="s">
        <v>2262</v>
      </c>
      <c r="BU866">
        <v>49</v>
      </c>
      <c r="HL866" t="s">
        <v>2350</v>
      </c>
      <c r="HM866" t="s">
        <v>297</v>
      </c>
      <c r="HN866" t="s">
        <v>2349</v>
      </c>
      <c r="HP866" t="s">
        <v>29</v>
      </c>
      <c r="HQ866">
        <v>12</v>
      </c>
      <c r="HR866" t="s">
        <v>2348</v>
      </c>
      <c r="HT866" t="s">
        <v>2314</v>
      </c>
      <c r="HU866" s="58">
        <v>40202</v>
      </c>
      <c r="HV866" s="58"/>
      <c r="IP866" t="s">
        <v>2354</v>
      </c>
      <c r="IQ866" s="54" t="s">
        <v>2337</v>
      </c>
      <c r="IT866">
        <v>2009</v>
      </c>
      <c r="IU866" t="s">
        <v>2311</v>
      </c>
      <c r="IV866" s="4" t="s">
        <v>1879</v>
      </c>
      <c r="JM866" t="s">
        <v>14</v>
      </c>
      <c r="KF866" t="s">
        <v>2353</v>
      </c>
      <c r="KG866" t="s">
        <v>1548</v>
      </c>
      <c r="KH866" t="s">
        <v>2309</v>
      </c>
      <c r="KI866">
        <v>3</v>
      </c>
      <c r="KJ866" t="s">
        <v>2308</v>
      </c>
      <c r="KK866" t="s">
        <v>2152</v>
      </c>
      <c r="KO866" t="s">
        <v>219</v>
      </c>
      <c r="KP866" t="s">
        <v>2335</v>
      </c>
      <c r="KW866" t="s">
        <v>2352</v>
      </c>
      <c r="KX866" t="s">
        <v>2305</v>
      </c>
      <c r="LD866" t="s">
        <v>13</v>
      </c>
      <c r="LE866">
        <v>1600</v>
      </c>
      <c r="LM866" t="s">
        <v>2304</v>
      </c>
      <c r="LN866" t="s">
        <v>2303</v>
      </c>
      <c r="LO866">
        <v>7.5</v>
      </c>
      <c r="LU866" t="s">
        <v>2351</v>
      </c>
      <c r="LV866" t="s">
        <v>2301</v>
      </c>
      <c r="LZ866" t="s">
        <v>1925</v>
      </c>
      <c r="MA866">
        <v>1450</v>
      </c>
      <c r="MB866" t="s">
        <v>2300</v>
      </c>
      <c r="MH866" t="s">
        <v>2332</v>
      </c>
      <c r="MJ866" s="58">
        <v>40292</v>
      </c>
      <c r="MZ866" t="s">
        <v>2298</v>
      </c>
      <c r="NA866">
        <v>1435</v>
      </c>
      <c r="NB866" t="s">
        <v>2331</v>
      </c>
      <c r="NC866" s="2" t="s">
        <v>2296</v>
      </c>
      <c r="ND866" s="2" t="s">
        <v>2296</v>
      </c>
      <c r="NE866" s="2"/>
      <c r="NF866" s="2"/>
      <c r="NJ866" t="s">
        <v>2295</v>
      </c>
      <c r="NK866" t="s">
        <v>2330</v>
      </c>
      <c r="NL866" t="s">
        <v>2329</v>
      </c>
      <c r="NM866" s="4" t="s">
        <v>1947</v>
      </c>
      <c r="NN866" t="s">
        <v>2328</v>
      </c>
      <c r="NV866" t="s">
        <v>2343</v>
      </c>
      <c r="NW866" t="s">
        <v>6</v>
      </c>
      <c r="NX866">
        <v>4.3</v>
      </c>
      <c r="NY866" t="s">
        <v>29</v>
      </c>
      <c r="OC866">
        <v>3</v>
      </c>
      <c r="OT866" t="s">
        <v>2294</v>
      </c>
      <c r="OU866" t="s">
        <v>6</v>
      </c>
      <c r="OW866">
        <v>2011</v>
      </c>
      <c r="OX866">
        <v>2012</v>
      </c>
      <c r="OY866" t="s">
        <v>2311</v>
      </c>
      <c r="OZ866" t="s">
        <v>2373</v>
      </c>
      <c r="PA866" t="s">
        <v>1169</v>
      </c>
      <c r="PB866" s="58">
        <v>46136</v>
      </c>
    </row>
    <row r="867" spans="1:418" ht="15.75" thickBot="1">
      <c r="A867" t="s">
        <v>248</v>
      </c>
      <c r="B867" t="s">
        <v>2327</v>
      </c>
      <c r="C867" t="s">
        <v>1885</v>
      </c>
      <c r="D867" t="s">
        <v>1936</v>
      </c>
      <c r="E867" s="90" t="s">
        <v>2326</v>
      </c>
      <c r="F867" s="89" t="s">
        <v>31</v>
      </c>
      <c r="G867" t="s">
        <v>2</v>
      </c>
      <c r="H867" t="s">
        <v>30</v>
      </c>
      <c r="I867">
        <v>23.983611109999998</v>
      </c>
      <c r="J867">
        <v>90.402222219999999</v>
      </c>
      <c r="K867" t="s">
        <v>29</v>
      </c>
      <c r="AV867" t="s">
        <v>2325</v>
      </c>
      <c r="AW867">
        <f t="shared" si="2"/>
        <v>1435</v>
      </c>
      <c r="AX867" t="s">
        <v>29</v>
      </c>
      <c r="AY867">
        <v>3</v>
      </c>
      <c r="AZ867" t="s">
        <v>2324</v>
      </c>
      <c r="BA867">
        <v>2009</v>
      </c>
      <c r="BB867">
        <v>2012</v>
      </c>
      <c r="BC867">
        <v>2009.2</v>
      </c>
      <c r="BD867" t="s">
        <v>19</v>
      </c>
      <c r="BE867" t="s">
        <v>2347</v>
      </c>
      <c r="BF867" t="s">
        <v>24</v>
      </c>
      <c r="BG867" t="s">
        <v>1233</v>
      </c>
      <c r="BH867" t="s">
        <v>2319</v>
      </c>
      <c r="BI867" t="s">
        <v>2342</v>
      </c>
      <c r="BJ867" t="s">
        <v>2262</v>
      </c>
      <c r="BK867">
        <v>30</v>
      </c>
      <c r="BL867" t="s">
        <v>275</v>
      </c>
      <c r="BM867" t="s">
        <v>2319</v>
      </c>
      <c r="BN867" t="s">
        <v>2341</v>
      </c>
      <c r="BO867" t="s">
        <v>2262</v>
      </c>
      <c r="BP867">
        <v>35</v>
      </c>
      <c r="HL867" t="s">
        <v>2350</v>
      </c>
      <c r="HM867" t="s">
        <v>297</v>
      </c>
      <c r="HN867" t="s">
        <v>2349</v>
      </c>
      <c r="HP867" t="s">
        <v>29</v>
      </c>
      <c r="HQ867">
        <v>12</v>
      </c>
      <c r="HR867" t="s">
        <v>2348</v>
      </c>
      <c r="HT867" t="s">
        <v>2314</v>
      </c>
      <c r="HU867" s="58">
        <v>40192</v>
      </c>
      <c r="HV867" s="58"/>
      <c r="IP867" t="s">
        <v>2347</v>
      </c>
      <c r="IQ867" s="54" t="s">
        <v>2337</v>
      </c>
      <c r="IT867">
        <v>2009</v>
      </c>
      <c r="IU867" t="s">
        <v>2311</v>
      </c>
      <c r="IV867" s="4" t="s">
        <v>1879</v>
      </c>
      <c r="JM867" t="s">
        <v>14</v>
      </c>
      <c r="KF867" t="s">
        <v>2346</v>
      </c>
      <c r="KG867" t="s">
        <v>1548</v>
      </c>
      <c r="KH867" t="s">
        <v>2309</v>
      </c>
      <c r="KI867">
        <v>6</v>
      </c>
      <c r="KJ867" t="s">
        <v>2308</v>
      </c>
      <c r="KK867" t="s">
        <v>222</v>
      </c>
      <c r="KL867" s="8" t="s">
        <v>1922</v>
      </c>
      <c r="KO867" t="s">
        <v>219</v>
      </c>
      <c r="KP867" t="s">
        <v>2335</v>
      </c>
      <c r="KW867" t="s">
        <v>2345</v>
      </c>
      <c r="KX867" t="s">
        <v>2305</v>
      </c>
      <c r="LD867" t="s">
        <v>13</v>
      </c>
      <c r="LE867">
        <v>2000</v>
      </c>
      <c r="LM867" t="s">
        <v>2304</v>
      </c>
      <c r="LN867" t="s">
        <v>2303</v>
      </c>
      <c r="LO867">
        <v>30</v>
      </c>
      <c r="LU867" t="s">
        <v>2344</v>
      </c>
      <c r="LV867" t="s">
        <v>2301</v>
      </c>
      <c r="LZ867" t="s">
        <v>1925</v>
      </c>
      <c r="MA867">
        <v>1481</v>
      </c>
      <c r="MB867" t="s">
        <v>2300</v>
      </c>
      <c r="MH867" t="s">
        <v>2332</v>
      </c>
      <c r="MJ867" s="58">
        <v>40298</v>
      </c>
      <c r="MZ867" t="s">
        <v>2298</v>
      </c>
      <c r="NA867">
        <v>1435</v>
      </c>
      <c r="NB867" t="s">
        <v>2331</v>
      </c>
      <c r="NC867" s="2" t="s">
        <v>2296</v>
      </c>
      <c r="ND867" s="2" t="s">
        <v>2296</v>
      </c>
      <c r="NE867" s="2"/>
      <c r="NF867" s="2"/>
      <c r="NJ867" t="s">
        <v>2295</v>
      </c>
      <c r="NK867" t="s">
        <v>2330</v>
      </c>
      <c r="NL867" t="s">
        <v>2329</v>
      </c>
      <c r="NM867" s="4" t="s">
        <v>1947</v>
      </c>
      <c r="NN867" t="s">
        <v>2328</v>
      </c>
      <c r="NV867" t="s">
        <v>2343</v>
      </c>
      <c r="NW867" t="s">
        <v>6</v>
      </c>
      <c r="NX867">
        <v>3.8</v>
      </c>
      <c r="NY867" t="s">
        <v>29</v>
      </c>
      <c r="OC867">
        <v>3</v>
      </c>
      <c r="OT867" t="s">
        <v>2294</v>
      </c>
      <c r="OU867" t="s">
        <v>6</v>
      </c>
      <c r="OW867">
        <v>2011</v>
      </c>
      <c r="OX867">
        <v>2012</v>
      </c>
      <c r="OY867" t="s">
        <v>2311</v>
      </c>
      <c r="OZ867" t="s">
        <v>2373</v>
      </c>
      <c r="PA867" t="s">
        <v>1169</v>
      </c>
      <c r="PB867" s="58">
        <v>46136</v>
      </c>
    </row>
    <row r="868" spans="1:418" ht="15.75" thickBot="1">
      <c r="A868" t="s">
        <v>248</v>
      </c>
      <c r="B868" t="s">
        <v>2327</v>
      </c>
      <c r="C868" t="s">
        <v>1885</v>
      </c>
      <c r="D868" t="s">
        <v>1936</v>
      </c>
      <c r="E868" s="90" t="s">
        <v>2326</v>
      </c>
      <c r="F868" s="89" t="s">
        <v>31</v>
      </c>
      <c r="G868" t="s">
        <v>2</v>
      </c>
      <c r="H868" t="s">
        <v>30</v>
      </c>
      <c r="I868">
        <v>23.983611109999998</v>
      </c>
      <c r="J868">
        <v>90.402222219999999</v>
      </c>
      <c r="K868" t="s">
        <v>29</v>
      </c>
      <c r="AV868" t="s">
        <v>2325</v>
      </c>
      <c r="AW868">
        <f t="shared" si="2"/>
        <v>1435</v>
      </c>
      <c r="AX868" t="s">
        <v>29</v>
      </c>
      <c r="AY868">
        <v>3</v>
      </c>
      <c r="AZ868" t="s">
        <v>2324</v>
      </c>
      <c r="BA868">
        <v>2009</v>
      </c>
      <c r="BB868">
        <v>2012</v>
      </c>
      <c r="BC868">
        <v>2009.2</v>
      </c>
      <c r="BD868" t="s">
        <v>19</v>
      </c>
      <c r="BE868" t="s">
        <v>2338</v>
      </c>
      <c r="BF868" t="s">
        <v>299</v>
      </c>
      <c r="BG868" t="s">
        <v>1233</v>
      </c>
      <c r="BH868" t="s">
        <v>2319</v>
      </c>
      <c r="BI868" t="s">
        <v>2342</v>
      </c>
      <c r="BJ868" t="s">
        <v>2262</v>
      </c>
      <c r="BK868">
        <v>30</v>
      </c>
      <c r="BL868" t="s">
        <v>275</v>
      </c>
      <c r="BM868" t="s">
        <v>2319</v>
      </c>
      <c r="BN868" t="s">
        <v>2341</v>
      </c>
      <c r="BO868" t="s">
        <v>2262</v>
      </c>
      <c r="BP868">
        <v>19</v>
      </c>
      <c r="HL868" t="s">
        <v>2340</v>
      </c>
      <c r="HM868" t="s">
        <v>2316</v>
      </c>
      <c r="HP868" t="s">
        <v>29</v>
      </c>
      <c r="HQ868">
        <v>4</v>
      </c>
      <c r="HR868" t="s">
        <v>2339</v>
      </c>
      <c r="HT868" t="s">
        <v>2314</v>
      </c>
      <c r="HU868" s="58">
        <v>40192</v>
      </c>
      <c r="HV868" s="58"/>
      <c r="IP868" t="s">
        <v>2338</v>
      </c>
      <c r="IQ868" s="54" t="s">
        <v>2337</v>
      </c>
      <c r="IT868">
        <v>2009</v>
      </c>
      <c r="IU868" t="s">
        <v>2311</v>
      </c>
      <c r="IV868" s="4" t="s">
        <v>1879</v>
      </c>
      <c r="JM868" t="s">
        <v>14</v>
      </c>
      <c r="KF868" t="s">
        <v>2336</v>
      </c>
      <c r="KG868" t="s">
        <v>1548</v>
      </c>
      <c r="KH868" t="s">
        <v>2309</v>
      </c>
      <c r="KI868">
        <v>7</v>
      </c>
      <c r="KJ868" t="s">
        <v>2308</v>
      </c>
      <c r="KK868" t="s">
        <v>222</v>
      </c>
      <c r="KL868" s="8" t="s">
        <v>1922</v>
      </c>
      <c r="KO868" t="s">
        <v>219</v>
      </c>
      <c r="KP868" t="s">
        <v>2335</v>
      </c>
      <c r="KW868" t="s">
        <v>2334</v>
      </c>
      <c r="KX868" t="s">
        <v>2305</v>
      </c>
      <c r="LD868" t="s">
        <v>13</v>
      </c>
      <c r="LE868">
        <v>1900</v>
      </c>
      <c r="LM868" t="s">
        <v>2304</v>
      </c>
      <c r="LN868" t="s">
        <v>2303</v>
      </c>
      <c r="LO868">
        <v>30</v>
      </c>
      <c r="LU868" t="s">
        <v>2333</v>
      </c>
      <c r="LV868" t="s">
        <v>2301</v>
      </c>
      <c r="LZ868" t="s">
        <v>1925</v>
      </c>
      <c r="MA868">
        <v>1530</v>
      </c>
      <c r="MB868" t="s">
        <v>2300</v>
      </c>
      <c r="MH868" t="s">
        <v>2332</v>
      </c>
      <c r="MJ868" s="58">
        <v>40299</v>
      </c>
      <c r="MZ868" t="s">
        <v>2298</v>
      </c>
      <c r="NA868">
        <v>1435</v>
      </c>
      <c r="NB868" t="s">
        <v>2331</v>
      </c>
      <c r="NC868" s="2" t="s">
        <v>2296</v>
      </c>
      <c r="ND868" s="2" t="s">
        <v>2296</v>
      </c>
      <c r="NE868" s="2"/>
      <c r="NF868" s="2"/>
      <c r="NJ868" t="s">
        <v>2295</v>
      </c>
      <c r="NK868" t="s">
        <v>2330</v>
      </c>
      <c r="NL868" t="s">
        <v>2329</v>
      </c>
      <c r="NM868" s="4" t="s">
        <v>1947</v>
      </c>
      <c r="NN868" t="s">
        <v>2328</v>
      </c>
      <c r="NV868" t="s">
        <v>64</v>
      </c>
      <c r="NW868" t="s">
        <v>6</v>
      </c>
      <c r="NX868">
        <v>3.9</v>
      </c>
      <c r="NY868" t="s">
        <v>29</v>
      </c>
      <c r="OC868">
        <v>3</v>
      </c>
      <c r="OT868" t="s">
        <v>2294</v>
      </c>
      <c r="OU868" t="s">
        <v>6</v>
      </c>
      <c r="OW868">
        <v>2011</v>
      </c>
      <c r="OX868">
        <v>2012</v>
      </c>
      <c r="OY868" t="s">
        <v>2311</v>
      </c>
      <c r="OZ868" t="s">
        <v>2373</v>
      </c>
      <c r="PA868" t="s">
        <v>1169</v>
      </c>
      <c r="PB868" s="58">
        <v>46136</v>
      </c>
    </row>
    <row r="869" spans="1:418">
      <c r="A869" t="s">
        <v>248</v>
      </c>
      <c r="B869" t="s">
        <v>2327</v>
      </c>
      <c r="C869" t="s">
        <v>1885</v>
      </c>
      <c r="D869" t="s">
        <v>1936</v>
      </c>
      <c r="E869" s="90" t="s">
        <v>2326</v>
      </c>
      <c r="F869" s="89" t="s">
        <v>31</v>
      </c>
      <c r="G869" t="s">
        <v>2</v>
      </c>
      <c r="H869" t="s">
        <v>30</v>
      </c>
      <c r="I869">
        <v>23.983611109999998</v>
      </c>
      <c r="J869">
        <v>90.402222219999999</v>
      </c>
      <c r="K869" t="s">
        <v>29</v>
      </c>
      <c r="AV869" t="s">
        <v>2325</v>
      </c>
      <c r="AW869">
        <f t="shared" si="2"/>
        <v>1435</v>
      </c>
      <c r="AX869" t="s">
        <v>29</v>
      </c>
      <c r="AY869">
        <v>3</v>
      </c>
      <c r="AZ869" t="s">
        <v>2324</v>
      </c>
      <c r="BA869">
        <v>2009</v>
      </c>
      <c r="BB869">
        <v>2012</v>
      </c>
      <c r="BC869">
        <v>2009.2</v>
      </c>
      <c r="BD869" t="s">
        <v>274</v>
      </c>
      <c r="BE869" t="s">
        <v>2313</v>
      </c>
      <c r="BF869" t="s">
        <v>64</v>
      </c>
      <c r="BG869" t="s">
        <v>1233</v>
      </c>
      <c r="BH869" t="s">
        <v>1894</v>
      </c>
      <c r="BI869" t="s">
        <v>2323</v>
      </c>
      <c r="BJ869" t="s">
        <v>2262</v>
      </c>
      <c r="BK869">
        <v>1614</v>
      </c>
      <c r="BL869" t="s">
        <v>275</v>
      </c>
      <c r="BM869" t="s">
        <v>23</v>
      </c>
      <c r="BN869" t="s">
        <v>2322</v>
      </c>
      <c r="BO869" t="s">
        <v>2262</v>
      </c>
      <c r="BP869">
        <v>20</v>
      </c>
      <c r="BQ869" t="s">
        <v>275</v>
      </c>
      <c r="BR869" t="s">
        <v>1917</v>
      </c>
      <c r="BS869" t="s">
        <v>2321</v>
      </c>
      <c r="BT869" t="s">
        <v>2262</v>
      </c>
      <c r="BU869">
        <v>30</v>
      </c>
      <c r="BV869" t="s">
        <v>275</v>
      </c>
      <c r="BW869" t="s">
        <v>2319</v>
      </c>
      <c r="BX869" t="s">
        <v>2320</v>
      </c>
      <c r="BY869" t="s">
        <v>2262</v>
      </c>
      <c r="BZ869">
        <v>35</v>
      </c>
      <c r="CA869" t="s">
        <v>275</v>
      </c>
      <c r="CB869" t="s">
        <v>2319</v>
      </c>
      <c r="CC869" t="s">
        <v>2318</v>
      </c>
      <c r="CD869" t="s">
        <v>2262</v>
      </c>
      <c r="CE869">
        <v>19</v>
      </c>
      <c r="HL869" t="s">
        <v>2317</v>
      </c>
      <c r="HM869" t="s">
        <v>2316</v>
      </c>
      <c r="HP869" t="s">
        <v>29</v>
      </c>
      <c r="HQ869">
        <v>9</v>
      </c>
      <c r="HR869" t="s">
        <v>2315</v>
      </c>
      <c r="HT869" t="s">
        <v>2314</v>
      </c>
      <c r="HU869" s="58">
        <v>40153</v>
      </c>
      <c r="IP869" t="s">
        <v>2313</v>
      </c>
      <c r="IQ869" t="s">
        <v>2312</v>
      </c>
      <c r="IT869">
        <v>2009</v>
      </c>
      <c r="IU869" t="s">
        <v>2311</v>
      </c>
      <c r="IV869" s="4" t="s">
        <v>1879</v>
      </c>
      <c r="JM869" t="s">
        <v>14</v>
      </c>
      <c r="KF869" t="s">
        <v>2310</v>
      </c>
      <c r="KG869" t="s">
        <v>1548</v>
      </c>
      <c r="KH869" t="s">
        <v>2309</v>
      </c>
      <c r="KI869">
        <v>4</v>
      </c>
      <c r="KJ869" t="s">
        <v>2308</v>
      </c>
      <c r="KK869" t="s">
        <v>2152</v>
      </c>
      <c r="KO869" t="s">
        <v>219</v>
      </c>
      <c r="KP869" t="s">
        <v>2307</v>
      </c>
      <c r="KW869" t="s">
        <v>2306</v>
      </c>
      <c r="KX869" t="s">
        <v>2305</v>
      </c>
      <c r="LD869" t="s">
        <v>13</v>
      </c>
      <c r="LE869">
        <v>1600</v>
      </c>
      <c r="LM869" t="s">
        <v>2304</v>
      </c>
      <c r="LN869" t="s">
        <v>2303</v>
      </c>
      <c r="LO869">
        <v>30</v>
      </c>
      <c r="LU869" t="s">
        <v>2302</v>
      </c>
      <c r="LV869" t="s">
        <v>2301</v>
      </c>
      <c r="LZ869" t="s">
        <v>1925</v>
      </c>
      <c r="MA869">
        <v>805</v>
      </c>
      <c r="MB869" t="s">
        <v>2300</v>
      </c>
      <c r="MH869" t="s">
        <v>2299</v>
      </c>
      <c r="MJ869" s="58">
        <v>40224</v>
      </c>
      <c r="MZ869" t="s">
        <v>2298</v>
      </c>
      <c r="NA869">
        <v>1435</v>
      </c>
      <c r="NB869" t="s">
        <v>2297</v>
      </c>
      <c r="NC869" s="2"/>
      <c r="ND869" s="2" t="s">
        <v>2296</v>
      </c>
      <c r="NE869" t="s">
        <v>1894</v>
      </c>
      <c r="NF869" s="2" t="s">
        <v>1917</v>
      </c>
      <c r="NJ869" t="s">
        <v>2295</v>
      </c>
      <c r="NL869" t="s">
        <v>2329</v>
      </c>
      <c r="NM869" s="4" t="s">
        <v>1947</v>
      </c>
      <c r="NN869" t="s">
        <v>2328</v>
      </c>
      <c r="NW869" t="s">
        <v>6</v>
      </c>
      <c r="NX869">
        <v>2.2000000000000002</v>
      </c>
      <c r="NY869" t="s">
        <v>29</v>
      </c>
      <c r="OC869">
        <v>3</v>
      </c>
      <c r="OT869" t="s">
        <v>2294</v>
      </c>
      <c r="OU869" t="s">
        <v>6</v>
      </c>
      <c r="OW869">
        <v>2011</v>
      </c>
      <c r="OX869">
        <v>2012</v>
      </c>
      <c r="OY869" t="s">
        <v>2311</v>
      </c>
      <c r="OZ869" t="s">
        <v>2373</v>
      </c>
      <c r="PA869" t="s">
        <v>1169</v>
      </c>
      <c r="PB869" s="58">
        <v>46136</v>
      </c>
    </row>
    <row r="870" spans="1:418">
      <c r="A870" t="s">
        <v>248</v>
      </c>
      <c r="B870" t="s">
        <v>2376</v>
      </c>
      <c r="C870" t="s">
        <v>2377</v>
      </c>
      <c r="D870" t="s">
        <v>1936</v>
      </c>
      <c r="E870" s="90" t="s">
        <v>2378</v>
      </c>
      <c r="F870" t="s">
        <v>31</v>
      </c>
      <c r="G870" t="s">
        <v>2</v>
      </c>
      <c r="H870" t="s">
        <v>30</v>
      </c>
      <c r="I870">
        <v>7.8527777780000001</v>
      </c>
      <c r="J870">
        <v>-5.1111111109999996</v>
      </c>
      <c r="K870" t="s">
        <v>29</v>
      </c>
      <c r="AV870" t="s">
        <v>836</v>
      </c>
      <c r="AW870" t="s">
        <v>836</v>
      </c>
      <c r="AX870" t="s">
        <v>1601</v>
      </c>
      <c r="AY870" t="s">
        <v>836</v>
      </c>
      <c r="AZ870" t="s">
        <v>2379</v>
      </c>
      <c r="BA870">
        <v>2017</v>
      </c>
      <c r="BB870">
        <v>2020</v>
      </c>
      <c r="BC870" t="s">
        <v>836</v>
      </c>
      <c r="BD870" t="s">
        <v>2380</v>
      </c>
      <c r="BE870" t="s">
        <v>2381</v>
      </c>
      <c r="BF870" t="s">
        <v>64</v>
      </c>
      <c r="BG870" t="s">
        <v>1233</v>
      </c>
      <c r="BH870" t="s">
        <v>2319</v>
      </c>
      <c r="BI870" t="s">
        <v>2382</v>
      </c>
      <c r="BJ870" t="s">
        <v>2383</v>
      </c>
      <c r="BK870">
        <v>722000</v>
      </c>
      <c r="BL870" t="s">
        <v>56</v>
      </c>
      <c r="BM870" t="s">
        <v>2384</v>
      </c>
      <c r="BN870" t="s">
        <v>2385</v>
      </c>
      <c r="BO870" t="s">
        <v>2383</v>
      </c>
      <c r="BP870" s="9">
        <v>470000</v>
      </c>
      <c r="BQ870" t="s">
        <v>275</v>
      </c>
      <c r="BR870" t="s">
        <v>23</v>
      </c>
      <c r="BS870" t="s">
        <v>1469</v>
      </c>
      <c r="BT870" t="s">
        <v>2383</v>
      </c>
      <c r="BU870" s="9">
        <v>55556</v>
      </c>
      <c r="BV870" t="s">
        <v>56</v>
      </c>
      <c r="BW870" t="s">
        <v>2384</v>
      </c>
      <c r="BX870" t="s">
        <v>2385</v>
      </c>
      <c r="BY870" t="s">
        <v>2383</v>
      </c>
      <c r="BZ870" s="9">
        <v>470000</v>
      </c>
      <c r="HL870" t="s">
        <v>2386</v>
      </c>
      <c r="HM870" t="s">
        <v>232</v>
      </c>
      <c r="HU870" s="208">
        <v>42887</v>
      </c>
      <c r="II870" t="s">
        <v>2381</v>
      </c>
      <c r="IJ870" t="s">
        <v>1443</v>
      </c>
      <c r="IK870" t="s">
        <v>660</v>
      </c>
      <c r="IL870" t="s">
        <v>661</v>
      </c>
      <c r="IM870">
        <v>2017</v>
      </c>
      <c r="IO870" t="s">
        <v>2387</v>
      </c>
      <c r="IP870" t="s">
        <v>2381</v>
      </c>
      <c r="IQ870" t="s">
        <v>1920</v>
      </c>
      <c r="IR870" t="s">
        <v>273</v>
      </c>
      <c r="IT870" t="s">
        <v>836</v>
      </c>
      <c r="IU870" t="s">
        <v>836</v>
      </c>
      <c r="IV870" t="s">
        <v>2387</v>
      </c>
      <c r="JL870" t="s">
        <v>721</v>
      </c>
      <c r="KF870" t="s">
        <v>2388</v>
      </c>
      <c r="KG870" t="s">
        <v>2389</v>
      </c>
      <c r="KJ870" t="s">
        <v>2386</v>
      </c>
      <c r="KK870" t="s">
        <v>222</v>
      </c>
      <c r="KL870" t="s">
        <v>221</v>
      </c>
      <c r="KM870" t="s">
        <v>2390</v>
      </c>
      <c r="KN870">
        <f>+AVERAGE(360,720)</f>
        <v>540</v>
      </c>
      <c r="KO870" t="s">
        <v>222</v>
      </c>
      <c r="KP870" t="s">
        <v>2391</v>
      </c>
      <c r="KQ870" t="s">
        <v>2390</v>
      </c>
      <c r="KR870">
        <v>360</v>
      </c>
      <c r="KW870" t="s">
        <v>2392</v>
      </c>
      <c r="KX870" t="s">
        <v>2393</v>
      </c>
      <c r="LK870" t="s">
        <v>2394</v>
      </c>
      <c r="MZ870" t="s">
        <v>2395</v>
      </c>
      <c r="NA870">
        <v>136</v>
      </c>
      <c r="NC870" t="s">
        <v>2296</v>
      </c>
      <c r="ND870" t="s">
        <v>168</v>
      </c>
      <c r="NJ870" t="s">
        <v>2396</v>
      </c>
      <c r="NK870" t="s">
        <v>2397</v>
      </c>
      <c r="NL870" t="s">
        <v>2398</v>
      </c>
      <c r="NM870" t="s">
        <v>2399</v>
      </c>
      <c r="NN870" t="s">
        <v>2400</v>
      </c>
      <c r="NW870" t="s">
        <v>6</v>
      </c>
      <c r="NX870">
        <v>183021</v>
      </c>
      <c r="NY870" t="s">
        <v>29</v>
      </c>
      <c r="OC870">
        <v>3</v>
      </c>
      <c r="OT870" t="s">
        <v>2401</v>
      </c>
      <c r="OU870" t="s">
        <v>6</v>
      </c>
      <c r="OW870">
        <v>2017</v>
      </c>
      <c r="OX870">
        <v>2020</v>
      </c>
      <c r="PA870" t="s">
        <v>1169</v>
      </c>
      <c r="PB870" s="58">
        <v>46136</v>
      </c>
    </row>
    <row r="871" spans="1:418">
      <c r="A871" t="s">
        <v>248</v>
      </c>
      <c r="B871" t="s">
        <v>2376</v>
      </c>
      <c r="C871" t="s">
        <v>2377</v>
      </c>
      <c r="D871" t="s">
        <v>1936</v>
      </c>
      <c r="E871" s="90" t="s">
        <v>2378</v>
      </c>
      <c r="F871" t="s">
        <v>31</v>
      </c>
      <c r="G871" t="s">
        <v>2</v>
      </c>
      <c r="H871" t="s">
        <v>30</v>
      </c>
      <c r="I871">
        <v>7.8527777780000001</v>
      </c>
      <c r="J871">
        <v>-5.1111111109999996</v>
      </c>
      <c r="K871" t="s">
        <v>29</v>
      </c>
      <c r="AV871" t="s">
        <v>836</v>
      </c>
      <c r="AW871" t="s">
        <v>836</v>
      </c>
      <c r="AX871" t="s">
        <v>1601</v>
      </c>
      <c r="AY871" t="s">
        <v>836</v>
      </c>
      <c r="AZ871" t="s">
        <v>2379</v>
      </c>
      <c r="BA871">
        <v>2017</v>
      </c>
      <c r="BB871">
        <v>2020</v>
      </c>
      <c r="BC871" t="s">
        <v>836</v>
      </c>
      <c r="BD871" t="s">
        <v>2402</v>
      </c>
      <c r="BE871" t="s">
        <v>2403</v>
      </c>
      <c r="BF871" t="s">
        <v>57</v>
      </c>
      <c r="BG871" t="s">
        <v>1233</v>
      </c>
      <c r="BH871" t="s">
        <v>2319</v>
      </c>
      <c r="BI871" t="s">
        <v>2382</v>
      </c>
      <c r="BJ871" t="s">
        <v>2383</v>
      </c>
      <c r="BK871">
        <v>722000</v>
      </c>
      <c r="BL871" t="s">
        <v>56</v>
      </c>
      <c r="BM871" t="s">
        <v>2384</v>
      </c>
      <c r="BN871" t="s">
        <v>2385</v>
      </c>
      <c r="BO871" t="s">
        <v>2383</v>
      </c>
      <c r="BP871" s="9">
        <v>470000</v>
      </c>
      <c r="BQ871" t="s">
        <v>275</v>
      </c>
      <c r="BR871" t="s">
        <v>2319</v>
      </c>
      <c r="BS871" t="s">
        <v>2382</v>
      </c>
      <c r="BT871" t="s">
        <v>2383</v>
      </c>
      <c r="BU871">
        <v>722000</v>
      </c>
      <c r="BV871" t="s">
        <v>56</v>
      </c>
      <c r="BW871" t="s">
        <v>2384</v>
      </c>
      <c r="BX871" t="s">
        <v>2385</v>
      </c>
      <c r="BY871" t="s">
        <v>2383</v>
      </c>
      <c r="BZ871" s="9">
        <v>470000</v>
      </c>
      <c r="HL871" t="s">
        <v>2386</v>
      </c>
      <c r="HM871" t="s">
        <v>232</v>
      </c>
      <c r="HU871" s="208">
        <v>42887</v>
      </c>
      <c r="II871" t="s">
        <v>2403</v>
      </c>
      <c r="IJ871" t="s">
        <v>1443</v>
      </c>
      <c r="IK871" t="s">
        <v>660</v>
      </c>
      <c r="IL871" t="s">
        <v>661</v>
      </c>
      <c r="IM871">
        <v>2017</v>
      </c>
      <c r="IO871" t="s">
        <v>2387</v>
      </c>
      <c r="IP871" t="s">
        <v>2403</v>
      </c>
      <c r="IQ871" t="s">
        <v>1920</v>
      </c>
      <c r="IR871" t="s">
        <v>273</v>
      </c>
      <c r="IT871" t="s">
        <v>836</v>
      </c>
      <c r="IU871" t="s">
        <v>836</v>
      </c>
      <c r="IV871" t="s">
        <v>2387</v>
      </c>
      <c r="JL871" t="s">
        <v>721</v>
      </c>
      <c r="KF871" t="s">
        <v>2388</v>
      </c>
      <c r="KG871" t="s">
        <v>2389</v>
      </c>
      <c r="KJ871" t="s">
        <v>2386</v>
      </c>
      <c r="KK871" t="s">
        <v>222</v>
      </c>
      <c r="KL871" t="s">
        <v>221</v>
      </c>
      <c r="KM871" t="s">
        <v>2390</v>
      </c>
      <c r="KN871">
        <f t="shared" ref="KN871:KN873" si="3">+AVERAGE(360,720)</f>
        <v>540</v>
      </c>
      <c r="KO871" t="s">
        <v>222</v>
      </c>
      <c r="KP871" t="s">
        <v>2391</v>
      </c>
      <c r="KQ871" t="s">
        <v>2390</v>
      </c>
      <c r="KR871">
        <v>360</v>
      </c>
      <c r="KW871" t="s">
        <v>2392</v>
      </c>
      <c r="KX871" t="s">
        <v>2393</v>
      </c>
      <c r="LK871" t="s">
        <v>2394</v>
      </c>
      <c r="MZ871" t="s">
        <v>2395</v>
      </c>
      <c r="NA871">
        <v>136</v>
      </c>
      <c r="NC871" t="s">
        <v>2296</v>
      </c>
      <c r="NJ871" t="s">
        <v>2396</v>
      </c>
      <c r="NK871" t="s">
        <v>2397</v>
      </c>
      <c r="NL871" t="s">
        <v>2398</v>
      </c>
      <c r="NM871" t="s">
        <v>2399</v>
      </c>
      <c r="NN871" t="s">
        <v>2400</v>
      </c>
      <c r="NW871" t="s">
        <v>6</v>
      </c>
      <c r="NX871">
        <v>166828</v>
      </c>
      <c r="NY871" t="s">
        <v>29</v>
      </c>
      <c r="OC871">
        <v>3</v>
      </c>
      <c r="OT871" t="s">
        <v>2401</v>
      </c>
      <c r="OU871" t="s">
        <v>6</v>
      </c>
      <c r="OW871">
        <v>2017</v>
      </c>
      <c r="OX871">
        <v>2020</v>
      </c>
      <c r="PA871" t="s">
        <v>1169</v>
      </c>
      <c r="PB871" s="58">
        <v>46136</v>
      </c>
    </row>
    <row r="872" spans="1:418">
      <c r="A872" t="s">
        <v>248</v>
      </c>
      <c r="B872" t="s">
        <v>2376</v>
      </c>
      <c r="C872" t="s">
        <v>2377</v>
      </c>
      <c r="D872" t="s">
        <v>1936</v>
      </c>
      <c r="E872" s="90" t="s">
        <v>2378</v>
      </c>
      <c r="F872" t="s">
        <v>31</v>
      </c>
      <c r="G872" t="s">
        <v>2</v>
      </c>
      <c r="H872" t="s">
        <v>30</v>
      </c>
      <c r="I872">
        <v>7.8527777780000001</v>
      </c>
      <c r="J872">
        <v>-5.1111111109999996</v>
      </c>
      <c r="K872" t="s">
        <v>29</v>
      </c>
      <c r="AV872" t="s">
        <v>836</v>
      </c>
      <c r="AW872" t="s">
        <v>836</v>
      </c>
      <c r="AX872" t="s">
        <v>1601</v>
      </c>
      <c r="AY872" t="s">
        <v>836</v>
      </c>
      <c r="AZ872" t="s">
        <v>2379</v>
      </c>
      <c r="BA872">
        <v>2017</v>
      </c>
      <c r="BB872">
        <v>2020</v>
      </c>
      <c r="BC872" t="s">
        <v>836</v>
      </c>
      <c r="BD872" t="s">
        <v>2402</v>
      </c>
      <c r="BE872" t="s">
        <v>2404</v>
      </c>
      <c r="BF872" t="s">
        <v>48</v>
      </c>
      <c r="BG872" t="s">
        <v>1233</v>
      </c>
      <c r="BH872" t="s">
        <v>2319</v>
      </c>
      <c r="BI872" t="s">
        <v>2382</v>
      </c>
      <c r="BJ872" t="s">
        <v>2383</v>
      </c>
      <c r="BK872">
        <v>722000</v>
      </c>
      <c r="BL872" t="s">
        <v>56</v>
      </c>
      <c r="BM872" t="s">
        <v>2384</v>
      </c>
      <c r="BN872" t="s">
        <v>2385</v>
      </c>
      <c r="BO872" t="s">
        <v>2383</v>
      </c>
      <c r="BP872" s="9">
        <v>470000</v>
      </c>
      <c r="BQ872" t="s">
        <v>275</v>
      </c>
      <c r="BR872" t="s">
        <v>2384</v>
      </c>
      <c r="BS872" t="s">
        <v>2385</v>
      </c>
      <c r="BT872" t="s">
        <v>2383</v>
      </c>
      <c r="BU872" s="9">
        <v>470000</v>
      </c>
      <c r="BV872" t="s">
        <v>275</v>
      </c>
      <c r="BW872" t="s">
        <v>2319</v>
      </c>
      <c r="BX872" t="s">
        <v>2382</v>
      </c>
      <c r="BY872" t="s">
        <v>2383</v>
      </c>
      <c r="BZ872">
        <v>722000</v>
      </c>
      <c r="CA872" t="s">
        <v>56</v>
      </c>
      <c r="CB872" t="s">
        <v>2384</v>
      </c>
      <c r="CC872" t="s">
        <v>2385</v>
      </c>
      <c r="CD872" t="s">
        <v>2383</v>
      </c>
      <c r="CE872" s="9">
        <v>470000</v>
      </c>
      <c r="HL872" t="s">
        <v>2386</v>
      </c>
      <c r="HM872" t="s">
        <v>232</v>
      </c>
      <c r="HU872" s="208">
        <v>42887</v>
      </c>
      <c r="II872" t="s">
        <v>2404</v>
      </c>
      <c r="IJ872" t="s">
        <v>1443</v>
      </c>
      <c r="IK872" t="s">
        <v>660</v>
      </c>
      <c r="IL872" t="s">
        <v>661</v>
      </c>
      <c r="IM872">
        <v>2017</v>
      </c>
      <c r="IO872" t="s">
        <v>2387</v>
      </c>
      <c r="IP872" t="s">
        <v>2404</v>
      </c>
      <c r="IQ872" t="s">
        <v>1920</v>
      </c>
      <c r="IR872" t="s">
        <v>273</v>
      </c>
      <c r="IT872" t="s">
        <v>836</v>
      </c>
      <c r="IU872" t="s">
        <v>836</v>
      </c>
      <c r="IV872" t="s">
        <v>2387</v>
      </c>
      <c r="JL872" t="s">
        <v>721</v>
      </c>
      <c r="KF872" t="s">
        <v>2388</v>
      </c>
      <c r="KG872" t="s">
        <v>2389</v>
      </c>
      <c r="KJ872" t="s">
        <v>2386</v>
      </c>
      <c r="KK872" t="s">
        <v>222</v>
      </c>
      <c r="KL872" t="s">
        <v>221</v>
      </c>
      <c r="KM872" t="s">
        <v>2390</v>
      </c>
      <c r="KN872">
        <f t="shared" si="3"/>
        <v>540</v>
      </c>
      <c r="KO872" t="s">
        <v>222</v>
      </c>
      <c r="KP872" t="s">
        <v>2391</v>
      </c>
      <c r="KQ872" t="s">
        <v>2390</v>
      </c>
      <c r="KR872">
        <v>360</v>
      </c>
      <c r="KW872" t="s">
        <v>2392</v>
      </c>
      <c r="KX872" t="s">
        <v>2393</v>
      </c>
      <c r="LK872" t="s">
        <v>2394</v>
      </c>
      <c r="MZ872" t="s">
        <v>2395</v>
      </c>
      <c r="NA872">
        <v>136</v>
      </c>
      <c r="NC872" t="s">
        <v>2296</v>
      </c>
      <c r="NJ872" t="s">
        <v>2396</v>
      </c>
      <c r="NK872" t="s">
        <v>2397</v>
      </c>
      <c r="NL872" t="s">
        <v>2398</v>
      </c>
      <c r="NM872" t="s">
        <v>2399</v>
      </c>
      <c r="NN872" t="s">
        <v>2400</v>
      </c>
      <c r="NW872" t="s">
        <v>6</v>
      </c>
      <c r="NX872">
        <v>149579</v>
      </c>
      <c r="NY872" t="s">
        <v>29</v>
      </c>
      <c r="OC872">
        <v>3</v>
      </c>
      <c r="OT872" t="s">
        <v>2401</v>
      </c>
      <c r="OU872" t="s">
        <v>6</v>
      </c>
      <c r="OW872">
        <v>2017</v>
      </c>
      <c r="OX872">
        <v>2020</v>
      </c>
      <c r="PA872" t="s">
        <v>1169</v>
      </c>
      <c r="PB872" s="58">
        <v>46136</v>
      </c>
    </row>
    <row r="873" spans="1:418">
      <c r="A873" t="s">
        <v>248</v>
      </c>
      <c r="B873" t="s">
        <v>2376</v>
      </c>
      <c r="C873" t="s">
        <v>2377</v>
      </c>
      <c r="D873" t="s">
        <v>1936</v>
      </c>
      <c r="E873" s="90" t="s">
        <v>2378</v>
      </c>
      <c r="F873" t="s">
        <v>31</v>
      </c>
      <c r="G873" t="s">
        <v>2</v>
      </c>
      <c r="H873" t="s">
        <v>30</v>
      </c>
      <c r="I873">
        <v>7.8527777780000001</v>
      </c>
      <c r="J873">
        <v>-5.1111111109999996</v>
      </c>
      <c r="K873" t="s">
        <v>29</v>
      </c>
      <c r="AV873" t="s">
        <v>836</v>
      </c>
      <c r="AW873" t="s">
        <v>836</v>
      </c>
      <c r="AX873" t="s">
        <v>1601</v>
      </c>
      <c r="AY873" t="s">
        <v>836</v>
      </c>
      <c r="AZ873" t="s">
        <v>2379</v>
      </c>
      <c r="BA873">
        <v>2017</v>
      </c>
      <c r="BB873">
        <v>2020</v>
      </c>
      <c r="BC873" t="s">
        <v>836</v>
      </c>
      <c r="BD873" t="s">
        <v>19</v>
      </c>
      <c r="BE873" t="s">
        <v>2405</v>
      </c>
      <c r="BF873" t="s">
        <v>39</v>
      </c>
      <c r="BG873" t="s">
        <v>1233</v>
      </c>
      <c r="BH873" t="s">
        <v>2319</v>
      </c>
      <c r="BI873" t="s">
        <v>2382</v>
      </c>
      <c r="BJ873" t="s">
        <v>2383</v>
      </c>
      <c r="BK873">
        <v>722000</v>
      </c>
      <c r="BL873" t="s">
        <v>275</v>
      </c>
      <c r="BM873" t="s">
        <v>23</v>
      </c>
      <c r="BN873" t="s">
        <v>1469</v>
      </c>
      <c r="BO873" t="s">
        <v>2383</v>
      </c>
      <c r="BP873" s="9">
        <v>55556</v>
      </c>
      <c r="HL873" t="s">
        <v>2406</v>
      </c>
      <c r="HM873" t="s">
        <v>297</v>
      </c>
      <c r="HN873" t="s">
        <v>2407</v>
      </c>
      <c r="HQ873">
        <v>3</v>
      </c>
      <c r="HU873" s="208">
        <v>42887</v>
      </c>
      <c r="II873" t="s">
        <v>2405</v>
      </c>
      <c r="IJ873" t="s">
        <v>19</v>
      </c>
      <c r="IK873" t="s">
        <v>660</v>
      </c>
      <c r="IL873" t="s">
        <v>661</v>
      </c>
      <c r="IM873">
        <v>2017</v>
      </c>
      <c r="IO873" t="s">
        <v>2408</v>
      </c>
      <c r="IP873" t="s">
        <v>2405</v>
      </c>
      <c r="IQ873" t="s">
        <v>1920</v>
      </c>
      <c r="IR873" t="s">
        <v>283</v>
      </c>
      <c r="IT873" t="s">
        <v>836</v>
      </c>
      <c r="IU873" t="s">
        <v>836</v>
      </c>
      <c r="IV873" t="s">
        <v>2408</v>
      </c>
      <c r="JL873" t="s">
        <v>721</v>
      </c>
      <c r="KF873" t="s">
        <v>2388</v>
      </c>
      <c r="KG873" t="s">
        <v>2389</v>
      </c>
      <c r="KJ873" t="s">
        <v>2406</v>
      </c>
      <c r="KK873" t="s">
        <v>222</v>
      </c>
      <c r="KL873" t="s">
        <v>221</v>
      </c>
      <c r="KM873" t="s">
        <v>2390</v>
      </c>
      <c r="KN873">
        <f t="shared" si="3"/>
        <v>540</v>
      </c>
      <c r="KO873" t="s">
        <v>222</v>
      </c>
      <c r="KP873" t="s">
        <v>2391</v>
      </c>
      <c r="KQ873" t="s">
        <v>2390</v>
      </c>
      <c r="KR873">
        <v>360</v>
      </c>
      <c r="KW873" t="s">
        <v>2392</v>
      </c>
      <c r="KX873" t="s">
        <v>2393</v>
      </c>
      <c r="LK873" t="s">
        <v>2394</v>
      </c>
      <c r="MZ873" t="s">
        <v>2395</v>
      </c>
      <c r="NA873">
        <v>136</v>
      </c>
      <c r="NC873" t="s">
        <v>2296</v>
      </c>
      <c r="ND873" t="s">
        <v>168</v>
      </c>
      <c r="NJ873" t="s">
        <v>2396</v>
      </c>
      <c r="NK873" t="s">
        <v>2397</v>
      </c>
      <c r="NL873" t="s">
        <v>2398</v>
      </c>
      <c r="NM873" t="s">
        <v>2399</v>
      </c>
      <c r="NN873" t="s">
        <v>2400</v>
      </c>
      <c r="NV873" t="s">
        <v>1558</v>
      </c>
      <c r="NW873" t="s">
        <v>6</v>
      </c>
      <c r="NX873">
        <v>204922</v>
      </c>
      <c r="NY873" t="s">
        <v>29</v>
      </c>
      <c r="OC873">
        <v>3</v>
      </c>
      <c r="OT873" t="s">
        <v>2401</v>
      </c>
      <c r="OU873" t="s">
        <v>6</v>
      </c>
      <c r="OW873">
        <v>2017</v>
      </c>
      <c r="OX873">
        <v>2020</v>
      </c>
      <c r="PA873" t="s">
        <v>1169</v>
      </c>
      <c r="PB873" s="58">
        <v>46136</v>
      </c>
    </row>
    <row r="874" spans="1:418">
      <c r="A874" t="s">
        <v>248</v>
      </c>
      <c r="B874" t="s">
        <v>2376</v>
      </c>
      <c r="C874" t="s">
        <v>2377</v>
      </c>
      <c r="D874" t="s">
        <v>1936</v>
      </c>
      <c r="E874" s="90" t="s">
        <v>2378</v>
      </c>
      <c r="F874" t="s">
        <v>31</v>
      </c>
      <c r="G874" t="s">
        <v>2</v>
      </c>
      <c r="H874" t="s">
        <v>30</v>
      </c>
      <c r="I874">
        <v>7.8527777780000001</v>
      </c>
      <c r="J874">
        <v>-5.1111111109999996</v>
      </c>
      <c r="K874" t="s">
        <v>29</v>
      </c>
      <c r="AV874" t="s">
        <v>836</v>
      </c>
      <c r="AW874" t="s">
        <v>836</v>
      </c>
      <c r="AX874" t="s">
        <v>1601</v>
      </c>
      <c r="AY874" t="s">
        <v>836</v>
      </c>
      <c r="AZ874" t="s">
        <v>2379</v>
      </c>
      <c r="BA874">
        <v>2017</v>
      </c>
      <c r="BB874">
        <v>2020</v>
      </c>
      <c r="BC874" t="s">
        <v>836</v>
      </c>
      <c r="BD874" t="s">
        <v>2380</v>
      </c>
      <c r="BE874" t="s">
        <v>2409</v>
      </c>
      <c r="BF874" t="s">
        <v>43</v>
      </c>
      <c r="BG874" t="s">
        <v>1233</v>
      </c>
      <c r="BH874" t="s">
        <v>23</v>
      </c>
      <c r="BI874" t="s">
        <v>1469</v>
      </c>
      <c r="BJ874" t="s">
        <v>2383</v>
      </c>
      <c r="BK874" s="9">
        <v>55556</v>
      </c>
      <c r="BL874" t="s">
        <v>56</v>
      </c>
      <c r="BM874" t="s">
        <v>2173</v>
      </c>
      <c r="BN874" t="s">
        <v>2410</v>
      </c>
      <c r="BO874" t="s">
        <v>2383</v>
      </c>
      <c r="BP874">
        <v>55600</v>
      </c>
      <c r="BQ874" t="s">
        <v>275</v>
      </c>
      <c r="BR874" t="s">
        <v>2319</v>
      </c>
      <c r="BS874" t="s">
        <v>2382</v>
      </c>
      <c r="BT874" t="s">
        <v>2383</v>
      </c>
      <c r="BU874">
        <v>722000</v>
      </c>
      <c r="BV874" t="s">
        <v>56</v>
      </c>
      <c r="BW874" t="s">
        <v>1426</v>
      </c>
      <c r="BX874" t="s">
        <v>29</v>
      </c>
      <c r="BY874" t="s">
        <v>29</v>
      </c>
      <c r="BZ874" t="s">
        <v>29</v>
      </c>
      <c r="HL874" t="s">
        <v>2386</v>
      </c>
      <c r="HM874" t="s">
        <v>232</v>
      </c>
      <c r="HU874" s="208">
        <v>42887</v>
      </c>
      <c r="II874" t="s">
        <v>2409</v>
      </c>
      <c r="IJ874" t="s">
        <v>1443</v>
      </c>
      <c r="IK874" t="s">
        <v>660</v>
      </c>
      <c r="IL874" t="s">
        <v>661</v>
      </c>
      <c r="IM874">
        <v>2017</v>
      </c>
      <c r="IO874" t="s">
        <v>2387</v>
      </c>
      <c r="IP874" t="s">
        <v>2409</v>
      </c>
      <c r="IQ874" t="s">
        <v>2411</v>
      </c>
      <c r="IR874" t="s">
        <v>2412</v>
      </c>
      <c r="IT874" t="s">
        <v>836</v>
      </c>
      <c r="IU874" t="s">
        <v>836</v>
      </c>
      <c r="IV874" t="s">
        <v>2387</v>
      </c>
      <c r="JL874" t="s">
        <v>721</v>
      </c>
      <c r="KF874" t="s">
        <v>2388</v>
      </c>
      <c r="KG874" t="s">
        <v>2389</v>
      </c>
      <c r="KJ874" t="s">
        <v>2386</v>
      </c>
      <c r="KK874" t="s">
        <v>222</v>
      </c>
      <c r="KL874" t="s">
        <v>2413</v>
      </c>
      <c r="KM874" t="s">
        <v>2390</v>
      </c>
      <c r="KN874">
        <v>1000</v>
      </c>
      <c r="KO874" t="s">
        <v>222</v>
      </c>
      <c r="KX874" t="s">
        <v>2305</v>
      </c>
      <c r="KY874" t="s">
        <v>2414</v>
      </c>
      <c r="LK874" t="s">
        <v>2394</v>
      </c>
      <c r="MZ874" t="s">
        <v>2395</v>
      </c>
      <c r="NA874">
        <v>136</v>
      </c>
      <c r="NC874" t="s">
        <v>2296</v>
      </c>
      <c r="ND874" t="s">
        <v>168</v>
      </c>
      <c r="NJ874" t="s">
        <v>2396</v>
      </c>
      <c r="NK874" t="s">
        <v>2397</v>
      </c>
      <c r="NL874" t="s">
        <v>2398</v>
      </c>
      <c r="NM874" t="s">
        <v>2399</v>
      </c>
      <c r="NN874" t="s">
        <v>2400</v>
      </c>
      <c r="NW874" t="s">
        <v>6</v>
      </c>
      <c r="NX874">
        <v>333273</v>
      </c>
      <c r="NY874" t="s">
        <v>29</v>
      </c>
      <c r="OC874">
        <v>3</v>
      </c>
      <c r="OT874" t="s">
        <v>2401</v>
      </c>
      <c r="OU874" t="s">
        <v>6</v>
      </c>
      <c r="OW874">
        <v>2017</v>
      </c>
      <c r="OX874">
        <v>2020</v>
      </c>
      <c r="PA874" t="s">
        <v>1169</v>
      </c>
      <c r="PB874" s="58">
        <v>46136</v>
      </c>
    </row>
    <row r="875" spans="1:418">
      <c r="A875" t="s">
        <v>248</v>
      </c>
      <c r="B875" t="s">
        <v>2376</v>
      </c>
      <c r="C875" t="s">
        <v>2377</v>
      </c>
      <c r="D875" t="s">
        <v>1936</v>
      </c>
      <c r="E875" s="90" t="s">
        <v>2378</v>
      </c>
      <c r="F875" t="s">
        <v>31</v>
      </c>
      <c r="G875" t="s">
        <v>2</v>
      </c>
      <c r="H875" t="s">
        <v>30</v>
      </c>
      <c r="I875">
        <v>7.8527777780000001</v>
      </c>
      <c r="J875">
        <v>-5.1111111109999996</v>
      </c>
      <c r="K875" t="s">
        <v>29</v>
      </c>
      <c r="AV875" t="s">
        <v>836</v>
      </c>
      <c r="AW875" t="s">
        <v>836</v>
      </c>
      <c r="AX875" t="s">
        <v>1601</v>
      </c>
      <c r="AY875" t="s">
        <v>836</v>
      </c>
      <c r="AZ875" t="s">
        <v>2379</v>
      </c>
      <c r="BA875">
        <v>2017</v>
      </c>
      <c r="BB875">
        <v>2020</v>
      </c>
      <c r="BC875" t="s">
        <v>836</v>
      </c>
      <c r="BD875" t="s">
        <v>2380</v>
      </c>
      <c r="BE875" t="s">
        <v>2415</v>
      </c>
      <c r="BF875" t="s">
        <v>252</v>
      </c>
      <c r="BG875" t="s">
        <v>1233</v>
      </c>
      <c r="BH875" t="s">
        <v>23</v>
      </c>
      <c r="BI875" t="s">
        <v>1469</v>
      </c>
      <c r="BJ875" t="s">
        <v>2383</v>
      </c>
      <c r="BK875" s="9">
        <v>55556</v>
      </c>
      <c r="BL875" t="s">
        <v>56</v>
      </c>
      <c r="BM875" t="s">
        <v>2416</v>
      </c>
      <c r="BN875" t="s">
        <v>1469</v>
      </c>
      <c r="BO875" t="s">
        <v>2383</v>
      </c>
      <c r="BP875">
        <v>148000</v>
      </c>
      <c r="BQ875" t="s">
        <v>275</v>
      </c>
      <c r="BR875" t="s">
        <v>23</v>
      </c>
      <c r="BS875" t="s">
        <v>1469</v>
      </c>
      <c r="BT875" t="s">
        <v>2383</v>
      </c>
      <c r="BU875" s="9">
        <v>55556</v>
      </c>
      <c r="BV875" t="s">
        <v>56</v>
      </c>
      <c r="BW875" t="s">
        <v>1414</v>
      </c>
      <c r="BX875" t="s">
        <v>2417</v>
      </c>
      <c r="BY875" t="s">
        <v>2383</v>
      </c>
      <c r="BZ875">
        <v>148000</v>
      </c>
      <c r="CA875" t="s">
        <v>275</v>
      </c>
      <c r="CB875" t="s">
        <v>2319</v>
      </c>
      <c r="CC875" t="s">
        <v>2382</v>
      </c>
      <c r="CD875" t="s">
        <v>2383</v>
      </c>
      <c r="CE875">
        <v>722000</v>
      </c>
      <c r="HL875" t="s">
        <v>2386</v>
      </c>
      <c r="HM875" t="s">
        <v>232</v>
      </c>
      <c r="HU875" s="208">
        <v>42887</v>
      </c>
      <c r="II875" t="s">
        <v>2415</v>
      </c>
      <c r="IJ875" t="s">
        <v>1443</v>
      </c>
      <c r="IK875" t="s">
        <v>660</v>
      </c>
      <c r="IL875" t="s">
        <v>661</v>
      </c>
      <c r="IM875">
        <v>2017</v>
      </c>
      <c r="IO875" t="s">
        <v>2387</v>
      </c>
      <c r="IP875" t="s">
        <v>2415</v>
      </c>
      <c r="IQ875" t="s">
        <v>2411</v>
      </c>
      <c r="IR875" t="s">
        <v>2412</v>
      </c>
      <c r="IT875" t="s">
        <v>836</v>
      </c>
      <c r="IU875" t="s">
        <v>836</v>
      </c>
      <c r="IV875" t="s">
        <v>2387</v>
      </c>
      <c r="JL875" t="s">
        <v>721</v>
      </c>
      <c r="KF875" t="s">
        <v>2388</v>
      </c>
      <c r="KG875" t="s">
        <v>2389</v>
      </c>
      <c r="KJ875" t="s">
        <v>2386</v>
      </c>
      <c r="KK875" t="s">
        <v>222</v>
      </c>
      <c r="KL875" t="s">
        <v>221</v>
      </c>
      <c r="KM875" t="s">
        <v>2390</v>
      </c>
      <c r="KN875">
        <v>540</v>
      </c>
      <c r="KO875" t="s">
        <v>222</v>
      </c>
      <c r="KP875" t="s">
        <v>2391</v>
      </c>
      <c r="KQ875" t="s">
        <v>2390</v>
      </c>
      <c r="KR875">
        <v>360</v>
      </c>
      <c r="KW875" t="s">
        <v>2392</v>
      </c>
      <c r="KX875" t="s">
        <v>2393</v>
      </c>
      <c r="LK875" t="s">
        <v>2394</v>
      </c>
      <c r="MZ875" t="s">
        <v>2395</v>
      </c>
      <c r="NA875">
        <v>136</v>
      </c>
      <c r="NC875" t="s">
        <v>2296</v>
      </c>
      <c r="ND875" t="s">
        <v>168</v>
      </c>
      <c r="NJ875" t="s">
        <v>2396</v>
      </c>
      <c r="NK875" t="s">
        <v>2397</v>
      </c>
      <c r="NL875" t="s">
        <v>2398</v>
      </c>
      <c r="NM875" t="s">
        <v>2399</v>
      </c>
      <c r="NN875" t="s">
        <v>2400</v>
      </c>
      <c r="NW875" t="s">
        <v>6</v>
      </c>
      <c r="NX875">
        <v>150526</v>
      </c>
      <c r="NY875" t="s">
        <v>29</v>
      </c>
      <c r="OC875">
        <v>3</v>
      </c>
      <c r="OT875" t="s">
        <v>2401</v>
      </c>
      <c r="OU875" t="s">
        <v>6</v>
      </c>
      <c r="OW875">
        <v>2017</v>
      </c>
      <c r="OX875">
        <v>2020</v>
      </c>
      <c r="PA875" t="s">
        <v>1169</v>
      </c>
      <c r="PB875" s="58">
        <v>46136</v>
      </c>
    </row>
    <row r="876" spans="1:418">
      <c r="A876" t="s">
        <v>248</v>
      </c>
      <c r="B876" t="s">
        <v>2376</v>
      </c>
      <c r="C876" t="s">
        <v>2377</v>
      </c>
      <c r="D876" t="s">
        <v>1936</v>
      </c>
      <c r="E876" s="90" t="s">
        <v>2378</v>
      </c>
      <c r="F876" t="s">
        <v>31</v>
      </c>
      <c r="G876" t="s">
        <v>2</v>
      </c>
      <c r="H876" t="s">
        <v>30</v>
      </c>
      <c r="I876">
        <v>7.8527777780000001</v>
      </c>
      <c r="J876">
        <v>-5.1111111109999996</v>
      </c>
      <c r="K876" t="s">
        <v>29</v>
      </c>
      <c r="AV876" t="s">
        <v>836</v>
      </c>
      <c r="AW876" t="s">
        <v>836</v>
      </c>
      <c r="AX876" t="s">
        <v>1601</v>
      </c>
      <c r="AY876" t="s">
        <v>836</v>
      </c>
      <c r="AZ876" t="s">
        <v>2379</v>
      </c>
      <c r="BA876">
        <v>2017</v>
      </c>
      <c r="BB876">
        <v>2020</v>
      </c>
      <c r="BC876" t="s">
        <v>836</v>
      </c>
      <c r="BD876" t="s">
        <v>2380</v>
      </c>
      <c r="BE876" t="s">
        <v>2418</v>
      </c>
      <c r="BF876" t="s">
        <v>236</v>
      </c>
      <c r="BG876" t="s">
        <v>1233</v>
      </c>
      <c r="BH876" t="s">
        <v>2005</v>
      </c>
      <c r="BI876" t="s">
        <v>1469</v>
      </c>
      <c r="BJ876" t="s">
        <v>29</v>
      </c>
      <c r="BK876" t="s">
        <v>29</v>
      </c>
      <c r="BL876" t="s">
        <v>56</v>
      </c>
      <c r="BM876" t="s">
        <v>2384</v>
      </c>
      <c r="BN876" t="s">
        <v>2385</v>
      </c>
      <c r="BO876" t="s">
        <v>2383</v>
      </c>
      <c r="BP876">
        <v>940000</v>
      </c>
      <c r="BQ876" t="s">
        <v>275</v>
      </c>
      <c r="BR876" t="s">
        <v>2005</v>
      </c>
      <c r="BS876" t="s">
        <v>1469</v>
      </c>
      <c r="BT876" t="s">
        <v>29</v>
      </c>
      <c r="BU876" t="s">
        <v>29</v>
      </c>
      <c r="BV876" t="s">
        <v>56</v>
      </c>
      <c r="BW876" t="s">
        <v>2384</v>
      </c>
      <c r="BX876" t="s">
        <v>2385</v>
      </c>
      <c r="BY876" t="s">
        <v>2383</v>
      </c>
      <c r="BZ876">
        <v>940000</v>
      </c>
      <c r="CA876" t="s">
        <v>275</v>
      </c>
      <c r="CB876" t="s">
        <v>2319</v>
      </c>
      <c r="CC876" t="s">
        <v>2382</v>
      </c>
      <c r="CD876" t="s">
        <v>2383</v>
      </c>
      <c r="CE876">
        <v>722000</v>
      </c>
      <c r="CF876" t="s">
        <v>56</v>
      </c>
      <c r="CG876" t="s">
        <v>2384</v>
      </c>
      <c r="CH876" t="s">
        <v>2419</v>
      </c>
      <c r="CI876" t="s">
        <v>2383</v>
      </c>
      <c r="CJ876">
        <v>940000</v>
      </c>
      <c r="HL876" t="s">
        <v>2386</v>
      </c>
      <c r="HM876" t="s">
        <v>232</v>
      </c>
      <c r="HU876" s="208">
        <v>42887</v>
      </c>
      <c r="II876" t="s">
        <v>2418</v>
      </c>
      <c r="IJ876" t="s">
        <v>1443</v>
      </c>
      <c r="IK876" t="s">
        <v>660</v>
      </c>
      <c r="IL876" t="s">
        <v>661</v>
      </c>
      <c r="IM876">
        <v>2017</v>
      </c>
      <c r="IO876" t="s">
        <v>2387</v>
      </c>
      <c r="IP876" t="s">
        <v>2418</v>
      </c>
      <c r="IQ876" t="s">
        <v>1920</v>
      </c>
      <c r="IR876" t="s">
        <v>273</v>
      </c>
      <c r="IT876" t="s">
        <v>836</v>
      </c>
      <c r="IU876" t="s">
        <v>836</v>
      </c>
      <c r="IV876" t="s">
        <v>2387</v>
      </c>
      <c r="JL876" t="s">
        <v>721</v>
      </c>
      <c r="KF876" t="s">
        <v>2388</v>
      </c>
      <c r="KG876" t="s">
        <v>2389</v>
      </c>
      <c r="KJ876" t="s">
        <v>2386</v>
      </c>
      <c r="KK876" t="s">
        <v>222</v>
      </c>
      <c r="KL876" t="s">
        <v>221</v>
      </c>
      <c r="KM876" t="s">
        <v>2390</v>
      </c>
      <c r="KN876">
        <v>540</v>
      </c>
      <c r="KO876" t="s">
        <v>222</v>
      </c>
      <c r="KP876" t="s">
        <v>2391</v>
      </c>
      <c r="KQ876" t="s">
        <v>2390</v>
      </c>
      <c r="KR876">
        <v>360</v>
      </c>
      <c r="KW876" t="s">
        <v>2392</v>
      </c>
      <c r="KX876" t="s">
        <v>2393</v>
      </c>
      <c r="LK876" t="s">
        <v>2394</v>
      </c>
      <c r="MZ876" t="s">
        <v>2395</v>
      </c>
      <c r="NA876">
        <v>136</v>
      </c>
      <c r="NC876" t="s">
        <v>2296</v>
      </c>
      <c r="ND876" t="s">
        <v>2420</v>
      </c>
      <c r="NJ876" t="s">
        <v>2396</v>
      </c>
      <c r="NK876" t="s">
        <v>2397</v>
      </c>
      <c r="NL876" t="s">
        <v>2398</v>
      </c>
      <c r="NM876" t="s">
        <v>2399</v>
      </c>
      <c r="NN876" t="s">
        <v>2400</v>
      </c>
      <c r="NW876" t="s">
        <v>6</v>
      </c>
      <c r="NX876">
        <v>1218677</v>
      </c>
      <c r="NY876" t="s">
        <v>29</v>
      </c>
      <c r="OC876">
        <v>3</v>
      </c>
      <c r="OT876" t="s">
        <v>2401</v>
      </c>
      <c r="OU876" t="s">
        <v>6</v>
      </c>
      <c r="OW876">
        <v>2017</v>
      </c>
      <c r="OX876">
        <v>2020</v>
      </c>
      <c r="PA876" t="s">
        <v>1169</v>
      </c>
      <c r="PB876" s="58">
        <v>46136</v>
      </c>
    </row>
    <row r="877" spans="1:418">
      <c r="A877" t="s">
        <v>248</v>
      </c>
      <c r="B877" t="s">
        <v>2376</v>
      </c>
      <c r="C877" t="s">
        <v>2377</v>
      </c>
      <c r="D877" t="s">
        <v>1936</v>
      </c>
      <c r="E877" s="90" t="s">
        <v>2378</v>
      </c>
      <c r="F877" t="s">
        <v>31</v>
      </c>
      <c r="G877" t="s">
        <v>2</v>
      </c>
      <c r="H877" t="s">
        <v>30</v>
      </c>
      <c r="I877">
        <v>7.8527777780000001</v>
      </c>
      <c r="J877">
        <v>-5.1111111109999996</v>
      </c>
      <c r="K877" t="s">
        <v>29</v>
      </c>
      <c r="AV877" t="s">
        <v>836</v>
      </c>
      <c r="AW877" t="s">
        <v>836</v>
      </c>
      <c r="AX877" t="s">
        <v>1601</v>
      </c>
      <c r="AY877" t="s">
        <v>836</v>
      </c>
      <c r="AZ877" t="s">
        <v>2379</v>
      </c>
      <c r="BA877">
        <v>2017</v>
      </c>
      <c r="BB877">
        <v>2020</v>
      </c>
      <c r="BC877" t="s">
        <v>836</v>
      </c>
      <c r="BD877" t="s">
        <v>2380</v>
      </c>
      <c r="BE877" t="s">
        <v>2381</v>
      </c>
      <c r="BG877" t="s">
        <v>1233</v>
      </c>
      <c r="BH877" t="s">
        <v>2319</v>
      </c>
      <c r="BI877" t="s">
        <v>2382</v>
      </c>
      <c r="BJ877" t="s">
        <v>2383</v>
      </c>
      <c r="BK877">
        <v>722000</v>
      </c>
      <c r="BL877" t="s">
        <v>56</v>
      </c>
      <c r="BM877" t="s">
        <v>2384</v>
      </c>
      <c r="BN877" t="s">
        <v>2385</v>
      </c>
      <c r="BO877" t="s">
        <v>2383</v>
      </c>
      <c r="BP877" s="9">
        <v>470000</v>
      </c>
      <c r="BQ877" t="s">
        <v>275</v>
      </c>
      <c r="BR877" t="s">
        <v>23</v>
      </c>
      <c r="BS877" t="s">
        <v>1469</v>
      </c>
      <c r="BT877" t="s">
        <v>2383</v>
      </c>
      <c r="BU877" s="9">
        <v>55556</v>
      </c>
      <c r="BV877" t="s">
        <v>56</v>
      </c>
      <c r="BW877" t="s">
        <v>2384</v>
      </c>
      <c r="BX877" t="s">
        <v>2385</v>
      </c>
      <c r="BY877" t="s">
        <v>2383</v>
      </c>
      <c r="BZ877" s="9">
        <v>470000</v>
      </c>
      <c r="HL877" t="s">
        <v>2386</v>
      </c>
      <c r="HM877" t="s">
        <v>232</v>
      </c>
      <c r="HU877" s="208">
        <v>42887</v>
      </c>
      <c r="II877" t="s">
        <v>2381</v>
      </c>
      <c r="IJ877" t="s">
        <v>1443</v>
      </c>
      <c r="IK877" t="s">
        <v>660</v>
      </c>
      <c r="IL877" t="s">
        <v>661</v>
      </c>
      <c r="IM877">
        <v>2017</v>
      </c>
      <c r="IO877" t="s">
        <v>2387</v>
      </c>
      <c r="IP877" t="s">
        <v>2381</v>
      </c>
      <c r="IQ877" t="s">
        <v>1920</v>
      </c>
      <c r="IR877" t="s">
        <v>273</v>
      </c>
      <c r="IT877" t="s">
        <v>836</v>
      </c>
      <c r="IU877" t="s">
        <v>836</v>
      </c>
      <c r="IV877" t="s">
        <v>2387</v>
      </c>
      <c r="JL877" t="s">
        <v>721</v>
      </c>
      <c r="KF877" t="s">
        <v>2388</v>
      </c>
      <c r="KG877" t="s">
        <v>2389</v>
      </c>
      <c r="KJ877" t="s">
        <v>2386</v>
      </c>
      <c r="KK877" t="s">
        <v>222</v>
      </c>
      <c r="KL877" t="s">
        <v>221</v>
      </c>
      <c r="KM877" t="s">
        <v>2390</v>
      </c>
      <c r="KN877">
        <f>+AVERAGE(360,720)</f>
        <v>540</v>
      </c>
      <c r="KO877" t="s">
        <v>222</v>
      </c>
      <c r="KP877" t="s">
        <v>2391</v>
      </c>
      <c r="KQ877" t="s">
        <v>2390</v>
      </c>
      <c r="KR877">
        <v>360</v>
      </c>
      <c r="KW877" t="s">
        <v>2392</v>
      </c>
      <c r="KX877" t="s">
        <v>2393</v>
      </c>
      <c r="LK877" t="s">
        <v>2394</v>
      </c>
      <c r="MZ877" t="s">
        <v>2395</v>
      </c>
      <c r="NA877">
        <v>136</v>
      </c>
      <c r="NC877" t="s">
        <v>2296</v>
      </c>
      <c r="ND877" t="s">
        <v>168</v>
      </c>
      <c r="NJ877" t="s">
        <v>2396</v>
      </c>
      <c r="NK877" s="209" t="s">
        <v>2421</v>
      </c>
      <c r="NL877" s="209" t="s">
        <v>2422</v>
      </c>
      <c r="NM877" s="4" t="s">
        <v>2423</v>
      </c>
      <c r="NN877" t="s">
        <v>2424</v>
      </c>
      <c r="NW877" t="s">
        <v>6</v>
      </c>
      <c r="NX877">
        <v>73</v>
      </c>
      <c r="NY877" t="s">
        <v>29</v>
      </c>
      <c r="OC877">
        <v>3</v>
      </c>
      <c r="OT877" t="s">
        <v>2401</v>
      </c>
      <c r="OU877" t="s">
        <v>6</v>
      </c>
      <c r="OW877">
        <v>2017</v>
      </c>
      <c r="OX877">
        <v>2020</v>
      </c>
      <c r="PA877" t="s">
        <v>1169</v>
      </c>
      <c r="PB877" s="58">
        <v>46136</v>
      </c>
    </row>
    <row r="878" spans="1:418">
      <c r="A878" t="s">
        <v>248</v>
      </c>
      <c r="B878" t="s">
        <v>2376</v>
      </c>
      <c r="C878" t="s">
        <v>2377</v>
      </c>
      <c r="D878" t="s">
        <v>1936</v>
      </c>
      <c r="E878" s="90" t="s">
        <v>2378</v>
      </c>
      <c r="F878" t="s">
        <v>31</v>
      </c>
      <c r="G878" t="s">
        <v>2</v>
      </c>
      <c r="H878" t="s">
        <v>30</v>
      </c>
      <c r="I878">
        <v>7.8527777780000001</v>
      </c>
      <c r="J878">
        <v>-5.1111111109999996</v>
      </c>
      <c r="K878" t="s">
        <v>29</v>
      </c>
      <c r="AV878" t="s">
        <v>836</v>
      </c>
      <c r="AW878" t="s">
        <v>836</v>
      </c>
      <c r="AX878" t="s">
        <v>1601</v>
      </c>
      <c r="AY878" t="s">
        <v>836</v>
      </c>
      <c r="AZ878" t="s">
        <v>2379</v>
      </c>
      <c r="BA878">
        <v>2017</v>
      </c>
      <c r="BB878">
        <v>2020</v>
      </c>
      <c r="BC878" t="s">
        <v>836</v>
      </c>
      <c r="BD878" t="s">
        <v>2402</v>
      </c>
      <c r="BE878" t="s">
        <v>2403</v>
      </c>
      <c r="BG878" t="s">
        <v>1233</v>
      </c>
      <c r="BH878" t="s">
        <v>2319</v>
      </c>
      <c r="BI878" t="s">
        <v>2382</v>
      </c>
      <c r="BJ878" t="s">
        <v>2383</v>
      </c>
      <c r="BK878">
        <v>722000</v>
      </c>
      <c r="BL878" t="s">
        <v>56</v>
      </c>
      <c r="BM878" t="s">
        <v>2384</v>
      </c>
      <c r="BN878" t="s">
        <v>2385</v>
      </c>
      <c r="BO878" t="s">
        <v>2383</v>
      </c>
      <c r="BP878" s="9">
        <v>470000</v>
      </c>
      <c r="BQ878" t="s">
        <v>275</v>
      </c>
      <c r="BR878" t="s">
        <v>2319</v>
      </c>
      <c r="BS878" t="s">
        <v>2382</v>
      </c>
      <c r="BT878" t="s">
        <v>2383</v>
      </c>
      <c r="BU878">
        <v>722000</v>
      </c>
      <c r="BV878" t="s">
        <v>56</v>
      </c>
      <c r="BW878" t="s">
        <v>2384</v>
      </c>
      <c r="BX878" t="s">
        <v>2385</v>
      </c>
      <c r="BY878" t="s">
        <v>2383</v>
      </c>
      <c r="BZ878" s="9">
        <v>470000</v>
      </c>
      <c r="HL878" t="s">
        <v>2386</v>
      </c>
      <c r="HM878" t="s">
        <v>232</v>
      </c>
      <c r="HU878" s="208">
        <v>42887</v>
      </c>
      <c r="II878" t="s">
        <v>2403</v>
      </c>
      <c r="IJ878" t="s">
        <v>1443</v>
      </c>
      <c r="IK878" t="s">
        <v>660</v>
      </c>
      <c r="IL878" t="s">
        <v>661</v>
      </c>
      <c r="IM878">
        <v>2017</v>
      </c>
      <c r="IO878" t="s">
        <v>2387</v>
      </c>
      <c r="IP878" t="s">
        <v>2403</v>
      </c>
      <c r="IQ878" t="s">
        <v>1920</v>
      </c>
      <c r="IR878" t="s">
        <v>273</v>
      </c>
      <c r="IT878" t="s">
        <v>836</v>
      </c>
      <c r="IU878" t="s">
        <v>836</v>
      </c>
      <c r="IV878" t="s">
        <v>2387</v>
      </c>
      <c r="JL878" t="s">
        <v>721</v>
      </c>
      <c r="KF878" t="s">
        <v>2388</v>
      </c>
      <c r="KG878" t="s">
        <v>2389</v>
      </c>
      <c r="KJ878" t="s">
        <v>2386</v>
      </c>
      <c r="KK878" t="s">
        <v>222</v>
      </c>
      <c r="KL878" t="s">
        <v>221</v>
      </c>
      <c r="KM878" t="s">
        <v>2390</v>
      </c>
      <c r="KN878">
        <f t="shared" ref="KN878:KN880" si="4">+AVERAGE(360,720)</f>
        <v>540</v>
      </c>
      <c r="KO878" t="s">
        <v>222</v>
      </c>
      <c r="KP878" t="s">
        <v>2391</v>
      </c>
      <c r="KQ878" t="s">
        <v>2390</v>
      </c>
      <c r="KR878">
        <v>360</v>
      </c>
      <c r="KW878" t="s">
        <v>2392</v>
      </c>
      <c r="KX878" t="s">
        <v>2393</v>
      </c>
      <c r="LK878" t="s">
        <v>2394</v>
      </c>
      <c r="MZ878" t="s">
        <v>2395</v>
      </c>
      <c r="NA878">
        <v>136</v>
      </c>
      <c r="NC878" t="s">
        <v>2296</v>
      </c>
      <c r="NJ878" t="s">
        <v>2396</v>
      </c>
      <c r="NK878" s="209" t="s">
        <v>2421</v>
      </c>
      <c r="NL878" s="209" t="s">
        <v>2422</v>
      </c>
      <c r="NM878" s="4" t="s">
        <v>2423</v>
      </c>
      <c r="NN878" t="s">
        <v>2424</v>
      </c>
      <c r="NW878" t="s">
        <v>6</v>
      </c>
      <c r="NX878">
        <v>67</v>
      </c>
      <c r="NY878" t="s">
        <v>29</v>
      </c>
      <c r="OC878">
        <v>3</v>
      </c>
      <c r="OT878" t="s">
        <v>2401</v>
      </c>
      <c r="OU878" t="s">
        <v>6</v>
      </c>
      <c r="OW878">
        <v>2017</v>
      </c>
      <c r="OX878">
        <v>2020</v>
      </c>
      <c r="PA878" t="s">
        <v>1169</v>
      </c>
      <c r="PB878" s="58">
        <v>46136</v>
      </c>
    </row>
    <row r="879" spans="1:418">
      <c r="A879" t="s">
        <v>248</v>
      </c>
      <c r="B879" t="s">
        <v>2376</v>
      </c>
      <c r="C879" t="s">
        <v>2377</v>
      </c>
      <c r="D879" t="s">
        <v>1936</v>
      </c>
      <c r="E879" s="90" t="s">
        <v>2378</v>
      </c>
      <c r="F879" t="s">
        <v>31</v>
      </c>
      <c r="G879" t="s">
        <v>2</v>
      </c>
      <c r="H879" t="s">
        <v>30</v>
      </c>
      <c r="I879">
        <v>7.8527777780000001</v>
      </c>
      <c r="J879">
        <v>-5.1111111109999996</v>
      </c>
      <c r="K879" t="s">
        <v>29</v>
      </c>
      <c r="AV879" t="s">
        <v>836</v>
      </c>
      <c r="AW879" t="s">
        <v>836</v>
      </c>
      <c r="AX879" t="s">
        <v>1601</v>
      </c>
      <c r="AY879" t="s">
        <v>836</v>
      </c>
      <c r="AZ879" t="s">
        <v>2379</v>
      </c>
      <c r="BA879">
        <v>2017</v>
      </c>
      <c r="BB879">
        <v>2020</v>
      </c>
      <c r="BC879" t="s">
        <v>836</v>
      </c>
      <c r="BD879" t="s">
        <v>2402</v>
      </c>
      <c r="BE879" t="s">
        <v>2404</v>
      </c>
      <c r="BG879" t="s">
        <v>1233</v>
      </c>
      <c r="BH879" t="s">
        <v>2319</v>
      </c>
      <c r="BI879" t="s">
        <v>2382</v>
      </c>
      <c r="BJ879" t="s">
        <v>2383</v>
      </c>
      <c r="BK879">
        <v>722000</v>
      </c>
      <c r="BL879" t="s">
        <v>56</v>
      </c>
      <c r="BM879" t="s">
        <v>2384</v>
      </c>
      <c r="BN879" t="s">
        <v>2385</v>
      </c>
      <c r="BO879" t="s">
        <v>2383</v>
      </c>
      <c r="BP879" s="9">
        <v>470000</v>
      </c>
      <c r="BQ879" t="s">
        <v>275</v>
      </c>
      <c r="BR879" t="s">
        <v>2384</v>
      </c>
      <c r="BS879" t="s">
        <v>2385</v>
      </c>
      <c r="BT879" t="s">
        <v>2383</v>
      </c>
      <c r="BU879" s="9">
        <v>470000</v>
      </c>
      <c r="BV879" t="s">
        <v>275</v>
      </c>
      <c r="BW879" t="s">
        <v>2319</v>
      </c>
      <c r="BX879" t="s">
        <v>2382</v>
      </c>
      <c r="BY879" t="s">
        <v>2383</v>
      </c>
      <c r="BZ879">
        <v>722000</v>
      </c>
      <c r="CA879" t="s">
        <v>56</v>
      </c>
      <c r="CB879" t="s">
        <v>2384</v>
      </c>
      <c r="CC879" t="s">
        <v>2385</v>
      </c>
      <c r="CD879" t="s">
        <v>2383</v>
      </c>
      <c r="CE879" s="9">
        <v>470000</v>
      </c>
      <c r="HL879" t="s">
        <v>2386</v>
      </c>
      <c r="HM879" t="s">
        <v>232</v>
      </c>
      <c r="HU879" s="208">
        <v>42887</v>
      </c>
      <c r="II879" t="s">
        <v>2404</v>
      </c>
      <c r="IJ879" t="s">
        <v>1443</v>
      </c>
      <c r="IK879" t="s">
        <v>660</v>
      </c>
      <c r="IL879" t="s">
        <v>661</v>
      </c>
      <c r="IM879">
        <v>2017</v>
      </c>
      <c r="IO879" t="s">
        <v>2387</v>
      </c>
      <c r="IP879" t="s">
        <v>2404</v>
      </c>
      <c r="IQ879" t="s">
        <v>1920</v>
      </c>
      <c r="IR879" t="s">
        <v>273</v>
      </c>
      <c r="IT879" t="s">
        <v>836</v>
      </c>
      <c r="IU879" t="s">
        <v>836</v>
      </c>
      <c r="IV879" t="s">
        <v>2387</v>
      </c>
      <c r="JL879" t="s">
        <v>721</v>
      </c>
      <c r="KF879" t="s">
        <v>2388</v>
      </c>
      <c r="KG879" t="s">
        <v>2389</v>
      </c>
      <c r="KJ879" t="s">
        <v>2386</v>
      </c>
      <c r="KK879" t="s">
        <v>222</v>
      </c>
      <c r="KL879" t="s">
        <v>221</v>
      </c>
      <c r="KM879" t="s">
        <v>2390</v>
      </c>
      <c r="KN879">
        <f t="shared" si="4"/>
        <v>540</v>
      </c>
      <c r="KO879" t="s">
        <v>222</v>
      </c>
      <c r="KP879" t="s">
        <v>2391</v>
      </c>
      <c r="KQ879" t="s">
        <v>2390</v>
      </c>
      <c r="KR879">
        <v>360</v>
      </c>
      <c r="KW879" t="s">
        <v>2392</v>
      </c>
      <c r="KX879" t="s">
        <v>2393</v>
      </c>
      <c r="LK879" t="s">
        <v>2394</v>
      </c>
      <c r="MZ879" t="s">
        <v>2395</v>
      </c>
      <c r="NA879">
        <v>136</v>
      </c>
      <c r="NC879" t="s">
        <v>2296</v>
      </c>
      <c r="NJ879" t="s">
        <v>2396</v>
      </c>
      <c r="NK879" s="209" t="s">
        <v>2421</v>
      </c>
      <c r="NL879" s="209" t="s">
        <v>2422</v>
      </c>
      <c r="NM879" s="4" t="s">
        <v>2423</v>
      </c>
      <c r="NN879" t="s">
        <v>2424</v>
      </c>
      <c r="NW879" t="s">
        <v>6</v>
      </c>
      <c r="NX879">
        <v>60</v>
      </c>
      <c r="NY879" t="s">
        <v>29</v>
      </c>
      <c r="OC879">
        <v>3</v>
      </c>
      <c r="OT879" t="s">
        <v>2401</v>
      </c>
      <c r="OU879" t="s">
        <v>6</v>
      </c>
      <c r="OW879">
        <v>2017</v>
      </c>
      <c r="OX879">
        <v>2020</v>
      </c>
      <c r="PA879" t="s">
        <v>1169</v>
      </c>
      <c r="PB879" s="58">
        <v>46136</v>
      </c>
    </row>
    <row r="880" spans="1:418">
      <c r="A880" t="s">
        <v>248</v>
      </c>
      <c r="B880" t="s">
        <v>2376</v>
      </c>
      <c r="C880" t="s">
        <v>2377</v>
      </c>
      <c r="D880" t="s">
        <v>1936</v>
      </c>
      <c r="E880" s="90" t="s">
        <v>2378</v>
      </c>
      <c r="F880" t="s">
        <v>31</v>
      </c>
      <c r="G880" t="s">
        <v>2</v>
      </c>
      <c r="H880" t="s">
        <v>30</v>
      </c>
      <c r="I880">
        <v>7.8527777780000001</v>
      </c>
      <c r="J880">
        <v>-5.1111111109999996</v>
      </c>
      <c r="K880" t="s">
        <v>29</v>
      </c>
      <c r="AV880" t="s">
        <v>836</v>
      </c>
      <c r="AW880" t="s">
        <v>836</v>
      </c>
      <c r="AX880" t="s">
        <v>1601</v>
      </c>
      <c r="AY880" t="s">
        <v>836</v>
      </c>
      <c r="AZ880" t="s">
        <v>2379</v>
      </c>
      <c r="BA880">
        <v>2017</v>
      </c>
      <c r="BB880">
        <v>2020</v>
      </c>
      <c r="BC880" t="s">
        <v>836</v>
      </c>
      <c r="BD880" t="s">
        <v>19</v>
      </c>
      <c r="BE880" t="s">
        <v>2405</v>
      </c>
      <c r="BG880" t="s">
        <v>1233</v>
      </c>
      <c r="BH880" t="s">
        <v>2319</v>
      </c>
      <c r="BI880" t="s">
        <v>2382</v>
      </c>
      <c r="BJ880" t="s">
        <v>2383</v>
      </c>
      <c r="BK880">
        <v>722000</v>
      </c>
      <c r="BL880" t="s">
        <v>275</v>
      </c>
      <c r="BM880" t="s">
        <v>23</v>
      </c>
      <c r="BN880" t="s">
        <v>1469</v>
      </c>
      <c r="BO880" t="s">
        <v>2383</v>
      </c>
      <c r="BP880" s="9">
        <v>55556</v>
      </c>
      <c r="HL880" t="s">
        <v>2406</v>
      </c>
      <c r="HM880" t="s">
        <v>297</v>
      </c>
      <c r="HN880" t="s">
        <v>2407</v>
      </c>
      <c r="HQ880">
        <v>3</v>
      </c>
      <c r="HU880" s="208">
        <v>42887</v>
      </c>
      <c r="II880" t="s">
        <v>2405</v>
      </c>
      <c r="IJ880" t="s">
        <v>19</v>
      </c>
      <c r="IK880" t="s">
        <v>660</v>
      </c>
      <c r="IL880" t="s">
        <v>661</v>
      </c>
      <c r="IM880">
        <v>2017</v>
      </c>
      <c r="IO880" t="s">
        <v>2408</v>
      </c>
      <c r="IP880" t="s">
        <v>2405</v>
      </c>
      <c r="IQ880" t="s">
        <v>1920</v>
      </c>
      <c r="IR880" t="s">
        <v>283</v>
      </c>
      <c r="IT880" t="s">
        <v>836</v>
      </c>
      <c r="IU880" t="s">
        <v>836</v>
      </c>
      <c r="IV880" t="s">
        <v>2408</v>
      </c>
      <c r="JL880" t="s">
        <v>721</v>
      </c>
      <c r="KF880" t="s">
        <v>2388</v>
      </c>
      <c r="KG880" t="s">
        <v>2389</v>
      </c>
      <c r="KJ880" t="s">
        <v>2406</v>
      </c>
      <c r="KK880" t="s">
        <v>222</v>
      </c>
      <c r="KL880" t="s">
        <v>221</v>
      </c>
      <c r="KM880" t="s">
        <v>2390</v>
      </c>
      <c r="KN880">
        <f t="shared" si="4"/>
        <v>540</v>
      </c>
      <c r="KO880" t="s">
        <v>222</v>
      </c>
      <c r="KP880" t="s">
        <v>2391</v>
      </c>
      <c r="KQ880" t="s">
        <v>2390</v>
      </c>
      <c r="KR880">
        <v>360</v>
      </c>
      <c r="KW880" t="s">
        <v>2392</v>
      </c>
      <c r="KX880" t="s">
        <v>2393</v>
      </c>
      <c r="LK880" t="s">
        <v>2394</v>
      </c>
      <c r="MZ880" t="s">
        <v>2395</v>
      </c>
      <c r="NA880">
        <v>136</v>
      </c>
      <c r="NC880" t="s">
        <v>2296</v>
      </c>
      <c r="ND880" t="s">
        <v>168</v>
      </c>
      <c r="NJ880" t="s">
        <v>2396</v>
      </c>
      <c r="NK880" s="209" t="s">
        <v>2421</v>
      </c>
      <c r="NL880" s="209" t="s">
        <v>2422</v>
      </c>
      <c r="NM880" s="4" t="s">
        <v>2423</v>
      </c>
      <c r="NN880" t="s">
        <v>2424</v>
      </c>
      <c r="NW880" t="s">
        <v>6</v>
      </c>
      <c r="NX880">
        <v>82</v>
      </c>
      <c r="NY880" t="s">
        <v>29</v>
      </c>
      <c r="OC880">
        <v>3</v>
      </c>
      <c r="OT880" t="s">
        <v>2401</v>
      </c>
      <c r="OU880" t="s">
        <v>6</v>
      </c>
      <c r="OW880">
        <v>2017</v>
      </c>
      <c r="OX880">
        <v>2020</v>
      </c>
      <c r="PA880" t="s">
        <v>1169</v>
      </c>
      <c r="PB880" s="58">
        <v>46136</v>
      </c>
    </row>
    <row r="881" spans="1:418">
      <c r="A881" t="s">
        <v>248</v>
      </c>
      <c r="B881" t="s">
        <v>2376</v>
      </c>
      <c r="C881" t="s">
        <v>2377</v>
      </c>
      <c r="D881" t="s">
        <v>1936</v>
      </c>
      <c r="E881" s="90" t="s">
        <v>2378</v>
      </c>
      <c r="F881" t="s">
        <v>31</v>
      </c>
      <c r="G881" t="s">
        <v>2</v>
      </c>
      <c r="H881" t="s">
        <v>30</v>
      </c>
      <c r="I881">
        <v>7.8527777780000001</v>
      </c>
      <c r="J881">
        <v>-5.1111111109999996</v>
      </c>
      <c r="K881" t="s">
        <v>29</v>
      </c>
      <c r="AV881" t="s">
        <v>836</v>
      </c>
      <c r="AW881" t="s">
        <v>836</v>
      </c>
      <c r="AX881" t="s">
        <v>1601</v>
      </c>
      <c r="AY881" t="s">
        <v>836</v>
      </c>
      <c r="AZ881" t="s">
        <v>2379</v>
      </c>
      <c r="BA881">
        <v>2017</v>
      </c>
      <c r="BB881">
        <v>2020</v>
      </c>
      <c r="BC881" t="s">
        <v>836</v>
      </c>
      <c r="BD881" t="s">
        <v>2380</v>
      </c>
      <c r="BE881" t="s">
        <v>2409</v>
      </c>
      <c r="BG881" t="s">
        <v>1233</v>
      </c>
      <c r="BH881" t="s">
        <v>23</v>
      </c>
      <c r="BI881" t="s">
        <v>1469</v>
      </c>
      <c r="BJ881" t="s">
        <v>2383</v>
      </c>
      <c r="BK881" s="9">
        <v>55556</v>
      </c>
      <c r="BL881" t="s">
        <v>56</v>
      </c>
      <c r="BM881" t="s">
        <v>2173</v>
      </c>
      <c r="BN881" t="s">
        <v>2410</v>
      </c>
      <c r="BO881" t="s">
        <v>2383</v>
      </c>
      <c r="BP881">
        <v>55600</v>
      </c>
      <c r="BQ881" t="s">
        <v>275</v>
      </c>
      <c r="BR881" t="s">
        <v>2319</v>
      </c>
      <c r="BS881" t="s">
        <v>2382</v>
      </c>
      <c r="BT881" t="s">
        <v>2383</v>
      </c>
      <c r="BU881">
        <v>722000</v>
      </c>
      <c r="BV881" t="s">
        <v>56</v>
      </c>
      <c r="BW881" t="s">
        <v>1426</v>
      </c>
      <c r="BX881" t="s">
        <v>29</v>
      </c>
      <c r="BY881" t="s">
        <v>29</v>
      </c>
      <c r="BZ881" t="s">
        <v>29</v>
      </c>
      <c r="HL881" t="s">
        <v>2386</v>
      </c>
      <c r="HM881" t="s">
        <v>232</v>
      </c>
      <c r="HU881" s="208">
        <v>42887</v>
      </c>
      <c r="II881" t="s">
        <v>2409</v>
      </c>
      <c r="IJ881" t="s">
        <v>1443</v>
      </c>
      <c r="IK881" t="s">
        <v>660</v>
      </c>
      <c r="IL881" t="s">
        <v>661</v>
      </c>
      <c r="IM881">
        <v>2017</v>
      </c>
      <c r="IO881" t="s">
        <v>2387</v>
      </c>
      <c r="IP881" t="s">
        <v>2409</v>
      </c>
      <c r="IQ881" t="s">
        <v>2411</v>
      </c>
      <c r="IR881" t="s">
        <v>2412</v>
      </c>
      <c r="IT881" t="s">
        <v>836</v>
      </c>
      <c r="IU881" t="s">
        <v>836</v>
      </c>
      <c r="IV881" t="s">
        <v>2387</v>
      </c>
      <c r="JL881" t="s">
        <v>721</v>
      </c>
      <c r="KF881" t="s">
        <v>2388</v>
      </c>
      <c r="KG881" t="s">
        <v>2389</v>
      </c>
      <c r="KJ881" t="s">
        <v>2386</v>
      </c>
      <c r="KK881" t="s">
        <v>222</v>
      </c>
      <c r="KL881" t="s">
        <v>2413</v>
      </c>
      <c r="KM881" t="s">
        <v>2390</v>
      </c>
      <c r="KN881">
        <v>1000</v>
      </c>
      <c r="KO881" t="s">
        <v>222</v>
      </c>
      <c r="KX881" t="s">
        <v>2305</v>
      </c>
      <c r="KY881" t="s">
        <v>2414</v>
      </c>
      <c r="LK881" t="s">
        <v>2394</v>
      </c>
      <c r="MZ881" t="s">
        <v>2395</v>
      </c>
      <c r="NA881">
        <v>136</v>
      </c>
      <c r="NC881" t="s">
        <v>2296</v>
      </c>
      <c r="ND881" t="s">
        <v>168</v>
      </c>
      <c r="NJ881" t="s">
        <v>2396</v>
      </c>
      <c r="NK881" s="209" t="s">
        <v>2421</v>
      </c>
      <c r="NL881" s="209" t="s">
        <v>2422</v>
      </c>
      <c r="NM881" s="4" t="s">
        <v>2423</v>
      </c>
      <c r="NN881" t="s">
        <v>2424</v>
      </c>
      <c r="NW881" t="s">
        <v>6</v>
      </c>
      <c r="NX881">
        <v>133</v>
      </c>
      <c r="NY881" t="s">
        <v>29</v>
      </c>
      <c r="OC881">
        <v>3</v>
      </c>
      <c r="OT881" t="s">
        <v>2401</v>
      </c>
      <c r="OU881" t="s">
        <v>6</v>
      </c>
      <c r="OW881">
        <v>2017</v>
      </c>
      <c r="OX881">
        <v>2020</v>
      </c>
      <c r="PA881" t="s">
        <v>1169</v>
      </c>
      <c r="PB881" s="58">
        <v>46136</v>
      </c>
    </row>
    <row r="882" spans="1:418">
      <c r="A882" t="s">
        <v>248</v>
      </c>
      <c r="B882" t="s">
        <v>2376</v>
      </c>
      <c r="C882" t="s">
        <v>2377</v>
      </c>
      <c r="D882" t="s">
        <v>1936</v>
      </c>
      <c r="E882" s="90" t="s">
        <v>2378</v>
      </c>
      <c r="F882" t="s">
        <v>31</v>
      </c>
      <c r="G882" t="s">
        <v>2</v>
      </c>
      <c r="H882" t="s">
        <v>30</v>
      </c>
      <c r="I882">
        <v>7.8527777780000001</v>
      </c>
      <c r="J882">
        <v>-5.1111111109999996</v>
      </c>
      <c r="K882" t="s">
        <v>29</v>
      </c>
      <c r="AV882" t="s">
        <v>836</v>
      </c>
      <c r="AW882" t="s">
        <v>836</v>
      </c>
      <c r="AX882" t="s">
        <v>1601</v>
      </c>
      <c r="AY882" t="s">
        <v>836</v>
      </c>
      <c r="AZ882" t="s">
        <v>2379</v>
      </c>
      <c r="BA882">
        <v>2017</v>
      </c>
      <c r="BB882">
        <v>2020</v>
      </c>
      <c r="BC882" t="s">
        <v>836</v>
      </c>
      <c r="BD882" t="s">
        <v>2380</v>
      </c>
      <c r="BE882" t="s">
        <v>2415</v>
      </c>
      <c r="BG882" t="s">
        <v>1233</v>
      </c>
      <c r="BH882" t="s">
        <v>23</v>
      </c>
      <c r="BI882" t="s">
        <v>1469</v>
      </c>
      <c r="BJ882" t="s">
        <v>2383</v>
      </c>
      <c r="BK882" s="9">
        <v>55556</v>
      </c>
      <c r="BL882" t="s">
        <v>56</v>
      </c>
      <c r="BM882" t="s">
        <v>2416</v>
      </c>
      <c r="BN882" t="s">
        <v>1469</v>
      </c>
      <c r="BO882" t="s">
        <v>2383</v>
      </c>
      <c r="BP882">
        <v>148000</v>
      </c>
      <c r="BQ882" t="s">
        <v>275</v>
      </c>
      <c r="BR882" t="s">
        <v>23</v>
      </c>
      <c r="BS882" t="s">
        <v>1469</v>
      </c>
      <c r="BT882" t="s">
        <v>2383</v>
      </c>
      <c r="BU882" s="9">
        <v>55556</v>
      </c>
      <c r="BV882" t="s">
        <v>56</v>
      </c>
      <c r="BW882" t="s">
        <v>1414</v>
      </c>
      <c r="BX882" t="s">
        <v>2417</v>
      </c>
      <c r="BY882" t="s">
        <v>2383</v>
      </c>
      <c r="BZ882">
        <v>148000</v>
      </c>
      <c r="CA882" t="s">
        <v>275</v>
      </c>
      <c r="CB882" t="s">
        <v>2319</v>
      </c>
      <c r="CC882" t="s">
        <v>2382</v>
      </c>
      <c r="CD882" t="s">
        <v>2383</v>
      </c>
      <c r="CE882">
        <v>722000</v>
      </c>
      <c r="HL882" t="s">
        <v>2386</v>
      </c>
      <c r="HM882" t="s">
        <v>232</v>
      </c>
      <c r="HU882" s="208">
        <v>42887</v>
      </c>
      <c r="II882" t="s">
        <v>2415</v>
      </c>
      <c r="IJ882" t="s">
        <v>1443</v>
      </c>
      <c r="IK882" t="s">
        <v>660</v>
      </c>
      <c r="IL882" t="s">
        <v>661</v>
      </c>
      <c r="IM882">
        <v>2017</v>
      </c>
      <c r="IO882" t="s">
        <v>2387</v>
      </c>
      <c r="IP882" t="s">
        <v>2415</v>
      </c>
      <c r="IQ882" t="s">
        <v>2411</v>
      </c>
      <c r="IR882" t="s">
        <v>2412</v>
      </c>
      <c r="IT882" t="s">
        <v>836</v>
      </c>
      <c r="IU882" t="s">
        <v>836</v>
      </c>
      <c r="IV882" t="s">
        <v>2387</v>
      </c>
      <c r="JL882" t="s">
        <v>721</v>
      </c>
      <c r="KF882" t="s">
        <v>2388</v>
      </c>
      <c r="KG882" t="s">
        <v>2389</v>
      </c>
      <c r="KJ882" t="s">
        <v>2386</v>
      </c>
      <c r="KK882" t="s">
        <v>222</v>
      </c>
      <c r="KL882" t="s">
        <v>221</v>
      </c>
      <c r="KM882" t="s">
        <v>2390</v>
      </c>
      <c r="KN882">
        <v>540</v>
      </c>
      <c r="KO882" t="s">
        <v>222</v>
      </c>
      <c r="KP882" t="s">
        <v>2391</v>
      </c>
      <c r="KQ882" t="s">
        <v>2390</v>
      </c>
      <c r="KR882">
        <v>360</v>
      </c>
      <c r="KW882" t="s">
        <v>2392</v>
      </c>
      <c r="KX882" t="s">
        <v>2393</v>
      </c>
      <c r="LK882" t="s">
        <v>2394</v>
      </c>
      <c r="MZ882" t="s">
        <v>2395</v>
      </c>
      <c r="NA882">
        <v>136</v>
      </c>
      <c r="NC882" t="s">
        <v>2296</v>
      </c>
      <c r="ND882" t="s">
        <v>168</v>
      </c>
      <c r="NJ882" t="s">
        <v>2396</v>
      </c>
      <c r="NK882" s="209" t="s">
        <v>2421</v>
      </c>
      <c r="NL882" s="209" t="s">
        <v>2422</v>
      </c>
      <c r="NM882" s="4" t="s">
        <v>2423</v>
      </c>
      <c r="NN882" t="s">
        <v>2424</v>
      </c>
      <c r="NW882" t="s">
        <v>6</v>
      </c>
      <c r="NX882">
        <v>60</v>
      </c>
      <c r="NY882" t="s">
        <v>29</v>
      </c>
      <c r="OC882">
        <v>3</v>
      </c>
      <c r="OT882" t="s">
        <v>2401</v>
      </c>
      <c r="OU882" t="s">
        <v>6</v>
      </c>
      <c r="OW882">
        <v>2017</v>
      </c>
      <c r="OX882">
        <v>2020</v>
      </c>
      <c r="PA882" t="s">
        <v>1169</v>
      </c>
      <c r="PB882" s="58">
        <v>46136</v>
      </c>
    </row>
    <row r="883" spans="1:418">
      <c r="A883" t="s">
        <v>248</v>
      </c>
      <c r="B883" t="s">
        <v>2376</v>
      </c>
      <c r="C883" t="s">
        <v>2377</v>
      </c>
      <c r="D883" t="s">
        <v>1936</v>
      </c>
      <c r="E883" s="90" t="s">
        <v>2378</v>
      </c>
      <c r="F883" t="s">
        <v>31</v>
      </c>
      <c r="G883" t="s">
        <v>2</v>
      </c>
      <c r="H883" t="s">
        <v>30</v>
      </c>
      <c r="I883">
        <v>7.8527777780000001</v>
      </c>
      <c r="J883">
        <v>-5.1111111109999996</v>
      </c>
      <c r="K883" t="s">
        <v>29</v>
      </c>
      <c r="AV883" t="s">
        <v>836</v>
      </c>
      <c r="AW883" t="s">
        <v>836</v>
      </c>
      <c r="AX883" t="s">
        <v>1601</v>
      </c>
      <c r="AY883" t="s">
        <v>836</v>
      </c>
      <c r="AZ883" t="s">
        <v>2379</v>
      </c>
      <c r="BA883">
        <v>2017</v>
      </c>
      <c r="BB883">
        <v>2020</v>
      </c>
      <c r="BC883" t="s">
        <v>836</v>
      </c>
      <c r="BD883" t="s">
        <v>2380</v>
      </c>
      <c r="BE883" t="s">
        <v>2418</v>
      </c>
      <c r="BG883" t="s">
        <v>1233</v>
      </c>
      <c r="BH883" t="s">
        <v>2005</v>
      </c>
      <c r="BI883" t="s">
        <v>1469</v>
      </c>
      <c r="BJ883" t="s">
        <v>29</v>
      </c>
      <c r="BK883" t="s">
        <v>29</v>
      </c>
      <c r="BL883" t="s">
        <v>56</v>
      </c>
      <c r="BM883" t="s">
        <v>2384</v>
      </c>
      <c r="BN883" t="s">
        <v>2385</v>
      </c>
      <c r="BO883" t="s">
        <v>2383</v>
      </c>
      <c r="BP883">
        <v>940000</v>
      </c>
      <c r="BQ883" t="s">
        <v>275</v>
      </c>
      <c r="BR883" t="s">
        <v>2005</v>
      </c>
      <c r="BS883" t="s">
        <v>1469</v>
      </c>
      <c r="BT883" t="s">
        <v>29</v>
      </c>
      <c r="BU883" t="s">
        <v>29</v>
      </c>
      <c r="BV883" t="s">
        <v>56</v>
      </c>
      <c r="BW883" t="s">
        <v>2384</v>
      </c>
      <c r="BX883" t="s">
        <v>2385</v>
      </c>
      <c r="BY883" t="s">
        <v>2383</v>
      </c>
      <c r="BZ883">
        <v>940000</v>
      </c>
      <c r="CA883" t="s">
        <v>275</v>
      </c>
      <c r="CB883" t="s">
        <v>2319</v>
      </c>
      <c r="CC883" t="s">
        <v>2382</v>
      </c>
      <c r="CD883" t="s">
        <v>2383</v>
      </c>
      <c r="CE883">
        <v>722000</v>
      </c>
      <c r="CF883" t="s">
        <v>56</v>
      </c>
      <c r="CG883" t="s">
        <v>2384</v>
      </c>
      <c r="CH883" t="s">
        <v>2419</v>
      </c>
      <c r="CI883" t="s">
        <v>2383</v>
      </c>
      <c r="CJ883">
        <v>940000</v>
      </c>
      <c r="HL883" t="s">
        <v>2386</v>
      </c>
      <c r="HM883" t="s">
        <v>232</v>
      </c>
      <c r="HU883" s="208">
        <v>42887</v>
      </c>
      <c r="II883" t="s">
        <v>2418</v>
      </c>
      <c r="IJ883" t="s">
        <v>1443</v>
      </c>
      <c r="IK883" t="s">
        <v>660</v>
      </c>
      <c r="IL883" t="s">
        <v>661</v>
      </c>
      <c r="IM883">
        <v>2017</v>
      </c>
      <c r="IO883" t="s">
        <v>2387</v>
      </c>
      <c r="IP883" t="s">
        <v>2418</v>
      </c>
      <c r="IQ883" t="s">
        <v>1920</v>
      </c>
      <c r="IR883" t="s">
        <v>273</v>
      </c>
      <c r="IT883" t="s">
        <v>836</v>
      </c>
      <c r="IU883" t="s">
        <v>836</v>
      </c>
      <c r="IV883" t="s">
        <v>2387</v>
      </c>
      <c r="JL883" t="s">
        <v>721</v>
      </c>
      <c r="KF883" t="s">
        <v>2388</v>
      </c>
      <c r="KG883" t="s">
        <v>2389</v>
      </c>
      <c r="KJ883" t="s">
        <v>2386</v>
      </c>
      <c r="KK883" t="s">
        <v>222</v>
      </c>
      <c r="KL883" t="s">
        <v>221</v>
      </c>
      <c r="KM883" t="s">
        <v>2390</v>
      </c>
      <c r="KN883">
        <v>540</v>
      </c>
      <c r="KO883" t="s">
        <v>222</v>
      </c>
      <c r="KP883" t="s">
        <v>2391</v>
      </c>
      <c r="KQ883" t="s">
        <v>2390</v>
      </c>
      <c r="KR883">
        <v>360</v>
      </c>
      <c r="KW883" t="s">
        <v>2392</v>
      </c>
      <c r="KX883" t="s">
        <v>2393</v>
      </c>
      <c r="LK883" t="s">
        <v>2394</v>
      </c>
      <c r="MZ883" t="s">
        <v>2395</v>
      </c>
      <c r="NA883">
        <v>136</v>
      </c>
      <c r="NC883" t="s">
        <v>2296</v>
      </c>
      <c r="ND883" t="s">
        <v>2420</v>
      </c>
      <c r="NJ883" t="s">
        <v>2396</v>
      </c>
      <c r="NK883" s="209" t="s">
        <v>2421</v>
      </c>
      <c r="NL883" s="209" t="s">
        <v>2422</v>
      </c>
      <c r="NM883" s="4" t="s">
        <v>2423</v>
      </c>
      <c r="NN883" t="s">
        <v>2424</v>
      </c>
      <c r="NW883" t="s">
        <v>6</v>
      </c>
      <c r="NX883">
        <v>487</v>
      </c>
      <c r="NY883" t="s">
        <v>29</v>
      </c>
      <c r="OC883">
        <v>3</v>
      </c>
      <c r="OT883" t="s">
        <v>2401</v>
      </c>
      <c r="OU883" t="s">
        <v>6</v>
      </c>
      <c r="OW883">
        <v>2017</v>
      </c>
      <c r="OX883">
        <v>2020</v>
      </c>
      <c r="PA883" t="s">
        <v>1169</v>
      </c>
      <c r="PB883" s="58">
        <v>46136</v>
      </c>
    </row>
    <row r="884" spans="1:418">
      <c r="A884" t="s">
        <v>248</v>
      </c>
      <c r="B884" t="s">
        <v>2376</v>
      </c>
      <c r="C884" t="s">
        <v>2377</v>
      </c>
      <c r="D884" t="s">
        <v>1936</v>
      </c>
      <c r="E884" s="90" t="s">
        <v>2378</v>
      </c>
      <c r="F884" t="s">
        <v>31</v>
      </c>
      <c r="G884" t="s">
        <v>2</v>
      </c>
      <c r="H884" t="s">
        <v>30</v>
      </c>
      <c r="I884">
        <v>7.8527777780000001</v>
      </c>
      <c r="J884">
        <v>-5.1111111109999996</v>
      </c>
      <c r="K884" t="s">
        <v>29</v>
      </c>
      <c r="AV884" t="s">
        <v>836</v>
      </c>
      <c r="AW884" t="s">
        <v>836</v>
      </c>
      <c r="AX884" t="s">
        <v>1601</v>
      </c>
      <c r="AY884" t="s">
        <v>836</v>
      </c>
      <c r="AZ884" t="s">
        <v>2379</v>
      </c>
      <c r="BA884">
        <v>2017</v>
      </c>
      <c r="BB884">
        <v>2020</v>
      </c>
      <c r="BC884" t="s">
        <v>836</v>
      </c>
      <c r="BD884" t="s">
        <v>2380</v>
      </c>
      <c r="BE884" t="s">
        <v>2381</v>
      </c>
      <c r="BG884" t="s">
        <v>1233</v>
      </c>
      <c r="BH884" t="s">
        <v>2319</v>
      </c>
      <c r="BI884" t="s">
        <v>2382</v>
      </c>
      <c r="BJ884" t="s">
        <v>2383</v>
      </c>
      <c r="BK884">
        <v>722000</v>
      </c>
      <c r="BL884" t="s">
        <v>56</v>
      </c>
      <c r="BM884" t="s">
        <v>2384</v>
      </c>
      <c r="BN884" t="s">
        <v>2385</v>
      </c>
      <c r="BO884" t="s">
        <v>2383</v>
      </c>
      <c r="BP884" s="9">
        <v>470000</v>
      </c>
      <c r="BQ884" t="s">
        <v>275</v>
      </c>
      <c r="BR884" t="s">
        <v>23</v>
      </c>
      <c r="BS884" t="s">
        <v>1469</v>
      </c>
      <c r="BT884" t="s">
        <v>2383</v>
      </c>
      <c r="BU884" s="9">
        <v>55556</v>
      </c>
      <c r="BV884" t="s">
        <v>56</v>
      </c>
      <c r="BW884" t="s">
        <v>2384</v>
      </c>
      <c r="BX884" t="s">
        <v>2385</v>
      </c>
      <c r="BY884" t="s">
        <v>2383</v>
      </c>
      <c r="BZ884" s="9">
        <v>470000</v>
      </c>
      <c r="HL884" t="s">
        <v>2386</v>
      </c>
      <c r="HM884" t="s">
        <v>232</v>
      </c>
      <c r="HU884" s="208">
        <v>42887</v>
      </c>
      <c r="II884" t="s">
        <v>2381</v>
      </c>
      <c r="IJ884" t="s">
        <v>1443</v>
      </c>
      <c r="IK884" t="s">
        <v>660</v>
      </c>
      <c r="IL884" t="s">
        <v>661</v>
      </c>
      <c r="IM884">
        <v>2017</v>
      </c>
      <c r="IO884" t="s">
        <v>2387</v>
      </c>
      <c r="IP884" t="s">
        <v>2381</v>
      </c>
      <c r="IQ884" t="s">
        <v>1920</v>
      </c>
      <c r="IR884" t="s">
        <v>273</v>
      </c>
      <c r="IT884" t="s">
        <v>836</v>
      </c>
      <c r="IU884" t="s">
        <v>836</v>
      </c>
      <c r="IV884" t="s">
        <v>2387</v>
      </c>
      <c r="JL884" t="s">
        <v>721</v>
      </c>
      <c r="KF884" t="s">
        <v>2388</v>
      </c>
      <c r="KG884" t="s">
        <v>2389</v>
      </c>
      <c r="KJ884" t="s">
        <v>2386</v>
      </c>
      <c r="KK884" t="s">
        <v>222</v>
      </c>
      <c r="KL884" t="s">
        <v>221</v>
      </c>
      <c r="KM884" t="s">
        <v>2390</v>
      </c>
      <c r="KN884">
        <f>+AVERAGE(360,720)</f>
        <v>540</v>
      </c>
      <c r="KO884" t="s">
        <v>222</v>
      </c>
      <c r="KP884" t="s">
        <v>2391</v>
      </c>
      <c r="KQ884" t="s">
        <v>2390</v>
      </c>
      <c r="KR884">
        <v>360</v>
      </c>
      <c r="KW884" t="s">
        <v>2392</v>
      </c>
      <c r="KX884" t="s">
        <v>2393</v>
      </c>
      <c r="LK884" t="s">
        <v>2394</v>
      </c>
      <c r="MZ884" t="s">
        <v>2395</v>
      </c>
      <c r="NA884">
        <v>136</v>
      </c>
      <c r="NC884" t="s">
        <v>2296</v>
      </c>
      <c r="ND884" t="s">
        <v>168</v>
      </c>
      <c r="NJ884" t="s">
        <v>2396</v>
      </c>
      <c r="NK884" s="209" t="s">
        <v>2425</v>
      </c>
      <c r="NL884" s="209" t="s">
        <v>2426</v>
      </c>
      <c r="NM884" s="4" t="s">
        <v>2207</v>
      </c>
      <c r="NN884" t="s">
        <v>2427</v>
      </c>
      <c r="NW884" t="s">
        <v>6</v>
      </c>
      <c r="NX884">
        <v>1046</v>
      </c>
      <c r="NY884" t="s">
        <v>29</v>
      </c>
      <c r="OC884">
        <v>3</v>
      </c>
      <c r="OT884" t="s">
        <v>2401</v>
      </c>
      <c r="OU884" t="s">
        <v>6</v>
      </c>
      <c r="OW884">
        <v>2017</v>
      </c>
      <c r="OX884">
        <v>2020</v>
      </c>
      <c r="PA884" t="s">
        <v>1169</v>
      </c>
      <c r="PB884" s="58">
        <v>46136</v>
      </c>
    </row>
    <row r="885" spans="1:418">
      <c r="A885" t="s">
        <v>248</v>
      </c>
      <c r="B885" t="s">
        <v>2376</v>
      </c>
      <c r="C885" t="s">
        <v>2377</v>
      </c>
      <c r="D885" t="s">
        <v>1936</v>
      </c>
      <c r="E885" s="90" t="s">
        <v>2378</v>
      </c>
      <c r="F885" t="s">
        <v>31</v>
      </c>
      <c r="G885" t="s">
        <v>2</v>
      </c>
      <c r="H885" t="s">
        <v>30</v>
      </c>
      <c r="I885">
        <v>7.8527777780000001</v>
      </c>
      <c r="J885">
        <v>-5.1111111109999996</v>
      </c>
      <c r="K885" t="s">
        <v>29</v>
      </c>
      <c r="AV885" t="s">
        <v>836</v>
      </c>
      <c r="AW885" t="s">
        <v>836</v>
      </c>
      <c r="AX885" t="s">
        <v>1601</v>
      </c>
      <c r="AY885" t="s">
        <v>836</v>
      </c>
      <c r="AZ885" t="s">
        <v>2379</v>
      </c>
      <c r="BA885">
        <v>2017</v>
      </c>
      <c r="BB885">
        <v>2020</v>
      </c>
      <c r="BC885" t="s">
        <v>836</v>
      </c>
      <c r="BD885" t="s">
        <v>2402</v>
      </c>
      <c r="BE885" t="s">
        <v>2403</v>
      </c>
      <c r="BG885" t="s">
        <v>1233</v>
      </c>
      <c r="BH885" t="s">
        <v>2319</v>
      </c>
      <c r="BI885" t="s">
        <v>2382</v>
      </c>
      <c r="BJ885" t="s">
        <v>2383</v>
      </c>
      <c r="BK885">
        <v>722000</v>
      </c>
      <c r="BL885" t="s">
        <v>56</v>
      </c>
      <c r="BM885" t="s">
        <v>2384</v>
      </c>
      <c r="BN885" t="s">
        <v>2385</v>
      </c>
      <c r="BO885" t="s">
        <v>2383</v>
      </c>
      <c r="BP885" s="9">
        <v>470000</v>
      </c>
      <c r="BQ885" t="s">
        <v>275</v>
      </c>
      <c r="BR885" t="s">
        <v>2319</v>
      </c>
      <c r="BS885" t="s">
        <v>2382</v>
      </c>
      <c r="BT885" t="s">
        <v>2383</v>
      </c>
      <c r="BU885">
        <v>722000</v>
      </c>
      <c r="BV885" t="s">
        <v>56</v>
      </c>
      <c r="BW885" t="s">
        <v>2384</v>
      </c>
      <c r="BX885" t="s">
        <v>2385</v>
      </c>
      <c r="BY885" t="s">
        <v>2383</v>
      </c>
      <c r="BZ885" s="9">
        <v>470000</v>
      </c>
      <c r="HL885" t="s">
        <v>2386</v>
      </c>
      <c r="HM885" t="s">
        <v>232</v>
      </c>
      <c r="HU885" s="208">
        <v>42887</v>
      </c>
      <c r="II885" t="s">
        <v>2403</v>
      </c>
      <c r="IJ885" t="s">
        <v>1443</v>
      </c>
      <c r="IK885" t="s">
        <v>660</v>
      </c>
      <c r="IL885" t="s">
        <v>661</v>
      </c>
      <c r="IM885">
        <v>2017</v>
      </c>
      <c r="IO885" t="s">
        <v>2387</v>
      </c>
      <c r="IP885" t="s">
        <v>2403</v>
      </c>
      <c r="IQ885" t="s">
        <v>1920</v>
      </c>
      <c r="IR885" t="s">
        <v>273</v>
      </c>
      <c r="IT885" t="s">
        <v>836</v>
      </c>
      <c r="IU885" t="s">
        <v>836</v>
      </c>
      <c r="IV885" t="s">
        <v>2387</v>
      </c>
      <c r="JL885" t="s">
        <v>721</v>
      </c>
      <c r="KF885" t="s">
        <v>2388</v>
      </c>
      <c r="KG885" t="s">
        <v>2389</v>
      </c>
      <c r="KJ885" t="s">
        <v>2386</v>
      </c>
      <c r="KK885" t="s">
        <v>222</v>
      </c>
      <c r="KL885" t="s">
        <v>221</v>
      </c>
      <c r="KM885" t="s">
        <v>2390</v>
      </c>
      <c r="KN885">
        <f t="shared" ref="KN885:KN887" si="5">+AVERAGE(360,720)</f>
        <v>540</v>
      </c>
      <c r="KO885" t="s">
        <v>222</v>
      </c>
      <c r="KP885" t="s">
        <v>2391</v>
      </c>
      <c r="KQ885" t="s">
        <v>2390</v>
      </c>
      <c r="KR885">
        <v>360</v>
      </c>
      <c r="KW885" t="s">
        <v>2392</v>
      </c>
      <c r="KX885" t="s">
        <v>2393</v>
      </c>
      <c r="LK885" t="s">
        <v>2394</v>
      </c>
      <c r="MZ885" t="s">
        <v>2395</v>
      </c>
      <c r="NA885">
        <v>136</v>
      </c>
      <c r="NC885" t="s">
        <v>2296</v>
      </c>
      <c r="NJ885" t="s">
        <v>2396</v>
      </c>
      <c r="NK885" s="209" t="s">
        <v>2425</v>
      </c>
      <c r="NL885" s="209" t="s">
        <v>2426</v>
      </c>
      <c r="NM885" s="4" t="s">
        <v>2207</v>
      </c>
      <c r="NN885" t="s">
        <v>2427</v>
      </c>
      <c r="NW885" t="s">
        <v>6</v>
      </c>
      <c r="NX885">
        <v>834</v>
      </c>
      <c r="NY885" t="s">
        <v>29</v>
      </c>
      <c r="OC885">
        <v>3</v>
      </c>
      <c r="OT885" t="s">
        <v>2401</v>
      </c>
      <c r="OU885" t="s">
        <v>6</v>
      </c>
      <c r="OW885">
        <v>2017</v>
      </c>
      <c r="OX885">
        <v>2020</v>
      </c>
      <c r="PA885" t="s">
        <v>1169</v>
      </c>
      <c r="PB885" s="58">
        <v>46136</v>
      </c>
    </row>
    <row r="886" spans="1:418">
      <c r="A886" t="s">
        <v>248</v>
      </c>
      <c r="B886" t="s">
        <v>2376</v>
      </c>
      <c r="C886" t="s">
        <v>2377</v>
      </c>
      <c r="D886" t="s">
        <v>1936</v>
      </c>
      <c r="E886" s="90" t="s">
        <v>2378</v>
      </c>
      <c r="F886" t="s">
        <v>31</v>
      </c>
      <c r="G886" t="s">
        <v>2</v>
      </c>
      <c r="H886" t="s">
        <v>30</v>
      </c>
      <c r="I886">
        <v>7.8527777780000001</v>
      </c>
      <c r="J886">
        <v>-5.1111111109999996</v>
      </c>
      <c r="K886" t="s">
        <v>29</v>
      </c>
      <c r="AV886" t="s">
        <v>836</v>
      </c>
      <c r="AW886" t="s">
        <v>836</v>
      </c>
      <c r="AX886" t="s">
        <v>1601</v>
      </c>
      <c r="AY886" t="s">
        <v>836</v>
      </c>
      <c r="AZ886" t="s">
        <v>2379</v>
      </c>
      <c r="BA886">
        <v>2017</v>
      </c>
      <c r="BB886">
        <v>2020</v>
      </c>
      <c r="BC886" t="s">
        <v>836</v>
      </c>
      <c r="BD886" t="s">
        <v>2402</v>
      </c>
      <c r="BE886" t="s">
        <v>2404</v>
      </c>
      <c r="BG886" t="s">
        <v>1233</v>
      </c>
      <c r="BH886" t="s">
        <v>2319</v>
      </c>
      <c r="BI886" t="s">
        <v>2382</v>
      </c>
      <c r="BJ886" t="s">
        <v>2383</v>
      </c>
      <c r="BK886">
        <v>722000</v>
      </c>
      <c r="BL886" t="s">
        <v>56</v>
      </c>
      <c r="BM886" t="s">
        <v>2384</v>
      </c>
      <c r="BN886" t="s">
        <v>2385</v>
      </c>
      <c r="BO886" t="s">
        <v>2383</v>
      </c>
      <c r="BP886" s="9">
        <v>470000</v>
      </c>
      <c r="BQ886" t="s">
        <v>275</v>
      </c>
      <c r="BR886" t="s">
        <v>2384</v>
      </c>
      <c r="BS886" t="s">
        <v>2385</v>
      </c>
      <c r="BT886" t="s">
        <v>2383</v>
      </c>
      <c r="BU886" s="9">
        <v>470000</v>
      </c>
      <c r="BV886" t="s">
        <v>275</v>
      </c>
      <c r="BW886" t="s">
        <v>2319</v>
      </c>
      <c r="BX886" t="s">
        <v>2382</v>
      </c>
      <c r="BY886" t="s">
        <v>2383</v>
      </c>
      <c r="BZ886">
        <v>722000</v>
      </c>
      <c r="CA886" t="s">
        <v>56</v>
      </c>
      <c r="CB886" t="s">
        <v>2384</v>
      </c>
      <c r="CC886" t="s">
        <v>2385</v>
      </c>
      <c r="CD886" t="s">
        <v>2383</v>
      </c>
      <c r="CE886" s="9">
        <v>470000</v>
      </c>
      <c r="HL886" t="s">
        <v>2386</v>
      </c>
      <c r="HM886" t="s">
        <v>232</v>
      </c>
      <c r="HU886" s="208">
        <v>42887</v>
      </c>
      <c r="II886" t="s">
        <v>2404</v>
      </c>
      <c r="IJ886" t="s">
        <v>1443</v>
      </c>
      <c r="IK886" t="s">
        <v>660</v>
      </c>
      <c r="IL886" t="s">
        <v>661</v>
      </c>
      <c r="IM886">
        <v>2017</v>
      </c>
      <c r="IO886" t="s">
        <v>2387</v>
      </c>
      <c r="IP886" t="s">
        <v>2404</v>
      </c>
      <c r="IQ886" t="s">
        <v>1920</v>
      </c>
      <c r="IR886" t="s">
        <v>273</v>
      </c>
      <c r="IT886" t="s">
        <v>836</v>
      </c>
      <c r="IU886" t="s">
        <v>836</v>
      </c>
      <c r="IV886" t="s">
        <v>2387</v>
      </c>
      <c r="JL886" t="s">
        <v>721</v>
      </c>
      <c r="KF886" t="s">
        <v>2388</v>
      </c>
      <c r="KG886" t="s">
        <v>2389</v>
      </c>
      <c r="KJ886" t="s">
        <v>2386</v>
      </c>
      <c r="KK886" t="s">
        <v>222</v>
      </c>
      <c r="KL886" t="s">
        <v>221</v>
      </c>
      <c r="KM886" t="s">
        <v>2390</v>
      </c>
      <c r="KN886">
        <f t="shared" si="5"/>
        <v>540</v>
      </c>
      <c r="KO886" t="s">
        <v>222</v>
      </c>
      <c r="KP886" t="s">
        <v>2391</v>
      </c>
      <c r="KQ886" t="s">
        <v>2390</v>
      </c>
      <c r="KR886">
        <v>360</v>
      </c>
      <c r="KW886" t="s">
        <v>2392</v>
      </c>
      <c r="KX886" t="s">
        <v>2393</v>
      </c>
      <c r="LK886" t="s">
        <v>2394</v>
      </c>
      <c r="MZ886" t="s">
        <v>2395</v>
      </c>
      <c r="NA886">
        <v>136</v>
      </c>
      <c r="NC886" t="s">
        <v>2296</v>
      </c>
      <c r="NJ886" t="s">
        <v>2396</v>
      </c>
      <c r="NK886" s="209" t="s">
        <v>2425</v>
      </c>
      <c r="NL886" s="209" t="s">
        <v>2426</v>
      </c>
      <c r="NM886" s="4" t="s">
        <v>2207</v>
      </c>
      <c r="NN886" t="s">
        <v>2427</v>
      </c>
      <c r="NW886" t="s">
        <v>6</v>
      </c>
      <c r="NX886">
        <v>1496</v>
      </c>
      <c r="NY886" t="s">
        <v>29</v>
      </c>
      <c r="OC886">
        <v>3</v>
      </c>
      <c r="OT886" t="s">
        <v>2401</v>
      </c>
      <c r="OU886" t="s">
        <v>6</v>
      </c>
      <c r="OW886">
        <v>2017</v>
      </c>
      <c r="OX886">
        <v>2020</v>
      </c>
      <c r="PA886" t="s">
        <v>1169</v>
      </c>
      <c r="PB886" s="58">
        <v>46136</v>
      </c>
    </row>
    <row r="887" spans="1:418">
      <c r="A887" t="s">
        <v>248</v>
      </c>
      <c r="B887" t="s">
        <v>2376</v>
      </c>
      <c r="C887" t="s">
        <v>2377</v>
      </c>
      <c r="D887" t="s">
        <v>1936</v>
      </c>
      <c r="E887" s="90" t="s">
        <v>2378</v>
      </c>
      <c r="F887" t="s">
        <v>31</v>
      </c>
      <c r="G887" t="s">
        <v>2</v>
      </c>
      <c r="H887" t="s">
        <v>30</v>
      </c>
      <c r="I887">
        <v>7.8527777780000001</v>
      </c>
      <c r="J887">
        <v>-5.1111111109999996</v>
      </c>
      <c r="K887" t="s">
        <v>29</v>
      </c>
      <c r="AV887" t="s">
        <v>836</v>
      </c>
      <c r="AW887" t="s">
        <v>836</v>
      </c>
      <c r="AX887" t="s">
        <v>1601</v>
      </c>
      <c r="AY887" t="s">
        <v>836</v>
      </c>
      <c r="AZ887" t="s">
        <v>2379</v>
      </c>
      <c r="BA887">
        <v>2017</v>
      </c>
      <c r="BB887">
        <v>2020</v>
      </c>
      <c r="BC887" t="s">
        <v>836</v>
      </c>
      <c r="BD887" t="s">
        <v>19</v>
      </c>
      <c r="BE887" t="s">
        <v>2405</v>
      </c>
      <c r="BG887" t="s">
        <v>1233</v>
      </c>
      <c r="BH887" t="s">
        <v>2319</v>
      </c>
      <c r="BI887" t="s">
        <v>2382</v>
      </c>
      <c r="BJ887" t="s">
        <v>2383</v>
      </c>
      <c r="BK887">
        <v>722000</v>
      </c>
      <c r="BL887" t="s">
        <v>275</v>
      </c>
      <c r="BM887" t="s">
        <v>23</v>
      </c>
      <c r="BN887" t="s">
        <v>1469</v>
      </c>
      <c r="BO887" t="s">
        <v>2383</v>
      </c>
      <c r="BP887" s="9">
        <v>55556</v>
      </c>
      <c r="HL887" t="s">
        <v>2406</v>
      </c>
      <c r="HM887" t="s">
        <v>297</v>
      </c>
      <c r="HN887" t="s">
        <v>2407</v>
      </c>
      <c r="HQ887">
        <v>3</v>
      </c>
      <c r="HU887" s="208">
        <v>42887</v>
      </c>
      <c r="II887" t="s">
        <v>2405</v>
      </c>
      <c r="IJ887" t="s">
        <v>19</v>
      </c>
      <c r="IK887" t="s">
        <v>660</v>
      </c>
      <c r="IL887" t="s">
        <v>661</v>
      </c>
      <c r="IM887">
        <v>2017</v>
      </c>
      <c r="IO887" t="s">
        <v>2408</v>
      </c>
      <c r="IP887" t="s">
        <v>2405</v>
      </c>
      <c r="IQ887" t="s">
        <v>1920</v>
      </c>
      <c r="IR887" t="s">
        <v>283</v>
      </c>
      <c r="IT887" t="s">
        <v>836</v>
      </c>
      <c r="IU887" t="s">
        <v>836</v>
      </c>
      <c r="IV887" t="s">
        <v>2408</v>
      </c>
      <c r="JL887" t="s">
        <v>721</v>
      </c>
      <c r="KF887" t="s">
        <v>2388</v>
      </c>
      <c r="KG887" t="s">
        <v>2389</v>
      </c>
      <c r="KJ887" t="s">
        <v>2406</v>
      </c>
      <c r="KK887" t="s">
        <v>222</v>
      </c>
      <c r="KL887" t="s">
        <v>221</v>
      </c>
      <c r="KM887" t="s">
        <v>2390</v>
      </c>
      <c r="KN887">
        <f t="shared" si="5"/>
        <v>540</v>
      </c>
      <c r="KO887" t="s">
        <v>222</v>
      </c>
      <c r="KP887" t="s">
        <v>2391</v>
      </c>
      <c r="KQ887" t="s">
        <v>2390</v>
      </c>
      <c r="KR887">
        <v>360</v>
      </c>
      <c r="KW887" t="s">
        <v>2392</v>
      </c>
      <c r="KX887" t="s">
        <v>2393</v>
      </c>
      <c r="LK887" t="s">
        <v>2394</v>
      </c>
      <c r="MZ887" t="s">
        <v>2395</v>
      </c>
      <c r="NA887">
        <v>136</v>
      </c>
      <c r="NC887" t="s">
        <v>2296</v>
      </c>
      <c r="ND887" t="s">
        <v>168</v>
      </c>
      <c r="NJ887" t="s">
        <v>2396</v>
      </c>
      <c r="NK887" s="209" t="s">
        <v>2425</v>
      </c>
      <c r="NL887" s="209" t="s">
        <v>2426</v>
      </c>
      <c r="NM887" s="4" t="s">
        <v>2207</v>
      </c>
      <c r="NN887" t="s">
        <v>2427</v>
      </c>
      <c r="NW887" t="s">
        <v>6</v>
      </c>
      <c r="NX887">
        <v>1025</v>
      </c>
      <c r="NY887" t="s">
        <v>29</v>
      </c>
      <c r="OC887">
        <v>3</v>
      </c>
      <c r="OT887" t="s">
        <v>2401</v>
      </c>
      <c r="OU887" t="s">
        <v>6</v>
      </c>
      <c r="OW887">
        <v>2017</v>
      </c>
      <c r="OX887">
        <v>2020</v>
      </c>
      <c r="PA887" t="s">
        <v>1169</v>
      </c>
      <c r="PB887" s="58">
        <v>46136</v>
      </c>
    </row>
    <row r="888" spans="1:418">
      <c r="A888" t="s">
        <v>248</v>
      </c>
      <c r="B888" t="s">
        <v>2376</v>
      </c>
      <c r="C888" t="s">
        <v>2377</v>
      </c>
      <c r="D888" t="s">
        <v>1936</v>
      </c>
      <c r="E888" s="90" t="s">
        <v>2378</v>
      </c>
      <c r="F888" t="s">
        <v>31</v>
      </c>
      <c r="G888" t="s">
        <v>2</v>
      </c>
      <c r="H888" t="s">
        <v>30</v>
      </c>
      <c r="I888">
        <v>7.8527777780000001</v>
      </c>
      <c r="J888">
        <v>-5.1111111109999996</v>
      </c>
      <c r="K888" t="s">
        <v>29</v>
      </c>
      <c r="AV888" t="s">
        <v>836</v>
      </c>
      <c r="AW888" t="s">
        <v>836</v>
      </c>
      <c r="AX888" t="s">
        <v>1601</v>
      </c>
      <c r="AY888" t="s">
        <v>836</v>
      </c>
      <c r="AZ888" t="s">
        <v>2379</v>
      </c>
      <c r="BA888">
        <v>2017</v>
      </c>
      <c r="BB888">
        <v>2020</v>
      </c>
      <c r="BC888" t="s">
        <v>836</v>
      </c>
      <c r="BD888" t="s">
        <v>2380</v>
      </c>
      <c r="BE888" t="s">
        <v>2409</v>
      </c>
      <c r="BG888" t="s">
        <v>1233</v>
      </c>
      <c r="BH888" t="s">
        <v>23</v>
      </c>
      <c r="BI888" t="s">
        <v>1469</v>
      </c>
      <c r="BJ888" t="s">
        <v>2383</v>
      </c>
      <c r="BK888" s="9">
        <v>55556</v>
      </c>
      <c r="BL888" t="s">
        <v>56</v>
      </c>
      <c r="BM888" t="s">
        <v>2173</v>
      </c>
      <c r="BN888" t="s">
        <v>2410</v>
      </c>
      <c r="BO888" t="s">
        <v>2383</v>
      </c>
      <c r="BP888">
        <v>55600</v>
      </c>
      <c r="BQ888" t="s">
        <v>275</v>
      </c>
      <c r="BR888" t="s">
        <v>2319</v>
      </c>
      <c r="BS888" t="s">
        <v>2382</v>
      </c>
      <c r="BT888" t="s">
        <v>2383</v>
      </c>
      <c r="BU888">
        <v>722000</v>
      </c>
      <c r="BV888" t="s">
        <v>56</v>
      </c>
      <c r="BW888" t="s">
        <v>1426</v>
      </c>
      <c r="BX888" t="s">
        <v>29</v>
      </c>
      <c r="BY888" t="s">
        <v>29</v>
      </c>
      <c r="BZ888" t="s">
        <v>29</v>
      </c>
      <c r="HL888" t="s">
        <v>2386</v>
      </c>
      <c r="HM888" t="s">
        <v>232</v>
      </c>
      <c r="HU888" s="208">
        <v>42887</v>
      </c>
      <c r="II888" t="s">
        <v>2409</v>
      </c>
      <c r="IJ888" t="s">
        <v>1443</v>
      </c>
      <c r="IK888" t="s">
        <v>660</v>
      </c>
      <c r="IL888" t="s">
        <v>661</v>
      </c>
      <c r="IM888">
        <v>2017</v>
      </c>
      <c r="IO888" t="s">
        <v>2387</v>
      </c>
      <c r="IP888" t="s">
        <v>2409</v>
      </c>
      <c r="IQ888" t="s">
        <v>2411</v>
      </c>
      <c r="IR888" t="s">
        <v>2412</v>
      </c>
      <c r="IT888" t="s">
        <v>836</v>
      </c>
      <c r="IU888" t="s">
        <v>836</v>
      </c>
      <c r="IV888" t="s">
        <v>2387</v>
      </c>
      <c r="JL888" t="s">
        <v>721</v>
      </c>
      <c r="KF888" t="s">
        <v>2388</v>
      </c>
      <c r="KG888" t="s">
        <v>2389</v>
      </c>
      <c r="KJ888" t="s">
        <v>2386</v>
      </c>
      <c r="KK888" t="s">
        <v>222</v>
      </c>
      <c r="KL888" t="s">
        <v>2413</v>
      </c>
      <c r="KM888" t="s">
        <v>2390</v>
      </c>
      <c r="KN888">
        <v>1000</v>
      </c>
      <c r="KO888" t="s">
        <v>222</v>
      </c>
      <c r="KX888" t="s">
        <v>2305</v>
      </c>
      <c r="KY888" t="s">
        <v>2414</v>
      </c>
      <c r="LK888" t="s">
        <v>2394</v>
      </c>
      <c r="MZ888" t="s">
        <v>2395</v>
      </c>
      <c r="NA888">
        <v>136</v>
      </c>
      <c r="NC888" t="s">
        <v>2296</v>
      </c>
      <c r="ND888" t="s">
        <v>168</v>
      </c>
      <c r="NJ888" t="s">
        <v>2396</v>
      </c>
      <c r="NK888" s="209" t="s">
        <v>2425</v>
      </c>
      <c r="NL888" s="209" t="s">
        <v>2426</v>
      </c>
      <c r="NM888" s="4" t="s">
        <v>2207</v>
      </c>
      <c r="NN888" t="s">
        <v>2427</v>
      </c>
      <c r="NW888" t="s">
        <v>6</v>
      </c>
      <c r="NX888">
        <v>222</v>
      </c>
      <c r="NY888" t="s">
        <v>29</v>
      </c>
      <c r="OC888">
        <v>3</v>
      </c>
      <c r="OT888" t="s">
        <v>2401</v>
      </c>
      <c r="OU888" t="s">
        <v>6</v>
      </c>
      <c r="OW888">
        <v>2017</v>
      </c>
      <c r="OX888">
        <v>2020</v>
      </c>
      <c r="PA888" t="s">
        <v>1169</v>
      </c>
      <c r="PB888" s="58">
        <v>46136</v>
      </c>
    </row>
    <row r="889" spans="1:418">
      <c r="A889" t="s">
        <v>248</v>
      </c>
      <c r="B889" t="s">
        <v>2376</v>
      </c>
      <c r="C889" t="s">
        <v>2377</v>
      </c>
      <c r="D889" t="s">
        <v>1936</v>
      </c>
      <c r="E889" s="90" t="s">
        <v>2378</v>
      </c>
      <c r="F889" t="s">
        <v>31</v>
      </c>
      <c r="G889" t="s">
        <v>2</v>
      </c>
      <c r="H889" t="s">
        <v>30</v>
      </c>
      <c r="I889">
        <v>7.8527777780000001</v>
      </c>
      <c r="J889">
        <v>-5.1111111109999996</v>
      </c>
      <c r="K889" t="s">
        <v>29</v>
      </c>
      <c r="AV889" t="s">
        <v>836</v>
      </c>
      <c r="AW889" t="s">
        <v>836</v>
      </c>
      <c r="AX889" t="s">
        <v>1601</v>
      </c>
      <c r="AY889" t="s">
        <v>836</v>
      </c>
      <c r="AZ889" t="s">
        <v>2379</v>
      </c>
      <c r="BA889">
        <v>2017</v>
      </c>
      <c r="BB889">
        <v>2020</v>
      </c>
      <c r="BC889" t="s">
        <v>836</v>
      </c>
      <c r="BD889" t="s">
        <v>2380</v>
      </c>
      <c r="BE889" t="s">
        <v>2415</v>
      </c>
      <c r="BG889" t="s">
        <v>1233</v>
      </c>
      <c r="BH889" t="s">
        <v>23</v>
      </c>
      <c r="BI889" t="s">
        <v>1469</v>
      </c>
      <c r="BJ889" t="s">
        <v>2383</v>
      </c>
      <c r="BK889" s="9">
        <v>55556</v>
      </c>
      <c r="BL889" t="s">
        <v>56</v>
      </c>
      <c r="BM889" t="s">
        <v>2416</v>
      </c>
      <c r="BN889" t="s">
        <v>1469</v>
      </c>
      <c r="BO889" t="s">
        <v>2383</v>
      </c>
      <c r="BP889">
        <v>148000</v>
      </c>
      <c r="BQ889" t="s">
        <v>275</v>
      </c>
      <c r="BR889" t="s">
        <v>23</v>
      </c>
      <c r="BS889" t="s">
        <v>1469</v>
      </c>
      <c r="BT889" t="s">
        <v>2383</v>
      </c>
      <c r="BU889" s="9">
        <v>55556</v>
      </c>
      <c r="BV889" t="s">
        <v>56</v>
      </c>
      <c r="BW889" t="s">
        <v>1414</v>
      </c>
      <c r="BX889" t="s">
        <v>2417</v>
      </c>
      <c r="BY889" t="s">
        <v>2383</v>
      </c>
      <c r="BZ889">
        <v>148000</v>
      </c>
      <c r="CA889" t="s">
        <v>275</v>
      </c>
      <c r="CB889" t="s">
        <v>2319</v>
      </c>
      <c r="CC889" t="s">
        <v>2382</v>
      </c>
      <c r="CD889" t="s">
        <v>2383</v>
      </c>
      <c r="CE889">
        <v>722000</v>
      </c>
      <c r="HL889" t="s">
        <v>2386</v>
      </c>
      <c r="HM889" t="s">
        <v>232</v>
      </c>
      <c r="HU889" s="208">
        <v>42887</v>
      </c>
      <c r="II889" t="s">
        <v>2415</v>
      </c>
      <c r="IJ889" t="s">
        <v>1443</v>
      </c>
      <c r="IK889" t="s">
        <v>660</v>
      </c>
      <c r="IL889" t="s">
        <v>661</v>
      </c>
      <c r="IM889">
        <v>2017</v>
      </c>
      <c r="IO889" t="s">
        <v>2387</v>
      </c>
      <c r="IP889" t="s">
        <v>2415</v>
      </c>
      <c r="IQ889" t="s">
        <v>2411</v>
      </c>
      <c r="IR889" t="s">
        <v>2412</v>
      </c>
      <c r="IT889" t="s">
        <v>836</v>
      </c>
      <c r="IU889" t="s">
        <v>836</v>
      </c>
      <c r="IV889" t="s">
        <v>2387</v>
      </c>
      <c r="JL889" t="s">
        <v>721</v>
      </c>
      <c r="KF889" t="s">
        <v>2388</v>
      </c>
      <c r="KG889" t="s">
        <v>2389</v>
      </c>
      <c r="KJ889" t="s">
        <v>2386</v>
      </c>
      <c r="KK889" t="s">
        <v>222</v>
      </c>
      <c r="KL889" t="s">
        <v>221</v>
      </c>
      <c r="KM889" t="s">
        <v>2390</v>
      </c>
      <c r="KN889">
        <v>540</v>
      </c>
      <c r="KO889" t="s">
        <v>222</v>
      </c>
      <c r="KP889" t="s">
        <v>2391</v>
      </c>
      <c r="KQ889" t="s">
        <v>2390</v>
      </c>
      <c r="KR889">
        <v>360</v>
      </c>
      <c r="KW889" t="s">
        <v>2392</v>
      </c>
      <c r="KX889" t="s">
        <v>2393</v>
      </c>
      <c r="LK889" t="s">
        <v>2394</v>
      </c>
      <c r="MZ889" t="s">
        <v>2395</v>
      </c>
      <c r="NA889">
        <v>136</v>
      </c>
      <c r="NC889" t="s">
        <v>2296</v>
      </c>
      <c r="ND889" t="s">
        <v>168</v>
      </c>
      <c r="NJ889" t="s">
        <v>2396</v>
      </c>
      <c r="NK889" s="209" t="s">
        <v>2425</v>
      </c>
      <c r="NL889" s="209" t="s">
        <v>2426</v>
      </c>
      <c r="NM889" s="4" t="s">
        <v>2207</v>
      </c>
      <c r="NN889" t="s">
        <v>2427</v>
      </c>
      <c r="NW889" t="s">
        <v>6</v>
      </c>
      <c r="NX889">
        <v>753</v>
      </c>
      <c r="NY889" t="s">
        <v>29</v>
      </c>
      <c r="OC889">
        <v>3</v>
      </c>
      <c r="OT889" t="s">
        <v>2401</v>
      </c>
      <c r="OU889" t="s">
        <v>6</v>
      </c>
      <c r="OW889">
        <v>2017</v>
      </c>
      <c r="OX889">
        <v>2020</v>
      </c>
      <c r="PA889" t="s">
        <v>1169</v>
      </c>
      <c r="PB889" s="58">
        <v>46136</v>
      </c>
    </row>
    <row r="890" spans="1:418">
      <c r="A890" t="s">
        <v>248</v>
      </c>
      <c r="B890" t="s">
        <v>2376</v>
      </c>
      <c r="C890" t="s">
        <v>2377</v>
      </c>
      <c r="D890" t="s">
        <v>1936</v>
      </c>
      <c r="E890" s="90" t="s">
        <v>2378</v>
      </c>
      <c r="F890" t="s">
        <v>31</v>
      </c>
      <c r="G890" t="s">
        <v>2</v>
      </c>
      <c r="H890" t="s">
        <v>30</v>
      </c>
      <c r="I890">
        <v>7.8527777780000001</v>
      </c>
      <c r="J890">
        <v>-5.1111111109999996</v>
      </c>
      <c r="K890" t="s">
        <v>29</v>
      </c>
      <c r="AV890" t="s">
        <v>836</v>
      </c>
      <c r="AW890" t="s">
        <v>836</v>
      </c>
      <c r="AX890" t="s">
        <v>1601</v>
      </c>
      <c r="AY890" t="s">
        <v>836</v>
      </c>
      <c r="AZ890" t="s">
        <v>2379</v>
      </c>
      <c r="BA890">
        <v>2017</v>
      </c>
      <c r="BB890">
        <v>2020</v>
      </c>
      <c r="BC890" t="s">
        <v>836</v>
      </c>
      <c r="BD890" t="s">
        <v>2380</v>
      </c>
      <c r="BE890" t="s">
        <v>2418</v>
      </c>
      <c r="BG890" t="s">
        <v>1233</v>
      </c>
      <c r="BH890" t="s">
        <v>2005</v>
      </c>
      <c r="BI890" t="s">
        <v>1469</v>
      </c>
      <c r="BJ890" t="s">
        <v>29</v>
      </c>
      <c r="BK890" t="s">
        <v>29</v>
      </c>
      <c r="BL890" t="s">
        <v>56</v>
      </c>
      <c r="BM890" t="s">
        <v>2384</v>
      </c>
      <c r="BN890" t="s">
        <v>2385</v>
      </c>
      <c r="BO890" t="s">
        <v>2383</v>
      </c>
      <c r="BP890">
        <v>940000</v>
      </c>
      <c r="BQ890" t="s">
        <v>275</v>
      </c>
      <c r="BR890" t="s">
        <v>2005</v>
      </c>
      <c r="BS890" t="s">
        <v>1469</v>
      </c>
      <c r="BT890" t="s">
        <v>29</v>
      </c>
      <c r="BU890" t="s">
        <v>29</v>
      </c>
      <c r="BV890" t="s">
        <v>56</v>
      </c>
      <c r="BW890" t="s">
        <v>2384</v>
      </c>
      <c r="BX890" t="s">
        <v>2385</v>
      </c>
      <c r="BY890" t="s">
        <v>2383</v>
      </c>
      <c r="BZ890">
        <v>940000</v>
      </c>
      <c r="CA890" t="s">
        <v>275</v>
      </c>
      <c r="CB890" t="s">
        <v>2319</v>
      </c>
      <c r="CC890" t="s">
        <v>2382</v>
      </c>
      <c r="CD890" t="s">
        <v>2383</v>
      </c>
      <c r="CE890">
        <v>722000</v>
      </c>
      <c r="CF890" t="s">
        <v>56</v>
      </c>
      <c r="CG890" t="s">
        <v>2384</v>
      </c>
      <c r="CH890" t="s">
        <v>2419</v>
      </c>
      <c r="CI890" t="s">
        <v>2383</v>
      </c>
      <c r="CJ890">
        <v>940000</v>
      </c>
      <c r="HL890" t="s">
        <v>2386</v>
      </c>
      <c r="HM890" t="s">
        <v>232</v>
      </c>
      <c r="HU890" s="208">
        <v>42887</v>
      </c>
      <c r="II890" t="s">
        <v>2418</v>
      </c>
      <c r="IJ890" t="s">
        <v>1443</v>
      </c>
      <c r="IK890" t="s">
        <v>660</v>
      </c>
      <c r="IL890" t="s">
        <v>661</v>
      </c>
      <c r="IM890">
        <v>2017</v>
      </c>
      <c r="IO890" t="s">
        <v>2387</v>
      </c>
      <c r="IP890" t="s">
        <v>2418</v>
      </c>
      <c r="IQ890" t="s">
        <v>1920</v>
      </c>
      <c r="IR890" t="s">
        <v>273</v>
      </c>
      <c r="IT890" t="s">
        <v>836</v>
      </c>
      <c r="IU890" t="s">
        <v>836</v>
      </c>
      <c r="IV890" t="s">
        <v>2387</v>
      </c>
      <c r="JL890" t="s">
        <v>721</v>
      </c>
      <c r="KF890" t="s">
        <v>2388</v>
      </c>
      <c r="KG890" t="s">
        <v>2389</v>
      </c>
      <c r="KJ890" t="s">
        <v>2386</v>
      </c>
      <c r="KK890" t="s">
        <v>222</v>
      </c>
      <c r="KL890" t="s">
        <v>221</v>
      </c>
      <c r="KM890" t="s">
        <v>2390</v>
      </c>
      <c r="KN890">
        <v>540</v>
      </c>
      <c r="KO890" t="s">
        <v>222</v>
      </c>
      <c r="KP890" t="s">
        <v>2391</v>
      </c>
      <c r="KQ890" t="s">
        <v>2390</v>
      </c>
      <c r="KR890">
        <v>360</v>
      </c>
      <c r="KW890" t="s">
        <v>2392</v>
      </c>
      <c r="KX890" t="s">
        <v>2393</v>
      </c>
      <c r="LK890" t="s">
        <v>2394</v>
      </c>
      <c r="MZ890" t="s">
        <v>2395</v>
      </c>
      <c r="NA890">
        <v>136</v>
      </c>
      <c r="NC890" t="s">
        <v>2296</v>
      </c>
      <c r="ND890" t="s">
        <v>2420</v>
      </c>
      <c r="NJ890" t="s">
        <v>2396</v>
      </c>
      <c r="NK890" s="209" t="s">
        <v>2425</v>
      </c>
      <c r="NL890" s="209" t="s">
        <v>2426</v>
      </c>
      <c r="NM890" s="4" t="s">
        <v>2207</v>
      </c>
      <c r="NN890" t="s">
        <v>2427</v>
      </c>
      <c r="NW890" t="s">
        <v>6</v>
      </c>
      <c r="NX890">
        <v>12187</v>
      </c>
      <c r="NY890" t="s">
        <v>29</v>
      </c>
      <c r="OC890">
        <v>3</v>
      </c>
      <c r="OT890" t="s">
        <v>2401</v>
      </c>
      <c r="OU890" t="s">
        <v>6</v>
      </c>
      <c r="OW890">
        <v>2017</v>
      </c>
      <c r="OX890">
        <v>2020</v>
      </c>
      <c r="PA890" t="s">
        <v>1169</v>
      </c>
      <c r="PB890" s="58">
        <v>46136</v>
      </c>
    </row>
    <row r="891" spans="1:418">
      <c r="A891" t="s">
        <v>248</v>
      </c>
      <c r="B891" t="s">
        <v>2376</v>
      </c>
      <c r="C891" t="s">
        <v>2377</v>
      </c>
      <c r="D891" t="s">
        <v>1936</v>
      </c>
      <c r="E891" s="90" t="s">
        <v>2378</v>
      </c>
      <c r="F891" t="s">
        <v>31</v>
      </c>
      <c r="G891" t="s">
        <v>2</v>
      </c>
      <c r="H891" t="s">
        <v>30</v>
      </c>
      <c r="I891">
        <v>7.8527777780000001</v>
      </c>
      <c r="J891">
        <v>-5.1111111109999996</v>
      </c>
      <c r="K891" t="s">
        <v>29</v>
      </c>
      <c r="AV891" t="s">
        <v>2395</v>
      </c>
      <c r="AW891">
        <v>136</v>
      </c>
      <c r="AX891" t="s">
        <v>29</v>
      </c>
      <c r="AY891">
        <v>4</v>
      </c>
      <c r="AZ891" t="s">
        <v>2379</v>
      </c>
      <c r="BA891">
        <v>2017</v>
      </c>
      <c r="BB891">
        <v>2020</v>
      </c>
      <c r="BD891" t="s">
        <v>2380</v>
      </c>
      <c r="BE891" t="s">
        <v>2381</v>
      </c>
      <c r="BF891" t="s">
        <v>64</v>
      </c>
      <c r="BG891" t="s">
        <v>1233</v>
      </c>
      <c r="BH891" t="s">
        <v>2319</v>
      </c>
      <c r="BI891" t="s">
        <v>2382</v>
      </c>
      <c r="BJ891" t="s">
        <v>2383</v>
      </c>
      <c r="BK891">
        <v>722000</v>
      </c>
      <c r="BL891" t="s">
        <v>56</v>
      </c>
      <c r="BM891" t="s">
        <v>2384</v>
      </c>
      <c r="BN891" t="s">
        <v>2385</v>
      </c>
      <c r="BO891" t="s">
        <v>2383</v>
      </c>
      <c r="BP891" s="9">
        <v>470000</v>
      </c>
      <c r="BQ891" t="s">
        <v>275</v>
      </c>
      <c r="BR891" t="s">
        <v>23</v>
      </c>
      <c r="BS891" t="s">
        <v>1469</v>
      </c>
      <c r="BT891" t="s">
        <v>2383</v>
      </c>
      <c r="BU891" s="9">
        <v>55556</v>
      </c>
      <c r="BV891" t="s">
        <v>56</v>
      </c>
      <c r="BW891" t="s">
        <v>2384</v>
      </c>
      <c r="BX891" t="s">
        <v>2385</v>
      </c>
      <c r="BY891" t="s">
        <v>2383</v>
      </c>
      <c r="BZ891" s="9">
        <v>470000</v>
      </c>
      <c r="HL891" t="s">
        <v>2386</v>
      </c>
      <c r="HM891" t="s">
        <v>232</v>
      </c>
      <c r="II891" t="s">
        <v>2381</v>
      </c>
      <c r="IJ891" t="s">
        <v>1443</v>
      </c>
      <c r="IK891" t="s">
        <v>660</v>
      </c>
      <c r="IL891" t="s">
        <v>661</v>
      </c>
      <c r="IM891">
        <v>2017</v>
      </c>
      <c r="IO891" t="s">
        <v>2387</v>
      </c>
      <c r="IP891" t="s">
        <v>2381</v>
      </c>
      <c r="IQ891" t="s">
        <v>1920</v>
      </c>
      <c r="IR891" t="s">
        <v>273</v>
      </c>
      <c r="IT891">
        <v>2018</v>
      </c>
      <c r="IV891" t="s">
        <v>2387</v>
      </c>
      <c r="JL891" t="s">
        <v>721</v>
      </c>
      <c r="KF891" t="s">
        <v>2388</v>
      </c>
      <c r="KG891" t="s">
        <v>2389</v>
      </c>
      <c r="KJ891" t="s">
        <v>2386</v>
      </c>
      <c r="KK891" t="s">
        <v>222</v>
      </c>
      <c r="KL891" t="s">
        <v>221</v>
      </c>
      <c r="KM891" t="s">
        <v>2390</v>
      </c>
      <c r="KN891">
        <f>+AVERAGE(360,720)</f>
        <v>540</v>
      </c>
      <c r="KO891" t="s">
        <v>222</v>
      </c>
      <c r="KP891" t="s">
        <v>2391</v>
      </c>
      <c r="KQ891" t="s">
        <v>2390</v>
      </c>
      <c r="KR891">
        <v>360</v>
      </c>
      <c r="KW891" t="s">
        <v>2392</v>
      </c>
      <c r="KX891" t="s">
        <v>2393</v>
      </c>
      <c r="LK891" t="s">
        <v>2387</v>
      </c>
      <c r="MZ891" t="s">
        <v>2395</v>
      </c>
      <c r="NA891">
        <v>136</v>
      </c>
      <c r="NB891" t="s">
        <v>2428</v>
      </c>
      <c r="NC891" t="s">
        <v>2296</v>
      </c>
      <c r="NK891" s="209" t="s">
        <v>2428</v>
      </c>
      <c r="NL891" s="209"/>
      <c r="NM891" t="s">
        <v>8</v>
      </c>
      <c r="NN891" t="s">
        <v>13</v>
      </c>
      <c r="NW891" t="s">
        <v>6</v>
      </c>
      <c r="NX891">
        <v>1172.9000000000001</v>
      </c>
      <c r="NY891" t="s">
        <v>29</v>
      </c>
      <c r="OC891">
        <v>3</v>
      </c>
      <c r="OT891" t="s">
        <v>2371</v>
      </c>
      <c r="OU891" t="s">
        <v>6</v>
      </c>
      <c r="OW891">
        <v>2017</v>
      </c>
      <c r="OX891">
        <v>2020</v>
      </c>
      <c r="PA891" t="s">
        <v>1169</v>
      </c>
      <c r="PB891" s="58">
        <v>46136</v>
      </c>
    </row>
    <row r="892" spans="1:418">
      <c r="A892" t="s">
        <v>248</v>
      </c>
      <c r="B892" t="s">
        <v>2376</v>
      </c>
      <c r="C892" t="s">
        <v>2377</v>
      </c>
      <c r="D892" t="s">
        <v>1936</v>
      </c>
      <c r="E892" s="90" t="s">
        <v>2378</v>
      </c>
      <c r="F892" t="s">
        <v>31</v>
      </c>
      <c r="G892" t="s">
        <v>2</v>
      </c>
      <c r="H892" t="s">
        <v>30</v>
      </c>
      <c r="I892">
        <v>7.8527777780000001</v>
      </c>
      <c r="J892">
        <v>-5.1111111109999996</v>
      </c>
      <c r="K892" t="s">
        <v>29</v>
      </c>
      <c r="AV892" t="s">
        <v>2395</v>
      </c>
      <c r="AW892">
        <v>136</v>
      </c>
      <c r="AX892" t="s">
        <v>29</v>
      </c>
      <c r="AY892">
        <v>4</v>
      </c>
      <c r="AZ892" t="s">
        <v>2379</v>
      </c>
      <c r="BA892">
        <v>2017</v>
      </c>
      <c r="BB892">
        <v>2020</v>
      </c>
      <c r="BD892" t="s">
        <v>2380</v>
      </c>
      <c r="BE892" t="s">
        <v>2429</v>
      </c>
      <c r="BF892" t="s">
        <v>57</v>
      </c>
      <c r="BG892" t="s">
        <v>1233</v>
      </c>
      <c r="BH892" t="s">
        <v>2319</v>
      </c>
      <c r="BI892" t="s">
        <v>2382</v>
      </c>
      <c r="BJ892" t="s">
        <v>2383</v>
      </c>
      <c r="BK892">
        <v>722000</v>
      </c>
      <c r="BL892" t="s">
        <v>56</v>
      </c>
      <c r="BM892" t="s">
        <v>2384</v>
      </c>
      <c r="BN892" t="s">
        <v>2385</v>
      </c>
      <c r="BO892" t="s">
        <v>2383</v>
      </c>
      <c r="BP892" s="9">
        <v>470000</v>
      </c>
      <c r="BQ892" t="s">
        <v>275</v>
      </c>
      <c r="BR892" t="s">
        <v>23</v>
      </c>
      <c r="BS892" t="s">
        <v>1469</v>
      </c>
      <c r="BT892" t="s">
        <v>2383</v>
      </c>
      <c r="BU892" s="9">
        <v>55556</v>
      </c>
      <c r="BV892" t="s">
        <v>56</v>
      </c>
      <c r="BW892" t="s">
        <v>2384</v>
      </c>
      <c r="BX892" t="s">
        <v>2385</v>
      </c>
      <c r="BY892" t="s">
        <v>2383</v>
      </c>
      <c r="BZ892" s="9">
        <v>470000</v>
      </c>
      <c r="HL892" t="s">
        <v>2386</v>
      </c>
      <c r="HM892" t="s">
        <v>232</v>
      </c>
      <c r="II892" t="s">
        <v>2429</v>
      </c>
      <c r="IJ892" t="s">
        <v>1443</v>
      </c>
      <c r="IK892" t="s">
        <v>660</v>
      </c>
      <c r="IL892" t="s">
        <v>661</v>
      </c>
      <c r="IM892">
        <v>2017</v>
      </c>
      <c r="IO892" t="s">
        <v>2387</v>
      </c>
      <c r="IP892" t="s">
        <v>2429</v>
      </c>
      <c r="IQ892" t="s">
        <v>1920</v>
      </c>
      <c r="IR892" t="s">
        <v>273</v>
      </c>
      <c r="IT892">
        <v>2018</v>
      </c>
      <c r="IV892" t="s">
        <v>2387</v>
      </c>
      <c r="JL892" t="s">
        <v>721</v>
      </c>
      <c r="KF892" t="s">
        <v>2388</v>
      </c>
      <c r="KG892" t="s">
        <v>2389</v>
      </c>
      <c r="KJ892" t="s">
        <v>2386</v>
      </c>
      <c r="KK892" t="s">
        <v>222</v>
      </c>
      <c r="KL892" t="s">
        <v>221</v>
      </c>
      <c r="KM892" t="s">
        <v>2390</v>
      </c>
      <c r="KN892">
        <f t="shared" ref="KN892:KN894" si="6">+AVERAGE(360,720)</f>
        <v>540</v>
      </c>
      <c r="KO892" t="s">
        <v>222</v>
      </c>
      <c r="KP892" t="s">
        <v>2391</v>
      </c>
      <c r="KQ892" t="s">
        <v>2390</v>
      </c>
      <c r="KR892">
        <v>360</v>
      </c>
      <c r="KX892" t="s">
        <v>2393</v>
      </c>
      <c r="LK892" t="s">
        <v>2387</v>
      </c>
      <c r="MZ892" t="s">
        <v>2395</v>
      </c>
      <c r="NA892">
        <v>136</v>
      </c>
      <c r="NB892" t="s">
        <v>2428</v>
      </c>
      <c r="NC892" t="s">
        <v>2296</v>
      </c>
      <c r="NK892" t="s">
        <v>2428</v>
      </c>
      <c r="NM892" t="s">
        <v>8</v>
      </c>
      <c r="NN892" t="s">
        <v>13</v>
      </c>
      <c r="NW892" t="s">
        <v>6</v>
      </c>
      <c r="NX892">
        <v>447.5</v>
      </c>
      <c r="NY892" t="s">
        <v>29</v>
      </c>
      <c r="OC892">
        <v>3</v>
      </c>
      <c r="OT892" t="s">
        <v>2371</v>
      </c>
      <c r="OU892" t="s">
        <v>6</v>
      </c>
      <c r="OW892">
        <v>2017</v>
      </c>
      <c r="OX892">
        <v>2020</v>
      </c>
      <c r="PA892" t="s">
        <v>1169</v>
      </c>
      <c r="PB892" s="58">
        <v>46136</v>
      </c>
    </row>
    <row r="893" spans="1:418">
      <c r="A893" t="s">
        <v>248</v>
      </c>
      <c r="B893" t="s">
        <v>2376</v>
      </c>
      <c r="C893" t="s">
        <v>2377</v>
      </c>
      <c r="D893" t="s">
        <v>1936</v>
      </c>
      <c r="E893" s="90" t="s">
        <v>2378</v>
      </c>
      <c r="F893" t="s">
        <v>31</v>
      </c>
      <c r="G893" t="s">
        <v>2</v>
      </c>
      <c r="H893" t="s">
        <v>30</v>
      </c>
      <c r="I893">
        <v>7.8527777780000001</v>
      </c>
      <c r="J893">
        <v>-5.1111111109999996</v>
      </c>
      <c r="K893" t="s">
        <v>29</v>
      </c>
      <c r="AV893" t="s">
        <v>2395</v>
      </c>
      <c r="AW893">
        <v>136</v>
      </c>
      <c r="AX893" t="s">
        <v>29</v>
      </c>
      <c r="AY893">
        <v>4</v>
      </c>
      <c r="AZ893" t="s">
        <v>2379</v>
      </c>
      <c r="BA893">
        <v>2017</v>
      </c>
      <c r="BB893">
        <v>2020</v>
      </c>
      <c r="BD893" t="s">
        <v>2402</v>
      </c>
      <c r="BE893" t="s">
        <v>2430</v>
      </c>
      <c r="BF893" t="s">
        <v>48</v>
      </c>
      <c r="BG893" t="s">
        <v>1233</v>
      </c>
      <c r="BH893" t="s">
        <v>2319</v>
      </c>
      <c r="BI893" t="s">
        <v>2382</v>
      </c>
      <c r="BJ893" t="s">
        <v>2383</v>
      </c>
      <c r="BK893">
        <v>722000</v>
      </c>
      <c r="BL893" t="s">
        <v>56</v>
      </c>
      <c r="BM893" t="s">
        <v>2384</v>
      </c>
      <c r="BN893" t="s">
        <v>2385</v>
      </c>
      <c r="BO893" t="s">
        <v>2383</v>
      </c>
      <c r="BP893" s="9">
        <v>470000</v>
      </c>
      <c r="BQ893" t="s">
        <v>275</v>
      </c>
      <c r="BR893" t="s">
        <v>2384</v>
      </c>
      <c r="BS893" t="s">
        <v>2385</v>
      </c>
      <c r="BT893" t="s">
        <v>2383</v>
      </c>
      <c r="BU893" s="9">
        <v>470000</v>
      </c>
      <c r="BV893" t="s">
        <v>275</v>
      </c>
      <c r="BW893" t="s">
        <v>2319</v>
      </c>
      <c r="BX893" t="s">
        <v>2382</v>
      </c>
      <c r="BY893" t="s">
        <v>2383</v>
      </c>
      <c r="BZ893">
        <v>722000</v>
      </c>
      <c r="CA893" t="s">
        <v>56</v>
      </c>
      <c r="CB893" t="s">
        <v>2384</v>
      </c>
      <c r="CC893" t="s">
        <v>2385</v>
      </c>
      <c r="CD893" t="s">
        <v>2383</v>
      </c>
      <c r="CE893" s="9">
        <v>470000</v>
      </c>
      <c r="HL893" t="s">
        <v>2386</v>
      </c>
      <c r="HM893" t="s">
        <v>232</v>
      </c>
      <c r="II893" t="s">
        <v>2430</v>
      </c>
      <c r="IJ893" t="s">
        <v>1443</v>
      </c>
      <c r="IK893" t="s">
        <v>660</v>
      </c>
      <c r="IL893" t="s">
        <v>661</v>
      </c>
      <c r="IM893">
        <v>2017</v>
      </c>
      <c r="IO893" t="s">
        <v>2387</v>
      </c>
      <c r="IP893" t="s">
        <v>2430</v>
      </c>
      <c r="IQ893" t="s">
        <v>1920</v>
      </c>
      <c r="IR893" t="s">
        <v>273</v>
      </c>
      <c r="IT893">
        <v>2018</v>
      </c>
      <c r="IV893" t="s">
        <v>2387</v>
      </c>
      <c r="JL893" t="s">
        <v>721</v>
      </c>
      <c r="KF893" t="s">
        <v>2388</v>
      </c>
      <c r="KG893" t="s">
        <v>2389</v>
      </c>
      <c r="KJ893" t="s">
        <v>2386</v>
      </c>
      <c r="KK893" t="s">
        <v>222</v>
      </c>
      <c r="KL893" t="s">
        <v>221</v>
      </c>
      <c r="KM893" t="s">
        <v>2390</v>
      </c>
      <c r="KN893">
        <f t="shared" si="6"/>
        <v>540</v>
      </c>
      <c r="KO893" t="s">
        <v>222</v>
      </c>
      <c r="KP893" t="s">
        <v>2391</v>
      </c>
      <c r="KQ893" t="s">
        <v>2390</v>
      </c>
      <c r="KR893">
        <v>360</v>
      </c>
      <c r="KX893" t="s">
        <v>2393</v>
      </c>
      <c r="LK893" t="s">
        <v>2387</v>
      </c>
      <c r="MZ893" t="s">
        <v>2395</v>
      </c>
      <c r="NA893">
        <v>136</v>
      </c>
      <c r="NB893" t="s">
        <v>2428</v>
      </c>
      <c r="NC893" t="s">
        <v>2296</v>
      </c>
      <c r="NK893" t="s">
        <v>2428</v>
      </c>
      <c r="NM893" t="s">
        <v>8</v>
      </c>
      <c r="NN893" t="s">
        <v>13</v>
      </c>
      <c r="NW893" t="s">
        <v>6</v>
      </c>
      <c r="NX893">
        <v>495</v>
      </c>
      <c r="NY893" t="s">
        <v>29</v>
      </c>
      <c r="OC893">
        <v>3</v>
      </c>
      <c r="OT893" t="s">
        <v>2371</v>
      </c>
      <c r="OU893" t="s">
        <v>6</v>
      </c>
      <c r="OW893">
        <v>2017</v>
      </c>
      <c r="OX893">
        <v>2020</v>
      </c>
      <c r="PA893" t="s">
        <v>1169</v>
      </c>
      <c r="PB893" s="58">
        <v>46136</v>
      </c>
    </row>
    <row r="894" spans="1:418">
      <c r="A894" t="s">
        <v>248</v>
      </c>
      <c r="B894" t="s">
        <v>2376</v>
      </c>
      <c r="C894" t="s">
        <v>2377</v>
      </c>
      <c r="D894" t="s">
        <v>1936</v>
      </c>
      <c r="E894" s="90" t="s">
        <v>2378</v>
      </c>
      <c r="F894" t="s">
        <v>31</v>
      </c>
      <c r="G894" t="s">
        <v>2</v>
      </c>
      <c r="H894" t="s">
        <v>30</v>
      </c>
      <c r="I894">
        <v>7.8527777780000001</v>
      </c>
      <c r="J894">
        <v>-5.1111111109999996</v>
      </c>
      <c r="K894" t="s">
        <v>29</v>
      </c>
      <c r="AV894" t="s">
        <v>2395</v>
      </c>
      <c r="AW894">
        <v>136</v>
      </c>
      <c r="AX894" t="s">
        <v>29</v>
      </c>
      <c r="AY894">
        <v>4</v>
      </c>
      <c r="AZ894" t="s">
        <v>2379</v>
      </c>
      <c r="BA894">
        <v>2017</v>
      </c>
      <c r="BB894">
        <v>2020</v>
      </c>
      <c r="BD894" t="s">
        <v>2402</v>
      </c>
      <c r="BE894" t="s">
        <v>2404</v>
      </c>
      <c r="BF894" t="s">
        <v>43</v>
      </c>
      <c r="BG894" t="s">
        <v>1233</v>
      </c>
      <c r="BH894" t="s">
        <v>2319</v>
      </c>
      <c r="BI894" t="s">
        <v>2382</v>
      </c>
      <c r="BJ894" t="s">
        <v>2383</v>
      </c>
      <c r="BK894">
        <v>722000</v>
      </c>
      <c r="BL894" t="s">
        <v>56</v>
      </c>
      <c r="BM894" t="s">
        <v>2384</v>
      </c>
      <c r="BN894" t="s">
        <v>2385</v>
      </c>
      <c r="BO894" t="s">
        <v>2383</v>
      </c>
      <c r="BP894" s="9">
        <v>470000</v>
      </c>
      <c r="BQ894" t="s">
        <v>275</v>
      </c>
      <c r="BR894" t="s">
        <v>2384</v>
      </c>
      <c r="BS894" t="s">
        <v>2385</v>
      </c>
      <c r="BT894" t="s">
        <v>2383</v>
      </c>
      <c r="BU894" s="9">
        <v>470000</v>
      </c>
      <c r="BV894" t="s">
        <v>275</v>
      </c>
      <c r="BW894" t="s">
        <v>2319</v>
      </c>
      <c r="BX894" t="s">
        <v>2382</v>
      </c>
      <c r="BY894" t="s">
        <v>2383</v>
      </c>
      <c r="BZ894">
        <v>722000</v>
      </c>
      <c r="CA894" t="s">
        <v>56</v>
      </c>
      <c r="CB894" t="s">
        <v>2384</v>
      </c>
      <c r="CC894" t="s">
        <v>2385</v>
      </c>
      <c r="CD894" t="s">
        <v>2383</v>
      </c>
      <c r="CE894" s="9">
        <v>470000</v>
      </c>
      <c r="HL894" t="s">
        <v>2386</v>
      </c>
      <c r="HM894" t="s">
        <v>232</v>
      </c>
      <c r="II894" t="s">
        <v>2404</v>
      </c>
      <c r="IJ894" t="s">
        <v>1443</v>
      </c>
      <c r="IK894" t="s">
        <v>660</v>
      </c>
      <c r="IL894" t="s">
        <v>661</v>
      </c>
      <c r="IM894">
        <v>2017</v>
      </c>
      <c r="IO894" t="s">
        <v>2387</v>
      </c>
      <c r="IP894" t="s">
        <v>2404</v>
      </c>
      <c r="IQ894" t="s">
        <v>1920</v>
      </c>
      <c r="IR894" t="s">
        <v>273</v>
      </c>
      <c r="IT894">
        <v>2018</v>
      </c>
      <c r="IV894" t="s">
        <v>2387</v>
      </c>
      <c r="JL894" t="s">
        <v>721</v>
      </c>
      <c r="KF894" t="s">
        <v>2388</v>
      </c>
      <c r="KG894" t="s">
        <v>2389</v>
      </c>
      <c r="KJ894" t="s">
        <v>2386</v>
      </c>
      <c r="KK894" t="s">
        <v>222</v>
      </c>
      <c r="KL894" t="s">
        <v>221</v>
      </c>
      <c r="KM894" t="s">
        <v>2390</v>
      </c>
      <c r="KN894">
        <f t="shared" si="6"/>
        <v>540</v>
      </c>
      <c r="KO894" t="s">
        <v>222</v>
      </c>
      <c r="KP894" t="s">
        <v>2391</v>
      </c>
      <c r="KQ894" t="s">
        <v>2390</v>
      </c>
      <c r="KR894">
        <v>360</v>
      </c>
      <c r="KW894" t="s">
        <v>2392</v>
      </c>
      <c r="KX894" t="s">
        <v>2393</v>
      </c>
      <c r="LK894" t="s">
        <v>2387</v>
      </c>
      <c r="MZ894" t="s">
        <v>2395</v>
      </c>
      <c r="NA894">
        <v>136</v>
      </c>
      <c r="NB894" t="s">
        <v>2428</v>
      </c>
      <c r="NC894" t="s">
        <v>2296</v>
      </c>
      <c r="NK894" t="s">
        <v>2428</v>
      </c>
      <c r="NM894" t="s">
        <v>8</v>
      </c>
      <c r="NN894" t="s">
        <v>13</v>
      </c>
      <c r="NW894" t="s">
        <v>6</v>
      </c>
      <c r="NX894">
        <v>1469.3</v>
      </c>
      <c r="NY894" t="s">
        <v>29</v>
      </c>
      <c r="OC894">
        <v>3</v>
      </c>
      <c r="OT894" t="s">
        <v>2371</v>
      </c>
      <c r="OU894" t="s">
        <v>6</v>
      </c>
      <c r="OW894">
        <v>2017</v>
      </c>
      <c r="OX894">
        <v>2020</v>
      </c>
      <c r="PA894" t="s">
        <v>1169</v>
      </c>
      <c r="PB894" s="58">
        <v>46136</v>
      </c>
    </row>
    <row r="895" spans="1:418">
      <c r="A895" t="s">
        <v>248</v>
      </c>
      <c r="B895" t="s">
        <v>2376</v>
      </c>
      <c r="C895" t="s">
        <v>2377</v>
      </c>
      <c r="D895" t="s">
        <v>1936</v>
      </c>
      <c r="E895" s="90" t="s">
        <v>2378</v>
      </c>
      <c r="F895" t="s">
        <v>31</v>
      </c>
      <c r="G895" t="s">
        <v>2</v>
      </c>
      <c r="H895" t="s">
        <v>30</v>
      </c>
      <c r="I895">
        <v>7.8527777780000001</v>
      </c>
      <c r="J895">
        <v>-5.1111111109999996</v>
      </c>
      <c r="K895" t="s">
        <v>29</v>
      </c>
      <c r="AV895" t="s">
        <v>2395</v>
      </c>
      <c r="AW895">
        <v>136</v>
      </c>
      <c r="AX895" t="s">
        <v>29</v>
      </c>
      <c r="AY895">
        <v>4</v>
      </c>
      <c r="AZ895" t="s">
        <v>2379</v>
      </c>
      <c r="BA895">
        <v>2017</v>
      </c>
      <c r="BB895">
        <v>2020</v>
      </c>
      <c r="BD895" t="s">
        <v>19</v>
      </c>
      <c r="BE895" t="s">
        <v>2405</v>
      </c>
      <c r="BF895" t="s">
        <v>39</v>
      </c>
      <c r="BG895" t="s">
        <v>1233</v>
      </c>
      <c r="BH895" t="s">
        <v>2319</v>
      </c>
      <c r="BI895" t="s">
        <v>2382</v>
      </c>
      <c r="BJ895" t="s">
        <v>2383</v>
      </c>
      <c r="BK895">
        <v>722000</v>
      </c>
      <c r="BL895" t="s">
        <v>275</v>
      </c>
      <c r="BM895" t="s">
        <v>23</v>
      </c>
      <c r="BN895" t="s">
        <v>1469</v>
      </c>
      <c r="BO895" t="s">
        <v>2383</v>
      </c>
      <c r="BP895" s="9">
        <v>55556</v>
      </c>
      <c r="HL895" t="s">
        <v>2406</v>
      </c>
      <c r="HM895" t="s">
        <v>297</v>
      </c>
      <c r="HN895" t="s">
        <v>2407</v>
      </c>
      <c r="HQ895">
        <v>3</v>
      </c>
      <c r="II895" t="s">
        <v>2405</v>
      </c>
      <c r="IJ895" t="s">
        <v>19</v>
      </c>
      <c r="IK895" t="s">
        <v>660</v>
      </c>
      <c r="IL895" t="s">
        <v>661</v>
      </c>
      <c r="IM895">
        <v>2017</v>
      </c>
      <c r="IO895" t="s">
        <v>18</v>
      </c>
      <c r="IP895" t="s">
        <v>2405</v>
      </c>
      <c r="IQ895" t="s">
        <v>1920</v>
      </c>
      <c r="IR895" t="s">
        <v>283</v>
      </c>
      <c r="IT895">
        <v>2018</v>
      </c>
      <c r="IV895" t="s">
        <v>18</v>
      </c>
      <c r="JL895" t="s">
        <v>721</v>
      </c>
      <c r="KF895" t="s">
        <v>2388</v>
      </c>
      <c r="KG895" t="s">
        <v>2389</v>
      </c>
      <c r="KJ895" t="s">
        <v>2406</v>
      </c>
      <c r="KK895" t="s">
        <v>222</v>
      </c>
      <c r="KL895" t="s">
        <v>2413</v>
      </c>
      <c r="KM895" t="s">
        <v>2390</v>
      </c>
      <c r="KN895">
        <v>1000</v>
      </c>
      <c r="KO895" t="s">
        <v>222</v>
      </c>
      <c r="KW895" t="s">
        <v>2392</v>
      </c>
      <c r="KX895" t="s">
        <v>2393</v>
      </c>
      <c r="LK895" t="s">
        <v>18</v>
      </c>
      <c r="MZ895" t="s">
        <v>2395</v>
      </c>
      <c r="NA895">
        <v>136</v>
      </c>
      <c r="NB895" t="s">
        <v>2428</v>
      </c>
      <c r="NC895" t="s">
        <v>2296</v>
      </c>
      <c r="NK895" t="s">
        <v>2428</v>
      </c>
      <c r="NM895" t="s">
        <v>8</v>
      </c>
      <c r="NN895" t="s">
        <v>13</v>
      </c>
      <c r="NV895" t="s">
        <v>2431</v>
      </c>
      <c r="NW895" t="s">
        <v>6</v>
      </c>
      <c r="NX895">
        <v>1347.4</v>
      </c>
      <c r="NY895" t="s">
        <v>29</v>
      </c>
      <c r="OC895">
        <v>3</v>
      </c>
      <c r="OT895" t="s">
        <v>2371</v>
      </c>
      <c r="OU895" t="s">
        <v>6</v>
      </c>
      <c r="OW895">
        <v>2017</v>
      </c>
      <c r="OX895">
        <v>2020</v>
      </c>
      <c r="PA895" t="s">
        <v>1169</v>
      </c>
      <c r="PB895" s="58">
        <v>46136</v>
      </c>
    </row>
    <row r="896" spans="1:418">
      <c r="A896" t="s">
        <v>248</v>
      </c>
      <c r="B896" t="s">
        <v>2376</v>
      </c>
      <c r="C896" t="s">
        <v>2377</v>
      </c>
      <c r="D896" t="s">
        <v>1936</v>
      </c>
      <c r="E896" s="90" t="s">
        <v>2378</v>
      </c>
      <c r="F896" t="s">
        <v>31</v>
      </c>
      <c r="G896" t="s">
        <v>2</v>
      </c>
      <c r="H896" t="s">
        <v>30</v>
      </c>
      <c r="I896">
        <v>7.8527777780000001</v>
      </c>
      <c r="J896">
        <v>-5.1111111109999996</v>
      </c>
      <c r="K896" t="s">
        <v>29</v>
      </c>
      <c r="AV896" t="s">
        <v>2395</v>
      </c>
      <c r="AW896">
        <v>136</v>
      </c>
      <c r="AX896" t="s">
        <v>29</v>
      </c>
      <c r="AY896">
        <v>4</v>
      </c>
      <c r="AZ896" t="s">
        <v>2379</v>
      </c>
      <c r="BA896">
        <v>2017</v>
      </c>
      <c r="BB896">
        <v>2020</v>
      </c>
      <c r="BE896" t="s">
        <v>2432</v>
      </c>
      <c r="BF896" t="s">
        <v>24</v>
      </c>
      <c r="BG896" t="s">
        <v>1233</v>
      </c>
      <c r="BH896" t="s">
        <v>2319</v>
      </c>
      <c r="BI896" t="s">
        <v>2382</v>
      </c>
      <c r="BJ896" t="s">
        <v>2383</v>
      </c>
      <c r="BK896">
        <v>722000</v>
      </c>
      <c r="BL896" t="s">
        <v>275</v>
      </c>
      <c r="BM896" t="s">
        <v>23</v>
      </c>
      <c r="BN896" t="s">
        <v>1469</v>
      </c>
      <c r="BO896" t="s">
        <v>2383</v>
      </c>
      <c r="BP896" s="9">
        <v>55556</v>
      </c>
      <c r="HL896" t="s">
        <v>2406</v>
      </c>
      <c r="HM896" t="s">
        <v>297</v>
      </c>
      <c r="HN896" t="s">
        <v>2407</v>
      </c>
      <c r="HQ896">
        <v>3</v>
      </c>
      <c r="II896" t="s">
        <v>2432</v>
      </c>
      <c r="IJ896" t="s">
        <v>19</v>
      </c>
      <c r="IK896" t="s">
        <v>660</v>
      </c>
      <c r="IL896" t="s">
        <v>661</v>
      </c>
      <c r="IM896">
        <v>2017</v>
      </c>
      <c r="IO896" t="s">
        <v>2408</v>
      </c>
      <c r="IP896" t="s">
        <v>2432</v>
      </c>
      <c r="IQ896" t="s">
        <v>1920</v>
      </c>
      <c r="IR896" t="s">
        <v>283</v>
      </c>
      <c r="IT896">
        <v>2018</v>
      </c>
      <c r="IV896" t="s">
        <v>2408</v>
      </c>
      <c r="JL896" t="s">
        <v>721</v>
      </c>
      <c r="KF896" t="s">
        <v>2388</v>
      </c>
      <c r="KG896" t="s">
        <v>2389</v>
      </c>
      <c r="KJ896" t="s">
        <v>2406</v>
      </c>
      <c r="KK896" t="s">
        <v>222</v>
      </c>
      <c r="KL896" t="s">
        <v>2413</v>
      </c>
      <c r="KM896" t="s">
        <v>2390</v>
      </c>
      <c r="KN896">
        <v>1000</v>
      </c>
      <c r="KO896" t="s">
        <v>222</v>
      </c>
      <c r="KX896" t="s">
        <v>216</v>
      </c>
      <c r="LK896" t="s">
        <v>2408</v>
      </c>
      <c r="MZ896" t="s">
        <v>2395</v>
      </c>
      <c r="NA896">
        <v>136</v>
      </c>
      <c r="NB896" t="s">
        <v>2428</v>
      </c>
      <c r="NC896" t="s">
        <v>2296</v>
      </c>
      <c r="NK896" t="s">
        <v>2428</v>
      </c>
      <c r="NM896" t="s">
        <v>8</v>
      </c>
      <c r="NN896" t="s">
        <v>13</v>
      </c>
      <c r="NV896" t="s">
        <v>2431</v>
      </c>
      <c r="NW896" t="s">
        <v>6</v>
      </c>
      <c r="NX896">
        <v>1541.5</v>
      </c>
      <c r="NY896" t="s">
        <v>29</v>
      </c>
      <c r="OC896">
        <v>2</v>
      </c>
      <c r="OT896" t="s">
        <v>2371</v>
      </c>
      <c r="OU896" t="s">
        <v>6</v>
      </c>
      <c r="OW896">
        <v>2017</v>
      </c>
      <c r="OX896">
        <v>2020</v>
      </c>
      <c r="PA896" t="s">
        <v>1169</v>
      </c>
      <c r="PB896" s="58">
        <v>46136</v>
      </c>
    </row>
    <row r="897" spans="1:418">
      <c r="A897" t="s">
        <v>248</v>
      </c>
      <c r="B897" t="s">
        <v>2376</v>
      </c>
      <c r="C897" t="s">
        <v>2377</v>
      </c>
      <c r="D897" t="s">
        <v>1936</v>
      </c>
      <c r="E897" s="90" t="s">
        <v>2378</v>
      </c>
      <c r="F897" t="s">
        <v>31</v>
      </c>
      <c r="G897" t="s">
        <v>2</v>
      </c>
      <c r="H897" t="s">
        <v>30</v>
      </c>
      <c r="I897">
        <v>7.8527777780000001</v>
      </c>
      <c r="J897">
        <v>-5.1111111109999996</v>
      </c>
      <c r="K897" t="s">
        <v>29</v>
      </c>
      <c r="AV897" t="s">
        <v>2395</v>
      </c>
      <c r="AW897">
        <v>136</v>
      </c>
      <c r="AX897" t="s">
        <v>29</v>
      </c>
      <c r="AY897">
        <v>4</v>
      </c>
      <c r="AZ897" t="s">
        <v>2379</v>
      </c>
      <c r="BA897">
        <v>2017</v>
      </c>
      <c r="BB897">
        <v>2020</v>
      </c>
      <c r="BD897" t="s">
        <v>2380</v>
      </c>
      <c r="BE897" t="s">
        <v>2409</v>
      </c>
      <c r="BF897" t="s">
        <v>252</v>
      </c>
      <c r="BG897" t="s">
        <v>1233</v>
      </c>
      <c r="BH897" t="s">
        <v>23</v>
      </c>
      <c r="BI897" t="s">
        <v>1469</v>
      </c>
      <c r="BJ897" t="s">
        <v>2383</v>
      </c>
      <c r="BK897" s="9">
        <v>55556</v>
      </c>
      <c r="BL897" t="s">
        <v>56</v>
      </c>
      <c r="BM897" t="s">
        <v>2173</v>
      </c>
      <c r="BN897" t="s">
        <v>2410</v>
      </c>
      <c r="BO897" t="s">
        <v>2383</v>
      </c>
      <c r="BP897">
        <v>55600</v>
      </c>
      <c r="BQ897" t="s">
        <v>275</v>
      </c>
      <c r="BR897" t="s">
        <v>2319</v>
      </c>
      <c r="BS897" t="s">
        <v>2382</v>
      </c>
      <c r="BT897" t="s">
        <v>2383</v>
      </c>
      <c r="BU897">
        <v>722000</v>
      </c>
      <c r="BV897" t="s">
        <v>56</v>
      </c>
      <c r="BW897" t="s">
        <v>1426</v>
      </c>
      <c r="BX897" t="s">
        <v>29</v>
      </c>
      <c r="BY897" t="s">
        <v>29</v>
      </c>
      <c r="BZ897" t="s">
        <v>29</v>
      </c>
      <c r="HL897" t="s">
        <v>2386</v>
      </c>
      <c r="HM897" t="s">
        <v>232</v>
      </c>
      <c r="II897" t="s">
        <v>2409</v>
      </c>
      <c r="IJ897" t="s">
        <v>1443</v>
      </c>
      <c r="IK897" t="s">
        <v>660</v>
      </c>
      <c r="IL897" t="s">
        <v>661</v>
      </c>
      <c r="IM897">
        <v>2017</v>
      </c>
      <c r="IO897" t="s">
        <v>2387</v>
      </c>
      <c r="IP897" t="s">
        <v>2409</v>
      </c>
      <c r="IQ897" t="s">
        <v>2411</v>
      </c>
      <c r="IR897" t="s">
        <v>2412</v>
      </c>
      <c r="IT897">
        <v>2018</v>
      </c>
      <c r="IV897" t="s">
        <v>2387</v>
      </c>
      <c r="JL897" t="s">
        <v>721</v>
      </c>
      <c r="KF897" t="s">
        <v>2388</v>
      </c>
      <c r="KG897" t="s">
        <v>2389</v>
      </c>
      <c r="KJ897" t="s">
        <v>2386</v>
      </c>
      <c r="KK897" t="s">
        <v>222</v>
      </c>
      <c r="KL897" t="s">
        <v>221</v>
      </c>
      <c r="KM897" t="s">
        <v>2390</v>
      </c>
      <c r="KN897">
        <v>540</v>
      </c>
      <c r="KO897" t="s">
        <v>222</v>
      </c>
      <c r="KP897" t="s">
        <v>2391</v>
      </c>
      <c r="KQ897" t="s">
        <v>2390</v>
      </c>
      <c r="KR897">
        <v>360</v>
      </c>
      <c r="KX897" t="s">
        <v>2305</v>
      </c>
      <c r="LK897" t="s">
        <v>2387</v>
      </c>
      <c r="MZ897" t="s">
        <v>2395</v>
      </c>
      <c r="NA897">
        <v>136</v>
      </c>
      <c r="NB897" t="s">
        <v>2428</v>
      </c>
      <c r="NC897" t="s">
        <v>2296</v>
      </c>
      <c r="NK897" t="s">
        <v>2428</v>
      </c>
      <c r="NM897" t="s">
        <v>8</v>
      </c>
      <c r="NN897" t="s">
        <v>13</v>
      </c>
      <c r="NW897" t="s">
        <v>6</v>
      </c>
      <c r="NX897">
        <v>1477.2</v>
      </c>
      <c r="NY897" t="s">
        <v>29</v>
      </c>
      <c r="OC897">
        <v>3</v>
      </c>
      <c r="OT897" t="s">
        <v>2371</v>
      </c>
      <c r="OU897" t="s">
        <v>6</v>
      </c>
      <c r="OW897">
        <v>2017</v>
      </c>
      <c r="OX897">
        <v>2020</v>
      </c>
      <c r="PA897" t="s">
        <v>1169</v>
      </c>
      <c r="PB897" s="58">
        <v>46136</v>
      </c>
    </row>
    <row r="898" spans="1:418">
      <c r="A898" t="s">
        <v>248</v>
      </c>
      <c r="B898" t="s">
        <v>2376</v>
      </c>
      <c r="C898" t="s">
        <v>2377</v>
      </c>
      <c r="D898" t="s">
        <v>1936</v>
      </c>
      <c r="E898" s="90" t="s">
        <v>2378</v>
      </c>
      <c r="F898" t="s">
        <v>31</v>
      </c>
      <c r="G898" t="s">
        <v>2</v>
      </c>
      <c r="H898" t="s">
        <v>30</v>
      </c>
      <c r="I898">
        <v>7.8527777780000001</v>
      </c>
      <c r="J898">
        <v>-5.1111111109999996</v>
      </c>
      <c r="K898" t="s">
        <v>29</v>
      </c>
      <c r="AV898" t="s">
        <v>2395</v>
      </c>
      <c r="AW898">
        <v>136</v>
      </c>
      <c r="AX898" t="s">
        <v>29</v>
      </c>
      <c r="AY898">
        <v>4</v>
      </c>
      <c r="AZ898" t="s">
        <v>2379</v>
      </c>
      <c r="BA898">
        <v>2017</v>
      </c>
      <c r="BB898">
        <v>2020</v>
      </c>
      <c r="BE898" t="s">
        <v>2433</v>
      </c>
      <c r="BF898" t="s">
        <v>236</v>
      </c>
      <c r="BG898" t="s">
        <v>1233</v>
      </c>
      <c r="BH898" t="s">
        <v>23</v>
      </c>
      <c r="BI898" t="s">
        <v>1469</v>
      </c>
      <c r="BJ898" t="s">
        <v>2383</v>
      </c>
      <c r="BK898" s="9">
        <v>55556</v>
      </c>
      <c r="BL898" t="s">
        <v>56</v>
      </c>
      <c r="BM898" t="s">
        <v>250</v>
      </c>
      <c r="BN898" t="s">
        <v>2434</v>
      </c>
      <c r="BO898" t="s">
        <v>2383</v>
      </c>
      <c r="BP898">
        <v>148000</v>
      </c>
      <c r="BQ898" t="s">
        <v>275</v>
      </c>
      <c r="BR898" t="s">
        <v>23</v>
      </c>
      <c r="BS898" t="s">
        <v>1469</v>
      </c>
      <c r="BT898" t="s">
        <v>2383</v>
      </c>
      <c r="BU898" s="9">
        <v>55556</v>
      </c>
      <c r="BV898" t="s">
        <v>56</v>
      </c>
      <c r="BW898" t="s">
        <v>2173</v>
      </c>
      <c r="BX898" t="s">
        <v>2410</v>
      </c>
      <c r="BY898" t="s">
        <v>2383</v>
      </c>
      <c r="BZ898">
        <v>55600</v>
      </c>
      <c r="CA898" t="s">
        <v>275</v>
      </c>
      <c r="CB898" t="s">
        <v>2319</v>
      </c>
      <c r="CC898" t="s">
        <v>2382</v>
      </c>
      <c r="CD898" t="s">
        <v>2383</v>
      </c>
      <c r="CE898">
        <v>722000</v>
      </c>
      <c r="HL898" t="s">
        <v>2386</v>
      </c>
      <c r="HM898" t="s">
        <v>232</v>
      </c>
      <c r="II898" t="s">
        <v>2433</v>
      </c>
      <c r="IJ898" t="s">
        <v>1443</v>
      </c>
      <c r="IK898" t="s">
        <v>660</v>
      </c>
      <c r="IL898" t="s">
        <v>661</v>
      </c>
      <c r="IM898">
        <v>2017</v>
      </c>
      <c r="IO898" t="s">
        <v>2387</v>
      </c>
      <c r="IP898" t="s">
        <v>2433</v>
      </c>
      <c r="IQ898" t="s">
        <v>2411</v>
      </c>
      <c r="IR898" t="s">
        <v>2412</v>
      </c>
      <c r="IT898">
        <v>2018</v>
      </c>
      <c r="IV898" t="s">
        <v>2387</v>
      </c>
      <c r="JL898" t="s">
        <v>721</v>
      </c>
      <c r="KF898" t="s">
        <v>2388</v>
      </c>
      <c r="KG898" t="s">
        <v>2389</v>
      </c>
      <c r="KJ898" t="s">
        <v>2386</v>
      </c>
      <c r="KK898" t="s">
        <v>222</v>
      </c>
      <c r="KL898" t="s">
        <v>221</v>
      </c>
      <c r="KM898" t="s">
        <v>2390</v>
      </c>
      <c r="KN898">
        <v>540</v>
      </c>
      <c r="KO898" t="s">
        <v>222</v>
      </c>
      <c r="KP898" t="s">
        <v>2391</v>
      </c>
      <c r="KQ898" t="s">
        <v>2390</v>
      </c>
      <c r="KR898">
        <v>360</v>
      </c>
      <c r="KX898" t="s">
        <v>2414</v>
      </c>
      <c r="LK898" t="s">
        <v>2387</v>
      </c>
      <c r="MZ898" t="s">
        <v>2395</v>
      </c>
      <c r="NA898">
        <v>136</v>
      </c>
      <c r="NB898" t="s">
        <v>2428</v>
      </c>
      <c r="NC898" t="s">
        <v>2296</v>
      </c>
      <c r="NK898" t="s">
        <v>2428</v>
      </c>
      <c r="NM898" t="s">
        <v>8</v>
      </c>
      <c r="NN898" t="s">
        <v>13</v>
      </c>
      <c r="NW898" t="s">
        <v>6</v>
      </c>
      <c r="NX898">
        <v>603</v>
      </c>
      <c r="NY898" t="s">
        <v>29</v>
      </c>
      <c r="OC898">
        <v>3</v>
      </c>
      <c r="OT898" t="s">
        <v>2371</v>
      </c>
      <c r="OU898" t="s">
        <v>6</v>
      </c>
      <c r="OW898">
        <v>2017</v>
      </c>
      <c r="OX898">
        <v>2020</v>
      </c>
      <c r="PA898" t="s">
        <v>1169</v>
      </c>
      <c r="PB898" s="58">
        <v>46136</v>
      </c>
    </row>
    <row r="899" spans="1:418">
      <c r="A899" t="s">
        <v>248</v>
      </c>
      <c r="B899" t="s">
        <v>2376</v>
      </c>
      <c r="C899" t="s">
        <v>2377</v>
      </c>
      <c r="D899" t="s">
        <v>1936</v>
      </c>
      <c r="E899" s="90" t="s">
        <v>2378</v>
      </c>
      <c r="F899" t="s">
        <v>31</v>
      </c>
      <c r="G899" t="s">
        <v>2</v>
      </c>
      <c r="H899" t="s">
        <v>30</v>
      </c>
      <c r="I899">
        <v>7.8527777780000001</v>
      </c>
      <c r="J899">
        <v>-5.1111111109999996</v>
      </c>
      <c r="K899" t="s">
        <v>29</v>
      </c>
      <c r="AV899" t="s">
        <v>2395</v>
      </c>
      <c r="AW899">
        <v>136</v>
      </c>
      <c r="AX899" t="s">
        <v>29</v>
      </c>
      <c r="AY899">
        <v>4</v>
      </c>
      <c r="AZ899" t="s">
        <v>2379</v>
      </c>
      <c r="BA899">
        <v>2017</v>
      </c>
      <c r="BB899">
        <v>2020</v>
      </c>
      <c r="BD899" t="s">
        <v>2380</v>
      </c>
      <c r="BE899" t="s">
        <v>2415</v>
      </c>
      <c r="BF899" t="s">
        <v>284</v>
      </c>
      <c r="BG899" t="s">
        <v>1233</v>
      </c>
      <c r="BH899" t="s">
        <v>23</v>
      </c>
      <c r="BI899" t="s">
        <v>1469</v>
      </c>
      <c r="BJ899" t="s">
        <v>2383</v>
      </c>
      <c r="BK899" s="9">
        <v>55556</v>
      </c>
      <c r="BL899" t="s">
        <v>56</v>
      </c>
      <c r="BM899" t="s">
        <v>2416</v>
      </c>
      <c r="BN899" t="s">
        <v>1469</v>
      </c>
      <c r="BO899" t="s">
        <v>2383</v>
      </c>
      <c r="BP899">
        <v>148000</v>
      </c>
      <c r="BQ899" t="s">
        <v>275</v>
      </c>
      <c r="BR899" t="s">
        <v>23</v>
      </c>
      <c r="BS899" t="s">
        <v>1469</v>
      </c>
      <c r="BT899" t="s">
        <v>2383</v>
      </c>
      <c r="BU899" s="9">
        <v>55556</v>
      </c>
      <c r="BV899" t="s">
        <v>56</v>
      </c>
      <c r="BW899" t="s">
        <v>1414</v>
      </c>
      <c r="BX899" t="s">
        <v>2417</v>
      </c>
      <c r="BY899" t="s">
        <v>2383</v>
      </c>
      <c r="BZ899">
        <v>148000</v>
      </c>
      <c r="CA899" t="s">
        <v>275</v>
      </c>
      <c r="CB899" t="s">
        <v>2319</v>
      </c>
      <c r="CC899" t="s">
        <v>2382</v>
      </c>
      <c r="CD899" t="s">
        <v>2383</v>
      </c>
      <c r="CE899">
        <v>722000</v>
      </c>
      <c r="HL899" t="s">
        <v>2386</v>
      </c>
      <c r="HM899" t="s">
        <v>232</v>
      </c>
      <c r="II899" t="s">
        <v>2415</v>
      </c>
      <c r="IJ899" t="s">
        <v>1443</v>
      </c>
      <c r="IK899" t="s">
        <v>660</v>
      </c>
      <c r="IL899" t="s">
        <v>661</v>
      </c>
      <c r="IM899">
        <v>2017</v>
      </c>
      <c r="IO899" t="s">
        <v>2387</v>
      </c>
      <c r="IP899" t="s">
        <v>2415</v>
      </c>
      <c r="IQ899" t="s">
        <v>2411</v>
      </c>
      <c r="IR899" t="s">
        <v>2412</v>
      </c>
      <c r="IT899">
        <v>2018</v>
      </c>
      <c r="IV899" t="s">
        <v>2387</v>
      </c>
      <c r="JL899" t="s">
        <v>721</v>
      </c>
      <c r="KF899" t="s">
        <v>2388</v>
      </c>
      <c r="KG899" t="s">
        <v>2389</v>
      </c>
      <c r="KJ899" t="s">
        <v>2386</v>
      </c>
      <c r="KK899" t="s">
        <v>222</v>
      </c>
      <c r="KL899" t="s">
        <v>221</v>
      </c>
      <c r="KM899" t="s">
        <v>2390</v>
      </c>
      <c r="KN899">
        <v>540</v>
      </c>
      <c r="KO899" t="s">
        <v>222</v>
      </c>
      <c r="KP899" t="s">
        <v>2391</v>
      </c>
      <c r="KQ899" t="s">
        <v>2390</v>
      </c>
      <c r="KR899">
        <v>360</v>
      </c>
      <c r="KW899" t="s">
        <v>2392</v>
      </c>
      <c r="KX899" t="s">
        <v>2393</v>
      </c>
      <c r="LK899" t="s">
        <v>2387</v>
      </c>
      <c r="MZ899" t="s">
        <v>2395</v>
      </c>
      <c r="NA899">
        <v>136</v>
      </c>
      <c r="NB899" t="s">
        <v>2428</v>
      </c>
      <c r="NC899" t="s">
        <v>2296</v>
      </c>
      <c r="NK899" t="s">
        <v>2428</v>
      </c>
      <c r="NM899" t="s">
        <v>8</v>
      </c>
      <c r="NN899" t="s">
        <v>13</v>
      </c>
      <c r="NW899" t="s">
        <v>6</v>
      </c>
      <c r="NX899">
        <v>1115.5999999999999</v>
      </c>
      <c r="NY899" t="s">
        <v>29</v>
      </c>
      <c r="OC899">
        <v>3</v>
      </c>
      <c r="OT899" t="s">
        <v>2371</v>
      </c>
      <c r="OU899" t="s">
        <v>6</v>
      </c>
      <c r="OW899">
        <v>2017</v>
      </c>
      <c r="OX899">
        <v>2020</v>
      </c>
      <c r="PA899" t="s">
        <v>1169</v>
      </c>
      <c r="PB899" s="58">
        <v>46136</v>
      </c>
    </row>
    <row r="900" spans="1:418">
      <c r="A900" t="s">
        <v>248</v>
      </c>
      <c r="B900" t="s">
        <v>2376</v>
      </c>
      <c r="C900" t="s">
        <v>2377</v>
      </c>
      <c r="D900" t="s">
        <v>1936</v>
      </c>
      <c r="E900" s="90" t="s">
        <v>2378</v>
      </c>
      <c r="F900" t="s">
        <v>31</v>
      </c>
      <c r="G900" t="s">
        <v>2</v>
      </c>
      <c r="H900" t="s">
        <v>30</v>
      </c>
      <c r="I900">
        <v>7.8527777780000001</v>
      </c>
      <c r="J900">
        <v>-5.1111111109999996</v>
      </c>
      <c r="K900" t="s">
        <v>29</v>
      </c>
      <c r="AV900" t="s">
        <v>2395</v>
      </c>
      <c r="AW900">
        <v>136</v>
      </c>
      <c r="AX900" t="s">
        <v>29</v>
      </c>
      <c r="AY900">
        <v>4</v>
      </c>
      <c r="AZ900" t="s">
        <v>2379</v>
      </c>
      <c r="BA900">
        <v>2017</v>
      </c>
      <c r="BB900">
        <v>2020</v>
      </c>
      <c r="BE900" t="s">
        <v>2435</v>
      </c>
      <c r="BF900" t="s">
        <v>277</v>
      </c>
      <c r="BG900" t="s">
        <v>1233</v>
      </c>
      <c r="BH900" t="s">
        <v>23</v>
      </c>
      <c r="BI900" t="s">
        <v>1469</v>
      </c>
      <c r="BJ900" t="s">
        <v>2383</v>
      </c>
      <c r="BK900" s="9">
        <v>55556</v>
      </c>
      <c r="BL900" t="s">
        <v>56</v>
      </c>
      <c r="BM900" t="s">
        <v>271</v>
      </c>
      <c r="BN900" t="s">
        <v>1469</v>
      </c>
      <c r="BO900" t="s">
        <v>2383</v>
      </c>
      <c r="BP900">
        <v>148000</v>
      </c>
      <c r="BQ900" t="s">
        <v>275</v>
      </c>
      <c r="BR900" t="s">
        <v>2436</v>
      </c>
      <c r="BS900" t="s">
        <v>2437</v>
      </c>
      <c r="BT900" t="s">
        <v>29</v>
      </c>
      <c r="BU900" t="s">
        <v>29</v>
      </c>
      <c r="BV900" t="s">
        <v>56</v>
      </c>
      <c r="BW900" t="s">
        <v>2173</v>
      </c>
      <c r="BX900" t="s">
        <v>2410</v>
      </c>
      <c r="BY900" t="s">
        <v>2383</v>
      </c>
      <c r="BZ900">
        <v>55600</v>
      </c>
      <c r="CA900" t="s">
        <v>275</v>
      </c>
      <c r="CB900" t="s">
        <v>2319</v>
      </c>
      <c r="CC900" t="s">
        <v>2382</v>
      </c>
      <c r="CD900" t="s">
        <v>2383</v>
      </c>
      <c r="CE900">
        <v>722000</v>
      </c>
      <c r="HL900" t="s">
        <v>2386</v>
      </c>
      <c r="HM900" t="s">
        <v>232</v>
      </c>
      <c r="II900" t="s">
        <v>2435</v>
      </c>
      <c r="IJ900" t="s">
        <v>1443</v>
      </c>
      <c r="IK900" t="s">
        <v>660</v>
      </c>
      <c r="IL900" t="s">
        <v>661</v>
      </c>
      <c r="IM900">
        <v>2017</v>
      </c>
      <c r="IO900" t="s">
        <v>2387</v>
      </c>
      <c r="IP900" t="s">
        <v>2435</v>
      </c>
      <c r="IQ900" t="s">
        <v>2411</v>
      </c>
      <c r="IR900" t="s">
        <v>2412</v>
      </c>
      <c r="IT900">
        <v>2018</v>
      </c>
      <c r="IV900" t="s">
        <v>2387</v>
      </c>
      <c r="JL900" t="s">
        <v>721</v>
      </c>
      <c r="KF900" t="s">
        <v>2388</v>
      </c>
      <c r="KG900" t="s">
        <v>2389</v>
      </c>
      <c r="KJ900" t="s">
        <v>2386</v>
      </c>
      <c r="KK900" t="s">
        <v>222</v>
      </c>
      <c r="KL900" t="s">
        <v>221</v>
      </c>
      <c r="KM900" t="s">
        <v>2390</v>
      </c>
      <c r="KN900">
        <v>540</v>
      </c>
      <c r="KO900" t="s">
        <v>222</v>
      </c>
      <c r="KP900" t="s">
        <v>2391</v>
      </c>
      <c r="KQ900" t="s">
        <v>2390</v>
      </c>
      <c r="KR900">
        <v>360</v>
      </c>
      <c r="KX900" t="s">
        <v>2438</v>
      </c>
      <c r="LK900" t="s">
        <v>2387</v>
      </c>
      <c r="MZ900" t="s">
        <v>2395</v>
      </c>
      <c r="NA900">
        <v>136</v>
      </c>
      <c r="NB900" t="s">
        <v>2428</v>
      </c>
      <c r="NC900" t="s">
        <v>2296</v>
      </c>
      <c r="NK900" t="s">
        <v>2428</v>
      </c>
      <c r="NM900" t="s">
        <v>8</v>
      </c>
      <c r="NN900" t="s">
        <v>13</v>
      </c>
      <c r="NW900" t="s">
        <v>6</v>
      </c>
      <c r="NX900">
        <v>853</v>
      </c>
      <c r="NY900" t="s">
        <v>29</v>
      </c>
      <c r="OC900">
        <v>3</v>
      </c>
      <c r="OT900" t="s">
        <v>2371</v>
      </c>
      <c r="OU900" t="s">
        <v>6</v>
      </c>
      <c r="OW900">
        <v>2017</v>
      </c>
      <c r="OX900">
        <v>2020</v>
      </c>
      <c r="PA900" t="s">
        <v>1169</v>
      </c>
      <c r="PB900" s="58">
        <v>46136</v>
      </c>
    </row>
    <row r="901" spans="1:418">
      <c r="A901" t="s">
        <v>248</v>
      </c>
      <c r="B901" t="s">
        <v>2376</v>
      </c>
      <c r="C901" t="s">
        <v>2377</v>
      </c>
      <c r="D901" t="s">
        <v>1936</v>
      </c>
      <c r="E901" s="90" t="s">
        <v>2378</v>
      </c>
      <c r="F901" t="s">
        <v>31</v>
      </c>
      <c r="G901" t="s">
        <v>2</v>
      </c>
      <c r="H901" t="s">
        <v>30</v>
      </c>
      <c r="I901">
        <v>7.8527777780000001</v>
      </c>
      <c r="J901">
        <v>-5.1111111109999996</v>
      </c>
      <c r="K901" t="s">
        <v>29</v>
      </c>
      <c r="AV901" t="s">
        <v>2395</v>
      </c>
      <c r="AW901">
        <v>136</v>
      </c>
      <c r="AX901" t="s">
        <v>29</v>
      </c>
      <c r="AY901">
        <v>4</v>
      </c>
      <c r="AZ901" t="s">
        <v>2379</v>
      </c>
      <c r="BA901">
        <v>2017</v>
      </c>
      <c r="BB901">
        <v>2020</v>
      </c>
      <c r="BD901" t="s">
        <v>2380</v>
      </c>
      <c r="BE901" t="s">
        <v>2418</v>
      </c>
      <c r="BF901" t="s">
        <v>1497</v>
      </c>
      <c r="BG901" t="s">
        <v>1233</v>
      </c>
      <c r="BH901" t="s">
        <v>2005</v>
      </c>
      <c r="BI901" t="s">
        <v>1469</v>
      </c>
      <c r="BJ901" t="s">
        <v>29</v>
      </c>
      <c r="BK901" t="s">
        <v>29</v>
      </c>
      <c r="BL901" t="s">
        <v>56</v>
      </c>
      <c r="BM901" t="s">
        <v>2384</v>
      </c>
      <c r="BN901" t="s">
        <v>2385</v>
      </c>
      <c r="BO901" t="s">
        <v>2383</v>
      </c>
      <c r="BP901">
        <v>940000</v>
      </c>
      <c r="BQ901" t="s">
        <v>275</v>
      </c>
      <c r="BR901" t="s">
        <v>2005</v>
      </c>
      <c r="BS901" t="s">
        <v>1469</v>
      </c>
      <c r="BT901" t="s">
        <v>29</v>
      </c>
      <c r="BU901" t="s">
        <v>29</v>
      </c>
      <c r="BV901" t="s">
        <v>56</v>
      </c>
      <c r="BW901" t="s">
        <v>2384</v>
      </c>
      <c r="BX901" t="s">
        <v>2385</v>
      </c>
      <c r="BY901" t="s">
        <v>2383</v>
      </c>
      <c r="BZ901">
        <v>940000</v>
      </c>
      <c r="CA901" t="s">
        <v>275</v>
      </c>
      <c r="CB901" t="s">
        <v>2319</v>
      </c>
      <c r="CC901" t="s">
        <v>2382</v>
      </c>
      <c r="CD901" t="s">
        <v>2383</v>
      </c>
      <c r="CE901">
        <v>722000</v>
      </c>
      <c r="CF901" t="s">
        <v>56</v>
      </c>
      <c r="CG901" t="s">
        <v>2384</v>
      </c>
      <c r="CH901" t="s">
        <v>2419</v>
      </c>
      <c r="CI901" t="s">
        <v>2383</v>
      </c>
      <c r="CJ901">
        <v>940000</v>
      </c>
      <c r="HL901" t="s">
        <v>2386</v>
      </c>
      <c r="HM901" t="s">
        <v>232</v>
      </c>
      <c r="II901" t="s">
        <v>2418</v>
      </c>
      <c r="IJ901" t="s">
        <v>1443</v>
      </c>
      <c r="IK901" t="s">
        <v>660</v>
      </c>
      <c r="IL901" t="s">
        <v>661</v>
      </c>
      <c r="IM901">
        <v>2017</v>
      </c>
      <c r="IO901" t="s">
        <v>2387</v>
      </c>
      <c r="IP901" t="s">
        <v>2418</v>
      </c>
      <c r="IQ901" t="s">
        <v>1920</v>
      </c>
      <c r="IR901" t="s">
        <v>273</v>
      </c>
      <c r="IT901">
        <v>2018</v>
      </c>
      <c r="IV901" t="s">
        <v>2387</v>
      </c>
      <c r="JL901" t="s">
        <v>721</v>
      </c>
      <c r="KF901" t="s">
        <v>2388</v>
      </c>
      <c r="KG901" t="s">
        <v>2389</v>
      </c>
      <c r="KJ901" t="s">
        <v>2386</v>
      </c>
      <c r="KK901" t="s">
        <v>222</v>
      </c>
      <c r="KL901" t="s">
        <v>221</v>
      </c>
      <c r="KM901" t="s">
        <v>2390</v>
      </c>
      <c r="KN901">
        <v>540</v>
      </c>
      <c r="KO901" t="s">
        <v>222</v>
      </c>
      <c r="KP901" t="s">
        <v>2391</v>
      </c>
      <c r="KQ901" t="s">
        <v>2390</v>
      </c>
      <c r="KR901">
        <v>360</v>
      </c>
      <c r="KW901" t="s">
        <v>2392</v>
      </c>
      <c r="KX901" t="s">
        <v>2393</v>
      </c>
      <c r="LK901" t="s">
        <v>2387</v>
      </c>
      <c r="MZ901" t="s">
        <v>2395</v>
      </c>
      <c r="NA901">
        <v>136</v>
      </c>
      <c r="NB901" t="s">
        <v>2428</v>
      </c>
      <c r="NC901" t="s">
        <v>2296</v>
      </c>
      <c r="NK901" t="s">
        <v>2428</v>
      </c>
      <c r="NM901" t="s">
        <v>8</v>
      </c>
      <c r="NN901" t="s">
        <v>13</v>
      </c>
      <c r="NW901" t="s">
        <v>6</v>
      </c>
      <c r="NX901">
        <v>1761.6</v>
      </c>
      <c r="NY901" t="s">
        <v>29</v>
      </c>
      <c r="OC901">
        <v>3</v>
      </c>
      <c r="OT901" t="s">
        <v>2371</v>
      </c>
      <c r="OU901" t="s">
        <v>6</v>
      </c>
      <c r="OW901">
        <v>2017</v>
      </c>
      <c r="OX901">
        <v>2020</v>
      </c>
      <c r="PA901" t="s">
        <v>1169</v>
      </c>
      <c r="PB901" s="58">
        <v>46136</v>
      </c>
    </row>
    <row r="902" spans="1:418">
      <c r="A902" t="s">
        <v>248</v>
      </c>
      <c r="B902" t="s">
        <v>2376</v>
      </c>
      <c r="C902" t="s">
        <v>2377</v>
      </c>
      <c r="D902" t="s">
        <v>1936</v>
      </c>
      <c r="E902" s="90" t="s">
        <v>2378</v>
      </c>
      <c r="F902" t="s">
        <v>31</v>
      </c>
      <c r="G902" t="s">
        <v>2</v>
      </c>
      <c r="H902" t="s">
        <v>30</v>
      </c>
      <c r="I902">
        <v>7.8527777780000001</v>
      </c>
      <c r="J902">
        <v>-5.1111111109999996</v>
      </c>
      <c r="K902" t="s">
        <v>29</v>
      </c>
      <c r="AV902" t="s">
        <v>2395</v>
      </c>
      <c r="AW902">
        <v>136</v>
      </c>
      <c r="AX902" t="s">
        <v>29</v>
      </c>
      <c r="AY902">
        <v>4</v>
      </c>
      <c r="AZ902" t="s">
        <v>2379</v>
      </c>
      <c r="BA902">
        <v>2017</v>
      </c>
      <c r="BB902">
        <v>2020</v>
      </c>
      <c r="BD902" t="s">
        <v>2380</v>
      </c>
      <c r="BE902" t="s">
        <v>2381</v>
      </c>
      <c r="BF902" t="s">
        <v>1498</v>
      </c>
      <c r="BG902" t="s">
        <v>1233</v>
      </c>
      <c r="BH902" t="s">
        <v>2319</v>
      </c>
      <c r="BI902" t="s">
        <v>2382</v>
      </c>
      <c r="BJ902" t="s">
        <v>2383</v>
      </c>
      <c r="BK902">
        <v>722000</v>
      </c>
      <c r="BL902" t="s">
        <v>56</v>
      </c>
      <c r="BM902" t="s">
        <v>2384</v>
      </c>
      <c r="BN902" t="s">
        <v>2385</v>
      </c>
      <c r="BO902" t="s">
        <v>2383</v>
      </c>
      <c r="BP902" s="9">
        <v>470000</v>
      </c>
      <c r="BQ902" t="s">
        <v>275</v>
      </c>
      <c r="BR902" t="s">
        <v>23</v>
      </c>
      <c r="BS902" t="s">
        <v>1469</v>
      </c>
      <c r="BT902" t="s">
        <v>2383</v>
      </c>
      <c r="BU902" s="9">
        <v>55556</v>
      </c>
      <c r="BV902" t="s">
        <v>56</v>
      </c>
      <c r="BW902" t="s">
        <v>2384</v>
      </c>
      <c r="BX902" t="s">
        <v>2385</v>
      </c>
      <c r="BY902" t="s">
        <v>2383</v>
      </c>
      <c r="BZ902" s="9">
        <v>470000</v>
      </c>
      <c r="HL902" t="s">
        <v>2386</v>
      </c>
      <c r="HM902" t="s">
        <v>232</v>
      </c>
      <c r="II902" t="s">
        <v>2381</v>
      </c>
      <c r="IJ902" t="s">
        <v>1443</v>
      </c>
      <c r="IK902" t="s">
        <v>660</v>
      </c>
      <c r="IL902" t="s">
        <v>661</v>
      </c>
      <c r="IM902">
        <v>2017</v>
      </c>
      <c r="IO902" t="s">
        <v>2387</v>
      </c>
      <c r="IP902" t="s">
        <v>2381</v>
      </c>
      <c r="IQ902" t="s">
        <v>1920</v>
      </c>
      <c r="IR902" t="s">
        <v>273</v>
      </c>
      <c r="IT902">
        <v>2018</v>
      </c>
      <c r="IV902" t="s">
        <v>2387</v>
      </c>
      <c r="JL902" t="s">
        <v>15</v>
      </c>
      <c r="JM902" t="s">
        <v>14</v>
      </c>
      <c r="JN902" t="s">
        <v>2439</v>
      </c>
      <c r="JO902" t="s">
        <v>13</v>
      </c>
      <c r="JP902" t="s">
        <v>2440</v>
      </c>
      <c r="JQ902" t="s">
        <v>13</v>
      </c>
      <c r="JR902">
        <v>64</v>
      </c>
      <c r="JS902">
        <v>21</v>
      </c>
      <c r="JT902">
        <v>30</v>
      </c>
      <c r="KF902" t="s">
        <v>2388</v>
      </c>
      <c r="KG902" t="s">
        <v>2389</v>
      </c>
      <c r="KJ902" t="s">
        <v>2386</v>
      </c>
      <c r="KK902" t="s">
        <v>222</v>
      </c>
      <c r="KL902" t="s">
        <v>221</v>
      </c>
      <c r="KM902" t="s">
        <v>2390</v>
      </c>
      <c r="KN902">
        <f>+AVERAGE(360,720)</f>
        <v>540</v>
      </c>
      <c r="KO902" t="s">
        <v>222</v>
      </c>
      <c r="KP902" t="s">
        <v>2391</v>
      </c>
      <c r="KQ902" t="s">
        <v>2390</v>
      </c>
      <c r="KR902">
        <v>360</v>
      </c>
      <c r="KW902" t="s">
        <v>2392</v>
      </c>
      <c r="KX902" t="s">
        <v>2393</v>
      </c>
      <c r="LK902" t="s">
        <v>2387</v>
      </c>
      <c r="MZ902" t="s">
        <v>2395</v>
      </c>
      <c r="NA902">
        <v>136</v>
      </c>
      <c r="NB902" t="s">
        <v>2428</v>
      </c>
      <c r="NC902" t="s">
        <v>2296</v>
      </c>
      <c r="NK902" t="s">
        <v>2428</v>
      </c>
      <c r="NM902" t="s">
        <v>8</v>
      </c>
      <c r="NN902" t="s">
        <v>13</v>
      </c>
      <c r="NW902" t="s">
        <v>6</v>
      </c>
      <c r="NX902">
        <v>1533.6</v>
      </c>
      <c r="NY902" t="s">
        <v>29</v>
      </c>
      <c r="OC902">
        <v>3</v>
      </c>
      <c r="OT902" t="s">
        <v>2371</v>
      </c>
      <c r="OU902" t="s">
        <v>6</v>
      </c>
      <c r="OW902">
        <v>2017</v>
      </c>
      <c r="OX902">
        <v>2020</v>
      </c>
      <c r="PA902" t="s">
        <v>1169</v>
      </c>
      <c r="PB902" s="58">
        <v>46136</v>
      </c>
    </row>
    <row r="903" spans="1:418">
      <c r="A903" t="s">
        <v>248</v>
      </c>
      <c r="B903" t="s">
        <v>2376</v>
      </c>
      <c r="C903" t="s">
        <v>2377</v>
      </c>
      <c r="D903" t="s">
        <v>1936</v>
      </c>
      <c r="E903" s="90" t="s">
        <v>2378</v>
      </c>
      <c r="F903" t="s">
        <v>31</v>
      </c>
      <c r="G903" t="s">
        <v>2</v>
      </c>
      <c r="H903" t="s">
        <v>30</v>
      </c>
      <c r="I903">
        <v>7.8527777780000001</v>
      </c>
      <c r="J903">
        <v>-5.1111111109999996</v>
      </c>
      <c r="K903" t="s">
        <v>29</v>
      </c>
      <c r="AV903" t="s">
        <v>2395</v>
      </c>
      <c r="AW903">
        <v>136</v>
      </c>
      <c r="AX903" t="s">
        <v>29</v>
      </c>
      <c r="AY903">
        <v>4</v>
      </c>
      <c r="AZ903" t="s">
        <v>2379</v>
      </c>
      <c r="BA903">
        <v>2017</v>
      </c>
      <c r="BB903">
        <v>2020</v>
      </c>
      <c r="BD903" t="s">
        <v>2380</v>
      </c>
      <c r="BE903" t="s">
        <v>2429</v>
      </c>
      <c r="BF903" t="s">
        <v>1499</v>
      </c>
      <c r="BG903" t="s">
        <v>1233</v>
      </c>
      <c r="BH903" t="s">
        <v>2319</v>
      </c>
      <c r="BI903" t="s">
        <v>2382</v>
      </c>
      <c r="BJ903" t="s">
        <v>2383</v>
      </c>
      <c r="BK903">
        <v>722000</v>
      </c>
      <c r="BL903" t="s">
        <v>56</v>
      </c>
      <c r="BM903" t="s">
        <v>2384</v>
      </c>
      <c r="BN903" t="s">
        <v>2385</v>
      </c>
      <c r="BO903" t="s">
        <v>2383</v>
      </c>
      <c r="BP903" s="9">
        <v>470000</v>
      </c>
      <c r="BQ903" t="s">
        <v>275</v>
      </c>
      <c r="BR903" t="s">
        <v>23</v>
      </c>
      <c r="BS903" t="s">
        <v>1469</v>
      </c>
      <c r="BT903" t="s">
        <v>2383</v>
      </c>
      <c r="BU903" s="9">
        <v>55556</v>
      </c>
      <c r="BV903" t="s">
        <v>56</v>
      </c>
      <c r="BW903" t="s">
        <v>2384</v>
      </c>
      <c r="BX903" t="s">
        <v>2385</v>
      </c>
      <c r="BY903" t="s">
        <v>2383</v>
      </c>
      <c r="BZ903" s="9">
        <v>470000</v>
      </c>
      <c r="HL903" t="s">
        <v>2386</v>
      </c>
      <c r="HM903" t="s">
        <v>232</v>
      </c>
      <c r="II903" t="s">
        <v>2429</v>
      </c>
      <c r="IJ903" t="s">
        <v>1443</v>
      </c>
      <c r="IK903" t="s">
        <v>660</v>
      </c>
      <c r="IL903" t="s">
        <v>661</v>
      </c>
      <c r="IM903">
        <v>2017</v>
      </c>
      <c r="IO903" t="s">
        <v>2387</v>
      </c>
      <c r="IP903" t="s">
        <v>2429</v>
      </c>
      <c r="IQ903" t="s">
        <v>1920</v>
      </c>
      <c r="IR903" t="s">
        <v>273</v>
      </c>
      <c r="IT903">
        <v>2018</v>
      </c>
      <c r="IV903" t="s">
        <v>2387</v>
      </c>
      <c r="JL903" t="s">
        <v>15</v>
      </c>
      <c r="JM903" t="s">
        <v>14</v>
      </c>
      <c r="JN903" t="s">
        <v>2439</v>
      </c>
      <c r="JO903" t="s">
        <v>13</v>
      </c>
      <c r="JP903" t="s">
        <v>2440</v>
      </c>
      <c r="JQ903" t="s">
        <v>13</v>
      </c>
      <c r="JR903">
        <v>64</v>
      </c>
      <c r="JS903">
        <v>21</v>
      </c>
      <c r="JT903">
        <v>30</v>
      </c>
      <c r="KF903" t="s">
        <v>2388</v>
      </c>
      <c r="KG903" t="s">
        <v>2389</v>
      </c>
      <c r="KJ903" t="s">
        <v>2386</v>
      </c>
      <c r="KK903" t="s">
        <v>222</v>
      </c>
      <c r="KL903" t="s">
        <v>221</v>
      </c>
      <c r="KM903" t="s">
        <v>2390</v>
      </c>
      <c r="KN903">
        <f t="shared" ref="KN903:KN905" si="7">+AVERAGE(360,720)</f>
        <v>540</v>
      </c>
      <c r="KO903" t="s">
        <v>222</v>
      </c>
      <c r="KP903" t="s">
        <v>2391</v>
      </c>
      <c r="KQ903" t="s">
        <v>2390</v>
      </c>
      <c r="KR903">
        <v>360</v>
      </c>
      <c r="KX903" t="s">
        <v>2393</v>
      </c>
      <c r="LK903" t="s">
        <v>2387</v>
      </c>
      <c r="MZ903" t="s">
        <v>2395</v>
      </c>
      <c r="NA903">
        <v>136</v>
      </c>
      <c r="NB903" t="s">
        <v>2428</v>
      </c>
      <c r="NC903" t="s">
        <v>2296</v>
      </c>
      <c r="NK903" t="s">
        <v>2428</v>
      </c>
      <c r="NM903" t="s">
        <v>8</v>
      </c>
      <c r="NN903" t="s">
        <v>13</v>
      </c>
      <c r="NW903" t="s">
        <v>6</v>
      </c>
      <c r="NX903">
        <v>664.2</v>
      </c>
      <c r="NY903" t="s">
        <v>29</v>
      </c>
      <c r="OC903">
        <v>3</v>
      </c>
      <c r="OT903" t="s">
        <v>2371</v>
      </c>
      <c r="OU903" t="s">
        <v>6</v>
      </c>
      <c r="OW903">
        <v>2017</v>
      </c>
      <c r="OX903">
        <v>2020</v>
      </c>
      <c r="PA903" t="s">
        <v>1169</v>
      </c>
      <c r="PB903" s="58">
        <v>46136</v>
      </c>
    </row>
    <row r="904" spans="1:418">
      <c r="A904" t="s">
        <v>248</v>
      </c>
      <c r="B904" t="s">
        <v>2376</v>
      </c>
      <c r="C904" t="s">
        <v>2377</v>
      </c>
      <c r="D904" t="s">
        <v>1936</v>
      </c>
      <c r="E904" s="90" t="s">
        <v>2378</v>
      </c>
      <c r="F904" t="s">
        <v>31</v>
      </c>
      <c r="G904" t="s">
        <v>2</v>
      </c>
      <c r="H904" t="s">
        <v>30</v>
      </c>
      <c r="I904">
        <v>7.8527777780000001</v>
      </c>
      <c r="J904">
        <v>-5.1111111109999996</v>
      </c>
      <c r="K904" t="s">
        <v>29</v>
      </c>
      <c r="AV904" t="s">
        <v>2395</v>
      </c>
      <c r="AW904">
        <v>136</v>
      </c>
      <c r="AX904" t="s">
        <v>29</v>
      </c>
      <c r="AY904">
        <v>4</v>
      </c>
      <c r="AZ904" t="s">
        <v>2379</v>
      </c>
      <c r="BA904">
        <v>2017</v>
      </c>
      <c r="BB904">
        <v>2020</v>
      </c>
      <c r="BD904" t="s">
        <v>2402</v>
      </c>
      <c r="BE904" t="s">
        <v>2430</v>
      </c>
      <c r="BF904" t="s">
        <v>1500</v>
      </c>
      <c r="BG904" t="s">
        <v>1233</v>
      </c>
      <c r="BH904" t="s">
        <v>2319</v>
      </c>
      <c r="BI904" t="s">
        <v>2382</v>
      </c>
      <c r="BJ904" t="s">
        <v>2383</v>
      </c>
      <c r="BK904">
        <v>722000</v>
      </c>
      <c r="BL904" t="s">
        <v>56</v>
      </c>
      <c r="BM904" t="s">
        <v>2384</v>
      </c>
      <c r="BN904" t="s">
        <v>2385</v>
      </c>
      <c r="BO904" t="s">
        <v>2383</v>
      </c>
      <c r="BP904" s="9">
        <v>470000</v>
      </c>
      <c r="BQ904" t="s">
        <v>275</v>
      </c>
      <c r="BR904" t="s">
        <v>2384</v>
      </c>
      <c r="BS904" t="s">
        <v>2385</v>
      </c>
      <c r="BT904" t="s">
        <v>2383</v>
      </c>
      <c r="BU904" s="9">
        <v>470000</v>
      </c>
      <c r="BV904" t="s">
        <v>275</v>
      </c>
      <c r="BW904" t="s">
        <v>2319</v>
      </c>
      <c r="BX904" t="s">
        <v>2382</v>
      </c>
      <c r="BY904" t="s">
        <v>2383</v>
      </c>
      <c r="BZ904">
        <v>722000</v>
      </c>
      <c r="CA904" t="s">
        <v>56</v>
      </c>
      <c r="CB904" t="s">
        <v>2384</v>
      </c>
      <c r="CC904" t="s">
        <v>2385</v>
      </c>
      <c r="CD904" t="s">
        <v>2383</v>
      </c>
      <c r="CE904" s="9">
        <v>470000</v>
      </c>
      <c r="HL904" t="s">
        <v>2386</v>
      </c>
      <c r="HM904" t="s">
        <v>232</v>
      </c>
      <c r="II904" t="s">
        <v>2430</v>
      </c>
      <c r="IJ904" t="s">
        <v>1443</v>
      </c>
      <c r="IK904" t="s">
        <v>660</v>
      </c>
      <c r="IL904" t="s">
        <v>661</v>
      </c>
      <c r="IM904">
        <v>2017</v>
      </c>
      <c r="IO904" t="s">
        <v>2387</v>
      </c>
      <c r="IP904" t="s">
        <v>2430</v>
      </c>
      <c r="IQ904" t="s">
        <v>1920</v>
      </c>
      <c r="IR904" t="s">
        <v>273</v>
      </c>
      <c r="IT904">
        <v>2018</v>
      </c>
      <c r="IV904" t="s">
        <v>2387</v>
      </c>
      <c r="JL904" t="s">
        <v>15</v>
      </c>
      <c r="JM904" t="s">
        <v>14</v>
      </c>
      <c r="JN904" t="s">
        <v>2439</v>
      </c>
      <c r="JO904" t="s">
        <v>13</v>
      </c>
      <c r="JP904" t="s">
        <v>2440</v>
      </c>
      <c r="JQ904" t="s">
        <v>13</v>
      </c>
      <c r="JR904">
        <v>64</v>
      </c>
      <c r="JS904">
        <v>21</v>
      </c>
      <c r="JT904">
        <v>30</v>
      </c>
      <c r="KF904" t="s">
        <v>2388</v>
      </c>
      <c r="KG904" t="s">
        <v>2389</v>
      </c>
      <c r="KJ904" t="s">
        <v>2386</v>
      </c>
      <c r="KK904" t="s">
        <v>222</v>
      </c>
      <c r="KL904" t="s">
        <v>221</v>
      </c>
      <c r="KM904" t="s">
        <v>2390</v>
      </c>
      <c r="KN904">
        <f t="shared" si="7"/>
        <v>540</v>
      </c>
      <c r="KO904" t="s">
        <v>222</v>
      </c>
      <c r="KP904" t="s">
        <v>2391</v>
      </c>
      <c r="KQ904" t="s">
        <v>2390</v>
      </c>
      <c r="KR904">
        <v>360</v>
      </c>
      <c r="KX904" t="s">
        <v>2393</v>
      </c>
      <c r="LK904" t="s">
        <v>2387</v>
      </c>
      <c r="MZ904" t="s">
        <v>2395</v>
      </c>
      <c r="NA904">
        <v>136</v>
      </c>
      <c r="NB904" t="s">
        <v>2428</v>
      </c>
      <c r="NC904" t="s">
        <v>2296</v>
      </c>
      <c r="NK904" t="s">
        <v>2428</v>
      </c>
      <c r="NM904" t="s">
        <v>8</v>
      </c>
      <c r="NN904" t="s">
        <v>13</v>
      </c>
      <c r="NW904" t="s">
        <v>6</v>
      </c>
      <c r="NX904">
        <v>514.9</v>
      </c>
      <c r="NY904" t="s">
        <v>29</v>
      </c>
      <c r="OC904">
        <v>3</v>
      </c>
      <c r="OT904" t="s">
        <v>2371</v>
      </c>
      <c r="OU904" t="s">
        <v>6</v>
      </c>
      <c r="OW904">
        <v>2017</v>
      </c>
      <c r="OX904">
        <v>2020</v>
      </c>
      <c r="PA904" t="s">
        <v>1169</v>
      </c>
      <c r="PB904" s="58">
        <v>46136</v>
      </c>
    </row>
    <row r="905" spans="1:418">
      <c r="A905" t="s">
        <v>248</v>
      </c>
      <c r="B905" t="s">
        <v>2376</v>
      </c>
      <c r="C905" t="s">
        <v>2377</v>
      </c>
      <c r="D905" t="s">
        <v>1936</v>
      </c>
      <c r="E905" s="90" t="s">
        <v>2378</v>
      </c>
      <c r="F905" t="s">
        <v>31</v>
      </c>
      <c r="G905" t="s">
        <v>2</v>
      </c>
      <c r="H905" t="s">
        <v>30</v>
      </c>
      <c r="I905">
        <v>7.8527777780000001</v>
      </c>
      <c r="J905">
        <v>-5.1111111109999996</v>
      </c>
      <c r="K905" t="s">
        <v>29</v>
      </c>
      <c r="AV905" t="s">
        <v>2395</v>
      </c>
      <c r="AW905">
        <v>136</v>
      </c>
      <c r="AX905" t="s">
        <v>29</v>
      </c>
      <c r="AY905">
        <v>4</v>
      </c>
      <c r="AZ905" t="s">
        <v>2379</v>
      </c>
      <c r="BA905">
        <v>2017</v>
      </c>
      <c r="BB905">
        <v>2020</v>
      </c>
      <c r="BD905" t="s">
        <v>2402</v>
      </c>
      <c r="BE905" t="s">
        <v>2404</v>
      </c>
      <c r="BF905" t="s">
        <v>1510</v>
      </c>
      <c r="BG905" t="s">
        <v>1233</v>
      </c>
      <c r="BH905" t="s">
        <v>2319</v>
      </c>
      <c r="BI905" t="s">
        <v>2382</v>
      </c>
      <c r="BJ905" t="s">
        <v>2383</v>
      </c>
      <c r="BK905">
        <v>722000</v>
      </c>
      <c r="BL905" t="s">
        <v>56</v>
      </c>
      <c r="BM905" t="s">
        <v>2384</v>
      </c>
      <c r="BN905" t="s">
        <v>2385</v>
      </c>
      <c r="BO905" t="s">
        <v>2383</v>
      </c>
      <c r="BP905" s="9">
        <v>470000</v>
      </c>
      <c r="BQ905" t="s">
        <v>275</v>
      </c>
      <c r="BR905" t="s">
        <v>2384</v>
      </c>
      <c r="BS905" t="s">
        <v>2385</v>
      </c>
      <c r="BT905" t="s">
        <v>2383</v>
      </c>
      <c r="BU905" s="9">
        <v>470000</v>
      </c>
      <c r="BV905" t="s">
        <v>275</v>
      </c>
      <c r="BW905" t="s">
        <v>2319</v>
      </c>
      <c r="BX905" t="s">
        <v>2382</v>
      </c>
      <c r="BY905" t="s">
        <v>2383</v>
      </c>
      <c r="BZ905">
        <v>722000</v>
      </c>
      <c r="CA905" t="s">
        <v>56</v>
      </c>
      <c r="CB905" t="s">
        <v>2384</v>
      </c>
      <c r="CC905" t="s">
        <v>2385</v>
      </c>
      <c r="CD905" t="s">
        <v>2383</v>
      </c>
      <c r="CE905" s="9">
        <v>470000</v>
      </c>
      <c r="HL905" t="s">
        <v>2386</v>
      </c>
      <c r="HM905" t="s">
        <v>232</v>
      </c>
      <c r="II905" t="s">
        <v>2404</v>
      </c>
      <c r="IJ905" t="s">
        <v>1443</v>
      </c>
      <c r="IK905" t="s">
        <v>660</v>
      </c>
      <c r="IL905" t="s">
        <v>661</v>
      </c>
      <c r="IM905">
        <v>2017</v>
      </c>
      <c r="IO905" t="s">
        <v>2387</v>
      </c>
      <c r="IP905" t="s">
        <v>2404</v>
      </c>
      <c r="IQ905" t="s">
        <v>1920</v>
      </c>
      <c r="IR905" t="s">
        <v>273</v>
      </c>
      <c r="IT905">
        <v>2018</v>
      </c>
      <c r="IV905" t="s">
        <v>2387</v>
      </c>
      <c r="JL905" t="s">
        <v>15</v>
      </c>
      <c r="JM905" t="s">
        <v>14</v>
      </c>
      <c r="JN905" t="s">
        <v>2439</v>
      </c>
      <c r="JO905" t="s">
        <v>13</v>
      </c>
      <c r="JP905" t="s">
        <v>2440</v>
      </c>
      <c r="JQ905" t="s">
        <v>13</v>
      </c>
      <c r="JR905">
        <v>64</v>
      </c>
      <c r="JS905">
        <v>21</v>
      </c>
      <c r="JT905">
        <v>30</v>
      </c>
      <c r="KF905" t="s">
        <v>2388</v>
      </c>
      <c r="KG905" t="s">
        <v>2389</v>
      </c>
      <c r="KJ905" t="s">
        <v>2386</v>
      </c>
      <c r="KK905" t="s">
        <v>222</v>
      </c>
      <c r="KL905" t="s">
        <v>221</v>
      </c>
      <c r="KM905" t="s">
        <v>2390</v>
      </c>
      <c r="KN905">
        <f t="shared" si="7"/>
        <v>540</v>
      </c>
      <c r="KO905" t="s">
        <v>222</v>
      </c>
      <c r="KP905" t="s">
        <v>2391</v>
      </c>
      <c r="KQ905" t="s">
        <v>2390</v>
      </c>
      <c r="KR905">
        <v>360</v>
      </c>
      <c r="KW905" t="s">
        <v>2392</v>
      </c>
      <c r="KX905" t="s">
        <v>2393</v>
      </c>
      <c r="LK905" t="s">
        <v>2387</v>
      </c>
      <c r="MZ905" t="s">
        <v>2395</v>
      </c>
      <c r="NA905">
        <v>136</v>
      </c>
      <c r="NB905" t="s">
        <v>2428</v>
      </c>
      <c r="NC905" t="s">
        <v>2296</v>
      </c>
      <c r="NK905" t="s">
        <v>2428</v>
      </c>
      <c r="NM905" t="s">
        <v>8</v>
      </c>
      <c r="NN905" t="s">
        <v>13</v>
      </c>
      <c r="NW905" t="s">
        <v>6</v>
      </c>
      <c r="NX905">
        <v>1579.5</v>
      </c>
      <c r="NY905" t="s">
        <v>29</v>
      </c>
      <c r="OC905">
        <v>3</v>
      </c>
      <c r="OT905" t="s">
        <v>2371</v>
      </c>
      <c r="OU905" t="s">
        <v>6</v>
      </c>
      <c r="OW905">
        <v>2017</v>
      </c>
      <c r="OX905">
        <v>2020</v>
      </c>
      <c r="PA905" t="s">
        <v>1169</v>
      </c>
      <c r="PB905" s="58">
        <v>46136</v>
      </c>
    </row>
    <row r="906" spans="1:418">
      <c r="A906" t="s">
        <v>248</v>
      </c>
      <c r="B906" t="s">
        <v>2376</v>
      </c>
      <c r="C906" t="s">
        <v>2377</v>
      </c>
      <c r="D906" t="s">
        <v>1936</v>
      </c>
      <c r="E906" s="90" t="s">
        <v>2378</v>
      </c>
      <c r="F906" t="s">
        <v>31</v>
      </c>
      <c r="G906" t="s">
        <v>2</v>
      </c>
      <c r="H906" t="s">
        <v>30</v>
      </c>
      <c r="I906">
        <v>7.8527777780000001</v>
      </c>
      <c r="J906">
        <v>-5.1111111109999996</v>
      </c>
      <c r="K906" t="s">
        <v>29</v>
      </c>
      <c r="AV906" t="s">
        <v>2395</v>
      </c>
      <c r="AW906">
        <v>136</v>
      </c>
      <c r="AX906" t="s">
        <v>29</v>
      </c>
      <c r="AY906">
        <v>4</v>
      </c>
      <c r="AZ906" t="s">
        <v>2379</v>
      </c>
      <c r="BA906">
        <v>2017</v>
      </c>
      <c r="BB906">
        <v>2020</v>
      </c>
      <c r="BD906" t="s">
        <v>19</v>
      </c>
      <c r="BE906" t="s">
        <v>2405</v>
      </c>
      <c r="BF906" t="s">
        <v>299</v>
      </c>
      <c r="BG906" t="s">
        <v>1233</v>
      </c>
      <c r="BH906" t="s">
        <v>2319</v>
      </c>
      <c r="BI906" t="s">
        <v>2382</v>
      </c>
      <c r="BJ906" t="s">
        <v>2383</v>
      </c>
      <c r="BK906">
        <v>722000</v>
      </c>
      <c r="BL906" t="s">
        <v>275</v>
      </c>
      <c r="BM906" t="s">
        <v>23</v>
      </c>
      <c r="BN906" t="s">
        <v>1469</v>
      </c>
      <c r="BO906" t="s">
        <v>2383</v>
      </c>
      <c r="BP906" s="9">
        <v>55556</v>
      </c>
      <c r="HL906" t="s">
        <v>2406</v>
      </c>
      <c r="HM906" t="s">
        <v>297</v>
      </c>
      <c r="HN906" t="s">
        <v>2407</v>
      </c>
      <c r="HQ906">
        <v>3</v>
      </c>
      <c r="II906" t="s">
        <v>2405</v>
      </c>
      <c r="IJ906" t="s">
        <v>19</v>
      </c>
      <c r="IK906" t="s">
        <v>660</v>
      </c>
      <c r="IL906" t="s">
        <v>661</v>
      </c>
      <c r="IM906">
        <v>2017</v>
      </c>
      <c r="IO906" t="s">
        <v>18</v>
      </c>
      <c r="IP906" t="s">
        <v>2405</v>
      </c>
      <c r="IQ906" t="s">
        <v>1920</v>
      </c>
      <c r="IR906" t="s">
        <v>283</v>
      </c>
      <c r="IT906">
        <v>2018</v>
      </c>
      <c r="IV906" t="s">
        <v>18</v>
      </c>
      <c r="JL906" t="s">
        <v>15</v>
      </c>
      <c r="JM906" t="s">
        <v>14</v>
      </c>
      <c r="JN906" t="s">
        <v>2439</v>
      </c>
      <c r="JO906" t="s">
        <v>13</v>
      </c>
      <c r="JP906" t="s">
        <v>2440</v>
      </c>
      <c r="JQ906" t="s">
        <v>13</v>
      </c>
      <c r="JR906">
        <v>64</v>
      </c>
      <c r="JS906">
        <v>21</v>
      </c>
      <c r="JT906">
        <v>30</v>
      </c>
      <c r="KF906" t="s">
        <v>2388</v>
      </c>
      <c r="KG906" t="s">
        <v>2389</v>
      </c>
      <c r="KJ906" t="s">
        <v>2406</v>
      </c>
      <c r="KK906" t="s">
        <v>222</v>
      </c>
      <c r="KL906" t="s">
        <v>2413</v>
      </c>
      <c r="KM906" t="s">
        <v>2390</v>
      </c>
      <c r="KN906">
        <v>1000</v>
      </c>
      <c r="KO906" t="s">
        <v>222</v>
      </c>
      <c r="KW906" t="s">
        <v>2392</v>
      </c>
      <c r="KX906" t="s">
        <v>2393</v>
      </c>
      <c r="LK906" t="s">
        <v>18</v>
      </c>
      <c r="MZ906" t="s">
        <v>2395</v>
      </c>
      <c r="NA906">
        <v>136</v>
      </c>
      <c r="NB906" t="s">
        <v>2428</v>
      </c>
      <c r="NC906" t="s">
        <v>2296</v>
      </c>
      <c r="NK906" t="s">
        <v>2428</v>
      </c>
      <c r="NM906" t="s">
        <v>8</v>
      </c>
      <c r="NN906" t="s">
        <v>13</v>
      </c>
      <c r="NV906" t="s">
        <v>2441</v>
      </c>
      <c r="NW906" t="s">
        <v>6</v>
      </c>
      <c r="NX906">
        <v>1727.9</v>
      </c>
      <c r="NY906" t="s">
        <v>29</v>
      </c>
      <c r="OC906">
        <v>3</v>
      </c>
      <c r="OT906" t="s">
        <v>2371</v>
      </c>
      <c r="OU906" t="s">
        <v>6</v>
      </c>
      <c r="OW906">
        <v>2017</v>
      </c>
      <c r="OX906">
        <v>2020</v>
      </c>
      <c r="PA906" t="s">
        <v>1169</v>
      </c>
      <c r="PB906" s="58">
        <v>46136</v>
      </c>
    </row>
    <row r="907" spans="1:418">
      <c r="A907" t="s">
        <v>248</v>
      </c>
      <c r="B907" t="s">
        <v>2376</v>
      </c>
      <c r="C907" t="s">
        <v>2377</v>
      </c>
      <c r="D907" t="s">
        <v>1936</v>
      </c>
      <c r="E907" s="90" t="s">
        <v>2378</v>
      </c>
      <c r="F907" t="s">
        <v>31</v>
      </c>
      <c r="G907" t="s">
        <v>2</v>
      </c>
      <c r="H907" t="s">
        <v>30</v>
      </c>
      <c r="I907">
        <v>7.8527777780000001</v>
      </c>
      <c r="J907">
        <v>-5.1111111109999996</v>
      </c>
      <c r="K907" t="s">
        <v>29</v>
      </c>
      <c r="AV907" t="s">
        <v>2395</v>
      </c>
      <c r="AW907">
        <v>136</v>
      </c>
      <c r="AX907" t="s">
        <v>29</v>
      </c>
      <c r="AY907">
        <v>4</v>
      </c>
      <c r="AZ907" t="s">
        <v>2379</v>
      </c>
      <c r="BA907">
        <v>2017</v>
      </c>
      <c r="BB907">
        <v>2020</v>
      </c>
      <c r="BE907" t="s">
        <v>2432</v>
      </c>
      <c r="BF907" t="s">
        <v>256</v>
      </c>
      <c r="BG907" t="s">
        <v>1233</v>
      </c>
      <c r="BH907" t="s">
        <v>2319</v>
      </c>
      <c r="BI907" t="s">
        <v>2382</v>
      </c>
      <c r="BJ907" t="s">
        <v>2383</v>
      </c>
      <c r="BK907">
        <v>722000</v>
      </c>
      <c r="BL907" t="s">
        <v>275</v>
      </c>
      <c r="BM907" t="s">
        <v>23</v>
      </c>
      <c r="BN907" t="s">
        <v>1469</v>
      </c>
      <c r="BO907" t="s">
        <v>2383</v>
      </c>
      <c r="BP907" s="9">
        <v>55556</v>
      </c>
      <c r="HL907" t="s">
        <v>2406</v>
      </c>
      <c r="HM907" t="s">
        <v>297</v>
      </c>
      <c r="HN907" t="s">
        <v>2407</v>
      </c>
      <c r="HQ907">
        <v>3</v>
      </c>
      <c r="II907" t="s">
        <v>2432</v>
      </c>
      <c r="IJ907" t="s">
        <v>19</v>
      </c>
      <c r="IK907" t="s">
        <v>660</v>
      </c>
      <c r="IL907" t="s">
        <v>661</v>
      </c>
      <c r="IM907">
        <v>2017</v>
      </c>
      <c r="IO907" t="s">
        <v>2408</v>
      </c>
      <c r="IP907" t="s">
        <v>2432</v>
      </c>
      <c r="IQ907" t="s">
        <v>1920</v>
      </c>
      <c r="IR907" t="s">
        <v>283</v>
      </c>
      <c r="IT907">
        <v>2018</v>
      </c>
      <c r="IV907" t="s">
        <v>2408</v>
      </c>
      <c r="JL907" t="s">
        <v>15</v>
      </c>
      <c r="JM907" t="s">
        <v>14</v>
      </c>
      <c r="JN907" t="s">
        <v>2439</v>
      </c>
      <c r="JO907" t="s">
        <v>13</v>
      </c>
      <c r="JP907" t="s">
        <v>2440</v>
      </c>
      <c r="JQ907" t="s">
        <v>13</v>
      </c>
      <c r="JR907">
        <v>64</v>
      </c>
      <c r="JS907">
        <v>21</v>
      </c>
      <c r="JT907">
        <v>30</v>
      </c>
      <c r="KF907" t="s">
        <v>2388</v>
      </c>
      <c r="KG907" t="s">
        <v>2389</v>
      </c>
      <c r="KJ907" t="s">
        <v>2406</v>
      </c>
      <c r="KK907" t="s">
        <v>222</v>
      </c>
      <c r="KL907" t="s">
        <v>2413</v>
      </c>
      <c r="KM907" t="s">
        <v>2390</v>
      </c>
      <c r="KN907">
        <v>1000</v>
      </c>
      <c r="KO907" t="s">
        <v>222</v>
      </c>
      <c r="KX907" t="s">
        <v>216</v>
      </c>
      <c r="LK907" t="s">
        <v>2408</v>
      </c>
      <c r="MZ907" t="s">
        <v>2395</v>
      </c>
      <c r="NA907">
        <v>136</v>
      </c>
      <c r="NB907" t="s">
        <v>2428</v>
      </c>
      <c r="NC907" t="s">
        <v>2296</v>
      </c>
      <c r="NK907" t="s">
        <v>2428</v>
      </c>
      <c r="NM907" t="s">
        <v>8</v>
      </c>
      <c r="NN907" t="s">
        <v>13</v>
      </c>
      <c r="NV907" t="s">
        <v>2441</v>
      </c>
      <c r="NW907" t="s">
        <v>6</v>
      </c>
      <c r="NX907">
        <v>2159.9</v>
      </c>
      <c r="NY907" t="s">
        <v>29</v>
      </c>
      <c r="OC907">
        <v>2</v>
      </c>
      <c r="OT907" t="s">
        <v>2371</v>
      </c>
      <c r="OU907" t="s">
        <v>6</v>
      </c>
      <c r="OW907">
        <v>2017</v>
      </c>
      <c r="OX907">
        <v>2020</v>
      </c>
      <c r="PA907" t="s">
        <v>1169</v>
      </c>
      <c r="PB907" s="58">
        <v>46136</v>
      </c>
    </row>
    <row r="908" spans="1:418">
      <c r="A908" t="s">
        <v>248</v>
      </c>
      <c r="B908" t="s">
        <v>2376</v>
      </c>
      <c r="C908" t="s">
        <v>2377</v>
      </c>
      <c r="D908" t="s">
        <v>1936</v>
      </c>
      <c r="E908" s="90" t="s">
        <v>2378</v>
      </c>
      <c r="F908" t="s">
        <v>31</v>
      </c>
      <c r="G908" t="s">
        <v>2</v>
      </c>
      <c r="H908" t="s">
        <v>30</v>
      </c>
      <c r="I908">
        <v>7.8527777780000001</v>
      </c>
      <c r="J908">
        <v>-5.1111111109999996</v>
      </c>
      <c r="K908" t="s">
        <v>29</v>
      </c>
      <c r="AV908" t="s">
        <v>2395</v>
      </c>
      <c r="AW908">
        <v>136</v>
      </c>
      <c r="AX908" t="s">
        <v>29</v>
      </c>
      <c r="AY908">
        <v>4</v>
      </c>
      <c r="AZ908" t="s">
        <v>2379</v>
      </c>
      <c r="BA908">
        <v>2017</v>
      </c>
      <c r="BB908">
        <v>2020</v>
      </c>
      <c r="BD908" t="s">
        <v>2380</v>
      </c>
      <c r="BE908" t="s">
        <v>2409</v>
      </c>
      <c r="BF908" t="s">
        <v>1511</v>
      </c>
      <c r="BG908" t="s">
        <v>1233</v>
      </c>
      <c r="BH908" t="s">
        <v>23</v>
      </c>
      <c r="BI908" t="s">
        <v>1469</v>
      </c>
      <c r="BJ908" t="s">
        <v>2383</v>
      </c>
      <c r="BK908" s="9">
        <v>55556</v>
      </c>
      <c r="BL908" t="s">
        <v>56</v>
      </c>
      <c r="BM908" t="s">
        <v>2173</v>
      </c>
      <c r="BN908" t="s">
        <v>2410</v>
      </c>
      <c r="BO908" t="s">
        <v>2383</v>
      </c>
      <c r="BP908">
        <v>55600</v>
      </c>
      <c r="BQ908" t="s">
        <v>275</v>
      </c>
      <c r="BR908" t="s">
        <v>2319</v>
      </c>
      <c r="BS908" t="s">
        <v>2382</v>
      </c>
      <c r="BT908" t="s">
        <v>2383</v>
      </c>
      <c r="BU908">
        <v>722000</v>
      </c>
      <c r="BV908" t="s">
        <v>56</v>
      </c>
      <c r="BW908" t="s">
        <v>1426</v>
      </c>
      <c r="BX908" t="s">
        <v>29</v>
      </c>
      <c r="BY908" t="s">
        <v>29</v>
      </c>
      <c r="BZ908" t="s">
        <v>29</v>
      </c>
      <c r="HL908" t="s">
        <v>2386</v>
      </c>
      <c r="HM908" t="s">
        <v>232</v>
      </c>
      <c r="II908" t="s">
        <v>2409</v>
      </c>
      <c r="IJ908" t="s">
        <v>1443</v>
      </c>
      <c r="IK908" t="s">
        <v>660</v>
      </c>
      <c r="IL908" t="s">
        <v>661</v>
      </c>
      <c r="IM908">
        <v>2017</v>
      </c>
      <c r="IO908" t="s">
        <v>2387</v>
      </c>
      <c r="IP908" t="s">
        <v>2409</v>
      </c>
      <c r="IQ908" t="s">
        <v>2411</v>
      </c>
      <c r="IR908" t="s">
        <v>2412</v>
      </c>
      <c r="IT908">
        <v>2018</v>
      </c>
      <c r="IV908" t="s">
        <v>2387</v>
      </c>
      <c r="JL908" t="s">
        <v>15</v>
      </c>
      <c r="JM908" t="s">
        <v>14</v>
      </c>
      <c r="JN908" t="s">
        <v>2439</v>
      </c>
      <c r="JO908" t="s">
        <v>13</v>
      </c>
      <c r="JP908" t="s">
        <v>2440</v>
      </c>
      <c r="JQ908" t="s">
        <v>13</v>
      </c>
      <c r="JR908">
        <v>64</v>
      </c>
      <c r="JS908">
        <v>21</v>
      </c>
      <c r="JT908">
        <v>30</v>
      </c>
      <c r="KF908" t="s">
        <v>2388</v>
      </c>
      <c r="KG908" t="s">
        <v>2389</v>
      </c>
      <c r="KJ908" t="s">
        <v>2386</v>
      </c>
      <c r="KK908" t="s">
        <v>222</v>
      </c>
      <c r="KL908" t="s">
        <v>221</v>
      </c>
      <c r="KM908" t="s">
        <v>2390</v>
      </c>
      <c r="KN908">
        <v>540</v>
      </c>
      <c r="KO908" t="s">
        <v>222</v>
      </c>
      <c r="KP908" t="s">
        <v>2391</v>
      </c>
      <c r="KQ908" t="s">
        <v>2390</v>
      </c>
      <c r="KR908">
        <v>360</v>
      </c>
      <c r="KX908" t="s">
        <v>2305</v>
      </c>
      <c r="KY908" t="s">
        <v>2414</v>
      </c>
      <c r="LK908" t="s">
        <v>2387</v>
      </c>
      <c r="MZ908" t="s">
        <v>2395</v>
      </c>
      <c r="NA908">
        <v>136</v>
      </c>
      <c r="NB908" t="s">
        <v>2428</v>
      </c>
      <c r="NC908" t="s">
        <v>2296</v>
      </c>
      <c r="NK908" t="s">
        <v>2428</v>
      </c>
      <c r="NM908" t="s">
        <v>8</v>
      </c>
      <c r="NN908" t="s">
        <v>13</v>
      </c>
      <c r="NW908" t="s">
        <v>6</v>
      </c>
      <c r="NX908">
        <v>1496.1</v>
      </c>
      <c r="NY908" t="s">
        <v>29</v>
      </c>
      <c r="OC908">
        <v>3</v>
      </c>
      <c r="OT908" t="s">
        <v>2371</v>
      </c>
      <c r="OU908" t="s">
        <v>6</v>
      </c>
      <c r="OW908">
        <v>2017</v>
      </c>
      <c r="OX908">
        <v>2020</v>
      </c>
      <c r="PA908" t="s">
        <v>1169</v>
      </c>
      <c r="PB908" s="58">
        <v>46136</v>
      </c>
    </row>
    <row r="909" spans="1:418">
      <c r="A909" t="s">
        <v>248</v>
      </c>
      <c r="B909" t="s">
        <v>2376</v>
      </c>
      <c r="C909" t="s">
        <v>2377</v>
      </c>
      <c r="D909" t="s">
        <v>1936</v>
      </c>
      <c r="E909" s="90" t="s">
        <v>2378</v>
      </c>
      <c r="F909" t="s">
        <v>31</v>
      </c>
      <c r="G909" t="s">
        <v>2</v>
      </c>
      <c r="H909" t="s">
        <v>30</v>
      </c>
      <c r="I909">
        <v>7.8527777780000001</v>
      </c>
      <c r="J909">
        <v>-5.1111111109999996</v>
      </c>
      <c r="K909" t="s">
        <v>29</v>
      </c>
      <c r="AV909" t="s">
        <v>2395</v>
      </c>
      <c r="AW909">
        <v>136</v>
      </c>
      <c r="AX909" t="s">
        <v>29</v>
      </c>
      <c r="AY909">
        <v>4</v>
      </c>
      <c r="AZ909" t="s">
        <v>2379</v>
      </c>
      <c r="BA909">
        <v>2017</v>
      </c>
      <c r="BB909">
        <v>2020</v>
      </c>
      <c r="BE909" t="s">
        <v>2433</v>
      </c>
      <c r="BF909" t="s">
        <v>2442</v>
      </c>
      <c r="BG909" t="s">
        <v>1233</v>
      </c>
      <c r="BH909" t="s">
        <v>23</v>
      </c>
      <c r="BI909" t="s">
        <v>1469</v>
      </c>
      <c r="BJ909" t="s">
        <v>2383</v>
      </c>
      <c r="BK909" s="9">
        <v>55556</v>
      </c>
      <c r="BL909" t="s">
        <v>56</v>
      </c>
      <c r="BM909" t="s">
        <v>250</v>
      </c>
      <c r="BN909" t="s">
        <v>2434</v>
      </c>
      <c r="BO909" t="s">
        <v>2383</v>
      </c>
      <c r="BP909">
        <v>148000</v>
      </c>
      <c r="BQ909" t="s">
        <v>275</v>
      </c>
      <c r="BR909" t="s">
        <v>23</v>
      </c>
      <c r="BS909" t="s">
        <v>1469</v>
      </c>
      <c r="BT909" t="s">
        <v>2383</v>
      </c>
      <c r="BU909" s="9">
        <v>55556</v>
      </c>
      <c r="BV909" t="s">
        <v>56</v>
      </c>
      <c r="BW909" t="s">
        <v>2173</v>
      </c>
      <c r="BX909" t="s">
        <v>2410</v>
      </c>
      <c r="BY909" t="s">
        <v>2383</v>
      </c>
      <c r="BZ909">
        <v>55600</v>
      </c>
      <c r="CA909" t="s">
        <v>275</v>
      </c>
      <c r="CB909" t="s">
        <v>2319</v>
      </c>
      <c r="CC909" t="s">
        <v>2382</v>
      </c>
      <c r="CD909" t="s">
        <v>2383</v>
      </c>
      <c r="CE909">
        <v>722000</v>
      </c>
      <c r="HL909" t="s">
        <v>2386</v>
      </c>
      <c r="HM909" t="s">
        <v>232</v>
      </c>
      <c r="II909" t="s">
        <v>2433</v>
      </c>
      <c r="IJ909" t="s">
        <v>1443</v>
      </c>
      <c r="IK909" t="s">
        <v>660</v>
      </c>
      <c r="IL909" t="s">
        <v>661</v>
      </c>
      <c r="IM909">
        <v>2017</v>
      </c>
      <c r="IO909" t="s">
        <v>2387</v>
      </c>
      <c r="IP909" t="s">
        <v>2433</v>
      </c>
      <c r="IQ909" t="s">
        <v>2411</v>
      </c>
      <c r="IR909" t="s">
        <v>2412</v>
      </c>
      <c r="IT909">
        <v>2018</v>
      </c>
      <c r="IV909" t="s">
        <v>2387</v>
      </c>
      <c r="JL909" t="s">
        <v>15</v>
      </c>
      <c r="JM909" t="s">
        <v>14</v>
      </c>
      <c r="JN909" t="s">
        <v>2439</v>
      </c>
      <c r="JO909" t="s">
        <v>13</v>
      </c>
      <c r="JP909" t="s">
        <v>2440</v>
      </c>
      <c r="JQ909" t="s">
        <v>13</v>
      </c>
      <c r="JR909">
        <v>64</v>
      </c>
      <c r="JS909">
        <v>21</v>
      </c>
      <c r="JT909">
        <v>30</v>
      </c>
      <c r="KF909" t="s">
        <v>2388</v>
      </c>
      <c r="KG909" t="s">
        <v>2389</v>
      </c>
      <c r="KJ909" t="s">
        <v>2386</v>
      </c>
      <c r="KK909" t="s">
        <v>222</v>
      </c>
      <c r="KL909" t="s">
        <v>221</v>
      </c>
      <c r="KM909" t="s">
        <v>2390</v>
      </c>
      <c r="KN909">
        <v>540</v>
      </c>
      <c r="KO909" t="s">
        <v>222</v>
      </c>
      <c r="KP909" t="s">
        <v>2391</v>
      </c>
      <c r="KQ909" t="s">
        <v>2390</v>
      </c>
      <c r="KR909">
        <v>360</v>
      </c>
      <c r="KX909" t="s">
        <v>2414</v>
      </c>
      <c r="LK909" t="s">
        <v>2387</v>
      </c>
      <c r="MZ909" t="s">
        <v>2395</v>
      </c>
      <c r="NA909">
        <v>136</v>
      </c>
      <c r="NB909" t="s">
        <v>2428</v>
      </c>
      <c r="NC909" t="s">
        <v>2296</v>
      </c>
      <c r="NK909" t="s">
        <v>2428</v>
      </c>
      <c r="NM909" t="s">
        <v>8</v>
      </c>
      <c r="NN909" t="s">
        <v>13</v>
      </c>
      <c r="NW909" t="s">
        <v>6</v>
      </c>
      <c r="NX909">
        <v>665.5</v>
      </c>
      <c r="NY909" t="s">
        <v>29</v>
      </c>
      <c r="OC909">
        <v>3</v>
      </c>
      <c r="OT909" t="s">
        <v>2371</v>
      </c>
      <c r="OU909" t="s">
        <v>6</v>
      </c>
      <c r="OW909">
        <v>2017</v>
      </c>
      <c r="OX909">
        <v>2020</v>
      </c>
      <c r="PA909" t="s">
        <v>1169</v>
      </c>
      <c r="PB909" s="58">
        <v>46136</v>
      </c>
    </row>
    <row r="910" spans="1:418">
      <c r="A910" t="s">
        <v>248</v>
      </c>
      <c r="B910" t="s">
        <v>2376</v>
      </c>
      <c r="C910" t="s">
        <v>2377</v>
      </c>
      <c r="D910" t="s">
        <v>1936</v>
      </c>
      <c r="E910" s="90" t="s">
        <v>2378</v>
      </c>
      <c r="F910" t="s">
        <v>31</v>
      </c>
      <c r="G910" t="s">
        <v>2</v>
      </c>
      <c r="H910" t="s">
        <v>30</v>
      </c>
      <c r="I910">
        <v>7.8527777780000001</v>
      </c>
      <c r="J910">
        <v>-5.1111111109999996</v>
      </c>
      <c r="K910" t="s">
        <v>29</v>
      </c>
      <c r="AV910" t="s">
        <v>2395</v>
      </c>
      <c r="AW910">
        <v>136</v>
      </c>
      <c r="AX910" t="s">
        <v>29</v>
      </c>
      <c r="AY910">
        <v>4</v>
      </c>
      <c r="AZ910" t="s">
        <v>2379</v>
      </c>
      <c r="BA910">
        <v>2017</v>
      </c>
      <c r="BB910">
        <v>2020</v>
      </c>
      <c r="BD910" t="s">
        <v>2380</v>
      </c>
      <c r="BE910" t="s">
        <v>2415</v>
      </c>
      <c r="BF910" t="s">
        <v>2443</v>
      </c>
      <c r="BG910" t="s">
        <v>1233</v>
      </c>
      <c r="BH910" t="s">
        <v>23</v>
      </c>
      <c r="BI910" t="s">
        <v>1469</v>
      </c>
      <c r="BJ910" t="s">
        <v>2383</v>
      </c>
      <c r="BK910" s="9">
        <v>55556</v>
      </c>
      <c r="BL910" t="s">
        <v>56</v>
      </c>
      <c r="BM910" t="s">
        <v>2416</v>
      </c>
      <c r="BN910" t="s">
        <v>1469</v>
      </c>
      <c r="BO910" t="s">
        <v>2383</v>
      </c>
      <c r="BP910">
        <v>148000</v>
      </c>
      <c r="BQ910" t="s">
        <v>275</v>
      </c>
      <c r="BR910" t="s">
        <v>23</v>
      </c>
      <c r="BS910" t="s">
        <v>1469</v>
      </c>
      <c r="BT910" t="s">
        <v>2383</v>
      </c>
      <c r="BU910" s="9">
        <v>55556</v>
      </c>
      <c r="BV910" t="s">
        <v>56</v>
      </c>
      <c r="BW910" t="s">
        <v>1414</v>
      </c>
      <c r="BX910" t="s">
        <v>2417</v>
      </c>
      <c r="BY910" t="s">
        <v>2383</v>
      </c>
      <c r="BZ910">
        <v>148000</v>
      </c>
      <c r="CA910" t="s">
        <v>275</v>
      </c>
      <c r="CB910" t="s">
        <v>2319</v>
      </c>
      <c r="CC910" t="s">
        <v>2382</v>
      </c>
      <c r="CD910" t="s">
        <v>2383</v>
      </c>
      <c r="CE910">
        <v>722000</v>
      </c>
      <c r="HL910" t="s">
        <v>2386</v>
      </c>
      <c r="HM910" t="s">
        <v>232</v>
      </c>
      <c r="II910" t="s">
        <v>2415</v>
      </c>
      <c r="IJ910" t="s">
        <v>1443</v>
      </c>
      <c r="IK910" t="s">
        <v>660</v>
      </c>
      <c r="IL910" t="s">
        <v>661</v>
      </c>
      <c r="IM910">
        <v>2017</v>
      </c>
      <c r="IO910" t="s">
        <v>2387</v>
      </c>
      <c r="IP910" t="s">
        <v>2415</v>
      </c>
      <c r="IQ910" t="s">
        <v>2411</v>
      </c>
      <c r="IR910" t="s">
        <v>2412</v>
      </c>
      <c r="IT910">
        <v>2018</v>
      </c>
      <c r="IV910" t="s">
        <v>2387</v>
      </c>
      <c r="JL910" t="s">
        <v>15</v>
      </c>
      <c r="JM910" t="s">
        <v>14</v>
      </c>
      <c r="JN910" t="s">
        <v>2439</v>
      </c>
      <c r="JO910" t="s">
        <v>13</v>
      </c>
      <c r="JP910" t="s">
        <v>2440</v>
      </c>
      <c r="JQ910" t="s">
        <v>13</v>
      </c>
      <c r="JR910">
        <v>64</v>
      </c>
      <c r="JS910">
        <v>21</v>
      </c>
      <c r="JT910">
        <v>30</v>
      </c>
      <c r="KF910" t="s">
        <v>2388</v>
      </c>
      <c r="KG910" t="s">
        <v>2389</v>
      </c>
      <c r="KJ910" t="s">
        <v>2386</v>
      </c>
      <c r="KK910" t="s">
        <v>222</v>
      </c>
      <c r="KL910" t="s">
        <v>221</v>
      </c>
      <c r="KM910" t="s">
        <v>2390</v>
      </c>
      <c r="KN910">
        <v>540</v>
      </c>
      <c r="KO910" t="s">
        <v>222</v>
      </c>
      <c r="KP910" t="s">
        <v>2391</v>
      </c>
      <c r="KQ910" t="s">
        <v>2390</v>
      </c>
      <c r="KR910">
        <v>360</v>
      </c>
      <c r="KW910" t="s">
        <v>2392</v>
      </c>
      <c r="KX910" t="s">
        <v>2393</v>
      </c>
      <c r="LK910" t="s">
        <v>2387</v>
      </c>
      <c r="MZ910" t="s">
        <v>2395</v>
      </c>
      <c r="NA910">
        <v>136</v>
      </c>
      <c r="NB910" t="s">
        <v>2428</v>
      </c>
      <c r="NC910" t="s">
        <v>2296</v>
      </c>
      <c r="NK910" t="s">
        <v>2428</v>
      </c>
      <c r="NM910" t="s">
        <v>8</v>
      </c>
      <c r="NN910" t="s">
        <v>13</v>
      </c>
      <c r="NW910" t="s">
        <v>6</v>
      </c>
      <c r="NX910">
        <v>1603.4</v>
      </c>
      <c r="NY910" t="s">
        <v>29</v>
      </c>
      <c r="OC910">
        <v>3</v>
      </c>
      <c r="OT910" t="s">
        <v>2371</v>
      </c>
      <c r="OU910" t="s">
        <v>6</v>
      </c>
      <c r="OW910">
        <v>2017</v>
      </c>
      <c r="OX910">
        <v>2020</v>
      </c>
      <c r="PA910" t="s">
        <v>1169</v>
      </c>
      <c r="PB910" s="58">
        <v>46136</v>
      </c>
    </row>
    <row r="911" spans="1:418">
      <c r="A911" t="s">
        <v>248</v>
      </c>
      <c r="B911" t="s">
        <v>2376</v>
      </c>
      <c r="C911" t="s">
        <v>2377</v>
      </c>
      <c r="D911" t="s">
        <v>1936</v>
      </c>
      <c r="E911" s="90" t="s">
        <v>2378</v>
      </c>
      <c r="F911" t="s">
        <v>31</v>
      </c>
      <c r="G911" t="s">
        <v>2</v>
      </c>
      <c r="H911" t="s">
        <v>30</v>
      </c>
      <c r="I911">
        <v>7.8527777780000001</v>
      </c>
      <c r="J911">
        <v>-5.1111111109999996</v>
      </c>
      <c r="K911" t="s">
        <v>29</v>
      </c>
      <c r="AV911" t="s">
        <v>2395</v>
      </c>
      <c r="AW911">
        <v>136</v>
      </c>
      <c r="AX911" t="s">
        <v>29</v>
      </c>
      <c r="AY911">
        <v>4</v>
      </c>
      <c r="AZ911" t="s">
        <v>2379</v>
      </c>
      <c r="BA911">
        <v>2017</v>
      </c>
      <c r="BB911">
        <v>2020</v>
      </c>
      <c r="BE911" t="s">
        <v>2435</v>
      </c>
      <c r="BF911" t="s">
        <v>2444</v>
      </c>
      <c r="BG911" t="s">
        <v>1233</v>
      </c>
      <c r="BH911" t="s">
        <v>23</v>
      </c>
      <c r="BI911" t="s">
        <v>1469</v>
      </c>
      <c r="BJ911" t="s">
        <v>2383</v>
      </c>
      <c r="BK911" s="9">
        <v>55556</v>
      </c>
      <c r="BL911" t="s">
        <v>56</v>
      </c>
      <c r="BM911" t="s">
        <v>271</v>
      </c>
      <c r="BN911" t="s">
        <v>1469</v>
      </c>
      <c r="BO911" t="s">
        <v>2383</v>
      </c>
      <c r="BP911">
        <v>148000</v>
      </c>
      <c r="BQ911" t="s">
        <v>275</v>
      </c>
      <c r="BR911" t="s">
        <v>2436</v>
      </c>
      <c r="BS911" t="s">
        <v>2437</v>
      </c>
      <c r="BT911" t="s">
        <v>29</v>
      </c>
      <c r="BU911" t="s">
        <v>29</v>
      </c>
      <c r="BV911" t="s">
        <v>56</v>
      </c>
      <c r="BW911" t="s">
        <v>2173</v>
      </c>
      <c r="BX911" t="s">
        <v>2410</v>
      </c>
      <c r="BY911" t="s">
        <v>2383</v>
      </c>
      <c r="BZ911">
        <v>55600</v>
      </c>
      <c r="CA911" t="s">
        <v>275</v>
      </c>
      <c r="CB911" t="s">
        <v>2319</v>
      </c>
      <c r="CC911" t="s">
        <v>2382</v>
      </c>
      <c r="CD911" t="s">
        <v>2383</v>
      </c>
      <c r="CE911">
        <v>722000</v>
      </c>
      <c r="HL911" t="s">
        <v>2386</v>
      </c>
      <c r="HM911" t="s">
        <v>232</v>
      </c>
      <c r="II911" t="s">
        <v>2435</v>
      </c>
      <c r="IJ911" t="s">
        <v>1443</v>
      </c>
      <c r="IK911" t="s">
        <v>660</v>
      </c>
      <c r="IL911" t="s">
        <v>661</v>
      </c>
      <c r="IM911">
        <v>2017</v>
      </c>
      <c r="IO911" t="s">
        <v>2387</v>
      </c>
      <c r="IP911" t="s">
        <v>2435</v>
      </c>
      <c r="IQ911" t="s">
        <v>2411</v>
      </c>
      <c r="IR911" t="s">
        <v>2412</v>
      </c>
      <c r="IT911">
        <v>2018</v>
      </c>
      <c r="IV911" t="s">
        <v>2387</v>
      </c>
      <c r="JL911" t="s">
        <v>15</v>
      </c>
      <c r="JM911" t="s">
        <v>14</v>
      </c>
      <c r="JN911" t="s">
        <v>2439</v>
      </c>
      <c r="JO911" t="s">
        <v>13</v>
      </c>
      <c r="JP911" t="s">
        <v>2440</v>
      </c>
      <c r="JQ911" t="s">
        <v>13</v>
      </c>
      <c r="JR911">
        <v>64</v>
      </c>
      <c r="JS911">
        <v>21</v>
      </c>
      <c r="JT911">
        <v>30</v>
      </c>
      <c r="KF911" t="s">
        <v>2388</v>
      </c>
      <c r="KG911" t="s">
        <v>2389</v>
      </c>
      <c r="KJ911" t="s">
        <v>2386</v>
      </c>
      <c r="KK911" t="s">
        <v>222</v>
      </c>
      <c r="KL911" t="s">
        <v>221</v>
      </c>
      <c r="KM911" t="s">
        <v>2390</v>
      </c>
      <c r="KN911">
        <v>540</v>
      </c>
      <c r="KO911" t="s">
        <v>222</v>
      </c>
      <c r="KP911" t="s">
        <v>2391</v>
      </c>
      <c r="KQ911" t="s">
        <v>2390</v>
      </c>
      <c r="KR911">
        <v>360</v>
      </c>
      <c r="KX911" t="s">
        <v>2438</v>
      </c>
      <c r="LK911" t="s">
        <v>2387</v>
      </c>
      <c r="MZ911" t="s">
        <v>2395</v>
      </c>
      <c r="NA911">
        <v>136</v>
      </c>
      <c r="NB911" t="s">
        <v>2428</v>
      </c>
      <c r="NC911" t="s">
        <v>2296</v>
      </c>
      <c r="NK911" s="209" t="s">
        <v>2428</v>
      </c>
      <c r="NL911" s="209"/>
      <c r="NM911" t="s">
        <v>8</v>
      </c>
      <c r="NN911" t="s">
        <v>13</v>
      </c>
      <c r="NW911" t="s">
        <v>6</v>
      </c>
      <c r="NX911">
        <v>977.2</v>
      </c>
      <c r="NY911" t="s">
        <v>29</v>
      </c>
      <c r="OC911">
        <v>3</v>
      </c>
      <c r="OT911" t="s">
        <v>2371</v>
      </c>
      <c r="OU911" t="s">
        <v>6</v>
      </c>
      <c r="OW911">
        <v>2017</v>
      </c>
      <c r="OX911">
        <v>2020</v>
      </c>
      <c r="PA911" t="s">
        <v>1169</v>
      </c>
      <c r="PB911" s="58">
        <v>46136</v>
      </c>
    </row>
    <row r="912" spans="1:418" ht="15.75" thickBot="1">
      <c r="A912" t="s">
        <v>248</v>
      </c>
      <c r="B912" t="s">
        <v>2376</v>
      </c>
      <c r="C912" t="s">
        <v>2377</v>
      </c>
      <c r="D912" t="s">
        <v>1936</v>
      </c>
      <c r="E912" s="90" t="s">
        <v>2378</v>
      </c>
      <c r="F912" t="s">
        <v>31</v>
      </c>
      <c r="G912" t="s">
        <v>2</v>
      </c>
      <c r="H912" t="s">
        <v>30</v>
      </c>
      <c r="I912">
        <v>7.8527777780000001</v>
      </c>
      <c r="J912">
        <v>-5.1111111109999996</v>
      </c>
      <c r="K912" t="s">
        <v>29</v>
      </c>
      <c r="AV912" t="s">
        <v>2395</v>
      </c>
      <c r="AW912">
        <v>136</v>
      </c>
      <c r="AX912" t="s">
        <v>29</v>
      </c>
      <c r="AY912">
        <v>4</v>
      </c>
      <c r="AZ912" t="s">
        <v>2379</v>
      </c>
      <c r="BA912">
        <v>2017</v>
      </c>
      <c r="BB912">
        <v>2020</v>
      </c>
      <c r="BD912" t="s">
        <v>2380</v>
      </c>
      <c r="BE912" t="s">
        <v>2418</v>
      </c>
      <c r="BF912" t="s">
        <v>2445</v>
      </c>
      <c r="BG912" t="s">
        <v>1233</v>
      </c>
      <c r="BH912" t="s">
        <v>2005</v>
      </c>
      <c r="BI912" t="s">
        <v>1469</v>
      </c>
      <c r="BJ912" t="s">
        <v>29</v>
      </c>
      <c r="BK912" t="s">
        <v>29</v>
      </c>
      <c r="BL912" t="s">
        <v>56</v>
      </c>
      <c r="BM912" t="s">
        <v>2384</v>
      </c>
      <c r="BN912" t="s">
        <v>2385</v>
      </c>
      <c r="BO912" t="s">
        <v>2383</v>
      </c>
      <c r="BP912">
        <v>940000</v>
      </c>
      <c r="BQ912" t="s">
        <v>275</v>
      </c>
      <c r="BR912" t="s">
        <v>2005</v>
      </c>
      <c r="BS912" t="s">
        <v>1469</v>
      </c>
      <c r="BT912" t="s">
        <v>29</v>
      </c>
      <c r="BU912" t="s">
        <v>29</v>
      </c>
      <c r="BV912" t="s">
        <v>56</v>
      </c>
      <c r="BW912" t="s">
        <v>2384</v>
      </c>
      <c r="BX912" t="s">
        <v>2385</v>
      </c>
      <c r="BY912" t="s">
        <v>2383</v>
      </c>
      <c r="BZ912">
        <v>940000</v>
      </c>
      <c r="CA912" t="s">
        <v>275</v>
      </c>
      <c r="CB912" t="s">
        <v>2319</v>
      </c>
      <c r="CC912" t="s">
        <v>2382</v>
      </c>
      <c r="CD912" t="s">
        <v>2383</v>
      </c>
      <c r="CE912">
        <v>722000</v>
      </c>
      <c r="CF912" t="s">
        <v>56</v>
      </c>
      <c r="CG912" t="s">
        <v>2384</v>
      </c>
      <c r="CH912" t="s">
        <v>2419</v>
      </c>
      <c r="CI912" t="s">
        <v>2383</v>
      </c>
      <c r="CJ912">
        <v>940000</v>
      </c>
      <c r="HL912" t="s">
        <v>2386</v>
      </c>
      <c r="HM912" t="s">
        <v>232</v>
      </c>
      <c r="II912" t="s">
        <v>2418</v>
      </c>
      <c r="IJ912" t="s">
        <v>1443</v>
      </c>
      <c r="IK912" t="s">
        <v>660</v>
      </c>
      <c r="IL912" t="s">
        <v>661</v>
      </c>
      <c r="IM912">
        <v>2017</v>
      </c>
      <c r="IO912" t="s">
        <v>2387</v>
      </c>
      <c r="IP912" t="s">
        <v>2418</v>
      </c>
      <c r="IQ912" t="s">
        <v>1920</v>
      </c>
      <c r="IR912" t="s">
        <v>273</v>
      </c>
      <c r="IT912">
        <v>2018</v>
      </c>
      <c r="IV912" t="s">
        <v>2387</v>
      </c>
      <c r="JL912" t="s">
        <v>15</v>
      </c>
      <c r="JM912" t="s">
        <v>14</v>
      </c>
      <c r="JN912" t="s">
        <v>2439</v>
      </c>
      <c r="JO912" t="s">
        <v>13</v>
      </c>
      <c r="JP912" t="s">
        <v>2440</v>
      </c>
      <c r="JQ912" t="s">
        <v>13</v>
      </c>
      <c r="JR912">
        <v>64</v>
      </c>
      <c r="JS912">
        <v>21</v>
      </c>
      <c r="JT912">
        <v>30</v>
      </c>
      <c r="KF912" t="s">
        <v>2388</v>
      </c>
      <c r="KG912" t="s">
        <v>2389</v>
      </c>
      <c r="KJ912" t="s">
        <v>2386</v>
      </c>
      <c r="KK912" t="s">
        <v>222</v>
      </c>
      <c r="KL912" t="s">
        <v>221</v>
      </c>
      <c r="KM912" t="s">
        <v>2390</v>
      </c>
      <c r="KN912">
        <v>540</v>
      </c>
      <c r="KO912" t="s">
        <v>222</v>
      </c>
      <c r="KP912" t="s">
        <v>2391</v>
      </c>
      <c r="KQ912" t="s">
        <v>2390</v>
      </c>
      <c r="KR912">
        <v>360</v>
      </c>
      <c r="KW912" t="s">
        <v>2392</v>
      </c>
      <c r="KX912" t="s">
        <v>2393</v>
      </c>
      <c r="LK912" t="s">
        <v>2387</v>
      </c>
      <c r="MZ912" t="s">
        <v>2395</v>
      </c>
      <c r="NA912">
        <v>136</v>
      </c>
      <c r="NB912" t="s">
        <v>2428</v>
      </c>
      <c r="NC912" t="s">
        <v>2296</v>
      </c>
      <c r="NK912" s="209" t="s">
        <v>2428</v>
      </c>
      <c r="NL912" s="209"/>
      <c r="NM912" t="s">
        <v>8</v>
      </c>
      <c r="NN912" t="s">
        <v>13</v>
      </c>
      <c r="NW912" t="s">
        <v>6</v>
      </c>
      <c r="NX912">
        <v>2342.1999999999998</v>
      </c>
      <c r="NY912" t="s">
        <v>29</v>
      </c>
      <c r="OC912">
        <v>3</v>
      </c>
      <c r="OT912" t="s">
        <v>2371</v>
      </c>
      <c r="OU912" t="s">
        <v>6</v>
      </c>
      <c r="OW912">
        <v>2017</v>
      </c>
      <c r="OX912">
        <v>2020</v>
      </c>
      <c r="PA912" t="s">
        <v>1169</v>
      </c>
      <c r="PB912" s="58">
        <v>46136</v>
      </c>
    </row>
    <row r="913" spans="1:418">
      <c r="A913" t="s">
        <v>2455</v>
      </c>
      <c r="B913" t="s">
        <v>2466</v>
      </c>
      <c r="C913" t="s">
        <v>2467</v>
      </c>
      <c r="D913" t="s">
        <v>245</v>
      </c>
      <c r="E913" t="s">
        <v>2468</v>
      </c>
      <c r="F913" t="s">
        <v>243</v>
      </c>
      <c r="G913" t="s">
        <v>2</v>
      </c>
      <c r="H913" t="s">
        <v>30</v>
      </c>
      <c r="I913">
        <v>1.3</v>
      </c>
      <c r="J913">
        <v>34.5</v>
      </c>
      <c r="K913" t="s">
        <v>29</v>
      </c>
      <c r="AV913" t="s">
        <v>2469</v>
      </c>
      <c r="AW913">
        <v>36</v>
      </c>
      <c r="AX913">
        <v>1.44E-2</v>
      </c>
      <c r="AY913">
        <v>1</v>
      </c>
      <c r="AZ913" t="s">
        <v>2470</v>
      </c>
      <c r="BA913">
        <v>2016</v>
      </c>
      <c r="BC913" t="s">
        <v>2471</v>
      </c>
      <c r="BE913" t="s">
        <v>2472</v>
      </c>
      <c r="BF913" t="s">
        <v>64</v>
      </c>
      <c r="BG913" t="s">
        <v>1233</v>
      </c>
      <c r="BH913" t="s">
        <v>2473</v>
      </c>
      <c r="BI913" t="s">
        <v>2474</v>
      </c>
      <c r="BJ913" t="s">
        <v>29</v>
      </c>
      <c r="BK913" t="s">
        <v>29</v>
      </c>
      <c r="BL913" t="s">
        <v>56</v>
      </c>
      <c r="BM913" t="s">
        <v>2475</v>
      </c>
      <c r="BN913" t="s">
        <v>29</v>
      </c>
      <c r="BO913" t="s">
        <v>29</v>
      </c>
      <c r="BP913" t="s">
        <v>29</v>
      </c>
      <c r="HW913" t="s">
        <v>2476</v>
      </c>
      <c r="HX913" t="s">
        <v>2473</v>
      </c>
      <c r="HY913" t="s">
        <v>2474</v>
      </c>
      <c r="HZ913" t="s">
        <v>2477</v>
      </c>
      <c r="IA913" t="s">
        <v>29</v>
      </c>
      <c r="IB913" t="s">
        <v>29</v>
      </c>
      <c r="II913" t="s">
        <v>2478</v>
      </c>
      <c r="IJ913" t="s">
        <v>1443</v>
      </c>
      <c r="IK913" t="s">
        <v>660</v>
      </c>
      <c r="IL913" t="s">
        <v>2479</v>
      </c>
      <c r="IM913">
        <v>2016</v>
      </c>
      <c r="IN913" t="s">
        <v>2471</v>
      </c>
      <c r="IO913" t="s">
        <v>29</v>
      </c>
      <c r="IW913" t="s">
        <v>2478</v>
      </c>
      <c r="IZ913" s="7" t="s">
        <v>2480</v>
      </c>
      <c r="JW913" t="s">
        <v>227</v>
      </c>
      <c r="KH913" t="s">
        <v>2481</v>
      </c>
      <c r="KI913">
        <v>2</v>
      </c>
      <c r="MZ913" t="s">
        <v>2482</v>
      </c>
      <c r="NA913">
        <v>36</v>
      </c>
      <c r="NB913" t="s">
        <v>2483</v>
      </c>
      <c r="NC913" t="s">
        <v>1671</v>
      </c>
      <c r="NK913" t="s">
        <v>2484</v>
      </c>
      <c r="NL913" t="s">
        <v>2485</v>
      </c>
      <c r="NM913" t="s">
        <v>8</v>
      </c>
      <c r="NN913" t="s">
        <v>13</v>
      </c>
      <c r="NW913" t="s">
        <v>6</v>
      </c>
      <c r="NX913">
        <v>125</v>
      </c>
      <c r="NY913" t="s">
        <v>4</v>
      </c>
      <c r="NZ913">
        <v>33</v>
      </c>
      <c r="OC913">
        <v>6</v>
      </c>
      <c r="OT913" t="s">
        <v>1924</v>
      </c>
      <c r="OV913">
        <v>2016</v>
      </c>
      <c r="OY913" t="s">
        <v>2471</v>
      </c>
      <c r="PA913" t="s">
        <v>1169</v>
      </c>
      <c r="PB913" s="58">
        <v>46147</v>
      </c>
    </row>
    <row r="914" spans="1:418" ht="15.75" thickBot="1">
      <c r="A914" t="s">
        <v>2455</v>
      </c>
      <c r="B914" t="s">
        <v>2466</v>
      </c>
      <c r="C914" t="s">
        <v>2467</v>
      </c>
      <c r="D914" t="s">
        <v>245</v>
      </c>
      <c r="E914" t="s">
        <v>2468</v>
      </c>
      <c r="F914" t="s">
        <v>243</v>
      </c>
      <c r="G914" t="s">
        <v>2</v>
      </c>
      <c r="H914" t="s">
        <v>30</v>
      </c>
      <c r="I914">
        <v>1.3</v>
      </c>
      <c r="J914">
        <v>34.5</v>
      </c>
      <c r="K914" t="s">
        <v>29</v>
      </c>
      <c r="AV914" t="s">
        <v>2469</v>
      </c>
      <c r="AW914">
        <v>36</v>
      </c>
      <c r="AX914">
        <v>1.44E-2</v>
      </c>
      <c r="AY914">
        <v>1</v>
      </c>
      <c r="AZ914" t="s">
        <v>2470</v>
      </c>
      <c r="BA914">
        <v>2016</v>
      </c>
      <c r="BC914" t="s">
        <v>2471</v>
      </c>
      <c r="BE914" t="s">
        <v>2486</v>
      </c>
      <c r="BF914" t="s">
        <v>57</v>
      </c>
      <c r="BG914" t="s">
        <v>1233</v>
      </c>
      <c r="BH914" t="s">
        <v>2473</v>
      </c>
      <c r="BI914" t="s">
        <v>2474</v>
      </c>
      <c r="BJ914" t="s">
        <v>29</v>
      </c>
      <c r="BK914" t="s">
        <v>29</v>
      </c>
      <c r="BL914" t="s">
        <v>56</v>
      </c>
      <c r="BM914" t="s">
        <v>2475</v>
      </c>
      <c r="BN914" t="s">
        <v>29</v>
      </c>
      <c r="BO914" t="s">
        <v>29</v>
      </c>
      <c r="BP914" t="s">
        <v>29</v>
      </c>
      <c r="HW914" t="s">
        <v>2487</v>
      </c>
      <c r="HX914" t="s">
        <v>2473</v>
      </c>
      <c r="HY914" t="s">
        <v>2474</v>
      </c>
      <c r="HZ914" t="s">
        <v>2477</v>
      </c>
      <c r="IA914" t="s">
        <v>29</v>
      </c>
      <c r="IB914" t="s">
        <v>29</v>
      </c>
      <c r="II914" t="s">
        <v>2488</v>
      </c>
      <c r="IJ914" t="s">
        <v>1443</v>
      </c>
      <c r="IK914" t="s">
        <v>660</v>
      </c>
      <c r="IL914" t="s">
        <v>2479</v>
      </c>
      <c r="IM914">
        <v>2016</v>
      </c>
      <c r="IN914" t="s">
        <v>2471</v>
      </c>
      <c r="IO914" t="s">
        <v>29</v>
      </c>
      <c r="IW914" t="s">
        <v>2486</v>
      </c>
      <c r="IZ914" t="s">
        <v>2489</v>
      </c>
      <c r="JW914" t="s">
        <v>227</v>
      </c>
      <c r="KH914" t="s">
        <v>2481</v>
      </c>
      <c r="KI914">
        <v>2</v>
      </c>
      <c r="MZ914" t="s">
        <v>2482</v>
      </c>
      <c r="NA914">
        <v>36</v>
      </c>
      <c r="NB914" t="s">
        <v>2483</v>
      </c>
      <c r="NC914" t="s">
        <v>1671</v>
      </c>
      <c r="NK914" t="s">
        <v>2484</v>
      </c>
      <c r="NL914" t="s">
        <v>2485</v>
      </c>
      <c r="NM914" t="s">
        <v>8</v>
      </c>
      <c r="NN914" t="s">
        <v>13</v>
      </c>
      <c r="NW914" t="s">
        <v>6</v>
      </c>
      <c r="NX914">
        <v>397</v>
      </c>
      <c r="NY914" t="s">
        <v>4</v>
      </c>
      <c r="NZ914">
        <v>246</v>
      </c>
      <c r="OC914">
        <v>5</v>
      </c>
      <c r="OT914" t="s">
        <v>1924</v>
      </c>
      <c r="OV914">
        <v>2016</v>
      </c>
      <c r="OY914" t="s">
        <v>2471</v>
      </c>
      <c r="PA914" t="s">
        <v>1169</v>
      </c>
      <c r="PB914" s="58">
        <v>46147</v>
      </c>
    </row>
    <row r="915" spans="1:418">
      <c r="A915" t="s">
        <v>2455</v>
      </c>
      <c r="B915" t="s">
        <v>2466</v>
      </c>
      <c r="C915" t="s">
        <v>2467</v>
      </c>
      <c r="D915" t="s">
        <v>245</v>
      </c>
      <c r="E915" t="s">
        <v>2468</v>
      </c>
      <c r="F915" t="s">
        <v>243</v>
      </c>
      <c r="G915" t="s">
        <v>2</v>
      </c>
      <c r="H915" t="s">
        <v>30</v>
      </c>
      <c r="I915">
        <v>1.3</v>
      </c>
      <c r="J915">
        <v>34.5</v>
      </c>
      <c r="K915" t="s">
        <v>29</v>
      </c>
      <c r="AV915" t="s">
        <v>2469</v>
      </c>
      <c r="AW915">
        <v>36</v>
      </c>
      <c r="AX915">
        <v>1.44E-2</v>
      </c>
      <c r="AY915">
        <v>1</v>
      </c>
      <c r="AZ915" t="s">
        <v>2470</v>
      </c>
      <c r="BA915">
        <v>2016</v>
      </c>
      <c r="BC915" t="s">
        <v>2471</v>
      </c>
      <c r="BE915" t="s">
        <v>2490</v>
      </c>
      <c r="BF915" t="s">
        <v>48</v>
      </c>
      <c r="BG915" t="s">
        <v>1233</v>
      </c>
      <c r="BH915" t="s">
        <v>2473</v>
      </c>
      <c r="BI915" t="s">
        <v>2491</v>
      </c>
      <c r="BJ915" t="s">
        <v>29</v>
      </c>
      <c r="BK915" t="s">
        <v>29</v>
      </c>
      <c r="BL915" t="s">
        <v>56</v>
      </c>
      <c r="BM915" t="s">
        <v>2475</v>
      </c>
      <c r="BN915" t="s">
        <v>29</v>
      </c>
      <c r="BO915" t="s">
        <v>29</v>
      </c>
      <c r="BP915" t="s">
        <v>29</v>
      </c>
      <c r="HW915" t="s">
        <v>2492</v>
      </c>
      <c r="HX915" t="s">
        <v>2473</v>
      </c>
      <c r="HY915" t="s">
        <v>2491</v>
      </c>
      <c r="HZ915" t="s">
        <v>2493</v>
      </c>
      <c r="IA915" t="s">
        <v>29</v>
      </c>
      <c r="IB915" t="s">
        <v>29</v>
      </c>
      <c r="II915" t="s">
        <v>2494</v>
      </c>
      <c r="IJ915" t="s">
        <v>1443</v>
      </c>
      <c r="IK915" t="s">
        <v>660</v>
      </c>
      <c r="IL915" t="s">
        <v>2479</v>
      </c>
      <c r="IM915">
        <v>2016</v>
      </c>
      <c r="IN915" t="s">
        <v>2471</v>
      </c>
      <c r="IO915" t="s">
        <v>29</v>
      </c>
      <c r="IW915" t="s">
        <v>2495</v>
      </c>
      <c r="IZ915" s="7" t="s">
        <v>2480</v>
      </c>
      <c r="JW915" t="s">
        <v>227</v>
      </c>
      <c r="KH915" t="s">
        <v>2481</v>
      </c>
      <c r="KI915">
        <v>2</v>
      </c>
      <c r="MZ915" t="s">
        <v>2482</v>
      </c>
      <c r="NA915">
        <v>36</v>
      </c>
      <c r="NB915" t="s">
        <v>2483</v>
      </c>
      <c r="NC915" t="s">
        <v>1671</v>
      </c>
      <c r="NK915" t="s">
        <v>2484</v>
      </c>
      <c r="NL915" t="s">
        <v>2485</v>
      </c>
      <c r="NM915" t="s">
        <v>8</v>
      </c>
      <c r="NN915" t="s">
        <v>13</v>
      </c>
      <c r="NW915" t="s">
        <v>6</v>
      </c>
      <c r="NX915">
        <v>134</v>
      </c>
      <c r="NY915" t="s">
        <v>4</v>
      </c>
      <c r="NZ915">
        <v>32</v>
      </c>
      <c r="OC915">
        <v>6</v>
      </c>
      <c r="OT915" t="s">
        <v>1924</v>
      </c>
      <c r="OV915">
        <v>2016</v>
      </c>
      <c r="OY915" t="s">
        <v>2471</v>
      </c>
      <c r="PA915" t="s">
        <v>1169</v>
      </c>
      <c r="PB915" s="58">
        <v>46147</v>
      </c>
    </row>
    <row r="916" spans="1:418">
      <c r="A916" t="s">
        <v>2455</v>
      </c>
      <c r="B916" t="s">
        <v>2466</v>
      </c>
      <c r="C916" t="s">
        <v>2467</v>
      </c>
      <c r="D916" t="s">
        <v>245</v>
      </c>
      <c r="E916" t="s">
        <v>2468</v>
      </c>
      <c r="F916" t="s">
        <v>243</v>
      </c>
      <c r="G916" t="s">
        <v>2</v>
      </c>
      <c r="H916" t="s">
        <v>30</v>
      </c>
      <c r="I916">
        <v>1.3</v>
      </c>
      <c r="J916">
        <v>34.5</v>
      </c>
      <c r="K916" t="s">
        <v>29</v>
      </c>
      <c r="AV916" t="s">
        <v>2469</v>
      </c>
      <c r="AW916">
        <v>36</v>
      </c>
      <c r="AX916">
        <v>1.44E-2</v>
      </c>
      <c r="AY916">
        <v>1</v>
      </c>
      <c r="AZ916" t="s">
        <v>2470</v>
      </c>
      <c r="BA916">
        <v>2016</v>
      </c>
      <c r="BC916" t="s">
        <v>2471</v>
      </c>
      <c r="BE916" t="s">
        <v>2496</v>
      </c>
      <c r="BF916" t="s">
        <v>43</v>
      </c>
      <c r="BG916" t="s">
        <v>1233</v>
      </c>
      <c r="BH916" t="s">
        <v>2473</v>
      </c>
      <c r="BI916" t="s">
        <v>2491</v>
      </c>
      <c r="BJ916" t="s">
        <v>29</v>
      </c>
      <c r="BK916" t="s">
        <v>29</v>
      </c>
      <c r="BL916" t="s">
        <v>56</v>
      </c>
      <c r="BM916" t="s">
        <v>2475</v>
      </c>
      <c r="BN916" t="s">
        <v>29</v>
      </c>
      <c r="BO916" t="s">
        <v>29</v>
      </c>
      <c r="BP916" t="s">
        <v>29</v>
      </c>
      <c r="HW916" t="s">
        <v>2497</v>
      </c>
      <c r="HX916" t="s">
        <v>2473</v>
      </c>
      <c r="HY916" t="s">
        <v>2491</v>
      </c>
      <c r="HZ916" t="s">
        <v>2493</v>
      </c>
      <c r="IA916" t="s">
        <v>29</v>
      </c>
      <c r="IB916" t="s">
        <v>29</v>
      </c>
      <c r="II916" t="s">
        <v>2498</v>
      </c>
      <c r="IJ916" t="s">
        <v>1443</v>
      </c>
      <c r="IK916" t="s">
        <v>660</v>
      </c>
      <c r="IL916" t="s">
        <v>2479</v>
      </c>
      <c r="IM916">
        <v>2016</v>
      </c>
      <c r="IN916" t="s">
        <v>2471</v>
      </c>
      <c r="IO916" t="s">
        <v>29</v>
      </c>
      <c r="IW916" t="s">
        <v>2496</v>
      </c>
      <c r="IZ916" t="s">
        <v>2489</v>
      </c>
      <c r="JW916" t="s">
        <v>227</v>
      </c>
      <c r="KH916" t="s">
        <v>2481</v>
      </c>
      <c r="KI916">
        <v>2</v>
      </c>
      <c r="MZ916" t="s">
        <v>2482</v>
      </c>
      <c r="NA916">
        <v>36</v>
      </c>
      <c r="NB916" t="s">
        <v>2483</v>
      </c>
      <c r="NC916" t="s">
        <v>1671</v>
      </c>
      <c r="NK916" t="s">
        <v>2484</v>
      </c>
      <c r="NL916" t="s">
        <v>2485</v>
      </c>
      <c r="NM916" t="s">
        <v>8</v>
      </c>
      <c r="NN916" t="s">
        <v>13</v>
      </c>
      <c r="NW916" t="s">
        <v>6</v>
      </c>
      <c r="NX916">
        <v>255</v>
      </c>
      <c r="NY916" t="s">
        <v>4</v>
      </c>
      <c r="NZ916">
        <v>101</v>
      </c>
      <c r="OC916">
        <v>6</v>
      </c>
      <c r="OT916" t="s">
        <v>1924</v>
      </c>
      <c r="OV916">
        <v>2016</v>
      </c>
      <c r="OY916" t="s">
        <v>2471</v>
      </c>
      <c r="PA916" t="s">
        <v>1169</v>
      </c>
      <c r="PB916" s="58">
        <v>46147</v>
      </c>
    </row>
    <row r="917" spans="1:418">
      <c r="A917" t="s">
        <v>2455</v>
      </c>
      <c r="B917" t="s">
        <v>2466</v>
      </c>
      <c r="C917" t="s">
        <v>2467</v>
      </c>
      <c r="D917" t="s">
        <v>245</v>
      </c>
      <c r="E917" t="s">
        <v>2468</v>
      </c>
      <c r="F917" t="s">
        <v>243</v>
      </c>
      <c r="G917" t="s">
        <v>2</v>
      </c>
      <c r="H917" t="s">
        <v>30</v>
      </c>
      <c r="I917">
        <v>1.3</v>
      </c>
      <c r="J917">
        <v>34.5</v>
      </c>
      <c r="K917" t="s">
        <v>29</v>
      </c>
      <c r="AV917" t="s">
        <v>2469</v>
      </c>
      <c r="AW917">
        <v>36</v>
      </c>
      <c r="AX917">
        <v>1.44E-2</v>
      </c>
      <c r="AY917">
        <v>1</v>
      </c>
      <c r="AZ917" t="s">
        <v>2470</v>
      </c>
      <c r="BA917">
        <v>2016</v>
      </c>
      <c r="BC917" t="s">
        <v>2471</v>
      </c>
      <c r="BE917" t="s">
        <v>2499</v>
      </c>
      <c r="BF917" t="s">
        <v>39</v>
      </c>
      <c r="BG917" t="s">
        <v>1233</v>
      </c>
      <c r="BH917" t="s">
        <v>2473</v>
      </c>
      <c r="BI917" t="s">
        <v>2474</v>
      </c>
      <c r="BJ917" t="s">
        <v>29</v>
      </c>
      <c r="BK917" t="s">
        <v>29</v>
      </c>
      <c r="HW917" t="s">
        <v>2500</v>
      </c>
      <c r="HX917" t="s">
        <v>2473</v>
      </c>
      <c r="HY917" t="s">
        <v>2474</v>
      </c>
      <c r="HZ917" t="s">
        <v>2477</v>
      </c>
      <c r="IA917" t="s">
        <v>29</v>
      </c>
      <c r="IB917" t="s">
        <v>29</v>
      </c>
      <c r="II917" t="s">
        <v>2499</v>
      </c>
      <c r="IJ917" t="s">
        <v>19</v>
      </c>
      <c r="IW917" t="s">
        <v>2499</v>
      </c>
      <c r="JW917" t="s">
        <v>227</v>
      </c>
      <c r="KH917" t="s">
        <v>2481</v>
      </c>
      <c r="KI917">
        <v>2</v>
      </c>
      <c r="MZ917" t="s">
        <v>2482</v>
      </c>
      <c r="NA917">
        <v>36</v>
      </c>
      <c r="NB917" t="s">
        <v>2483</v>
      </c>
      <c r="NC917" t="s">
        <v>1671</v>
      </c>
      <c r="NK917" t="s">
        <v>2484</v>
      </c>
      <c r="NL917" t="s">
        <v>2485</v>
      </c>
      <c r="NM917" t="s">
        <v>8</v>
      </c>
      <c r="NN917" t="s">
        <v>13</v>
      </c>
      <c r="NV917" t="s">
        <v>745</v>
      </c>
      <c r="NW917" t="s">
        <v>6</v>
      </c>
      <c r="NX917">
        <v>165</v>
      </c>
      <c r="NY917" t="s">
        <v>4</v>
      </c>
      <c r="NZ917">
        <v>8</v>
      </c>
      <c r="OC917">
        <v>8</v>
      </c>
      <c r="OT917" t="s">
        <v>1924</v>
      </c>
      <c r="OV917">
        <v>2016</v>
      </c>
      <c r="OY917" t="s">
        <v>2471</v>
      </c>
      <c r="PA917" t="s">
        <v>1169</v>
      </c>
      <c r="PB917" s="58">
        <v>46147</v>
      </c>
    </row>
    <row r="918" spans="1:418" ht="15.75" thickBot="1">
      <c r="A918" t="s">
        <v>2455</v>
      </c>
      <c r="B918" t="s">
        <v>2466</v>
      </c>
      <c r="C918" t="s">
        <v>2467</v>
      </c>
      <c r="D918" t="s">
        <v>245</v>
      </c>
      <c r="E918" t="s">
        <v>2468</v>
      </c>
      <c r="F918" t="s">
        <v>243</v>
      </c>
      <c r="G918" t="s">
        <v>2</v>
      </c>
      <c r="H918" t="s">
        <v>30</v>
      </c>
      <c r="I918">
        <v>1.3</v>
      </c>
      <c r="J918">
        <v>34.5</v>
      </c>
      <c r="K918" t="s">
        <v>29</v>
      </c>
      <c r="AV918" t="s">
        <v>2469</v>
      </c>
      <c r="AW918">
        <v>36</v>
      </c>
      <c r="AX918">
        <v>1.44E-2</v>
      </c>
      <c r="AY918">
        <v>1</v>
      </c>
      <c r="AZ918" t="s">
        <v>2470</v>
      </c>
      <c r="BA918">
        <v>2016</v>
      </c>
      <c r="BC918" t="s">
        <v>2471</v>
      </c>
      <c r="BE918" t="s">
        <v>2501</v>
      </c>
      <c r="BF918" t="s">
        <v>24</v>
      </c>
      <c r="BG918" t="s">
        <v>1233</v>
      </c>
      <c r="BH918" t="s">
        <v>2473</v>
      </c>
      <c r="BI918" t="s">
        <v>2491</v>
      </c>
      <c r="BJ918" t="s">
        <v>29</v>
      </c>
      <c r="BK918" t="s">
        <v>29</v>
      </c>
      <c r="HW918" t="s">
        <v>2502</v>
      </c>
      <c r="HX918" t="s">
        <v>2473</v>
      </c>
      <c r="HY918" t="s">
        <v>2491</v>
      </c>
      <c r="HZ918" t="s">
        <v>2493</v>
      </c>
      <c r="IA918" t="s">
        <v>29</v>
      </c>
      <c r="IB918" t="s">
        <v>29</v>
      </c>
      <c r="II918" t="s">
        <v>2501</v>
      </c>
      <c r="IJ918" t="s">
        <v>19</v>
      </c>
      <c r="IW918" t="s">
        <v>2501</v>
      </c>
      <c r="JW918" t="s">
        <v>227</v>
      </c>
      <c r="KH918" t="s">
        <v>2481</v>
      </c>
      <c r="KI918">
        <v>2</v>
      </c>
      <c r="MZ918" t="s">
        <v>2482</v>
      </c>
      <c r="NA918">
        <v>36</v>
      </c>
      <c r="NB918" t="s">
        <v>2483</v>
      </c>
      <c r="NC918" t="s">
        <v>1671</v>
      </c>
      <c r="NK918" t="s">
        <v>2484</v>
      </c>
      <c r="NL918" t="s">
        <v>2485</v>
      </c>
      <c r="NM918" t="s">
        <v>8</v>
      </c>
      <c r="NN918" t="s">
        <v>13</v>
      </c>
      <c r="NV918" t="s">
        <v>2174</v>
      </c>
      <c r="NW918" t="s">
        <v>6</v>
      </c>
      <c r="NX918">
        <v>179</v>
      </c>
      <c r="NY918" t="s">
        <v>4</v>
      </c>
      <c r="NZ918">
        <v>7</v>
      </c>
      <c r="OC918">
        <v>7</v>
      </c>
      <c r="OT918" t="s">
        <v>1924</v>
      </c>
      <c r="OV918">
        <v>2016</v>
      </c>
      <c r="OY918" t="s">
        <v>2471</v>
      </c>
      <c r="PA918" t="s">
        <v>1169</v>
      </c>
      <c r="PB918" s="58">
        <v>46147</v>
      </c>
    </row>
    <row r="919" spans="1:418">
      <c r="A919" t="s">
        <v>2455</v>
      </c>
      <c r="B919" t="s">
        <v>2466</v>
      </c>
      <c r="C919" t="s">
        <v>2467</v>
      </c>
      <c r="D919" t="s">
        <v>245</v>
      </c>
      <c r="E919" t="s">
        <v>2503</v>
      </c>
      <c r="F919" t="s">
        <v>243</v>
      </c>
      <c r="G919" t="s">
        <v>2</v>
      </c>
      <c r="H919" t="s">
        <v>30</v>
      </c>
      <c r="I919" s="5" t="s">
        <v>2504</v>
      </c>
      <c r="J919">
        <v>30.15</v>
      </c>
      <c r="K919" t="s">
        <v>29</v>
      </c>
      <c r="AV919" t="s">
        <v>2469</v>
      </c>
      <c r="AW919">
        <v>36</v>
      </c>
      <c r="AX919">
        <v>1.44E-2</v>
      </c>
      <c r="AY919">
        <v>1</v>
      </c>
      <c r="AZ919" t="s">
        <v>2505</v>
      </c>
      <c r="BA919">
        <v>2016</v>
      </c>
      <c r="BC919" t="s">
        <v>2471</v>
      </c>
      <c r="BE919" t="s">
        <v>2472</v>
      </c>
      <c r="BF919" t="s">
        <v>64</v>
      </c>
      <c r="BG919" t="s">
        <v>1233</v>
      </c>
      <c r="BH919" t="s">
        <v>2473</v>
      </c>
      <c r="BI919" t="s">
        <v>2474</v>
      </c>
      <c r="BJ919" t="s">
        <v>29</v>
      </c>
      <c r="BK919" t="s">
        <v>29</v>
      </c>
      <c r="BL919" t="s">
        <v>56</v>
      </c>
      <c r="BM919" t="s">
        <v>2475</v>
      </c>
      <c r="BN919" t="s">
        <v>29</v>
      </c>
      <c r="BO919" t="s">
        <v>29</v>
      </c>
      <c r="BP919" t="s">
        <v>29</v>
      </c>
      <c r="HW919" t="s">
        <v>2476</v>
      </c>
      <c r="HX919" t="s">
        <v>2473</v>
      </c>
      <c r="HY919" t="s">
        <v>2474</v>
      </c>
      <c r="HZ919" t="s">
        <v>2477</v>
      </c>
      <c r="IA919" t="s">
        <v>29</v>
      </c>
      <c r="IB919" t="s">
        <v>29</v>
      </c>
      <c r="II919" t="s">
        <v>2478</v>
      </c>
      <c r="IJ919" t="s">
        <v>1443</v>
      </c>
      <c r="IK919" t="s">
        <v>660</v>
      </c>
      <c r="IL919" t="s">
        <v>2479</v>
      </c>
      <c r="IM919">
        <v>2016</v>
      </c>
      <c r="IN919" t="s">
        <v>2471</v>
      </c>
      <c r="IO919" t="s">
        <v>29</v>
      </c>
      <c r="IW919" t="s">
        <v>2478</v>
      </c>
      <c r="IZ919" s="7" t="s">
        <v>2480</v>
      </c>
      <c r="JW919" t="s">
        <v>227</v>
      </c>
      <c r="KH919" t="s">
        <v>2481</v>
      </c>
      <c r="KI919">
        <v>2</v>
      </c>
      <c r="MZ919" t="s">
        <v>2482</v>
      </c>
      <c r="NA919">
        <v>36</v>
      </c>
      <c r="NB919" t="s">
        <v>2483</v>
      </c>
      <c r="NC919" t="s">
        <v>1671</v>
      </c>
      <c r="NK919" t="s">
        <v>2484</v>
      </c>
      <c r="NL919" t="s">
        <v>2485</v>
      </c>
      <c r="NM919" t="s">
        <v>8</v>
      </c>
      <c r="NN919" t="s">
        <v>13</v>
      </c>
      <c r="NW919" t="s">
        <v>6</v>
      </c>
      <c r="NX919">
        <v>551</v>
      </c>
      <c r="NY919" t="s">
        <v>4</v>
      </c>
      <c r="NZ919">
        <v>98</v>
      </c>
      <c r="OC919">
        <v>5</v>
      </c>
      <c r="OT919" t="s">
        <v>1924</v>
      </c>
      <c r="OV919">
        <v>2016</v>
      </c>
      <c r="OY919" t="s">
        <v>2471</v>
      </c>
      <c r="PA919" t="s">
        <v>1169</v>
      </c>
      <c r="PB919" s="58">
        <v>46147</v>
      </c>
    </row>
    <row r="920" spans="1:418" ht="15.75" thickBot="1">
      <c r="A920" t="s">
        <v>2455</v>
      </c>
      <c r="B920" t="s">
        <v>2466</v>
      </c>
      <c r="C920" t="s">
        <v>2467</v>
      </c>
      <c r="D920" t="s">
        <v>245</v>
      </c>
      <c r="E920" t="s">
        <v>2503</v>
      </c>
      <c r="F920" t="s">
        <v>243</v>
      </c>
      <c r="G920" t="s">
        <v>2</v>
      </c>
      <c r="H920" t="s">
        <v>30</v>
      </c>
      <c r="I920" s="5" t="s">
        <v>2504</v>
      </c>
      <c r="J920">
        <v>30.15</v>
      </c>
      <c r="K920" t="s">
        <v>29</v>
      </c>
      <c r="AV920" t="s">
        <v>2469</v>
      </c>
      <c r="AW920">
        <v>36</v>
      </c>
      <c r="AX920">
        <v>1.44E-2</v>
      </c>
      <c r="AY920">
        <v>1</v>
      </c>
      <c r="AZ920" t="s">
        <v>2505</v>
      </c>
      <c r="BA920">
        <v>2016</v>
      </c>
      <c r="BC920" t="s">
        <v>2471</v>
      </c>
      <c r="BE920" t="s">
        <v>2486</v>
      </c>
      <c r="BF920" t="s">
        <v>57</v>
      </c>
      <c r="BG920" t="s">
        <v>1233</v>
      </c>
      <c r="BH920" t="s">
        <v>2473</v>
      </c>
      <c r="BI920" t="s">
        <v>2474</v>
      </c>
      <c r="BJ920" t="s">
        <v>29</v>
      </c>
      <c r="BK920" t="s">
        <v>29</v>
      </c>
      <c r="BL920" t="s">
        <v>56</v>
      </c>
      <c r="BM920" t="s">
        <v>2475</v>
      </c>
      <c r="BN920" t="s">
        <v>29</v>
      </c>
      <c r="BO920" t="s">
        <v>29</v>
      </c>
      <c r="BP920" t="s">
        <v>29</v>
      </c>
      <c r="HW920" t="s">
        <v>2487</v>
      </c>
      <c r="HX920" t="s">
        <v>2473</v>
      </c>
      <c r="HY920" t="s">
        <v>2474</v>
      </c>
      <c r="HZ920" t="s">
        <v>2477</v>
      </c>
      <c r="IA920" t="s">
        <v>29</v>
      </c>
      <c r="IB920" t="s">
        <v>29</v>
      </c>
      <c r="II920" t="s">
        <v>2488</v>
      </c>
      <c r="IJ920" t="s">
        <v>1443</v>
      </c>
      <c r="IK920" t="s">
        <v>660</v>
      </c>
      <c r="IL920" t="s">
        <v>2479</v>
      </c>
      <c r="IM920">
        <v>2016</v>
      </c>
      <c r="IN920" t="s">
        <v>2471</v>
      </c>
      <c r="IO920" t="s">
        <v>29</v>
      </c>
      <c r="IW920" t="s">
        <v>2486</v>
      </c>
      <c r="IZ920" t="s">
        <v>2489</v>
      </c>
      <c r="JW920" t="s">
        <v>227</v>
      </c>
      <c r="KH920" t="s">
        <v>2481</v>
      </c>
      <c r="KI920">
        <v>2</v>
      </c>
      <c r="MZ920" t="s">
        <v>2482</v>
      </c>
      <c r="NA920">
        <v>36</v>
      </c>
      <c r="NB920" t="s">
        <v>2483</v>
      </c>
      <c r="NC920" t="s">
        <v>1671</v>
      </c>
      <c r="NK920" t="s">
        <v>2484</v>
      </c>
      <c r="NL920" t="s">
        <v>2485</v>
      </c>
      <c r="NM920" t="s">
        <v>8</v>
      </c>
      <c r="NN920" t="s">
        <v>13</v>
      </c>
      <c r="NW920" t="s">
        <v>6</v>
      </c>
      <c r="NX920">
        <v>371</v>
      </c>
      <c r="NY920" t="s">
        <v>4</v>
      </c>
      <c r="NZ920">
        <v>71</v>
      </c>
      <c r="OC920">
        <v>5</v>
      </c>
      <c r="OT920" t="s">
        <v>1924</v>
      </c>
      <c r="OV920">
        <v>2016</v>
      </c>
      <c r="OY920" t="s">
        <v>2471</v>
      </c>
      <c r="PA920" t="s">
        <v>1169</v>
      </c>
      <c r="PB920" s="58">
        <v>46147</v>
      </c>
    </row>
    <row r="921" spans="1:418">
      <c r="A921" t="s">
        <v>2455</v>
      </c>
      <c r="B921" t="s">
        <v>2466</v>
      </c>
      <c r="C921" t="s">
        <v>2467</v>
      </c>
      <c r="D921" t="s">
        <v>245</v>
      </c>
      <c r="E921" t="s">
        <v>2503</v>
      </c>
      <c r="F921" t="s">
        <v>243</v>
      </c>
      <c r="G921" t="s">
        <v>2</v>
      </c>
      <c r="H921" t="s">
        <v>30</v>
      </c>
      <c r="I921" s="5" t="s">
        <v>2504</v>
      </c>
      <c r="J921">
        <v>30.15</v>
      </c>
      <c r="K921" t="s">
        <v>29</v>
      </c>
      <c r="AV921" t="s">
        <v>2469</v>
      </c>
      <c r="AW921">
        <v>36</v>
      </c>
      <c r="AX921">
        <v>1.44E-2</v>
      </c>
      <c r="AY921">
        <v>1</v>
      </c>
      <c r="AZ921" t="s">
        <v>2505</v>
      </c>
      <c r="BA921">
        <v>2016</v>
      </c>
      <c r="BC921" t="s">
        <v>2471</v>
      </c>
      <c r="BE921" t="s">
        <v>2490</v>
      </c>
      <c r="BF921" t="s">
        <v>48</v>
      </c>
      <c r="BG921" t="s">
        <v>1233</v>
      </c>
      <c r="BH921" t="s">
        <v>2473</v>
      </c>
      <c r="BI921" t="s">
        <v>2491</v>
      </c>
      <c r="BJ921" t="s">
        <v>29</v>
      </c>
      <c r="BK921" t="s">
        <v>29</v>
      </c>
      <c r="BL921" t="s">
        <v>56</v>
      </c>
      <c r="BM921" t="s">
        <v>2475</v>
      </c>
      <c r="BN921" t="s">
        <v>29</v>
      </c>
      <c r="BO921" t="s">
        <v>29</v>
      </c>
      <c r="BP921" t="s">
        <v>29</v>
      </c>
      <c r="HW921" t="s">
        <v>2492</v>
      </c>
      <c r="HX921" t="s">
        <v>2473</v>
      </c>
      <c r="HY921" t="s">
        <v>2491</v>
      </c>
      <c r="HZ921" t="s">
        <v>2493</v>
      </c>
      <c r="IA921" t="s">
        <v>29</v>
      </c>
      <c r="IB921" t="s">
        <v>29</v>
      </c>
      <c r="II921" t="s">
        <v>2494</v>
      </c>
      <c r="IJ921" t="s">
        <v>1443</v>
      </c>
      <c r="IK921" t="s">
        <v>660</v>
      </c>
      <c r="IL921" t="s">
        <v>2479</v>
      </c>
      <c r="IM921">
        <v>2016</v>
      </c>
      <c r="IN921" t="s">
        <v>2471</v>
      </c>
      <c r="IO921" t="s">
        <v>29</v>
      </c>
      <c r="IW921" t="s">
        <v>2495</v>
      </c>
      <c r="IZ921" s="7" t="s">
        <v>2480</v>
      </c>
      <c r="JW921" t="s">
        <v>227</v>
      </c>
      <c r="KH921" t="s">
        <v>2481</v>
      </c>
      <c r="KI921">
        <v>2</v>
      </c>
      <c r="MZ921" t="s">
        <v>2482</v>
      </c>
      <c r="NA921">
        <v>36</v>
      </c>
      <c r="NB921" t="s">
        <v>2483</v>
      </c>
      <c r="NC921" t="s">
        <v>1671</v>
      </c>
      <c r="NK921" t="s">
        <v>2484</v>
      </c>
      <c r="NL921" t="s">
        <v>2485</v>
      </c>
      <c r="NM921" t="s">
        <v>8</v>
      </c>
      <c r="NN921" t="s">
        <v>13</v>
      </c>
      <c r="NW921" t="s">
        <v>6</v>
      </c>
      <c r="NX921">
        <v>1051</v>
      </c>
      <c r="NY921" t="s">
        <v>4</v>
      </c>
      <c r="NZ921">
        <v>225</v>
      </c>
      <c r="OC921">
        <v>5</v>
      </c>
      <c r="OT921" t="s">
        <v>1924</v>
      </c>
      <c r="OV921">
        <v>2016</v>
      </c>
      <c r="OY921" t="s">
        <v>2471</v>
      </c>
      <c r="PA921" t="s">
        <v>1169</v>
      </c>
      <c r="PB921" s="58">
        <v>46147</v>
      </c>
    </row>
    <row r="922" spans="1:418">
      <c r="A922" t="s">
        <v>2455</v>
      </c>
      <c r="B922" t="s">
        <v>2466</v>
      </c>
      <c r="C922" t="s">
        <v>2467</v>
      </c>
      <c r="D922" t="s">
        <v>245</v>
      </c>
      <c r="E922" t="s">
        <v>2503</v>
      </c>
      <c r="F922" t="s">
        <v>243</v>
      </c>
      <c r="G922" t="s">
        <v>2</v>
      </c>
      <c r="H922" t="s">
        <v>30</v>
      </c>
      <c r="I922" s="5" t="s">
        <v>2504</v>
      </c>
      <c r="J922">
        <v>30.15</v>
      </c>
      <c r="K922" t="s">
        <v>29</v>
      </c>
      <c r="AV922" t="s">
        <v>2469</v>
      </c>
      <c r="AW922">
        <v>36</v>
      </c>
      <c r="AX922">
        <v>1.44E-2</v>
      </c>
      <c r="AY922">
        <v>1</v>
      </c>
      <c r="AZ922" t="s">
        <v>2505</v>
      </c>
      <c r="BA922">
        <v>2016</v>
      </c>
      <c r="BC922" t="s">
        <v>2471</v>
      </c>
      <c r="BE922" t="s">
        <v>2496</v>
      </c>
      <c r="BF922" t="s">
        <v>43</v>
      </c>
      <c r="BG922" t="s">
        <v>1233</v>
      </c>
      <c r="BH922" t="s">
        <v>2473</v>
      </c>
      <c r="BI922" t="s">
        <v>2491</v>
      </c>
      <c r="BJ922" t="s">
        <v>29</v>
      </c>
      <c r="BK922" t="s">
        <v>29</v>
      </c>
      <c r="BL922" t="s">
        <v>56</v>
      </c>
      <c r="BM922" t="s">
        <v>2475</v>
      </c>
      <c r="BN922" t="s">
        <v>29</v>
      </c>
      <c r="BO922" t="s">
        <v>29</v>
      </c>
      <c r="BP922" t="s">
        <v>29</v>
      </c>
      <c r="HW922" t="s">
        <v>2497</v>
      </c>
      <c r="HX922" t="s">
        <v>2473</v>
      </c>
      <c r="HY922" t="s">
        <v>2491</v>
      </c>
      <c r="HZ922" t="s">
        <v>2493</v>
      </c>
      <c r="IA922" t="s">
        <v>29</v>
      </c>
      <c r="IB922" t="s">
        <v>29</v>
      </c>
      <c r="II922" t="s">
        <v>2498</v>
      </c>
      <c r="IJ922" t="s">
        <v>1443</v>
      </c>
      <c r="IK922" t="s">
        <v>660</v>
      </c>
      <c r="IL922" t="s">
        <v>2479</v>
      </c>
      <c r="IM922">
        <v>2016</v>
      </c>
      <c r="IN922" t="s">
        <v>2471</v>
      </c>
      <c r="IO922" t="s">
        <v>29</v>
      </c>
      <c r="IW922" t="s">
        <v>2496</v>
      </c>
      <c r="IZ922" t="s">
        <v>2489</v>
      </c>
      <c r="JW922" t="s">
        <v>227</v>
      </c>
      <c r="KH922" t="s">
        <v>2481</v>
      </c>
      <c r="KI922">
        <v>2</v>
      </c>
      <c r="MZ922" t="s">
        <v>2482</v>
      </c>
      <c r="NA922">
        <v>36</v>
      </c>
      <c r="NB922" t="s">
        <v>2483</v>
      </c>
      <c r="NC922" t="s">
        <v>1671</v>
      </c>
      <c r="NK922" t="s">
        <v>2484</v>
      </c>
      <c r="NL922" t="s">
        <v>2485</v>
      </c>
      <c r="NM922" t="s">
        <v>8</v>
      </c>
      <c r="NN922" t="s">
        <v>13</v>
      </c>
      <c r="NW922" t="s">
        <v>6</v>
      </c>
      <c r="NX922">
        <v>783</v>
      </c>
      <c r="NY922" t="s">
        <v>4</v>
      </c>
      <c r="NZ922">
        <v>172</v>
      </c>
      <c r="OC922">
        <v>5</v>
      </c>
      <c r="OT922" t="s">
        <v>1924</v>
      </c>
      <c r="OV922">
        <v>2016</v>
      </c>
      <c r="OY922" t="s">
        <v>2471</v>
      </c>
      <c r="PA922" t="s">
        <v>1169</v>
      </c>
      <c r="PB922" s="58">
        <v>46147</v>
      </c>
    </row>
    <row r="923" spans="1:418">
      <c r="A923" t="s">
        <v>2455</v>
      </c>
      <c r="B923" t="s">
        <v>2466</v>
      </c>
      <c r="C923" t="s">
        <v>2467</v>
      </c>
      <c r="D923" t="s">
        <v>245</v>
      </c>
      <c r="E923" t="s">
        <v>2503</v>
      </c>
      <c r="F923" t="s">
        <v>243</v>
      </c>
      <c r="G923" t="s">
        <v>2</v>
      </c>
      <c r="H923" t="s">
        <v>30</v>
      </c>
      <c r="I923" s="5" t="s">
        <v>2504</v>
      </c>
      <c r="J923">
        <v>30.15</v>
      </c>
      <c r="K923" t="s">
        <v>29</v>
      </c>
      <c r="AV923" t="s">
        <v>2469</v>
      </c>
      <c r="AW923">
        <v>36</v>
      </c>
      <c r="AX923">
        <v>1.44E-2</v>
      </c>
      <c r="AY923">
        <v>1</v>
      </c>
      <c r="AZ923" t="s">
        <v>2505</v>
      </c>
      <c r="BA923">
        <v>2016</v>
      </c>
      <c r="BC923" t="s">
        <v>2471</v>
      </c>
      <c r="BE923" t="s">
        <v>2499</v>
      </c>
      <c r="BF923" t="s">
        <v>39</v>
      </c>
      <c r="BG923" t="s">
        <v>1233</v>
      </c>
      <c r="BH923" t="s">
        <v>2473</v>
      </c>
      <c r="BI923" t="s">
        <v>2474</v>
      </c>
      <c r="BJ923" t="s">
        <v>29</v>
      </c>
      <c r="BK923" t="s">
        <v>29</v>
      </c>
      <c r="HW923" t="s">
        <v>2500</v>
      </c>
      <c r="HX923" t="s">
        <v>2473</v>
      </c>
      <c r="HY923" t="s">
        <v>2474</v>
      </c>
      <c r="HZ923" t="s">
        <v>2477</v>
      </c>
      <c r="IA923" t="s">
        <v>29</v>
      </c>
      <c r="IB923" t="s">
        <v>29</v>
      </c>
      <c r="II923" t="s">
        <v>2499</v>
      </c>
      <c r="IJ923" t="s">
        <v>19</v>
      </c>
      <c r="IW923" t="s">
        <v>2499</v>
      </c>
      <c r="JW923" t="s">
        <v>227</v>
      </c>
      <c r="KH923" t="s">
        <v>2481</v>
      </c>
      <c r="KI923">
        <v>2</v>
      </c>
      <c r="MZ923" t="s">
        <v>2482</v>
      </c>
      <c r="NA923">
        <v>36</v>
      </c>
      <c r="NB923" t="s">
        <v>2483</v>
      </c>
      <c r="NC923" t="s">
        <v>1671</v>
      </c>
      <c r="NK923" t="s">
        <v>2484</v>
      </c>
      <c r="NL923" t="s">
        <v>2485</v>
      </c>
      <c r="NM923" t="s">
        <v>8</v>
      </c>
      <c r="NN923" t="s">
        <v>13</v>
      </c>
      <c r="NV923" t="s">
        <v>745</v>
      </c>
      <c r="NW923" t="s">
        <v>6</v>
      </c>
      <c r="NX923">
        <v>1157</v>
      </c>
      <c r="NY923" t="s">
        <v>4</v>
      </c>
      <c r="NZ923">
        <v>133</v>
      </c>
      <c r="OC923">
        <v>3</v>
      </c>
      <c r="OT923" t="s">
        <v>1924</v>
      </c>
      <c r="OV923">
        <v>2016</v>
      </c>
      <c r="OY923" t="s">
        <v>2471</v>
      </c>
      <c r="PA923" t="s">
        <v>1169</v>
      </c>
      <c r="PB923" s="58">
        <v>46147</v>
      </c>
    </row>
    <row r="924" spans="1:418" ht="15.75" thickBot="1">
      <c r="A924" t="s">
        <v>2455</v>
      </c>
      <c r="B924" t="s">
        <v>2466</v>
      </c>
      <c r="C924" t="s">
        <v>2467</v>
      </c>
      <c r="D924" t="s">
        <v>245</v>
      </c>
      <c r="E924" t="s">
        <v>2503</v>
      </c>
      <c r="F924" t="s">
        <v>243</v>
      </c>
      <c r="G924" t="s">
        <v>2</v>
      </c>
      <c r="H924" t="s">
        <v>30</v>
      </c>
      <c r="I924" s="5" t="s">
        <v>2504</v>
      </c>
      <c r="J924">
        <v>30.15</v>
      </c>
      <c r="K924" t="s">
        <v>29</v>
      </c>
      <c r="AV924" t="s">
        <v>2469</v>
      </c>
      <c r="AW924">
        <v>36</v>
      </c>
      <c r="AX924">
        <v>1.44E-2</v>
      </c>
      <c r="AY924">
        <v>1</v>
      </c>
      <c r="AZ924" t="s">
        <v>2505</v>
      </c>
      <c r="BA924">
        <v>2016</v>
      </c>
      <c r="BC924" t="s">
        <v>2471</v>
      </c>
      <c r="BE924" t="s">
        <v>2501</v>
      </c>
      <c r="BF924" t="s">
        <v>24</v>
      </c>
      <c r="BG924" t="s">
        <v>1233</v>
      </c>
      <c r="BH924" t="s">
        <v>2473</v>
      </c>
      <c r="BI924" t="s">
        <v>2491</v>
      </c>
      <c r="BJ924" t="s">
        <v>29</v>
      </c>
      <c r="BK924" t="s">
        <v>29</v>
      </c>
      <c r="HW924" t="s">
        <v>2502</v>
      </c>
      <c r="HX924" t="s">
        <v>2473</v>
      </c>
      <c r="HY924" t="s">
        <v>2491</v>
      </c>
      <c r="HZ924" t="s">
        <v>2493</v>
      </c>
      <c r="IA924" t="s">
        <v>29</v>
      </c>
      <c r="IB924" t="s">
        <v>29</v>
      </c>
      <c r="II924" t="s">
        <v>2501</v>
      </c>
      <c r="IJ924" t="s">
        <v>19</v>
      </c>
      <c r="IW924" t="s">
        <v>2501</v>
      </c>
      <c r="JW924" t="s">
        <v>227</v>
      </c>
      <c r="KH924" t="s">
        <v>2481</v>
      </c>
      <c r="KI924">
        <v>2</v>
      </c>
      <c r="MZ924" t="s">
        <v>2482</v>
      </c>
      <c r="NA924">
        <v>36</v>
      </c>
      <c r="NB924" t="s">
        <v>2483</v>
      </c>
      <c r="NC924" t="s">
        <v>1671</v>
      </c>
      <c r="NK924" t="s">
        <v>2484</v>
      </c>
      <c r="NL924" t="s">
        <v>2485</v>
      </c>
      <c r="NM924" t="s">
        <v>8</v>
      </c>
      <c r="NN924" t="s">
        <v>13</v>
      </c>
      <c r="NV924" t="s">
        <v>2174</v>
      </c>
      <c r="NW924" t="s">
        <v>6</v>
      </c>
      <c r="NX924">
        <v>1838</v>
      </c>
      <c r="NY924" t="s">
        <v>4</v>
      </c>
      <c r="NZ924">
        <v>260</v>
      </c>
      <c r="OC924">
        <v>3</v>
      </c>
      <c r="OT924" t="s">
        <v>1924</v>
      </c>
      <c r="OV924">
        <v>2016</v>
      </c>
      <c r="OY924" t="s">
        <v>2471</v>
      </c>
      <c r="PA924" t="s">
        <v>1169</v>
      </c>
      <c r="PB924" s="58">
        <v>46147</v>
      </c>
    </row>
    <row r="925" spans="1:418">
      <c r="A925" t="s">
        <v>2455</v>
      </c>
      <c r="B925" t="s">
        <v>2466</v>
      </c>
      <c r="C925" t="s">
        <v>2467</v>
      </c>
      <c r="D925" t="s">
        <v>245</v>
      </c>
      <c r="E925" t="s">
        <v>2503</v>
      </c>
      <c r="F925" t="s">
        <v>243</v>
      </c>
      <c r="G925" t="s">
        <v>2</v>
      </c>
      <c r="H925" t="s">
        <v>30</v>
      </c>
      <c r="I925" s="5" t="s">
        <v>2504</v>
      </c>
      <c r="J925">
        <v>30.15</v>
      </c>
      <c r="K925" t="s">
        <v>29</v>
      </c>
      <c r="AV925" t="s">
        <v>2469</v>
      </c>
      <c r="AW925">
        <v>36</v>
      </c>
      <c r="AX925">
        <v>1.44E-2</v>
      </c>
      <c r="AY925">
        <v>1</v>
      </c>
      <c r="AZ925" t="s">
        <v>2505</v>
      </c>
      <c r="BA925">
        <v>2016</v>
      </c>
      <c r="BC925" t="s">
        <v>2506</v>
      </c>
      <c r="BE925" t="s">
        <v>2472</v>
      </c>
      <c r="BF925" t="s">
        <v>64</v>
      </c>
      <c r="BG925" t="s">
        <v>1233</v>
      </c>
      <c r="BH925" t="s">
        <v>2473</v>
      </c>
      <c r="BI925" t="s">
        <v>2474</v>
      </c>
      <c r="BJ925" t="s">
        <v>29</v>
      </c>
      <c r="BK925" t="s">
        <v>29</v>
      </c>
      <c r="BL925" t="s">
        <v>56</v>
      </c>
      <c r="BM925" t="s">
        <v>2475</v>
      </c>
      <c r="BN925" t="s">
        <v>29</v>
      </c>
      <c r="BO925" t="s">
        <v>29</v>
      </c>
      <c r="BP925" t="s">
        <v>29</v>
      </c>
      <c r="HW925" t="s">
        <v>2472</v>
      </c>
      <c r="HX925" t="s">
        <v>2473</v>
      </c>
      <c r="HY925" t="s">
        <v>2474</v>
      </c>
      <c r="HZ925" t="s">
        <v>2477</v>
      </c>
      <c r="IA925" t="s">
        <v>29</v>
      </c>
      <c r="IB925" t="s">
        <v>29</v>
      </c>
      <c r="II925" t="s">
        <v>2472</v>
      </c>
      <c r="IJ925" t="s">
        <v>1443</v>
      </c>
      <c r="IK925" t="s">
        <v>660</v>
      </c>
      <c r="IL925" t="s">
        <v>2479</v>
      </c>
      <c r="IM925">
        <v>2016</v>
      </c>
      <c r="IN925" t="s">
        <v>2506</v>
      </c>
      <c r="IO925" t="s">
        <v>29</v>
      </c>
      <c r="IW925" t="s">
        <v>2472</v>
      </c>
      <c r="IZ925" s="7" t="s">
        <v>2480</v>
      </c>
      <c r="JW925" t="s">
        <v>227</v>
      </c>
      <c r="KH925" t="s">
        <v>2481</v>
      </c>
      <c r="KI925">
        <v>2</v>
      </c>
      <c r="MZ925" t="s">
        <v>2482</v>
      </c>
      <c r="NA925">
        <v>36</v>
      </c>
      <c r="NB925" t="s">
        <v>2483</v>
      </c>
      <c r="NC925" t="s">
        <v>1671</v>
      </c>
      <c r="NK925" t="s">
        <v>2484</v>
      </c>
      <c r="NL925" t="s">
        <v>2485</v>
      </c>
      <c r="NM925" t="s">
        <v>8</v>
      </c>
      <c r="NN925" t="s">
        <v>13</v>
      </c>
      <c r="NW925" t="s">
        <v>6</v>
      </c>
      <c r="NX925">
        <v>1018</v>
      </c>
      <c r="NY925" t="s">
        <v>4</v>
      </c>
      <c r="NZ925">
        <v>181</v>
      </c>
      <c r="OC925">
        <v>12</v>
      </c>
      <c r="OT925" t="s">
        <v>1924</v>
      </c>
      <c r="OV925">
        <v>2016</v>
      </c>
      <c r="OY925" t="s">
        <v>2506</v>
      </c>
      <c r="PA925" t="s">
        <v>1169</v>
      </c>
      <c r="PB925" s="58">
        <v>46147</v>
      </c>
    </row>
    <row r="926" spans="1:418" ht="15.75" thickBot="1">
      <c r="A926" t="s">
        <v>2455</v>
      </c>
      <c r="B926" t="s">
        <v>2466</v>
      </c>
      <c r="C926" t="s">
        <v>2467</v>
      </c>
      <c r="D926" t="s">
        <v>245</v>
      </c>
      <c r="E926" t="s">
        <v>2503</v>
      </c>
      <c r="F926" t="s">
        <v>243</v>
      </c>
      <c r="G926" t="s">
        <v>2</v>
      </c>
      <c r="H926" t="s">
        <v>30</v>
      </c>
      <c r="I926" s="5" t="s">
        <v>2504</v>
      </c>
      <c r="J926">
        <v>30.15</v>
      </c>
      <c r="K926" t="s">
        <v>29</v>
      </c>
      <c r="AV926" t="s">
        <v>2469</v>
      </c>
      <c r="AW926">
        <v>36</v>
      </c>
      <c r="AX926">
        <v>1.44E-2</v>
      </c>
      <c r="AY926">
        <v>1</v>
      </c>
      <c r="AZ926" t="s">
        <v>2505</v>
      </c>
      <c r="BA926">
        <v>2016</v>
      </c>
      <c r="BC926" t="s">
        <v>2506</v>
      </c>
      <c r="BE926" t="s">
        <v>2486</v>
      </c>
      <c r="BF926" t="s">
        <v>57</v>
      </c>
      <c r="BG926" t="s">
        <v>1233</v>
      </c>
      <c r="BH926" t="s">
        <v>2473</v>
      </c>
      <c r="BI926" t="s">
        <v>2474</v>
      </c>
      <c r="BJ926" t="s">
        <v>29</v>
      </c>
      <c r="BK926" t="s">
        <v>29</v>
      </c>
      <c r="BL926" t="s">
        <v>56</v>
      </c>
      <c r="BM926" t="s">
        <v>2475</v>
      </c>
      <c r="BN926" t="s">
        <v>29</v>
      </c>
      <c r="BO926" t="s">
        <v>29</v>
      </c>
      <c r="BP926" t="s">
        <v>29</v>
      </c>
      <c r="HW926" t="s">
        <v>2486</v>
      </c>
      <c r="HX926" t="s">
        <v>2473</v>
      </c>
      <c r="HY926" t="s">
        <v>2474</v>
      </c>
      <c r="HZ926" t="s">
        <v>2477</v>
      </c>
      <c r="IA926" t="s">
        <v>29</v>
      </c>
      <c r="IB926" t="s">
        <v>29</v>
      </c>
      <c r="II926" t="s">
        <v>2486</v>
      </c>
      <c r="IJ926" t="s">
        <v>1443</v>
      </c>
      <c r="IK926" t="s">
        <v>660</v>
      </c>
      <c r="IL926" t="s">
        <v>2479</v>
      </c>
      <c r="IM926">
        <v>2016</v>
      </c>
      <c r="IN926" t="s">
        <v>2506</v>
      </c>
      <c r="IO926" t="s">
        <v>29</v>
      </c>
      <c r="IW926" t="s">
        <v>2486</v>
      </c>
      <c r="IZ926" t="s">
        <v>2489</v>
      </c>
      <c r="JW926" t="s">
        <v>227</v>
      </c>
      <c r="KH926" t="s">
        <v>2481</v>
      </c>
      <c r="KI926">
        <v>2</v>
      </c>
      <c r="MZ926" t="s">
        <v>2482</v>
      </c>
      <c r="NA926">
        <v>36</v>
      </c>
      <c r="NB926" t="s">
        <v>2483</v>
      </c>
      <c r="NC926" t="s">
        <v>1671</v>
      </c>
      <c r="NK926" t="s">
        <v>2484</v>
      </c>
      <c r="NL926" t="s">
        <v>2485</v>
      </c>
      <c r="NM926" t="s">
        <v>8</v>
      </c>
      <c r="NN926" t="s">
        <v>13</v>
      </c>
      <c r="NW926" t="s">
        <v>6</v>
      </c>
      <c r="NX926">
        <v>1274</v>
      </c>
      <c r="NY926" t="s">
        <v>4</v>
      </c>
      <c r="NZ926">
        <v>328</v>
      </c>
      <c r="OC926">
        <v>12</v>
      </c>
      <c r="OT926" t="s">
        <v>1924</v>
      </c>
      <c r="OV926">
        <v>2016</v>
      </c>
      <c r="OY926" t="s">
        <v>2506</v>
      </c>
      <c r="PA926" t="s">
        <v>1169</v>
      </c>
      <c r="PB926" s="58">
        <v>46147</v>
      </c>
    </row>
    <row r="927" spans="1:418">
      <c r="A927" t="s">
        <v>2455</v>
      </c>
      <c r="B927" t="s">
        <v>2466</v>
      </c>
      <c r="C927" t="s">
        <v>2467</v>
      </c>
      <c r="D927" t="s">
        <v>245</v>
      </c>
      <c r="E927" t="s">
        <v>2503</v>
      </c>
      <c r="F927" t="s">
        <v>243</v>
      </c>
      <c r="G927" t="s">
        <v>2</v>
      </c>
      <c r="H927" t="s">
        <v>30</v>
      </c>
      <c r="I927" s="5" t="s">
        <v>2504</v>
      </c>
      <c r="J927">
        <v>30.15</v>
      </c>
      <c r="K927" t="s">
        <v>29</v>
      </c>
      <c r="AV927" t="s">
        <v>2469</v>
      </c>
      <c r="AW927">
        <v>36</v>
      </c>
      <c r="AX927">
        <v>1.44E-2</v>
      </c>
      <c r="AY927">
        <v>1</v>
      </c>
      <c r="AZ927" t="s">
        <v>2505</v>
      </c>
      <c r="BA927">
        <v>2016</v>
      </c>
      <c r="BC927" t="s">
        <v>2506</v>
      </c>
      <c r="BE927" t="s">
        <v>2507</v>
      </c>
      <c r="BF927" t="s">
        <v>48</v>
      </c>
      <c r="BG927" t="s">
        <v>1233</v>
      </c>
      <c r="BH927" t="s">
        <v>2473</v>
      </c>
      <c r="BI927" t="s">
        <v>2508</v>
      </c>
      <c r="BJ927" t="s">
        <v>29</v>
      </c>
      <c r="BK927" t="s">
        <v>29</v>
      </c>
      <c r="BL927" t="s">
        <v>56</v>
      </c>
      <c r="BM927" t="s">
        <v>2475</v>
      </c>
      <c r="BN927" t="s">
        <v>29</v>
      </c>
      <c r="BO927" t="s">
        <v>29</v>
      </c>
      <c r="BP927" t="s">
        <v>29</v>
      </c>
      <c r="HW927" t="s">
        <v>2507</v>
      </c>
      <c r="HX927" t="s">
        <v>2473</v>
      </c>
      <c r="HY927" t="s">
        <v>2508</v>
      </c>
      <c r="HZ927" t="s">
        <v>2493</v>
      </c>
      <c r="IA927" t="s">
        <v>29</v>
      </c>
      <c r="IB927" t="s">
        <v>29</v>
      </c>
      <c r="II927" t="s">
        <v>2507</v>
      </c>
      <c r="IJ927" t="s">
        <v>1443</v>
      </c>
      <c r="IK927" t="s">
        <v>660</v>
      </c>
      <c r="IL927" t="s">
        <v>2479</v>
      </c>
      <c r="IM927">
        <v>2016</v>
      </c>
      <c r="IN927" t="s">
        <v>2506</v>
      </c>
      <c r="IO927" t="s">
        <v>29</v>
      </c>
      <c r="IW927" t="s">
        <v>2507</v>
      </c>
      <c r="IZ927" s="7" t="s">
        <v>2480</v>
      </c>
      <c r="JW927" t="s">
        <v>227</v>
      </c>
      <c r="KH927" t="s">
        <v>2481</v>
      </c>
      <c r="KI927">
        <v>2</v>
      </c>
      <c r="MZ927" t="s">
        <v>2482</v>
      </c>
      <c r="NA927">
        <v>36</v>
      </c>
      <c r="NB927" t="s">
        <v>2483</v>
      </c>
      <c r="NC927" t="s">
        <v>1671</v>
      </c>
      <c r="NK927" t="s">
        <v>2484</v>
      </c>
      <c r="NL927" t="s">
        <v>2485</v>
      </c>
      <c r="NM927" t="s">
        <v>8</v>
      </c>
      <c r="NN927" t="s">
        <v>13</v>
      </c>
      <c r="NW927" t="s">
        <v>6</v>
      </c>
      <c r="NX927">
        <v>1050</v>
      </c>
      <c r="NY927" t="s">
        <v>4</v>
      </c>
      <c r="NZ927">
        <v>135</v>
      </c>
      <c r="OC927">
        <v>12</v>
      </c>
      <c r="OT927" t="s">
        <v>1924</v>
      </c>
      <c r="OV927">
        <v>2016</v>
      </c>
      <c r="OY927" t="s">
        <v>2506</v>
      </c>
      <c r="PA927" t="s">
        <v>1169</v>
      </c>
      <c r="PB927" s="58">
        <v>46147</v>
      </c>
    </row>
    <row r="928" spans="1:418">
      <c r="A928" t="s">
        <v>2455</v>
      </c>
      <c r="B928" t="s">
        <v>2466</v>
      </c>
      <c r="C928" t="s">
        <v>2467</v>
      </c>
      <c r="D928" t="s">
        <v>245</v>
      </c>
      <c r="E928" t="s">
        <v>2503</v>
      </c>
      <c r="F928" t="s">
        <v>243</v>
      </c>
      <c r="G928" t="s">
        <v>2</v>
      </c>
      <c r="H928" t="s">
        <v>30</v>
      </c>
      <c r="I928" s="5" t="s">
        <v>2504</v>
      </c>
      <c r="J928">
        <v>30.15</v>
      </c>
      <c r="K928" t="s">
        <v>29</v>
      </c>
      <c r="AV928" t="s">
        <v>2469</v>
      </c>
      <c r="AW928">
        <v>36</v>
      </c>
      <c r="AX928">
        <v>1.44E-2</v>
      </c>
      <c r="AY928">
        <v>1</v>
      </c>
      <c r="AZ928" t="s">
        <v>2505</v>
      </c>
      <c r="BA928">
        <v>2016</v>
      </c>
      <c r="BC928" t="s">
        <v>2506</v>
      </c>
      <c r="BE928" t="s">
        <v>2509</v>
      </c>
      <c r="BF928" t="s">
        <v>43</v>
      </c>
      <c r="BG928" t="s">
        <v>1233</v>
      </c>
      <c r="BH928" t="s">
        <v>2473</v>
      </c>
      <c r="BI928" t="s">
        <v>2508</v>
      </c>
      <c r="BJ928" t="s">
        <v>29</v>
      </c>
      <c r="BK928" t="s">
        <v>29</v>
      </c>
      <c r="BL928" t="s">
        <v>56</v>
      </c>
      <c r="BM928" t="s">
        <v>2475</v>
      </c>
      <c r="BN928" t="s">
        <v>29</v>
      </c>
      <c r="BO928" t="s">
        <v>29</v>
      </c>
      <c r="BP928" t="s">
        <v>29</v>
      </c>
      <c r="HW928" t="s">
        <v>2509</v>
      </c>
      <c r="HX928" t="s">
        <v>2473</v>
      </c>
      <c r="HY928" t="s">
        <v>2508</v>
      </c>
      <c r="HZ928" t="s">
        <v>2493</v>
      </c>
      <c r="IA928" t="s">
        <v>29</v>
      </c>
      <c r="IB928" t="s">
        <v>29</v>
      </c>
      <c r="II928" t="s">
        <v>2509</v>
      </c>
      <c r="IJ928" t="s">
        <v>1443</v>
      </c>
      <c r="IK928" t="s">
        <v>660</v>
      </c>
      <c r="IL928" t="s">
        <v>2479</v>
      </c>
      <c r="IM928">
        <v>2016</v>
      </c>
      <c r="IN928" t="s">
        <v>2506</v>
      </c>
      <c r="IO928" t="s">
        <v>29</v>
      </c>
      <c r="IW928" t="s">
        <v>2509</v>
      </c>
      <c r="IZ928" t="s">
        <v>2489</v>
      </c>
      <c r="JW928" t="s">
        <v>227</v>
      </c>
      <c r="KH928" t="s">
        <v>2481</v>
      </c>
      <c r="KI928">
        <v>2</v>
      </c>
      <c r="MZ928" t="s">
        <v>2482</v>
      </c>
      <c r="NA928">
        <v>36</v>
      </c>
      <c r="NB928" t="s">
        <v>2483</v>
      </c>
      <c r="NC928" t="s">
        <v>1671</v>
      </c>
      <c r="NK928" t="s">
        <v>2484</v>
      </c>
      <c r="NL928" t="s">
        <v>2485</v>
      </c>
      <c r="NM928" t="s">
        <v>8</v>
      </c>
      <c r="NN928" t="s">
        <v>13</v>
      </c>
      <c r="NW928" t="s">
        <v>6</v>
      </c>
      <c r="NX928">
        <v>1101</v>
      </c>
      <c r="NY928" t="s">
        <v>4</v>
      </c>
      <c r="NZ928">
        <v>209</v>
      </c>
      <c r="OC928">
        <v>12</v>
      </c>
      <c r="OT928" t="s">
        <v>1924</v>
      </c>
      <c r="OV928">
        <v>2016</v>
      </c>
      <c r="OY928" t="s">
        <v>2506</v>
      </c>
      <c r="PA928" t="s">
        <v>1169</v>
      </c>
      <c r="PB928" s="58">
        <v>46147</v>
      </c>
    </row>
    <row r="929" spans="1:418">
      <c r="A929" t="s">
        <v>2455</v>
      </c>
      <c r="B929" t="s">
        <v>2466</v>
      </c>
      <c r="C929" t="s">
        <v>2467</v>
      </c>
      <c r="D929" t="s">
        <v>245</v>
      </c>
      <c r="E929" t="s">
        <v>2503</v>
      </c>
      <c r="F929" t="s">
        <v>243</v>
      </c>
      <c r="G929" t="s">
        <v>2</v>
      </c>
      <c r="H929" t="s">
        <v>30</v>
      </c>
      <c r="I929" s="5" t="s">
        <v>2504</v>
      </c>
      <c r="J929">
        <v>30.15</v>
      </c>
      <c r="K929" t="s">
        <v>29</v>
      </c>
      <c r="AV929" t="s">
        <v>2469</v>
      </c>
      <c r="AW929">
        <v>36</v>
      </c>
      <c r="AX929">
        <v>1.44E-2</v>
      </c>
      <c r="AY929">
        <v>1</v>
      </c>
      <c r="AZ929" t="s">
        <v>2505</v>
      </c>
      <c r="BA929">
        <v>2016</v>
      </c>
      <c r="BC929" t="s">
        <v>2506</v>
      </c>
      <c r="BE929" t="s">
        <v>2499</v>
      </c>
      <c r="BF929" t="s">
        <v>39</v>
      </c>
      <c r="BG929" t="s">
        <v>1233</v>
      </c>
      <c r="BH929" t="s">
        <v>2473</v>
      </c>
      <c r="BI929" t="s">
        <v>2474</v>
      </c>
      <c r="BJ929" t="s">
        <v>29</v>
      </c>
      <c r="BK929" t="s">
        <v>29</v>
      </c>
      <c r="HW929" t="s">
        <v>2499</v>
      </c>
      <c r="HX929" t="s">
        <v>2473</v>
      </c>
      <c r="HY929" t="s">
        <v>2474</v>
      </c>
      <c r="HZ929" t="s">
        <v>2477</v>
      </c>
      <c r="IA929" t="s">
        <v>29</v>
      </c>
      <c r="IB929" t="s">
        <v>29</v>
      </c>
      <c r="II929" t="s">
        <v>2499</v>
      </c>
      <c r="IJ929" t="s">
        <v>19</v>
      </c>
      <c r="IW929" t="s">
        <v>2499</v>
      </c>
      <c r="JW929" t="s">
        <v>227</v>
      </c>
      <c r="KH929" t="s">
        <v>2481</v>
      </c>
      <c r="KI929">
        <v>2</v>
      </c>
      <c r="MZ929" t="s">
        <v>2482</v>
      </c>
      <c r="NA929">
        <v>36</v>
      </c>
      <c r="NB929" t="s">
        <v>2483</v>
      </c>
      <c r="NC929" t="s">
        <v>1671</v>
      </c>
      <c r="NK929" t="s">
        <v>2484</v>
      </c>
      <c r="NL929" t="s">
        <v>2485</v>
      </c>
      <c r="NM929" t="s">
        <v>8</v>
      </c>
      <c r="NN929" t="s">
        <v>13</v>
      </c>
      <c r="NV929" t="s">
        <v>745</v>
      </c>
      <c r="NW929" t="s">
        <v>6</v>
      </c>
      <c r="NX929">
        <v>1676</v>
      </c>
      <c r="NY929" t="s">
        <v>4</v>
      </c>
      <c r="NZ929">
        <v>188</v>
      </c>
      <c r="OC929">
        <v>10</v>
      </c>
      <c r="OT929" t="s">
        <v>1924</v>
      </c>
      <c r="OV929">
        <v>2016</v>
      </c>
      <c r="OY929" t="s">
        <v>2506</v>
      </c>
      <c r="PA929" t="s">
        <v>1169</v>
      </c>
      <c r="PB929" s="58">
        <v>46147</v>
      </c>
    </row>
    <row r="930" spans="1:418" ht="15.75" thickBot="1">
      <c r="A930" t="s">
        <v>2455</v>
      </c>
      <c r="B930" t="s">
        <v>2466</v>
      </c>
      <c r="C930" t="s">
        <v>2467</v>
      </c>
      <c r="D930" t="s">
        <v>245</v>
      </c>
      <c r="E930" t="s">
        <v>2503</v>
      </c>
      <c r="F930" t="s">
        <v>243</v>
      </c>
      <c r="G930" t="s">
        <v>2</v>
      </c>
      <c r="H930" t="s">
        <v>30</v>
      </c>
      <c r="I930" s="5" t="s">
        <v>2504</v>
      </c>
      <c r="J930">
        <v>30.15</v>
      </c>
      <c r="K930" t="s">
        <v>29</v>
      </c>
      <c r="AV930" t="s">
        <v>2469</v>
      </c>
      <c r="AW930">
        <v>36</v>
      </c>
      <c r="AX930">
        <v>1.44E-2</v>
      </c>
      <c r="AY930">
        <v>1</v>
      </c>
      <c r="AZ930" t="s">
        <v>2505</v>
      </c>
      <c r="BA930">
        <v>2016</v>
      </c>
      <c r="BC930" t="s">
        <v>2506</v>
      </c>
      <c r="BE930" t="s">
        <v>2510</v>
      </c>
      <c r="BF930" t="s">
        <v>24</v>
      </c>
      <c r="BG930" t="s">
        <v>1233</v>
      </c>
      <c r="BH930" t="s">
        <v>2473</v>
      </c>
      <c r="BI930" t="s">
        <v>2508</v>
      </c>
      <c r="BJ930" t="s">
        <v>29</v>
      </c>
      <c r="BK930" t="s">
        <v>29</v>
      </c>
      <c r="HW930" t="s">
        <v>2510</v>
      </c>
      <c r="HX930" t="s">
        <v>2473</v>
      </c>
      <c r="HY930" t="s">
        <v>2508</v>
      </c>
      <c r="HZ930" t="s">
        <v>2493</v>
      </c>
      <c r="IA930" t="s">
        <v>29</v>
      </c>
      <c r="IB930" t="s">
        <v>29</v>
      </c>
      <c r="II930" t="s">
        <v>2510</v>
      </c>
      <c r="IJ930" t="s">
        <v>19</v>
      </c>
      <c r="IW930" t="s">
        <v>2510</v>
      </c>
      <c r="JW930" t="s">
        <v>227</v>
      </c>
      <c r="KH930" t="s">
        <v>2481</v>
      </c>
      <c r="KI930">
        <v>2</v>
      </c>
      <c r="MZ930" t="s">
        <v>2482</v>
      </c>
      <c r="NA930">
        <v>36</v>
      </c>
      <c r="NB930" t="s">
        <v>2483</v>
      </c>
      <c r="NC930" t="s">
        <v>1671</v>
      </c>
      <c r="NK930" t="s">
        <v>2484</v>
      </c>
      <c r="NL930" t="s">
        <v>2485</v>
      </c>
      <c r="NM930" t="s">
        <v>8</v>
      </c>
      <c r="NN930" t="s">
        <v>13</v>
      </c>
      <c r="NV930" t="s">
        <v>2174</v>
      </c>
      <c r="NW930" t="s">
        <v>6</v>
      </c>
      <c r="NX930">
        <v>1393</v>
      </c>
      <c r="NY930" t="s">
        <v>4</v>
      </c>
      <c r="NZ930">
        <v>240</v>
      </c>
      <c r="OC930">
        <v>12</v>
      </c>
      <c r="OT930" t="s">
        <v>1924</v>
      </c>
      <c r="OV930">
        <v>2016</v>
      </c>
      <c r="OY930" t="s">
        <v>2506</v>
      </c>
      <c r="PA930" t="s">
        <v>1169</v>
      </c>
      <c r="PB930" s="58">
        <v>46147</v>
      </c>
    </row>
    <row r="931" spans="1:418" ht="15.75" thickBot="1">
      <c r="A931" s="202"/>
      <c r="B931" s="89"/>
      <c r="C931" s="89"/>
      <c r="D931" s="147"/>
      <c r="E931" s="89"/>
      <c r="F931" s="147"/>
      <c r="G931" s="89"/>
      <c r="H931" s="89"/>
      <c r="I931" s="147"/>
      <c r="J931" s="147"/>
      <c r="K931" s="147"/>
      <c r="L931" s="89"/>
      <c r="M931" s="147"/>
      <c r="N931" s="89"/>
      <c r="O931" s="89"/>
      <c r="P931" s="89"/>
      <c r="Q931" s="89"/>
      <c r="R931" s="89"/>
      <c r="S931" s="89"/>
      <c r="T931" s="89"/>
      <c r="X931" s="3"/>
      <c r="AA931" s="3"/>
      <c r="AB931" s="3"/>
      <c r="AC931" s="3"/>
      <c r="AG931" s="3"/>
      <c r="AJ931" s="3"/>
      <c r="AK931" s="3"/>
      <c r="AL931" s="3"/>
      <c r="AP931" s="3"/>
      <c r="AS931" s="3"/>
      <c r="AT931" s="3"/>
      <c r="AU931" s="3"/>
      <c r="AV931" s="89"/>
      <c r="AW931" s="89"/>
      <c r="AX931" s="89"/>
      <c r="AY931" s="89"/>
      <c r="AZ931" s="89"/>
      <c r="BA931" s="89"/>
      <c r="BB931" s="89"/>
      <c r="BC931" s="89"/>
      <c r="BD931" s="89"/>
      <c r="BE931" s="89"/>
      <c r="BF931" s="89"/>
      <c r="BG931" s="89"/>
      <c r="BH931" s="89"/>
      <c r="BI931" s="89"/>
      <c r="BJ931" s="147"/>
      <c r="BK931" s="170"/>
      <c r="BL931" s="89"/>
      <c r="BM931" s="89"/>
      <c r="BN931" s="89"/>
      <c r="BO931" s="89"/>
      <c r="BP931" s="89"/>
      <c r="BQ931" s="89"/>
      <c r="BR931" s="89"/>
      <c r="BS931" s="89"/>
      <c r="BT931" s="89"/>
      <c r="BU931" s="89"/>
      <c r="BV931" s="89"/>
      <c r="EE931" s="89"/>
      <c r="EF931" s="89"/>
      <c r="EG931" s="89"/>
      <c r="EH931" s="89"/>
      <c r="EI931" s="89"/>
      <c r="EJ931" s="89"/>
      <c r="EK931" s="89"/>
      <c r="EL931" s="89"/>
      <c r="EM931" s="9"/>
      <c r="EN931" s="9"/>
      <c r="EO931" s="9"/>
      <c r="EP931" s="9"/>
      <c r="EQ931" s="9"/>
      <c r="ER931" s="9"/>
      <c r="ES931" s="9"/>
      <c r="ET931" s="9"/>
      <c r="EU931" s="9"/>
      <c r="EV931" s="9"/>
      <c r="EW931" s="9"/>
      <c r="EX931" s="9"/>
      <c r="EY931" s="9"/>
      <c r="EZ931" s="9"/>
      <c r="FA931" s="9"/>
      <c r="FB931" s="9"/>
      <c r="FC931" s="9"/>
      <c r="FD931" s="9"/>
      <c r="FE931" s="9"/>
      <c r="FF931" s="9"/>
      <c r="FG931" s="9"/>
      <c r="FH931" s="9"/>
      <c r="FI931" s="9"/>
      <c r="FJ931" s="9"/>
      <c r="FK931" s="9"/>
      <c r="FL931" s="9"/>
      <c r="FM931" s="9"/>
      <c r="FN931" s="9"/>
      <c r="FO931" s="9"/>
      <c r="FP931" s="9"/>
      <c r="FQ931" s="9"/>
      <c r="FR931" s="9"/>
      <c r="FS931" s="9"/>
      <c r="FT931" s="9"/>
      <c r="FU931" s="9"/>
      <c r="FV931" s="9"/>
      <c r="FW931" s="9"/>
      <c r="FX931" s="9"/>
      <c r="FY931" s="9"/>
      <c r="FZ931" s="9"/>
      <c r="GA931" s="9"/>
      <c r="GB931" s="9"/>
      <c r="GC931" s="9"/>
      <c r="GD931" s="9"/>
      <c r="GE931" s="9"/>
      <c r="GF931" s="9"/>
      <c r="GG931" s="9"/>
      <c r="GH931" s="9"/>
      <c r="GI931" s="9"/>
      <c r="GJ931" s="9"/>
      <c r="GK931" s="9"/>
      <c r="GL931" s="9"/>
      <c r="GM931" s="9"/>
      <c r="GN931" s="9"/>
      <c r="GO931" s="9"/>
      <c r="GP931" s="9"/>
      <c r="GQ931" s="9"/>
      <c r="GR931" s="9"/>
      <c r="GS931" s="9"/>
      <c r="GT931" s="9"/>
      <c r="GU931" s="9"/>
      <c r="GV931" s="9"/>
      <c r="GW931" s="9"/>
      <c r="GX931" s="9"/>
      <c r="GY931" s="9"/>
      <c r="GZ931" s="9"/>
      <c r="HA931" s="9"/>
      <c r="HB931" s="9"/>
      <c r="HC931" s="9"/>
      <c r="HD931" s="9"/>
      <c r="HE931" s="9"/>
      <c r="HF931" s="9"/>
      <c r="HG931" s="9"/>
      <c r="HH931" s="9"/>
      <c r="HI931" s="9"/>
      <c r="HJ931" s="9"/>
      <c r="HK931" s="9"/>
      <c r="HL931" s="89"/>
      <c r="HM931" s="89"/>
      <c r="HN931" s="89"/>
      <c r="HO931" s="89"/>
      <c r="HP931" s="89"/>
      <c r="HQ931" s="89"/>
      <c r="HR931" s="89"/>
      <c r="HS931" s="89"/>
      <c r="HT931" s="147"/>
      <c r="HU931" s="89"/>
      <c r="HV931" s="89"/>
      <c r="HW931" s="89"/>
      <c r="HX931" s="89"/>
      <c r="HY931" s="89"/>
      <c r="HZ931" s="89"/>
      <c r="IA931" s="89"/>
      <c r="IB931" s="89"/>
      <c r="IC931" s="89"/>
      <c r="ID931" s="2"/>
      <c r="IE931" s="89"/>
      <c r="IF931" s="89"/>
      <c r="IG931" s="89"/>
      <c r="IH931" s="89"/>
      <c r="II931" s="89"/>
      <c r="IJ931" s="89"/>
      <c r="IK931" s="89"/>
      <c r="IL931" s="89"/>
      <c r="IM931" s="89"/>
      <c r="IN931" s="89"/>
      <c r="IO931" s="89"/>
      <c r="IP931" s="89"/>
      <c r="IQ931" s="89"/>
      <c r="IR931" s="152"/>
      <c r="IS931" s="173"/>
      <c r="IT931" s="89"/>
      <c r="IU931" s="89"/>
      <c r="IV931" s="89"/>
      <c r="IW931" s="147"/>
      <c r="IX931" s="89"/>
      <c r="IY931" s="89"/>
      <c r="IZ931" s="89"/>
      <c r="JA931" s="89"/>
      <c r="JB931" s="89"/>
      <c r="JC931" s="89"/>
      <c r="JD931" s="89"/>
      <c r="JE931" s="89"/>
      <c r="JF931" s="89"/>
      <c r="JG931" s="89"/>
      <c r="JH931" s="89"/>
      <c r="JI931" s="89"/>
      <c r="JJ931" s="89"/>
      <c r="JK931" s="89"/>
      <c r="JL931" s="89"/>
      <c r="JM931" s="89"/>
      <c r="JN931" s="200"/>
      <c r="JO931" s="173"/>
      <c r="JP931" s="2"/>
      <c r="JQ931" s="89"/>
      <c r="JR931" s="89"/>
      <c r="JS931" s="147"/>
      <c r="JT931" s="89"/>
      <c r="JU931" s="89"/>
      <c r="JV931" s="89"/>
      <c r="JW931" s="89"/>
      <c r="JX931" s="89"/>
      <c r="JY931" s="89"/>
      <c r="JZ931" s="89"/>
      <c r="KA931" s="89"/>
      <c r="KB931" s="89"/>
      <c r="KC931" s="89"/>
      <c r="KD931" s="89"/>
      <c r="KE931" s="89"/>
      <c r="KF931" s="89"/>
      <c r="KG931" s="89"/>
      <c r="KH931" s="89"/>
      <c r="KI931" s="152"/>
      <c r="KJ931" s="173"/>
      <c r="KK931" s="89"/>
      <c r="KL931" s="89"/>
      <c r="KM931" s="89"/>
      <c r="KN931" s="89"/>
      <c r="KO931" s="89"/>
      <c r="KP931" s="89"/>
      <c r="KQ931" s="152"/>
      <c r="KR931" s="173"/>
      <c r="KS931" s="89"/>
      <c r="KT931" s="89"/>
      <c r="KU931" s="89"/>
      <c r="KV931" s="89"/>
      <c r="KW931" s="89"/>
      <c r="KX931" s="89"/>
      <c r="KY931" s="89"/>
      <c r="LG931" s="89"/>
      <c r="LH931" s="89"/>
      <c r="LI931" s="89"/>
      <c r="LJ931" s="89"/>
      <c r="LK931" s="89"/>
      <c r="LL931" s="89"/>
      <c r="LM931" s="89"/>
      <c r="LN931" s="89"/>
      <c r="LO931" s="89"/>
      <c r="LP931" s="89"/>
      <c r="LQ931" s="89"/>
      <c r="LR931" s="89"/>
      <c r="LS931" s="89"/>
      <c r="LT931" s="89"/>
      <c r="LU931" s="89"/>
      <c r="LV931" s="89"/>
      <c r="LW931" s="89"/>
      <c r="LX931" s="89"/>
      <c r="LY931" s="89"/>
      <c r="LZ931" s="89"/>
      <c r="MA931" s="89"/>
      <c r="MB931" s="89"/>
      <c r="MC931" s="89"/>
      <c r="MD931" s="89"/>
      <c r="ME931" s="89"/>
      <c r="MF931" s="89"/>
      <c r="MG931" s="89"/>
      <c r="MH931" s="89"/>
      <c r="MI931" s="89"/>
      <c r="MJ931" s="89"/>
      <c r="MK931" s="89"/>
      <c r="ML931" s="89"/>
      <c r="MM931" s="89"/>
      <c r="MN931" s="89"/>
      <c r="MO931" s="89"/>
      <c r="MP931" s="89"/>
      <c r="MQ931" s="89"/>
      <c r="MR931" s="89"/>
      <c r="MS931" s="89"/>
      <c r="MT931" s="89"/>
      <c r="MU931" s="89"/>
      <c r="MV931" s="89"/>
      <c r="MW931" s="89"/>
      <c r="MX931" s="89"/>
      <c r="MY931" s="89"/>
      <c r="MZ931" s="89"/>
      <c r="NA931" s="89"/>
      <c r="NB931" s="89"/>
      <c r="NC931" s="89"/>
      <c r="ND931" s="89"/>
      <c r="NE931" s="89"/>
      <c r="NF931" s="89"/>
      <c r="NG931" s="89"/>
      <c r="NH931" s="89"/>
      <c r="NI931" s="89"/>
      <c r="NJ931" s="89"/>
      <c r="NK931" s="89"/>
      <c r="NL931" s="89"/>
      <c r="NM931" s="89"/>
      <c r="NN931" s="89"/>
      <c r="NO931" s="147"/>
      <c r="NP931" s="199"/>
      <c r="NQ931" s="89"/>
      <c r="NR931" s="89"/>
      <c r="NS931" s="89"/>
      <c r="NT931" s="89"/>
      <c r="NU931" s="89"/>
      <c r="NV931" s="89"/>
      <c r="NW931" s="89"/>
      <c r="NX931" s="89"/>
      <c r="NY931" s="89"/>
      <c r="NZ931" s="89"/>
      <c r="OA931" s="147"/>
      <c r="OB931" s="97"/>
      <c r="OC931" s="89"/>
      <c r="OD931" s="89"/>
      <c r="OE931" s="89"/>
      <c r="OF931" s="89"/>
      <c r="OG931" s="89"/>
      <c r="OH931" s="89"/>
      <c r="OI931" s="89"/>
      <c r="OJ931" s="89"/>
      <c r="OK931" s="89"/>
      <c r="OL931" s="89"/>
      <c r="OM931" s="89"/>
      <c r="ON931" s="89"/>
      <c r="OO931" s="89"/>
      <c r="OP931" s="89"/>
      <c r="OQ931" s="89"/>
      <c r="OR931" s="89"/>
      <c r="OS931" s="89"/>
      <c r="OT931" s="89"/>
      <c r="OU931" s="89"/>
      <c r="OV931" s="89"/>
      <c r="OW931" s="89"/>
      <c r="OX931" s="89"/>
      <c r="OY931" s="89"/>
      <c r="OZ931" s="89"/>
      <c r="PA931" s="89"/>
      <c r="PB931" s="89"/>
    </row>
    <row r="932" spans="1:418" ht="15.75" thickBot="1">
      <c r="A932" s="204"/>
      <c r="B932" s="2"/>
      <c r="C932" s="2"/>
      <c r="D932" s="99"/>
      <c r="E932" s="2"/>
      <c r="F932" s="147"/>
      <c r="G932" s="2"/>
      <c r="H932" s="2"/>
      <c r="I932" s="147"/>
      <c r="J932" s="147"/>
      <c r="K932" s="147"/>
      <c r="L932" s="2"/>
      <c r="M932" s="99"/>
      <c r="N932" s="2"/>
      <c r="O932" s="89"/>
      <c r="P932" s="2"/>
      <c r="Q932" s="2"/>
      <c r="R932" s="89"/>
      <c r="S932" s="89"/>
      <c r="T932" s="89"/>
      <c r="X932" s="3"/>
      <c r="AA932" s="3"/>
      <c r="AB932" s="3"/>
      <c r="AC932" s="3"/>
      <c r="AG932" s="3"/>
      <c r="AJ932" s="3"/>
      <c r="AK932" s="3"/>
      <c r="AL932" s="3"/>
      <c r="AP932" s="3"/>
      <c r="AS932" s="3"/>
      <c r="AT932" s="3"/>
      <c r="AU932" s="3"/>
      <c r="AV932" s="2"/>
      <c r="AW932" s="2"/>
      <c r="AX932" s="2"/>
      <c r="AY932" s="2"/>
      <c r="AZ932" s="2"/>
      <c r="BA932" s="2"/>
      <c r="BB932" s="2"/>
      <c r="BC932" s="2"/>
      <c r="BD932" s="2"/>
      <c r="BE932" s="2"/>
      <c r="BF932" s="2"/>
      <c r="BG932" s="2"/>
      <c r="BH932" s="2"/>
      <c r="BI932" s="2"/>
      <c r="BJ932" s="99"/>
      <c r="BK932" s="205"/>
      <c r="BL932" s="2"/>
      <c r="BM932" s="2"/>
      <c r="BN932" s="2"/>
      <c r="BO932" s="2"/>
      <c r="BP932" s="2"/>
      <c r="BQ932" s="2"/>
      <c r="BR932" s="2"/>
      <c r="BS932" s="2"/>
      <c r="BT932" s="2"/>
      <c r="BU932" s="2"/>
      <c r="BV932" s="2"/>
      <c r="EE932" s="2"/>
      <c r="EF932" s="2"/>
      <c r="EG932" s="2"/>
      <c r="EH932" s="2"/>
      <c r="EI932" s="2"/>
      <c r="EJ932" s="2"/>
      <c r="EK932" s="2"/>
      <c r="EL932" s="2"/>
      <c r="EM932" s="9"/>
      <c r="EN932" s="9"/>
      <c r="EO932" s="9"/>
      <c r="EP932" s="9"/>
      <c r="EQ932" s="9"/>
      <c r="ER932" s="9"/>
      <c r="ES932" s="9"/>
      <c r="ET932" s="9"/>
      <c r="EU932" s="9"/>
      <c r="EV932" s="9"/>
      <c r="EW932" s="9"/>
      <c r="EX932" s="9"/>
      <c r="EY932" s="9"/>
      <c r="EZ932" s="9"/>
      <c r="FA932" s="9"/>
      <c r="FB932" s="9"/>
      <c r="FC932" s="9"/>
      <c r="FD932" s="9"/>
      <c r="FE932" s="9"/>
      <c r="FF932" s="9"/>
      <c r="FG932" s="9"/>
      <c r="FH932" s="9"/>
      <c r="FI932" s="9"/>
      <c r="FJ932" s="9"/>
      <c r="FK932" s="9"/>
      <c r="FL932" s="9"/>
      <c r="FM932" s="9"/>
      <c r="FN932" s="9"/>
      <c r="FO932" s="9"/>
      <c r="FP932" s="9"/>
      <c r="FQ932" s="9"/>
      <c r="FR932" s="9"/>
      <c r="FS932" s="9"/>
      <c r="FT932" s="9"/>
      <c r="FU932" s="9"/>
      <c r="FV932" s="9"/>
      <c r="FW932" s="9"/>
      <c r="FX932" s="9"/>
      <c r="FY932" s="9"/>
      <c r="FZ932" s="9"/>
      <c r="GA932" s="9"/>
      <c r="GB932" s="9"/>
      <c r="GC932" s="9"/>
      <c r="GD932" s="9"/>
      <c r="GE932" s="9"/>
      <c r="GF932" s="9"/>
      <c r="GG932" s="9"/>
      <c r="GH932" s="9"/>
      <c r="GI932" s="9"/>
      <c r="GJ932" s="9"/>
      <c r="GK932" s="9"/>
      <c r="GL932" s="9"/>
      <c r="GM932" s="9"/>
      <c r="GN932" s="9"/>
      <c r="GO932" s="9"/>
      <c r="GP932" s="9"/>
      <c r="GQ932" s="9"/>
      <c r="GR932" s="9"/>
      <c r="GS932" s="9"/>
      <c r="GT932" s="9"/>
      <c r="GU932" s="9"/>
      <c r="GV932" s="9"/>
      <c r="GW932" s="9"/>
      <c r="GX932" s="9"/>
      <c r="GY932" s="9"/>
      <c r="GZ932" s="9"/>
      <c r="HA932" s="9"/>
      <c r="HB932" s="9"/>
      <c r="HC932" s="9"/>
      <c r="HD932" s="9"/>
      <c r="HE932" s="9"/>
      <c r="HF932" s="9"/>
      <c r="HG932" s="9"/>
      <c r="HH932" s="9"/>
      <c r="HI932" s="9"/>
      <c r="HJ932" s="9"/>
      <c r="HK932" s="9"/>
      <c r="HL932" s="2"/>
      <c r="HM932" s="2"/>
      <c r="HN932" s="2"/>
      <c r="HO932" s="2"/>
      <c r="HP932" s="2"/>
      <c r="HQ932" s="2"/>
      <c r="HR932" s="2"/>
      <c r="HS932" s="2"/>
      <c r="HT932" s="99"/>
      <c r="HU932" s="2"/>
      <c r="HV932" s="2"/>
      <c r="HW932" s="2"/>
      <c r="HX932" s="2"/>
      <c r="HY932" s="2"/>
      <c r="HZ932" s="2"/>
      <c r="IA932" s="2"/>
      <c r="IB932" s="2"/>
      <c r="IC932" s="2"/>
      <c r="ID932" s="2"/>
      <c r="IE932" s="2"/>
      <c r="IF932" s="2"/>
      <c r="IG932" s="2"/>
      <c r="IH932" s="2"/>
      <c r="II932" s="2"/>
      <c r="IJ932" s="2"/>
      <c r="IK932" s="2"/>
      <c r="IL932" s="2"/>
      <c r="IM932" s="2"/>
      <c r="IN932" s="2"/>
      <c r="IO932" s="2"/>
      <c r="IP932" s="2"/>
      <c r="IQ932" s="2"/>
      <c r="IR932" s="163"/>
      <c r="IS932" s="167"/>
      <c r="IT932" s="2"/>
      <c r="IU932" s="2"/>
      <c r="IV932" s="2"/>
      <c r="IW932" s="99"/>
      <c r="IX932" s="2"/>
      <c r="IY932" s="2"/>
      <c r="IZ932" s="2"/>
      <c r="JA932" s="2"/>
      <c r="JB932" s="2"/>
      <c r="JC932" s="2"/>
      <c r="JD932" s="2"/>
      <c r="JE932" s="2"/>
      <c r="JF932" s="2"/>
      <c r="JG932" s="2"/>
      <c r="JH932" s="2"/>
      <c r="JI932" s="2"/>
      <c r="JJ932" s="2"/>
      <c r="JK932" s="2"/>
      <c r="JL932" s="2"/>
      <c r="JM932" s="2"/>
      <c r="JN932" s="207"/>
      <c r="JO932" s="166"/>
      <c r="JP932" s="2"/>
      <c r="JQ932" s="2"/>
      <c r="JR932" s="2"/>
      <c r="JS932" s="99"/>
      <c r="JT932" s="2"/>
      <c r="JU932" s="2"/>
      <c r="JV932" s="2"/>
      <c r="JW932" s="2"/>
      <c r="JX932" s="2"/>
      <c r="JY932" s="2"/>
      <c r="JZ932" s="2"/>
      <c r="KA932" s="2"/>
      <c r="KB932" s="2"/>
      <c r="KC932" s="2"/>
      <c r="KD932" s="2"/>
      <c r="KE932" s="2"/>
      <c r="KF932" s="2"/>
      <c r="KG932" s="2"/>
      <c r="KH932" s="2"/>
      <c r="KI932" s="163"/>
      <c r="KJ932" s="167"/>
      <c r="KK932" s="2"/>
      <c r="KL932" s="2"/>
      <c r="KM932" s="2"/>
      <c r="KN932" s="2"/>
      <c r="KO932" s="2"/>
      <c r="KP932" s="2"/>
      <c r="KQ932" s="163"/>
      <c r="KR932" s="167"/>
      <c r="KS932" s="2"/>
      <c r="KT932" s="2"/>
      <c r="KU932" s="2"/>
      <c r="KV932" s="2"/>
      <c r="KW932" s="2"/>
      <c r="KX932" s="2"/>
      <c r="KY932" s="2"/>
      <c r="LG932" s="2"/>
      <c r="LH932" s="2"/>
      <c r="LI932" s="2"/>
      <c r="LJ932" s="2"/>
      <c r="LK932" s="2"/>
      <c r="LL932" s="2"/>
      <c r="LM932" s="2"/>
      <c r="LN932" s="2"/>
      <c r="LO932" s="2"/>
      <c r="LP932" s="2"/>
      <c r="LQ932" s="2"/>
      <c r="LR932" s="2"/>
      <c r="LS932" s="2"/>
      <c r="LT932" s="2"/>
      <c r="LU932" s="2"/>
      <c r="LV932" s="2"/>
      <c r="LW932" s="2"/>
      <c r="LX932" s="2"/>
      <c r="LY932" s="2"/>
      <c r="LZ932" s="2"/>
      <c r="MA932" s="2"/>
      <c r="MB932" s="2"/>
      <c r="MC932" s="2"/>
      <c r="MD932" s="2"/>
      <c r="ME932" s="2"/>
      <c r="MF932" s="2"/>
      <c r="MG932" s="2"/>
      <c r="MH932" s="2"/>
      <c r="MI932" s="2"/>
      <c r="MJ932" s="2"/>
      <c r="MK932" s="2"/>
      <c r="ML932" s="2"/>
      <c r="MM932" s="2"/>
      <c r="MN932" s="2"/>
      <c r="MO932" s="2"/>
      <c r="MP932" s="2"/>
      <c r="MQ932" s="2"/>
      <c r="MR932" s="2"/>
      <c r="MS932" s="2"/>
      <c r="MT932" s="2"/>
      <c r="MU932" s="2"/>
      <c r="MV932" s="2"/>
      <c r="MW932" s="2"/>
      <c r="MX932" s="2"/>
      <c r="MY932" s="2"/>
      <c r="MZ932" s="2"/>
      <c r="NA932" s="2"/>
      <c r="NB932" s="2"/>
      <c r="NC932" s="2"/>
      <c r="ND932" s="2"/>
      <c r="NE932" s="2"/>
      <c r="NF932" s="2"/>
      <c r="NG932" s="2"/>
      <c r="NH932" s="2"/>
      <c r="NI932" s="2"/>
      <c r="NJ932" s="2"/>
      <c r="NK932" s="2"/>
      <c r="NL932" s="2"/>
      <c r="NM932" s="2"/>
      <c r="NN932" s="2"/>
      <c r="NO932" s="99"/>
      <c r="NP932" s="203"/>
      <c r="NQ932" s="2"/>
      <c r="NR932" s="2"/>
      <c r="NS932" s="2"/>
      <c r="NT932" s="2"/>
      <c r="NU932" s="2"/>
      <c r="NV932" s="2"/>
      <c r="NW932" s="2"/>
      <c r="NX932" s="2"/>
      <c r="NY932" s="2"/>
      <c r="NZ932" s="2"/>
      <c r="OA932" s="99"/>
      <c r="OB932" s="168"/>
      <c r="OC932" s="2"/>
      <c r="OD932" s="2"/>
      <c r="OE932" s="2"/>
      <c r="OF932" s="2"/>
      <c r="OG932" s="2"/>
      <c r="OH932" s="2"/>
      <c r="OI932" s="2"/>
      <c r="OJ932" s="2"/>
      <c r="OK932" s="2"/>
      <c r="OL932" s="2"/>
      <c r="OM932" s="2"/>
      <c r="ON932" s="2"/>
      <c r="OO932" s="2"/>
      <c r="OP932" s="2"/>
      <c r="OQ932" s="2"/>
      <c r="OR932" s="2"/>
      <c r="OS932" s="2"/>
      <c r="OT932" s="2"/>
      <c r="OU932" s="2"/>
      <c r="OV932" s="2"/>
      <c r="OW932" s="2"/>
      <c r="OX932" s="2"/>
      <c r="OY932" s="2"/>
      <c r="OZ932" s="2"/>
      <c r="PA932" s="2"/>
      <c r="PB932" s="2"/>
    </row>
    <row r="933" spans="1:418" ht="15.75" thickBot="1">
      <c r="A933" s="202"/>
      <c r="B933" s="89"/>
      <c r="C933" s="89"/>
      <c r="D933" s="147"/>
      <c r="E933" s="89"/>
      <c r="F933" s="147"/>
      <c r="G933" s="89"/>
      <c r="H933" s="89"/>
      <c r="I933" s="147"/>
      <c r="J933" s="147"/>
      <c r="K933" s="147"/>
      <c r="L933" s="89"/>
      <c r="M933" s="147"/>
      <c r="N933" s="89"/>
      <c r="O933" s="89"/>
      <c r="P933" s="89"/>
      <c r="Q933" s="89"/>
      <c r="R933" s="89"/>
      <c r="S933" s="89"/>
      <c r="T933" s="89"/>
      <c r="X933" s="3"/>
      <c r="AA933" s="3"/>
      <c r="AB933" s="3"/>
      <c r="AC933" s="3"/>
      <c r="AG933" s="3"/>
      <c r="AJ933" s="3"/>
      <c r="AK933" s="3"/>
      <c r="AL933" s="3"/>
      <c r="AP933" s="3"/>
      <c r="AS933" s="3"/>
      <c r="AT933" s="3"/>
      <c r="AU933" s="3"/>
      <c r="AV933" s="89"/>
      <c r="AW933" s="89"/>
      <c r="AX933" s="89"/>
      <c r="AY933" s="89"/>
      <c r="AZ933" s="89"/>
      <c r="BA933" s="89"/>
      <c r="BB933" s="89"/>
      <c r="BC933" s="89"/>
      <c r="BD933" s="89"/>
      <c r="BE933" s="89"/>
      <c r="BF933" s="89"/>
      <c r="BG933" s="89"/>
      <c r="BH933" s="89"/>
      <c r="BI933" s="89"/>
      <c r="BJ933" s="147"/>
      <c r="BK933" s="170"/>
      <c r="BL933" s="89"/>
      <c r="BM933" s="89"/>
      <c r="BN933" s="89"/>
      <c r="BO933" s="89"/>
      <c r="BP933" s="89"/>
      <c r="BQ933" s="89"/>
      <c r="BR933" s="89"/>
      <c r="BS933" s="89"/>
      <c r="BT933" s="89"/>
      <c r="BU933" s="89"/>
      <c r="BV933" s="89"/>
      <c r="EE933" s="89"/>
      <c r="EF933" s="147"/>
      <c r="EG933" s="170"/>
      <c r="EH933" s="170"/>
      <c r="EI933" s="170"/>
      <c r="EJ933" s="170"/>
      <c r="EK933" s="170"/>
      <c r="EL933" s="170"/>
      <c r="HL933" s="89"/>
      <c r="HM933" s="89"/>
      <c r="HN933" s="89"/>
      <c r="HO933" s="89"/>
      <c r="HP933" s="89"/>
      <c r="HQ933" s="89"/>
      <c r="HR933" s="89"/>
      <c r="HS933" s="89"/>
      <c r="HT933" s="147"/>
      <c r="HU933" s="89"/>
      <c r="HV933" s="89"/>
      <c r="HW933" s="89"/>
      <c r="HX933" s="89"/>
      <c r="HY933" s="89"/>
      <c r="HZ933" s="89"/>
      <c r="IA933" s="89"/>
      <c r="IB933" s="89"/>
      <c r="IC933" s="89"/>
      <c r="ID933" s="2"/>
      <c r="IE933" s="89"/>
      <c r="IF933" s="89"/>
      <c r="IG933" s="89"/>
      <c r="IH933" s="89"/>
      <c r="II933" s="89"/>
      <c r="IJ933" s="89"/>
      <c r="IK933" s="89"/>
      <c r="IL933" s="89"/>
      <c r="IM933" s="89"/>
      <c r="IN933" s="89"/>
      <c r="IO933" s="89"/>
      <c r="IP933" s="147"/>
      <c r="IQ933" s="89"/>
      <c r="IR933" s="152"/>
      <c r="IS933" s="173"/>
      <c r="IT933" s="89"/>
      <c r="IU933" s="89"/>
      <c r="IV933" s="89"/>
      <c r="IW933" s="147"/>
      <c r="IX933" s="89"/>
      <c r="IY933" s="201"/>
      <c r="IZ933" s="173"/>
      <c r="JA933" s="89"/>
      <c r="JB933" s="89"/>
      <c r="JC933" s="89"/>
      <c r="JD933" s="89"/>
      <c r="JE933" s="89"/>
      <c r="JF933" s="89"/>
      <c r="JG933" s="89"/>
      <c r="JH933" s="89"/>
      <c r="JI933" s="89"/>
      <c r="JJ933" s="89"/>
      <c r="JK933" s="89"/>
      <c r="JL933" s="89"/>
      <c r="JM933" s="89"/>
      <c r="JN933" s="200"/>
      <c r="JO933" s="173"/>
      <c r="JP933" s="2"/>
      <c r="JQ933" s="89"/>
      <c r="JR933" s="89"/>
      <c r="JS933" s="147"/>
      <c r="JT933" s="89"/>
      <c r="JU933" s="89"/>
      <c r="JV933" s="89"/>
      <c r="JW933" s="89"/>
      <c r="JX933" s="89"/>
      <c r="JY933" s="89"/>
      <c r="JZ933" s="89"/>
      <c r="KA933" s="89"/>
      <c r="KB933" s="89"/>
      <c r="KC933" s="89"/>
      <c r="KD933" s="89"/>
      <c r="KE933" s="89"/>
      <c r="KF933" s="89"/>
      <c r="KG933" s="89"/>
      <c r="KH933" s="89"/>
      <c r="KI933" s="152"/>
      <c r="KJ933" s="173"/>
      <c r="KK933" s="89"/>
      <c r="KL933" s="89"/>
      <c r="KM933" s="89"/>
      <c r="KN933" s="89"/>
      <c r="KO933" s="89"/>
      <c r="KP933" s="89"/>
      <c r="KQ933" s="177"/>
      <c r="KR933" s="154"/>
      <c r="KS933" s="89"/>
      <c r="KT933" s="89"/>
      <c r="KU933" s="89"/>
      <c r="KV933" s="89"/>
      <c r="KW933" s="89"/>
      <c r="KX933" s="89"/>
      <c r="KY933" s="89"/>
      <c r="LG933" s="89"/>
      <c r="LH933" s="89"/>
      <c r="LI933" s="89"/>
      <c r="LJ933" s="89"/>
      <c r="LK933" s="89"/>
      <c r="LL933" s="89"/>
      <c r="LM933" s="89"/>
      <c r="LN933" s="89"/>
      <c r="LO933" s="89"/>
      <c r="LP933" s="89"/>
      <c r="LQ933" s="89"/>
      <c r="LR933" s="89"/>
      <c r="LS933" s="89"/>
      <c r="LT933" s="89"/>
      <c r="LU933" s="89"/>
      <c r="LV933" s="89"/>
      <c r="LW933" s="89"/>
      <c r="LX933" s="89"/>
      <c r="LY933" s="89"/>
      <c r="LZ933" s="89"/>
      <c r="MA933" s="89"/>
      <c r="MB933" s="89"/>
      <c r="MC933" s="89"/>
      <c r="MD933" s="89"/>
      <c r="ME933" s="89"/>
      <c r="MF933" s="89"/>
      <c r="MG933" s="89"/>
      <c r="MH933" s="89"/>
      <c r="MI933" s="89"/>
      <c r="MJ933" s="89"/>
      <c r="MK933" s="89"/>
      <c r="ML933" s="89"/>
      <c r="MM933" s="89"/>
      <c r="MN933" s="89"/>
      <c r="MO933" s="89"/>
      <c r="MP933" s="89"/>
      <c r="MQ933" s="89"/>
      <c r="MR933" s="89"/>
      <c r="MS933" s="89"/>
      <c r="MT933" s="89"/>
      <c r="MU933" s="89"/>
      <c r="MV933" s="89"/>
      <c r="MW933" s="89"/>
      <c r="MX933" s="89"/>
      <c r="MY933" s="89"/>
      <c r="MZ933" s="89"/>
      <c r="NA933" s="89"/>
      <c r="NB933" s="89"/>
      <c r="NC933" s="89"/>
      <c r="ND933" s="89"/>
      <c r="NE933" s="89"/>
      <c r="NF933" s="89"/>
      <c r="NG933" s="89"/>
      <c r="NH933" s="89"/>
      <c r="NI933" s="89"/>
      <c r="NJ933" s="89"/>
      <c r="NK933" s="89"/>
      <c r="NL933" s="89"/>
      <c r="NM933" s="89"/>
      <c r="NN933" s="89"/>
      <c r="NO933" s="147"/>
      <c r="NP933" s="199"/>
      <c r="NQ933" s="89"/>
      <c r="NR933" s="89"/>
      <c r="NS933" s="89"/>
      <c r="NT933" s="89"/>
      <c r="NU933" s="89"/>
      <c r="NV933" s="89"/>
      <c r="NW933" s="89"/>
      <c r="NX933" s="89"/>
      <c r="NY933" s="89"/>
      <c r="NZ933" s="89"/>
      <c r="OA933" s="147"/>
      <c r="OB933" s="97"/>
      <c r="OC933" s="89"/>
      <c r="OD933" s="89"/>
      <c r="OE933" s="89"/>
      <c r="OF933" s="89"/>
      <c r="OG933" s="89"/>
      <c r="OH933" s="89"/>
      <c r="OI933" s="89"/>
      <c r="OJ933" s="89"/>
      <c r="OK933" s="89"/>
      <c r="OL933" s="89"/>
      <c r="OM933" s="89"/>
      <c r="ON933" s="89"/>
      <c r="OO933" s="89"/>
      <c r="OP933" s="89"/>
      <c r="OQ933" s="89"/>
      <c r="OR933" s="89"/>
      <c r="OS933" s="89"/>
      <c r="OT933" s="89"/>
      <c r="OU933" s="89"/>
      <c r="OV933" s="89"/>
      <c r="OW933" s="89"/>
      <c r="OX933" s="89"/>
      <c r="OY933" s="89"/>
      <c r="OZ933" s="89"/>
      <c r="PA933" s="89"/>
      <c r="PB933" s="89"/>
    </row>
    <row r="934" spans="1:418" ht="15.75" thickBot="1">
      <c r="A934" s="204"/>
      <c r="B934" s="2"/>
      <c r="C934" s="2"/>
      <c r="D934" s="99"/>
      <c r="E934" s="2"/>
      <c r="F934" s="147"/>
      <c r="G934" s="2"/>
      <c r="H934" s="2"/>
      <c r="I934" s="147"/>
      <c r="J934" s="147"/>
      <c r="K934" s="147"/>
      <c r="L934" s="2"/>
      <c r="M934" s="99"/>
      <c r="N934" s="2"/>
      <c r="O934" s="89"/>
      <c r="P934" s="2"/>
      <c r="Q934" s="2"/>
      <c r="R934" s="89"/>
      <c r="S934" s="89"/>
      <c r="T934" s="89"/>
      <c r="X934" s="3"/>
      <c r="AA934" s="3"/>
      <c r="AB934" s="3"/>
      <c r="AC934" s="3"/>
      <c r="AG934" s="3"/>
      <c r="AJ934" s="3"/>
      <c r="AK934" s="3"/>
      <c r="AL934" s="3"/>
      <c r="AP934" s="3"/>
      <c r="AS934" s="3"/>
      <c r="AT934" s="3"/>
      <c r="AU934" s="3"/>
      <c r="AV934" s="2"/>
      <c r="AW934" s="2"/>
      <c r="AX934" s="2"/>
      <c r="AY934" s="2"/>
      <c r="AZ934" s="2"/>
      <c r="BA934" s="2"/>
      <c r="BB934" s="2"/>
      <c r="BC934" s="2"/>
      <c r="BD934" s="2"/>
      <c r="BE934" s="2"/>
      <c r="BF934" s="2"/>
      <c r="BG934" s="2"/>
      <c r="BH934" s="2"/>
      <c r="BI934" s="2"/>
      <c r="BJ934" s="99"/>
      <c r="BK934" s="205"/>
      <c r="BL934" s="2"/>
      <c r="BM934" s="2"/>
      <c r="BN934" s="2"/>
      <c r="BO934" s="2"/>
      <c r="BP934" s="2"/>
      <c r="BQ934" s="2"/>
      <c r="BR934" s="2"/>
      <c r="BS934" s="2"/>
      <c r="BT934" s="2"/>
      <c r="BU934" s="2"/>
      <c r="BV934" s="2"/>
      <c r="EE934" s="2"/>
      <c r="EF934" s="99"/>
      <c r="EG934" s="205"/>
      <c r="EH934" s="205"/>
      <c r="EI934" s="205"/>
      <c r="EJ934" s="205"/>
      <c r="EK934" s="205"/>
      <c r="EL934" s="205"/>
      <c r="HL934" s="2"/>
      <c r="HM934" s="2"/>
      <c r="HN934" s="2"/>
      <c r="HO934" s="2"/>
      <c r="HP934" s="2"/>
      <c r="HQ934" s="2"/>
      <c r="HR934" s="2"/>
      <c r="HS934" s="2"/>
      <c r="HT934" s="99"/>
      <c r="HU934" s="2"/>
      <c r="HV934" s="2"/>
      <c r="HW934" s="2"/>
      <c r="HX934" s="2"/>
      <c r="HY934" s="2"/>
      <c r="HZ934" s="2"/>
      <c r="IA934" s="2"/>
      <c r="IB934" s="2"/>
      <c r="IC934" s="2"/>
      <c r="ID934" s="2"/>
      <c r="IE934" s="2"/>
      <c r="IF934" s="2"/>
      <c r="IG934" s="2"/>
      <c r="IH934" s="2"/>
      <c r="II934" s="2"/>
      <c r="IJ934" s="2"/>
      <c r="IK934" s="2"/>
      <c r="IL934" s="2"/>
      <c r="IM934" s="2"/>
      <c r="IN934" s="2"/>
      <c r="IO934" s="2"/>
      <c r="IP934" s="99"/>
      <c r="IQ934" s="2"/>
      <c r="IR934" s="163"/>
      <c r="IS934" s="167"/>
      <c r="IT934" s="2"/>
      <c r="IU934" s="2"/>
      <c r="IV934" s="2"/>
      <c r="IW934" s="99"/>
      <c r="IX934" s="2"/>
      <c r="IY934" s="206"/>
      <c r="IZ934" s="167"/>
      <c r="JA934" s="2"/>
      <c r="JB934" s="2"/>
      <c r="JC934" s="2"/>
      <c r="JD934" s="2"/>
      <c r="JE934" s="2"/>
      <c r="JF934" s="2"/>
      <c r="JG934" s="2"/>
      <c r="JH934" s="2"/>
      <c r="JI934" s="2"/>
      <c r="JJ934" s="2"/>
      <c r="JK934" s="2"/>
      <c r="JL934" s="2"/>
      <c r="JM934" s="2"/>
      <c r="JN934" s="200"/>
      <c r="JO934" s="167"/>
      <c r="JP934" s="2"/>
      <c r="JQ934" s="2"/>
      <c r="JR934" s="2"/>
      <c r="JS934" s="99"/>
      <c r="JT934" s="2"/>
      <c r="JU934" s="2"/>
      <c r="JV934" s="2"/>
      <c r="JW934" s="2"/>
      <c r="JX934" s="2"/>
      <c r="JY934" s="2"/>
      <c r="JZ934" s="2"/>
      <c r="KA934" s="2"/>
      <c r="KB934" s="2"/>
      <c r="KC934" s="2"/>
      <c r="KD934" s="2"/>
      <c r="KE934" s="2"/>
      <c r="KF934" s="2"/>
      <c r="KG934" s="2"/>
      <c r="KH934" s="2"/>
      <c r="KI934" s="163"/>
      <c r="KJ934" s="167"/>
      <c r="KK934" s="2"/>
      <c r="KL934" s="2"/>
      <c r="KM934" s="2"/>
      <c r="KN934" s="2"/>
      <c r="KO934" s="2"/>
      <c r="KP934" s="2"/>
      <c r="KQ934" s="177"/>
      <c r="KR934" s="166"/>
      <c r="KS934" s="2"/>
      <c r="KT934" s="2"/>
      <c r="KU934" s="2"/>
      <c r="KV934" s="2"/>
      <c r="KW934" s="2"/>
      <c r="KX934" s="2"/>
      <c r="KY934" s="2"/>
      <c r="LG934" s="2"/>
      <c r="LH934" s="2"/>
      <c r="LI934" s="2"/>
      <c r="LJ934" s="2"/>
      <c r="LK934" s="2"/>
      <c r="LL934" s="2"/>
      <c r="LM934" s="2"/>
      <c r="LN934" s="2"/>
      <c r="LO934" s="2"/>
      <c r="LP934" s="2"/>
      <c r="LQ934" s="2"/>
      <c r="LR934" s="2"/>
      <c r="LS934" s="2"/>
      <c r="LT934" s="2"/>
      <c r="LU934" s="2"/>
      <c r="LV934" s="2"/>
      <c r="LW934" s="2"/>
      <c r="LX934" s="2"/>
      <c r="LY934" s="2"/>
      <c r="LZ934" s="2"/>
      <c r="MA934" s="2"/>
      <c r="MB934" s="2"/>
      <c r="MC934" s="2"/>
      <c r="MD934" s="2"/>
      <c r="ME934" s="2"/>
      <c r="MF934" s="2"/>
      <c r="MG934" s="2"/>
      <c r="MH934" s="2"/>
      <c r="MI934" s="2"/>
      <c r="MJ934" s="2"/>
      <c r="MK934" s="2"/>
      <c r="ML934" s="2"/>
      <c r="MM934" s="2"/>
      <c r="MN934" s="2"/>
      <c r="MO934" s="2"/>
      <c r="MP934" s="2"/>
      <c r="MQ934" s="2"/>
      <c r="MR934" s="2"/>
      <c r="MS934" s="2"/>
      <c r="MT934" s="2"/>
      <c r="MU934" s="2"/>
      <c r="MV934" s="2"/>
      <c r="MW934" s="2"/>
      <c r="MX934" s="2"/>
      <c r="MY934" s="2"/>
      <c r="MZ934" s="2"/>
      <c r="NA934" s="2"/>
      <c r="NB934" s="2"/>
      <c r="NC934" s="2"/>
      <c r="ND934" s="2"/>
      <c r="NE934" s="2"/>
      <c r="NF934" s="2"/>
      <c r="NG934" s="2"/>
      <c r="NH934" s="2"/>
      <c r="NI934" s="2"/>
      <c r="NJ934" s="2"/>
      <c r="NK934" s="2"/>
      <c r="NL934" s="2"/>
      <c r="NM934" s="2"/>
      <c r="NN934" s="2"/>
      <c r="NO934" s="99"/>
      <c r="NP934" s="203"/>
      <c r="NQ934" s="2"/>
      <c r="NR934" s="2"/>
      <c r="NS934" s="2"/>
      <c r="NT934" s="2"/>
      <c r="NU934" s="2"/>
      <c r="NV934" s="2"/>
      <c r="NW934" s="2"/>
      <c r="NX934" s="2"/>
      <c r="NY934" s="2"/>
      <c r="NZ934" s="2"/>
      <c r="OA934" s="99"/>
      <c r="OB934" s="168"/>
      <c r="OC934" s="2"/>
      <c r="OD934" s="2"/>
      <c r="OE934" s="2"/>
      <c r="OF934" s="2"/>
      <c r="OG934" s="2"/>
      <c r="OH934" s="2"/>
      <c r="OI934" s="2"/>
      <c r="OJ934" s="2"/>
      <c r="OK934" s="2"/>
      <c r="OL934" s="2"/>
      <c r="OM934" s="2"/>
      <c r="ON934" s="2"/>
      <c r="OO934" s="2"/>
      <c r="OP934" s="2"/>
      <c r="OQ934" s="2"/>
      <c r="OR934" s="2"/>
      <c r="OS934" s="2"/>
      <c r="OT934" s="2"/>
      <c r="OU934" s="2"/>
      <c r="OV934" s="2"/>
      <c r="OW934" s="2"/>
      <c r="OX934" s="2"/>
      <c r="OY934" s="2"/>
      <c r="OZ934" s="2"/>
      <c r="PA934" s="2"/>
      <c r="PB934" s="2"/>
    </row>
    <row r="935" spans="1:418" ht="15.75" thickBot="1">
      <c r="A935" s="202"/>
      <c r="B935" s="89"/>
      <c r="C935" s="89"/>
      <c r="D935" s="147"/>
      <c r="E935" s="89"/>
      <c r="F935" s="147"/>
      <c r="G935" s="89"/>
      <c r="H935" s="89"/>
      <c r="I935" s="147"/>
      <c r="J935" s="147"/>
      <c r="K935" s="147"/>
      <c r="L935" s="89"/>
      <c r="M935" s="147"/>
      <c r="N935" s="89"/>
      <c r="O935" s="89"/>
      <c r="P935" s="89"/>
      <c r="Q935" s="89"/>
      <c r="R935" s="89"/>
      <c r="S935" s="89"/>
      <c r="T935" s="89"/>
      <c r="X935" s="3"/>
      <c r="AA935" s="3"/>
      <c r="AB935" s="3"/>
      <c r="AC935" s="3"/>
      <c r="AG935" s="3"/>
      <c r="AJ935" s="3"/>
      <c r="AK935" s="3"/>
      <c r="AL935" s="3"/>
      <c r="AP935" s="3"/>
      <c r="AS935" s="3"/>
      <c r="AT935" s="3"/>
      <c r="AU935" s="3"/>
      <c r="AV935" s="89"/>
      <c r="AW935" s="89"/>
      <c r="AX935" s="89"/>
      <c r="AY935" s="89"/>
      <c r="AZ935" s="89"/>
      <c r="BA935" s="89"/>
      <c r="BB935" s="89"/>
      <c r="BC935" s="89"/>
      <c r="BD935" s="89"/>
      <c r="BE935" s="89"/>
      <c r="BF935" s="89"/>
      <c r="BG935" s="89"/>
      <c r="BH935" s="89"/>
      <c r="BI935" s="89"/>
      <c r="BJ935" s="147"/>
      <c r="BK935" s="170"/>
      <c r="BL935" s="89"/>
      <c r="BM935" s="89"/>
      <c r="BN935" s="89"/>
      <c r="BO935" s="89"/>
      <c r="BP935" s="89"/>
      <c r="BQ935" s="89"/>
      <c r="BR935" s="89"/>
      <c r="BS935" s="89"/>
      <c r="BT935" s="89"/>
      <c r="BU935" s="89"/>
      <c r="BV935" s="89"/>
      <c r="EE935" s="89"/>
      <c r="EF935" s="147"/>
      <c r="EG935" s="170"/>
      <c r="EH935" s="170"/>
      <c r="EI935" s="170"/>
      <c r="EJ935" s="170"/>
      <c r="EK935" s="170"/>
      <c r="EL935" s="170"/>
      <c r="EM935" s="9"/>
      <c r="EN935" s="9"/>
      <c r="EO935" s="9"/>
      <c r="EP935" s="9"/>
      <c r="EQ935" s="9"/>
      <c r="ER935" s="9"/>
      <c r="ES935" s="9"/>
      <c r="ET935" s="9"/>
      <c r="EU935" s="9"/>
      <c r="EV935" s="9"/>
      <c r="EW935" s="9"/>
      <c r="EX935" s="9"/>
      <c r="EY935" s="9"/>
      <c r="EZ935" s="9"/>
      <c r="FA935" s="9"/>
      <c r="FB935" s="9"/>
      <c r="FC935" s="9"/>
      <c r="FD935" s="9"/>
      <c r="FE935" s="9"/>
      <c r="FF935" s="9"/>
      <c r="FG935" s="9"/>
      <c r="FH935" s="9"/>
      <c r="FI935" s="9"/>
      <c r="FJ935" s="9"/>
      <c r="FK935" s="9"/>
      <c r="FL935" s="9"/>
      <c r="FM935" s="9"/>
      <c r="FN935" s="9"/>
      <c r="FO935" s="9"/>
      <c r="FP935" s="9"/>
      <c r="FQ935" s="9"/>
      <c r="FR935" s="9"/>
      <c r="FS935" s="9"/>
      <c r="FT935" s="9"/>
      <c r="FU935" s="9"/>
      <c r="FV935" s="9"/>
      <c r="FW935" s="9"/>
      <c r="FX935" s="9"/>
      <c r="FY935" s="9"/>
      <c r="FZ935" s="9"/>
      <c r="GA935" s="9"/>
      <c r="GB935" s="9"/>
      <c r="GC935" s="9"/>
      <c r="GD935" s="9"/>
      <c r="GE935" s="9"/>
      <c r="GF935" s="9"/>
      <c r="GG935" s="9"/>
      <c r="GH935" s="9"/>
      <c r="GI935" s="9"/>
      <c r="GJ935" s="9"/>
      <c r="GK935" s="9"/>
      <c r="GL935" s="9"/>
      <c r="GM935" s="9"/>
      <c r="GN935" s="9"/>
      <c r="GO935" s="9"/>
      <c r="GP935" s="9"/>
      <c r="GQ935" s="9"/>
      <c r="GR935" s="9"/>
      <c r="GS935" s="9"/>
      <c r="GT935" s="9"/>
      <c r="GU935" s="9"/>
      <c r="GV935" s="9"/>
      <c r="GW935" s="9"/>
      <c r="GX935" s="9"/>
      <c r="GY935" s="9"/>
      <c r="GZ935" s="9"/>
      <c r="HA935" s="9"/>
      <c r="HB935" s="9"/>
      <c r="HC935" s="9"/>
      <c r="HD935" s="9"/>
      <c r="HE935" s="9"/>
      <c r="HF935" s="9"/>
      <c r="HG935" s="9"/>
      <c r="HH935" s="9"/>
      <c r="HI935" s="9"/>
      <c r="HJ935" s="9"/>
      <c r="HK935" s="9"/>
      <c r="HL935" s="89"/>
      <c r="HM935" s="89"/>
      <c r="HN935" s="89"/>
      <c r="HO935" s="89"/>
      <c r="HP935" s="89"/>
      <c r="HQ935" s="89"/>
      <c r="HR935" s="89"/>
      <c r="HS935" s="89"/>
      <c r="HT935" s="147"/>
      <c r="HU935" s="89"/>
      <c r="HV935" s="89"/>
      <c r="HW935" s="89"/>
      <c r="HX935" s="89"/>
      <c r="HY935" s="89"/>
      <c r="HZ935" s="89"/>
      <c r="IA935" s="89"/>
      <c r="IB935" s="89"/>
      <c r="IC935" s="89"/>
      <c r="ID935" s="89"/>
      <c r="IE935" s="89"/>
      <c r="IF935" s="89"/>
      <c r="IG935" s="89"/>
      <c r="IH935" s="89"/>
      <c r="II935" s="89"/>
      <c r="IJ935" s="89"/>
      <c r="IK935" s="89"/>
      <c r="IL935" s="89"/>
      <c r="IM935" s="89"/>
      <c r="IN935" s="89"/>
      <c r="IO935" s="89"/>
      <c r="IP935" s="89"/>
      <c r="IQ935" s="89"/>
      <c r="IR935" s="152"/>
      <c r="IS935" s="173"/>
      <c r="IT935" s="89"/>
      <c r="IU935" s="89"/>
      <c r="IV935" s="89"/>
      <c r="IW935" s="147"/>
      <c r="IX935" s="89"/>
      <c r="IY935" s="148"/>
      <c r="IZ935" s="89"/>
      <c r="JA935" s="89"/>
      <c r="JB935" s="89"/>
      <c r="JC935" s="89"/>
      <c r="JD935" s="89"/>
      <c r="JE935" s="89"/>
      <c r="JF935" s="89"/>
      <c r="JG935" s="89"/>
      <c r="JH935" s="89"/>
      <c r="JI935" s="89"/>
      <c r="JJ935" s="89"/>
      <c r="JK935" s="89"/>
      <c r="JL935" s="89"/>
      <c r="JM935" s="89"/>
      <c r="JN935" s="200"/>
      <c r="JO935" s="173"/>
      <c r="JP935" s="2"/>
      <c r="JQ935" s="89"/>
      <c r="JR935" s="89"/>
      <c r="JS935" s="147"/>
      <c r="JT935" s="89"/>
      <c r="JU935" s="89"/>
      <c r="JV935" s="89"/>
      <c r="JW935" s="89"/>
      <c r="JX935" s="89"/>
      <c r="JY935" s="89"/>
      <c r="JZ935" s="89"/>
      <c r="KA935" s="89"/>
      <c r="KB935" s="89"/>
      <c r="KC935" s="89"/>
      <c r="KD935" s="89"/>
      <c r="KE935" s="89"/>
      <c r="KF935" s="89"/>
      <c r="KG935" s="89"/>
      <c r="KH935" s="89"/>
      <c r="KI935" s="152"/>
      <c r="KJ935" s="173"/>
      <c r="KK935" s="89"/>
      <c r="KL935" s="89"/>
      <c r="KM935" s="89"/>
      <c r="KN935" s="89"/>
      <c r="KO935" s="89"/>
      <c r="KP935" s="89"/>
      <c r="KQ935" s="152"/>
      <c r="KR935" s="173"/>
      <c r="KS935" s="89"/>
      <c r="KT935" s="89"/>
      <c r="KU935" s="89"/>
      <c r="KV935" s="89"/>
      <c r="KW935" s="89"/>
      <c r="KX935" s="89"/>
      <c r="KY935" s="89"/>
      <c r="LG935" s="89"/>
      <c r="LH935" s="89"/>
      <c r="LI935" s="89"/>
      <c r="LJ935" s="89"/>
      <c r="LK935" s="89"/>
      <c r="LL935" s="89"/>
      <c r="LM935" s="89"/>
      <c r="LN935" s="89"/>
      <c r="LO935" s="89"/>
      <c r="LP935" s="89"/>
      <c r="LQ935" s="89"/>
      <c r="LR935" s="89"/>
      <c r="LS935" s="89"/>
      <c r="LT935" s="89"/>
      <c r="LU935" s="89"/>
      <c r="LV935" s="89"/>
      <c r="LW935" s="89"/>
      <c r="LX935" s="89"/>
      <c r="LY935" s="89"/>
      <c r="LZ935" s="89"/>
      <c r="MA935" s="89"/>
      <c r="MB935" s="89"/>
      <c r="MC935" s="89"/>
      <c r="MD935" s="89"/>
      <c r="ME935" s="89"/>
      <c r="MF935" s="89"/>
      <c r="MG935" s="89"/>
      <c r="MH935" s="89"/>
      <c r="MI935" s="89"/>
      <c r="MJ935" s="89"/>
      <c r="MK935" s="89"/>
      <c r="ML935" s="89"/>
      <c r="MM935" s="89"/>
      <c r="MN935" s="89"/>
      <c r="MO935" s="89"/>
      <c r="MP935" s="89"/>
      <c r="MQ935" s="89"/>
      <c r="MR935" s="89"/>
      <c r="MS935" s="89"/>
      <c r="MT935" s="89"/>
      <c r="MU935" s="89"/>
      <c r="MV935" s="89"/>
      <c r="MW935" s="89"/>
      <c r="MX935" s="89"/>
      <c r="MY935" s="89"/>
      <c r="MZ935" s="89"/>
      <c r="NA935" s="89"/>
      <c r="NB935" s="89"/>
      <c r="NC935" s="89"/>
      <c r="ND935" s="89"/>
      <c r="NE935" s="89"/>
      <c r="NF935" s="89"/>
      <c r="NG935" s="89"/>
      <c r="NH935" s="89"/>
      <c r="NI935" s="89"/>
      <c r="NJ935" s="89"/>
      <c r="NK935" s="89"/>
      <c r="NL935" s="89"/>
      <c r="NM935" s="89"/>
      <c r="NN935" s="89"/>
      <c r="NO935" s="147"/>
      <c r="NP935" s="199"/>
      <c r="NQ935" s="89"/>
      <c r="NR935" s="89"/>
      <c r="NS935" s="89"/>
      <c r="NT935" s="89"/>
      <c r="NU935" s="89"/>
      <c r="NV935" s="89"/>
      <c r="NW935" s="89"/>
      <c r="NX935" s="89"/>
      <c r="NY935" s="89"/>
      <c r="NZ935" s="89"/>
      <c r="OA935" s="147"/>
      <c r="OB935" s="97"/>
      <c r="OC935" s="89"/>
      <c r="OD935" s="89"/>
      <c r="OE935" s="89"/>
      <c r="OF935" s="89"/>
      <c r="OG935" s="89"/>
      <c r="OH935" s="89"/>
      <c r="OI935" s="89"/>
      <c r="OJ935" s="89"/>
      <c r="OK935" s="89"/>
      <c r="OL935" s="89"/>
      <c r="OM935" s="89"/>
      <c r="ON935" s="89"/>
      <c r="OO935" s="89"/>
      <c r="OP935" s="89"/>
      <c r="OQ935" s="89"/>
      <c r="OR935" s="89"/>
      <c r="OS935" s="89"/>
      <c r="OT935" s="89"/>
      <c r="OU935" s="89"/>
      <c r="OV935" s="89"/>
      <c r="OW935" s="89"/>
      <c r="OX935" s="89"/>
      <c r="OY935" s="89"/>
      <c r="OZ935" s="89"/>
      <c r="PA935" s="89"/>
      <c r="PB935" s="89"/>
    </row>
    <row r="936" spans="1:418" ht="15.75" thickBot="1">
      <c r="A936" s="204"/>
      <c r="B936" s="2"/>
      <c r="C936" s="2"/>
      <c r="D936" s="99"/>
      <c r="E936" s="2"/>
      <c r="F936" s="147"/>
      <c r="G936" s="2"/>
      <c r="H936" s="2"/>
      <c r="I936" s="147"/>
      <c r="J936" s="147"/>
      <c r="K936" s="147"/>
      <c r="L936" s="2"/>
      <c r="M936" s="99"/>
      <c r="N936" s="2"/>
      <c r="O936" s="89"/>
      <c r="P936" s="2"/>
      <c r="Q936" s="2"/>
      <c r="R936" s="89"/>
      <c r="S936" s="89"/>
      <c r="T936" s="89"/>
      <c r="X936" s="3"/>
      <c r="AA936" s="3"/>
      <c r="AB936" s="3"/>
      <c r="AC936" s="3"/>
      <c r="AG936" s="3"/>
      <c r="AJ936" s="3"/>
      <c r="AK936" s="3"/>
      <c r="AL936" s="3"/>
      <c r="AP936" s="3"/>
      <c r="AS936" s="3"/>
      <c r="AT936" s="3"/>
      <c r="AU936" s="3"/>
      <c r="AV936" s="2"/>
      <c r="AW936" s="2"/>
      <c r="AX936" s="2"/>
      <c r="AY936" s="2"/>
      <c r="AZ936" s="2"/>
      <c r="BA936" s="2"/>
      <c r="BB936" s="2"/>
      <c r="BC936" s="2"/>
      <c r="BD936" s="2"/>
      <c r="BE936" s="2"/>
      <c r="BF936" s="2"/>
      <c r="BG936" s="2"/>
      <c r="BH936" s="2"/>
      <c r="BI936" s="2"/>
      <c r="BJ936" s="99"/>
      <c r="BK936" s="205"/>
      <c r="BL936" s="2"/>
      <c r="BM936" s="2"/>
      <c r="BN936" s="2"/>
      <c r="BO936" s="2"/>
      <c r="BP936" s="2"/>
      <c r="BQ936" s="2"/>
      <c r="BR936" s="2"/>
      <c r="BS936" s="2"/>
      <c r="BT936" s="2"/>
      <c r="BU936" s="2"/>
      <c r="BV936" s="2"/>
      <c r="EE936" s="2"/>
      <c r="EF936" s="99"/>
      <c r="EG936" s="205"/>
      <c r="EH936" s="205"/>
      <c r="EI936" s="205"/>
      <c r="EJ936" s="205"/>
      <c r="EK936" s="205"/>
      <c r="EL936" s="205"/>
      <c r="EM936" s="9"/>
      <c r="EN936" s="9"/>
      <c r="EO936" s="9"/>
      <c r="EP936" s="9"/>
      <c r="EQ936" s="9"/>
      <c r="ER936" s="9"/>
      <c r="ES936" s="9"/>
      <c r="ET936" s="9"/>
      <c r="EU936" s="9"/>
      <c r="EV936" s="9"/>
      <c r="EW936" s="9"/>
      <c r="EX936" s="9"/>
      <c r="EY936" s="9"/>
      <c r="EZ936" s="9"/>
      <c r="FA936" s="9"/>
      <c r="FB936" s="9"/>
      <c r="FC936" s="9"/>
      <c r="FD936" s="9"/>
      <c r="FE936" s="9"/>
      <c r="FF936" s="9"/>
      <c r="FG936" s="9"/>
      <c r="FH936" s="9"/>
      <c r="FI936" s="9"/>
      <c r="FJ936" s="9"/>
      <c r="FK936" s="9"/>
      <c r="FL936" s="9"/>
      <c r="FM936" s="9"/>
      <c r="FN936" s="9"/>
      <c r="FO936" s="9"/>
      <c r="FP936" s="9"/>
      <c r="FQ936" s="9"/>
      <c r="FR936" s="9"/>
      <c r="FS936" s="9"/>
      <c r="FT936" s="9"/>
      <c r="FU936" s="9"/>
      <c r="FV936" s="9"/>
      <c r="FW936" s="9"/>
      <c r="FX936" s="9"/>
      <c r="FY936" s="9"/>
      <c r="FZ936" s="9"/>
      <c r="GA936" s="9"/>
      <c r="GB936" s="9"/>
      <c r="GC936" s="9"/>
      <c r="GD936" s="9"/>
      <c r="GE936" s="9"/>
      <c r="GF936" s="9"/>
      <c r="GG936" s="9"/>
      <c r="GH936" s="9"/>
      <c r="GI936" s="9"/>
      <c r="GJ936" s="9"/>
      <c r="GK936" s="9"/>
      <c r="GL936" s="9"/>
      <c r="GM936" s="9"/>
      <c r="GN936" s="9"/>
      <c r="GO936" s="9"/>
      <c r="GP936" s="9"/>
      <c r="GQ936" s="9"/>
      <c r="GR936" s="9"/>
      <c r="GS936" s="9"/>
      <c r="GT936" s="9"/>
      <c r="GU936" s="9"/>
      <c r="GV936" s="9"/>
      <c r="GW936" s="9"/>
      <c r="GX936" s="9"/>
      <c r="GY936" s="9"/>
      <c r="GZ936" s="9"/>
      <c r="HA936" s="9"/>
      <c r="HB936" s="9"/>
      <c r="HC936" s="9"/>
      <c r="HD936" s="9"/>
      <c r="HE936" s="9"/>
      <c r="HF936" s="9"/>
      <c r="HG936" s="9"/>
      <c r="HH936" s="9"/>
      <c r="HI936" s="9"/>
      <c r="HJ936" s="9"/>
      <c r="HK936" s="9"/>
      <c r="HL936" s="2"/>
      <c r="HM936" s="2"/>
      <c r="HN936" s="2"/>
      <c r="HO936" s="2"/>
      <c r="HP936" s="2"/>
      <c r="HQ936" s="2"/>
      <c r="HR936" s="2"/>
      <c r="HS936" s="2"/>
      <c r="HT936" s="99"/>
      <c r="HU936" s="2"/>
      <c r="HV936" s="2"/>
      <c r="HW936" s="2"/>
      <c r="HX936" s="2"/>
      <c r="HY936" s="2"/>
      <c r="HZ936" s="2"/>
      <c r="IA936" s="2"/>
      <c r="IB936" s="2"/>
      <c r="IC936" s="2"/>
      <c r="ID936" s="2"/>
      <c r="IE936" s="2"/>
      <c r="IF936" s="2"/>
      <c r="IG936" s="2"/>
      <c r="IH936" s="2"/>
      <c r="II936" s="2"/>
      <c r="IJ936" s="2"/>
      <c r="IK936" s="2"/>
      <c r="IL936" s="2"/>
      <c r="IM936" s="2"/>
      <c r="IN936" s="2"/>
      <c r="IO936" s="2"/>
      <c r="IP936" s="2"/>
      <c r="IQ936" s="2"/>
      <c r="IR936" s="163"/>
      <c r="IS936" s="167"/>
      <c r="IT936" s="2"/>
      <c r="IU936" s="2"/>
      <c r="IV936" s="2"/>
      <c r="IW936" s="99"/>
      <c r="IX936" s="2"/>
      <c r="IY936" s="2"/>
      <c r="IZ936" s="2"/>
      <c r="JA936" s="2"/>
      <c r="JB936" s="2"/>
      <c r="JC936" s="2"/>
      <c r="JD936" s="2"/>
      <c r="JE936" s="2"/>
      <c r="JF936" s="2"/>
      <c r="JG936" s="2"/>
      <c r="JH936" s="2"/>
      <c r="JI936" s="2"/>
      <c r="JJ936" s="2"/>
      <c r="JK936" s="2"/>
      <c r="JL936" s="2"/>
      <c r="JM936" s="2"/>
      <c r="JN936" s="200"/>
      <c r="JO936" s="167"/>
      <c r="JP936" s="2"/>
      <c r="JQ936" s="2"/>
      <c r="JR936" s="2"/>
      <c r="JS936" s="99"/>
      <c r="JT936" s="2"/>
      <c r="JU936" s="2"/>
      <c r="JV936" s="2"/>
      <c r="JW936" s="2"/>
      <c r="JX936" s="2"/>
      <c r="JY936" s="2"/>
      <c r="JZ936" s="2"/>
      <c r="KA936" s="2"/>
      <c r="KB936" s="2"/>
      <c r="KC936" s="2"/>
      <c r="KD936" s="2"/>
      <c r="KE936" s="2"/>
      <c r="KF936" s="2"/>
      <c r="KG936" s="2"/>
      <c r="KH936" s="2"/>
      <c r="KI936" s="163"/>
      <c r="KJ936" s="167"/>
      <c r="KK936" s="2"/>
      <c r="KL936" s="2"/>
      <c r="KM936" s="2"/>
      <c r="KN936" s="2"/>
      <c r="KO936" s="2"/>
      <c r="KP936" s="2"/>
      <c r="KQ936" s="163"/>
      <c r="KR936" s="167"/>
      <c r="KS936" s="2"/>
      <c r="KT936" s="2"/>
      <c r="KU936" s="2"/>
      <c r="KV936" s="2"/>
      <c r="KW936" s="2"/>
      <c r="KX936" s="2"/>
      <c r="KY936" s="2"/>
      <c r="LG936" s="2"/>
      <c r="LH936" s="2"/>
      <c r="LI936" s="2"/>
      <c r="LJ936" s="2"/>
      <c r="LK936" s="2"/>
      <c r="LL936" s="2"/>
      <c r="LM936" s="2"/>
      <c r="LN936" s="2"/>
      <c r="LO936" s="2"/>
      <c r="LP936" s="2"/>
      <c r="LQ936" s="2"/>
      <c r="LR936" s="2"/>
      <c r="LS936" s="2"/>
      <c r="LT936" s="2"/>
      <c r="LU936" s="2"/>
      <c r="LV936" s="2"/>
      <c r="LW936" s="2"/>
      <c r="LX936" s="2"/>
      <c r="LY936" s="2"/>
      <c r="LZ936" s="2"/>
      <c r="MA936" s="2"/>
      <c r="MB936" s="2"/>
      <c r="MC936" s="2"/>
      <c r="MD936" s="2"/>
      <c r="ME936" s="2"/>
      <c r="MF936" s="2"/>
      <c r="MG936" s="2"/>
      <c r="MH936" s="2"/>
      <c r="MI936" s="2"/>
      <c r="MJ936" s="2"/>
      <c r="MK936" s="2"/>
      <c r="ML936" s="2"/>
      <c r="MM936" s="2"/>
      <c r="MN936" s="2"/>
      <c r="MO936" s="2"/>
      <c r="MP936" s="2"/>
      <c r="MQ936" s="2"/>
      <c r="MR936" s="2"/>
      <c r="MS936" s="2"/>
      <c r="MT936" s="2"/>
      <c r="MU936" s="2"/>
      <c r="MV936" s="2"/>
      <c r="MW936" s="2"/>
      <c r="MX936" s="2"/>
      <c r="MY936" s="2"/>
      <c r="MZ936" s="2"/>
      <c r="NA936" s="2"/>
      <c r="NB936" s="2"/>
      <c r="NC936" s="2"/>
      <c r="ND936" s="2"/>
      <c r="NE936" s="2"/>
      <c r="NF936" s="2"/>
      <c r="NG936" s="2"/>
      <c r="NH936" s="2"/>
      <c r="NI936" s="2"/>
      <c r="NJ936" s="2"/>
      <c r="NK936" s="2"/>
      <c r="NL936" s="2"/>
      <c r="NM936" s="2"/>
      <c r="NN936" s="2"/>
      <c r="NO936" s="99"/>
      <c r="NP936" s="203"/>
      <c r="NQ936" s="2"/>
      <c r="NR936" s="2"/>
      <c r="NS936" s="2"/>
      <c r="NT936" s="2"/>
      <c r="NU936" s="2"/>
      <c r="NV936" s="2"/>
      <c r="NW936" s="2"/>
      <c r="NX936" s="2"/>
      <c r="NY936" s="2"/>
      <c r="NZ936" s="2"/>
      <c r="OA936" s="99"/>
      <c r="OB936" s="168"/>
      <c r="OC936" s="2"/>
      <c r="OD936" s="2"/>
      <c r="OE936" s="2"/>
      <c r="OF936" s="2"/>
      <c r="OG936" s="2"/>
      <c r="OH936" s="2"/>
      <c r="OI936" s="2"/>
      <c r="OJ936" s="2"/>
      <c r="OK936" s="2"/>
      <c r="OL936" s="2"/>
      <c r="OM936" s="2"/>
      <c r="ON936" s="2"/>
      <c r="OO936" s="2"/>
      <c r="OP936" s="2"/>
      <c r="OQ936" s="2"/>
      <c r="OR936" s="2"/>
      <c r="OS936" s="2"/>
      <c r="OT936" s="2"/>
      <c r="OU936" s="2"/>
      <c r="OV936" s="2"/>
      <c r="OW936" s="2"/>
      <c r="OX936" s="2"/>
      <c r="OY936" s="2"/>
      <c r="OZ936" s="2"/>
      <c r="PA936" s="2"/>
      <c r="PB936" s="2"/>
    </row>
    <row r="937" spans="1:418" ht="15.75" thickBot="1">
      <c r="A937" s="202"/>
      <c r="B937" s="89"/>
      <c r="C937" s="89"/>
      <c r="D937" s="147"/>
      <c r="E937" s="89"/>
      <c r="F937" s="147"/>
      <c r="G937" s="89"/>
      <c r="H937" s="89"/>
      <c r="I937" s="147"/>
      <c r="J937" s="147"/>
      <c r="K937" s="147"/>
      <c r="L937" s="89"/>
      <c r="M937" s="147"/>
      <c r="N937" s="89"/>
      <c r="O937" s="89"/>
      <c r="P937" s="89"/>
      <c r="Q937" s="89"/>
      <c r="R937" s="89"/>
      <c r="S937" s="89"/>
      <c r="T937" s="89"/>
      <c r="X937" s="3"/>
      <c r="AA937" s="3"/>
      <c r="AB937" s="3"/>
      <c r="AC937" s="3"/>
      <c r="AG937" s="3"/>
      <c r="AJ937" s="3"/>
      <c r="AK937" s="3"/>
      <c r="AL937" s="3"/>
      <c r="AP937" s="3"/>
      <c r="AS937" s="3"/>
      <c r="AT937" s="3"/>
      <c r="AU937" s="3"/>
      <c r="AV937" s="89"/>
      <c r="AW937" s="89"/>
      <c r="AX937" s="89"/>
      <c r="AY937" s="89"/>
      <c r="AZ937" s="89"/>
      <c r="BA937" s="89"/>
      <c r="BB937" s="89"/>
      <c r="BC937" s="89"/>
      <c r="BD937" s="89"/>
      <c r="BE937" s="89"/>
      <c r="BF937" s="89"/>
      <c r="BG937" s="89"/>
      <c r="BH937" s="89"/>
      <c r="BI937" s="89"/>
      <c r="BJ937" s="147"/>
      <c r="BK937" s="170"/>
      <c r="BL937" s="89"/>
      <c r="BM937" s="89"/>
      <c r="BN937" s="89"/>
      <c r="BO937" s="89"/>
      <c r="BP937" s="89"/>
      <c r="BQ937" s="89"/>
      <c r="BR937" s="89"/>
      <c r="BS937" s="89"/>
      <c r="BT937" s="89"/>
      <c r="BU937" s="89"/>
      <c r="BV937" s="89"/>
      <c r="EE937" s="89"/>
      <c r="EF937" s="89"/>
      <c r="EG937" s="89"/>
      <c r="EH937" s="89"/>
      <c r="EI937" s="89"/>
      <c r="EJ937" s="89"/>
      <c r="EK937" s="89"/>
      <c r="EL937" s="89"/>
      <c r="EM937" s="9"/>
      <c r="EN937" s="9"/>
      <c r="EO937" s="9"/>
      <c r="EP937" s="9"/>
      <c r="EQ937" s="9"/>
      <c r="ER937" s="9"/>
      <c r="ES937" s="9"/>
      <c r="ET937" s="9"/>
      <c r="EU937" s="9"/>
      <c r="EV937" s="9"/>
      <c r="EW937" s="9"/>
      <c r="EX937" s="9"/>
      <c r="EY937" s="9"/>
      <c r="EZ937" s="9"/>
      <c r="FA937" s="9"/>
      <c r="FB937" s="9"/>
      <c r="FC937" s="9"/>
      <c r="FD937" s="9"/>
      <c r="FE937" s="9"/>
      <c r="FF937" s="9"/>
      <c r="FG937" s="9"/>
      <c r="FH937" s="9"/>
      <c r="FI937" s="9"/>
      <c r="FJ937" s="9"/>
      <c r="FK937" s="9"/>
      <c r="FL937" s="9"/>
      <c r="FM937" s="9"/>
      <c r="FN937" s="9"/>
      <c r="FO937" s="9"/>
      <c r="FP937" s="9"/>
      <c r="FQ937" s="9"/>
      <c r="FR937" s="9"/>
      <c r="FS937" s="9"/>
      <c r="FT937" s="9"/>
      <c r="FU937" s="9"/>
      <c r="FV937" s="9"/>
      <c r="FW937" s="9"/>
      <c r="FX937" s="9"/>
      <c r="FY937" s="9"/>
      <c r="FZ937" s="9"/>
      <c r="GA937" s="9"/>
      <c r="GB937" s="9"/>
      <c r="GC937" s="9"/>
      <c r="GD937" s="9"/>
      <c r="GE937" s="9"/>
      <c r="GF937" s="9"/>
      <c r="GG937" s="9"/>
      <c r="GH937" s="9"/>
      <c r="GI937" s="9"/>
      <c r="GJ937" s="9"/>
      <c r="GK937" s="9"/>
      <c r="GL937" s="9"/>
      <c r="GM937" s="9"/>
      <c r="GN937" s="9"/>
      <c r="GO937" s="9"/>
      <c r="GP937" s="9"/>
      <c r="GQ937" s="9"/>
      <c r="GR937" s="9"/>
      <c r="GS937" s="9"/>
      <c r="GT937" s="9"/>
      <c r="GU937" s="9"/>
      <c r="GV937" s="9"/>
      <c r="GW937" s="9"/>
      <c r="GX937" s="9"/>
      <c r="GY937" s="9"/>
      <c r="GZ937" s="9"/>
      <c r="HA937" s="9"/>
      <c r="HB937" s="9"/>
      <c r="HC937" s="9"/>
      <c r="HD937" s="9"/>
      <c r="HE937" s="9"/>
      <c r="HF937" s="9"/>
      <c r="HG937" s="9"/>
      <c r="HH937" s="9"/>
      <c r="HI937" s="9"/>
      <c r="HJ937" s="9"/>
      <c r="HK937" s="9"/>
      <c r="HL937" s="89"/>
      <c r="HM937" s="89"/>
      <c r="HN937" s="89"/>
      <c r="HO937" s="89"/>
      <c r="HP937" s="89"/>
      <c r="HQ937" s="89"/>
      <c r="HR937" s="89"/>
      <c r="HS937" s="89"/>
      <c r="HT937" s="147"/>
      <c r="HU937" s="89"/>
      <c r="HV937" s="89"/>
      <c r="HW937" s="89"/>
      <c r="HX937" s="89"/>
      <c r="HY937" s="89"/>
      <c r="HZ937" s="89"/>
      <c r="IA937" s="89"/>
      <c r="IB937" s="89"/>
      <c r="IC937" s="89"/>
      <c r="ID937" s="89"/>
      <c r="IE937" s="89"/>
      <c r="IF937" s="89"/>
      <c r="IG937" s="89"/>
      <c r="IH937" s="89"/>
      <c r="II937" s="89"/>
      <c r="IJ937" s="89"/>
      <c r="IK937" s="89"/>
      <c r="IL937" s="89"/>
      <c r="IM937" s="89"/>
      <c r="IN937" s="89"/>
      <c r="IO937" s="89"/>
      <c r="IP937" s="89"/>
      <c r="IQ937" s="89"/>
      <c r="IR937" s="152"/>
      <c r="IS937" s="173"/>
      <c r="IT937" s="89"/>
      <c r="IU937" s="89"/>
      <c r="IV937" s="89"/>
      <c r="IW937" s="147"/>
      <c r="IX937" s="89"/>
      <c r="IY937" s="89"/>
      <c r="IZ937" s="89"/>
      <c r="JA937" s="89"/>
      <c r="JB937" s="89"/>
      <c r="JC937" s="89"/>
      <c r="JD937" s="89"/>
      <c r="JE937" s="89"/>
      <c r="JF937" s="89"/>
      <c r="JG937" s="89"/>
      <c r="JH937" s="89"/>
      <c r="JI937" s="89"/>
      <c r="JJ937" s="89"/>
      <c r="JK937" s="89"/>
      <c r="JL937" s="89"/>
      <c r="JM937" s="89"/>
      <c r="JN937" s="200"/>
      <c r="JO937" s="173"/>
      <c r="JP937" s="2"/>
      <c r="JQ937" s="89"/>
      <c r="JR937" s="89"/>
      <c r="JS937" s="147"/>
      <c r="JT937" s="89"/>
      <c r="JU937" s="89"/>
      <c r="JV937" s="89"/>
      <c r="JW937" s="89"/>
      <c r="JX937" s="89"/>
      <c r="JY937" s="89"/>
      <c r="JZ937" s="89"/>
      <c r="KA937" s="89"/>
      <c r="KB937" s="89"/>
      <c r="KC937" s="89"/>
      <c r="KD937" s="89"/>
      <c r="KE937" s="89"/>
      <c r="KF937" s="89"/>
      <c r="KG937" s="89"/>
      <c r="KH937" s="89"/>
      <c r="KI937" s="152"/>
      <c r="KJ937" s="173"/>
      <c r="KK937" s="89"/>
      <c r="KL937" s="89"/>
      <c r="KM937" s="89"/>
      <c r="KN937" s="89"/>
      <c r="KO937" s="89"/>
      <c r="KP937" s="89"/>
      <c r="KQ937" s="152"/>
      <c r="KR937" s="173"/>
      <c r="KS937" s="89"/>
      <c r="KT937" s="89"/>
      <c r="KU937" s="89"/>
      <c r="KV937" s="89"/>
      <c r="KW937" s="89"/>
      <c r="KX937" s="89"/>
      <c r="KY937" s="89"/>
      <c r="LG937" s="89"/>
      <c r="LH937" s="89"/>
      <c r="LI937" s="89"/>
      <c r="LJ937" s="89"/>
      <c r="LK937" s="89"/>
      <c r="LL937" s="89"/>
      <c r="LM937" s="89"/>
      <c r="LN937" s="89"/>
      <c r="LO937" s="89"/>
      <c r="LP937" s="89"/>
      <c r="LQ937" s="89"/>
      <c r="LR937" s="89"/>
      <c r="LS937" s="89"/>
      <c r="LT937" s="89"/>
      <c r="LU937" s="89"/>
      <c r="LV937" s="89"/>
      <c r="LW937" s="89"/>
      <c r="LX937" s="89"/>
      <c r="LY937" s="89"/>
      <c r="LZ937" s="89"/>
      <c r="MA937" s="89"/>
      <c r="MB937" s="89"/>
      <c r="MC937" s="89"/>
      <c r="MD937" s="89"/>
      <c r="ME937" s="89"/>
      <c r="MF937" s="89"/>
      <c r="MG937" s="89"/>
      <c r="MH937" s="89"/>
      <c r="MI937" s="89"/>
      <c r="MJ937" s="89"/>
      <c r="MK937" s="89"/>
      <c r="ML937" s="89"/>
      <c r="MM937" s="89"/>
      <c r="MN937" s="89"/>
      <c r="MO937" s="89"/>
      <c r="MP937" s="89"/>
      <c r="MQ937" s="89"/>
      <c r="MR937" s="89"/>
      <c r="MS937" s="89"/>
      <c r="MT937" s="89"/>
      <c r="MU937" s="89"/>
      <c r="MV937" s="89"/>
      <c r="MW937" s="89"/>
      <c r="MX937" s="89"/>
      <c r="MY937" s="89"/>
      <c r="MZ937" s="89"/>
      <c r="NA937" s="89"/>
      <c r="NB937" s="89"/>
      <c r="NC937" s="89"/>
      <c r="ND937" s="89"/>
      <c r="NE937" s="89"/>
      <c r="NF937" s="89"/>
      <c r="NG937" s="89"/>
      <c r="NH937" s="89"/>
      <c r="NI937" s="89"/>
      <c r="NJ937" s="89"/>
      <c r="NK937" s="89"/>
      <c r="NL937" s="89"/>
      <c r="NM937" s="89"/>
      <c r="NN937" s="89"/>
      <c r="NO937" s="147"/>
      <c r="NP937" s="199"/>
      <c r="NQ937" s="89"/>
      <c r="NR937" s="89"/>
      <c r="NS937" s="89"/>
      <c r="NT937" s="89"/>
      <c r="NU937" s="89"/>
      <c r="NV937" s="89"/>
      <c r="NW937" s="89"/>
      <c r="NX937" s="89"/>
      <c r="NY937" s="89"/>
      <c r="NZ937" s="89"/>
      <c r="OA937" s="147"/>
      <c r="OB937" s="97"/>
      <c r="OC937" s="89"/>
      <c r="OD937" s="89"/>
      <c r="OE937" s="89"/>
      <c r="OF937" s="89"/>
      <c r="OG937" s="89"/>
      <c r="OH937" s="89"/>
      <c r="OI937" s="89"/>
      <c r="OJ937" s="89"/>
      <c r="OK937" s="89"/>
      <c r="OL937" s="89"/>
      <c r="OM937" s="89"/>
      <c r="ON937" s="89"/>
      <c r="OO937" s="89"/>
      <c r="OP937" s="89"/>
      <c r="OQ937" s="89"/>
      <c r="OR937" s="89"/>
      <c r="OS937" s="89"/>
      <c r="OT937" s="89"/>
      <c r="OU937" s="89"/>
      <c r="OV937" s="89"/>
      <c r="OW937" s="89"/>
      <c r="OX937" s="89"/>
      <c r="OY937" s="89"/>
      <c r="OZ937" s="89"/>
      <c r="PA937" s="89"/>
      <c r="PB937" s="89"/>
    </row>
    <row r="938" spans="1:418" ht="15.75" thickBot="1">
      <c r="A938" s="204"/>
      <c r="B938" s="2"/>
      <c r="C938" s="2"/>
      <c r="D938" s="99"/>
      <c r="E938" s="2"/>
      <c r="F938" s="147"/>
      <c r="G938" s="2"/>
      <c r="H938" s="2"/>
      <c r="I938" s="147"/>
      <c r="J938" s="147"/>
      <c r="K938" s="147"/>
      <c r="L938" s="2"/>
      <c r="M938" s="99"/>
      <c r="N938" s="2"/>
      <c r="O938" s="89"/>
      <c r="P938" s="2"/>
      <c r="Q938" s="2"/>
      <c r="R938" s="89"/>
      <c r="S938" s="89"/>
      <c r="T938" s="89"/>
      <c r="X938" s="3"/>
      <c r="AA938" s="3"/>
      <c r="AB938" s="3"/>
      <c r="AC938" s="3"/>
      <c r="AG938" s="3"/>
      <c r="AJ938" s="3"/>
      <c r="AK938" s="3"/>
      <c r="AL938" s="3"/>
      <c r="AP938" s="3"/>
      <c r="AS938" s="3"/>
      <c r="AT938" s="3"/>
      <c r="AU938" s="3"/>
      <c r="AV938" s="2"/>
      <c r="AW938" s="2"/>
      <c r="AX938" s="2"/>
      <c r="AY938" s="2"/>
      <c r="AZ938" s="2"/>
      <c r="BA938" s="2"/>
      <c r="BB938" s="2"/>
      <c r="BC938" s="2"/>
      <c r="BD938" s="2"/>
      <c r="BE938" s="2"/>
      <c r="BF938" s="2"/>
      <c r="BG938" s="2"/>
      <c r="BH938" s="2"/>
      <c r="BI938" s="2"/>
      <c r="BJ938" s="99"/>
      <c r="BK938" s="205"/>
      <c r="BL938" s="2"/>
      <c r="BM938" s="2"/>
      <c r="BN938" s="2"/>
      <c r="BO938" s="2"/>
      <c r="BP938" s="2"/>
      <c r="BQ938" s="2"/>
      <c r="BR938" s="2"/>
      <c r="BS938" s="2"/>
      <c r="BT938" s="2"/>
      <c r="BU938" s="2"/>
      <c r="BV938" s="2"/>
      <c r="EE938" s="2"/>
      <c r="EF938" s="2"/>
      <c r="EG938" s="2"/>
      <c r="EH938" s="2"/>
      <c r="EI938" s="2"/>
      <c r="EJ938" s="2"/>
      <c r="EK938" s="2"/>
      <c r="EL938" s="2"/>
      <c r="EM938" s="9"/>
      <c r="EN938" s="9"/>
      <c r="EO938" s="9"/>
      <c r="EP938" s="9"/>
      <c r="EQ938" s="9"/>
      <c r="ER938" s="9"/>
      <c r="ES938" s="9"/>
      <c r="ET938" s="9"/>
      <c r="EU938" s="9"/>
      <c r="EV938" s="9"/>
      <c r="EW938" s="9"/>
      <c r="EX938" s="9"/>
      <c r="EY938" s="9"/>
      <c r="EZ938" s="9"/>
      <c r="FA938" s="9"/>
      <c r="FB938" s="9"/>
      <c r="FC938" s="9"/>
      <c r="FD938" s="9"/>
      <c r="FE938" s="9"/>
      <c r="FF938" s="9"/>
      <c r="FG938" s="9"/>
      <c r="FH938" s="9"/>
      <c r="FI938" s="9"/>
      <c r="FJ938" s="9"/>
      <c r="FK938" s="9"/>
      <c r="FL938" s="9"/>
      <c r="FM938" s="9"/>
      <c r="FN938" s="9"/>
      <c r="FO938" s="9"/>
      <c r="FP938" s="9"/>
      <c r="FQ938" s="9"/>
      <c r="FR938" s="9"/>
      <c r="FS938" s="9"/>
      <c r="FT938" s="9"/>
      <c r="FU938" s="9"/>
      <c r="FV938" s="9"/>
      <c r="FW938" s="9"/>
      <c r="FX938" s="9"/>
      <c r="FY938" s="9"/>
      <c r="FZ938" s="9"/>
      <c r="GA938" s="9"/>
      <c r="GB938" s="9"/>
      <c r="GC938" s="9"/>
      <c r="GD938" s="9"/>
      <c r="GE938" s="9"/>
      <c r="GF938" s="9"/>
      <c r="GG938" s="9"/>
      <c r="GH938" s="9"/>
      <c r="GI938" s="9"/>
      <c r="GJ938" s="9"/>
      <c r="GK938" s="9"/>
      <c r="GL938" s="9"/>
      <c r="GM938" s="9"/>
      <c r="GN938" s="9"/>
      <c r="GO938" s="9"/>
      <c r="GP938" s="9"/>
      <c r="GQ938" s="9"/>
      <c r="GR938" s="9"/>
      <c r="GS938" s="9"/>
      <c r="GT938" s="9"/>
      <c r="GU938" s="9"/>
      <c r="GV938" s="9"/>
      <c r="GW938" s="9"/>
      <c r="GX938" s="9"/>
      <c r="GY938" s="9"/>
      <c r="GZ938" s="9"/>
      <c r="HA938" s="9"/>
      <c r="HB938" s="9"/>
      <c r="HC938" s="9"/>
      <c r="HD938" s="9"/>
      <c r="HE938" s="9"/>
      <c r="HF938" s="9"/>
      <c r="HG938" s="9"/>
      <c r="HH938" s="9"/>
      <c r="HI938" s="9"/>
      <c r="HJ938" s="9"/>
      <c r="HK938" s="9"/>
      <c r="HL938" s="2"/>
      <c r="HM938" s="2"/>
      <c r="HN938" s="2"/>
      <c r="HO938" s="2"/>
      <c r="HP938" s="2"/>
      <c r="HQ938" s="2"/>
      <c r="HR938" s="2"/>
      <c r="HS938" s="2"/>
      <c r="HT938" s="99"/>
      <c r="HU938" s="2"/>
      <c r="HV938" s="2"/>
      <c r="HW938" s="2"/>
      <c r="HX938" s="2"/>
      <c r="HY938" s="2"/>
      <c r="HZ938" s="2"/>
      <c r="IA938" s="2"/>
      <c r="IB938" s="2"/>
      <c r="IC938" s="2"/>
      <c r="ID938" s="2"/>
      <c r="IE938" s="2"/>
      <c r="IF938" s="2"/>
      <c r="IG938" s="2"/>
      <c r="IH938" s="2"/>
      <c r="II938" s="2"/>
      <c r="IJ938" s="2"/>
      <c r="IK938" s="2"/>
      <c r="IL938" s="2"/>
      <c r="IM938" s="2"/>
      <c r="IN938" s="2"/>
      <c r="IO938" s="2"/>
      <c r="IP938" s="2"/>
      <c r="IQ938" s="2"/>
      <c r="IR938" s="163"/>
      <c r="IS938" s="167"/>
      <c r="IT938" s="2"/>
      <c r="IU938" s="2"/>
      <c r="IV938" s="2"/>
      <c r="IW938" s="99"/>
      <c r="IX938" s="2"/>
      <c r="IY938" s="2"/>
      <c r="IZ938" s="2"/>
      <c r="JA938" s="2"/>
      <c r="JB938" s="2"/>
      <c r="JC938" s="2"/>
      <c r="JD938" s="2"/>
      <c r="JE938" s="2"/>
      <c r="JF938" s="2"/>
      <c r="JG938" s="2"/>
      <c r="JH938" s="2"/>
      <c r="JI938" s="2"/>
      <c r="JJ938" s="2"/>
      <c r="JK938" s="2"/>
      <c r="JL938" s="2"/>
      <c r="JM938" s="2"/>
      <c r="JN938" s="207"/>
      <c r="JO938" s="166"/>
      <c r="JP938" s="2"/>
      <c r="JQ938" s="2"/>
      <c r="JR938" s="2"/>
      <c r="JS938" s="99"/>
      <c r="JT938" s="2"/>
      <c r="JU938" s="2"/>
      <c r="JV938" s="2"/>
      <c r="JW938" s="2"/>
      <c r="JX938" s="2"/>
      <c r="JY938" s="2"/>
      <c r="JZ938" s="2"/>
      <c r="KA938" s="2"/>
      <c r="KB938" s="2"/>
      <c r="KC938" s="2"/>
      <c r="KD938" s="2"/>
      <c r="KE938" s="2"/>
      <c r="KF938" s="2"/>
      <c r="KG938" s="2"/>
      <c r="KH938" s="2"/>
      <c r="KI938" s="163"/>
      <c r="KJ938" s="167"/>
      <c r="KK938" s="2"/>
      <c r="KL938" s="2"/>
      <c r="KM938" s="2"/>
      <c r="KN938" s="2"/>
      <c r="KO938" s="2"/>
      <c r="KP938" s="2"/>
      <c r="KQ938" s="163"/>
      <c r="KR938" s="167"/>
      <c r="KS938" s="2"/>
      <c r="KT938" s="2"/>
      <c r="KU938" s="2"/>
      <c r="KV938" s="2"/>
      <c r="KW938" s="2"/>
      <c r="KX938" s="2"/>
      <c r="KY938" s="2"/>
      <c r="LG938" s="2"/>
      <c r="LH938" s="2"/>
      <c r="LI938" s="2"/>
      <c r="LJ938" s="2"/>
      <c r="LK938" s="2"/>
      <c r="LL938" s="2"/>
      <c r="LM938" s="2"/>
      <c r="LN938" s="2"/>
      <c r="LO938" s="2"/>
      <c r="LP938" s="2"/>
      <c r="LQ938" s="2"/>
      <c r="LR938" s="2"/>
      <c r="LS938" s="2"/>
      <c r="LT938" s="2"/>
      <c r="LU938" s="2"/>
      <c r="LV938" s="2"/>
      <c r="LW938" s="2"/>
      <c r="LX938" s="2"/>
      <c r="LY938" s="2"/>
      <c r="LZ938" s="2"/>
      <c r="MA938" s="2"/>
      <c r="MB938" s="2"/>
      <c r="MC938" s="2"/>
      <c r="MD938" s="2"/>
      <c r="ME938" s="2"/>
      <c r="MF938" s="2"/>
      <c r="MG938" s="2"/>
      <c r="MH938" s="2"/>
      <c r="MI938" s="2"/>
      <c r="MJ938" s="2"/>
      <c r="MK938" s="2"/>
      <c r="ML938" s="2"/>
      <c r="MM938" s="2"/>
      <c r="MN938" s="2"/>
      <c r="MO938" s="2"/>
      <c r="MP938" s="2"/>
      <c r="MQ938" s="2"/>
      <c r="MR938" s="2"/>
      <c r="MS938" s="2"/>
      <c r="MT938" s="2"/>
      <c r="MU938" s="2"/>
      <c r="MV938" s="2"/>
      <c r="MW938" s="2"/>
      <c r="MX938" s="2"/>
      <c r="MY938" s="2"/>
      <c r="MZ938" s="2"/>
      <c r="NA938" s="2"/>
      <c r="NB938" s="2"/>
      <c r="NC938" s="2"/>
      <c r="ND938" s="2"/>
      <c r="NE938" s="2"/>
      <c r="NF938" s="2"/>
      <c r="NG938" s="2"/>
      <c r="NH938" s="2"/>
      <c r="NI938" s="2"/>
      <c r="NJ938" s="2"/>
      <c r="NK938" s="2"/>
      <c r="NL938" s="2"/>
      <c r="NM938" s="2"/>
      <c r="NN938" s="2"/>
      <c r="NO938" s="99"/>
      <c r="NP938" s="203"/>
      <c r="NQ938" s="2"/>
      <c r="NR938" s="2"/>
      <c r="NS938" s="2"/>
      <c r="NT938" s="2"/>
      <c r="NU938" s="2"/>
      <c r="NV938" s="2"/>
      <c r="NW938" s="2"/>
      <c r="NX938" s="2"/>
      <c r="NY938" s="2"/>
      <c r="NZ938" s="2"/>
      <c r="OA938" s="99"/>
      <c r="OB938" s="168"/>
      <c r="OC938" s="2"/>
      <c r="OD938" s="2"/>
      <c r="OE938" s="2"/>
      <c r="OF938" s="2"/>
      <c r="OG938" s="2"/>
      <c r="OH938" s="2"/>
      <c r="OI938" s="2"/>
      <c r="OJ938" s="2"/>
      <c r="OK938" s="2"/>
      <c r="OL938" s="2"/>
      <c r="OM938" s="2"/>
      <c r="ON938" s="2"/>
      <c r="OO938" s="2"/>
      <c r="OP938" s="2"/>
      <c r="OQ938" s="2"/>
      <c r="OR938" s="2"/>
      <c r="OS938" s="2"/>
      <c r="OT938" s="2"/>
      <c r="OU938" s="2"/>
      <c r="OV938" s="2"/>
      <c r="OW938" s="2"/>
      <c r="OX938" s="2"/>
      <c r="OY938" s="2"/>
      <c r="OZ938" s="2"/>
      <c r="PA938" s="2"/>
      <c r="PB938" s="2"/>
    </row>
    <row r="939" spans="1:418" ht="15.75" thickBot="1">
      <c r="A939" s="202"/>
      <c r="B939" s="89"/>
      <c r="C939" s="89"/>
      <c r="D939" s="147"/>
      <c r="E939" s="89"/>
      <c r="F939" s="147"/>
      <c r="G939" s="89"/>
      <c r="H939" s="89"/>
      <c r="I939" s="147"/>
      <c r="J939" s="147"/>
      <c r="K939" s="147"/>
      <c r="L939" s="89"/>
      <c r="M939" s="147"/>
      <c r="N939" s="89"/>
      <c r="O939" s="89"/>
      <c r="P939" s="89"/>
      <c r="Q939" s="89"/>
      <c r="R939" s="89"/>
      <c r="S939" s="89"/>
      <c r="T939" s="89"/>
      <c r="X939" s="3"/>
      <c r="AA939" s="3"/>
      <c r="AB939" s="3"/>
      <c r="AC939" s="3"/>
      <c r="AG939" s="3"/>
      <c r="AJ939" s="3"/>
      <c r="AK939" s="3"/>
      <c r="AL939" s="3"/>
      <c r="AP939" s="3"/>
      <c r="AS939" s="3"/>
      <c r="AT939" s="3"/>
      <c r="AU939" s="3"/>
      <c r="AV939" s="89"/>
      <c r="AW939" s="89"/>
      <c r="AX939" s="89"/>
      <c r="AY939" s="89"/>
      <c r="AZ939" s="89"/>
      <c r="BA939" s="89"/>
      <c r="BB939" s="89"/>
      <c r="BC939" s="89"/>
      <c r="BD939" s="89"/>
      <c r="BE939" s="89"/>
      <c r="BF939" s="89"/>
      <c r="BG939" s="89"/>
      <c r="BH939" s="89"/>
      <c r="BI939" s="89"/>
      <c r="BJ939" s="147"/>
      <c r="BK939" s="170"/>
      <c r="BL939" s="89"/>
      <c r="BM939" s="89"/>
      <c r="BN939" s="89"/>
      <c r="BO939" s="89"/>
      <c r="BP939" s="89"/>
      <c r="BQ939" s="89"/>
      <c r="BR939" s="89"/>
      <c r="BS939" s="89"/>
      <c r="BT939" s="89"/>
      <c r="BU939" s="89"/>
      <c r="BV939" s="89"/>
      <c r="EE939" s="89"/>
      <c r="EF939" s="147"/>
      <c r="EG939" s="170"/>
      <c r="EH939" s="170"/>
      <c r="EI939" s="170"/>
      <c r="EJ939" s="170"/>
      <c r="EK939" s="170"/>
      <c r="EL939" s="170"/>
      <c r="HL939" s="89"/>
      <c r="HM939" s="89"/>
      <c r="HN939" s="89"/>
      <c r="HO939" s="89"/>
      <c r="HP939" s="89"/>
      <c r="HQ939" s="89"/>
      <c r="HR939" s="89"/>
      <c r="HS939" s="89"/>
      <c r="HT939" s="147"/>
      <c r="HU939" s="89"/>
      <c r="HV939" s="89"/>
      <c r="HW939" s="89"/>
      <c r="HX939" s="89"/>
      <c r="HY939" s="89"/>
      <c r="HZ939" s="89"/>
      <c r="IA939" s="89"/>
      <c r="IB939" s="89"/>
      <c r="IC939" s="89"/>
      <c r="ID939" s="89"/>
      <c r="IE939" s="89"/>
      <c r="IF939" s="89"/>
      <c r="IG939" s="89"/>
      <c r="IH939" s="89"/>
      <c r="II939" s="89"/>
      <c r="IJ939" s="89"/>
      <c r="IK939" s="89"/>
      <c r="IL939" s="89"/>
      <c r="IM939" s="89"/>
      <c r="IN939" s="89"/>
      <c r="IO939" s="89"/>
      <c r="IP939" s="147"/>
      <c r="IQ939" s="89"/>
      <c r="IR939" s="152"/>
      <c r="IS939" s="173"/>
      <c r="IT939" s="89"/>
      <c r="IU939" s="89"/>
      <c r="IV939" s="89"/>
      <c r="IW939" s="147"/>
      <c r="IX939" s="89"/>
      <c r="IY939" s="201"/>
      <c r="IZ939" s="173"/>
      <c r="JA939" s="89"/>
      <c r="JB939" s="89"/>
      <c r="JC939" s="89"/>
      <c r="JD939" s="89"/>
      <c r="JE939" s="89"/>
      <c r="JF939" s="89"/>
      <c r="JG939" s="89"/>
      <c r="JH939" s="89"/>
      <c r="JI939" s="89"/>
      <c r="JJ939" s="89"/>
      <c r="JK939" s="89"/>
      <c r="JL939" s="89"/>
      <c r="JM939" s="89"/>
      <c r="JN939" s="200"/>
      <c r="JO939" s="173"/>
      <c r="JP939" s="2"/>
      <c r="JQ939" s="89"/>
      <c r="JR939" s="89"/>
      <c r="JS939" s="147"/>
      <c r="JT939" s="89"/>
      <c r="JU939" s="89"/>
      <c r="JV939" s="89"/>
      <c r="JW939" s="89"/>
      <c r="JX939" s="89"/>
      <c r="JY939" s="89"/>
      <c r="JZ939" s="89"/>
      <c r="KA939" s="89"/>
      <c r="KB939" s="89"/>
      <c r="KC939" s="89"/>
      <c r="KD939" s="89"/>
      <c r="KE939" s="89"/>
      <c r="KF939" s="89"/>
      <c r="KG939" s="89"/>
      <c r="KH939" s="89"/>
      <c r="KI939" s="152"/>
      <c r="KJ939" s="173"/>
      <c r="KK939" s="89"/>
      <c r="KL939" s="89"/>
      <c r="KM939" s="89"/>
      <c r="KN939" s="89"/>
      <c r="KO939" s="89"/>
      <c r="KP939" s="89"/>
      <c r="KQ939" s="177"/>
      <c r="KR939" s="154"/>
      <c r="KS939" s="89"/>
      <c r="KT939" s="89"/>
      <c r="KU939" s="89"/>
      <c r="KV939" s="89"/>
      <c r="KW939" s="89"/>
      <c r="KX939" s="89"/>
      <c r="KY939" s="89"/>
      <c r="LG939" s="89"/>
      <c r="LH939" s="89"/>
      <c r="LI939" s="89"/>
      <c r="LJ939" s="89"/>
      <c r="LK939" s="89"/>
      <c r="LL939" s="89"/>
      <c r="LM939" s="89"/>
      <c r="LN939" s="89"/>
      <c r="LO939" s="89"/>
      <c r="LP939" s="89"/>
      <c r="LQ939" s="89"/>
      <c r="LR939" s="89"/>
      <c r="LS939" s="89"/>
      <c r="LT939" s="89"/>
      <c r="LU939" s="89"/>
      <c r="LV939" s="89"/>
      <c r="LW939" s="89"/>
      <c r="LX939" s="89"/>
      <c r="LY939" s="89"/>
      <c r="LZ939" s="89"/>
      <c r="MA939" s="89"/>
      <c r="MB939" s="89"/>
      <c r="MC939" s="89"/>
      <c r="MD939" s="89"/>
      <c r="ME939" s="89"/>
      <c r="MF939" s="89"/>
      <c r="MG939" s="89"/>
      <c r="MH939" s="89"/>
      <c r="MI939" s="89"/>
      <c r="MJ939" s="89"/>
      <c r="MK939" s="89"/>
      <c r="ML939" s="89"/>
      <c r="MM939" s="89"/>
      <c r="MN939" s="89"/>
      <c r="MO939" s="89"/>
      <c r="MP939" s="89"/>
      <c r="MQ939" s="89"/>
      <c r="MR939" s="89"/>
      <c r="MS939" s="89"/>
      <c r="MT939" s="89"/>
      <c r="MU939" s="89"/>
      <c r="MV939" s="89"/>
      <c r="MW939" s="89"/>
      <c r="MX939" s="89"/>
      <c r="MY939" s="89"/>
      <c r="MZ939" s="89"/>
      <c r="NA939" s="89"/>
      <c r="NB939" s="89"/>
      <c r="NC939" s="89"/>
      <c r="ND939" s="89"/>
      <c r="NE939" s="89"/>
      <c r="NF939" s="89"/>
      <c r="NG939" s="89"/>
      <c r="NH939" s="89"/>
      <c r="NI939" s="89"/>
      <c r="NJ939" s="89"/>
      <c r="NK939" s="89"/>
      <c r="NL939" s="89"/>
      <c r="NM939" s="89"/>
      <c r="NN939" s="89"/>
      <c r="NO939" s="147"/>
      <c r="NP939" s="199"/>
      <c r="NQ939" s="89"/>
      <c r="NR939" s="89"/>
      <c r="NS939" s="89"/>
      <c r="NT939" s="89"/>
      <c r="NU939" s="89"/>
      <c r="NV939" s="89"/>
      <c r="NW939" s="89"/>
      <c r="NX939" s="89"/>
      <c r="NY939" s="89"/>
      <c r="NZ939" s="89"/>
      <c r="OA939" s="147"/>
      <c r="OB939" s="97"/>
      <c r="OC939" s="89"/>
      <c r="OD939" s="89"/>
      <c r="OE939" s="89"/>
      <c r="OF939" s="89"/>
      <c r="OG939" s="89"/>
      <c r="OH939" s="89"/>
      <c r="OI939" s="89"/>
      <c r="OJ939" s="89"/>
      <c r="OK939" s="89"/>
      <c r="OL939" s="89"/>
      <c r="OM939" s="89"/>
      <c r="ON939" s="89"/>
      <c r="OO939" s="89"/>
      <c r="OP939" s="89"/>
      <c r="OQ939" s="89"/>
      <c r="OR939" s="89"/>
      <c r="OS939" s="89"/>
      <c r="OT939" s="89"/>
      <c r="OU939" s="89"/>
      <c r="OV939" s="89"/>
      <c r="OW939" s="89"/>
      <c r="OX939" s="89"/>
      <c r="OY939" s="89"/>
      <c r="OZ939" s="89"/>
      <c r="PA939" s="89"/>
      <c r="PB939" s="89"/>
    </row>
    <row r="940" spans="1:418" ht="15.75" thickBot="1">
      <c r="A940" s="204"/>
      <c r="B940" s="2"/>
      <c r="C940" s="2"/>
      <c r="D940" s="99"/>
      <c r="E940" s="2"/>
      <c r="F940" s="147"/>
      <c r="G940" s="2"/>
      <c r="H940" s="2"/>
      <c r="I940" s="147"/>
      <c r="J940" s="147"/>
      <c r="K940" s="147"/>
      <c r="L940" s="2"/>
      <c r="M940" s="99"/>
      <c r="N940" s="2"/>
      <c r="O940" s="89"/>
      <c r="P940" s="2"/>
      <c r="Q940" s="2"/>
      <c r="R940" s="89"/>
      <c r="S940" s="89"/>
      <c r="T940" s="89"/>
      <c r="X940" s="3"/>
      <c r="AA940" s="3"/>
      <c r="AB940" s="3"/>
      <c r="AC940" s="3"/>
      <c r="AG940" s="3"/>
      <c r="AJ940" s="3"/>
      <c r="AK940" s="3"/>
      <c r="AL940" s="3"/>
      <c r="AP940" s="3"/>
      <c r="AS940" s="3"/>
      <c r="AT940" s="3"/>
      <c r="AU940" s="3"/>
      <c r="AV940" s="2"/>
      <c r="AW940" s="2"/>
      <c r="AX940" s="2"/>
      <c r="AY940" s="2"/>
      <c r="AZ940" s="2"/>
      <c r="BA940" s="2"/>
      <c r="BB940" s="2"/>
      <c r="BC940" s="2"/>
      <c r="BD940" s="2"/>
      <c r="BE940" s="2"/>
      <c r="BF940" s="2"/>
      <c r="BG940" s="2"/>
      <c r="BH940" s="2"/>
      <c r="BI940" s="2"/>
      <c r="BJ940" s="99"/>
      <c r="BK940" s="205"/>
      <c r="BL940" s="2"/>
      <c r="BM940" s="2"/>
      <c r="BN940" s="2"/>
      <c r="BO940" s="2"/>
      <c r="BP940" s="2"/>
      <c r="BQ940" s="2"/>
      <c r="BR940" s="2"/>
      <c r="BS940" s="2"/>
      <c r="BT940" s="2"/>
      <c r="BU940" s="2"/>
      <c r="BV940" s="2"/>
      <c r="EE940" s="2"/>
      <c r="EF940" s="99"/>
      <c r="EG940" s="205"/>
      <c r="EH940" s="205"/>
      <c r="EI940" s="205"/>
      <c r="EJ940" s="205"/>
      <c r="EK940" s="205"/>
      <c r="EL940" s="205"/>
      <c r="HL940" s="2"/>
      <c r="HM940" s="2"/>
      <c r="HN940" s="2"/>
      <c r="HO940" s="2"/>
      <c r="HP940" s="2"/>
      <c r="HQ940" s="2"/>
      <c r="HR940" s="2"/>
      <c r="HS940" s="2"/>
      <c r="HT940" s="99"/>
      <c r="HU940" s="2"/>
      <c r="HV940" s="2"/>
      <c r="HW940" s="2"/>
      <c r="HX940" s="2"/>
      <c r="HY940" s="2"/>
      <c r="HZ940" s="2"/>
      <c r="IA940" s="2"/>
      <c r="IB940" s="2"/>
      <c r="IC940" s="2"/>
      <c r="ID940" s="2"/>
      <c r="IE940" s="2"/>
      <c r="IF940" s="2"/>
      <c r="IG940" s="2"/>
      <c r="IH940" s="2"/>
      <c r="II940" s="2"/>
      <c r="IJ940" s="2"/>
      <c r="IK940" s="2"/>
      <c r="IL940" s="2"/>
      <c r="IM940" s="2"/>
      <c r="IN940" s="2"/>
      <c r="IO940" s="2"/>
      <c r="IP940" s="99"/>
      <c r="IQ940" s="2"/>
      <c r="IR940" s="163"/>
      <c r="IS940" s="167"/>
      <c r="IT940" s="2"/>
      <c r="IU940" s="2"/>
      <c r="IV940" s="2"/>
      <c r="IW940" s="99"/>
      <c r="IX940" s="2"/>
      <c r="IY940" s="206"/>
      <c r="IZ940" s="167"/>
      <c r="JA940" s="2"/>
      <c r="JB940" s="2"/>
      <c r="JC940" s="2"/>
      <c r="JD940" s="2"/>
      <c r="JE940" s="2"/>
      <c r="JF940" s="2"/>
      <c r="JG940" s="2"/>
      <c r="JH940" s="2"/>
      <c r="JI940" s="2"/>
      <c r="JJ940" s="2"/>
      <c r="JK940" s="2"/>
      <c r="JL940" s="2"/>
      <c r="JM940" s="2"/>
      <c r="JN940" s="200"/>
      <c r="JO940" s="167"/>
      <c r="JP940" s="2"/>
      <c r="JQ940" s="2"/>
      <c r="JR940" s="2"/>
      <c r="JS940" s="99"/>
      <c r="JT940" s="2"/>
      <c r="JU940" s="2"/>
      <c r="JV940" s="2"/>
      <c r="JW940" s="2"/>
      <c r="JX940" s="2"/>
      <c r="JY940" s="2"/>
      <c r="JZ940" s="2"/>
      <c r="KA940" s="2"/>
      <c r="KB940" s="2"/>
      <c r="KC940" s="2"/>
      <c r="KD940" s="2"/>
      <c r="KE940" s="2"/>
      <c r="KF940" s="2"/>
      <c r="KG940" s="2"/>
      <c r="KH940" s="2"/>
      <c r="KI940" s="163"/>
      <c r="KJ940" s="167"/>
      <c r="KK940" s="2"/>
      <c r="KL940" s="2"/>
      <c r="KM940" s="2"/>
      <c r="KN940" s="2"/>
      <c r="KO940" s="2"/>
      <c r="KP940" s="2"/>
      <c r="KQ940" s="177"/>
      <c r="KR940" s="166"/>
      <c r="KS940" s="2"/>
      <c r="KT940" s="2"/>
      <c r="KU940" s="2"/>
      <c r="KV940" s="2"/>
      <c r="KW940" s="2"/>
      <c r="KX940" s="2"/>
      <c r="KY940" s="2"/>
      <c r="LG940" s="2"/>
      <c r="LH940" s="2"/>
      <c r="LI940" s="2"/>
      <c r="LJ940" s="2"/>
      <c r="LK940" s="2"/>
      <c r="LL940" s="2"/>
      <c r="LM940" s="2"/>
      <c r="LN940" s="2"/>
      <c r="LO940" s="2"/>
      <c r="LP940" s="2"/>
      <c r="LQ940" s="2"/>
      <c r="LR940" s="2"/>
      <c r="LS940" s="2"/>
      <c r="LT940" s="2"/>
      <c r="LU940" s="2"/>
      <c r="LV940" s="2"/>
      <c r="LW940" s="2"/>
      <c r="LX940" s="2"/>
      <c r="LY940" s="2"/>
      <c r="LZ940" s="2"/>
      <c r="MA940" s="2"/>
      <c r="MB940" s="2"/>
      <c r="MC940" s="2"/>
      <c r="MD940" s="2"/>
      <c r="ME940" s="2"/>
      <c r="MF940" s="2"/>
      <c r="MG940" s="2"/>
      <c r="MH940" s="2"/>
      <c r="MI940" s="2"/>
      <c r="MJ940" s="2"/>
      <c r="MK940" s="2"/>
      <c r="ML940" s="2"/>
      <c r="MM940" s="2"/>
      <c r="MN940" s="2"/>
      <c r="MO940" s="2"/>
      <c r="MP940" s="2"/>
      <c r="MQ940" s="2"/>
      <c r="MR940" s="2"/>
      <c r="MS940" s="2"/>
      <c r="MT940" s="2"/>
      <c r="MU940" s="2"/>
      <c r="MV940" s="2"/>
      <c r="MW940" s="2"/>
      <c r="MX940" s="2"/>
      <c r="MY940" s="2"/>
      <c r="MZ940" s="2"/>
      <c r="NA940" s="2"/>
      <c r="NB940" s="2"/>
      <c r="NC940" s="2"/>
      <c r="ND940" s="2"/>
      <c r="NE940" s="2"/>
      <c r="NF940" s="2"/>
      <c r="NG940" s="2"/>
      <c r="NH940" s="2"/>
      <c r="NI940" s="2"/>
      <c r="NJ940" s="2"/>
      <c r="NK940" s="2"/>
      <c r="NL940" s="2"/>
      <c r="NM940" s="2"/>
      <c r="NN940" s="2"/>
      <c r="NO940" s="99"/>
      <c r="NP940" s="203"/>
      <c r="NQ940" s="2"/>
      <c r="NR940" s="2"/>
      <c r="NS940" s="2"/>
      <c r="NT940" s="2"/>
      <c r="NU940" s="2"/>
      <c r="NV940" s="2"/>
      <c r="NW940" s="2"/>
      <c r="NX940" s="2"/>
      <c r="NY940" s="2"/>
      <c r="NZ940" s="2"/>
      <c r="OA940" s="99"/>
      <c r="OB940" s="168"/>
      <c r="OC940" s="2"/>
      <c r="OD940" s="2"/>
      <c r="OE940" s="2"/>
      <c r="OF940" s="2"/>
      <c r="OG940" s="2"/>
      <c r="OH940" s="2"/>
      <c r="OI940" s="2"/>
      <c r="OJ940" s="2"/>
      <c r="OK940" s="2"/>
      <c r="OL940" s="2"/>
      <c r="OM940" s="2"/>
      <c r="ON940" s="2"/>
      <c r="OO940" s="2"/>
      <c r="OP940" s="2"/>
      <c r="OQ940" s="2"/>
      <c r="OR940" s="2"/>
      <c r="OS940" s="2"/>
      <c r="OT940" s="2"/>
      <c r="OU940" s="2"/>
      <c r="OV940" s="2"/>
      <c r="OW940" s="2"/>
      <c r="OX940" s="2"/>
      <c r="OY940" s="2"/>
      <c r="OZ940" s="2"/>
      <c r="PA940" s="2"/>
      <c r="PB940" s="2"/>
    </row>
    <row r="941" spans="1:418" ht="15.75" thickBot="1">
      <c r="A941" s="202"/>
      <c r="B941" s="89"/>
      <c r="C941" s="89"/>
      <c r="D941" s="147"/>
      <c r="E941" s="89"/>
      <c r="F941" s="147"/>
      <c r="G941" s="89"/>
      <c r="H941" s="89"/>
      <c r="I941" s="147"/>
      <c r="J941" s="147"/>
      <c r="K941" s="147"/>
      <c r="L941" s="89"/>
      <c r="M941" s="147"/>
      <c r="N941" s="89"/>
      <c r="O941" s="89"/>
      <c r="P941" s="89"/>
      <c r="Q941" s="89"/>
      <c r="R941" s="89"/>
      <c r="S941" s="89"/>
      <c r="T941" s="89"/>
      <c r="X941" s="3"/>
      <c r="AA941" s="3"/>
      <c r="AB941" s="3"/>
      <c r="AC941" s="3"/>
      <c r="AG941" s="3"/>
      <c r="AJ941" s="3"/>
      <c r="AK941" s="3"/>
      <c r="AL941" s="3"/>
      <c r="AP941" s="3"/>
      <c r="AS941" s="3"/>
      <c r="AT941" s="3"/>
      <c r="AU941" s="3"/>
      <c r="AV941" s="89"/>
      <c r="AW941" s="89"/>
      <c r="AX941" s="89"/>
      <c r="AY941" s="89"/>
      <c r="AZ941" s="89"/>
      <c r="BA941" s="89"/>
      <c r="BB941" s="89"/>
      <c r="BC941" s="89"/>
      <c r="BD941" s="89"/>
      <c r="BE941" s="89"/>
      <c r="BF941" s="89"/>
      <c r="BG941" s="89"/>
      <c r="BH941" s="89"/>
      <c r="BI941" s="89"/>
      <c r="BJ941" s="147"/>
      <c r="BK941" s="170"/>
      <c r="BL941" s="89"/>
      <c r="BM941" s="89"/>
      <c r="BN941" s="89"/>
      <c r="BO941" s="89"/>
      <c r="BP941" s="89"/>
      <c r="BQ941" s="89"/>
      <c r="BR941" s="89"/>
      <c r="BS941" s="89"/>
      <c r="BT941" s="89"/>
      <c r="BU941" s="89"/>
      <c r="BV941" s="89"/>
      <c r="EE941" s="89"/>
      <c r="EF941" s="147"/>
      <c r="EG941" s="170"/>
      <c r="EH941" s="170"/>
      <c r="EI941" s="170"/>
      <c r="EJ941" s="170"/>
      <c r="EK941" s="170"/>
      <c r="EL941" s="170"/>
      <c r="EM941" s="9"/>
      <c r="EN941" s="9"/>
      <c r="EO941" s="9"/>
      <c r="EP941" s="9"/>
      <c r="EQ941" s="9"/>
      <c r="ER941" s="9"/>
      <c r="ES941" s="9"/>
      <c r="ET941" s="9"/>
      <c r="EU941" s="9"/>
      <c r="EV941" s="9"/>
      <c r="EW941" s="9"/>
      <c r="EX941" s="9"/>
      <c r="EY941" s="9"/>
      <c r="EZ941" s="9"/>
      <c r="FA941" s="9"/>
      <c r="FB941" s="9"/>
      <c r="FC941" s="9"/>
      <c r="FD941" s="9"/>
      <c r="FE941" s="9"/>
      <c r="FF941" s="9"/>
      <c r="FG941" s="9"/>
      <c r="FH941" s="9"/>
      <c r="FI941" s="9"/>
      <c r="FJ941" s="9"/>
      <c r="FK941" s="9"/>
      <c r="FL941" s="9"/>
      <c r="FM941" s="9"/>
      <c r="FN941" s="9"/>
      <c r="FO941" s="9"/>
      <c r="FP941" s="9"/>
      <c r="FQ941" s="9"/>
      <c r="FR941" s="9"/>
      <c r="FS941" s="9"/>
      <c r="FT941" s="9"/>
      <c r="FU941" s="9"/>
      <c r="FV941" s="9"/>
      <c r="FW941" s="9"/>
      <c r="FX941" s="9"/>
      <c r="FY941" s="9"/>
      <c r="FZ941" s="9"/>
      <c r="GA941" s="9"/>
      <c r="GB941" s="9"/>
      <c r="GC941" s="9"/>
      <c r="GD941" s="9"/>
      <c r="GE941" s="9"/>
      <c r="GF941" s="9"/>
      <c r="GG941" s="9"/>
      <c r="GH941" s="9"/>
      <c r="GI941" s="9"/>
      <c r="GJ941" s="9"/>
      <c r="GK941" s="9"/>
      <c r="GL941" s="9"/>
      <c r="GM941" s="9"/>
      <c r="GN941" s="9"/>
      <c r="GO941" s="9"/>
      <c r="GP941" s="9"/>
      <c r="GQ941" s="9"/>
      <c r="GR941" s="9"/>
      <c r="GS941" s="9"/>
      <c r="GT941" s="9"/>
      <c r="GU941" s="9"/>
      <c r="GV941" s="9"/>
      <c r="GW941" s="9"/>
      <c r="GX941" s="9"/>
      <c r="GY941" s="9"/>
      <c r="GZ941" s="9"/>
      <c r="HA941" s="9"/>
      <c r="HB941" s="9"/>
      <c r="HC941" s="9"/>
      <c r="HD941" s="9"/>
      <c r="HE941" s="9"/>
      <c r="HF941" s="9"/>
      <c r="HG941" s="9"/>
      <c r="HH941" s="9"/>
      <c r="HI941" s="9"/>
      <c r="HJ941" s="9"/>
      <c r="HK941" s="9"/>
      <c r="HL941" s="89"/>
      <c r="HM941" s="89"/>
      <c r="HN941" s="89"/>
      <c r="HO941" s="89"/>
      <c r="HP941" s="89"/>
      <c r="HQ941" s="89"/>
      <c r="HR941" s="89"/>
      <c r="HS941" s="89"/>
      <c r="HT941" s="147"/>
      <c r="HU941" s="89"/>
      <c r="HV941" s="89"/>
      <c r="HW941" s="89"/>
      <c r="HX941" s="89"/>
      <c r="HY941" s="89"/>
      <c r="HZ941" s="89"/>
      <c r="IA941" s="89"/>
      <c r="IB941" s="89"/>
      <c r="IC941" s="89"/>
      <c r="ID941" s="89"/>
      <c r="IE941" s="89"/>
      <c r="IF941" s="89"/>
      <c r="IG941" s="89"/>
      <c r="IH941" s="89"/>
      <c r="II941" s="89"/>
      <c r="IJ941" s="89"/>
      <c r="IK941" s="89"/>
      <c r="IL941" s="89"/>
      <c r="IM941" s="89"/>
      <c r="IN941" s="89"/>
      <c r="IO941" s="89"/>
      <c r="IP941" s="89"/>
      <c r="IQ941" s="89"/>
      <c r="IR941" s="152"/>
      <c r="IS941" s="173"/>
      <c r="IT941" s="89"/>
      <c r="IU941" s="89"/>
      <c r="IV941" s="89"/>
      <c r="IW941" s="147"/>
      <c r="IX941" s="89"/>
      <c r="IY941" s="148"/>
      <c r="IZ941" s="89"/>
      <c r="JA941" s="89"/>
      <c r="JB941" s="89"/>
      <c r="JC941" s="89"/>
      <c r="JD941" s="89"/>
      <c r="JE941" s="89"/>
      <c r="JF941" s="89"/>
      <c r="JG941" s="89"/>
      <c r="JH941" s="89"/>
      <c r="JI941" s="89"/>
      <c r="JJ941" s="89"/>
      <c r="JK941" s="89"/>
      <c r="JL941" s="89"/>
      <c r="JM941" s="89"/>
      <c r="JN941" s="200"/>
      <c r="JO941" s="173"/>
      <c r="JP941" s="2"/>
      <c r="JQ941" s="89"/>
      <c r="JR941" s="89"/>
      <c r="JS941" s="147"/>
      <c r="JT941" s="89"/>
      <c r="JU941" s="89"/>
      <c r="JV941" s="89"/>
      <c r="JW941" s="89"/>
      <c r="JX941" s="89"/>
      <c r="JY941" s="89"/>
      <c r="JZ941" s="89"/>
      <c r="KA941" s="89"/>
      <c r="KB941" s="89"/>
      <c r="KC941" s="89"/>
      <c r="KD941" s="89"/>
      <c r="KE941" s="89"/>
      <c r="KF941" s="89"/>
      <c r="KG941" s="89"/>
      <c r="KH941" s="89"/>
      <c r="KI941" s="152"/>
      <c r="KJ941" s="173"/>
      <c r="KK941" s="89"/>
      <c r="KL941" s="89"/>
      <c r="KM941" s="89"/>
      <c r="KN941" s="89"/>
      <c r="KO941" s="89"/>
      <c r="KP941" s="89"/>
      <c r="KQ941" s="152"/>
      <c r="KR941" s="173"/>
      <c r="KS941" s="89"/>
      <c r="KT941" s="89"/>
      <c r="KU941" s="89"/>
      <c r="KV941" s="89"/>
      <c r="KW941" s="89"/>
      <c r="KX941" s="89"/>
      <c r="KY941" s="89"/>
      <c r="LG941" s="89"/>
      <c r="LH941" s="89"/>
      <c r="LI941" s="89"/>
      <c r="LJ941" s="89"/>
      <c r="LK941" s="89"/>
      <c r="LL941" s="89"/>
      <c r="LM941" s="89"/>
      <c r="LN941" s="89"/>
      <c r="LO941" s="89"/>
      <c r="LP941" s="89"/>
      <c r="LQ941" s="89"/>
      <c r="LR941" s="89"/>
      <c r="LS941" s="89"/>
      <c r="LT941" s="89"/>
      <c r="LU941" s="89"/>
      <c r="LV941" s="89"/>
      <c r="LW941" s="89"/>
      <c r="LX941" s="89"/>
      <c r="LY941" s="89"/>
      <c r="LZ941" s="89"/>
      <c r="MA941" s="89"/>
      <c r="MB941" s="89"/>
      <c r="MC941" s="89"/>
      <c r="MD941" s="89"/>
      <c r="ME941" s="89"/>
      <c r="MF941" s="89"/>
      <c r="MG941" s="89"/>
      <c r="MH941" s="89"/>
      <c r="MI941" s="89"/>
      <c r="MJ941" s="89"/>
      <c r="MK941" s="89"/>
      <c r="ML941" s="89"/>
      <c r="MM941" s="89"/>
      <c r="MN941" s="89"/>
      <c r="MO941" s="89"/>
      <c r="MP941" s="89"/>
      <c r="MQ941" s="89"/>
      <c r="MR941" s="89"/>
      <c r="MS941" s="89"/>
      <c r="MT941" s="89"/>
      <c r="MU941" s="89"/>
      <c r="MV941" s="89"/>
      <c r="MW941" s="89"/>
      <c r="MX941" s="89"/>
      <c r="MY941" s="89"/>
      <c r="MZ941" s="89"/>
      <c r="NA941" s="89"/>
      <c r="NB941" s="89"/>
      <c r="NC941" s="89"/>
      <c r="ND941" s="89"/>
      <c r="NE941" s="89"/>
      <c r="NF941" s="89"/>
      <c r="NG941" s="89"/>
      <c r="NH941" s="89"/>
      <c r="NI941" s="89"/>
      <c r="NJ941" s="89"/>
      <c r="NK941" s="89"/>
      <c r="NL941" s="89"/>
      <c r="NM941" s="89"/>
      <c r="NN941" s="89"/>
      <c r="NO941" s="147"/>
      <c r="NP941" s="199"/>
      <c r="NQ941" s="89"/>
      <c r="NR941" s="89"/>
      <c r="NS941" s="89"/>
      <c r="NT941" s="89"/>
      <c r="NU941" s="89"/>
      <c r="NV941" s="89"/>
      <c r="NW941" s="89"/>
      <c r="NX941" s="89"/>
      <c r="NY941" s="89"/>
      <c r="NZ941" s="89"/>
      <c r="OA941" s="147"/>
      <c r="OB941" s="97"/>
      <c r="OC941" s="89"/>
      <c r="OD941" s="89"/>
      <c r="OE941" s="89"/>
      <c r="OF941" s="89"/>
      <c r="OG941" s="89"/>
      <c r="OH941" s="89"/>
      <c r="OI941" s="89"/>
      <c r="OJ941" s="89"/>
      <c r="OK941" s="89"/>
      <c r="OL941" s="89"/>
      <c r="OM941" s="89"/>
      <c r="ON941" s="89"/>
      <c r="OO941" s="89"/>
      <c r="OP941" s="89"/>
      <c r="OQ941" s="89"/>
      <c r="OR941" s="89"/>
      <c r="OS941" s="89"/>
      <c r="OT941" s="89"/>
      <c r="OU941" s="89"/>
      <c r="OV941" s="89"/>
      <c r="OW941" s="89"/>
      <c r="OX941" s="89"/>
      <c r="OY941" s="89"/>
      <c r="OZ941" s="89"/>
      <c r="PA941" s="89"/>
      <c r="PB941" s="89"/>
    </row>
    <row r="942" spans="1:418" ht="15.75" thickBot="1">
      <c r="A942" s="204"/>
      <c r="B942" s="2"/>
      <c r="C942" s="2"/>
      <c r="D942" s="99"/>
      <c r="E942" s="2"/>
      <c r="F942" s="147"/>
      <c r="G942" s="2"/>
      <c r="H942" s="2"/>
      <c r="I942" s="147"/>
      <c r="J942" s="147"/>
      <c r="K942" s="147"/>
      <c r="L942" s="2"/>
      <c r="M942" s="99"/>
      <c r="N942" s="2"/>
      <c r="O942" s="89"/>
      <c r="P942" s="2"/>
      <c r="Q942" s="2"/>
      <c r="R942" s="89"/>
      <c r="S942" s="89"/>
      <c r="T942" s="89"/>
      <c r="X942" s="3"/>
      <c r="AA942" s="3"/>
      <c r="AB942" s="3"/>
      <c r="AC942" s="3"/>
      <c r="AG942" s="3"/>
      <c r="AJ942" s="3"/>
      <c r="AK942" s="3"/>
      <c r="AL942" s="3"/>
      <c r="AP942" s="3"/>
      <c r="AS942" s="3"/>
      <c r="AT942" s="3"/>
      <c r="AU942" s="3"/>
      <c r="AV942" s="2"/>
      <c r="AW942" s="2"/>
      <c r="AX942" s="2"/>
      <c r="AY942" s="2"/>
      <c r="AZ942" s="2"/>
      <c r="BA942" s="2"/>
      <c r="BB942" s="2"/>
      <c r="BC942" s="2"/>
      <c r="BD942" s="2"/>
      <c r="BE942" s="2"/>
      <c r="BF942" s="2"/>
      <c r="BG942" s="2"/>
      <c r="BH942" s="2"/>
      <c r="BI942" s="2"/>
      <c r="BJ942" s="99"/>
      <c r="BK942" s="205"/>
      <c r="BL942" s="2"/>
      <c r="BM942" s="2"/>
      <c r="BN942" s="2"/>
      <c r="BO942" s="2"/>
      <c r="BP942" s="2"/>
      <c r="BQ942" s="2"/>
      <c r="BR942" s="2"/>
      <c r="BS942" s="2"/>
      <c r="BT942" s="2"/>
      <c r="BU942" s="2"/>
      <c r="BV942" s="2"/>
      <c r="EE942" s="2"/>
      <c r="EF942" s="99"/>
      <c r="EG942" s="205"/>
      <c r="EH942" s="205"/>
      <c r="EI942" s="205"/>
      <c r="EJ942" s="205"/>
      <c r="EK942" s="205"/>
      <c r="EL942" s="205"/>
      <c r="EM942" s="9"/>
      <c r="EN942" s="9"/>
      <c r="EO942" s="9"/>
      <c r="EP942" s="9"/>
      <c r="EQ942" s="9"/>
      <c r="ER942" s="9"/>
      <c r="ES942" s="9"/>
      <c r="ET942" s="9"/>
      <c r="EU942" s="9"/>
      <c r="EV942" s="9"/>
      <c r="EW942" s="9"/>
      <c r="EX942" s="9"/>
      <c r="EY942" s="9"/>
      <c r="EZ942" s="9"/>
      <c r="FA942" s="9"/>
      <c r="FB942" s="9"/>
      <c r="FC942" s="9"/>
      <c r="FD942" s="9"/>
      <c r="FE942" s="9"/>
      <c r="FF942" s="9"/>
      <c r="FG942" s="9"/>
      <c r="FH942" s="9"/>
      <c r="FI942" s="9"/>
      <c r="FJ942" s="9"/>
      <c r="FK942" s="9"/>
      <c r="FL942" s="9"/>
      <c r="FM942" s="9"/>
      <c r="FN942" s="9"/>
      <c r="FO942" s="9"/>
      <c r="FP942" s="9"/>
      <c r="FQ942" s="9"/>
      <c r="FR942" s="9"/>
      <c r="FS942" s="9"/>
      <c r="FT942" s="9"/>
      <c r="FU942" s="9"/>
      <c r="FV942" s="9"/>
      <c r="FW942" s="9"/>
      <c r="FX942" s="9"/>
      <c r="FY942" s="9"/>
      <c r="FZ942" s="9"/>
      <c r="GA942" s="9"/>
      <c r="GB942" s="9"/>
      <c r="GC942" s="9"/>
      <c r="GD942" s="9"/>
      <c r="GE942" s="9"/>
      <c r="GF942" s="9"/>
      <c r="GG942" s="9"/>
      <c r="GH942" s="9"/>
      <c r="GI942" s="9"/>
      <c r="GJ942" s="9"/>
      <c r="GK942" s="9"/>
      <c r="GL942" s="9"/>
      <c r="GM942" s="9"/>
      <c r="GN942" s="9"/>
      <c r="GO942" s="9"/>
      <c r="GP942" s="9"/>
      <c r="GQ942" s="9"/>
      <c r="GR942" s="9"/>
      <c r="GS942" s="9"/>
      <c r="GT942" s="9"/>
      <c r="GU942" s="9"/>
      <c r="GV942" s="9"/>
      <c r="GW942" s="9"/>
      <c r="GX942" s="9"/>
      <c r="GY942" s="9"/>
      <c r="GZ942" s="9"/>
      <c r="HA942" s="9"/>
      <c r="HB942" s="9"/>
      <c r="HC942" s="9"/>
      <c r="HD942" s="9"/>
      <c r="HE942" s="9"/>
      <c r="HF942" s="9"/>
      <c r="HG942" s="9"/>
      <c r="HH942" s="9"/>
      <c r="HI942" s="9"/>
      <c r="HJ942" s="9"/>
      <c r="HK942" s="9"/>
      <c r="HL942" s="2"/>
      <c r="HM942" s="2"/>
      <c r="HN942" s="2"/>
      <c r="HO942" s="2"/>
      <c r="HP942" s="2"/>
      <c r="HQ942" s="2"/>
      <c r="HR942" s="2"/>
      <c r="HS942" s="2"/>
      <c r="HT942" s="99"/>
      <c r="HU942" s="2"/>
      <c r="HV942" s="2"/>
      <c r="HW942" s="2"/>
      <c r="HX942" s="2"/>
      <c r="HY942" s="2"/>
      <c r="HZ942" s="2"/>
      <c r="IA942" s="2"/>
      <c r="IB942" s="2"/>
      <c r="IC942" s="2"/>
      <c r="ID942" s="2"/>
      <c r="IE942" s="2"/>
      <c r="IF942" s="2"/>
      <c r="IG942" s="2"/>
      <c r="IH942" s="2"/>
      <c r="II942" s="2"/>
      <c r="IJ942" s="2"/>
      <c r="IK942" s="2"/>
      <c r="IL942" s="2"/>
      <c r="IM942" s="2"/>
      <c r="IN942" s="2"/>
      <c r="IO942" s="2"/>
      <c r="IP942" s="2"/>
      <c r="IQ942" s="2"/>
      <c r="IR942" s="163"/>
      <c r="IS942" s="167"/>
      <c r="IT942" s="2"/>
      <c r="IU942" s="2"/>
      <c r="IV942" s="2"/>
      <c r="IW942" s="99"/>
      <c r="IX942" s="2"/>
      <c r="IY942" s="2"/>
      <c r="IZ942" s="2"/>
      <c r="JA942" s="2"/>
      <c r="JB942" s="2"/>
      <c r="JC942" s="2"/>
      <c r="JD942" s="2"/>
      <c r="JE942" s="2"/>
      <c r="JF942" s="2"/>
      <c r="JG942" s="2"/>
      <c r="JH942" s="2"/>
      <c r="JI942" s="2"/>
      <c r="JJ942" s="2"/>
      <c r="JK942" s="2"/>
      <c r="JL942" s="2"/>
      <c r="JM942" s="2"/>
      <c r="JN942" s="200"/>
      <c r="JO942" s="167"/>
      <c r="JP942" s="2"/>
      <c r="JQ942" s="2"/>
      <c r="JR942" s="2"/>
      <c r="JS942" s="99"/>
      <c r="JT942" s="2"/>
      <c r="JU942" s="2"/>
      <c r="JV942" s="2"/>
      <c r="JW942" s="2"/>
      <c r="JX942" s="2"/>
      <c r="JY942" s="2"/>
      <c r="JZ942" s="2"/>
      <c r="KA942" s="2"/>
      <c r="KB942" s="2"/>
      <c r="KC942" s="2"/>
      <c r="KD942" s="2"/>
      <c r="KE942" s="2"/>
      <c r="KF942" s="2"/>
      <c r="KG942" s="2"/>
      <c r="KH942" s="2"/>
      <c r="KI942" s="163"/>
      <c r="KJ942" s="167"/>
      <c r="KK942" s="2"/>
      <c r="KL942" s="2"/>
      <c r="KM942" s="2"/>
      <c r="KN942" s="2"/>
      <c r="KO942" s="2"/>
      <c r="KP942" s="2"/>
      <c r="KQ942" s="163"/>
      <c r="KR942" s="167"/>
      <c r="KS942" s="2"/>
      <c r="KT942" s="2"/>
      <c r="KU942" s="2"/>
      <c r="KV942" s="2"/>
      <c r="KW942" s="2"/>
      <c r="KX942" s="2"/>
      <c r="KY942" s="2"/>
      <c r="LG942" s="2"/>
      <c r="LH942" s="2"/>
      <c r="LI942" s="2"/>
      <c r="LJ942" s="2"/>
      <c r="LK942" s="2"/>
      <c r="LL942" s="2"/>
      <c r="LM942" s="2"/>
      <c r="LN942" s="2"/>
      <c r="LO942" s="2"/>
      <c r="LP942" s="2"/>
      <c r="LQ942" s="2"/>
      <c r="LR942" s="2"/>
      <c r="LS942" s="2"/>
      <c r="LT942" s="2"/>
      <c r="LU942" s="2"/>
      <c r="LV942" s="2"/>
      <c r="LW942" s="2"/>
      <c r="LX942" s="2"/>
      <c r="LY942" s="2"/>
      <c r="LZ942" s="2"/>
      <c r="MA942" s="2"/>
      <c r="MB942" s="2"/>
      <c r="MC942" s="2"/>
      <c r="MD942" s="2"/>
      <c r="ME942" s="2"/>
      <c r="MF942" s="2"/>
      <c r="MG942" s="2"/>
      <c r="MH942" s="2"/>
      <c r="MI942" s="2"/>
      <c r="MJ942" s="2"/>
      <c r="MK942" s="2"/>
      <c r="ML942" s="2"/>
      <c r="MM942" s="2"/>
      <c r="MN942" s="2"/>
      <c r="MO942" s="2"/>
      <c r="MP942" s="2"/>
      <c r="MQ942" s="2"/>
      <c r="MR942" s="2"/>
      <c r="MS942" s="2"/>
      <c r="MT942" s="2"/>
      <c r="MU942" s="2"/>
      <c r="MV942" s="2"/>
      <c r="MW942" s="2"/>
      <c r="MX942" s="2"/>
      <c r="MY942" s="2"/>
      <c r="MZ942" s="2"/>
      <c r="NA942" s="2"/>
      <c r="NB942" s="2"/>
      <c r="NC942" s="2"/>
      <c r="ND942" s="2"/>
      <c r="NE942" s="2"/>
      <c r="NF942" s="2"/>
      <c r="NG942" s="2"/>
      <c r="NH942" s="2"/>
      <c r="NI942" s="2"/>
      <c r="NJ942" s="2"/>
      <c r="NK942" s="2"/>
      <c r="NL942" s="2"/>
      <c r="NM942" s="2"/>
      <c r="NN942" s="2"/>
      <c r="NO942" s="99"/>
      <c r="NP942" s="203"/>
      <c r="NQ942" s="2"/>
      <c r="NR942" s="2"/>
      <c r="NS942" s="2"/>
      <c r="NT942" s="2"/>
      <c r="NU942" s="2"/>
      <c r="NV942" s="2"/>
      <c r="NW942" s="2"/>
      <c r="NX942" s="2"/>
      <c r="NY942" s="2"/>
      <c r="NZ942" s="2"/>
      <c r="OA942" s="99"/>
      <c r="OB942" s="168"/>
      <c r="OC942" s="2"/>
      <c r="OD942" s="2"/>
      <c r="OE942" s="2"/>
      <c r="OF942" s="2"/>
      <c r="OG942" s="2"/>
      <c r="OH942" s="2"/>
      <c r="OI942" s="2"/>
      <c r="OJ942" s="2"/>
      <c r="OK942" s="2"/>
      <c r="OL942" s="2"/>
      <c r="OM942" s="2"/>
      <c r="ON942" s="2"/>
      <c r="OO942" s="2"/>
      <c r="OP942" s="2"/>
      <c r="OQ942" s="2"/>
      <c r="OR942" s="2"/>
      <c r="OS942" s="2"/>
      <c r="OT942" s="2"/>
      <c r="OU942" s="2"/>
      <c r="OV942" s="2"/>
      <c r="OW942" s="2"/>
      <c r="OX942" s="2"/>
      <c r="OY942" s="2"/>
      <c r="OZ942" s="2"/>
      <c r="PA942" s="2"/>
      <c r="PB942" s="2"/>
    </row>
    <row r="943" spans="1:418" ht="15.75" thickBot="1">
      <c r="A943" s="202"/>
      <c r="B943" s="89"/>
      <c r="C943" s="89"/>
      <c r="D943" s="147"/>
      <c r="E943" s="89"/>
      <c r="F943" s="147"/>
      <c r="G943" s="89"/>
      <c r="H943" s="89"/>
      <c r="I943" s="147"/>
      <c r="J943" s="147"/>
      <c r="K943" s="147"/>
      <c r="L943" s="89"/>
      <c r="M943" s="147"/>
      <c r="N943" s="89"/>
      <c r="O943" s="89"/>
      <c r="P943" s="89"/>
      <c r="Q943" s="89"/>
      <c r="R943" s="89"/>
      <c r="S943" s="89"/>
      <c r="T943" s="89"/>
      <c r="X943" s="3"/>
      <c r="AA943" s="3"/>
      <c r="AB943" s="3"/>
      <c r="AC943" s="3"/>
      <c r="AG943" s="3"/>
      <c r="AJ943" s="3"/>
      <c r="AK943" s="3"/>
      <c r="AL943" s="3"/>
      <c r="AP943" s="3"/>
      <c r="AS943" s="3"/>
      <c r="AT943" s="3"/>
      <c r="AU943" s="3"/>
      <c r="AV943" s="89"/>
      <c r="AW943" s="89"/>
      <c r="AX943" s="89"/>
      <c r="AY943" s="89"/>
      <c r="AZ943" s="89"/>
      <c r="BA943" s="89"/>
      <c r="BB943" s="89"/>
      <c r="BC943" s="89"/>
      <c r="BD943" s="89"/>
      <c r="BE943" s="89"/>
      <c r="BF943" s="89"/>
      <c r="BG943" s="89"/>
      <c r="BH943" s="89"/>
      <c r="BI943" s="89"/>
      <c r="BJ943" s="147"/>
      <c r="BK943" s="170"/>
      <c r="BL943" s="89"/>
      <c r="BM943" s="89"/>
      <c r="BN943" s="89"/>
      <c r="BO943" s="89"/>
      <c r="BP943" s="89"/>
      <c r="BQ943" s="89"/>
      <c r="BR943" s="89"/>
      <c r="BS943" s="89"/>
      <c r="BT943" s="89"/>
      <c r="BU943" s="89"/>
      <c r="BV943" s="89"/>
      <c r="EE943" s="89"/>
      <c r="EF943" s="89"/>
      <c r="EG943" s="89"/>
      <c r="EH943" s="89"/>
      <c r="EI943" s="89"/>
      <c r="EJ943" s="89"/>
      <c r="EK943" s="89"/>
      <c r="EL943" s="89"/>
      <c r="EM943" s="9"/>
      <c r="EN943" s="9"/>
      <c r="EO943" s="9"/>
      <c r="EP943" s="9"/>
      <c r="EQ943" s="9"/>
      <c r="ER943" s="9"/>
      <c r="ES943" s="9"/>
      <c r="ET943" s="9"/>
      <c r="EU943" s="9"/>
      <c r="EV943" s="9"/>
      <c r="EW943" s="9"/>
      <c r="EX943" s="9"/>
      <c r="EY943" s="9"/>
      <c r="EZ943" s="9"/>
      <c r="FA943" s="9"/>
      <c r="FB943" s="9"/>
      <c r="FC943" s="9"/>
      <c r="FD943" s="9"/>
      <c r="FE943" s="9"/>
      <c r="FF943" s="9"/>
      <c r="FG943" s="9"/>
      <c r="FH943" s="9"/>
      <c r="FI943" s="9"/>
      <c r="FJ943" s="9"/>
      <c r="FK943" s="9"/>
      <c r="FL943" s="9"/>
      <c r="FM943" s="9"/>
      <c r="FN943" s="9"/>
      <c r="FO943" s="9"/>
      <c r="FP943" s="9"/>
      <c r="FQ943" s="9"/>
      <c r="FR943" s="9"/>
      <c r="FS943" s="9"/>
      <c r="FT943" s="9"/>
      <c r="FU943" s="9"/>
      <c r="FV943" s="9"/>
      <c r="FW943" s="9"/>
      <c r="FX943" s="9"/>
      <c r="FY943" s="9"/>
      <c r="FZ943" s="9"/>
      <c r="GA943" s="9"/>
      <c r="GB943" s="9"/>
      <c r="GC943" s="9"/>
      <c r="GD943" s="9"/>
      <c r="GE943" s="9"/>
      <c r="GF943" s="9"/>
      <c r="GG943" s="9"/>
      <c r="GH943" s="9"/>
      <c r="GI943" s="9"/>
      <c r="GJ943" s="9"/>
      <c r="GK943" s="9"/>
      <c r="GL943" s="9"/>
      <c r="GM943" s="9"/>
      <c r="GN943" s="9"/>
      <c r="GO943" s="9"/>
      <c r="GP943" s="9"/>
      <c r="GQ943" s="9"/>
      <c r="GR943" s="9"/>
      <c r="GS943" s="9"/>
      <c r="GT943" s="9"/>
      <c r="GU943" s="9"/>
      <c r="GV943" s="9"/>
      <c r="GW943" s="9"/>
      <c r="GX943" s="9"/>
      <c r="GY943" s="9"/>
      <c r="GZ943" s="9"/>
      <c r="HA943" s="9"/>
      <c r="HB943" s="9"/>
      <c r="HC943" s="9"/>
      <c r="HD943" s="9"/>
      <c r="HE943" s="9"/>
      <c r="HF943" s="9"/>
      <c r="HG943" s="9"/>
      <c r="HH943" s="9"/>
      <c r="HI943" s="9"/>
      <c r="HJ943" s="9"/>
      <c r="HK943" s="9"/>
      <c r="HL943" s="89"/>
      <c r="HM943" s="89"/>
      <c r="HN943" s="89"/>
      <c r="HO943" s="89"/>
      <c r="HP943" s="89"/>
      <c r="HQ943" s="89"/>
      <c r="HR943" s="89"/>
      <c r="HS943" s="89"/>
      <c r="HT943" s="147"/>
      <c r="HU943" s="89"/>
      <c r="HV943" s="89"/>
      <c r="HW943" s="89"/>
      <c r="HX943" s="89"/>
      <c r="HY943" s="89"/>
      <c r="HZ943" s="89"/>
      <c r="IA943" s="89"/>
      <c r="IB943" s="89"/>
      <c r="IC943" s="89"/>
      <c r="ID943" s="89"/>
      <c r="IE943" s="89"/>
      <c r="IF943" s="89"/>
      <c r="IG943" s="89"/>
      <c r="IH943" s="89"/>
      <c r="II943" s="89"/>
      <c r="IJ943" s="89"/>
      <c r="IK943" s="89"/>
      <c r="IL943" s="89"/>
      <c r="IM943" s="89"/>
      <c r="IN943" s="89"/>
      <c r="IO943" s="89"/>
      <c r="IP943" s="89"/>
      <c r="IQ943" s="89"/>
      <c r="IR943" s="152"/>
      <c r="IS943" s="173"/>
      <c r="IT943" s="89"/>
      <c r="IU943" s="89"/>
      <c r="IV943" s="89"/>
      <c r="IW943" s="147"/>
      <c r="IX943" s="89"/>
      <c r="IY943" s="89"/>
      <c r="IZ943" s="89"/>
      <c r="JA943" s="89"/>
      <c r="JB943" s="89"/>
      <c r="JC943" s="89"/>
      <c r="JD943" s="89"/>
      <c r="JE943" s="89"/>
      <c r="JF943" s="89"/>
      <c r="JG943" s="89"/>
      <c r="JH943" s="89"/>
      <c r="JI943" s="89"/>
      <c r="JJ943" s="89"/>
      <c r="JK943" s="89"/>
      <c r="JL943" s="89"/>
      <c r="JM943" s="89"/>
      <c r="JN943" s="200"/>
      <c r="JO943" s="173"/>
      <c r="JP943" s="2"/>
      <c r="JQ943" s="89"/>
      <c r="JR943" s="89"/>
      <c r="JS943" s="147"/>
      <c r="JT943" s="89"/>
      <c r="JU943" s="89"/>
      <c r="JV943" s="89"/>
      <c r="JW943" s="89"/>
      <c r="JX943" s="89"/>
      <c r="JY943" s="89"/>
      <c r="JZ943" s="89"/>
      <c r="KA943" s="89"/>
      <c r="KB943" s="89"/>
      <c r="KC943" s="89"/>
      <c r="KD943" s="89"/>
      <c r="KE943" s="89"/>
      <c r="KF943" s="89"/>
      <c r="KG943" s="89"/>
      <c r="KH943" s="89"/>
      <c r="KI943" s="152"/>
      <c r="KJ943" s="173"/>
      <c r="KK943" s="89"/>
      <c r="KL943" s="89"/>
      <c r="KM943" s="89"/>
      <c r="KN943" s="89"/>
      <c r="KO943" s="89"/>
      <c r="KP943" s="89"/>
      <c r="KQ943" s="152"/>
      <c r="KR943" s="173"/>
      <c r="KS943" s="89"/>
      <c r="KT943" s="89"/>
      <c r="KU943" s="89"/>
      <c r="KV943" s="89"/>
      <c r="KW943" s="89"/>
      <c r="KX943" s="89"/>
      <c r="KY943" s="89"/>
      <c r="LG943" s="89"/>
      <c r="LH943" s="89"/>
      <c r="LI943" s="89"/>
      <c r="LJ943" s="89"/>
      <c r="LK943" s="89"/>
      <c r="LL943" s="89"/>
      <c r="LM943" s="89"/>
      <c r="LN943" s="89"/>
      <c r="LO943" s="89"/>
      <c r="LP943" s="89"/>
      <c r="LQ943" s="89"/>
      <c r="LR943" s="89"/>
      <c r="LS943" s="89"/>
      <c r="LT943" s="89"/>
      <c r="LU943" s="89"/>
      <c r="LV943" s="89"/>
      <c r="LW943" s="89"/>
      <c r="LX943" s="89"/>
      <c r="LY943" s="89"/>
      <c r="LZ943" s="89"/>
      <c r="MA943" s="89"/>
      <c r="MB943" s="89"/>
      <c r="MC943" s="89"/>
      <c r="MD943" s="89"/>
      <c r="ME943" s="89"/>
      <c r="MF943" s="89"/>
      <c r="MG943" s="89"/>
      <c r="MH943" s="89"/>
      <c r="MI943" s="89"/>
      <c r="MJ943" s="89"/>
      <c r="MK943" s="89"/>
      <c r="ML943" s="89"/>
      <c r="MM943" s="89"/>
      <c r="MN943" s="89"/>
      <c r="MO943" s="89"/>
      <c r="MP943" s="89"/>
      <c r="MQ943" s="89"/>
      <c r="MR943" s="89"/>
      <c r="MS943" s="89"/>
      <c r="MT943" s="89"/>
      <c r="MU943" s="89"/>
      <c r="MV943" s="89"/>
      <c r="MW943" s="89"/>
      <c r="MX943" s="89"/>
      <c r="MY943" s="89"/>
      <c r="MZ943" s="89"/>
      <c r="NA943" s="89"/>
      <c r="NB943" s="89"/>
      <c r="NC943" s="89"/>
      <c r="ND943" s="89"/>
      <c r="NE943" s="89"/>
      <c r="NF943" s="89"/>
      <c r="NG943" s="89"/>
      <c r="NH943" s="89"/>
      <c r="NI943" s="89"/>
      <c r="NJ943" s="89"/>
      <c r="NK943" s="89"/>
      <c r="NL943" s="89"/>
      <c r="NM943" s="89"/>
      <c r="NN943" s="89"/>
      <c r="NO943" s="147"/>
      <c r="NP943" s="199"/>
      <c r="NQ943" s="89"/>
      <c r="NR943" s="89"/>
      <c r="NS943" s="89"/>
      <c r="NT943" s="89"/>
      <c r="NU943" s="89"/>
      <c r="NV943" s="89"/>
      <c r="NW943" s="89"/>
      <c r="NX943" s="89"/>
      <c r="NY943" s="89"/>
      <c r="NZ943" s="89"/>
      <c r="OA943" s="147"/>
      <c r="OB943" s="97"/>
      <c r="OC943" s="89"/>
      <c r="OD943" s="89"/>
      <c r="OE943" s="89"/>
      <c r="OF943" s="89"/>
      <c r="OG943" s="89"/>
      <c r="OH943" s="89"/>
      <c r="OI943" s="89"/>
      <c r="OJ943" s="89"/>
      <c r="OK943" s="89"/>
      <c r="OL943" s="89"/>
      <c r="OM943" s="89"/>
      <c r="ON943" s="89"/>
      <c r="OO943" s="89"/>
      <c r="OP943" s="89"/>
      <c r="OQ943" s="89"/>
      <c r="OR943" s="89"/>
      <c r="OS943" s="89"/>
      <c r="OT943" s="89"/>
      <c r="OU943" s="89"/>
      <c r="OV943" s="89"/>
      <c r="OW943" s="89"/>
      <c r="OX943" s="89"/>
      <c r="OY943" s="89"/>
      <c r="OZ943" s="89"/>
      <c r="PA943" s="89"/>
      <c r="PB943" s="89"/>
    </row>
    <row r="944" spans="1:418" ht="15.75" thickBot="1">
      <c r="A944" s="204"/>
      <c r="B944" s="2"/>
      <c r="C944" s="2"/>
      <c r="D944" s="99"/>
      <c r="E944" s="2"/>
      <c r="F944" s="147"/>
      <c r="G944" s="2"/>
      <c r="H944" s="2"/>
      <c r="I944" s="147"/>
      <c r="J944" s="147"/>
      <c r="K944" s="147"/>
      <c r="L944" s="2"/>
      <c r="M944" s="99"/>
      <c r="N944" s="2"/>
      <c r="O944" s="89"/>
      <c r="P944" s="2"/>
      <c r="Q944" s="2"/>
      <c r="R944" s="89"/>
      <c r="S944" s="89"/>
      <c r="T944" s="89"/>
      <c r="X944" s="3"/>
      <c r="AA944" s="3"/>
      <c r="AB944" s="3"/>
      <c r="AC944" s="3"/>
      <c r="AG944" s="3"/>
      <c r="AJ944" s="3"/>
      <c r="AK944" s="3"/>
      <c r="AL944" s="3"/>
      <c r="AP944" s="3"/>
      <c r="AS944" s="3"/>
      <c r="AT944" s="3"/>
      <c r="AU944" s="3"/>
      <c r="AV944" s="2"/>
      <c r="AW944" s="2"/>
      <c r="AX944" s="2"/>
      <c r="AY944" s="2"/>
      <c r="AZ944" s="2"/>
      <c r="BA944" s="2"/>
      <c r="BB944" s="2"/>
      <c r="BC944" s="2"/>
      <c r="BD944" s="2"/>
      <c r="BE944" s="2"/>
      <c r="BF944" s="2"/>
      <c r="BG944" s="2"/>
      <c r="BH944" s="2"/>
      <c r="BI944" s="2"/>
      <c r="BJ944" s="99"/>
      <c r="BK944" s="205"/>
      <c r="BL944" s="2"/>
      <c r="BM944" s="2"/>
      <c r="BN944" s="2"/>
      <c r="BO944" s="2"/>
      <c r="BP944" s="2"/>
      <c r="BQ944" s="2"/>
      <c r="BR944" s="2"/>
      <c r="BS944" s="2"/>
      <c r="BT944" s="2"/>
      <c r="BU944" s="2"/>
      <c r="BV944" s="2"/>
      <c r="EE944" s="2"/>
      <c r="EF944" s="2"/>
      <c r="EG944" s="2"/>
      <c r="EH944" s="2"/>
      <c r="EI944" s="2"/>
      <c r="EJ944" s="2"/>
      <c r="EK944" s="2"/>
      <c r="EL944" s="2"/>
      <c r="EM944" s="9"/>
      <c r="EN944" s="9"/>
      <c r="EO944" s="9"/>
      <c r="EP944" s="9"/>
      <c r="EQ944" s="9"/>
      <c r="ER944" s="9"/>
      <c r="ES944" s="9"/>
      <c r="ET944" s="9"/>
      <c r="EU944" s="9"/>
      <c r="EV944" s="9"/>
      <c r="EW944" s="9"/>
      <c r="EX944" s="9"/>
      <c r="EY944" s="9"/>
      <c r="EZ944" s="9"/>
      <c r="FA944" s="9"/>
      <c r="FB944" s="9"/>
      <c r="FC944" s="9"/>
      <c r="FD944" s="9"/>
      <c r="FE944" s="9"/>
      <c r="FF944" s="9"/>
      <c r="FG944" s="9"/>
      <c r="FH944" s="9"/>
      <c r="FI944" s="9"/>
      <c r="FJ944" s="9"/>
      <c r="FK944" s="9"/>
      <c r="FL944" s="9"/>
      <c r="FM944" s="9"/>
      <c r="FN944" s="9"/>
      <c r="FO944" s="9"/>
      <c r="FP944" s="9"/>
      <c r="FQ944" s="9"/>
      <c r="FR944" s="9"/>
      <c r="FS944" s="9"/>
      <c r="FT944" s="9"/>
      <c r="FU944" s="9"/>
      <c r="FV944" s="9"/>
      <c r="FW944" s="9"/>
      <c r="FX944" s="9"/>
      <c r="FY944" s="9"/>
      <c r="FZ944" s="9"/>
      <c r="GA944" s="9"/>
      <c r="GB944" s="9"/>
      <c r="GC944" s="9"/>
      <c r="GD944" s="9"/>
      <c r="GE944" s="9"/>
      <c r="GF944" s="9"/>
      <c r="GG944" s="9"/>
      <c r="GH944" s="9"/>
      <c r="GI944" s="9"/>
      <c r="GJ944" s="9"/>
      <c r="GK944" s="9"/>
      <c r="GL944" s="9"/>
      <c r="GM944" s="9"/>
      <c r="GN944" s="9"/>
      <c r="GO944" s="9"/>
      <c r="GP944" s="9"/>
      <c r="GQ944" s="9"/>
      <c r="GR944" s="9"/>
      <c r="GS944" s="9"/>
      <c r="GT944" s="9"/>
      <c r="GU944" s="9"/>
      <c r="GV944" s="9"/>
      <c r="GW944" s="9"/>
      <c r="GX944" s="9"/>
      <c r="GY944" s="9"/>
      <c r="GZ944" s="9"/>
      <c r="HA944" s="9"/>
      <c r="HB944" s="9"/>
      <c r="HC944" s="9"/>
      <c r="HD944" s="9"/>
      <c r="HE944" s="9"/>
      <c r="HF944" s="9"/>
      <c r="HG944" s="9"/>
      <c r="HH944" s="9"/>
      <c r="HI944" s="9"/>
      <c r="HJ944" s="9"/>
      <c r="HK944" s="9"/>
      <c r="HL944" s="2"/>
      <c r="HM944" s="2"/>
      <c r="HN944" s="2"/>
      <c r="HO944" s="2"/>
      <c r="HP944" s="2"/>
      <c r="HQ944" s="2"/>
      <c r="HR944" s="2"/>
      <c r="HS944" s="2"/>
      <c r="HT944" s="99"/>
      <c r="HU944" s="2"/>
      <c r="HV944" s="2"/>
      <c r="HW944" s="2"/>
      <c r="HX944" s="2"/>
      <c r="HY944" s="2"/>
      <c r="HZ944" s="2"/>
      <c r="IA944" s="2"/>
      <c r="IB944" s="2"/>
      <c r="IC944" s="2"/>
      <c r="ID944" s="2"/>
      <c r="IE944" s="2"/>
      <c r="IF944" s="2"/>
      <c r="IG944" s="2"/>
      <c r="IH944" s="2"/>
      <c r="II944" s="2"/>
      <c r="IJ944" s="2"/>
      <c r="IK944" s="2"/>
      <c r="IL944" s="2"/>
      <c r="IM944" s="2"/>
      <c r="IN944" s="2"/>
      <c r="IO944" s="2"/>
      <c r="IP944" s="2"/>
      <c r="IQ944" s="2"/>
      <c r="IR944" s="163"/>
      <c r="IS944" s="167"/>
      <c r="IT944" s="2"/>
      <c r="IU944" s="2"/>
      <c r="IV944" s="2"/>
      <c r="IW944" s="99"/>
      <c r="IX944" s="2"/>
      <c r="IY944" s="2"/>
      <c r="IZ944" s="2"/>
      <c r="JA944" s="2"/>
      <c r="JB944" s="2"/>
      <c r="JC944" s="2"/>
      <c r="JD944" s="2"/>
      <c r="JE944" s="2"/>
      <c r="JF944" s="2"/>
      <c r="JG944" s="2"/>
      <c r="JH944" s="2"/>
      <c r="JI944" s="2"/>
      <c r="JJ944" s="2"/>
      <c r="JK944" s="2"/>
      <c r="JL944" s="2"/>
      <c r="JM944" s="2"/>
      <c r="JN944" s="207"/>
      <c r="JO944" s="166"/>
      <c r="JP944" s="2"/>
      <c r="JQ944" s="2"/>
      <c r="JR944" s="2"/>
      <c r="JS944" s="99"/>
      <c r="JT944" s="2"/>
      <c r="JU944" s="2"/>
      <c r="JV944" s="2"/>
      <c r="JW944" s="2"/>
      <c r="JX944" s="2"/>
      <c r="JY944" s="2"/>
      <c r="JZ944" s="2"/>
      <c r="KA944" s="2"/>
      <c r="KB944" s="2"/>
      <c r="KC944" s="2"/>
      <c r="KD944" s="2"/>
      <c r="KE944" s="2"/>
      <c r="KF944" s="2"/>
      <c r="KG944" s="2"/>
      <c r="KH944" s="2"/>
      <c r="KI944" s="163"/>
      <c r="KJ944" s="167"/>
      <c r="KK944" s="2"/>
      <c r="KL944" s="2"/>
      <c r="KM944" s="2"/>
      <c r="KN944" s="2"/>
      <c r="KO944" s="2"/>
      <c r="KP944" s="2"/>
      <c r="KQ944" s="163"/>
      <c r="KR944" s="167"/>
      <c r="KS944" s="2"/>
      <c r="KT944" s="2"/>
      <c r="KU944" s="2"/>
      <c r="KV944" s="2"/>
      <c r="KW944" s="2"/>
      <c r="KX944" s="2"/>
      <c r="KY944" s="2"/>
      <c r="LG944" s="2"/>
      <c r="LH944" s="2"/>
      <c r="LI944" s="2"/>
      <c r="LJ944" s="2"/>
      <c r="LK944" s="2"/>
      <c r="LL944" s="2"/>
      <c r="LM944" s="2"/>
      <c r="LN944" s="2"/>
      <c r="LO944" s="2"/>
      <c r="LP944" s="2"/>
      <c r="LQ944" s="2"/>
      <c r="LR944" s="2"/>
      <c r="LS944" s="2"/>
      <c r="LT944" s="2"/>
      <c r="LU944" s="2"/>
      <c r="LV944" s="2"/>
      <c r="LW944" s="2"/>
      <c r="LX944" s="2"/>
      <c r="LY944" s="2"/>
      <c r="LZ944" s="2"/>
      <c r="MA944" s="2"/>
      <c r="MB944" s="2"/>
      <c r="MC944" s="2"/>
      <c r="MD944" s="2"/>
      <c r="ME944" s="2"/>
      <c r="MF944" s="2"/>
      <c r="MG944" s="2"/>
      <c r="MH944" s="2"/>
      <c r="MI944" s="2"/>
      <c r="MJ944" s="2"/>
      <c r="MK944" s="2"/>
      <c r="ML944" s="2"/>
      <c r="MM944" s="2"/>
      <c r="MN944" s="2"/>
      <c r="MO944" s="2"/>
      <c r="MP944" s="2"/>
      <c r="MQ944" s="2"/>
      <c r="MR944" s="2"/>
      <c r="MS944" s="2"/>
      <c r="MT944" s="2"/>
      <c r="MU944" s="2"/>
      <c r="MV944" s="2"/>
      <c r="MW944" s="2"/>
      <c r="MX944" s="2"/>
      <c r="MY944" s="2"/>
      <c r="MZ944" s="2"/>
      <c r="NA944" s="2"/>
      <c r="NB944" s="2"/>
      <c r="NC944" s="2"/>
      <c r="ND944" s="2"/>
      <c r="NE944" s="2"/>
      <c r="NF944" s="2"/>
      <c r="NG944" s="2"/>
      <c r="NH944" s="2"/>
      <c r="NI944" s="2"/>
      <c r="NJ944" s="2"/>
      <c r="NK944" s="2"/>
      <c r="NL944" s="2"/>
      <c r="NM944" s="2"/>
      <c r="NN944" s="2"/>
      <c r="NO944" s="99"/>
      <c r="NP944" s="203"/>
      <c r="NQ944" s="2"/>
      <c r="NR944" s="2"/>
      <c r="NS944" s="2"/>
      <c r="NT944" s="2"/>
      <c r="NU944" s="2"/>
      <c r="NV944" s="2"/>
      <c r="NW944" s="2"/>
      <c r="NX944" s="2"/>
      <c r="NY944" s="2"/>
      <c r="NZ944" s="2"/>
      <c r="OA944" s="99"/>
      <c r="OB944" s="168"/>
      <c r="OC944" s="2"/>
      <c r="OD944" s="2"/>
      <c r="OE944" s="2"/>
      <c r="OF944" s="2"/>
      <c r="OG944" s="2"/>
      <c r="OH944" s="2"/>
      <c r="OI944" s="2"/>
      <c r="OJ944" s="2"/>
      <c r="OK944" s="2"/>
      <c r="OL944" s="2"/>
      <c r="OM944" s="2"/>
      <c r="ON944" s="2"/>
      <c r="OO944" s="2"/>
      <c r="OP944" s="2"/>
      <c r="OQ944" s="2"/>
      <c r="OR944" s="2"/>
      <c r="OS944" s="2"/>
      <c r="OT944" s="2"/>
      <c r="OU944" s="2"/>
      <c r="OV944" s="2"/>
      <c r="OW944" s="2"/>
      <c r="OX944" s="2"/>
      <c r="OY944" s="2"/>
      <c r="OZ944" s="2"/>
      <c r="PA944" s="2"/>
      <c r="PB944" s="2"/>
    </row>
    <row r="945" spans="1:418" ht="15.75" thickBot="1">
      <c r="A945" s="202"/>
      <c r="B945" s="89"/>
      <c r="C945" s="89"/>
      <c r="D945" s="147"/>
      <c r="E945" s="89"/>
      <c r="F945" s="147"/>
      <c r="G945" s="89"/>
      <c r="H945" s="89"/>
      <c r="I945" s="147"/>
      <c r="J945" s="147"/>
      <c r="K945" s="147"/>
      <c r="L945" s="89"/>
      <c r="M945" s="147"/>
      <c r="N945" s="89"/>
      <c r="O945" s="89"/>
      <c r="P945" s="89"/>
      <c r="Q945" s="89"/>
      <c r="R945" s="89"/>
      <c r="S945" s="89"/>
      <c r="T945" s="89"/>
      <c r="X945" s="3"/>
      <c r="AA945" s="3"/>
      <c r="AB945" s="3"/>
      <c r="AC945" s="3"/>
      <c r="AG945" s="3"/>
      <c r="AJ945" s="3"/>
      <c r="AK945" s="3"/>
      <c r="AL945" s="3"/>
      <c r="AP945" s="3"/>
      <c r="AS945" s="3"/>
      <c r="AT945" s="3"/>
      <c r="AU945" s="3"/>
      <c r="AV945" s="89"/>
      <c r="AW945" s="89"/>
      <c r="AX945" s="89"/>
      <c r="AY945" s="89"/>
      <c r="AZ945" s="89"/>
      <c r="BA945" s="89"/>
      <c r="BB945" s="89"/>
      <c r="BC945" s="89"/>
      <c r="BD945" s="89"/>
      <c r="BE945" s="89"/>
      <c r="BF945" s="89"/>
      <c r="BG945" s="89"/>
      <c r="BH945" s="89"/>
      <c r="BI945" s="89"/>
      <c r="BJ945" s="147"/>
      <c r="BK945" s="170"/>
      <c r="BL945" s="89"/>
      <c r="BM945" s="89"/>
      <c r="BN945" s="89"/>
      <c r="BO945" s="89"/>
      <c r="BP945" s="89"/>
      <c r="BQ945" s="89"/>
      <c r="BR945" s="89"/>
      <c r="BS945" s="89"/>
      <c r="BT945" s="89"/>
      <c r="BU945" s="89"/>
      <c r="BV945" s="89"/>
      <c r="EE945" s="89"/>
      <c r="EF945" s="147"/>
      <c r="EG945" s="170"/>
      <c r="EH945" s="170"/>
      <c r="EI945" s="170"/>
      <c r="EJ945" s="170"/>
      <c r="EK945" s="170"/>
      <c r="EL945" s="170"/>
      <c r="HL945" s="89"/>
      <c r="HM945" s="89"/>
      <c r="HN945" s="89"/>
      <c r="HO945" s="89"/>
      <c r="HP945" s="89"/>
      <c r="HQ945" s="89"/>
      <c r="HR945" s="89"/>
      <c r="HS945" s="89"/>
      <c r="HT945" s="147"/>
      <c r="HU945" s="89"/>
      <c r="HV945" s="89"/>
      <c r="HW945" s="89"/>
      <c r="HX945" s="89"/>
      <c r="HY945" s="89"/>
      <c r="HZ945" s="89"/>
      <c r="IA945" s="89"/>
      <c r="IB945" s="89"/>
      <c r="IC945" s="89"/>
      <c r="ID945" s="89"/>
      <c r="IE945" s="89"/>
      <c r="IF945" s="89"/>
      <c r="IG945" s="89"/>
      <c r="IH945" s="89"/>
      <c r="II945" s="89"/>
      <c r="IJ945" s="89"/>
      <c r="IK945" s="89"/>
      <c r="IL945" s="89"/>
      <c r="IM945" s="89"/>
      <c r="IN945" s="89"/>
      <c r="IO945" s="89"/>
      <c r="IP945" s="147"/>
      <c r="IQ945" s="89"/>
      <c r="IR945" s="152"/>
      <c r="IS945" s="173"/>
      <c r="IT945" s="89"/>
      <c r="IU945" s="89"/>
      <c r="IV945" s="89"/>
      <c r="IW945" s="147"/>
      <c r="IX945" s="89"/>
      <c r="IY945" s="201"/>
      <c r="IZ945" s="173"/>
      <c r="JA945" s="89"/>
      <c r="JB945" s="89"/>
      <c r="JC945" s="89"/>
      <c r="JD945" s="89"/>
      <c r="JE945" s="89"/>
      <c r="JF945" s="89"/>
      <c r="JG945" s="89"/>
      <c r="JH945" s="89"/>
      <c r="JI945" s="89"/>
      <c r="JJ945" s="89"/>
      <c r="JK945" s="89"/>
      <c r="JL945" s="89"/>
      <c r="JM945" s="89"/>
      <c r="JN945" s="200"/>
      <c r="JO945" s="173"/>
      <c r="JP945" s="2"/>
      <c r="JQ945" s="89"/>
      <c r="JR945" s="89"/>
      <c r="JS945" s="147"/>
      <c r="JT945" s="89"/>
      <c r="JU945" s="89"/>
      <c r="JV945" s="89"/>
      <c r="JW945" s="89"/>
      <c r="JX945" s="89"/>
      <c r="JY945" s="89"/>
      <c r="JZ945" s="89"/>
      <c r="KA945" s="89"/>
      <c r="KB945" s="89"/>
      <c r="KC945" s="89"/>
      <c r="KD945" s="89"/>
      <c r="KE945" s="89"/>
      <c r="KF945" s="89"/>
      <c r="KG945" s="89"/>
      <c r="KH945" s="89"/>
      <c r="KI945" s="152"/>
      <c r="KJ945" s="173"/>
      <c r="KK945" s="89"/>
      <c r="KL945" s="89"/>
      <c r="KM945" s="89"/>
      <c r="KN945" s="89"/>
      <c r="KO945" s="89"/>
      <c r="KP945" s="89"/>
      <c r="KQ945" s="177"/>
      <c r="KR945" s="154"/>
      <c r="KS945" s="89"/>
      <c r="KT945" s="89"/>
      <c r="KU945" s="89"/>
      <c r="KV945" s="89"/>
      <c r="KW945" s="89"/>
      <c r="KX945" s="89"/>
      <c r="KY945" s="89"/>
      <c r="LG945" s="89"/>
      <c r="LH945" s="89"/>
      <c r="LI945" s="89"/>
      <c r="LJ945" s="89"/>
      <c r="LK945" s="89"/>
      <c r="LL945" s="89"/>
      <c r="LM945" s="89"/>
      <c r="LN945" s="89"/>
      <c r="LO945" s="89"/>
      <c r="LP945" s="89"/>
      <c r="LQ945" s="89"/>
      <c r="LR945" s="89"/>
      <c r="LS945" s="89"/>
      <c r="LT945" s="89"/>
      <c r="LU945" s="89"/>
      <c r="LV945" s="89"/>
      <c r="LW945" s="89"/>
      <c r="LX945" s="89"/>
      <c r="LY945" s="89"/>
      <c r="LZ945" s="89"/>
      <c r="MA945" s="89"/>
      <c r="MB945" s="89"/>
      <c r="MC945" s="89"/>
      <c r="MD945" s="89"/>
      <c r="ME945" s="89"/>
      <c r="MF945" s="89"/>
      <c r="MG945" s="89"/>
      <c r="MH945" s="89"/>
      <c r="MI945" s="89"/>
      <c r="MJ945" s="89"/>
      <c r="MK945" s="89"/>
      <c r="ML945" s="89"/>
      <c r="MM945" s="89"/>
      <c r="MN945" s="89"/>
      <c r="MO945" s="89"/>
      <c r="MP945" s="89"/>
      <c r="MQ945" s="89"/>
      <c r="MR945" s="89"/>
      <c r="MS945" s="89"/>
      <c r="MT945" s="89"/>
      <c r="MU945" s="89"/>
      <c r="MV945" s="89"/>
      <c r="MW945" s="89"/>
      <c r="MX945" s="89"/>
      <c r="MY945" s="89"/>
      <c r="MZ945" s="89"/>
      <c r="NA945" s="89"/>
      <c r="NB945" s="89"/>
      <c r="NC945" s="89"/>
      <c r="ND945" s="89"/>
      <c r="NE945" s="89"/>
      <c r="NF945" s="89"/>
      <c r="NG945" s="89"/>
      <c r="NH945" s="89"/>
      <c r="NI945" s="89"/>
      <c r="NJ945" s="89"/>
      <c r="NK945" s="89"/>
      <c r="NL945" s="89"/>
      <c r="NM945" s="89"/>
      <c r="NN945" s="89"/>
      <c r="NO945" s="147"/>
      <c r="NP945" s="199"/>
      <c r="NQ945" s="89"/>
      <c r="NR945" s="89"/>
      <c r="NS945" s="89"/>
      <c r="NT945" s="89"/>
      <c r="NU945" s="89"/>
      <c r="NV945" s="89"/>
      <c r="NW945" s="89"/>
      <c r="NX945" s="89"/>
      <c r="NY945" s="89"/>
      <c r="NZ945" s="89"/>
      <c r="OA945" s="147"/>
      <c r="OB945" s="97"/>
      <c r="OC945" s="89"/>
      <c r="OD945" s="89"/>
      <c r="OE945" s="89"/>
      <c r="OF945" s="89"/>
      <c r="OG945" s="89"/>
      <c r="OH945" s="89"/>
      <c r="OI945" s="89"/>
      <c r="OJ945" s="89"/>
      <c r="OK945" s="89"/>
      <c r="OL945" s="89"/>
      <c r="OM945" s="89"/>
      <c r="ON945" s="89"/>
      <c r="OO945" s="89"/>
      <c r="OP945" s="89"/>
      <c r="OQ945" s="89"/>
      <c r="OR945" s="89"/>
      <c r="OS945" s="89"/>
      <c r="OT945" s="89"/>
      <c r="OU945" s="89"/>
      <c r="OV945" s="89"/>
      <c r="OW945" s="89"/>
      <c r="OX945" s="89"/>
      <c r="OY945" s="89"/>
      <c r="OZ945" s="89"/>
      <c r="PA945" s="89"/>
      <c r="PB945" s="89"/>
    </row>
    <row r="946" spans="1:418" ht="15.75" thickBot="1">
      <c r="A946" s="204"/>
      <c r="B946" s="2"/>
      <c r="C946" s="2"/>
      <c r="D946" s="99"/>
      <c r="E946" s="2"/>
      <c r="F946" s="147"/>
      <c r="G946" s="2"/>
      <c r="H946" s="2"/>
      <c r="I946" s="147"/>
      <c r="J946" s="147"/>
      <c r="K946" s="147"/>
      <c r="L946" s="2"/>
      <c r="M946" s="99"/>
      <c r="N946" s="2"/>
      <c r="O946" s="89"/>
      <c r="P946" s="2"/>
      <c r="Q946" s="2"/>
      <c r="R946" s="89"/>
      <c r="S946" s="89"/>
      <c r="T946" s="89"/>
      <c r="X946" s="3"/>
      <c r="AA946" s="3"/>
      <c r="AB946" s="3"/>
      <c r="AC946" s="3"/>
      <c r="AG946" s="3"/>
      <c r="AJ946" s="3"/>
      <c r="AK946" s="3"/>
      <c r="AL946" s="3"/>
      <c r="AP946" s="3"/>
      <c r="AS946" s="3"/>
      <c r="AT946" s="3"/>
      <c r="AU946" s="3"/>
      <c r="AV946" s="2"/>
      <c r="AW946" s="2"/>
      <c r="AX946" s="2"/>
      <c r="AY946" s="2"/>
      <c r="AZ946" s="2"/>
      <c r="BA946" s="2"/>
      <c r="BB946" s="2"/>
      <c r="BC946" s="2"/>
      <c r="BD946" s="2"/>
      <c r="BE946" s="2"/>
      <c r="BF946" s="2"/>
      <c r="BG946" s="2"/>
      <c r="BH946" s="2"/>
      <c r="BI946" s="2"/>
      <c r="BJ946" s="99"/>
      <c r="BK946" s="205"/>
      <c r="BL946" s="2"/>
      <c r="BM946" s="2"/>
      <c r="BN946" s="2"/>
      <c r="BO946" s="2"/>
      <c r="BP946" s="2"/>
      <c r="BQ946" s="2"/>
      <c r="BR946" s="2"/>
      <c r="BS946" s="2"/>
      <c r="BT946" s="2"/>
      <c r="BU946" s="2"/>
      <c r="BV946" s="2"/>
      <c r="EE946" s="2"/>
      <c r="EF946" s="99"/>
      <c r="EG946" s="205"/>
      <c r="EH946" s="205"/>
      <c r="EI946" s="205"/>
      <c r="EJ946" s="205"/>
      <c r="EK946" s="205"/>
      <c r="EL946" s="205"/>
      <c r="HL946" s="2"/>
      <c r="HM946" s="2"/>
      <c r="HN946" s="2"/>
      <c r="HO946" s="2"/>
      <c r="HP946" s="2"/>
      <c r="HQ946" s="2"/>
      <c r="HR946" s="2"/>
      <c r="HS946" s="2"/>
      <c r="HT946" s="99"/>
      <c r="HU946" s="2"/>
      <c r="HV946" s="2"/>
      <c r="HW946" s="2"/>
      <c r="HX946" s="2"/>
      <c r="HY946" s="2"/>
      <c r="HZ946" s="2"/>
      <c r="IA946" s="2"/>
      <c r="IB946" s="2"/>
      <c r="IC946" s="2"/>
      <c r="ID946" s="2"/>
      <c r="IE946" s="2"/>
      <c r="IF946" s="2"/>
      <c r="IG946" s="2"/>
      <c r="IH946" s="2"/>
      <c r="II946" s="2"/>
      <c r="IJ946" s="2"/>
      <c r="IK946" s="2"/>
      <c r="IL946" s="2"/>
      <c r="IM946" s="2"/>
      <c r="IN946" s="2"/>
      <c r="IO946" s="2"/>
      <c r="IP946" s="99"/>
      <c r="IQ946" s="2"/>
      <c r="IR946" s="163"/>
      <c r="IS946" s="167"/>
      <c r="IT946" s="2"/>
      <c r="IU946" s="2"/>
      <c r="IV946" s="2"/>
      <c r="IW946" s="99"/>
      <c r="IX946" s="2"/>
      <c r="IY946" s="206"/>
      <c r="IZ946" s="167"/>
      <c r="JA946" s="2"/>
      <c r="JB946" s="2"/>
      <c r="JC946" s="2"/>
      <c r="JD946" s="2"/>
      <c r="JE946" s="2"/>
      <c r="JF946" s="2"/>
      <c r="JG946" s="2"/>
      <c r="JH946" s="2"/>
      <c r="JI946" s="2"/>
      <c r="JJ946" s="2"/>
      <c r="JK946" s="2"/>
      <c r="JL946" s="2"/>
      <c r="JM946" s="2"/>
      <c r="JN946" s="200"/>
      <c r="JO946" s="167"/>
      <c r="JP946" s="2"/>
      <c r="JQ946" s="2"/>
      <c r="JR946" s="2"/>
      <c r="JS946" s="99"/>
      <c r="JT946" s="2"/>
      <c r="JU946" s="2"/>
      <c r="JV946" s="2"/>
      <c r="JW946" s="2"/>
      <c r="JX946" s="2"/>
      <c r="JY946" s="2"/>
      <c r="JZ946" s="2"/>
      <c r="KA946" s="2"/>
      <c r="KB946" s="2"/>
      <c r="KC946" s="2"/>
      <c r="KD946" s="2"/>
      <c r="KE946" s="2"/>
      <c r="KF946" s="2"/>
      <c r="KG946" s="2"/>
      <c r="KH946" s="2"/>
      <c r="KI946" s="163"/>
      <c r="KJ946" s="167"/>
      <c r="KK946" s="2"/>
      <c r="KL946" s="2"/>
      <c r="KM946" s="2"/>
      <c r="KN946" s="2"/>
      <c r="KO946" s="2"/>
      <c r="KP946" s="2"/>
      <c r="KQ946" s="177"/>
      <c r="KR946" s="166"/>
      <c r="KS946" s="2"/>
      <c r="KT946" s="2"/>
      <c r="KU946" s="2"/>
      <c r="KV946" s="2"/>
      <c r="KW946" s="2"/>
      <c r="KX946" s="2"/>
      <c r="KY946" s="2"/>
      <c r="LG946" s="2"/>
      <c r="LH946" s="2"/>
      <c r="LI946" s="2"/>
      <c r="LJ946" s="2"/>
      <c r="LK946" s="2"/>
      <c r="LL946" s="2"/>
      <c r="LM946" s="2"/>
      <c r="LN946" s="2"/>
      <c r="LO946" s="2"/>
      <c r="LP946" s="2"/>
      <c r="LQ946" s="2"/>
      <c r="LR946" s="2"/>
      <c r="LS946" s="2"/>
      <c r="LT946" s="2"/>
      <c r="LU946" s="2"/>
      <c r="LV946" s="2"/>
      <c r="LW946" s="2"/>
      <c r="LX946" s="2"/>
      <c r="LY946" s="2"/>
      <c r="LZ946" s="2"/>
      <c r="MA946" s="2"/>
      <c r="MB946" s="2"/>
      <c r="MC946" s="2"/>
      <c r="MD946" s="2"/>
      <c r="ME946" s="2"/>
      <c r="MF946" s="2"/>
      <c r="MG946" s="2"/>
      <c r="MH946" s="2"/>
      <c r="MI946" s="2"/>
      <c r="MJ946" s="2"/>
      <c r="MK946" s="2"/>
      <c r="ML946" s="2"/>
      <c r="MM946" s="2"/>
      <c r="MN946" s="2"/>
      <c r="MO946" s="2"/>
      <c r="MP946" s="2"/>
      <c r="MQ946" s="2"/>
      <c r="MR946" s="2"/>
      <c r="MS946" s="2"/>
      <c r="MT946" s="2"/>
      <c r="MU946" s="2"/>
      <c r="MV946" s="2"/>
      <c r="MW946" s="2"/>
      <c r="MX946" s="2"/>
      <c r="MY946" s="2"/>
      <c r="MZ946" s="2"/>
      <c r="NA946" s="2"/>
      <c r="NB946" s="2"/>
      <c r="NC946" s="2"/>
      <c r="ND946" s="2"/>
      <c r="NE946" s="2"/>
      <c r="NF946" s="2"/>
      <c r="NG946" s="2"/>
      <c r="NH946" s="2"/>
      <c r="NI946" s="2"/>
      <c r="NJ946" s="2"/>
      <c r="NK946" s="2"/>
      <c r="NL946" s="2"/>
      <c r="NM946" s="2"/>
      <c r="NN946" s="2"/>
      <c r="NO946" s="99"/>
      <c r="NP946" s="203"/>
      <c r="NQ946" s="2"/>
      <c r="NR946" s="2"/>
      <c r="NS946" s="2"/>
      <c r="NT946" s="2"/>
      <c r="NU946" s="2"/>
      <c r="NV946" s="2"/>
      <c r="NW946" s="2"/>
      <c r="NX946" s="2"/>
      <c r="NY946" s="2"/>
      <c r="NZ946" s="2"/>
      <c r="OA946" s="99"/>
      <c r="OB946" s="168"/>
      <c r="OC946" s="2"/>
      <c r="OD946" s="2"/>
      <c r="OE946" s="2"/>
      <c r="OF946" s="2"/>
      <c r="OG946" s="2"/>
      <c r="OH946" s="2"/>
      <c r="OI946" s="2"/>
      <c r="OJ946" s="2"/>
      <c r="OK946" s="2"/>
      <c r="OL946" s="2"/>
      <c r="OM946" s="2"/>
      <c r="ON946" s="2"/>
      <c r="OO946" s="2"/>
      <c r="OP946" s="2"/>
      <c r="OQ946" s="2"/>
      <c r="OR946" s="2"/>
      <c r="OS946" s="2"/>
      <c r="OT946" s="2"/>
      <c r="OU946" s="2"/>
      <c r="OV946" s="2"/>
      <c r="OW946" s="2"/>
      <c r="OX946" s="2"/>
      <c r="OY946" s="2"/>
      <c r="OZ946" s="2"/>
      <c r="PA946" s="2"/>
      <c r="PB946" s="2"/>
    </row>
    <row r="947" spans="1:418" ht="15.75" thickBot="1">
      <c r="A947" s="202"/>
      <c r="B947" s="89"/>
      <c r="C947" s="89"/>
      <c r="D947" s="147"/>
      <c r="E947" s="89"/>
      <c r="F947" s="147"/>
      <c r="G947" s="89"/>
      <c r="H947" s="89"/>
      <c r="I947" s="147"/>
      <c r="J947" s="147"/>
      <c r="K947" s="147"/>
      <c r="L947" s="89"/>
      <c r="M947" s="147"/>
      <c r="N947" s="89"/>
      <c r="O947" s="89"/>
      <c r="P947" s="89"/>
      <c r="Q947" s="89"/>
      <c r="R947" s="89"/>
      <c r="S947" s="89"/>
      <c r="T947" s="89"/>
      <c r="X947" s="3"/>
      <c r="AA947" s="3"/>
      <c r="AB947" s="3"/>
      <c r="AC947" s="3"/>
      <c r="AG947" s="3"/>
      <c r="AJ947" s="3"/>
      <c r="AK947" s="3"/>
      <c r="AL947" s="3"/>
      <c r="AP947" s="3"/>
      <c r="AS947" s="3"/>
      <c r="AT947" s="3"/>
      <c r="AU947" s="3"/>
      <c r="AV947" s="89"/>
      <c r="AW947" s="89"/>
      <c r="AX947" s="89"/>
      <c r="AY947" s="89"/>
      <c r="AZ947" s="89"/>
      <c r="BA947" s="89"/>
      <c r="BB947" s="89"/>
      <c r="BC947" s="89"/>
      <c r="BD947" s="89"/>
      <c r="BE947" s="89"/>
      <c r="BF947" s="89"/>
      <c r="BG947" s="89"/>
      <c r="BH947" s="89"/>
      <c r="BI947" s="89"/>
      <c r="BJ947" s="147"/>
      <c r="BK947" s="170"/>
      <c r="BL947" s="89"/>
      <c r="BM947" s="89"/>
      <c r="BN947" s="89"/>
      <c r="BO947" s="89"/>
      <c r="BP947" s="89"/>
      <c r="BQ947" s="89"/>
      <c r="BR947" s="89"/>
      <c r="BS947" s="89"/>
      <c r="BT947" s="89"/>
      <c r="BU947" s="89"/>
      <c r="BV947" s="89"/>
      <c r="EE947" s="89"/>
      <c r="EF947" s="147"/>
      <c r="EG947" s="170"/>
      <c r="EH947" s="170"/>
      <c r="EI947" s="170"/>
      <c r="EJ947" s="170"/>
      <c r="EK947" s="170"/>
      <c r="EL947" s="170"/>
      <c r="EM947" s="9"/>
      <c r="EN947" s="9"/>
      <c r="EO947" s="9"/>
      <c r="EP947" s="9"/>
      <c r="EQ947" s="9"/>
      <c r="ER947" s="9"/>
      <c r="ES947" s="9"/>
      <c r="ET947" s="9"/>
      <c r="EU947" s="9"/>
      <c r="EV947" s="9"/>
      <c r="EW947" s="9"/>
      <c r="EX947" s="9"/>
      <c r="EY947" s="9"/>
      <c r="EZ947" s="9"/>
      <c r="FA947" s="9"/>
      <c r="FB947" s="9"/>
      <c r="FC947" s="9"/>
      <c r="FD947" s="9"/>
      <c r="FE947" s="9"/>
      <c r="FF947" s="9"/>
      <c r="FG947" s="9"/>
      <c r="FH947" s="9"/>
      <c r="FI947" s="9"/>
      <c r="FJ947" s="9"/>
      <c r="FK947" s="9"/>
      <c r="FL947" s="9"/>
      <c r="FM947" s="9"/>
      <c r="FN947" s="9"/>
      <c r="FO947" s="9"/>
      <c r="FP947" s="9"/>
      <c r="FQ947" s="9"/>
      <c r="FR947" s="9"/>
      <c r="FS947" s="9"/>
      <c r="FT947" s="9"/>
      <c r="FU947" s="9"/>
      <c r="FV947" s="9"/>
      <c r="FW947" s="9"/>
      <c r="FX947" s="9"/>
      <c r="FY947" s="9"/>
      <c r="FZ947" s="9"/>
      <c r="GA947" s="9"/>
      <c r="GB947" s="9"/>
      <c r="GC947" s="9"/>
      <c r="GD947" s="9"/>
      <c r="GE947" s="9"/>
      <c r="GF947" s="9"/>
      <c r="GG947" s="9"/>
      <c r="GH947" s="9"/>
      <c r="GI947" s="9"/>
      <c r="GJ947" s="9"/>
      <c r="GK947" s="9"/>
      <c r="GL947" s="9"/>
      <c r="GM947" s="9"/>
      <c r="GN947" s="9"/>
      <c r="GO947" s="9"/>
      <c r="GP947" s="9"/>
      <c r="GQ947" s="9"/>
      <c r="GR947" s="9"/>
      <c r="GS947" s="9"/>
      <c r="GT947" s="9"/>
      <c r="GU947" s="9"/>
      <c r="GV947" s="9"/>
      <c r="GW947" s="9"/>
      <c r="GX947" s="9"/>
      <c r="GY947" s="9"/>
      <c r="GZ947" s="9"/>
      <c r="HA947" s="9"/>
      <c r="HB947" s="9"/>
      <c r="HC947" s="9"/>
      <c r="HD947" s="9"/>
      <c r="HE947" s="9"/>
      <c r="HF947" s="9"/>
      <c r="HG947" s="9"/>
      <c r="HH947" s="9"/>
      <c r="HI947" s="9"/>
      <c r="HJ947" s="9"/>
      <c r="HK947" s="9"/>
      <c r="HL947" s="89"/>
      <c r="HM947" s="89"/>
      <c r="HN947" s="89"/>
      <c r="HO947" s="89"/>
      <c r="HP947" s="89"/>
      <c r="HQ947" s="89"/>
      <c r="HR947" s="89"/>
      <c r="HS947" s="89"/>
      <c r="HT947" s="147"/>
      <c r="HU947" s="89"/>
      <c r="HV947" s="89"/>
      <c r="HW947" s="89"/>
      <c r="HX947" s="89"/>
      <c r="HY947" s="89"/>
      <c r="HZ947" s="89"/>
      <c r="IA947" s="89"/>
      <c r="IB947" s="89"/>
      <c r="IC947" s="89"/>
      <c r="ID947" s="89"/>
      <c r="IE947" s="89"/>
      <c r="IF947" s="89"/>
      <c r="IG947" s="89"/>
      <c r="IH947" s="89"/>
      <c r="II947" s="89"/>
      <c r="IJ947" s="89"/>
      <c r="IK947" s="89"/>
      <c r="IL947" s="89"/>
      <c r="IM947" s="89"/>
      <c r="IN947" s="89"/>
      <c r="IO947" s="89"/>
      <c r="IP947" s="89"/>
      <c r="IQ947" s="89"/>
      <c r="IR947" s="152"/>
      <c r="IS947" s="173"/>
      <c r="IT947" s="89"/>
      <c r="IU947" s="89"/>
      <c r="IV947" s="89"/>
      <c r="IW947" s="147"/>
      <c r="IX947" s="89"/>
      <c r="IY947" s="148"/>
      <c r="IZ947" s="89"/>
      <c r="JA947" s="89"/>
      <c r="JB947" s="89"/>
      <c r="JC947" s="89"/>
      <c r="JD947" s="89"/>
      <c r="JE947" s="89"/>
      <c r="JF947" s="89"/>
      <c r="JG947" s="89"/>
      <c r="JH947" s="89"/>
      <c r="JI947" s="89"/>
      <c r="JJ947" s="89"/>
      <c r="JK947" s="89"/>
      <c r="JL947" s="89"/>
      <c r="JM947" s="89"/>
      <c r="JN947" s="200"/>
      <c r="JO947" s="173"/>
      <c r="JP947" s="2"/>
      <c r="JQ947" s="89"/>
      <c r="JR947" s="89"/>
      <c r="JS947" s="147"/>
      <c r="JT947" s="89"/>
      <c r="JU947" s="89"/>
      <c r="JV947" s="89"/>
      <c r="JW947" s="89"/>
      <c r="JX947" s="89"/>
      <c r="JY947" s="89"/>
      <c r="JZ947" s="89"/>
      <c r="KA947" s="89"/>
      <c r="KB947" s="89"/>
      <c r="KC947" s="89"/>
      <c r="KD947" s="89"/>
      <c r="KE947" s="89"/>
      <c r="KF947" s="89"/>
      <c r="KG947" s="89"/>
      <c r="KH947" s="89"/>
      <c r="KI947" s="152"/>
      <c r="KJ947" s="173"/>
      <c r="KK947" s="89"/>
      <c r="KL947" s="89"/>
      <c r="KM947" s="89"/>
      <c r="KN947" s="89"/>
      <c r="KO947" s="89"/>
      <c r="KP947" s="89"/>
      <c r="KQ947" s="152"/>
      <c r="KR947" s="173"/>
      <c r="KS947" s="89"/>
      <c r="KT947" s="89"/>
      <c r="KU947" s="89"/>
      <c r="KV947" s="89"/>
      <c r="KW947" s="89"/>
      <c r="KX947" s="89"/>
      <c r="KY947" s="89"/>
      <c r="LG947" s="89"/>
      <c r="LH947" s="89"/>
      <c r="LI947" s="89"/>
      <c r="LJ947" s="89"/>
      <c r="LK947" s="89"/>
      <c r="LL947" s="89"/>
      <c r="LM947" s="89"/>
      <c r="LN947" s="89"/>
      <c r="LO947" s="89"/>
      <c r="LP947" s="89"/>
      <c r="LQ947" s="89"/>
      <c r="LR947" s="89"/>
      <c r="LS947" s="89"/>
      <c r="LT947" s="89"/>
      <c r="LU947" s="89"/>
      <c r="LV947" s="89"/>
      <c r="LW947" s="89"/>
      <c r="LX947" s="89"/>
      <c r="LY947" s="89"/>
      <c r="LZ947" s="89"/>
      <c r="MA947" s="89"/>
      <c r="MB947" s="89"/>
      <c r="MC947" s="89"/>
      <c r="MD947" s="89"/>
      <c r="ME947" s="89"/>
      <c r="MF947" s="89"/>
      <c r="MG947" s="89"/>
      <c r="MH947" s="89"/>
      <c r="MI947" s="89"/>
      <c r="MJ947" s="89"/>
      <c r="MK947" s="89"/>
      <c r="ML947" s="89"/>
      <c r="MM947" s="89"/>
      <c r="MN947" s="89"/>
      <c r="MO947" s="89"/>
      <c r="MP947" s="89"/>
      <c r="MQ947" s="89"/>
      <c r="MR947" s="89"/>
      <c r="MS947" s="89"/>
      <c r="MT947" s="89"/>
      <c r="MU947" s="89"/>
      <c r="MV947" s="89"/>
      <c r="MW947" s="89"/>
      <c r="MX947" s="89"/>
      <c r="MY947" s="89"/>
      <c r="MZ947" s="89"/>
      <c r="NA947" s="89"/>
      <c r="NB947" s="89"/>
      <c r="NC947" s="89"/>
      <c r="ND947" s="89"/>
      <c r="NE947" s="89"/>
      <c r="NF947" s="89"/>
      <c r="NG947" s="89"/>
      <c r="NH947" s="89"/>
      <c r="NI947" s="89"/>
      <c r="NJ947" s="89"/>
      <c r="NK947" s="89"/>
      <c r="NL947" s="89"/>
      <c r="NM947" s="89"/>
      <c r="NN947" s="89"/>
      <c r="NO947" s="147"/>
      <c r="NP947" s="199"/>
      <c r="NQ947" s="89"/>
      <c r="NR947" s="89"/>
      <c r="NS947" s="89"/>
      <c r="NT947" s="89"/>
      <c r="NU947" s="89"/>
      <c r="NV947" s="89"/>
      <c r="NW947" s="89"/>
      <c r="NX947" s="89"/>
      <c r="NY947" s="89"/>
      <c r="NZ947" s="89"/>
      <c r="OA947" s="147"/>
      <c r="OB947" s="97"/>
      <c r="OC947" s="89"/>
      <c r="OD947" s="89"/>
      <c r="OE947" s="89"/>
      <c r="OF947" s="89"/>
      <c r="OG947" s="89"/>
      <c r="OH947" s="89"/>
      <c r="OI947" s="89"/>
      <c r="OJ947" s="89"/>
      <c r="OK947" s="89"/>
      <c r="OL947" s="89"/>
      <c r="OM947" s="89"/>
      <c r="ON947" s="89"/>
      <c r="OO947" s="89"/>
      <c r="OP947" s="89"/>
      <c r="OQ947" s="89"/>
      <c r="OR947" s="89"/>
      <c r="OS947" s="89"/>
      <c r="OT947" s="89"/>
      <c r="OU947" s="89"/>
      <c r="OV947" s="89"/>
      <c r="OW947" s="89"/>
      <c r="OX947" s="89"/>
      <c r="OY947" s="89"/>
      <c r="OZ947" s="89"/>
      <c r="PA947" s="89"/>
      <c r="PB947" s="89"/>
    </row>
    <row r="948" spans="1:418" ht="15.75" thickBot="1">
      <c r="A948" s="204"/>
      <c r="B948" s="2"/>
      <c r="C948" s="2"/>
      <c r="D948" s="99"/>
      <c r="E948" s="2"/>
      <c r="F948" s="147"/>
      <c r="G948" s="2"/>
      <c r="H948" s="2"/>
      <c r="I948" s="147"/>
      <c r="J948" s="147"/>
      <c r="K948" s="147"/>
      <c r="L948" s="2"/>
      <c r="M948" s="99"/>
      <c r="N948" s="2"/>
      <c r="O948" s="89"/>
      <c r="P948" s="2"/>
      <c r="Q948" s="2"/>
      <c r="R948" s="89"/>
      <c r="S948" s="89"/>
      <c r="T948" s="89"/>
      <c r="X948" s="3"/>
      <c r="AA948" s="3"/>
      <c r="AB948" s="3"/>
      <c r="AC948" s="3"/>
      <c r="AG948" s="3"/>
      <c r="AJ948" s="3"/>
      <c r="AK948" s="3"/>
      <c r="AL948" s="3"/>
      <c r="AP948" s="3"/>
      <c r="AS948" s="3"/>
      <c r="AT948" s="3"/>
      <c r="AU948" s="3"/>
      <c r="AV948" s="2"/>
      <c r="AW948" s="2"/>
      <c r="AX948" s="2"/>
      <c r="AY948" s="2"/>
      <c r="AZ948" s="2"/>
      <c r="BA948" s="2"/>
      <c r="BB948" s="2"/>
      <c r="BC948" s="2"/>
      <c r="BD948" s="2"/>
      <c r="BE948" s="2"/>
      <c r="BF948" s="2"/>
      <c r="BG948" s="2"/>
      <c r="BH948" s="2"/>
      <c r="BI948" s="2"/>
      <c r="BJ948" s="99"/>
      <c r="BK948" s="205"/>
      <c r="BL948" s="2"/>
      <c r="BM948" s="2"/>
      <c r="BN948" s="2"/>
      <c r="BO948" s="2"/>
      <c r="BP948" s="2"/>
      <c r="BQ948" s="2"/>
      <c r="BR948" s="2"/>
      <c r="BS948" s="2"/>
      <c r="BT948" s="2"/>
      <c r="BU948" s="2"/>
      <c r="BV948" s="2"/>
      <c r="EE948" s="2"/>
      <c r="EF948" s="99"/>
      <c r="EG948" s="205"/>
      <c r="EH948" s="205"/>
      <c r="EI948" s="205"/>
      <c r="EJ948" s="205"/>
      <c r="EK948" s="205"/>
      <c r="EL948" s="205"/>
      <c r="EM948" s="9"/>
      <c r="EN948" s="9"/>
      <c r="EO948" s="9"/>
      <c r="EP948" s="9"/>
      <c r="EQ948" s="9"/>
      <c r="ER948" s="9"/>
      <c r="ES948" s="9"/>
      <c r="ET948" s="9"/>
      <c r="EU948" s="9"/>
      <c r="EV948" s="9"/>
      <c r="EW948" s="9"/>
      <c r="EX948" s="9"/>
      <c r="EY948" s="9"/>
      <c r="EZ948" s="9"/>
      <c r="FA948" s="9"/>
      <c r="FB948" s="9"/>
      <c r="FC948" s="9"/>
      <c r="FD948" s="9"/>
      <c r="FE948" s="9"/>
      <c r="FF948" s="9"/>
      <c r="FG948" s="9"/>
      <c r="FH948" s="9"/>
      <c r="FI948" s="9"/>
      <c r="FJ948" s="9"/>
      <c r="FK948" s="9"/>
      <c r="FL948" s="9"/>
      <c r="FM948" s="9"/>
      <c r="FN948" s="9"/>
      <c r="FO948" s="9"/>
      <c r="FP948" s="9"/>
      <c r="FQ948" s="9"/>
      <c r="FR948" s="9"/>
      <c r="FS948" s="9"/>
      <c r="FT948" s="9"/>
      <c r="FU948" s="9"/>
      <c r="FV948" s="9"/>
      <c r="FW948" s="9"/>
      <c r="FX948" s="9"/>
      <c r="FY948" s="9"/>
      <c r="FZ948" s="9"/>
      <c r="GA948" s="9"/>
      <c r="GB948" s="9"/>
      <c r="GC948" s="9"/>
      <c r="GD948" s="9"/>
      <c r="GE948" s="9"/>
      <c r="GF948" s="9"/>
      <c r="GG948" s="9"/>
      <c r="GH948" s="9"/>
      <c r="GI948" s="9"/>
      <c r="GJ948" s="9"/>
      <c r="GK948" s="9"/>
      <c r="GL948" s="9"/>
      <c r="GM948" s="9"/>
      <c r="GN948" s="9"/>
      <c r="GO948" s="9"/>
      <c r="GP948" s="9"/>
      <c r="GQ948" s="9"/>
      <c r="GR948" s="9"/>
      <c r="GS948" s="9"/>
      <c r="GT948" s="9"/>
      <c r="GU948" s="9"/>
      <c r="GV948" s="9"/>
      <c r="GW948" s="9"/>
      <c r="GX948" s="9"/>
      <c r="GY948" s="9"/>
      <c r="GZ948" s="9"/>
      <c r="HA948" s="9"/>
      <c r="HB948" s="9"/>
      <c r="HC948" s="9"/>
      <c r="HD948" s="9"/>
      <c r="HE948" s="9"/>
      <c r="HF948" s="9"/>
      <c r="HG948" s="9"/>
      <c r="HH948" s="9"/>
      <c r="HI948" s="9"/>
      <c r="HJ948" s="9"/>
      <c r="HK948" s="9"/>
      <c r="HL948" s="2"/>
      <c r="HM948" s="2"/>
      <c r="HN948" s="2"/>
      <c r="HO948" s="2"/>
      <c r="HP948" s="2"/>
      <c r="HQ948" s="2"/>
      <c r="HR948" s="2"/>
      <c r="HS948" s="2"/>
      <c r="HT948" s="99"/>
      <c r="HU948" s="2"/>
      <c r="HV948" s="2"/>
      <c r="HW948" s="2"/>
      <c r="HX948" s="2"/>
      <c r="HY948" s="2"/>
      <c r="HZ948" s="2"/>
      <c r="IA948" s="2"/>
      <c r="IB948" s="2"/>
      <c r="IC948" s="2"/>
      <c r="ID948" s="2"/>
      <c r="IE948" s="2"/>
      <c r="IF948" s="2"/>
      <c r="IG948" s="2"/>
      <c r="IH948" s="2"/>
      <c r="II948" s="2"/>
      <c r="IJ948" s="2"/>
      <c r="IK948" s="2"/>
      <c r="IL948" s="2"/>
      <c r="IM948" s="2"/>
      <c r="IN948" s="2"/>
      <c r="IO948" s="2"/>
      <c r="IP948" s="2"/>
      <c r="IQ948" s="2"/>
      <c r="IR948" s="163"/>
      <c r="IS948" s="167"/>
      <c r="IT948" s="2"/>
      <c r="IU948" s="2"/>
      <c r="IV948" s="2"/>
      <c r="IW948" s="99"/>
      <c r="IX948" s="2"/>
      <c r="IY948" s="2"/>
      <c r="IZ948" s="2"/>
      <c r="JA948" s="2"/>
      <c r="JB948" s="2"/>
      <c r="JC948" s="2"/>
      <c r="JD948" s="2"/>
      <c r="JE948" s="2"/>
      <c r="JF948" s="2"/>
      <c r="JG948" s="2"/>
      <c r="JH948" s="2"/>
      <c r="JI948" s="2"/>
      <c r="JJ948" s="2"/>
      <c r="JK948" s="2"/>
      <c r="JL948" s="2"/>
      <c r="JM948" s="2"/>
      <c r="JN948" s="200"/>
      <c r="JO948" s="167"/>
      <c r="JP948" s="2"/>
      <c r="JQ948" s="2"/>
      <c r="JR948" s="2"/>
      <c r="JS948" s="99"/>
      <c r="JT948" s="2"/>
      <c r="JU948" s="2"/>
      <c r="JV948" s="2"/>
      <c r="JW948" s="2"/>
      <c r="JX948" s="2"/>
      <c r="JY948" s="2"/>
      <c r="JZ948" s="2"/>
      <c r="KA948" s="2"/>
      <c r="KB948" s="2"/>
      <c r="KC948" s="2"/>
      <c r="KD948" s="2"/>
      <c r="KE948" s="2"/>
      <c r="KF948" s="2"/>
      <c r="KG948" s="2"/>
      <c r="KH948" s="2"/>
      <c r="KI948" s="163"/>
      <c r="KJ948" s="167"/>
      <c r="KK948" s="2"/>
      <c r="KL948" s="2"/>
      <c r="KM948" s="2"/>
      <c r="KN948" s="2"/>
      <c r="KO948" s="2"/>
      <c r="KP948" s="2"/>
      <c r="KQ948" s="163"/>
      <c r="KR948" s="167"/>
      <c r="KS948" s="2"/>
      <c r="KT948" s="2"/>
      <c r="KU948" s="2"/>
      <c r="KV948" s="2"/>
      <c r="KW948" s="2"/>
      <c r="KX948" s="2"/>
      <c r="KY948" s="2"/>
      <c r="LG948" s="2"/>
      <c r="LH948" s="2"/>
      <c r="LI948" s="2"/>
      <c r="LJ948" s="2"/>
      <c r="LK948" s="2"/>
      <c r="LL948" s="2"/>
      <c r="LM948" s="2"/>
      <c r="LN948" s="2"/>
      <c r="LO948" s="2"/>
      <c r="LP948" s="2"/>
      <c r="LQ948" s="2"/>
      <c r="LR948" s="2"/>
      <c r="LS948" s="2"/>
      <c r="LT948" s="2"/>
      <c r="LU948" s="2"/>
      <c r="LV948" s="2"/>
      <c r="LW948" s="2"/>
      <c r="LX948" s="2"/>
      <c r="LY948" s="2"/>
      <c r="LZ948" s="2"/>
      <c r="MA948" s="2"/>
      <c r="MB948" s="2"/>
      <c r="MC948" s="2"/>
      <c r="MD948" s="2"/>
      <c r="ME948" s="2"/>
      <c r="MF948" s="2"/>
      <c r="MG948" s="2"/>
      <c r="MH948" s="2"/>
      <c r="MI948" s="2"/>
      <c r="MJ948" s="2"/>
      <c r="MK948" s="2"/>
      <c r="ML948" s="2"/>
      <c r="MM948" s="2"/>
      <c r="MN948" s="2"/>
      <c r="MO948" s="2"/>
      <c r="MP948" s="2"/>
      <c r="MQ948" s="2"/>
      <c r="MR948" s="2"/>
      <c r="MS948" s="2"/>
      <c r="MT948" s="2"/>
      <c r="MU948" s="2"/>
      <c r="MV948" s="2"/>
      <c r="MW948" s="2"/>
      <c r="MX948" s="2"/>
      <c r="MY948" s="2"/>
      <c r="MZ948" s="2"/>
      <c r="NA948" s="2"/>
      <c r="NB948" s="2"/>
      <c r="NC948" s="2"/>
      <c r="ND948" s="2"/>
      <c r="NE948" s="2"/>
      <c r="NF948" s="2"/>
      <c r="NG948" s="2"/>
      <c r="NH948" s="2"/>
      <c r="NI948" s="2"/>
      <c r="NJ948" s="2"/>
      <c r="NK948" s="2"/>
      <c r="NL948" s="2"/>
      <c r="NM948" s="2"/>
      <c r="NN948" s="2"/>
      <c r="NO948" s="99"/>
      <c r="NP948" s="203"/>
      <c r="NQ948" s="2"/>
      <c r="NR948" s="2"/>
      <c r="NS948" s="2"/>
      <c r="NT948" s="2"/>
      <c r="NU948" s="2"/>
      <c r="NV948" s="2"/>
      <c r="NW948" s="2"/>
      <c r="NX948" s="2"/>
      <c r="NY948" s="2"/>
      <c r="NZ948" s="2"/>
      <c r="OA948" s="99"/>
      <c r="OB948" s="168"/>
      <c r="OC948" s="2"/>
      <c r="OD948" s="2"/>
      <c r="OE948" s="2"/>
      <c r="OF948" s="2"/>
      <c r="OG948" s="2"/>
      <c r="OH948" s="2"/>
      <c r="OI948" s="2"/>
      <c r="OJ948" s="2"/>
      <c r="OK948" s="2"/>
      <c r="OL948" s="2"/>
      <c r="OM948" s="2"/>
      <c r="ON948" s="2"/>
      <c r="OO948" s="2"/>
      <c r="OP948" s="2"/>
      <c r="OQ948" s="2"/>
      <c r="OR948" s="2"/>
      <c r="OS948" s="2"/>
      <c r="OT948" s="2"/>
      <c r="OU948" s="2"/>
      <c r="OV948" s="2"/>
      <c r="OW948" s="2"/>
      <c r="OX948" s="2"/>
      <c r="OY948" s="2"/>
      <c r="OZ948" s="2"/>
      <c r="PA948" s="2"/>
      <c r="PB948" s="2"/>
    </row>
    <row r="949" spans="1:418" ht="15.75" thickBot="1">
      <c r="A949" s="202"/>
      <c r="B949" s="89"/>
      <c r="C949" s="89"/>
      <c r="D949" s="147"/>
      <c r="E949" s="89"/>
      <c r="F949" s="147"/>
      <c r="G949" s="89"/>
      <c r="H949" s="89"/>
      <c r="I949" s="147"/>
      <c r="J949" s="147"/>
      <c r="K949" s="147"/>
      <c r="L949" s="89"/>
      <c r="M949" s="147"/>
      <c r="N949" s="89"/>
      <c r="O949" s="89"/>
      <c r="P949" s="89"/>
      <c r="Q949" s="89"/>
      <c r="R949" s="89"/>
      <c r="S949" s="89"/>
      <c r="T949" s="89"/>
      <c r="X949" s="3"/>
      <c r="AA949" s="3"/>
      <c r="AB949" s="3"/>
      <c r="AC949" s="3"/>
      <c r="AG949" s="3"/>
      <c r="AJ949" s="3"/>
      <c r="AK949" s="3"/>
      <c r="AL949" s="3"/>
      <c r="AP949" s="3"/>
      <c r="AS949" s="3"/>
      <c r="AT949" s="3"/>
      <c r="AU949" s="3"/>
      <c r="AV949" s="89"/>
      <c r="AW949" s="89"/>
      <c r="AX949" s="89"/>
      <c r="AY949" s="89"/>
      <c r="AZ949" s="89"/>
      <c r="BA949" s="89"/>
      <c r="BB949" s="89"/>
      <c r="BC949" s="89"/>
      <c r="BD949" s="89"/>
      <c r="BE949" s="89"/>
      <c r="BF949" s="89"/>
      <c r="BG949" s="89"/>
      <c r="BH949" s="89"/>
      <c r="BI949" s="89"/>
      <c r="BJ949" s="147"/>
      <c r="BK949" s="170"/>
      <c r="BL949" s="89"/>
      <c r="BM949" s="89"/>
      <c r="BN949" s="89"/>
      <c r="BO949" s="89"/>
      <c r="BP949" s="89"/>
      <c r="BQ949" s="89"/>
      <c r="BR949" s="89"/>
      <c r="BS949" s="89"/>
      <c r="BT949" s="89"/>
      <c r="BU949" s="89"/>
      <c r="BV949" s="89"/>
      <c r="EE949" s="89"/>
      <c r="EF949" s="89"/>
      <c r="EG949" s="89"/>
      <c r="EH949" s="89"/>
      <c r="EI949" s="89"/>
      <c r="EJ949" s="89"/>
      <c r="EK949" s="89"/>
      <c r="EL949" s="89"/>
      <c r="EM949" s="9"/>
      <c r="EN949" s="9"/>
      <c r="EO949" s="9"/>
      <c r="EP949" s="9"/>
      <c r="EQ949" s="9"/>
      <c r="ER949" s="9"/>
      <c r="ES949" s="9"/>
      <c r="ET949" s="9"/>
      <c r="EU949" s="9"/>
      <c r="EV949" s="9"/>
      <c r="EW949" s="9"/>
      <c r="EX949" s="9"/>
      <c r="EY949" s="9"/>
      <c r="EZ949" s="9"/>
      <c r="FA949" s="9"/>
      <c r="FB949" s="9"/>
      <c r="FC949" s="9"/>
      <c r="FD949" s="9"/>
      <c r="FE949" s="9"/>
      <c r="FF949" s="9"/>
      <c r="FG949" s="9"/>
      <c r="FH949" s="9"/>
      <c r="FI949" s="9"/>
      <c r="FJ949" s="9"/>
      <c r="FK949" s="9"/>
      <c r="FL949" s="9"/>
      <c r="FM949" s="9"/>
      <c r="FN949" s="9"/>
      <c r="FO949" s="9"/>
      <c r="FP949" s="9"/>
      <c r="FQ949" s="9"/>
      <c r="FR949" s="9"/>
      <c r="FS949" s="9"/>
      <c r="FT949" s="9"/>
      <c r="FU949" s="9"/>
      <c r="FV949" s="9"/>
      <c r="FW949" s="9"/>
      <c r="FX949" s="9"/>
      <c r="FY949" s="9"/>
      <c r="FZ949" s="9"/>
      <c r="GA949" s="9"/>
      <c r="GB949" s="9"/>
      <c r="GC949" s="9"/>
      <c r="GD949" s="9"/>
      <c r="GE949" s="9"/>
      <c r="GF949" s="9"/>
      <c r="GG949" s="9"/>
      <c r="GH949" s="9"/>
      <c r="GI949" s="9"/>
      <c r="GJ949" s="9"/>
      <c r="GK949" s="9"/>
      <c r="GL949" s="9"/>
      <c r="GM949" s="9"/>
      <c r="GN949" s="9"/>
      <c r="GO949" s="9"/>
      <c r="GP949" s="9"/>
      <c r="GQ949" s="9"/>
      <c r="GR949" s="9"/>
      <c r="GS949" s="9"/>
      <c r="GT949" s="9"/>
      <c r="GU949" s="9"/>
      <c r="GV949" s="9"/>
      <c r="GW949" s="9"/>
      <c r="GX949" s="9"/>
      <c r="GY949" s="9"/>
      <c r="GZ949" s="9"/>
      <c r="HA949" s="9"/>
      <c r="HB949" s="9"/>
      <c r="HC949" s="9"/>
      <c r="HD949" s="9"/>
      <c r="HE949" s="9"/>
      <c r="HF949" s="9"/>
      <c r="HG949" s="9"/>
      <c r="HH949" s="9"/>
      <c r="HI949" s="9"/>
      <c r="HJ949" s="9"/>
      <c r="HK949" s="9"/>
      <c r="HL949" s="89"/>
      <c r="HM949" s="89"/>
      <c r="HN949" s="89"/>
      <c r="HO949" s="89"/>
      <c r="HP949" s="89"/>
      <c r="HQ949" s="89"/>
      <c r="HR949" s="89"/>
      <c r="HS949" s="89"/>
      <c r="HT949" s="147"/>
      <c r="HU949" s="89"/>
      <c r="HV949" s="89"/>
      <c r="HW949" s="89"/>
      <c r="HX949" s="89"/>
      <c r="HY949" s="89"/>
      <c r="HZ949" s="89"/>
      <c r="IA949" s="89"/>
      <c r="IB949" s="89"/>
      <c r="IC949" s="89"/>
      <c r="ID949" s="89"/>
      <c r="IE949" s="89"/>
      <c r="IF949" s="89"/>
      <c r="IG949" s="89"/>
      <c r="IH949" s="89"/>
      <c r="II949" s="89"/>
      <c r="IJ949" s="89"/>
      <c r="IK949" s="89"/>
      <c r="IL949" s="89"/>
      <c r="IM949" s="89"/>
      <c r="IN949" s="89"/>
      <c r="IO949" s="89"/>
      <c r="IP949" s="89"/>
      <c r="IQ949" s="89"/>
      <c r="IR949" s="152"/>
      <c r="IS949" s="173"/>
      <c r="IT949" s="89"/>
      <c r="IU949" s="89"/>
      <c r="IV949" s="89"/>
      <c r="IW949" s="147"/>
      <c r="IX949" s="89"/>
      <c r="IY949" s="89"/>
      <c r="IZ949" s="89"/>
      <c r="JA949" s="89"/>
      <c r="JB949" s="89"/>
      <c r="JC949" s="89"/>
      <c r="JD949" s="89"/>
      <c r="JE949" s="89"/>
      <c r="JF949" s="89"/>
      <c r="JG949" s="89"/>
      <c r="JH949" s="89"/>
      <c r="JI949" s="89"/>
      <c r="JJ949" s="89"/>
      <c r="JK949" s="89"/>
      <c r="JL949" s="89"/>
      <c r="JM949" s="89"/>
      <c r="JN949" s="200"/>
      <c r="JO949" s="173"/>
      <c r="JP949" s="2"/>
      <c r="JQ949" s="89"/>
      <c r="JR949" s="89"/>
      <c r="JS949" s="147"/>
      <c r="JT949" s="89"/>
      <c r="JU949" s="89"/>
      <c r="JV949" s="89"/>
      <c r="JW949" s="89"/>
      <c r="JX949" s="89"/>
      <c r="JY949" s="89"/>
      <c r="JZ949" s="89"/>
      <c r="KA949" s="89"/>
      <c r="KB949" s="89"/>
      <c r="KC949" s="89"/>
      <c r="KD949" s="89"/>
      <c r="KE949" s="89"/>
      <c r="KF949" s="89"/>
      <c r="KG949" s="89"/>
      <c r="KH949" s="89"/>
      <c r="KI949" s="152"/>
      <c r="KJ949" s="173"/>
      <c r="KK949" s="89"/>
      <c r="KL949" s="89"/>
      <c r="KM949" s="89"/>
      <c r="KN949" s="89"/>
      <c r="KO949" s="89"/>
      <c r="KP949" s="89"/>
      <c r="KQ949" s="152"/>
      <c r="KR949" s="173"/>
      <c r="KS949" s="89"/>
      <c r="KT949" s="89"/>
      <c r="KU949" s="89"/>
      <c r="KV949" s="89"/>
      <c r="KW949" s="89"/>
      <c r="KX949" s="89"/>
      <c r="KY949" s="89"/>
      <c r="LG949" s="89"/>
      <c r="LH949" s="89"/>
      <c r="LI949" s="89"/>
      <c r="LJ949" s="89"/>
      <c r="LK949" s="89"/>
      <c r="LL949" s="89"/>
      <c r="LM949" s="89"/>
      <c r="LN949" s="89"/>
      <c r="LO949" s="89"/>
      <c r="LP949" s="89"/>
      <c r="LQ949" s="89"/>
      <c r="LR949" s="89"/>
      <c r="LS949" s="89"/>
      <c r="LT949" s="89"/>
      <c r="LU949" s="89"/>
      <c r="LV949" s="89"/>
      <c r="LW949" s="89"/>
      <c r="LX949" s="89"/>
      <c r="LY949" s="89"/>
      <c r="LZ949" s="89"/>
      <c r="MA949" s="89"/>
      <c r="MB949" s="89"/>
      <c r="MC949" s="89"/>
      <c r="MD949" s="89"/>
      <c r="ME949" s="89"/>
      <c r="MF949" s="89"/>
      <c r="MG949" s="89"/>
      <c r="MH949" s="89"/>
      <c r="MI949" s="89"/>
      <c r="MJ949" s="89"/>
      <c r="MK949" s="89"/>
      <c r="ML949" s="89"/>
      <c r="MM949" s="89"/>
      <c r="MN949" s="89"/>
      <c r="MO949" s="89"/>
      <c r="MP949" s="89"/>
      <c r="MQ949" s="89"/>
      <c r="MR949" s="89"/>
      <c r="MS949" s="89"/>
      <c r="MT949" s="89"/>
      <c r="MU949" s="89"/>
      <c r="MV949" s="89"/>
      <c r="MW949" s="89"/>
      <c r="MX949" s="89"/>
      <c r="MY949" s="89"/>
      <c r="MZ949" s="89"/>
      <c r="NA949" s="89"/>
      <c r="NB949" s="89"/>
      <c r="NC949" s="89"/>
      <c r="ND949" s="89"/>
      <c r="NE949" s="89"/>
      <c r="NF949" s="89"/>
      <c r="NG949" s="89"/>
      <c r="NH949" s="89"/>
      <c r="NI949" s="89"/>
      <c r="NJ949" s="89"/>
      <c r="NK949" s="89"/>
      <c r="NL949" s="89"/>
      <c r="NM949" s="89"/>
      <c r="NN949" s="89"/>
      <c r="NO949" s="147"/>
      <c r="NP949" s="199"/>
      <c r="NQ949" s="89"/>
      <c r="NR949" s="89"/>
      <c r="NS949" s="89"/>
      <c r="NT949" s="89"/>
      <c r="NU949" s="89"/>
      <c r="NV949" s="89"/>
      <c r="NW949" s="89"/>
      <c r="NX949" s="89"/>
      <c r="NY949" s="89"/>
      <c r="NZ949" s="89"/>
      <c r="OA949" s="147"/>
      <c r="OB949" s="97"/>
      <c r="OC949" s="89"/>
      <c r="OD949" s="89"/>
      <c r="OE949" s="89"/>
      <c r="OF949" s="89"/>
      <c r="OG949" s="89"/>
      <c r="OH949" s="89"/>
      <c r="OI949" s="89"/>
      <c r="OJ949" s="89"/>
      <c r="OK949" s="89"/>
      <c r="OL949" s="89"/>
      <c r="OM949" s="89"/>
      <c r="ON949" s="89"/>
      <c r="OO949" s="89"/>
      <c r="OP949" s="89"/>
      <c r="OQ949" s="89"/>
      <c r="OR949" s="89"/>
      <c r="OS949" s="89"/>
      <c r="OT949" s="89"/>
      <c r="OU949" s="89"/>
      <c r="OV949" s="89"/>
      <c r="OW949" s="89"/>
      <c r="OX949" s="89"/>
      <c r="OY949" s="89"/>
      <c r="OZ949" s="89"/>
      <c r="PA949" s="89"/>
      <c r="PB949" s="89"/>
    </row>
    <row r="950" spans="1:418" ht="15.75" thickBot="1">
      <c r="A950" s="204"/>
      <c r="B950" s="2"/>
      <c r="C950" s="2"/>
      <c r="D950" s="99"/>
      <c r="E950" s="2"/>
      <c r="F950" s="147"/>
      <c r="G950" s="2"/>
      <c r="H950" s="2"/>
      <c r="I950" s="147"/>
      <c r="J950" s="147"/>
      <c r="K950" s="147"/>
      <c r="L950" s="2"/>
      <c r="M950" s="99"/>
      <c r="N950" s="2"/>
      <c r="O950" s="89"/>
      <c r="P950" s="2"/>
      <c r="Q950" s="2"/>
      <c r="R950" s="89"/>
      <c r="S950" s="89"/>
      <c r="T950" s="89"/>
      <c r="X950" s="3"/>
      <c r="AA950" s="3"/>
      <c r="AB950" s="3"/>
      <c r="AC950" s="3"/>
      <c r="AG950" s="3"/>
      <c r="AJ950" s="3"/>
      <c r="AK950" s="3"/>
      <c r="AL950" s="3"/>
      <c r="AP950" s="3"/>
      <c r="AS950" s="3"/>
      <c r="AT950" s="3"/>
      <c r="AU950" s="3"/>
      <c r="AV950" s="2"/>
      <c r="AW950" s="2"/>
      <c r="AX950" s="2"/>
      <c r="AY950" s="2"/>
      <c r="AZ950" s="2"/>
      <c r="BA950" s="2"/>
      <c r="BB950" s="2"/>
      <c r="BC950" s="2"/>
      <c r="BD950" s="2"/>
      <c r="BE950" s="2"/>
      <c r="BF950" s="2"/>
      <c r="BG950" s="2"/>
      <c r="BH950" s="2"/>
      <c r="BI950" s="2"/>
      <c r="BJ950" s="99"/>
      <c r="BK950" s="205"/>
      <c r="BL950" s="2"/>
      <c r="BM950" s="2"/>
      <c r="BN950" s="2"/>
      <c r="BO950" s="2"/>
      <c r="BP950" s="2"/>
      <c r="BQ950" s="2"/>
      <c r="BR950" s="2"/>
      <c r="BS950" s="2"/>
      <c r="BT950" s="2"/>
      <c r="BU950" s="2"/>
      <c r="BV950" s="2"/>
      <c r="EE950" s="2"/>
      <c r="EF950" s="2"/>
      <c r="EG950" s="2"/>
      <c r="EH950" s="2"/>
      <c r="EI950" s="2"/>
      <c r="EJ950" s="2"/>
      <c r="EK950" s="2"/>
      <c r="EL950" s="2"/>
      <c r="EM950" s="9"/>
      <c r="EN950" s="9"/>
      <c r="EO950" s="9"/>
      <c r="EP950" s="9"/>
      <c r="EQ950" s="9"/>
      <c r="ER950" s="9"/>
      <c r="ES950" s="9"/>
      <c r="ET950" s="9"/>
      <c r="EU950" s="9"/>
      <c r="EV950" s="9"/>
      <c r="EW950" s="9"/>
      <c r="EX950" s="9"/>
      <c r="EY950" s="9"/>
      <c r="EZ950" s="9"/>
      <c r="FA950" s="9"/>
      <c r="FB950" s="9"/>
      <c r="FC950" s="9"/>
      <c r="FD950" s="9"/>
      <c r="FE950" s="9"/>
      <c r="FF950" s="9"/>
      <c r="FG950" s="9"/>
      <c r="FH950" s="9"/>
      <c r="FI950" s="9"/>
      <c r="FJ950" s="9"/>
      <c r="FK950" s="9"/>
      <c r="FL950" s="9"/>
      <c r="FM950" s="9"/>
      <c r="FN950" s="9"/>
      <c r="FO950" s="9"/>
      <c r="FP950" s="9"/>
      <c r="FQ950" s="9"/>
      <c r="FR950" s="9"/>
      <c r="FS950" s="9"/>
      <c r="FT950" s="9"/>
      <c r="FU950" s="9"/>
      <c r="FV950" s="9"/>
      <c r="FW950" s="9"/>
      <c r="FX950" s="9"/>
      <c r="FY950" s="9"/>
      <c r="FZ950" s="9"/>
      <c r="GA950" s="9"/>
      <c r="GB950" s="9"/>
      <c r="GC950" s="9"/>
      <c r="GD950" s="9"/>
      <c r="GE950" s="9"/>
      <c r="GF950" s="9"/>
      <c r="GG950" s="9"/>
      <c r="GH950" s="9"/>
      <c r="GI950" s="9"/>
      <c r="GJ950" s="9"/>
      <c r="GK950" s="9"/>
      <c r="GL950" s="9"/>
      <c r="GM950" s="9"/>
      <c r="GN950" s="9"/>
      <c r="GO950" s="9"/>
      <c r="GP950" s="9"/>
      <c r="GQ950" s="9"/>
      <c r="GR950" s="9"/>
      <c r="GS950" s="9"/>
      <c r="GT950" s="9"/>
      <c r="GU950" s="9"/>
      <c r="GV950" s="9"/>
      <c r="GW950" s="9"/>
      <c r="GX950" s="9"/>
      <c r="GY950" s="9"/>
      <c r="GZ950" s="9"/>
      <c r="HA950" s="9"/>
      <c r="HB950" s="9"/>
      <c r="HC950" s="9"/>
      <c r="HD950" s="9"/>
      <c r="HE950" s="9"/>
      <c r="HF950" s="9"/>
      <c r="HG950" s="9"/>
      <c r="HH950" s="9"/>
      <c r="HI950" s="9"/>
      <c r="HJ950" s="9"/>
      <c r="HK950" s="9"/>
      <c r="HL950" s="2"/>
      <c r="HM950" s="2"/>
      <c r="HN950" s="2"/>
      <c r="HO950" s="2"/>
      <c r="HP950" s="2"/>
      <c r="HQ950" s="2"/>
      <c r="HR950" s="2"/>
      <c r="HS950" s="2"/>
      <c r="HT950" s="99"/>
      <c r="HU950" s="2"/>
      <c r="HV950" s="2"/>
      <c r="HW950" s="2"/>
      <c r="HX950" s="2"/>
      <c r="HY950" s="2"/>
      <c r="HZ950" s="2"/>
      <c r="IA950" s="2"/>
      <c r="IB950" s="2"/>
      <c r="IC950" s="2"/>
      <c r="ID950" s="2"/>
      <c r="IE950" s="2"/>
      <c r="IF950" s="2"/>
      <c r="IG950" s="2"/>
      <c r="IH950" s="2"/>
      <c r="II950" s="2"/>
      <c r="IJ950" s="2"/>
      <c r="IK950" s="2"/>
      <c r="IL950" s="2"/>
      <c r="IM950" s="2"/>
      <c r="IN950" s="2"/>
      <c r="IO950" s="2"/>
      <c r="IP950" s="2"/>
      <c r="IQ950" s="2"/>
      <c r="IR950" s="163"/>
      <c r="IS950" s="167"/>
      <c r="IT950" s="2"/>
      <c r="IU950" s="2"/>
      <c r="IV950" s="2"/>
      <c r="IW950" s="99"/>
      <c r="IX950" s="2"/>
      <c r="IY950" s="2"/>
      <c r="IZ950" s="2"/>
      <c r="JA950" s="2"/>
      <c r="JB950" s="2"/>
      <c r="JC950" s="2"/>
      <c r="JD950" s="2"/>
      <c r="JE950" s="2"/>
      <c r="JF950" s="2"/>
      <c r="JG950" s="2"/>
      <c r="JH950" s="2"/>
      <c r="JI950" s="2"/>
      <c r="JJ950" s="2"/>
      <c r="JK950" s="2"/>
      <c r="JL950" s="2"/>
      <c r="JM950" s="2"/>
      <c r="JN950" s="207"/>
      <c r="JO950" s="166"/>
      <c r="JP950" s="2"/>
      <c r="JQ950" s="2"/>
      <c r="JR950" s="2"/>
      <c r="JS950" s="99"/>
      <c r="JT950" s="2"/>
      <c r="JU950" s="2"/>
      <c r="JV950" s="2"/>
      <c r="JW950" s="2"/>
      <c r="JX950" s="2"/>
      <c r="JY950" s="2"/>
      <c r="JZ950" s="2"/>
      <c r="KA950" s="2"/>
      <c r="KB950" s="2"/>
      <c r="KC950" s="2"/>
      <c r="KD950" s="2"/>
      <c r="KE950" s="2"/>
      <c r="KF950" s="2"/>
      <c r="KG950" s="2"/>
      <c r="KH950" s="2"/>
      <c r="KI950" s="163"/>
      <c r="KJ950" s="167"/>
      <c r="KK950" s="2"/>
      <c r="KL950" s="2"/>
      <c r="KM950" s="2"/>
      <c r="KN950" s="2"/>
      <c r="KO950" s="2"/>
      <c r="KP950" s="2"/>
      <c r="KQ950" s="163"/>
      <c r="KR950" s="167"/>
      <c r="KS950" s="2"/>
      <c r="KT950" s="2"/>
      <c r="KU950" s="2"/>
      <c r="KV950" s="2"/>
      <c r="KW950" s="2"/>
      <c r="KX950" s="2"/>
      <c r="KY950" s="2"/>
      <c r="LG950" s="2"/>
      <c r="LH950" s="2"/>
      <c r="LI950" s="2"/>
      <c r="LJ950" s="2"/>
      <c r="LK950" s="2"/>
      <c r="LL950" s="2"/>
      <c r="LM950" s="2"/>
      <c r="LN950" s="2"/>
      <c r="LO950" s="2"/>
      <c r="LP950" s="2"/>
      <c r="LQ950" s="2"/>
      <c r="LR950" s="2"/>
      <c r="LS950" s="2"/>
      <c r="LT950" s="2"/>
      <c r="LU950" s="2"/>
      <c r="LV950" s="2"/>
      <c r="LW950" s="2"/>
      <c r="LX950" s="2"/>
      <c r="LY950" s="2"/>
      <c r="LZ950" s="2"/>
      <c r="MA950" s="2"/>
      <c r="MB950" s="2"/>
      <c r="MC950" s="2"/>
      <c r="MD950" s="2"/>
      <c r="ME950" s="2"/>
      <c r="MF950" s="2"/>
      <c r="MG950" s="2"/>
      <c r="MH950" s="2"/>
      <c r="MI950" s="2"/>
      <c r="MJ950" s="2"/>
      <c r="MK950" s="2"/>
      <c r="ML950" s="2"/>
      <c r="MM950" s="2"/>
      <c r="MN950" s="2"/>
      <c r="MO950" s="2"/>
      <c r="MP950" s="2"/>
      <c r="MQ950" s="2"/>
      <c r="MR950" s="2"/>
      <c r="MS950" s="2"/>
      <c r="MT950" s="2"/>
      <c r="MU950" s="2"/>
      <c r="MV950" s="2"/>
      <c r="MW950" s="2"/>
      <c r="MX950" s="2"/>
      <c r="MY950" s="2"/>
      <c r="MZ950" s="2"/>
      <c r="NA950" s="2"/>
      <c r="NB950" s="2"/>
      <c r="NC950" s="2"/>
      <c r="ND950" s="2"/>
      <c r="NE950" s="2"/>
      <c r="NF950" s="2"/>
      <c r="NG950" s="2"/>
      <c r="NH950" s="2"/>
      <c r="NI950" s="2"/>
      <c r="NJ950" s="2"/>
      <c r="NK950" s="2"/>
      <c r="NL950" s="2"/>
      <c r="NM950" s="2"/>
      <c r="NN950" s="2"/>
      <c r="NO950" s="99"/>
      <c r="NP950" s="203"/>
      <c r="NQ950" s="2"/>
      <c r="NR950" s="2"/>
      <c r="NS950" s="2"/>
      <c r="NT950" s="2"/>
      <c r="NU950" s="2"/>
      <c r="NV950" s="2"/>
      <c r="NW950" s="2"/>
      <c r="NX950" s="2"/>
      <c r="NY950" s="2"/>
      <c r="NZ950" s="2"/>
      <c r="OA950" s="99"/>
      <c r="OB950" s="168"/>
      <c r="OC950" s="2"/>
      <c r="OD950" s="2"/>
      <c r="OE950" s="2"/>
      <c r="OF950" s="2"/>
      <c r="OG950" s="2"/>
      <c r="OH950" s="2"/>
      <c r="OI950" s="2"/>
      <c r="OJ950" s="2"/>
      <c r="OK950" s="2"/>
      <c r="OL950" s="2"/>
      <c r="OM950" s="2"/>
      <c r="ON950" s="2"/>
      <c r="OO950" s="2"/>
      <c r="OP950" s="2"/>
      <c r="OQ950" s="2"/>
      <c r="OR950" s="2"/>
      <c r="OS950" s="2"/>
      <c r="OT950" s="2"/>
      <c r="OU950" s="2"/>
      <c r="OV950" s="2"/>
      <c r="OW950" s="2"/>
      <c r="OX950" s="2"/>
      <c r="OY950" s="2"/>
      <c r="OZ950" s="2"/>
      <c r="PA950" s="2"/>
      <c r="PB950" s="2"/>
    </row>
    <row r="951" spans="1:418" ht="15.75" thickBot="1">
      <c r="A951" s="202"/>
      <c r="B951" s="89"/>
      <c r="C951" s="89"/>
      <c r="D951" s="147"/>
      <c r="E951" s="89"/>
      <c r="F951" s="147"/>
      <c r="G951" s="89"/>
      <c r="H951" s="89"/>
      <c r="I951" s="147"/>
      <c r="J951" s="147"/>
      <c r="K951" s="147"/>
      <c r="L951" s="89"/>
      <c r="M951" s="147"/>
      <c r="N951" s="89"/>
      <c r="O951" s="89"/>
      <c r="P951" s="89"/>
      <c r="Q951" s="89"/>
      <c r="R951" s="89"/>
      <c r="S951" s="89"/>
      <c r="T951" s="89"/>
      <c r="X951" s="3"/>
      <c r="AA951" s="3"/>
      <c r="AB951" s="3"/>
      <c r="AC951" s="3"/>
      <c r="AG951" s="3"/>
      <c r="AJ951" s="3"/>
      <c r="AK951" s="3"/>
      <c r="AL951" s="3"/>
      <c r="AP951" s="3"/>
      <c r="AS951" s="3"/>
      <c r="AT951" s="3"/>
      <c r="AU951" s="3"/>
      <c r="AV951" s="89"/>
      <c r="AW951" s="89"/>
      <c r="AX951" s="89"/>
      <c r="AY951" s="89"/>
      <c r="AZ951" s="89"/>
      <c r="BA951" s="89"/>
      <c r="BB951" s="89"/>
      <c r="BC951" s="89"/>
      <c r="BD951" s="89"/>
      <c r="BE951" s="89"/>
      <c r="BF951" s="89"/>
      <c r="BG951" s="89"/>
      <c r="BH951" s="89"/>
      <c r="BI951" s="89"/>
      <c r="BJ951" s="147"/>
      <c r="BK951" s="170"/>
      <c r="BL951" s="89"/>
      <c r="BM951" s="89"/>
      <c r="BN951" s="89"/>
      <c r="BO951" s="89"/>
      <c r="BP951" s="89"/>
      <c r="BQ951" s="89"/>
      <c r="BR951" s="89"/>
      <c r="BS951" s="89"/>
      <c r="BT951" s="89"/>
      <c r="BU951" s="89"/>
      <c r="BV951" s="89"/>
      <c r="EE951" s="89"/>
      <c r="EF951" s="147"/>
      <c r="EG951" s="170"/>
      <c r="EH951" s="170"/>
      <c r="EI951" s="170"/>
      <c r="EJ951" s="170"/>
      <c r="EK951" s="170"/>
      <c r="EL951" s="170"/>
      <c r="HL951" s="89"/>
      <c r="HM951" s="89"/>
      <c r="HN951" s="89"/>
      <c r="HO951" s="89"/>
      <c r="HP951" s="89"/>
      <c r="HQ951" s="89"/>
      <c r="HR951" s="89"/>
      <c r="HS951" s="89"/>
      <c r="HT951" s="147"/>
      <c r="HU951" s="89"/>
      <c r="HV951" s="89"/>
      <c r="HW951" s="89"/>
      <c r="HX951" s="89"/>
      <c r="HY951" s="89"/>
      <c r="HZ951" s="89"/>
      <c r="IA951" s="89"/>
      <c r="IB951" s="89"/>
      <c r="IC951" s="89"/>
      <c r="ID951" s="89"/>
      <c r="IE951" s="89"/>
      <c r="IF951" s="89"/>
      <c r="IG951" s="89"/>
      <c r="IH951" s="89"/>
      <c r="II951" s="89"/>
      <c r="IJ951" s="89"/>
      <c r="IK951" s="89"/>
      <c r="IL951" s="89"/>
      <c r="IM951" s="89"/>
      <c r="IN951" s="89"/>
      <c r="IO951" s="89"/>
      <c r="IP951" s="147"/>
      <c r="IQ951" s="89"/>
      <c r="IR951" s="152"/>
      <c r="IS951" s="173"/>
      <c r="IT951" s="89"/>
      <c r="IU951" s="89"/>
      <c r="IV951" s="89"/>
      <c r="IW951" s="147"/>
      <c r="IX951" s="89"/>
      <c r="IY951" s="201"/>
      <c r="IZ951" s="173"/>
      <c r="JA951" s="89"/>
      <c r="JB951" s="89"/>
      <c r="JC951" s="89"/>
      <c r="JD951" s="89"/>
      <c r="JE951" s="89"/>
      <c r="JF951" s="89"/>
      <c r="JG951" s="89"/>
      <c r="JH951" s="89"/>
      <c r="JI951" s="89"/>
      <c r="JJ951" s="89"/>
      <c r="JK951" s="89"/>
      <c r="JL951" s="89"/>
      <c r="JM951" s="89"/>
      <c r="JN951" s="200"/>
      <c r="JO951" s="173"/>
      <c r="JP951" s="2"/>
      <c r="JQ951" s="89"/>
      <c r="JR951" s="89"/>
      <c r="JS951" s="147"/>
      <c r="JT951" s="89"/>
      <c r="JU951" s="89"/>
      <c r="JV951" s="89"/>
      <c r="JW951" s="89"/>
      <c r="JX951" s="89"/>
      <c r="JY951" s="89"/>
      <c r="JZ951" s="89"/>
      <c r="KA951" s="89"/>
      <c r="KB951" s="89"/>
      <c r="KC951" s="89"/>
      <c r="KD951" s="89"/>
      <c r="KE951" s="89"/>
      <c r="KF951" s="89"/>
      <c r="KG951" s="89"/>
      <c r="KH951" s="89"/>
      <c r="KI951" s="152"/>
      <c r="KJ951" s="173"/>
      <c r="KK951" s="89"/>
      <c r="KL951" s="89"/>
      <c r="KM951" s="89"/>
      <c r="KN951" s="89"/>
      <c r="KO951" s="89"/>
      <c r="KP951" s="89"/>
      <c r="KQ951" s="177"/>
      <c r="KR951" s="154"/>
      <c r="KS951" s="89"/>
      <c r="KT951" s="89"/>
      <c r="KU951" s="89"/>
      <c r="KV951" s="89"/>
      <c r="KW951" s="89"/>
      <c r="KX951" s="89"/>
      <c r="KY951" s="89"/>
      <c r="LG951" s="89"/>
      <c r="LH951" s="89"/>
      <c r="LI951" s="89"/>
      <c r="LJ951" s="89"/>
      <c r="LK951" s="89"/>
      <c r="LL951" s="89"/>
      <c r="LM951" s="89"/>
      <c r="LN951" s="89"/>
      <c r="LO951" s="89"/>
      <c r="LP951" s="89"/>
      <c r="LQ951" s="89"/>
      <c r="LR951" s="89"/>
      <c r="LS951" s="89"/>
      <c r="LT951" s="89"/>
      <c r="LU951" s="89"/>
      <c r="LV951" s="89"/>
      <c r="LW951" s="89"/>
      <c r="LX951" s="89"/>
      <c r="LY951" s="89"/>
      <c r="LZ951" s="89"/>
      <c r="MA951" s="89"/>
      <c r="MB951" s="89"/>
      <c r="MC951" s="89"/>
      <c r="MD951" s="89"/>
      <c r="ME951" s="89"/>
      <c r="MF951" s="89"/>
      <c r="MG951" s="89"/>
      <c r="MH951" s="89"/>
      <c r="MI951" s="89"/>
      <c r="MJ951" s="89"/>
      <c r="MK951" s="89"/>
      <c r="ML951" s="89"/>
      <c r="MM951" s="89"/>
      <c r="MN951" s="89"/>
      <c r="MO951" s="89"/>
      <c r="MP951" s="89"/>
      <c r="MQ951" s="89"/>
      <c r="MR951" s="89"/>
      <c r="MS951" s="89"/>
      <c r="MT951" s="89"/>
      <c r="MU951" s="89"/>
      <c r="MV951" s="89"/>
      <c r="MW951" s="89"/>
      <c r="MX951" s="89"/>
      <c r="MY951" s="89"/>
      <c r="MZ951" s="89"/>
      <c r="NA951" s="89"/>
      <c r="NB951" s="89"/>
      <c r="NC951" s="89"/>
      <c r="ND951" s="89"/>
      <c r="NE951" s="89"/>
      <c r="NF951" s="89"/>
      <c r="NG951" s="89"/>
      <c r="NH951" s="89"/>
      <c r="NI951" s="89"/>
      <c r="NJ951" s="89"/>
      <c r="NK951" s="89"/>
      <c r="NL951" s="89"/>
      <c r="NM951" s="89"/>
      <c r="NN951" s="89"/>
      <c r="NO951" s="147"/>
      <c r="NP951" s="199"/>
      <c r="NQ951" s="89"/>
      <c r="NR951" s="89"/>
      <c r="NS951" s="89"/>
      <c r="NT951" s="89"/>
      <c r="NU951" s="89"/>
      <c r="NV951" s="89"/>
      <c r="NW951" s="89"/>
      <c r="NX951" s="89"/>
      <c r="NY951" s="89"/>
      <c r="NZ951" s="89"/>
      <c r="OA951" s="147"/>
      <c r="OB951" s="97"/>
      <c r="OC951" s="89"/>
      <c r="OD951" s="89"/>
      <c r="OE951" s="89"/>
      <c r="OF951" s="89"/>
      <c r="OG951" s="89"/>
      <c r="OH951" s="89"/>
      <c r="OI951" s="89"/>
      <c r="OJ951" s="89"/>
      <c r="OK951" s="89"/>
      <c r="OL951" s="89"/>
      <c r="OM951" s="89"/>
      <c r="ON951" s="89"/>
      <c r="OO951" s="89"/>
      <c r="OP951" s="89"/>
      <c r="OQ951" s="89"/>
      <c r="OR951" s="89"/>
      <c r="OS951" s="89"/>
      <c r="OT951" s="89"/>
      <c r="OU951" s="89"/>
      <c r="OV951" s="89"/>
      <c r="OW951" s="89"/>
      <c r="OX951" s="89"/>
      <c r="OY951" s="89"/>
      <c r="OZ951" s="89"/>
      <c r="PA951" s="89"/>
      <c r="PB951" s="89"/>
    </row>
    <row r="952" spans="1:418" ht="15.75" thickBot="1">
      <c r="A952" s="204"/>
      <c r="B952" s="2"/>
      <c r="C952" s="2"/>
      <c r="D952" s="99"/>
      <c r="E952" s="2"/>
      <c r="F952" s="147"/>
      <c r="G952" s="2"/>
      <c r="H952" s="2"/>
      <c r="I952" s="147"/>
      <c r="J952" s="147"/>
      <c r="K952" s="147"/>
      <c r="L952" s="2"/>
      <c r="M952" s="99"/>
      <c r="N952" s="2"/>
      <c r="O952" s="89"/>
      <c r="P952" s="2"/>
      <c r="Q952" s="2"/>
      <c r="R952" s="89"/>
      <c r="S952" s="89"/>
      <c r="T952" s="89"/>
      <c r="X952" s="3"/>
      <c r="AA952" s="3"/>
      <c r="AB952" s="3"/>
      <c r="AC952" s="3"/>
      <c r="AG952" s="3"/>
      <c r="AJ952" s="3"/>
      <c r="AK952" s="3"/>
      <c r="AL952" s="3"/>
      <c r="AP952" s="3"/>
      <c r="AS952" s="3"/>
      <c r="AT952" s="3"/>
      <c r="AU952" s="3"/>
      <c r="AV952" s="2"/>
      <c r="AW952" s="2"/>
      <c r="AX952" s="2"/>
      <c r="AY952" s="2"/>
      <c r="AZ952" s="2"/>
      <c r="BA952" s="2"/>
      <c r="BB952" s="2"/>
      <c r="BC952" s="2"/>
      <c r="BD952" s="2"/>
      <c r="BE952" s="2"/>
      <c r="BF952" s="2"/>
      <c r="BG952" s="2"/>
      <c r="BH952" s="2"/>
      <c r="BI952" s="2"/>
      <c r="BJ952" s="99"/>
      <c r="BK952" s="205"/>
      <c r="BL952" s="2"/>
      <c r="BM952" s="2"/>
      <c r="BN952" s="2"/>
      <c r="BO952" s="2"/>
      <c r="BP952" s="2"/>
      <c r="BQ952" s="2"/>
      <c r="BR952" s="2"/>
      <c r="BS952" s="2"/>
      <c r="BT952" s="2"/>
      <c r="BU952" s="2"/>
      <c r="BV952" s="2"/>
      <c r="EE952" s="2"/>
      <c r="EF952" s="99"/>
      <c r="EG952" s="205"/>
      <c r="EH952" s="205"/>
      <c r="EI952" s="205"/>
      <c r="EJ952" s="205"/>
      <c r="EK952" s="205"/>
      <c r="EL952" s="205"/>
      <c r="HL952" s="2"/>
      <c r="HM952" s="2"/>
      <c r="HN952" s="2"/>
      <c r="HO952" s="2"/>
      <c r="HP952" s="2"/>
      <c r="HQ952" s="2"/>
      <c r="HR952" s="2"/>
      <c r="HS952" s="2"/>
      <c r="HT952" s="99"/>
      <c r="HU952" s="2"/>
      <c r="HV952" s="2"/>
      <c r="HW952" s="2"/>
      <c r="HX952" s="2"/>
      <c r="HY952" s="2"/>
      <c r="HZ952" s="2"/>
      <c r="IA952" s="2"/>
      <c r="IB952" s="2"/>
      <c r="IC952" s="2"/>
      <c r="ID952" s="2"/>
      <c r="IE952" s="2"/>
      <c r="IF952" s="2"/>
      <c r="IG952" s="2"/>
      <c r="IH952" s="2"/>
      <c r="II952" s="2"/>
      <c r="IJ952" s="2"/>
      <c r="IK952" s="2"/>
      <c r="IL952" s="2"/>
      <c r="IM952" s="2"/>
      <c r="IN952" s="2"/>
      <c r="IO952" s="2"/>
      <c r="IP952" s="99"/>
      <c r="IQ952" s="2"/>
      <c r="IR952" s="163"/>
      <c r="IS952" s="167"/>
      <c r="IT952" s="2"/>
      <c r="IU952" s="2"/>
      <c r="IV952" s="2"/>
      <c r="IW952" s="99"/>
      <c r="IX952" s="2"/>
      <c r="IY952" s="206"/>
      <c r="IZ952" s="167"/>
      <c r="JA952" s="2"/>
      <c r="JB952" s="2"/>
      <c r="JC952" s="2"/>
      <c r="JD952" s="2"/>
      <c r="JE952" s="2"/>
      <c r="JF952" s="2"/>
      <c r="JG952" s="2"/>
      <c r="JH952" s="2"/>
      <c r="JI952" s="2"/>
      <c r="JJ952" s="2"/>
      <c r="JK952" s="2"/>
      <c r="JL952" s="2"/>
      <c r="JM952" s="2"/>
      <c r="JN952" s="200"/>
      <c r="JO952" s="167"/>
      <c r="JP952" s="2"/>
      <c r="JQ952" s="2"/>
      <c r="JR952" s="2"/>
      <c r="JS952" s="99"/>
      <c r="JT952" s="2"/>
      <c r="JU952" s="2"/>
      <c r="JV952" s="2"/>
      <c r="JW952" s="2"/>
      <c r="JX952" s="2"/>
      <c r="JY952" s="2"/>
      <c r="JZ952" s="2"/>
      <c r="KA952" s="2"/>
      <c r="KB952" s="2"/>
      <c r="KC952" s="2"/>
      <c r="KD952" s="2"/>
      <c r="KE952" s="2"/>
      <c r="KF952" s="2"/>
      <c r="KG952" s="2"/>
      <c r="KH952" s="2"/>
      <c r="KI952" s="163"/>
      <c r="KJ952" s="167"/>
      <c r="KK952" s="2"/>
      <c r="KL952" s="2"/>
      <c r="KM952" s="2"/>
      <c r="KN952" s="2"/>
      <c r="KO952" s="2"/>
      <c r="KP952" s="2"/>
      <c r="KQ952" s="177"/>
      <c r="KR952" s="166"/>
      <c r="KS952" s="2"/>
      <c r="KT952" s="2"/>
      <c r="KU952" s="2"/>
      <c r="KV952" s="2"/>
      <c r="KW952" s="2"/>
      <c r="KX952" s="2"/>
      <c r="KY952" s="2"/>
      <c r="LG952" s="2"/>
      <c r="LH952" s="2"/>
      <c r="LI952" s="2"/>
      <c r="LJ952" s="2"/>
      <c r="LK952" s="2"/>
      <c r="LL952" s="2"/>
      <c r="LM952" s="2"/>
      <c r="LN952" s="2"/>
      <c r="LO952" s="2"/>
      <c r="LP952" s="2"/>
      <c r="LQ952" s="2"/>
      <c r="LR952" s="2"/>
      <c r="LS952" s="2"/>
      <c r="LT952" s="2"/>
      <c r="LU952" s="2"/>
      <c r="LV952" s="2"/>
      <c r="LW952" s="2"/>
      <c r="LX952" s="2"/>
      <c r="LY952" s="2"/>
      <c r="LZ952" s="2"/>
      <c r="MA952" s="2"/>
      <c r="MB952" s="2"/>
      <c r="MC952" s="2"/>
      <c r="MD952" s="2"/>
      <c r="ME952" s="2"/>
      <c r="MF952" s="2"/>
      <c r="MG952" s="2"/>
      <c r="MH952" s="2"/>
      <c r="MI952" s="2"/>
      <c r="MJ952" s="2"/>
      <c r="MK952" s="2"/>
      <c r="ML952" s="2"/>
      <c r="MM952" s="2"/>
      <c r="MN952" s="2"/>
      <c r="MO952" s="2"/>
      <c r="MP952" s="2"/>
      <c r="MQ952" s="2"/>
      <c r="MR952" s="2"/>
      <c r="MS952" s="2"/>
      <c r="MT952" s="2"/>
      <c r="MU952" s="2"/>
      <c r="MV952" s="2"/>
      <c r="MW952" s="2"/>
      <c r="MX952" s="2"/>
      <c r="MY952" s="2"/>
      <c r="MZ952" s="2"/>
      <c r="NA952" s="2"/>
      <c r="NB952" s="2"/>
      <c r="NC952" s="2"/>
      <c r="ND952" s="2"/>
      <c r="NE952" s="2"/>
      <c r="NF952" s="2"/>
      <c r="NG952" s="2"/>
      <c r="NH952" s="2"/>
      <c r="NI952" s="2"/>
      <c r="NJ952" s="2"/>
      <c r="NK952" s="2"/>
      <c r="NL952" s="2"/>
      <c r="NM952" s="2"/>
      <c r="NN952" s="2"/>
      <c r="NO952" s="99"/>
      <c r="NP952" s="203"/>
      <c r="NQ952" s="2"/>
      <c r="NR952" s="2"/>
      <c r="NS952" s="2"/>
      <c r="NT952" s="2"/>
      <c r="NU952" s="2"/>
      <c r="NV952" s="2"/>
      <c r="NW952" s="2"/>
      <c r="NX952" s="2"/>
      <c r="NY952" s="2"/>
      <c r="NZ952" s="2"/>
      <c r="OA952" s="99"/>
      <c r="OB952" s="168"/>
      <c r="OC952" s="2"/>
      <c r="OD952" s="2"/>
      <c r="OE952" s="2"/>
      <c r="OF952" s="2"/>
      <c r="OG952" s="2"/>
      <c r="OH952" s="2"/>
      <c r="OI952" s="2"/>
      <c r="OJ952" s="2"/>
      <c r="OK952" s="2"/>
      <c r="OL952" s="2"/>
      <c r="OM952" s="2"/>
      <c r="ON952" s="2"/>
      <c r="OO952" s="2"/>
      <c r="OP952" s="2"/>
      <c r="OQ952" s="2"/>
      <c r="OR952" s="2"/>
      <c r="OS952" s="2"/>
      <c r="OT952" s="2"/>
      <c r="OU952" s="2"/>
      <c r="OV952" s="2"/>
      <c r="OW952" s="2"/>
      <c r="OX952" s="2"/>
      <c r="OY952" s="2"/>
      <c r="OZ952" s="2"/>
      <c r="PA952" s="2"/>
      <c r="PB952" s="2"/>
    </row>
    <row r="953" spans="1:418">
      <c r="A953" s="202"/>
      <c r="B953" s="89"/>
      <c r="C953" s="89"/>
      <c r="D953" s="147"/>
      <c r="E953" s="89"/>
      <c r="F953" s="147"/>
      <c r="G953" s="89"/>
      <c r="H953" s="89"/>
      <c r="I953" s="147"/>
      <c r="J953" s="147"/>
      <c r="K953" s="147"/>
      <c r="L953" s="89"/>
      <c r="M953" s="147"/>
      <c r="N953" s="89"/>
      <c r="O953" s="89"/>
      <c r="P953" s="89"/>
      <c r="Q953" s="89"/>
      <c r="R953" s="89"/>
      <c r="S953" s="89"/>
      <c r="T953" s="89"/>
      <c r="X953" s="3"/>
      <c r="AA953" s="3"/>
      <c r="AB953" s="3"/>
      <c r="AC953" s="3"/>
      <c r="AG953" s="3"/>
      <c r="AJ953" s="3"/>
      <c r="AK953" s="3"/>
      <c r="AL953" s="3"/>
      <c r="AP953" s="3"/>
      <c r="AS953" s="3"/>
      <c r="AT953" s="3"/>
      <c r="AU953" s="3"/>
      <c r="AV953" s="89"/>
      <c r="AW953" s="89"/>
      <c r="AX953" s="89"/>
      <c r="AY953" s="89"/>
      <c r="AZ953" s="89"/>
      <c r="BA953" s="89"/>
      <c r="BB953" s="89"/>
      <c r="BC953" s="89"/>
      <c r="BD953" s="89"/>
      <c r="BE953" s="89"/>
      <c r="BF953" s="89"/>
      <c r="BG953" s="89"/>
      <c r="BH953" s="89"/>
      <c r="BI953" s="89"/>
      <c r="BJ953" s="147"/>
      <c r="BK953" s="170"/>
      <c r="BL953" s="89"/>
      <c r="BM953" s="89"/>
      <c r="BN953" s="89"/>
      <c r="BO953" s="89"/>
      <c r="BP953" s="89"/>
      <c r="BQ953" s="89"/>
      <c r="BR953" s="89"/>
      <c r="BS953" s="89"/>
      <c r="BT953" s="89"/>
      <c r="BU953" s="89"/>
      <c r="BV953" s="89"/>
      <c r="EE953" s="89"/>
      <c r="EF953" s="147"/>
      <c r="EG953" s="170"/>
      <c r="EH953" s="170"/>
      <c r="EI953" s="170"/>
      <c r="EJ953" s="170"/>
      <c r="EK953" s="170"/>
      <c r="EL953" s="170"/>
      <c r="EM953" s="9"/>
      <c r="EN953" s="9"/>
      <c r="EO953" s="9"/>
      <c r="EP953" s="9"/>
      <c r="EQ953" s="9"/>
      <c r="ER953" s="9"/>
      <c r="ES953" s="9"/>
      <c r="ET953" s="9"/>
      <c r="EU953" s="9"/>
      <c r="EV953" s="9"/>
      <c r="EW953" s="9"/>
      <c r="EX953" s="9"/>
      <c r="EY953" s="9"/>
      <c r="EZ953" s="9"/>
      <c r="FA953" s="9"/>
      <c r="FB953" s="9"/>
      <c r="FC953" s="9"/>
      <c r="FD953" s="9"/>
      <c r="FE953" s="9"/>
      <c r="FF953" s="9"/>
      <c r="FG953" s="9"/>
      <c r="FH953" s="9"/>
      <c r="FI953" s="9"/>
      <c r="FJ953" s="9"/>
      <c r="FK953" s="9"/>
      <c r="FL953" s="9"/>
      <c r="FM953" s="9"/>
      <c r="FN953" s="9"/>
      <c r="FO953" s="9"/>
      <c r="FP953" s="9"/>
      <c r="FQ953" s="9"/>
      <c r="FR953" s="9"/>
      <c r="FS953" s="9"/>
      <c r="FT953" s="9"/>
      <c r="FU953" s="9"/>
      <c r="FV953" s="9"/>
      <c r="FW953" s="9"/>
      <c r="FX953" s="9"/>
      <c r="FY953" s="9"/>
      <c r="FZ953" s="9"/>
      <c r="GA953" s="9"/>
      <c r="GB953" s="9"/>
      <c r="GC953" s="9"/>
      <c r="GD953" s="9"/>
      <c r="GE953" s="9"/>
      <c r="GF953" s="9"/>
      <c r="GG953" s="9"/>
      <c r="GH953" s="9"/>
      <c r="GI953" s="9"/>
      <c r="GJ953" s="9"/>
      <c r="GK953" s="9"/>
      <c r="GL953" s="9"/>
      <c r="GM953" s="9"/>
      <c r="GN953" s="9"/>
      <c r="GO953" s="9"/>
      <c r="GP953" s="9"/>
      <c r="GQ953" s="9"/>
      <c r="GR953" s="9"/>
      <c r="GS953" s="9"/>
      <c r="GT953" s="9"/>
      <c r="GU953" s="9"/>
      <c r="GV953" s="9"/>
      <c r="GW953" s="9"/>
      <c r="GX953" s="9"/>
      <c r="GY953" s="9"/>
      <c r="GZ953" s="9"/>
      <c r="HA953" s="9"/>
      <c r="HB953" s="9"/>
      <c r="HC953" s="9"/>
      <c r="HD953" s="9"/>
      <c r="HE953" s="9"/>
      <c r="HF953" s="9"/>
      <c r="HG953" s="9"/>
      <c r="HH953" s="9"/>
      <c r="HI953" s="9"/>
      <c r="HJ953" s="9"/>
      <c r="HK953" s="9"/>
      <c r="HL953" s="89"/>
      <c r="HM953" s="89"/>
      <c r="HN953" s="89"/>
      <c r="HO953" s="89"/>
      <c r="HP953" s="89"/>
      <c r="HQ953" s="89"/>
      <c r="HR953" s="89"/>
      <c r="HS953" s="89"/>
      <c r="HT953" s="147"/>
      <c r="HU953" s="89"/>
      <c r="HV953" s="89"/>
      <c r="HW953" s="89"/>
      <c r="HX953" s="89"/>
      <c r="HY953" s="89"/>
      <c r="HZ953" s="89"/>
      <c r="IA953" s="89"/>
      <c r="IB953" s="89"/>
      <c r="IC953" s="89"/>
      <c r="ID953" s="89"/>
      <c r="IE953" s="89"/>
      <c r="IF953" s="89"/>
      <c r="IG953" s="89"/>
      <c r="IH953" s="89"/>
      <c r="II953" s="89"/>
      <c r="IJ953" s="89"/>
      <c r="IK953" s="89"/>
      <c r="IL953" s="89"/>
      <c r="IM953" s="89"/>
      <c r="IN953" s="89"/>
      <c r="IO953" s="89"/>
      <c r="IP953" s="89"/>
      <c r="IQ953" s="89"/>
      <c r="IR953" s="152"/>
      <c r="IS953" s="173"/>
      <c r="IT953" s="89"/>
      <c r="IU953" s="89"/>
      <c r="IV953" s="89"/>
      <c r="IW953" s="147"/>
      <c r="IX953" s="89"/>
      <c r="IY953" s="148"/>
      <c r="IZ953" s="89"/>
      <c r="JA953" s="89"/>
      <c r="JB953" s="89"/>
      <c r="JC953" s="89"/>
      <c r="JD953" s="89"/>
      <c r="JE953" s="89"/>
      <c r="JF953" s="89"/>
      <c r="JG953" s="89"/>
      <c r="JH953" s="89"/>
      <c r="JI953" s="89"/>
      <c r="JJ953" s="89"/>
      <c r="JK953" s="89"/>
      <c r="JL953" s="89"/>
      <c r="JM953" s="89"/>
      <c r="JN953" s="200"/>
      <c r="JO953" s="173"/>
      <c r="JP953" s="2"/>
      <c r="JQ953" s="89"/>
      <c r="JR953" s="89"/>
      <c r="JS953" s="147"/>
      <c r="JT953" s="89"/>
      <c r="JU953" s="89"/>
      <c r="JV953" s="89"/>
      <c r="JW953" s="89"/>
      <c r="JX953" s="89"/>
      <c r="JY953" s="89"/>
      <c r="JZ953" s="89"/>
      <c r="KA953" s="89"/>
      <c r="KB953" s="89"/>
      <c r="KC953" s="89"/>
      <c r="KD953" s="89"/>
      <c r="KE953" s="89"/>
      <c r="KF953" s="89"/>
      <c r="KG953" s="89"/>
      <c r="KH953" s="89"/>
      <c r="KI953" s="152"/>
      <c r="KJ953" s="173"/>
      <c r="KK953" s="89"/>
      <c r="KL953" s="89"/>
      <c r="KM953" s="89"/>
      <c r="KN953" s="89"/>
      <c r="KO953" s="89"/>
      <c r="KP953" s="89"/>
      <c r="KQ953" s="152"/>
      <c r="KR953" s="173"/>
      <c r="KS953" s="89"/>
      <c r="KT953" s="89"/>
      <c r="KU953" s="89"/>
      <c r="KV953" s="89"/>
      <c r="KW953" s="89"/>
      <c r="KX953" s="89"/>
      <c r="KY953" s="89"/>
      <c r="LG953" s="89"/>
      <c r="LH953" s="89"/>
      <c r="LI953" s="89"/>
      <c r="LJ953" s="89"/>
      <c r="LK953" s="89"/>
      <c r="LL953" s="89"/>
      <c r="LM953" s="89"/>
      <c r="LN953" s="89"/>
      <c r="LO953" s="89"/>
      <c r="LP953" s="89"/>
      <c r="LQ953" s="89"/>
      <c r="LR953" s="89"/>
      <c r="LS953" s="89"/>
      <c r="LT953" s="89"/>
      <c r="LU953" s="89"/>
      <c r="LV953" s="89"/>
      <c r="LW953" s="89"/>
      <c r="LX953" s="89"/>
      <c r="LY953" s="89"/>
      <c r="LZ953" s="89"/>
      <c r="MA953" s="89"/>
      <c r="MB953" s="89"/>
      <c r="MC953" s="89"/>
      <c r="MD953" s="89"/>
      <c r="ME953" s="89"/>
      <c r="MF953" s="89"/>
      <c r="MG953" s="89"/>
      <c r="MH953" s="89"/>
      <c r="MI953" s="89"/>
      <c r="MJ953" s="89"/>
      <c r="MK953" s="89"/>
      <c r="ML953" s="89"/>
      <c r="MM953" s="89"/>
      <c r="MN953" s="89"/>
      <c r="MO953" s="89"/>
      <c r="MP953" s="89"/>
      <c r="MQ953" s="89"/>
      <c r="MR953" s="89"/>
      <c r="MS953" s="89"/>
      <c r="MT953" s="89"/>
      <c r="MU953" s="89"/>
      <c r="MV953" s="89"/>
      <c r="MW953" s="89"/>
      <c r="MX953" s="89"/>
      <c r="MY953" s="89"/>
      <c r="MZ953" s="89"/>
      <c r="NA953" s="89"/>
      <c r="NB953" s="89"/>
      <c r="NC953" s="89"/>
      <c r="ND953" s="89"/>
      <c r="NE953" s="89"/>
      <c r="NF953" s="89"/>
      <c r="NG953" s="89"/>
      <c r="NH953" s="89"/>
      <c r="NI953" s="89"/>
      <c r="NJ953" s="89"/>
      <c r="NK953" s="89"/>
      <c r="NL953" s="89"/>
      <c r="NM953" s="89"/>
      <c r="NN953" s="89"/>
      <c r="NO953" s="147"/>
      <c r="NP953" s="199"/>
      <c r="NQ953" s="89"/>
      <c r="NR953" s="89"/>
      <c r="NS953" s="89"/>
      <c r="NT953" s="89"/>
      <c r="NU953" s="89"/>
      <c r="NV953" s="89"/>
      <c r="NW953" s="89"/>
      <c r="NX953" s="89"/>
      <c r="NY953" s="89"/>
      <c r="NZ953" s="89"/>
      <c r="OA953" s="147"/>
      <c r="OB953" s="97"/>
      <c r="OC953" s="89"/>
      <c r="OD953" s="89"/>
      <c r="OE953" s="89"/>
      <c r="OF953" s="89"/>
      <c r="OG953" s="89"/>
      <c r="OH953" s="89"/>
      <c r="OI953" s="89"/>
      <c r="OJ953" s="89"/>
      <c r="OK953" s="89"/>
      <c r="OL953" s="89"/>
      <c r="OM953" s="89"/>
      <c r="ON953" s="89"/>
      <c r="OO953" s="89"/>
      <c r="OP953" s="89"/>
      <c r="OQ953" s="89"/>
      <c r="OR953" s="89"/>
      <c r="OS953" s="89"/>
      <c r="OT953" s="89"/>
      <c r="OU953" s="89"/>
      <c r="OV953" s="89"/>
      <c r="OW953" s="89"/>
      <c r="OX953" s="89"/>
      <c r="OY953" s="89"/>
      <c r="OZ953" s="89"/>
      <c r="PA953" s="89"/>
      <c r="PB953" s="89"/>
    </row>
    <row r="954" spans="1:418">
      <c r="EJ954" s="9"/>
      <c r="EK954" s="9"/>
      <c r="EL954" s="9"/>
      <c r="EM954" s="9"/>
      <c r="EN954" s="9"/>
      <c r="EO954" s="9"/>
      <c r="EP954" s="9"/>
      <c r="EQ954" s="9"/>
      <c r="ER954" s="9"/>
      <c r="ES954" s="9"/>
      <c r="ET954" s="9"/>
      <c r="EU954" s="9"/>
      <c r="EV954" s="9"/>
      <c r="EW954" s="9"/>
      <c r="EX954" s="9"/>
      <c r="EY954" s="9"/>
      <c r="EZ954" s="9"/>
      <c r="FA954" s="9"/>
      <c r="FB954" s="9"/>
      <c r="FC954" s="9"/>
      <c r="FD954" s="9"/>
      <c r="FE954" s="9"/>
      <c r="FF954" s="9"/>
      <c r="FG954" s="9"/>
      <c r="FH954" s="9"/>
      <c r="FI954" s="9"/>
      <c r="FJ954" s="9"/>
      <c r="FK954" s="9"/>
      <c r="FL954" s="9"/>
      <c r="FM954" s="9"/>
      <c r="FN954" s="9"/>
      <c r="FO954" s="9"/>
      <c r="FP954" s="9"/>
      <c r="FQ954" s="9"/>
      <c r="FR954" s="9"/>
      <c r="FS954" s="9"/>
      <c r="FT954" s="9"/>
      <c r="FU954" s="9"/>
      <c r="FV954" s="9"/>
      <c r="FW954" s="9"/>
      <c r="FX954" s="9"/>
      <c r="FY954" s="9"/>
      <c r="FZ954" s="9"/>
      <c r="GA954" s="9"/>
      <c r="GB954" s="9"/>
      <c r="GC954" s="9"/>
      <c r="GD954" s="9"/>
      <c r="GE954" s="9"/>
      <c r="GF954" s="9"/>
      <c r="GG954" s="9"/>
      <c r="GH954" s="9"/>
      <c r="GI954" s="9"/>
      <c r="GJ954" s="9"/>
      <c r="GK954" s="9"/>
      <c r="GL954" s="9"/>
      <c r="GM954" s="9"/>
      <c r="GN954" s="9"/>
      <c r="GO954" s="9"/>
      <c r="GP954" s="9"/>
      <c r="GQ954" s="9"/>
      <c r="GR954" s="9"/>
      <c r="GS954" s="9"/>
      <c r="GT954" s="9"/>
      <c r="GU954" s="9"/>
      <c r="GV954" s="9"/>
      <c r="GW954" s="9"/>
      <c r="GX954" s="9"/>
      <c r="GY954" s="9"/>
      <c r="GZ954" s="9"/>
      <c r="HA954" s="9"/>
      <c r="HB954" s="9"/>
      <c r="HC954" s="9"/>
      <c r="HD954" s="9"/>
      <c r="HE954" s="9"/>
      <c r="HF954" s="9"/>
      <c r="HG954" s="9"/>
      <c r="HH954" s="9"/>
      <c r="HI954" s="9"/>
      <c r="HJ954" s="9"/>
      <c r="HK954" s="9"/>
      <c r="HL954" s="9"/>
      <c r="HM954" s="9"/>
      <c r="HZ954" s="58"/>
    </row>
    <row r="955" spans="1:418">
      <c r="EJ955" s="9"/>
      <c r="EK955" s="9"/>
      <c r="EL955" s="9"/>
      <c r="EM955" s="9"/>
      <c r="EN955" s="9"/>
      <c r="EO955" s="9"/>
      <c r="EP955" s="9"/>
      <c r="EQ955" s="9"/>
      <c r="ER955" s="9"/>
      <c r="ES955" s="9"/>
      <c r="ET955" s="9"/>
      <c r="EU955" s="9"/>
      <c r="EV955" s="9"/>
      <c r="EW955" s="9"/>
      <c r="EX955" s="9"/>
      <c r="EY955" s="9"/>
      <c r="EZ955" s="9"/>
      <c r="FA955" s="9"/>
      <c r="FB955" s="9"/>
      <c r="FC955" s="9"/>
      <c r="FD955" s="9"/>
      <c r="FE955" s="9"/>
      <c r="FF955" s="9"/>
      <c r="FG955" s="9"/>
      <c r="FH955" s="9"/>
      <c r="FI955" s="9"/>
      <c r="FJ955" s="9"/>
      <c r="FK955" s="9"/>
      <c r="FL955" s="9"/>
      <c r="FM955" s="9"/>
      <c r="FN955" s="9"/>
      <c r="FO955" s="9"/>
      <c r="FP955" s="9"/>
      <c r="FQ955" s="9"/>
      <c r="FR955" s="9"/>
      <c r="FS955" s="9"/>
      <c r="FT955" s="9"/>
      <c r="FU955" s="9"/>
      <c r="FV955" s="9"/>
      <c r="FW955" s="9"/>
      <c r="FX955" s="9"/>
      <c r="FY955" s="9"/>
      <c r="FZ955" s="9"/>
      <c r="GA955" s="9"/>
      <c r="GB955" s="9"/>
      <c r="GC955" s="9"/>
      <c r="GD955" s="9"/>
      <c r="GE955" s="9"/>
      <c r="GF955" s="9"/>
      <c r="GG955" s="9"/>
      <c r="GH955" s="9"/>
      <c r="GI955" s="9"/>
      <c r="GJ955" s="9"/>
      <c r="GK955" s="9"/>
      <c r="GL955" s="9"/>
      <c r="GM955" s="9"/>
      <c r="GN955" s="9"/>
      <c r="GO955" s="9"/>
      <c r="GP955" s="9"/>
      <c r="GQ955" s="9"/>
      <c r="GR955" s="9"/>
      <c r="GS955" s="9"/>
      <c r="GT955" s="9"/>
      <c r="GU955" s="9"/>
      <c r="GV955" s="9"/>
      <c r="GW955" s="9"/>
      <c r="GX955" s="9"/>
      <c r="GY955" s="9"/>
      <c r="GZ955" s="9"/>
      <c r="HA955" s="9"/>
      <c r="HB955" s="9"/>
      <c r="HC955" s="9"/>
      <c r="HD955" s="9"/>
      <c r="HE955" s="9"/>
      <c r="HF955" s="9"/>
      <c r="HG955" s="9"/>
      <c r="HH955" s="9"/>
      <c r="HI955" s="9"/>
      <c r="HJ955" s="9"/>
      <c r="HK955" s="9"/>
      <c r="HL955" s="9"/>
      <c r="HM955" s="9"/>
      <c r="HZ955" s="58"/>
    </row>
    <row r="956" spans="1:418">
      <c r="EJ956" s="9"/>
      <c r="EK956" s="9"/>
      <c r="EL956" s="9"/>
      <c r="EM956" s="9"/>
      <c r="EN956" s="9"/>
      <c r="EO956" s="9"/>
      <c r="EP956" s="9"/>
      <c r="EQ956" s="9"/>
      <c r="ER956" s="9"/>
      <c r="ES956" s="9"/>
      <c r="ET956" s="9"/>
      <c r="EU956" s="9"/>
      <c r="EV956" s="9"/>
      <c r="EW956" s="9"/>
      <c r="EX956" s="9"/>
      <c r="EY956" s="9"/>
      <c r="EZ956" s="9"/>
      <c r="FA956" s="9"/>
      <c r="FB956" s="9"/>
      <c r="FC956" s="9"/>
      <c r="FD956" s="9"/>
      <c r="FE956" s="9"/>
      <c r="FF956" s="9"/>
      <c r="FG956" s="9"/>
      <c r="FH956" s="9"/>
      <c r="FI956" s="9"/>
      <c r="FJ956" s="9"/>
      <c r="FK956" s="9"/>
      <c r="FL956" s="9"/>
      <c r="FM956" s="9"/>
      <c r="FN956" s="9"/>
      <c r="FO956" s="9"/>
      <c r="FP956" s="9"/>
      <c r="FQ956" s="9"/>
      <c r="FR956" s="9"/>
      <c r="FS956" s="9"/>
      <c r="FT956" s="9"/>
      <c r="FU956" s="9"/>
      <c r="FV956" s="9"/>
      <c r="FW956" s="9"/>
      <c r="FX956" s="9"/>
      <c r="FY956" s="9"/>
      <c r="FZ956" s="9"/>
      <c r="GA956" s="9"/>
      <c r="GB956" s="9"/>
      <c r="GC956" s="9"/>
      <c r="GD956" s="9"/>
      <c r="GE956" s="9"/>
      <c r="GF956" s="9"/>
      <c r="GG956" s="9"/>
      <c r="GH956" s="9"/>
      <c r="GI956" s="9"/>
      <c r="GJ956" s="9"/>
      <c r="GK956" s="9"/>
      <c r="GL956" s="9"/>
      <c r="GM956" s="9"/>
      <c r="GN956" s="9"/>
      <c r="GO956" s="9"/>
      <c r="GP956" s="9"/>
      <c r="GQ956" s="9"/>
      <c r="GR956" s="9"/>
      <c r="GS956" s="9"/>
      <c r="GT956" s="9"/>
      <c r="GU956" s="9"/>
      <c r="GV956" s="9"/>
      <c r="GW956" s="9"/>
      <c r="GX956" s="9"/>
      <c r="GY956" s="9"/>
      <c r="GZ956" s="9"/>
      <c r="HA956" s="9"/>
      <c r="HB956" s="9"/>
      <c r="HC956" s="9"/>
      <c r="HD956" s="9"/>
      <c r="HE956" s="9"/>
      <c r="HF956" s="9"/>
      <c r="HG956" s="9"/>
      <c r="HH956" s="9"/>
      <c r="HI956" s="9"/>
      <c r="HJ956" s="9"/>
      <c r="HK956" s="9"/>
      <c r="HL956" s="9"/>
      <c r="HM956" s="9"/>
      <c r="HZ956" s="58"/>
    </row>
    <row r="957" spans="1:418">
      <c r="EJ957" s="9"/>
      <c r="EK957" s="9"/>
      <c r="EL957" s="9"/>
      <c r="EM957" s="9"/>
      <c r="EN957" s="9"/>
      <c r="EO957" s="9"/>
      <c r="EP957" s="9"/>
      <c r="EQ957" s="9"/>
      <c r="ER957" s="9"/>
      <c r="ES957" s="9"/>
      <c r="ET957" s="9"/>
      <c r="EU957" s="9"/>
      <c r="EV957" s="9"/>
      <c r="EW957" s="9"/>
      <c r="EX957" s="9"/>
      <c r="EY957" s="9"/>
      <c r="EZ957" s="9"/>
      <c r="FA957" s="9"/>
      <c r="FB957" s="9"/>
      <c r="FC957" s="9"/>
      <c r="FD957" s="9"/>
      <c r="FE957" s="9"/>
      <c r="FF957" s="9"/>
      <c r="FG957" s="9"/>
      <c r="FH957" s="9"/>
      <c r="FI957" s="9"/>
      <c r="FJ957" s="9"/>
      <c r="FK957" s="9"/>
      <c r="FL957" s="9"/>
      <c r="FM957" s="9"/>
      <c r="FN957" s="9"/>
      <c r="FO957" s="9"/>
      <c r="FP957" s="9"/>
      <c r="FQ957" s="9"/>
      <c r="FR957" s="9"/>
      <c r="FS957" s="9"/>
      <c r="FT957" s="9"/>
      <c r="FU957" s="9"/>
      <c r="FV957" s="9"/>
      <c r="FW957" s="9"/>
      <c r="FX957" s="9"/>
      <c r="FY957" s="9"/>
      <c r="FZ957" s="9"/>
      <c r="GA957" s="9"/>
      <c r="GB957" s="9"/>
      <c r="GC957" s="9"/>
      <c r="GD957" s="9"/>
      <c r="GE957" s="9"/>
      <c r="GF957" s="9"/>
      <c r="GG957" s="9"/>
      <c r="GH957" s="9"/>
      <c r="GI957" s="9"/>
      <c r="GJ957" s="9"/>
      <c r="GK957" s="9"/>
      <c r="GL957" s="9"/>
      <c r="GM957" s="9"/>
      <c r="GN957" s="9"/>
      <c r="GO957" s="9"/>
      <c r="GP957" s="9"/>
      <c r="GQ957" s="9"/>
      <c r="GR957" s="9"/>
      <c r="GS957" s="9"/>
      <c r="GT957" s="9"/>
      <c r="GU957" s="9"/>
      <c r="GV957" s="9"/>
      <c r="GW957" s="9"/>
      <c r="GX957" s="9"/>
      <c r="GY957" s="9"/>
      <c r="GZ957" s="9"/>
      <c r="HA957" s="9"/>
      <c r="HB957" s="9"/>
      <c r="HC957" s="9"/>
      <c r="HD957" s="9"/>
      <c r="HE957" s="9"/>
      <c r="HF957" s="9"/>
      <c r="HG957" s="9"/>
      <c r="HH957" s="9"/>
      <c r="HI957" s="9"/>
      <c r="HJ957" s="9"/>
      <c r="HK957" s="9"/>
      <c r="HL957" s="9"/>
      <c r="HM957" s="9"/>
      <c r="HZ957" s="58"/>
    </row>
    <row r="958" spans="1:418">
      <c r="EJ958" s="9"/>
      <c r="EK958" s="9"/>
      <c r="EL958" s="9"/>
      <c r="EM958" s="9"/>
      <c r="EN958" s="9"/>
      <c r="EO958" s="9"/>
      <c r="EP958" s="9"/>
      <c r="EQ958" s="9"/>
      <c r="ER958" s="9"/>
      <c r="ES958" s="9"/>
      <c r="ET958" s="9"/>
      <c r="EU958" s="9"/>
      <c r="EV958" s="9"/>
      <c r="EW958" s="9"/>
      <c r="EX958" s="9"/>
      <c r="EY958" s="9"/>
      <c r="EZ958" s="9"/>
      <c r="FA958" s="9"/>
      <c r="FB958" s="9"/>
      <c r="FC958" s="9"/>
      <c r="FD958" s="9"/>
      <c r="FE958" s="9"/>
      <c r="FF958" s="9"/>
      <c r="FG958" s="9"/>
      <c r="FH958" s="9"/>
      <c r="FI958" s="9"/>
      <c r="FJ958" s="9"/>
      <c r="FK958" s="9"/>
      <c r="FL958" s="9"/>
      <c r="FM958" s="9"/>
      <c r="FN958" s="9"/>
      <c r="FO958" s="9"/>
      <c r="FP958" s="9"/>
      <c r="FQ958" s="9"/>
      <c r="FR958" s="9"/>
      <c r="FS958" s="9"/>
      <c r="FT958" s="9"/>
      <c r="FU958" s="9"/>
      <c r="FV958" s="9"/>
      <c r="FW958" s="9"/>
      <c r="FX958" s="9"/>
      <c r="FY958" s="9"/>
      <c r="FZ958" s="9"/>
      <c r="GA958" s="9"/>
      <c r="GB958" s="9"/>
      <c r="GC958" s="9"/>
      <c r="GD958" s="9"/>
      <c r="GE958" s="9"/>
      <c r="GF958" s="9"/>
      <c r="GG958" s="9"/>
      <c r="GH958" s="9"/>
      <c r="GI958" s="9"/>
      <c r="GJ958" s="9"/>
      <c r="GK958" s="9"/>
      <c r="GL958" s="9"/>
      <c r="GM958" s="9"/>
      <c r="GN958" s="9"/>
      <c r="GO958" s="9"/>
      <c r="GP958" s="9"/>
      <c r="GQ958" s="9"/>
      <c r="GR958" s="9"/>
      <c r="GS958" s="9"/>
      <c r="GT958" s="9"/>
      <c r="GU958" s="9"/>
      <c r="GV958" s="9"/>
      <c r="GW958" s="9"/>
      <c r="GX958" s="9"/>
      <c r="GY958" s="9"/>
      <c r="GZ958" s="9"/>
      <c r="HA958" s="9"/>
      <c r="HB958" s="9"/>
      <c r="HC958" s="9"/>
      <c r="HD958" s="9"/>
      <c r="HE958" s="9"/>
      <c r="HF958" s="9"/>
      <c r="HG958" s="9"/>
      <c r="HH958" s="9"/>
      <c r="HI958" s="9"/>
      <c r="HJ958" s="9"/>
      <c r="HK958" s="9"/>
      <c r="HL958" s="9"/>
      <c r="HM958" s="9"/>
      <c r="HZ958" s="58"/>
    </row>
    <row r="959" spans="1:418">
      <c r="EJ959" s="9"/>
      <c r="EK959" s="9"/>
      <c r="EL959" s="9"/>
      <c r="EM959" s="9"/>
      <c r="EN959" s="9"/>
      <c r="EO959" s="9"/>
      <c r="EP959" s="9"/>
      <c r="EQ959" s="9"/>
      <c r="ER959" s="9"/>
      <c r="ES959" s="9"/>
      <c r="ET959" s="9"/>
      <c r="EU959" s="9"/>
      <c r="EV959" s="9"/>
      <c r="EW959" s="9"/>
      <c r="EX959" s="9"/>
      <c r="EY959" s="9"/>
      <c r="EZ959" s="9"/>
      <c r="FA959" s="9"/>
      <c r="FB959" s="9"/>
      <c r="FC959" s="9"/>
      <c r="FD959" s="9"/>
      <c r="FE959" s="9"/>
      <c r="FF959" s="9"/>
      <c r="FG959" s="9"/>
      <c r="FH959" s="9"/>
      <c r="FI959" s="9"/>
      <c r="FJ959" s="9"/>
      <c r="FK959" s="9"/>
      <c r="FL959" s="9"/>
      <c r="FM959" s="9"/>
      <c r="FN959" s="9"/>
      <c r="FO959" s="9"/>
      <c r="FP959" s="9"/>
      <c r="FQ959" s="9"/>
      <c r="FR959" s="9"/>
      <c r="FS959" s="9"/>
      <c r="FT959" s="9"/>
      <c r="FU959" s="9"/>
      <c r="FV959" s="9"/>
      <c r="FW959" s="9"/>
      <c r="FX959" s="9"/>
      <c r="FY959" s="9"/>
      <c r="FZ959" s="9"/>
      <c r="GA959" s="9"/>
      <c r="GB959" s="9"/>
      <c r="GC959" s="9"/>
      <c r="GD959" s="9"/>
      <c r="GE959" s="9"/>
      <c r="GF959" s="9"/>
      <c r="GG959" s="9"/>
      <c r="GH959" s="9"/>
      <c r="GI959" s="9"/>
      <c r="GJ959" s="9"/>
      <c r="GK959" s="9"/>
      <c r="GL959" s="9"/>
      <c r="GM959" s="9"/>
      <c r="GN959" s="9"/>
      <c r="GO959" s="9"/>
      <c r="GP959" s="9"/>
      <c r="GQ959" s="9"/>
      <c r="GR959" s="9"/>
      <c r="GS959" s="9"/>
      <c r="GT959" s="9"/>
      <c r="GU959" s="9"/>
      <c r="GV959" s="9"/>
      <c r="GW959" s="9"/>
      <c r="GX959" s="9"/>
      <c r="GY959" s="9"/>
      <c r="GZ959" s="9"/>
      <c r="HA959" s="9"/>
      <c r="HB959" s="9"/>
      <c r="HC959" s="9"/>
      <c r="HD959" s="9"/>
      <c r="HE959" s="9"/>
      <c r="HF959" s="9"/>
      <c r="HG959" s="9"/>
      <c r="HH959" s="9"/>
      <c r="HI959" s="9"/>
      <c r="HJ959" s="9"/>
      <c r="HK959" s="9"/>
      <c r="HL959" s="9"/>
      <c r="HM959" s="9"/>
      <c r="HZ959" s="58"/>
    </row>
    <row r="960" spans="1:418">
      <c r="EJ960" s="9"/>
      <c r="EK960" s="9"/>
      <c r="EL960" s="9"/>
      <c r="EM960" s="9"/>
      <c r="EN960" s="9"/>
      <c r="EO960" s="9"/>
      <c r="EP960" s="9"/>
      <c r="EQ960" s="9"/>
      <c r="ER960" s="9"/>
      <c r="ES960" s="9"/>
      <c r="ET960" s="9"/>
      <c r="EU960" s="9"/>
      <c r="EV960" s="9"/>
      <c r="EW960" s="9"/>
      <c r="EX960" s="9"/>
      <c r="EY960" s="9"/>
      <c r="EZ960" s="9"/>
      <c r="FA960" s="9"/>
      <c r="FB960" s="9"/>
      <c r="FC960" s="9"/>
      <c r="FD960" s="9"/>
      <c r="FE960" s="9"/>
      <c r="FF960" s="9"/>
      <c r="FG960" s="9"/>
      <c r="FH960" s="9"/>
      <c r="FI960" s="9"/>
      <c r="FJ960" s="9"/>
      <c r="FK960" s="9"/>
      <c r="FL960" s="9"/>
      <c r="FM960" s="9"/>
      <c r="FN960" s="9"/>
      <c r="FO960" s="9"/>
      <c r="FP960" s="9"/>
      <c r="FQ960" s="9"/>
      <c r="FR960" s="9"/>
      <c r="FS960" s="9"/>
      <c r="FT960" s="9"/>
      <c r="FU960" s="9"/>
      <c r="FV960" s="9"/>
      <c r="FW960" s="9"/>
      <c r="FX960" s="9"/>
      <c r="FY960" s="9"/>
      <c r="FZ960" s="9"/>
      <c r="GA960" s="9"/>
      <c r="GB960" s="9"/>
      <c r="GC960" s="9"/>
      <c r="GD960" s="9"/>
      <c r="GE960" s="9"/>
      <c r="GF960" s="9"/>
      <c r="GG960" s="9"/>
      <c r="GH960" s="9"/>
      <c r="GI960" s="9"/>
      <c r="GJ960" s="9"/>
      <c r="GK960" s="9"/>
      <c r="GL960" s="9"/>
      <c r="GM960" s="9"/>
      <c r="GN960" s="9"/>
      <c r="GO960" s="9"/>
      <c r="GP960" s="9"/>
      <c r="GQ960" s="9"/>
      <c r="GR960" s="9"/>
      <c r="GS960" s="9"/>
      <c r="GT960" s="9"/>
      <c r="GU960" s="9"/>
      <c r="GV960" s="9"/>
      <c r="GW960" s="9"/>
      <c r="GX960" s="9"/>
      <c r="GY960" s="9"/>
      <c r="GZ960" s="9"/>
      <c r="HA960" s="9"/>
      <c r="HB960" s="9"/>
      <c r="HC960" s="9"/>
      <c r="HD960" s="9"/>
      <c r="HE960" s="9"/>
      <c r="HF960" s="9"/>
      <c r="HG960" s="9"/>
      <c r="HH960" s="9"/>
      <c r="HI960" s="9"/>
      <c r="HJ960" s="9"/>
      <c r="HK960" s="9"/>
      <c r="HL960" s="9"/>
      <c r="HM960" s="9"/>
      <c r="HZ960" s="58"/>
    </row>
    <row r="961" spans="140:234">
      <c r="EJ961" s="9"/>
      <c r="EK961" s="9"/>
      <c r="EL961" s="9"/>
      <c r="EM961" s="9"/>
      <c r="EN961" s="9"/>
      <c r="EO961" s="9"/>
      <c r="EP961" s="9"/>
      <c r="EQ961" s="9"/>
      <c r="ER961" s="9"/>
      <c r="ES961" s="9"/>
      <c r="ET961" s="9"/>
      <c r="EU961" s="9"/>
      <c r="EV961" s="9"/>
      <c r="EW961" s="9"/>
      <c r="EX961" s="9"/>
      <c r="EY961" s="9"/>
      <c r="EZ961" s="9"/>
      <c r="FA961" s="9"/>
      <c r="FB961" s="9"/>
      <c r="FC961" s="9"/>
      <c r="FD961" s="9"/>
      <c r="FE961" s="9"/>
      <c r="FF961" s="9"/>
      <c r="FG961" s="9"/>
      <c r="FH961" s="9"/>
      <c r="FI961" s="9"/>
      <c r="FJ961" s="9"/>
      <c r="FK961" s="9"/>
      <c r="FL961" s="9"/>
      <c r="FM961" s="9"/>
      <c r="FN961" s="9"/>
      <c r="FO961" s="9"/>
      <c r="FP961" s="9"/>
      <c r="FQ961" s="9"/>
      <c r="FR961" s="9"/>
      <c r="FS961" s="9"/>
      <c r="FT961" s="9"/>
      <c r="FU961" s="9"/>
      <c r="FV961" s="9"/>
      <c r="FW961" s="9"/>
      <c r="FX961" s="9"/>
      <c r="FY961" s="9"/>
      <c r="FZ961" s="9"/>
      <c r="GA961" s="9"/>
      <c r="GB961" s="9"/>
      <c r="GC961" s="9"/>
      <c r="GD961" s="9"/>
      <c r="GE961" s="9"/>
      <c r="GF961" s="9"/>
      <c r="GG961" s="9"/>
      <c r="GH961" s="9"/>
      <c r="GI961" s="9"/>
      <c r="GJ961" s="9"/>
      <c r="GK961" s="9"/>
      <c r="GL961" s="9"/>
      <c r="GM961" s="9"/>
      <c r="GN961" s="9"/>
      <c r="GO961" s="9"/>
      <c r="GP961" s="9"/>
      <c r="GQ961" s="9"/>
      <c r="GR961" s="9"/>
      <c r="GS961" s="9"/>
      <c r="GT961" s="9"/>
      <c r="GU961" s="9"/>
      <c r="GV961" s="9"/>
      <c r="GW961" s="9"/>
      <c r="GX961" s="9"/>
      <c r="GY961" s="9"/>
      <c r="GZ961" s="9"/>
      <c r="HA961" s="9"/>
      <c r="HB961" s="9"/>
      <c r="HC961" s="9"/>
      <c r="HD961" s="9"/>
      <c r="HE961" s="9"/>
      <c r="HF961" s="9"/>
      <c r="HG961" s="9"/>
      <c r="HH961" s="9"/>
      <c r="HI961" s="9"/>
      <c r="HJ961" s="9"/>
      <c r="HK961" s="9"/>
      <c r="HL961" s="9"/>
      <c r="HM961" s="9"/>
      <c r="HZ961" s="58"/>
    </row>
    <row r="962" spans="140:234">
      <c r="EJ962" s="9"/>
      <c r="EK962" s="9"/>
      <c r="EL962" s="9"/>
      <c r="EM962" s="9"/>
      <c r="EN962" s="9"/>
      <c r="EO962" s="9"/>
      <c r="EP962" s="9"/>
      <c r="EQ962" s="9"/>
      <c r="ER962" s="9"/>
      <c r="ES962" s="9"/>
      <c r="ET962" s="9"/>
      <c r="EU962" s="9"/>
      <c r="EV962" s="9"/>
      <c r="EW962" s="9"/>
      <c r="EX962" s="9"/>
      <c r="EY962" s="9"/>
      <c r="EZ962" s="9"/>
      <c r="FA962" s="9"/>
      <c r="FB962" s="9"/>
      <c r="FC962" s="9"/>
      <c r="FD962" s="9"/>
      <c r="FE962" s="9"/>
      <c r="FF962" s="9"/>
      <c r="FG962" s="9"/>
      <c r="FH962" s="9"/>
      <c r="FI962" s="9"/>
      <c r="FJ962" s="9"/>
      <c r="FK962" s="9"/>
      <c r="FL962" s="9"/>
      <c r="FM962" s="9"/>
      <c r="FN962" s="9"/>
      <c r="FO962" s="9"/>
      <c r="FP962" s="9"/>
      <c r="FQ962" s="9"/>
      <c r="FR962" s="9"/>
      <c r="FS962" s="9"/>
      <c r="FT962" s="9"/>
      <c r="FU962" s="9"/>
      <c r="FV962" s="9"/>
      <c r="FW962" s="9"/>
      <c r="FX962" s="9"/>
      <c r="FY962" s="9"/>
      <c r="FZ962" s="9"/>
      <c r="GA962" s="9"/>
      <c r="GB962" s="9"/>
      <c r="GC962" s="9"/>
      <c r="GD962" s="9"/>
      <c r="GE962" s="9"/>
      <c r="GF962" s="9"/>
      <c r="GG962" s="9"/>
      <c r="GH962" s="9"/>
      <c r="GI962" s="9"/>
      <c r="GJ962" s="9"/>
      <c r="GK962" s="9"/>
      <c r="GL962" s="9"/>
      <c r="GM962" s="9"/>
      <c r="GN962" s="9"/>
      <c r="GO962" s="9"/>
      <c r="GP962" s="9"/>
      <c r="GQ962" s="9"/>
      <c r="GR962" s="9"/>
      <c r="GS962" s="9"/>
      <c r="GT962" s="9"/>
      <c r="GU962" s="9"/>
      <c r="GV962" s="9"/>
      <c r="GW962" s="9"/>
      <c r="GX962" s="9"/>
      <c r="GY962" s="9"/>
      <c r="GZ962" s="9"/>
      <c r="HA962" s="9"/>
      <c r="HB962" s="9"/>
      <c r="HC962" s="9"/>
      <c r="HD962" s="9"/>
      <c r="HE962" s="9"/>
      <c r="HF962" s="9"/>
      <c r="HG962" s="9"/>
      <c r="HH962" s="9"/>
      <c r="HI962" s="9"/>
      <c r="HJ962" s="9"/>
      <c r="HK962" s="9"/>
      <c r="HL962" s="9"/>
      <c r="HM962" s="9"/>
      <c r="HZ962" s="58"/>
    </row>
    <row r="963" spans="140:234">
      <c r="EJ963" s="9"/>
      <c r="EK963" s="9"/>
      <c r="EL963" s="9"/>
      <c r="EM963" s="9"/>
      <c r="EN963" s="9"/>
      <c r="EO963" s="9"/>
      <c r="EP963" s="9"/>
      <c r="EQ963" s="9"/>
      <c r="ER963" s="9"/>
      <c r="ES963" s="9"/>
      <c r="ET963" s="9"/>
      <c r="EU963" s="9"/>
      <c r="EV963" s="9"/>
      <c r="EW963" s="9"/>
      <c r="EX963" s="9"/>
      <c r="EY963" s="9"/>
      <c r="EZ963" s="9"/>
      <c r="FA963" s="9"/>
      <c r="FB963" s="9"/>
      <c r="FC963" s="9"/>
      <c r="FD963" s="9"/>
      <c r="FE963" s="9"/>
      <c r="FF963" s="9"/>
      <c r="FG963" s="9"/>
      <c r="FH963" s="9"/>
      <c r="FI963" s="9"/>
      <c r="FJ963" s="9"/>
      <c r="FK963" s="9"/>
      <c r="FL963" s="9"/>
      <c r="FM963" s="9"/>
      <c r="FN963" s="9"/>
      <c r="FO963" s="9"/>
      <c r="FP963" s="9"/>
      <c r="FQ963" s="9"/>
      <c r="FR963" s="9"/>
      <c r="FS963" s="9"/>
      <c r="FT963" s="9"/>
      <c r="FU963" s="9"/>
      <c r="FV963" s="9"/>
      <c r="FW963" s="9"/>
      <c r="FX963" s="9"/>
      <c r="FY963" s="9"/>
      <c r="FZ963" s="9"/>
      <c r="GA963" s="9"/>
      <c r="GB963" s="9"/>
      <c r="GC963" s="9"/>
      <c r="GD963" s="9"/>
      <c r="GE963" s="9"/>
      <c r="GF963" s="9"/>
      <c r="GG963" s="9"/>
      <c r="GH963" s="9"/>
      <c r="GI963" s="9"/>
      <c r="GJ963" s="9"/>
      <c r="GK963" s="9"/>
      <c r="GL963" s="9"/>
      <c r="GM963" s="9"/>
      <c r="GN963" s="9"/>
      <c r="GO963" s="9"/>
      <c r="GP963" s="9"/>
      <c r="GQ963" s="9"/>
      <c r="GR963" s="9"/>
      <c r="GS963" s="9"/>
      <c r="GT963" s="9"/>
      <c r="GU963" s="9"/>
      <c r="GV963" s="9"/>
      <c r="GW963" s="9"/>
      <c r="GX963" s="9"/>
      <c r="GY963" s="9"/>
      <c r="GZ963" s="9"/>
      <c r="HA963" s="9"/>
      <c r="HB963" s="9"/>
      <c r="HC963" s="9"/>
      <c r="HD963" s="9"/>
      <c r="HE963" s="9"/>
      <c r="HF963" s="9"/>
      <c r="HG963" s="9"/>
      <c r="HH963" s="9"/>
      <c r="HI963" s="9"/>
      <c r="HJ963" s="9"/>
      <c r="HK963" s="9"/>
      <c r="HL963" s="9"/>
      <c r="HM963" s="9"/>
      <c r="HZ963" s="58"/>
    </row>
    <row r="964" spans="140:234">
      <c r="EJ964" s="9"/>
      <c r="EK964" s="9"/>
      <c r="EL964" s="9"/>
      <c r="EM964" s="9"/>
      <c r="EN964" s="9"/>
      <c r="EO964" s="9"/>
      <c r="EP964" s="9"/>
      <c r="EQ964" s="9"/>
      <c r="ER964" s="9"/>
      <c r="ES964" s="9"/>
      <c r="ET964" s="9"/>
      <c r="EU964" s="9"/>
      <c r="EV964" s="9"/>
      <c r="EW964" s="9"/>
      <c r="EX964" s="9"/>
      <c r="EY964" s="9"/>
      <c r="EZ964" s="9"/>
      <c r="FA964" s="9"/>
      <c r="FB964" s="9"/>
      <c r="FC964" s="9"/>
      <c r="FD964" s="9"/>
      <c r="FE964" s="9"/>
      <c r="FF964" s="9"/>
      <c r="FG964" s="9"/>
      <c r="FH964" s="9"/>
      <c r="FI964" s="9"/>
      <c r="FJ964" s="9"/>
      <c r="FK964" s="9"/>
      <c r="FL964" s="9"/>
      <c r="FM964" s="9"/>
      <c r="FN964" s="9"/>
      <c r="FO964" s="9"/>
      <c r="FP964" s="9"/>
      <c r="FQ964" s="9"/>
      <c r="FR964" s="9"/>
      <c r="FS964" s="9"/>
      <c r="FT964" s="9"/>
      <c r="FU964" s="9"/>
      <c r="FV964" s="9"/>
      <c r="FW964" s="9"/>
      <c r="FX964" s="9"/>
      <c r="FY964" s="9"/>
      <c r="FZ964" s="9"/>
      <c r="GA964" s="9"/>
      <c r="GB964" s="9"/>
      <c r="GC964" s="9"/>
      <c r="GD964" s="9"/>
      <c r="GE964" s="9"/>
      <c r="GF964" s="9"/>
      <c r="GG964" s="9"/>
      <c r="GH964" s="9"/>
      <c r="GI964" s="9"/>
      <c r="GJ964" s="9"/>
      <c r="GK964" s="9"/>
      <c r="GL964" s="9"/>
      <c r="GM964" s="9"/>
      <c r="GN964" s="9"/>
      <c r="GO964" s="9"/>
      <c r="GP964" s="9"/>
      <c r="GQ964" s="9"/>
      <c r="GR964" s="9"/>
      <c r="GS964" s="9"/>
      <c r="GT964" s="9"/>
      <c r="GU964" s="9"/>
      <c r="GV964" s="9"/>
      <c r="GW964" s="9"/>
      <c r="GX964" s="9"/>
      <c r="GY964" s="9"/>
      <c r="GZ964" s="9"/>
      <c r="HA964" s="9"/>
      <c r="HB964" s="9"/>
      <c r="HC964" s="9"/>
      <c r="HD964" s="9"/>
      <c r="HE964" s="9"/>
      <c r="HF964" s="9"/>
      <c r="HG964" s="9"/>
      <c r="HH964" s="9"/>
      <c r="HI964" s="9"/>
      <c r="HJ964" s="9"/>
      <c r="HK964" s="9"/>
      <c r="HL964" s="9"/>
      <c r="HM964" s="9"/>
      <c r="HZ964" s="58"/>
    </row>
    <row r="965" spans="140:234">
      <c r="EJ965" s="9"/>
      <c r="EK965" s="9"/>
      <c r="EL965" s="9"/>
      <c r="EM965" s="9"/>
      <c r="EN965" s="9"/>
      <c r="EO965" s="9"/>
      <c r="EP965" s="9"/>
      <c r="EQ965" s="9"/>
      <c r="ER965" s="9"/>
      <c r="ES965" s="9"/>
      <c r="ET965" s="9"/>
      <c r="EU965" s="9"/>
      <c r="EV965" s="9"/>
      <c r="EW965" s="9"/>
      <c r="EX965" s="9"/>
      <c r="EY965" s="9"/>
      <c r="EZ965" s="9"/>
      <c r="FA965" s="9"/>
      <c r="FB965" s="9"/>
      <c r="FC965" s="9"/>
      <c r="FD965" s="9"/>
      <c r="FE965" s="9"/>
      <c r="FF965" s="9"/>
      <c r="FG965" s="9"/>
      <c r="FH965" s="9"/>
      <c r="FI965" s="9"/>
      <c r="FJ965" s="9"/>
      <c r="FK965" s="9"/>
      <c r="FL965" s="9"/>
      <c r="FM965" s="9"/>
      <c r="FN965" s="9"/>
      <c r="FO965" s="9"/>
      <c r="FP965" s="9"/>
      <c r="FQ965" s="9"/>
      <c r="FR965" s="9"/>
      <c r="FS965" s="9"/>
      <c r="FT965" s="9"/>
      <c r="FU965" s="9"/>
      <c r="FV965" s="9"/>
      <c r="FW965" s="9"/>
      <c r="FX965" s="9"/>
      <c r="FY965" s="9"/>
      <c r="FZ965" s="9"/>
      <c r="GA965" s="9"/>
      <c r="GB965" s="9"/>
      <c r="GC965" s="9"/>
      <c r="GD965" s="9"/>
      <c r="GE965" s="9"/>
      <c r="GF965" s="9"/>
      <c r="GG965" s="9"/>
      <c r="GH965" s="9"/>
      <c r="GI965" s="9"/>
      <c r="GJ965" s="9"/>
      <c r="GK965" s="9"/>
      <c r="GL965" s="9"/>
      <c r="GM965" s="9"/>
      <c r="GN965" s="9"/>
      <c r="GO965" s="9"/>
      <c r="GP965" s="9"/>
      <c r="GQ965" s="9"/>
      <c r="GR965" s="9"/>
      <c r="GS965" s="9"/>
      <c r="GT965" s="9"/>
      <c r="GU965" s="9"/>
      <c r="GV965" s="9"/>
      <c r="GW965" s="9"/>
      <c r="GX965" s="9"/>
      <c r="GY965" s="9"/>
      <c r="GZ965" s="9"/>
      <c r="HA965" s="9"/>
      <c r="HB965" s="9"/>
      <c r="HC965" s="9"/>
      <c r="HD965" s="9"/>
      <c r="HE965" s="9"/>
      <c r="HF965" s="9"/>
      <c r="HG965" s="9"/>
      <c r="HH965" s="9"/>
      <c r="HI965" s="9"/>
      <c r="HJ965" s="9"/>
      <c r="HK965" s="9"/>
      <c r="HL965" s="9"/>
      <c r="HM965" s="9"/>
      <c r="HZ965" s="58"/>
    </row>
    <row r="966" spans="140:234">
      <c r="EJ966" s="9"/>
      <c r="EK966" s="9"/>
      <c r="EL966" s="9"/>
      <c r="EM966" s="9"/>
      <c r="EN966" s="9"/>
      <c r="EO966" s="9"/>
      <c r="EP966" s="9"/>
      <c r="EQ966" s="9"/>
      <c r="ER966" s="9"/>
      <c r="ES966" s="9"/>
      <c r="ET966" s="9"/>
      <c r="EU966" s="9"/>
      <c r="EV966" s="9"/>
      <c r="EW966" s="9"/>
      <c r="EX966" s="9"/>
      <c r="EY966" s="9"/>
      <c r="EZ966" s="9"/>
      <c r="FA966" s="9"/>
      <c r="FB966" s="9"/>
      <c r="FC966" s="9"/>
      <c r="FD966" s="9"/>
      <c r="FE966" s="9"/>
      <c r="FF966" s="9"/>
      <c r="FG966" s="9"/>
      <c r="FH966" s="9"/>
      <c r="FI966" s="9"/>
      <c r="FJ966" s="9"/>
      <c r="FK966" s="9"/>
      <c r="FL966" s="9"/>
      <c r="FM966" s="9"/>
      <c r="FN966" s="9"/>
      <c r="FO966" s="9"/>
      <c r="FP966" s="9"/>
      <c r="FQ966" s="9"/>
      <c r="FR966" s="9"/>
      <c r="FS966" s="9"/>
      <c r="FT966" s="9"/>
      <c r="FU966" s="9"/>
      <c r="FV966" s="9"/>
      <c r="FW966" s="9"/>
      <c r="FX966" s="9"/>
      <c r="FY966" s="9"/>
      <c r="FZ966" s="9"/>
      <c r="GA966" s="9"/>
      <c r="GB966" s="9"/>
      <c r="GC966" s="9"/>
      <c r="GD966" s="9"/>
      <c r="GE966" s="9"/>
      <c r="GF966" s="9"/>
      <c r="GG966" s="9"/>
      <c r="GH966" s="9"/>
      <c r="GI966" s="9"/>
      <c r="GJ966" s="9"/>
      <c r="GK966" s="9"/>
      <c r="GL966" s="9"/>
      <c r="GM966" s="9"/>
      <c r="GN966" s="9"/>
      <c r="GO966" s="9"/>
      <c r="GP966" s="9"/>
      <c r="GQ966" s="9"/>
      <c r="GR966" s="9"/>
      <c r="GS966" s="9"/>
      <c r="GT966" s="9"/>
      <c r="GU966" s="9"/>
      <c r="GV966" s="9"/>
      <c r="GW966" s="9"/>
      <c r="GX966" s="9"/>
      <c r="GY966" s="9"/>
      <c r="GZ966" s="9"/>
      <c r="HA966" s="9"/>
      <c r="HB966" s="9"/>
      <c r="HC966" s="9"/>
      <c r="HD966" s="9"/>
      <c r="HE966" s="9"/>
      <c r="HF966" s="9"/>
      <c r="HG966" s="9"/>
      <c r="HH966" s="9"/>
      <c r="HI966" s="9"/>
      <c r="HJ966" s="9"/>
      <c r="HK966" s="9"/>
      <c r="HL966" s="9"/>
      <c r="HM966" s="9"/>
      <c r="HZ966" s="58"/>
    </row>
    <row r="967" spans="140:234">
      <c r="EJ967" s="9"/>
      <c r="EK967" s="9"/>
      <c r="EL967" s="9"/>
      <c r="EM967" s="9"/>
      <c r="EN967" s="9"/>
      <c r="EO967" s="9"/>
      <c r="EP967" s="9"/>
      <c r="EQ967" s="9"/>
      <c r="ER967" s="9"/>
      <c r="ES967" s="9"/>
      <c r="ET967" s="9"/>
      <c r="EU967" s="9"/>
      <c r="EV967" s="9"/>
      <c r="EW967" s="9"/>
      <c r="EX967" s="9"/>
      <c r="EY967" s="9"/>
      <c r="EZ967" s="9"/>
      <c r="FA967" s="9"/>
      <c r="FB967" s="9"/>
      <c r="FC967" s="9"/>
      <c r="FD967" s="9"/>
      <c r="FE967" s="9"/>
      <c r="FF967" s="9"/>
      <c r="FG967" s="9"/>
      <c r="FH967" s="9"/>
      <c r="FI967" s="9"/>
      <c r="FJ967" s="9"/>
      <c r="FK967" s="9"/>
      <c r="FL967" s="9"/>
      <c r="FM967" s="9"/>
      <c r="FN967" s="9"/>
      <c r="FO967" s="9"/>
      <c r="FP967" s="9"/>
      <c r="FQ967" s="9"/>
      <c r="FR967" s="9"/>
      <c r="FS967" s="9"/>
      <c r="FT967" s="9"/>
      <c r="FU967" s="9"/>
      <c r="FV967" s="9"/>
      <c r="FW967" s="9"/>
      <c r="FX967" s="9"/>
      <c r="FY967" s="9"/>
      <c r="FZ967" s="9"/>
      <c r="GA967" s="9"/>
      <c r="GB967" s="9"/>
      <c r="GC967" s="9"/>
      <c r="GD967" s="9"/>
      <c r="GE967" s="9"/>
      <c r="GF967" s="9"/>
      <c r="GG967" s="9"/>
      <c r="GH967" s="9"/>
      <c r="GI967" s="9"/>
      <c r="GJ967" s="9"/>
      <c r="GK967" s="9"/>
      <c r="GL967" s="9"/>
      <c r="GM967" s="9"/>
      <c r="GN967" s="9"/>
      <c r="GO967" s="9"/>
      <c r="GP967" s="9"/>
      <c r="GQ967" s="9"/>
      <c r="GR967" s="9"/>
      <c r="GS967" s="9"/>
      <c r="GT967" s="9"/>
      <c r="GU967" s="9"/>
      <c r="GV967" s="9"/>
      <c r="GW967" s="9"/>
      <c r="GX967" s="9"/>
      <c r="GY967" s="9"/>
      <c r="GZ967" s="9"/>
      <c r="HA967" s="9"/>
      <c r="HB967" s="9"/>
      <c r="HC967" s="9"/>
      <c r="HD967" s="9"/>
      <c r="HE967" s="9"/>
      <c r="HF967" s="9"/>
      <c r="HG967" s="9"/>
      <c r="HH967" s="9"/>
      <c r="HI967" s="9"/>
      <c r="HJ967" s="9"/>
      <c r="HK967" s="9"/>
      <c r="HL967" s="9"/>
      <c r="HM967" s="9"/>
      <c r="HZ967" s="58"/>
    </row>
    <row r="968" spans="140:234">
      <c r="EJ968" s="9"/>
      <c r="EK968" s="9"/>
      <c r="EL968" s="9"/>
      <c r="EM968" s="9"/>
      <c r="EN968" s="9"/>
      <c r="EO968" s="9"/>
      <c r="EP968" s="9"/>
      <c r="EQ968" s="9"/>
      <c r="ER968" s="9"/>
      <c r="ES968" s="9"/>
      <c r="ET968" s="9"/>
      <c r="EU968" s="9"/>
      <c r="EV968" s="9"/>
      <c r="EW968" s="9"/>
      <c r="EX968" s="9"/>
      <c r="EY968" s="9"/>
      <c r="EZ968" s="9"/>
      <c r="FA968" s="9"/>
      <c r="FB968" s="9"/>
      <c r="FC968" s="9"/>
      <c r="FD968" s="9"/>
      <c r="FE968" s="9"/>
      <c r="FF968" s="9"/>
      <c r="FG968" s="9"/>
      <c r="FH968" s="9"/>
      <c r="FI968" s="9"/>
      <c r="FJ968" s="9"/>
      <c r="FK968" s="9"/>
      <c r="FL968" s="9"/>
      <c r="FM968" s="9"/>
      <c r="FN968" s="9"/>
      <c r="FO968" s="9"/>
      <c r="FP968" s="9"/>
      <c r="FQ968" s="9"/>
      <c r="FR968" s="9"/>
      <c r="FS968" s="9"/>
      <c r="FT968" s="9"/>
      <c r="FU968" s="9"/>
      <c r="FV968" s="9"/>
      <c r="FW968" s="9"/>
      <c r="FX968" s="9"/>
      <c r="FY968" s="9"/>
      <c r="FZ968" s="9"/>
      <c r="GA968" s="9"/>
      <c r="GB968" s="9"/>
      <c r="GC968" s="9"/>
      <c r="GD968" s="9"/>
      <c r="GE968" s="9"/>
      <c r="GF968" s="9"/>
      <c r="GG968" s="9"/>
      <c r="GH968" s="9"/>
      <c r="GI968" s="9"/>
      <c r="GJ968" s="9"/>
      <c r="GK968" s="9"/>
      <c r="GL968" s="9"/>
      <c r="GM968" s="9"/>
      <c r="GN968" s="9"/>
      <c r="GO968" s="9"/>
      <c r="GP968" s="9"/>
      <c r="GQ968" s="9"/>
      <c r="GR968" s="9"/>
      <c r="GS968" s="9"/>
      <c r="GT968" s="9"/>
      <c r="GU968" s="9"/>
      <c r="GV968" s="9"/>
      <c r="GW968" s="9"/>
      <c r="GX968" s="9"/>
      <c r="GY968" s="9"/>
      <c r="GZ968" s="9"/>
      <c r="HA968" s="9"/>
      <c r="HB968" s="9"/>
      <c r="HC968" s="9"/>
      <c r="HD968" s="9"/>
      <c r="HE968" s="9"/>
      <c r="HF968" s="9"/>
      <c r="HG968" s="9"/>
      <c r="HH968" s="9"/>
      <c r="HI968" s="9"/>
      <c r="HJ968" s="9"/>
      <c r="HK968" s="9"/>
      <c r="HL968" s="9"/>
      <c r="HM968" s="9"/>
      <c r="HZ968" s="58"/>
    </row>
    <row r="969" spans="140:234">
      <c r="EJ969" s="9"/>
      <c r="EK969" s="9"/>
      <c r="EL969" s="9"/>
      <c r="EM969" s="9"/>
      <c r="EN969" s="9"/>
      <c r="EO969" s="9"/>
      <c r="EP969" s="9"/>
      <c r="EQ969" s="9"/>
      <c r="ER969" s="9"/>
      <c r="ES969" s="9"/>
      <c r="ET969" s="9"/>
      <c r="EU969" s="9"/>
      <c r="EV969" s="9"/>
      <c r="EW969" s="9"/>
      <c r="EX969" s="9"/>
      <c r="EY969" s="9"/>
      <c r="EZ969" s="9"/>
      <c r="FA969" s="9"/>
      <c r="FB969" s="9"/>
      <c r="FC969" s="9"/>
      <c r="FD969" s="9"/>
      <c r="FE969" s="9"/>
      <c r="FF969" s="9"/>
      <c r="FG969" s="9"/>
      <c r="FH969" s="9"/>
      <c r="FI969" s="9"/>
      <c r="FJ969" s="9"/>
      <c r="FK969" s="9"/>
      <c r="FL969" s="9"/>
      <c r="FM969" s="9"/>
      <c r="FN969" s="9"/>
      <c r="FO969" s="9"/>
      <c r="FP969" s="9"/>
      <c r="FQ969" s="9"/>
      <c r="FR969" s="9"/>
      <c r="FS969" s="9"/>
      <c r="FT969" s="9"/>
      <c r="FU969" s="9"/>
      <c r="FV969" s="9"/>
      <c r="FW969" s="9"/>
      <c r="FX969" s="9"/>
      <c r="FY969" s="9"/>
      <c r="FZ969" s="9"/>
      <c r="GA969" s="9"/>
      <c r="GB969" s="9"/>
      <c r="GC969" s="9"/>
      <c r="GD969" s="9"/>
      <c r="GE969" s="9"/>
      <c r="GF969" s="9"/>
      <c r="GG969" s="9"/>
      <c r="GH969" s="9"/>
      <c r="GI969" s="9"/>
      <c r="GJ969" s="9"/>
      <c r="GK969" s="9"/>
      <c r="GL969" s="9"/>
      <c r="GM969" s="9"/>
      <c r="GN969" s="9"/>
      <c r="GO969" s="9"/>
      <c r="GP969" s="9"/>
      <c r="GQ969" s="9"/>
      <c r="GR969" s="9"/>
      <c r="GS969" s="9"/>
      <c r="GT969" s="9"/>
      <c r="GU969" s="9"/>
      <c r="GV969" s="9"/>
      <c r="GW969" s="9"/>
      <c r="GX969" s="9"/>
      <c r="GY969" s="9"/>
      <c r="GZ969" s="9"/>
      <c r="HA969" s="9"/>
      <c r="HB969" s="9"/>
      <c r="HC969" s="9"/>
      <c r="HD969" s="9"/>
      <c r="HE969" s="9"/>
      <c r="HF969" s="9"/>
      <c r="HG969" s="9"/>
      <c r="HH969" s="9"/>
      <c r="HI969" s="9"/>
      <c r="HJ969" s="9"/>
      <c r="HK969" s="9"/>
      <c r="HL969" s="9"/>
      <c r="HM969" s="9"/>
      <c r="HZ969" s="58"/>
    </row>
    <row r="970" spans="140:234">
      <c r="EJ970" s="9"/>
      <c r="EK970" s="9"/>
      <c r="EL970" s="9"/>
      <c r="EM970" s="9"/>
      <c r="EN970" s="9"/>
      <c r="EO970" s="9"/>
      <c r="EP970" s="9"/>
      <c r="EQ970" s="9"/>
      <c r="ER970" s="9"/>
      <c r="ES970" s="9"/>
      <c r="ET970" s="9"/>
      <c r="EU970" s="9"/>
      <c r="EV970" s="9"/>
      <c r="EW970" s="9"/>
      <c r="EX970" s="9"/>
      <c r="EY970" s="9"/>
      <c r="EZ970" s="9"/>
      <c r="FA970" s="9"/>
      <c r="FB970" s="9"/>
      <c r="FC970" s="9"/>
      <c r="FD970" s="9"/>
      <c r="FE970" s="9"/>
      <c r="FF970" s="9"/>
      <c r="FG970" s="9"/>
      <c r="FH970" s="9"/>
      <c r="FI970" s="9"/>
      <c r="FJ970" s="9"/>
      <c r="FK970" s="9"/>
      <c r="FL970" s="9"/>
      <c r="FM970" s="9"/>
      <c r="FN970" s="9"/>
      <c r="FO970" s="9"/>
      <c r="FP970" s="9"/>
      <c r="FQ970" s="9"/>
      <c r="FR970" s="9"/>
      <c r="FS970" s="9"/>
      <c r="FT970" s="9"/>
      <c r="FU970" s="9"/>
      <c r="FV970" s="9"/>
      <c r="FW970" s="9"/>
      <c r="FX970" s="9"/>
      <c r="FY970" s="9"/>
      <c r="FZ970" s="9"/>
      <c r="GA970" s="9"/>
      <c r="GB970" s="9"/>
      <c r="GC970" s="9"/>
      <c r="GD970" s="9"/>
      <c r="GE970" s="9"/>
      <c r="GF970" s="9"/>
      <c r="GG970" s="9"/>
      <c r="GH970" s="9"/>
      <c r="GI970" s="9"/>
      <c r="GJ970" s="9"/>
      <c r="GK970" s="9"/>
      <c r="GL970" s="9"/>
      <c r="GM970" s="9"/>
      <c r="GN970" s="9"/>
      <c r="GO970" s="9"/>
      <c r="GP970" s="9"/>
      <c r="GQ970" s="9"/>
      <c r="GR970" s="9"/>
      <c r="GS970" s="9"/>
      <c r="GT970" s="9"/>
      <c r="GU970" s="9"/>
      <c r="GV970" s="9"/>
      <c r="GW970" s="9"/>
      <c r="GX970" s="9"/>
      <c r="GY970" s="9"/>
      <c r="GZ970" s="9"/>
      <c r="HA970" s="9"/>
      <c r="HB970" s="9"/>
      <c r="HC970" s="9"/>
      <c r="HD970" s="9"/>
      <c r="HE970" s="9"/>
      <c r="HF970" s="9"/>
      <c r="HG970" s="9"/>
      <c r="HH970" s="9"/>
      <c r="HI970" s="9"/>
      <c r="HJ970" s="9"/>
      <c r="HK970" s="9"/>
      <c r="HL970" s="9"/>
      <c r="HM970" s="9"/>
      <c r="HZ970" s="58"/>
    </row>
    <row r="971" spans="140:234">
      <c r="EJ971" s="9"/>
      <c r="EK971" s="9"/>
      <c r="EL971" s="9"/>
      <c r="EM971" s="9"/>
      <c r="EN971" s="9"/>
      <c r="EO971" s="9"/>
      <c r="EP971" s="9"/>
      <c r="EQ971" s="9"/>
      <c r="ER971" s="9"/>
      <c r="ES971" s="9"/>
      <c r="ET971" s="9"/>
      <c r="EU971" s="9"/>
      <c r="EV971" s="9"/>
      <c r="EW971" s="9"/>
      <c r="EX971" s="9"/>
      <c r="EY971" s="9"/>
      <c r="EZ971" s="9"/>
      <c r="FA971" s="9"/>
      <c r="FB971" s="9"/>
      <c r="FC971" s="9"/>
      <c r="FD971" s="9"/>
      <c r="FE971" s="9"/>
      <c r="FF971" s="9"/>
      <c r="FG971" s="9"/>
      <c r="FH971" s="9"/>
      <c r="FI971" s="9"/>
      <c r="FJ971" s="9"/>
      <c r="FK971" s="9"/>
      <c r="FL971" s="9"/>
      <c r="FM971" s="9"/>
      <c r="FN971" s="9"/>
      <c r="FO971" s="9"/>
      <c r="FP971" s="9"/>
      <c r="FQ971" s="9"/>
      <c r="FR971" s="9"/>
      <c r="FS971" s="9"/>
      <c r="FT971" s="9"/>
      <c r="FU971" s="9"/>
      <c r="FV971" s="9"/>
      <c r="FW971" s="9"/>
      <c r="FX971" s="9"/>
      <c r="FY971" s="9"/>
      <c r="FZ971" s="9"/>
      <c r="GA971" s="9"/>
      <c r="GB971" s="9"/>
      <c r="GC971" s="9"/>
      <c r="GD971" s="9"/>
      <c r="GE971" s="9"/>
      <c r="GF971" s="9"/>
      <c r="GG971" s="9"/>
      <c r="GH971" s="9"/>
      <c r="GI971" s="9"/>
      <c r="GJ971" s="9"/>
      <c r="GK971" s="9"/>
      <c r="GL971" s="9"/>
      <c r="GM971" s="9"/>
      <c r="GN971" s="9"/>
      <c r="GO971" s="9"/>
      <c r="GP971" s="9"/>
      <c r="GQ971" s="9"/>
      <c r="GR971" s="9"/>
      <c r="GS971" s="9"/>
      <c r="GT971" s="9"/>
      <c r="GU971" s="9"/>
      <c r="GV971" s="9"/>
      <c r="GW971" s="9"/>
      <c r="GX971" s="9"/>
      <c r="GY971" s="9"/>
      <c r="GZ971" s="9"/>
      <c r="HA971" s="9"/>
      <c r="HB971" s="9"/>
      <c r="HC971" s="9"/>
      <c r="HD971" s="9"/>
      <c r="HE971" s="9"/>
      <c r="HF971" s="9"/>
      <c r="HG971" s="9"/>
      <c r="HH971" s="9"/>
      <c r="HI971" s="9"/>
      <c r="HJ971" s="9"/>
      <c r="HK971" s="9"/>
      <c r="HL971" s="9"/>
      <c r="HM971" s="9"/>
      <c r="HZ971" s="58"/>
    </row>
    <row r="972" spans="140:234">
      <c r="EJ972" s="9"/>
      <c r="EK972" s="9"/>
      <c r="EL972" s="9"/>
      <c r="EM972" s="9"/>
      <c r="EN972" s="9"/>
      <c r="EO972" s="9"/>
      <c r="EP972" s="9"/>
      <c r="EQ972" s="9"/>
      <c r="ER972" s="9"/>
      <c r="ES972" s="9"/>
      <c r="ET972" s="9"/>
      <c r="EU972" s="9"/>
      <c r="EV972" s="9"/>
      <c r="EW972" s="9"/>
      <c r="EX972" s="9"/>
      <c r="EY972" s="9"/>
      <c r="EZ972" s="9"/>
      <c r="FA972" s="9"/>
      <c r="FB972" s="9"/>
      <c r="FC972" s="9"/>
      <c r="FD972" s="9"/>
      <c r="FE972" s="9"/>
      <c r="FF972" s="9"/>
      <c r="FG972" s="9"/>
      <c r="FH972" s="9"/>
      <c r="FI972" s="9"/>
      <c r="FJ972" s="9"/>
      <c r="FK972" s="9"/>
      <c r="FL972" s="9"/>
      <c r="FM972" s="9"/>
      <c r="FN972" s="9"/>
      <c r="FO972" s="9"/>
      <c r="FP972" s="9"/>
      <c r="FQ972" s="9"/>
      <c r="FR972" s="9"/>
      <c r="FS972" s="9"/>
      <c r="FT972" s="9"/>
      <c r="FU972" s="9"/>
      <c r="FV972" s="9"/>
      <c r="FW972" s="9"/>
      <c r="FX972" s="9"/>
      <c r="FY972" s="9"/>
      <c r="FZ972" s="9"/>
      <c r="GA972" s="9"/>
      <c r="GB972" s="9"/>
      <c r="GC972" s="9"/>
      <c r="GD972" s="9"/>
      <c r="GE972" s="9"/>
      <c r="GF972" s="9"/>
      <c r="GG972" s="9"/>
      <c r="GH972" s="9"/>
      <c r="GI972" s="9"/>
      <c r="GJ972" s="9"/>
      <c r="GK972" s="9"/>
      <c r="GL972" s="9"/>
      <c r="GM972" s="9"/>
      <c r="GN972" s="9"/>
      <c r="GO972" s="9"/>
      <c r="GP972" s="9"/>
      <c r="GQ972" s="9"/>
      <c r="GR972" s="9"/>
      <c r="GS972" s="9"/>
      <c r="GT972" s="9"/>
      <c r="GU972" s="9"/>
      <c r="GV972" s="9"/>
      <c r="GW972" s="9"/>
      <c r="GX972" s="9"/>
      <c r="GY972" s="9"/>
      <c r="GZ972" s="9"/>
      <c r="HA972" s="9"/>
      <c r="HB972" s="9"/>
      <c r="HC972" s="9"/>
      <c r="HD972" s="9"/>
      <c r="HE972" s="9"/>
      <c r="HF972" s="9"/>
      <c r="HG972" s="9"/>
      <c r="HH972" s="9"/>
      <c r="HI972" s="9"/>
      <c r="HJ972" s="9"/>
      <c r="HK972" s="9"/>
      <c r="HL972" s="9"/>
      <c r="HM972" s="9"/>
      <c r="HZ972" s="58"/>
    </row>
    <row r="973" spans="140:234">
      <c r="EJ973" s="9"/>
      <c r="EK973" s="9"/>
      <c r="EL973" s="9"/>
      <c r="EM973" s="9"/>
      <c r="EN973" s="9"/>
      <c r="EO973" s="9"/>
      <c r="EP973" s="9"/>
      <c r="EQ973" s="9"/>
      <c r="ER973" s="9"/>
      <c r="ES973" s="9"/>
      <c r="ET973" s="9"/>
      <c r="EU973" s="9"/>
      <c r="EV973" s="9"/>
      <c r="EW973" s="9"/>
      <c r="EX973" s="9"/>
      <c r="EY973" s="9"/>
      <c r="EZ973" s="9"/>
      <c r="FA973" s="9"/>
      <c r="FB973" s="9"/>
      <c r="FC973" s="9"/>
      <c r="FD973" s="9"/>
      <c r="FE973" s="9"/>
      <c r="FF973" s="9"/>
      <c r="FG973" s="9"/>
      <c r="FH973" s="9"/>
      <c r="FI973" s="9"/>
      <c r="FJ973" s="9"/>
      <c r="FK973" s="9"/>
      <c r="FL973" s="9"/>
      <c r="FM973" s="9"/>
      <c r="FN973" s="9"/>
      <c r="FO973" s="9"/>
      <c r="FP973" s="9"/>
      <c r="FQ973" s="9"/>
      <c r="FR973" s="9"/>
      <c r="FS973" s="9"/>
      <c r="FT973" s="9"/>
      <c r="FU973" s="9"/>
      <c r="FV973" s="9"/>
      <c r="FW973" s="9"/>
      <c r="FX973" s="9"/>
      <c r="FY973" s="9"/>
      <c r="FZ973" s="9"/>
      <c r="GA973" s="9"/>
      <c r="GB973" s="9"/>
      <c r="GC973" s="9"/>
      <c r="GD973" s="9"/>
      <c r="GE973" s="9"/>
      <c r="GF973" s="9"/>
      <c r="GG973" s="9"/>
      <c r="GH973" s="9"/>
      <c r="GI973" s="9"/>
      <c r="GJ973" s="9"/>
      <c r="GK973" s="9"/>
      <c r="GL973" s="9"/>
      <c r="GM973" s="9"/>
      <c r="GN973" s="9"/>
      <c r="GO973" s="9"/>
      <c r="GP973" s="9"/>
      <c r="GQ973" s="9"/>
      <c r="GR973" s="9"/>
      <c r="GS973" s="9"/>
      <c r="GT973" s="9"/>
      <c r="GU973" s="9"/>
      <c r="GV973" s="9"/>
      <c r="GW973" s="9"/>
      <c r="GX973" s="9"/>
      <c r="GY973" s="9"/>
      <c r="GZ973" s="9"/>
      <c r="HA973" s="9"/>
      <c r="HB973" s="9"/>
      <c r="HC973" s="9"/>
      <c r="HD973" s="9"/>
      <c r="HE973" s="9"/>
      <c r="HF973" s="9"/>
      <c r="HG973" s="9"/>
      <c r="HH973" s="9"/>
      <c r="HI973" s="9"/>
      <c r="HJ973" s="9"/>
      <c r="HK973" s="9"/>
      <c r="HL973" s="9"/>
      <c r="HM973" s="9"/>
      <c r="HZ973" s="58"/>
    </row>
    <row r="974" spans="140:234">
      <c r="EJ974" s="9"/>
      <c r="EK974" s="9"/>
      <c r="EL974" s="9"/>
      <c r="EM974" s="9"/>
      <c r="EN974" s="9"/>
      <c r="EO974" s="9"/>
      <c r="EP974" s="9"/>
      <c r="EQ974" s="9"/>
      <c r="ER974" s="9"/>
      <c r="ES974" s="9"/>
      <c r="ET974" s="9"/>
      <c r="EU974" s="9"/>
      <c r="EV974" s="9"/>
      <c r="EW974" s="9"/>
      <c r="EX974" s="9"/>
      <c r="EY974" s="9"/>
      <c r="EZ974" s="9"/>
      <c r="FA974" s="9"/>
      <c r="FB974" s="9"/>
      <c r="FC974" s="9"/>
      <c r="FD974" s="9"/>
      <c r="FE974" s="9"/>
      <c r="FF974" s="9"/>
      <c r="FG974" s="9"/>
      <c r="FH974" s="9"/>
      <c r="FI974" s="9"/>
      <c r="FJ974" s="9"/>
      <c r="FK974" s="9"/>
      <c r="FL974" s="9"/>
      <c r="FM974" s="9"/>
      <c r="FN974" s="9"/>
      <c r="FO974" s="9"/>
      <c r="FP974" s="9"/>
      <c r="FQ974" s="9"/>
      <c r="FR974" s="9"/>
      <c r="FS974" s="9"/>
      <c r="FT974" s="9"/>
      <c r="FU974" s="9"/>
      <c r="FV974" s="9"/>
      <c r="FW974" s="9"/>
      <c r="FX974" s="9"/>
      <c r="FY974" s="9"/>
      <c r="FZ974" s="9"/>
      <c r="GA974" s="9"/>
      <c r="GB974" s="9"/>
      <c r="GC974" s="9"/>
      <c r="GD974" s="9"/>
      <c r="GE974" s="9"/>
      <c r="GF974" s="9"/>
      <c r="GG974" s="9"/>
      <c r="GH974" s="9"/>
      <c r="GI974" s="9"/>
      <c r="GJ974" s="9"/>
      <c r="GK974" s="9"/>
      <c r="GL974" s="9"/>
      <c r="GM974" s="9"/>
      <c r="GN974" s="9"/>
      <c r="GO974" s="9"/>
      <c r="GP974" s="9"/>
      <c r="GQ974" s="9"/>
      <c r="GR974" s="9"/>
      <c r="GS974" s="9"/>
      <c r="GT974" s="9"/>
      <c r="GU974" s="9"/>
      <c r="GV974" s="9"/>
      <c r="GW974" s="9"/>
      <c r="GX974" s="9"/>
      <c r="GY974" s="9"/>
      <c r="GZ974" s="9"/>
      <c r="HA974" s="9"/>
      <c r="HB974" s="9"/>
      <c r="HC974" s="9"/>
      <c r="HD974" s="9"/>
      <c r="HE974" s="9"/>
      <c r="HF974" s="9"/>
      <c r="HG974" s="9"/>
      <c r="HH974" s="9"/>
      <c r="HI974" s="9"/>
      <c r="HJ974" s="9"/>
      <c r="HK974" s="9"/>
      <c r="HL974" s="9"/>
      <c r="HM974" s="9"/>
      <c r="HZ974" s="58"/>
    </row>
    <row r="975" spans="140:234">
      <c r="EJ975" s="9"/>
      <c r="EK975" s="9"/>
      <c r="EL975" s="9"/>
      <c r="EM975" s="9"/>
      <c r="EN975" s="9"/>
      <c r="EO975" s="9"/>
      <c r="EP975" s="9"/>
      <c r="EQ975" s="9"/>
      <c r="ER975" s="9"/>
      <c r="ES975" s="9"/>
      <c r="ET975" s="9"/>
      <c r="EU975" s="9"/>
      <c r="EV975" s="9"/>
      <c r="EW975" s="9"/>
      <c r="EX975" s="9"/>
      <c r="EY975" s="9"/>
      <c r="EZ975" s="9"/>
      <c r="FA975" s="9"/>
      <c r="FB975" s="9"/>
      <c r="FC975" s="9"/>
      <c r="FD975" s="9"/>
      <c r="FE975" s="9"/>
      <c r="FF975" s="9"/>
      <c r="FG975" s="9"/>
      <c r="FH975" s="9"/>
      <c r="FI975" s="9"/>
      <c r="FJ975" s="9"/>
      <c r="FK975" s="9"/>
      <c r="FL975" s="9"/>
      <c r="FM975" s="9"/>
      <c r="FN975" s="9"/>
      <c r="FO975" s="9"/>
      <c r="FP975" s="9"/>
      <c r="FQ975" s="9"/>
      <c r="FR975" s="9"/>
      <c r="FS975" s="9"/>
      <c r="FT975" s="9"/>
      <c r="FU975" s="9"/>
      <c r="FV975" s="9"/>
      <c r="FW975" s="9"/>
      <c r="FX975" s="9"/>
      <c r="FY975" s="9"/>
      <c r="FZ975" s="9"/>
      <c r="GA975" s="9"/>
      <c r="GB975" s="9"/>
      <c r="GC975" s="9"/>
      <c r="GD975" s="9"/>
      <c r="GE975" s="9"/>
      <c r="GF975" s="9"/>
      <c r="GG975" s="9"/>
      <c r="GH975" s="9"/>
      <c r="GI975" s="9"/>
      <c r="GJ975" s="9"/>
      <c r="GK975" s="9"/>
      <c r="GL975" s="9"/>
      <c r="GM975" s="9"/>
      <c r="GN975" s="9"/>
      <c r="GO975" s="9"/>
      <c r="GP975" s="9"/>
      <c r="GQ975" s="9"/>
      <c r="GR975" s="9"/>
      <c r="GS975" s="9"/>
      <c r="GT975" s="9"/>
      <c r="GU975" s="9"/>
      <c r="GV975" s="9"/>
      <c r="GW975" s="9"/>
      <c r="GX975" s="9"/>
      <c r="GY975" s="9"/>
      <c r="GZ975" s="9"/>
      <c r="HA975" s="9"/>
      <c r="HB975" s="9"/>
      <c r="HC975" s="9"/>
      <c r="HD975" s="9"/>
      <c r="HE975" s="9"/>
      <c r="HF975" s="9"/>
      <c r="HG975" s="9"/>
      <c r="HH975" s="9"/>
      <c r="HI975" s="9"/>
      <c r="HJ975" s="9"/>
      <c r="HK975" s="9"/>
      <c r="HL975" s="9"/>
      <c r="HM975" s="9"/>
      <c r="HZ975" s="58"/>
    </row>
    <row r="976" spans="140:234">
      <c r="EJ976" s="9"/>
      <c r="EK976" s="9"/>
      <c r="EL976" s="9"/>
      <c r="EM976" s="9"/>
      <c r="EN976" s="9"/>
      <c r="EO976" s="9"/>
      <c r="EP976" s="9"/>
      <c r="EQ976" s="9"/>
      <c r="ER976" s="9"/>
      <c r="ES976" s="9"/>
      <c r="ET976" s="9"/>
      <c r="EU976" s="9"/>
      <c r="EV976" s="9"/>
      <c r="EW976" s="9"/>
      <c r="EX976" s="9"/>
      <c r="EY976" s="9"/>
      <c r="EZ976" s="9"/>
      <c r="FA976" s="9"/>
      <c r="FB976" s="9"/>
      <c r="FC976" s="9"/>
      <c r="FD976" s="9"/>
      <c r="FE976" s="9"/>
      <c r="FF976" s="9"/>
      <c r="FG976" s="9"/>
      <c r="FH976" s="9"/>
      <c r="FI976" s="9"/>
      <c r="FJ976" s="9"/>
      <c r="FK976" s="9"/>
      <c r="FL976" s="9"/>
      <c r="FM976" s="9"/>
      <c r="FN976" s="9"/>
      <c r="FO976" s="9"/>
      <c r="FP976" s="9"/>
      <c r="FQ976" s="9"/>
      <c r="FR976" s="9"/>
      <c r="FS976" s="9"/>
      <c r="FT976" s="9"/>
      <c r="FU976" s="9"/>
      <c r="FV976" s="9"/>
      <c r="FW976" s="9"/>
      <c r="FX976" s="9"/>
      <c r="FY976" s="9"/>
      <c r="FZ976" s="9"/>
      <c r="GA976" s="9"/>
      <c r="GB976" s="9"/>
      <c r="GC976" s="9"/>
      <c r="GD976" s="9"/>
      <c r="GE976" s="9"/>
      <c r="GF976" s="9"/>
      <c r="GG976" s="9"/>
      <c r="GH976" s="9"/>
      <c r="GI976" s="9"/>
      <c r="GJ976" s="9"/>
      <c r="GK976" s="9"/>
      <c r="GL976" s="9"/>
      <c r="GM976" s="9"/>
      <c r="GN976" s="9"/>
      <c r="GO976" s="9"/>
      <c r="GP976" s="9"/>
      <c r="GQ976" s="9"/>
      <c r="GR976" s="9"/>
      <c r="GS976" s="9"/>
      <c r="GT976" s="9"/>
      <c r="GU976" s="9"/>
      <c r="GV976" s="9"/>
      <c r="GW976" s="9"/>
      <c r="GX976" s="9"/>
      <c r="GY976" s="9"/>
      <c r="GZ976" s="9"/>
      <c r="HA976" s="9"/>
      <c r="HB976" s="9"/>
      <c r="HC976" s="9"/>
      <c r="HD976" s="9"/>
      <c r="HE976" s="9"/>
      <c r="HF976" s="9"/>
      <c r="HG976" s="9"/>
      <c r="HH976" s="9"/>
      <c r="HI976" s="9"/>
      <c r="HJ976" s="9"/>
      <c r="HK976" s="9"/>
      <c r="HL976" s="9"/>
      <c r="HM976" s="9"/>
      <c r="HZ976" s="58"/>
    </row>
    <row r="977" spans="140:234">
      <c r="EJ977" s="9"/>
      <c r="EK977" s="9"/>
      <c r="EL977" s="9"/>
      <c r="EM977" s="9"/>
      <c r="EN977" s="9"/>
      <c r="EO977" s="9"/>
      <c r="EP977" s="9"/>
      <c r="EQ977" s="9"/>
      <c r="ER977" s="9"/>
      <c r="ES977" s="9"/>
      <c r="ET977" s="9"/>
      <c r="EU977" s="9"/>
      <c r="EV977" s="9"/>
      <c r="EW977" s="9"/>
      <c r="EX977" s="9"/>
      <c r="EY977" s="9"/>
      <c r="EZ977" s="9"/>
      <c r="FA977" s="9"/>
      <c r="FB977" s="9"/>
      <c r="FC977" s="9"/>
      <c r="FD977" s="9"/>
      <c r="FE977" s="9"/>
      <c r="FF977" s="9"/>
      <c r="FG977" s="9"/>
      <c r="FH977" s="9"/>
      <c r="FI977" s="9"/>
      <c r="FJ977" s="9"/>
      <c r="FK977" s="9"/>
      <c r="FL977" s="9"/>
      <c r="FM977" s="9"/>
      <c r="FN977" s="9"/>
      <c r="FO977" s="9"/>
      <c r="FP977" s="9"/>
      <c r="FQ977" s="9"/>
      <c r="FR977" s="9"/>
      <c r="FS977" s="9"/>
      <c r="FT977" s="9"/>
      <c r="FU977" s="9"/>
      <c r="FV977" s="9"/>
      <c r="FW977" s="9"/>
      <c r="FX977" s="9"/>
      <c r="FY977" s="9"/>
      <c r="FZ977" s="9"/>
      <c r="GA977" s="9"/>
      <c r="GB977" s="9"/>
      <c r="GC977" s="9"/>
      <c r="GD977" s="9"/>
      <c r="GE977" s="9"/>
      <c r="GF977" s="9"/>
      <c r="GG977" s="9"/>
      <c r="GH977" s="9"/>
      <c r="GI977" s="9"/>
      <c r="GJ977" s="9"/>
      <c r="GK977" s="9"/>
      <c r="GL977" s="9"/>
      <c r="GM977" s="9"/>
      <c r="GN977" s="9"/>
      <c r="GO977" s="9"/>
      <c r="GP977" s="9"/>
      <c r="GQ977" s="9"/>
      <c r="GR977" s="9"/>
      <c r="GS977" s="9"/>
      <c r="GT977" s="9"/>
      <c r="GU977" s="9"/>
      <c r="GV977" s="9"/>
      <c r="GW977" s="9"/>
      <c r="GX977" s="9"/>
      <c r="GY977" s="9"/>
      <c r="GZ977" s="9"/>
      <c r="HA977" s="9"/>
      <c r="HB977" s="9"/>
      <c r="HC977" s="9"/>
      <c r="HD977" s="9"/>
      <c r="HE977" s="9"/>
      <c r="HF977" s="9"/>
      <c r="HG977" s="9"/>
      <c r="HH977" s="9"/>
      <c r="HI977" s="9"/>
      <c r="HJ977" s="9"/>
      <c r="HK977" s="9"/>
      <c r="HL977" s="9"/>
      <c r="HM977" s="9"/>
      <c r="HZ977" s="58"/>
    </row>
    <row r="978" spans="140:234">
      <c r="EJ978" s="9"/>
      <c r="EK978" s="9"/>
      <c r="EL978" s="9"/>
      <c r="EM978" s="9"/>
      <c r="EN978" s="9"/>
      <c r="EO978" s="9"/>
      <c r="EP978" s="9"/>
      <c r="EQ978" s="9"/>
      <c r="ER978" s="9"/>
      <c r="ES978" s="9"/>
      <c r="ET978" s="9"/>
      <c r="EU978" s="9"/>
      <c r="EV978" s="9"/>
      <c r="EW978" s="9"/>
      <c r="EX978" s="9"/>
      <c r="EY978" s="9"/>
      <c r="EZ978" s="9"/>
      <c r="FA978" s="9"/>
      <c r="FB978" s="9"/>
      <c r="FC978" s="9"/>
      <c r="FD978" s="9"/>
      <c r="FE978" s="9"/>
      <c r="FF978" s="9"/>
      <c r="FG978" s="9"/>
      <c r="FH978" s="9"/>
      <c r="FI978" s="9"/>
      <c r="FJ978" s="9"/>
      <c r="FK978" s="9"/>
      <c r="FL978" s="9"/>
      <c r="FM978" s="9"/>
      <c r="FN978" s="9"/>
      <c r="FO978" s="9"/>
      <c r="FP978" s="9"/>
      <c r="FQ978" s="9"/>
      <c r="FR978" s="9"/>
      <c r="FS978" s="9"/>
      <c r="FT978" s="9"/>
      <c r="FU978" s="9"/>
      <c r="FV978" s="9"/>
      <c r="FW978" s="9"/>
      <c r="FX978" s="9"/>
      <c r="FY978" s="9"/>
      <c r="FZ978" s="9"/>
      <c r="GA978" s="9"/>
      <c r="GB978" s="9"/>
      <c r="GC978" s="9"/>
      <c r="GD978" s="9"/>
      <c r="GE978" s="9"/>
      <c r="GF978" s="9"/>
      <c r="GG978" s="9"/>
      <c r="GH978" s="9"/>
      <c r="GI978" s="9"/>
      <c r="GJ978" s="9"/>
      <c r="GK978" s="9"/>
      <c r="GL978" s="9"/>
      <c r="GM978" s="9"/>
      <c r="GN978" s="9"/>
      <c r="GO978" s="9"/>
      <c r="GP978" s="9"/>
      <c r="GQ978" s="9"/>
      <c r="GR978" s="9"/>
      <c r="GS978" s="9"/>
      <c r="GT978" s="9"/>
      <c r="GU978" s="9"/>
      <c r="GV978" s="9"/>
      <c r="GW978" s="9"/>
      <c r="GX978" s="9"/>
      <c r="GY978" s="9"/>
      <c r="GZ978" s="9"/>
      <c r="HA978" s="9"/>
      <c r="HB978" s="9"/>
      <c r="HC978" s="9"/>
      <c r="HD978" s="9"/>
      <c r="HE978" s="9"/>
      <c r="HF978" s="9"/>
      <c r="HG978" s="9"/>
      <c r="HH978" s="9"/>
      <c r="HI978" s="9"/>
      <c r="HJ978" s="9"/>
      <c r="HK978" s="9"/>
      <c r="HL978" s="9"/>
      <c r="HM978" s="9"/>
      <c r="HZ978" s="58"/>
    </row>
    <row r="979" spans="140:234">
      <c r="EJ979" s="9"/>
      <c r="EK979" s="9"/>
      <c r="EL979" s="9"/>
      <c r="EM979" s="9"/>
      <c r="EN979" s="9"/>
      <c r="EO979" s="9"/>
      <c r="EP979" s="9"/>
      <c r="EQ979" s="9"/>
      <c r="ER979" s="9"/>
      <c r="ES979" s="9"/>
      <c r="ET979" s="9"/>
      <c r="EU979" s="9"/>
      <c r="EV979" s="9"/>
      <c r="EW979" s="9"/>
      <c r="EX979" s="9"/>
      <c r="EY979" s="9"/>
      <c r="EZ979" s="9"/>
      <c r="FA979" s="9"/>
      <c r="FB979" s="9"/>
      <c r="FC979" s="9"/>
      <c r="FD979" s="9"/>
      <c r="FE979" s="9"/>
      <c r="FF979" s="9"/>
      <c r="FG979" s="9"/>
      <c r="FH979" s="9"/>
      <c r="FI979" s="9"/>
      <c r="FJ979" s="9"/>
      <c r="FK979" s="9"/>
      <c r="FL979" s="9"/>
      <c r="FM979" s="9"/>
      <c r="FN979" s="9"/>
      <c r="FO979" s="9"/>
      <c r="FP979" s="9"/>
      <c r="FQ979" s="9"/>
      <c r="FR979" s="9"/>
      <c r="FS979" s="9"/>
      <c r="FT979" s="9"/>
      <c r="FU979" s="9"/>
      <c r="FV979" s="9"/>
      <c r="FW979" s="9"/>
      <c r="FX979" s="9"/>
      <c r="FY979" s="9"/>
      <c r="FZ979" s="9"/>
      <c r="GA979" s="9"/>
      <c r="GB979" s="9"/>
      <c r="GC979" s="9"/>
      <c r="GD979" s="9"/>
      <c r="GE979" s="9"/>
      <c r="GF979" s="9"/>
      <c r="GG979" s="9"/>
      <c r="GH979" s="9"/>
      <c r="GI979" s="9"/>
      <c r="GJ979" s="9"/>
      <c r="GK979" s="9"/>
      <c r="GL979" s="9"/>
      <c r="GM979" s="9"/>
      <c r="GN979" s="9"/>
      <c r="GO979" s="9"/>
      <c r="GP979" s="9"/>
      <c r="GQ979" s="9"/>
      <c r="GR979" s="9"/>
      <c r="GS979" s="9"/>
      <c r="GT979" s="9"/>
      <c r="GU979" s="9"/>
      <c r="GV979" s="9"/>
      <c r="GW979" s="9"/>
      <c r="GX979" s="9"/>
      <c r="GY979" s="9"/>
      <c r="GZ979" s="9"/>
      <c r="HA979" s="9"/>
      <c r="HB979" s="9"/>
      <c r="HC979" s="9"/>
      <c r="HD979" s="9"/>
      <c r="HE979" s="9"/>
      <c r="HF979" s="9"/>
      <c r="HG979" s="9"/>
      <c r="HH979" s="9"/>
      <c r="HI979" s="9"/>
      <c r="HJ979" s="9"/>
      <c r="HK979" s="9"/>
      <c r="HL979" s="9"/>
      <c r="HM979" s="9"/>
      <c r="HZ979" s="58"/>
    </row>
    <row r="980" spans="140:234">
      <c r="EJ980" s="9"/>
      <c r="EK980" s="9"/>
      <c r="EL980" s="9"/>
      <c r="EM980" s="9"/>
      <c r="EN980" s="9"/>
      <c r="EO980" s="9"/>
      <c r="EP980" s="9"/>
      <c r="EQ980" s="9"/>
      <c r="ER980" s="9"/>
      <c r="ES980" s="9"/>
      <c r="ET980" s="9"/>
      <c r="EU980" s="9"/>
      <c r="EV980" s="9"/>
      <c r="EW980" s="9"/>
      <c r="EX980" s="9"/>
      <c r="EY980" s="9"/>
      <c r="EZ980" s="9"/>
      <c r="FA980" s="9"/>
      <c r="FB980" s="9"/>
      <c r="FC980" s="9"/>
      <c r="FD980" s="9"/>
      <c r="FE980" s="9"/>
      <c r="FF980" s="9"/>
      <c r="FG980" s="9"/>
      <c r="FH980" s="9"/>
      <c r="FI980" s="9"/>
      <c r="FJ980" s="9"/>
      <c r="FK980" s="9"/>
      <c r="FL980" s="9"/>
      <c r="FM980" s="9"/>
      <c r="FN980" s="9"/>
      <c r="FO980" s="9"/>
      <c r="FP980" s="9"/>
      <c r="FQ980" s="9"/>
      <c r="FR980" s="9"/>
      <c r="FS980" s="9"/>
      <c r="FT980" s="9"/>
      <c r="FU980" s="9"/>
      <c r="FV980" s="9"/>
      <c r="FW980" s="9"/>
      <c r="FX980" s="9"/>
      <c r="FY980" s="9"/>
      <c r="FZ980" s="9"/>
      <c r="GA980" s="9"/>
      <c r="GB980" s="9"/>
      <c r="GC980" s="9"/>
      <c r="GD980" s="9"/>
      <c r="GE980" s="9"/>
      <c r="GF980" s="9"/>
      <c r="GG980" s="9"/>
      <c r="GH980" s="9"/>
      <c r="GI980" s="9"/>
      <c r="GJ980" s="9"/>
      <c r="GK980" s="9"/>
      <c r="GL980" s="9"/>
      <c r="GM980" s="9"/>
      <c r="GN980" s="9"/>
      <c r="GO980" s="9"/>
      <c r="GP980" s="9"/>
      <c r="GQ980" s="9"/>
      <c r="GR980" s="9"/>
      <c r="GS980" s="9"/>
      <c r="GT980" s="9"/>
      <c r="GU980" s="9"/>
      <c r="GV980" s="9"/>
      <c r="GW980" s="9"/>
      <c r="GX980" s="9"/>
      <c r="GY980" s="9"/>
      <c r="GZ980" s="9"/>
      <c r="HA980" s="9"/>
      <c r="HB980" s="9"/>
      <c r="HC980" s="9"/>
      <c r="HD980" s="9"/>
      <c r="HE980" s="9"/>
      <c r="HF980" s="9"/>
      <c r="HG980" s="9"/>
      <c r="HH980" s="9"/>
      <c r="HI980" s="9"/>
      <c r="HJ980" s="9"/>
      <c r="HK980" s="9"/>
      <c r="HL980" s="9"/>
      <c r="HM980" s="9"/>
      <c r="HZ980" s="58"/>
    </row>
    <row r="981" spans="140:234">
      <c r="EJ981" s="9"/>
      <c r="EK981" s="9"/>
      <c r="EL981" s="9"/>
      <c r="EM981" s="9"/>
      <c r="EN981" s="9"/>
      <c r="EO981" s="9"/>
      <c r="EP981" s="9"/>
      <c r="EQ981" s="9"/>
      <c r="ER981" s="9"/>
      <c r="ES981" s="9"/>
      <c r="ET981" s="9"/>
      <c r="EU981" s="9"/>
      <c r="EV981" s="9"/>
      <c r="EW981" s="9"/>
      <c r="EX981" s="9"/>
      <c r="EY981" s="9"/>
      <c r="EZ981" s="9"/>
      <c r="FA981" s="9"/>
      <c r="FB981" s="9"/>
      <c r="FC981" s="9"/>
      <c r="FD981" s="9"/>
      <c r="FE981" s="9"/>
      <c r="FF981" s="9"/>
      <c r="FG981" s="9"/>
      <c r="FH981" s="9"/>
      <c r="FI981" s="9"/>
      <c r="FJ981" s="9"/>
      <c r="FK981" s="9"/>
      <c r="FL981" s="9"/>
      <c r="FM981" s="9"/>
      <c r="FN981" s="9"/>
      <c r="FO981" s="9"/>
      <c r="FP981" s="9"/>
      <c r="FQ981" s="9"/>
      <c r="FR981" s="9"/>
      <c r="FS981" s="9"/>
      <c r="FT981" s="9"/>
      <c r="FU981" s="9"/>
      <c r="FV981" s="9"/>
      <c r="FW981" s="9"/>
      <c r="FX981" s="9"/>
      <c r="FY981" s="9"/>
      <c r="FZ981" s="9"/>
      <c r="GA981" s="9"/>
      <c r="GB981" s="9"/>
      <c r="GC981" s="9"/>
      <c r="GD981" s="9"/>
      <c r="GE981" s="9"/>
      <c r="GF981" s="9"/>
      <c r="GG981" s="9"/>
      <c r="GH981" s="9"/>
      <c r="GI981" s="9"/>
      <c r="GJ981" s="9"/>
      <c r="GK981" s="9"/>
      <c r="GL981" s="9"/>
      <c r="GM981" s="9"/>
      <c r="GN981" s="9"/>
      <c r="GO981" s="9"/>
      <c r="GP981" s="9"/>
      <c r="GQ981" s="9"/>
      <c r="GR981" s="9"/>
      <c r="GS981" s="9"/>
      <c r="GT981" s="9"/>
      <c r="GU981" s="9"/>
      <c r="GV981" s="9"/>
      <c r="GW981" s="9"/>
      <c r="GX981" s="9"/>
      <c r="GY981" s="9"/>
      <c r="GZ981" s="9"/>
      <c r="HA981" s="9"/>
      <c r="HB981" s="9"/>
      <c r="HC981" s="9"/>
      <c r="HD981" s="9"/>
      <c r="HE981" s="9"/>
      <c r="HF981" s="9"/>
      <c r="HG981" s="9"/>
      <c r="HH981" s="9"/>
      <c r="HI981" s="9"/>
      <c r="HJ981" s="9"/>
      <c r="HK981" s="9"/>
      <c r="HL981" s="9"/>
      <c r="HM981" s="9"/>
      <c r="HZ981" s="58"/>
    </row>
    <row r="982" spans="140:234">
      <c r="EJ982" s="9"/>
      <c r="EK982" s="9"/>
      <c r="EL982" s="9"/>
      <c r="EM982" s="9"/>
      <c r="EN982" s="9"/>
      <c r="EO982" s="9"/>
      <c r="EP982" s="9"/>
      <c r="EQ982" s="9"/>
      <c r="ER982" s="9"/>
      <c r="ES982" s="9"/>
      <c r="ET982" s="9"/>
      <c r="EU982" s="9"/>
      <c r="EV982" s="9"/>
      <c r="EW982" s="9"/>
      <c r="EX982" s="9"/>
      <c r="EY982" s="9"/>
      <c r="EZ982" s="9"/>
      <c r="FA982" s="9"/>
      <c r="FB982" s="9"/>
      <c r="FC982" s="9"/>
      <c r="FD982" s="9"/>
      <c r="FE982" s="9"/>
      <c r="FF982" s="9"/>
      <c r="FG982" s="9"/>
      <c r="FH982" s="9"/>
      <c r="FI982" s="9"/>
      <c r="FJ982" s="9"/>
      <c r="FK982" s="9"/>
      <c r="FL982" s="9"/>
      <c r="FM982" s="9"/>
      <c r="FN982" s="9"/>
      <c r="FO982" s="9"/>
      <c r="FP982" s="9"/>
      <c r="FQ982" s="9"/>
      <c r="FR982" s="9"/>
      <c r="FS982" s="9"/>
      <c r="FT982" s="9"/>
      <c r="FU982" s="9"/>
      <c r="FV982" s="9"/>
      <c r="FW982" s="9"/>
      <c r="FX982" s="9"/>
      <c r="FY982" s="9"/>
      <c r="FZ982" s="9"/>
      <c r="GA982" s="9"/>
      <c r="GB982" s="9"/>
      <c r="GC982" s="9"/>
      <c r="GD982" s="9"/>
      <c r="GE982" s="9"/>
      <c r="GF982" s="9"/>
      <c r="GG982" s="9"/>
      <c r="GH982" s="9"/>
      <c r="GI982" s="9"/>
      <c r="GJ982" s="9"/>
      <c r="GK982" s="9"/>
      <c r="GL982" s="9"/>
      <c r="GM982" s="9"/>
      <c r="GN982" s="9"/>
      <c r="GO982" s="9"/>
      <c r="GP982" s="9"/>
      <c r="GQ982" s="9"/>
      <c r="GR982" s="9"/>
      <c r="GS982" s="9"/>
      <c r="GT982" s="9"/>
      <c r="GU982" s="9"/>
      <c r="GV982" s="9"/>
      <c r="GW982" s="9"/>
      <c r="GX982" s="9"/>
      <c r="GY982" s="9"/>
      <c r="GZ982" s="9"/>
      <c r="HA982" s="9"/>
      <c r="HB982" s="9"/>
      <c r="HC982" s="9"/>
      <c r="HD982" s="9"/>
      <c r="HE982" s="9"/>
      <c r="HF982" s="9"/>
      <c r="HG982" s="9"/>
      <c r="HH982" s="9"/>
      <c r="HI982" s="9"/>
      <c r="HJ982" s="9"/>
      <c r="HK982" s="9"/>
      <c r="HL982" s="9"/>
      <c r="HM982" s="9"/>
      <c r="HZ982" s="58"/>
    </row>
    <row r="983" spans="140:234">
      <c r="EJ983" s="9"/>
      <c r="EK983" s="9"/>
      <c r="EL983" s="9"/>
      <c r="EM983" s="9"/>
      <c r="EN983" s="9"/>
      <c r="EO983" s="9"/>
      <c r="EP983" s="9"/>
      <c r="EQ983" s="9"/>
      <c r="ER983" s="9"/>
      <c r="ES983" s="9"/>
      <c r="ET983" s="9"/>
      <c r="EU983" s="9"/>
      <c r="EV983" s="9"/>
      <c r="EW983" s="9"/>
      <c r="EX983" s="9"/>
      <c r="EY983" s="9"/>
      <c r="EZ983" s="9"/>
      <c r="FA983" s="9"/>
      <c r="FB983" s="9"/>
      <c r="FC983" s="9"/>
      <c r="FD983" s="9"/>
      <c r="FE983" s="9"/>
      <c r="FF983" s="9"/>
      <c r="FG983" s="9"/>
      <c r="FH983" s="9"/>
      <c r="FI983" s="9"/>
      <c r="FJ983" s="9"/>
      <c r="FK983" s="9"/>
      <c r="FL983" s="9"/>
      <c r="FM983" s="9"/>
      <c r="FN983" s="9"/>
      <c r="FO983" s="9"/>
      <c r="FP983" s="9"/>
      <c r="FQ983" s="9"/>
      <c r="FR983" s="9"/>
      <c r="FS983" s="9"/>
      <c r="FT983" s="9"/>
      <c r="FU983" s="9"/>
      <c r="FV983" s="9"/>
      <c r="FW983" s="9"/>
      <c r="FX983" s="9"/>
      <c r="FY983" s="9"/>
      <c r="FZ983" s="9"/>
      <c r="GA983" s="9"/>
      <c r="GB983" s="9"/>
      <c r="GC983" s="9"/>
      <c r="GD983" s="9"/>
      <c r="GE983" s="9"/>
      <c r="GF983" s="9"/>
      <c r="GG983" s="9"/>
      <c r="GH983" s="9"/>
      <c r="GI983" s="9"/>
      <c r="GJ983" s="9"/>
      <c r="GK983" s="9"/>
      <c r="GL983" s="9"/>
      <c r="GM983" s="9"/>
      <c r="GN983" s="9"/>
      <c r="GO983" s="9"/>
      <c r="GP983" s="9"/>
      <c r="GQ983" s="9"/>
      <c r="GR983" s="9"/>
      <c r="GS983" s="9"/>
      <c r="GT983" s="9"/>
      <c r="GU983" s="9"/>
      <c r="GV983" s="9"/>
      <c r="GW983" s="9"/>
      <c r="GX983" s="9"/>
      <c r="GY983" s="9"/>
      <c r="GZ983" s="9"/>
      <c r="HA983" s="9"/>
      <c r="HB983" s="9"/>
      <c r="HC983" s="9"/>
      <c r="HD983" s="9"/>
      <c r="HE983" s="9"/>
      <c r="HF983" s="9"/>
      <c r="HG983" s="9"/>
      <c r="HH983" s="9"/>
      <c r="HI983" s="9"/>
      <c r="HJ983" s="9"/>
      <c r="HK983" s="9"/>
      <c r="HL983" s="9"/>
      <c r="HM983" s="9"/>
      <c r="HZ983" s="58"/>
    </row>
    <row r="984" spans="140:234">
      <c r="EJ984" s="9"/>
      <c r="EK984" s="9"/>
      <c r="EL984" s="9"/>
      <c r="EM984" s="9"/>
      <c r="EN984" s="9"/>
      <c r="EO984" s="9"/>
      <c r="EP984" s="9"/>
      <c r="EQ984" s="9"/>
      <c r="ER984" s="9"/>
      <c r="ES984" s="9"/>
      <c r="ET984" s="9"/>
      <c r="EU984" s="9"/>
      <c r="EV984" s="9"/>
      <c r="EW984" s="9"/>
      <c r="EX984" s="9"/>
      <c r="EY984" s="9"/>
      <c r="EZ984" s="9"/>
      <c r="FA984" s="9"/>
      <c r="FB984" s="9"/>
      <c r="FC984" s="9"/>
      <c r="FD984" s="9"/>
      <c r="FE984" s="9"/>
      <c r="FF984" s="9"/>
      <c r="FG984" s="9"/>
      <c r="FH984" s="9"/>
      <c r="FI984" s="9"/>
      <c r="FJ984" s="9"/>
      <c r="FK984" s="9"/>
      <c r="FL984" s="9"/>
      <c r="FM984" s="9"/>
      <c r="FN984" s="9"/>
      <c r="FO984" s="9"/>
      <c r="FP984" s="9"/>
      <c r="FQ984" s="9"/>
      <c r="FR984" s="9"/>
      <c r="FS984" s="9"/>
      <c r="FT984" s="9"/>
      <c r="FU984" s="9"/>
      <c r="FV984" s="9"/>
      <c r="FW984" s="9"/>
      <c r="FX984" s="9"/>
      <c r="FY984" s="9"/>
      <c r="FZ984" s="9"/>
      <c r="GA984" s="9"/>
      <c r="GB984" s="9"/>
      <c r="GC984" s="9"/>
      <c r="GD984" s="9"/>
      <c r="GE984" s="9"/>
      <c r="GF984" s="9"/>
      <c r="GG984" s="9"/>
      <c r="GH984" s="9"/>
      <c r="GI984" s="9"/>
      <c r="GJ984" s="9"/>
      <c r="GK984" s="9"/>
      <c r="GL984" s="9"/>
      <c r="GM984" s="9"/>
      <c r="GN984" s="9"/>
      <c r="GO984" s="9"/>
      <c r="GP984" s="9"/>
      <c r="GQ984" s="9"/>
      <c r="GR984" s="9"/>
      <c r="GS984" s="9"/>
      <c r="GT984" s="9"/>
      <c r="GU984" s="9"/>
      <c r="GV984" s="9"/>
      <c r="GW984" s="9"/>
      <c r="GX984" s="9"/>
      <c r="GY984" s="9"/>
      <c r="GZ984" s="9"/>
      <c r="HA984" s="9"/>
      <c r="HB984" s="9"/>
      <c r="HC984" s="9"/>
      <c r="HD984" s="9"/>
      <c r="HE984" s="9"/>
      <c r="HF984" s="9"/>
      <c r="HG984" s="9"/>
      <c r="HH984" s="9"/>
      <c r="HI984" s="9"/>
      <c r="HJ984" s="9"/>
      <c r="HK984" s="9"/>
      <c r="HL984" s="9"/>
      <c r="HM984" s="9"/>
      <c r="HZ984" s="58"/>
    </row>
    <row r="985" spans="140:234">
      <c r="EJ985" s="9"/>
      <c r="EK985" s="9"/>
      <c r="EL985" s="9"/>
      <c r="EM985" s="9"/>
      <c r="EN985" s="9"/>
      <c r="EO985" s="9"/>
      <c r="EP985" s="9"/>
      <c r="EQ985" s="9"/>
      <c r="ER985" s="9"/>
      <c r="ES985" s="9"/>
      <c r="ET985" s="9"/>
      <c r="EU985" s="9"/>
      <c r="EV985" s="9"/>
      <c r="EW985" s="9"/>
      <c r="EX985" s="9"/>
      <c r="EY985" s="9"/>
      <c r="EZ985" s="9"/>
      <c r="FA985" s="9"/>
      <c r="FB985" s="9"/>
      <c r="FC985" s="9"/>
      <c r="FD985" s="9"/>
      <c r="FE985" s="9"/>
      <c r="FF985" s="9"/>
      <c r="FG985" s="9"/>
      <c r="FH985" s="9"/>
      <c r="FI985" s="9"/>
      <c r="FJ985" s="9"/>
      <c r="FK985" s="9"/>
      <c r="FL985" s="9"/>
      <c r="FM985" s="9"/>
      <c r="FN985" s="9"/>
      <c r="FO985" s="9"/>
      <c r="FP985" s="9"/>
      <c r="FQ985" s="9"/>
      <c r="FR985" s="9"/>
      <c r="FS985" s="9"/>
      <c r="FT985" s="9"/>
      <c r="FU985" s="9"/>
      <c r="FV985" s="9"/>
      <c r="FW985" s="9"/>
      <c r="FX985" s="9"/>
      <c r="FY985" s="9"/>
      <c r="FZ985" s="9"/>
      <c r="GA985" s="9"/>
      <c r="GB985" s="9"/>
      <c r="GC985" s="9"/>
      <c r="GD985" s="9"/>
      <c r="GE985" s="9"/>
      <c r="GF985" s="9"/>
      <c r="GG985" s="9"/>
      <c r="GH985" s="9"/>
      <c r="GI985" s="9"/>
      <c r="GJ985" s="9"/>
      <c r="GK985" s="9"/>
      <c r="GL985" s="9"/>
      <c r="GM985" s="9"/>
      <c r="GN985" s="9"/>
      <c r="GO985" s="9"/>
      <c r="GP985" s="9"/>
      <c r="GQ985" s="9"/>
      <c r="GR985" s="9"/>
      <c r="GS985" s="9"/>
      <c r="GT985" s="9"/>
      <c r="GU985" s="9"/>
      <c r="GV985" s="9"/>
      <c r="GW985" s="9"/>
      <c r="GX985" s="9"/>
      <c r="GY985" s="9"/>
      <c r="GZ985" s="9"/>
      <c r="HA985" s="9"/>
      <c r="HB985" s="9"/>
      <c r="HC985" s="9"/>
      <c r="HD985" s="9"/>
      <c r="HE985" s="9"/>
      <c r="HF985" s="9"/>
      <c r="HG985" s="9"/>
      <c r="HH985" s="9"/>
      <c r="HI985" s="9"/>
      <c r="HJ985" s="9"/>
      <c r="HK985" s="9"/>
      <c r="HL985" s="9"/>
      <c r="HM985" s="9"/>
      <c r="HZ985" s="58"/>
    </row>
    <row r="986" spans="140:234">
      <c r="EJ986" s="9"/>
      <c r="EK986" s="9"/>
      <c r="EL986" s="9"/>
      <c r="EM986" s="9"/>
      <c r="EN986" s="9"/>
      <c r="EO986" s="9"/>
      <c r="EP986" s="9"/>
      <c r="EQ986" s="9"/>
      <c r="ER986" s="9"/>
      <c r="ES986" s="9"/>
      <c r="ET986" s="9"/>
      <c r="EU986" s="9"/>
      <c r="EV986" s="9"/>
      <c r="EW986" s="9"/>
      <c r="EX986" s="9"/>
      <c r="EY986" s="9"/>
      <c r="EZ986" s="9"/>
      <c r="FA986" s="9"/>
      <c r="FB986" s="9"/>
      <c r="FC986" s="9"/>
      <c r="FD986" s="9"/>
      <c r="FE986" s="9"/>
      <c r="FF986" s="9"/>
      <c r="FG986" s="9"/>
      <c r="FH986" s="9"/>
      <c r="FI986" s="9"/>
      <c r="FJ986" s="9"/>
      <c r="FK986" s="9"/>
      <c r="FL986" s="9"/>
      <c r="FM986" s="9"/>
      <c r="FN986" s="9"/>
      <c r="FO986" s="9"/>
      <c r="FP986" s="9"/>
      <c r="FQ986" s="9"/>
      <c r="FR986" s="9"/>
      <c r="FS986" s="9"/>
      <c r="FT986" s="9"/>
      <c r="FU986" s="9"/>
      <c r="FV986" s="9"/>
      <c r="FW986" s="9"/>
      <c r="FX986" s="9"/>
      <c r="FY986" s="9"/>
      <c r="FZ986" s="9"/>
      <c r="GA986" s="9"/>
      <c r="GB986" s="9"/>
      <c r="GC986" s="9"/>
      <c r="GD986" s="9"/>
      <c r="GE986" s="9"/>
      <c r="GF986" s="9"/>
      <c r="GG986" s="9"/>
      <c r="GH986" s="9"/>
      <c r="GI986" s="9"/>
      <c r="GJ986" s="9"/>
      <c r="GK986" s="9"/>
      <c r="GL986" s="9"/>
      <c r="GM986" s="9"/>
      <c r="GN986" s="9"/>
      <c r="GO986" s="9"/>
      <c r="GP986" s="9"/>
      <c r="GQ986" s="9"/>
      <c r="GR986" s="9"/>
      <c r="GS986" s="9"/>
      <c r="GT986" s="9"/>
      <c r="GU986" s="9"/>
      <c r="GV986" s="9"/>
      <c r="GW986" s="9"/>
      <c r="GX986" s="9"/>
      <c r="GY986" s="9"/>
      <c r="GZ986" s="9"/>
      <c r="HA986" s="9"/>
      <c r="HB986" s="9"/>
      <c r="HC986" s="9"/>
      <c r="HD986" s="9"/>
      <c r="HE986" s="9"/>
      <c r="HF986" s="9"/>
      <c r="HG986" s="9"/>
      <c r="HH986" s="9"/>
      <c r="HI986" s="9"/>
      <c r="HJ986" s="9"/>
      <c r="HK986" s="9"/>
      <c r="HL986" s="9"/>
      <c r="HM986" s="9"/>
      <c r="HZ986" s="58"/>
    </row>
    <row r="987" spans="140:234">
      <c r="EJ987" s="9"/>
      <c r="EK987" s="9"/>
      <c r="EL987" s="9"/>
      <c r="EM987" s="9"/>
      <c r="EN987" s="9"/>
      <c r="EO987" s="9"/>
      <c r="EP987" s="9"/>
      <c r="EQ987" s="9"/>
      <c r="ER987" s="9"/>
      <c r="ES987" s="9"/>
      <c r="ET987" s="9"/>
      <c r="EU987" s="9"/>
      <c r="EV987" s="9"/>
      <c r="EW987" s="9"/>
      <c r="EX987" s="9"/>
      <c r="EY987" s="9"/>
      <c r="EZ987" s="9"/>
      <c r="FA987" s="9"/>
      <c r="FB987" s="9"/>
      <c r="FC987" s="9"/>
      <c r="FD987" s="9"/>
      <c r="FE987" s="9"/>
      <c r="FF987" s="9"/>
      <c r="FG987" s="9"/>
      <c r="FH987" s="9"/>
      <c r="FI987" s="9"/>
      <c r="FJ987" s="9"/>
      <c r="FK987" s="9"/>
      <c r="FL987" s="9"/>
      <c r="FM987" s="9"/>
      <c r="FN987" s="9"/>
      <c r="FO987" s="9"/>
      <c r="FP987" s="9"/>
      <c r="FQ987" s="9"/>
      <c r="FR987" s="9"/>
      <c r="FS987" s="9"/>
      <c r="FT987" s="9"/>
      <c r="FU987" s="9"/>
      <c r="FV987" s="9"/>
      <c r="FW987" s="9"/>
      <c r="FX987" s="9"/>
      <c r="FY987" s="9"/>
      <c r="FZ987" s="9"/>
      <c r="GA987" s="9"/>
      <c r="GB987" s="9"/>
      <c r="GC987" s="9"/>
      <c r="GD987" s="9"/>
      <c r="GE987" s="9"/>
      <c r="GF987" s="9"/>
      <c r="GG987" s="9"/>
      <c r="GH987" s="9"/>
      <c r="GI987" s="9"/>
      <c r="GJ987" s="9"/>
      <c r="GK987" s="9"/>
      <c r="GL987" s="9"/>
      <c r="GM987" s="9"/>
      <c r="GN987" s="9"/>
      <c r="GO987" s="9"/>
      <c r="GP987" s="9"/>
      <c r="GQ987" s="9"/>
      <c r="GR987" s="9"/>
      <c r="GS987" s="9"/>
      <c r="GT987" s="9"/>
      <c r="GU987" s="9"/>
      <c r="GV987" s="9"/>
      <c r="GW987" s="9"/>
      <c r="GX987" s="9"/>
      <c r="GY987" s="9"/>
      <c r="GZ987" s="9"/>
      <c r="HA987" s="9"/>
      <c r="HB987" s="9"/>
      <c r="HC987" s="9"/>
      <c r="HD987" s="9"/>
      <c r="HE987" s="9"/>
      <c r="HF987" s="9"/>
      <c r="HG987" s="9"/>
      <c r="HH987" s="9"/>
      <c r="HI987" s="9"/>
      <c r="HJ987" s="9"/>
      <c r="HK987" s="9"/>
      <c r="HL987" s="9"/>
      <c r="HM987" s="9"/>
      <c r="HZ987" s="58"/>
    </row>
    <row r="988" spans="140:234">
      <c r="EJ988" s="9"/>
      <c r="EK988" s="9"/>
      <c r="EL988" s="9"/>
      <c r="EM988" s="9"/>
      <c r="EN988" s="9"/>
      <c r="EO988" s="9"/>
      <c r="EP988" s="9"/>
      <c r="EQ988" s="9"/>
      <c r="ER988" s="9"/>
      <c r="ES988" s="9"/>
      <c r="ET988" s="9"/>
      <c r="EU988" s="9"/>
      <c r="EV988" s="9"/>
      <c r="EW988" s="9"/>
      <c r="EX988" s="9"/>
      <c r="EY988" s="9"/>
      <c r="EZ988" s="9"/>
      <c r="FA988" s="9"/>
      <c r="FB988" s="9"/>
      <c r="FC988" s="9"/>
      <c r="FD988" s="9"/>
      <c r="FE988" s="9"/>
      <c r="FF988" s="9"/>
      <c r="FG988" s="9"/>
      <c r="FH988" s="9"/>
      <c r="FI988" s="9"/>
      <c r="FJ988" s="9"/>
      <c r="FK988" s="9"/>
      <c r="FL988" s="9"/>
      <c r="FM988" s="9"/>
      <c r="FN988" s="9"/>
      <c r="FO988" s="9"/>
      <c r="FP988" s="9"/>
      <c r="FQ988" s="9"/>
      <c r="FR988" s="9"/>
      <c r="FS988" s="9"/>
      <c r="FT988" s="9"/>
      <c r="FU988" s="9"/>
      <c r="FV988" s="9"/>
      <c r="FW988" s="9"/>
      <c r="FX988" s="9"/>
      <c r="FY988" s="9"/>
      <c r="FZ988" s="9"/>
      <c r="GA988" s="9"/>
      <c r="GB988" s="9"/>
      <c r="GC988" s="9"/>
      <c r="GD988" s="9"/>
      <c r="GE988" s="9"/>
      <c r="GF988" s="9"/>
      <c r="GG988" s="9"/>
      <c r="GH988" s="9"/>
      <c r="GI988" s="9"/>
      <c r="GJ988" s="9"/>
      <c r="GK988" s="9"/>
      <c r="GL988" s="9"/>
      <c r="GM988" s="9"/>
      <c r="GN988" s="9"/>
      <c r="GO988" s="9"/>
      <c r="GP988" s="9"/>
      <c r="GQ988" s="9"/>
      <c r="GR988" s="9"/>
      <c r="GS988" s="9"/>
      <c r="GT988" s="9"/>
      <c r="GU988" s="9"/>
      <c r="GV988" s="9"/>
      <c r="GW988" s="9"/>
      <c r="GX988" s="9"/>
      <c r="GY988" s="9"/>
      <c r="GZ988" s="9"/>
      <c r="HA988" s="9"/>
      <c r="HB988" s="9"/>
      <c r="HC988" s="9"/>
      <c r="HD988" s="9"/>
      <c r="HE988" s="9"/>
      <c r="HF988" s="9"/>
      <c r="HG988" s="9"/>
      <c r="HH988" s="9"/>
      <c r="HI988" s="9"/>
      <c r="HJ988" s="9"/>
      <c r="HK988" s="9"/>
      <c r="HL988" s="9"/>
      <c r="HM988" s="9"/>
      <c r="HZ988" s="58"/>
    </row>
    <row r="989" spans="140:234">
      <c r="EJ989" s="9"/>
      <c r="EK989" s="9"/>
      <c r="EL989" s="9"/>
      <c r="EM989" s="9"/>
      <c r="EN989" s="9"/>
      <c r="EO989" s="9"/>
      <c r="EP989" s="9"/>
      <c r="EQ989" s="9"/>
      <c r="ER989" s="9"/>
      <c r="ES989" s="9"/>
      <c r="ET989" s="9"/>
      <c r="EU989" s="9"/>
      <c r="EV989" s="9"/>
      <c r="EW989" s="9"/>
      <c r="EX989" s="9"/>
      <c r="EY989" s="9"/>
      <c r="EZ989" s="9"/>
      <c r="FA989" s="9"/>
      <c r="FB989" s="9"/>
      <c r="FC989" s="9"/>
      <c r="FD989" s="9"/>
      <c r="FE989" s="9"/>
      <c r="FF989" s="9"/>
      <c r="FG989" s="9"/>
      <c r="FH989" s="9"/>
      <c r="FI989" s="9"/>
      <c r="FJ989" s="9"/>
      <c r="FK989" s="9"/>
      <c r="FL989" s="9"/>
      <c r="FM989" s="9"/>
      <c r="FN989" s="9"/>
      <c r="FO989" s="9"/>
      <c r="FP989" s="9"/>
      <c r="FQ989" s="9"/>
      <c r="FR989" s="9"/>
      <c r="FS989" s="9"/>
      <c r="FT989" s="9"/>
      <c r="FU989" s="9"/>
      <c r="FV989" s="9"/>
      <c r="FW989" s="9"/>
      <c r="FX989" s="9"/>
      <c r="FY989" s="9"/>
      <c r="FZ989" s="9"/>
      <c r="GA989" s="9"/>
      <c r="GB989" s="9"/>
      <c r="GC989" s="9"/>
      <c r="GD989" s="9"/>
      <c r="GE989" s="9"/>
      <c r="GF989" s="9"/>
      <c r="GG989" s="9"/>
      <c r="GH989" s="9"/>
      <c r="GI989" s="9"/>
      <c r="GJ989" s="9"/>
      <c r="GK989" s="9"/>
      <c r="GL989" s="9"/>
      <c r="GM989" s="9"/>
      <c r="GN989" s="9"/>
      <c r="GO989" s="9"/>
      <c r="GP989" s="9"/>
      <c r="GQ989" s="9"/>
      <c r="GR989" s="9"/>
      <c r="GS989" s="9"/>
      <c r="GT989" s="9"/>
      <c r="GU989" s="9"/>
      <c r="GV989" s="9"/>
      <c r="GW989" s="9"/>
      <c r="GX989" s="9"/>
      <c r="GY989" s="9"/>
      <c r="GZ989" s="9"/>
      <c r="HA989" s="9"/>
      <c r="HB989" s="9"/>
      <c r="HC989" s="9"/>
      <c r="HD989" s="9"/>
      <c r="HE989" s="9"/>
      <c r="HF989" s="9"/>
      <c r="HG989" s="9"/>
      <c r="HH989" s="9"/>
      <c r="HI989" s="9"/>
      <c r="HJ989" s="9"/>
      <c r="HK989" s="9"/>
      <c r="HL989" s="9"/>
      <c r="HM989" s="9"/>
      <c r="HZ989" s="58"/>
    </row>
    <row r="990" spans="140:234">
      <c r="EJ990" s="9"/>
      <c r="EK990" s="9"/>
      <c r="EL990" s="9"/>
      <c r="EM990" s="9"/>
      <c r="EN990" s="9"/>
      <c r="EO990" s="9"/>
      <c r="EP990" s="9"/>
      <c r="EQ990" s="9"/>
      <c r="ER990" s="9"/>
      <c r="ES990" s="9"/>
      <c r="ET990" s="9"/>
      <c r="EU990" s="9"/>
      <c r="EV990" s="9"/>
      <c r="EW990" s="9"/>
      <c r="EX990" s="9"/>
      <c r="EY990" s="9"/>
      <c r="EZ990" s="9"/>
      <c r="FA990" s="9"/>
      <c r="FB990" s="9"/>
      <c r="FC990" s="9"/>
      <c r="FD990" s="9"/>
      <c r="FE990" s="9"/>
      <c r="FF990" s="9"/>
      <c r="FG990" s="9"/>
      <c r="FH990" s="9"/>
      <c r="FI990" s="9"/>
      <c r="FJ990" s="9"/>
      <c r="FK990" s="9"/>
      <c r="FL990" s="9"/>
      <c r="FM990" s="9"/>
      <c r="FN990" s="9"/>
      <c r="FO990" s="9"/>
      <c r="FP990" s="9"/>
      <c r="FQ990" s="9"/>
      <c r="FR990" s="9"/>
      <c r="FS990" s="9"/>
      <c r="FT990" s="9"/>
      <c r="FU990" s="9"/>
      <c r="FV990" s="9"/>
      <c r="FW990" s="9"/>
      <c r="FX990" s="9"/>
      <c r="FY990" s="9"/>
      <c r="FZ990" s="9"/>
      <c r="GA990" s="9"/>
      <c r="GB990" s="9"/>
      <c r="GC990" s="9"/>
      <c r="GD990" s="9"/>
      <c r="GE990" s="9"/>
      <c r="GF990" s="9"/>
      <c r="GG990" s="9"/>
      <c r="GH990" s="9"/>
      <c r="GI990" s="9"/>
      <c r="GJ990" s="9"/>
      <c r="GK990" s="9"/>
      <c r="GL990" s="9"/>
      <c r="GM990" s="9"/>
      <c r="GN990" s="9"/>
      <c r="GO990" s="9"/>
      <c r="GP990" s="9"/>
      <c r="GQ990" s="9"/>
      <c r="GR990" s="9"/>
      <c r="GS990" s="9"/>
      <c r="GT990" s="9"/>
      <c r="GU990" s="9"/>
      <c r="GV990" s="9"/>
      <c r="GW990" s="9"/>
      <c r="GX990" s="9"/>
      <c r="GY990" s="9"/>
      <c r="GZ990" s="9"/>
      <c r="HA990" s="9"/>
      <c r="HB990" s="9"/>
      <c r="HC990" s="9"/>
      <c r="HD990" s="9"/>
      <c r="HE990" s="9"/>
      <c r="HF990" s="9"/>
      <c r="HG990" s="9"/>
      <c r="HH990" s="9"/>
      <c r="HI990" s="9"/>
      <c r="HJ990" s="9"/>
      <c r="HK990" s="9"/>
      <c r="HL990" s="9"/>
      <c r="HM990" s="9"/>
      <c r="HZ990" s="58"/>
    </row>
    <row r="991" spans="140:234">
      <c r="EJ991" s="9"/>
      <c r="EK991" s="9"/>
      <c r="EL991" s="9"/>
      <c r="EM991" s="9"/>
      <c r="EN991" s="9"/>
      <c r="EO991" s="9"/>
      <c r="EP991" s="9"/>
      <c r="EQ991" s="9"/>
      <c r="ER991" s="9"/>
      <c r="ES991" s="9"/>
      <c r="ET991" s="9"/>
      <c r="EU991" s="9"/>
      <c r="EV991" s="9"/>
      <c r="EW991" s="9"/>
      <c r="EX991" s="9"/>
      <c r="EY991" s="9"/>
      <c r="EZ991" s="9"/>
      <c r="FA991" s="9"/>
      <c r="FB991" s="9"/>
      <c r="FC991" s="9"/>
      <c r="FD991" s="9"/>
      <c r="FE991" s="9"/>
      <c r="FF991" s="9"/>
      <c r="FG991" s="9"/>
      <c r="FH991" s="9"/>
      <c r="FI991" s="9"/>
      <c r="FJ991" s="9"/>
      <c r="FK991" s="9"/>
      <c r="FL991" s="9"/>
      <c r="FM991" s="9"/>
      <c r="FN991" s="9"/>
      <c r="FO991" s="9"/>
      <c r="FP991" s="9"/>
      <c r="FQ991" s="9"/>
      <c r="FR991" s="9"/>
      <c r="FS991" s="9"/>
      <c r="FT991" s="9"/>
      <c r="FU991" s="9"/>
      <c r="FV991" s="9"/>
      <c r="FW991" s="9"/>
      <c r="FX991" s="9"/>
      <c r="FY991" s="9"/>
      <c r="FZ991" s="9"/>
      <c r="GA991" s="9"/>
      <c r="GB991" s="9"/>
      <c r="GC991" s="9"/>
      <c r="GD991" s="9"/>
      <c r="GE991" s="9"/>
      <c r="GF991" s="9"/>
      <c r="GG991" s="9"/>
      <c r="GH991" s="9"/>
      <c r="GI991" s="9"/>
      <c r="GJ991" s="9"/>
      <c r="GK991" s="9"/>
      <c r="GL991" s="9"/>
      <c r="GM991" s="9"/>
      <c r="GN991" s="9"/>
      <c r="GO991" s="9"/>
      <c r="GP991" s="9"/>
      <c r="GQ991" s="9"/>
      <c r="GR991" s="9"/>
      <c r="GS991" s="9"/>
      <c r="GT991" s="9"/>
      <c r="GU991" s="9"/>
      <c r="GV991" s="9"/>
      <c r="GW991" s="9"/>
      <c r="GX991" s="9"/>
      <c r="GY991" s="9"/>
      <c r="GZ991" s="9"/>
      <c r="HA991" s="9"/>
      <c r="HB991" s="9"/>
      <c r="HC991" s="9"/>
      <c r="HD991" s="9"/>
      <c r="HE991" s="9"/>
      <c r="HF991" s="9"/>
      <c r="HG991" s="9"/>
      <c r="HH991" s="9"/>
      <c r="HI991" s="9"/>
      <c r="HJ991" s="9"/>
      <c r="HK991" s="9"/>
      <c r="HL991" s="9"/>
      <c r="HM991" s="9"/>
      <c r="HZ991" s="58"/>
    </row>
    <row r="992" spans="140:234">
      <c r="EJ992" s="9"/>
      <c r="EK992" s="9"/>
      <c r="EL992" s="9"/>
      <c r="EM992" s="9"/>
      <c r="EN992" s="9"/>
      <c r="EO992" s="9"/>
      <c r="EP992" s="9"/>
      <c r="EQ992" s="9"/>
      <c r="ER992" s="9"/>
      <c r="ES992" s="9"/>
      <c r="ET992" s="9"/>
      <c r="EU992" s="9"/>
      <c r="EV992" s="9"/>
      <c r="EW992" s="9"/>
      <c r="EX992" s="9"/>
      <c r="EY992" s="9"/>
      <c r="EZ992" s="9"/>
      <c r="FA992" s="9"/>
      <c r="FB992" s="9"/>
      <c r="FC992" s="9"/>
      <c r="FD992" s="9"/>
      <c r="FE992" s="9"/>
      <c r="FF992" s="9"/>
      <c r="FG992" s="9"/>
      <c r="FH992" s="9"/>
      <c r="FI992" s="9"/>
      <c r="FJ992" s="9"/>
      <c r="FK992" s="9"/>
      <c r="FL992" s="9"/>
      <c r="FM992" s="9"/>
      <c r="FN992" s="9"/>
      <c r="FO992" s="9"/>
      <c r="FP992" s="9"/>
      <c r="FQ992" s="9"/>
      <c r="FR992" s="9"/>
      <c r="FS992" s="9"/>
      <c r="FT992" s="9"/>
      <c r="FU992" s="9"/>
      <c r="FV992" s="9"/>
      <c r="FW992" s="9"/>
      <c r="FX992" s="9"/>
      <c r="FY992" s="9"/>
      <c r="FZ992" s="9"/>
      <c r="GA992" s="9"/>
      <c r="GB992" s="9"/>
      <c r="GC992" s="9"/>
      <c r="GD992" s="9"/>
      <c r="GE992" s="9"/>
      <c r="GF992" s="9"/>
      <c r="GG992" s="9"/>
      <c r="GH992" s="9"/>
      <c r="GI992" s="9"/>
      <c r="GJ992" s="9"/>
      <c r="GK992" s="9"/>
      <c r="GL992" s="9"/>
      <c r="GM992" s="9"/>
      <c r="GN992" s="9"/>
      <c r="GO992" s="9"/>
      <c r="GP992" s="9"/>
      <c r="GQ992" s="9"/>
      <c r="GR992" s="9"/>
      <c r="GS992" s="9"/>
      <c r="GT992" s="9"/>
      <c r="GU992" s="9"/>
      <c r="GV992" s="9"/>
      <c r="GW992" s="9"/>
      <c r="GX992" s="9"/>
      <c r="GY992" s="9"/>
      <c r="GZ992" s="9"/>
      <c r="HA992" s="9"/>
      <c r="HB992" s="9"/>
      <c r="HC992" s="9"/>
      <c r="HD992" s="9"/>
      <c r="HE992" s="9"/>
      <c r="HF992" s="9"/>
      <c r="HG992" s="9"/>
      <c r="HH992" s="9"/>
      <c r="HI992" s="9"/>
      <c r="HJ992" s="9"/>
      <c r="HK992" s="9"/>
      <c r="HL992" s="9"/>
      <c r="HM992" s="9"/>
      <c r="HZ992" s="58"/>
    </row>
    <row r="993" spans="140:234">
      <c r="EJ993" s="9"/>
      <c r="EK993" s="9"/>
      <c r="EL993" s="9"/>
      <c r="EM993" s="9"/>
      <c r="EN993" s="9"/>
      <c r="EO993" s="9"/>
      <c r="EP993" s="9"/>
      <c r="EQ993" s="9"/>
      <c r="ER993" s="9"/>
      <c r="ES993" s="9"/>
      <c r="ET993" s="9"/>
      <c r="EU993" s="9"/>
      <c r="EV993" s="9"/>
      <c r="EW993" s="9"/>
      <c r="EX993" s="9"/>
      <c r="EY993" s="9"/>
      <c r="EZ993" s="9"/>
      <c r="FA993" s="9"/>
      <c r="FB993" s="9"/>
      <c r="FC993" s="9"/>
      <c r="FD993" s="9"/>
      <c r="FE993" s="9"/>
      <c r="FF993" s="9"/>
      <c r="FG993" s="9"/>
      <c r="FH993" s="9"/>
      <c r="FI993" s="9"/>
      <c r="FJ993" s="9"/>
      <c r="FK993" s="9"/>
      <c r="FL993" s="9"/>
      <c r="FM993" s="9"/>
      <c r="FN993" s="9"/>
      <c r="FO993" s="9"/>
      <c r="FP993" s="9"/>
      <c r="FQ993" s="9"/>
      <c r="FR993" s="9"/>
      <c r="FS993" s="9"/>
      <c r="FT993" s="9"/>
      <c r="FU993" s="9"/>
      <c r="FV993" s="9"/>
      <c r="FW993" s="9"/>
      <c r="FX993" s="9"/>
      <c r="FY993" s="9"/>
      <c r="FZ993" s="9"/>
      <c r="GA993" s="9"/>
      <c r="GB993" s="9"/>
      <c r="GC993" s="9"/>
      <c r="GD993" s="9"/>
      <c r="GE993" s="9"/>
      <c r="GF993" s="9"/>
      <c r="GG993" s="9"/>
      <c r="GH993" s="9"/>
      <c r="GI993" s="9"/>
      <c r="GJ993" s="9"/>
      <c r="GK993" s="9"/>
      <c r="GL993" s="9"/>
      <c r="GM993" s="9"/>
      <c r="GN993" s="9"/>
      <c r="GO993" s="9"/>
      <c r="GP993" s="9"/>
      <c r="GQ993" s="9"/>
      <c r="GR993" s="9"/>
      <c r="GS993" s="9"/>
      <c r="GT993" s="9"/>
      <c r="GU993" s="9"/>
      <c r="GV993" s="9"/>
      <c r="GW993" s="9"/>
      <c r="GX993" s="9"/>
      <c r="GY993" s="9"/>
      <c r="GZ993" s="9"/>
      <c r="HA993" s="9"/>
      <c r="HB993" s="9"/>
      <c r="HC993" s="9"/>
      <c r="HD993" s="9"/>
      <c r="HE993" s="9"/>
      <c r="HF993" s="9"/>
      <c r="HG993" s="9"/>
      <c r="HH993" s="9"/>
      <c r="HI993" s="9"/>
      <c r="HJ993" s="9"/>
      <c r="HK993" s="9"/>
      <c r="HL993" s="9"/>
      <c r="HM993" s="9"/>
      <c r="HZ993" s="58"/>
    </row>
    <row r="994" spans="140:234">
      <c r="EJ994" s="9"/>
      <c r="EK994" s="9"/>
      <c r="EL994" s="9"/>
      <c r="EM994" s="9"/>
      <c r="EN994" s="9"/>
      <c r="EO994" s="9"/>
      <c r="EP994" s="9"/>
      <c r="EQ994" s="9"/>
      <c r="ER994" s="9"/>
      <c r="ES994" s="9"/>
      <c r="ET994" s="9"/>
      <c r="EU994" s="9"/>
      <c r="EV994" s="9"/>
      <c r="EW994" s="9"/>
      <c r="EX994" s="9"/>
      <c r="EY994" s="9"/>
      <c r="EZ994" s="9"/>
      <c r="FA994" s="9"/>
      <c r="FB994" s="9"/>
      <c r="FC994" s="9"/>
      <c r="FD994" s="9"/>
      <c r="FE994" s="9"/>
      <c r="FF994" s="9"/>
      <c r="FG994" s="9"/>
      <c r="FH994" s="9"/>
      <c r="FI994" s="9"/>
      <c r="FJ994" s="9"/>
      <c r="FK994" s="9"/>
      <c r="FL994" s="9"/>
      <c r="FM994" s="9"/>
      <c r="FN994" s="9"/>
      <c r="FO994" s="9"/>
      <c r="FP994" s="9"/>
      <c r="FQ994" s="9"/>
      <c r="FR994" s="9"/>
      <c r="FS994" s="9"/>
      <c r="FT994" s="9"/>
      <c r="FU994" s="9"/>
      <c r="FV994" s="9"/>
      <c r="FW994" s="9"/>
      <c r="FX994" s="9"/>
      <c r="FY994" s="9"/>
      <c r="FZ994" s="9"/>
      <c r="GA994" s="9"/>
      <c r="GB994" s="9"/>
      <c r="GC994" s="9"/>
      <c r="GD994" s="9"/>
      <c r="GE994" s="9"/>
      <c r="GF994" s="9"/>
      <c r="GG994" s="9"/>
      <c r="GH994" s="9"/>
      <c r="GI994" s="9"/>
      <c r="GJ994" s="9"/>
      <c r="GK994" s="9"/>
      <c r="GL994" s="9"/>
      <c r="GM994" s="9"/>
      <c r="GN994" s="9"/>
      <c r="GO994" s="9"/>
      <c r="GP994" s="9"/>
      <c r="GQ994" s="9"/>
      <c r="GR994" s="9"/>
      <c r="GS994" s="9"/>
      <c r="GT994" s="9"/>
      <c r="GU994" s="9"/>
      <c r="GV994" s="9"/>
      <c r="GW994" s="9"/>
      <c r="GX994" s="9"/>
      <c r="GY994" s="9"/>
      <c r="GZ994" s="9"/>
      <c r="HA994" s="9"/>
      <c r="HB994" s="9"/>
      <c r="HC994" s="9"/>
      <c r="HD994" s="9"/>
      <c r="HE994" s="9"/>
      <c r="HF994" s="9"/>
      <c r="HG994" s="9"/>
      <c r="HH994" s="9"/>
      <c r="HI994" s="9"/>
      <c r="HJ994" s="9"/>
      <c r="HK994" s="9"/>
      <c r="HL994" s="9"/>
      <c r="HM994" s="9"/>
      <c r="HZ994" s="58"/>
    </row>
    <row r="995" spans="140:234">
      <c r="EJ995" s="9"/>
      <c r="EK995" s="9"/>
      <c r="EL995" s="9"/>
      <c r="EM995" s="9"/>
      <c r="EN995" s="9"/>
      <c r="EO995" s="9"/>
      <c r="EP995" s="9"/>
      <c r="EQ995" s="9"/>
      <c r="ER995" s="9"/>
      <c r="ES995" s="9"/>
      <c r="ET995" s="9"/>
      <c r="EU995" s="9"/>
      <c r="EV995" s="9"/>
      <c r="EW995" s="9"/>
      <c r="EX995" s="9"/>
      <c r="EY995" s="9"/>
      <c r="EZ995" s="9"/>
      <c r="FA995" s="9"/>
      <c r="FB995" s="9"/>
      <c r="FC995" s="9"/>
      <c r="FD995" s="9"/>
      <c r="FE995" s="9"/>
      <c r="FF995" s="9"/>
      <c r="FG995" s="9"/>
      <c r="FH995" s="9"/>
      <c r="FI995" s="9"/>
      <c r="FJ995" s="9"/>
      <c r="FK995" s="9"/>
      <c r="FL995" s="9"/>
      <c r="FM995" s="9"/>
      <c r="FN995" s="9"/>
      <c r="FO995" s="9"/>
      <c r="FP995" s="9"/>
      <c r="FQ995" s="9"/>
      <c r="FR995" s="9"/>
      <c r="FS995" s="9"/>
      <c r="FT995" s="9"/>
      <c r="FU995" s="9"/>
      <c r="FV995" s="9"/>
      <c r="FW995" s="9"/>
      <c r="FX995" s="9"/>
      <c r="FY995" s="9"/>
      <c r="FZ995" s="9"/>
      <c r="GA995" s="9"/>
      <c r="GB995" s="9"/>
      <c r="GC995" s="9"/>
      <c r="GD995" s="9"/>
      <c r="GE995" s="9"/>
      <c r="GF995" s="9"/>
      <c r="GG995" s="9"/>
      <c r="GH995" s="9"/>
      <c r="GI995" s="9"/>
      <c r="GJ995" s="9"/>
      <c r="GK995" s="9"/>
      <c r="GL995" s="9"/>
      <c r="GM995" s="9"/>
      <c r="GN995" s="9"/>
      <c r="GO995" s="9"/>
      <c r="GP995" s="9"/>
      <c r="GQ995" s="9"/>
      <c r="GR995" s="9"/>
      <c r="GS995" s="9"/>
      <c r="GT995" s="9"/>
      <c r="GU995" s="9"/>
      <c r="GV995" s="9"/>
      <c r="GW995" s="9"/>
      <c r="GX995" s="9"/>
      <c r="GY995" s="9"/>
      <c r="GZ995" s="9"/>
      <c r="HA995" s="9"/>
      <c r="HB995" s="9"/>
      <c r="HC995" s="9"/>
      <c r="HD995" s="9"/>
      <c r="HE995" s="9"/>
      <c r="HF995" s="9"/>
      <c r="HG995" s="9"/>
      <c r="HH995" s="9"/>
      <c r="HI995" s="9"/>
      <c r="HJ995" s="9"/>
      <c r="HK995" s="9"/>
      <c r="HL995" s="9"/>
      <c r="HM995" s="9"/>
      <c r="HZ995" s="58"/>
    </row>
    <row r="996" spans="140:234">
      <c r="EJ996" s="9"/>
      <c r="EK996" s="9"/>
      <c r="EL996" s="9"/>
      <c r="EM996" s="9"/>
      <c r="EN996" s="9"/>
      <c r="EO996" s="9"/>
      <c r="EP996" s="9"/>
      <c r="EQ996" s="9"/>
      <c r="ER996" s="9"/>
      <c r="ES996" s="9"/>
      <c r="ET996" s="9"/>
      <c r="EU996" s="9"/>
      <c r="EV996" s="9"/>
      <c r="EW996" s="9"/>
      <c r="EX996" s="9"/>
      <c r="EY996" s="9"/>
      <c r="EZ996" s="9"/>
      <c r="FA996" s="9"/>
      <c r="FB996" s="9"/>
      <c r="FC996" s="9"/>
      <c r="FD996" s="9"/>
      <c r="FE996" s="9"/>
      <c r="FF996" s="9"/>
      <c r="FG996" s="9"/>
      <c r="FH996" s="9"/>
      <c r="FI996" s="9"/>
      <c r="FJ996" s="9"/>
      <c r="FK996" s="9"/>
      <c r="FL996" s="9"/>
      <c r="FM996" s="9"/>
      <c r="FN996" s="9"/>
      <c r="FO996" s="9"/>
      <c r="FP996" s="9"/>
      <c r="FQ996" s="9"/>
      <c r="FR996" s="9"/>
      <c r="FS996" s="9"/>
      <c r="FT996" s="9"/>
      <c r="FU996" s="9"/>
      <c r="FV996" s="9"/>
      <c r="FW996" s="9"/>
      <c r="FX996" s="9"/>
      <c r="FY996" s="9"/>
      <c r="FZ996" s="9"/>
      <c r="GA996" s="9"/>
      <c r="GB996" s="9"/>
      <c r="GC996" s="9"/>
      <c r="GD996" s="9"/>
      <c r="GE996" s="9"/>
      <c r="GF996" s="9"/>
      <c r="GG996" s="9"/>
      <c r="GH996" s="9"/>
      <c r="GI996" s="9"/>
      <c r="GJ996" s="9"/>
      <c r="GK996" s="9"/>
      <c r="GL996" s="9"/>
      <c r="GM996" s="9"/>
      <c r="GN996" s="9"/>
      <c r="GO996" s="9"/>
      <c r="GP996" s="9"/>
      <c r="GQ996" s="9"/>
      <c r="GR996" s="9"/>
      <c r="GS996" s="9"/>
      <c r="GT996" s="9"/>
      <c r="GU996" s="9"/>
      <c r="GV996" s="9"/>
      <c r="GW996" s="9"/>
      <c r="GX996" s="9"/>
      <c r="GY996" s="9"/>
      <c r="GZ996" s="9"/>
      <c r="HA996" s="9"/>
      <c r="HB996" s="9"/>
      <c r="HC996" s="9"/>
      <c r="HD996" s="9"/>
      <c r="HE996" s="9"/>
      <c r="HF996" s="9"/>
      <c r="HG996" s="9"/>
      <c r="HH996" s="9"/>
      <c r="HI996" s="9"/>
      <c r="HJ996" s="9"/>
      <c r="HK996" s="9"/>
      <c r="HL996" s="9"/>
      <c r="HM996" s="9"/>
      <c r="HZ996" s="58"/>
    </row>
    <row r="997" spans="140:234">
      <c r="EJ997" s="9"/>
      <c r="EK997" s="9"/>
      <c r="EL997" s="9"/>
      <c r="EM997" s="9"/>
      <c r="EN997" s="9"/>
      <c r="EO997" s="9"/>
      <c r="EP997" s="9"/>
      <c r="EQ997" s="9"/>
      <c r="ER997" s="9"/>
      <c r="ES997" s="9"/>
      <c r="ET997" s="9"/>
      <c r="EU997" s="9"/>
      <c r="EV997" s="9"/>
      <c r="EW997" s="9"/>
      <c r="EX997" s="9"/>
      <c r="EY997" s="9"/>
      <c r="EZ997" s="9"/>
      <c r="FA997" s="9"/>
      <c r="FB997" s="9"/>
      <c r="FC997" s="9"/>
      <c r="FD997" s="9"/>
      <c r="FE997" s="9"/>
      <c r="FF997" s="9"/>
      <c r="FG997" s="9"/>
      <c r="FH997" s="9"/>
      <c r="FI997" s="9"/>
      <c r="FJ997" s="9"/>
      <c r="FK997" s="9"/>
      <c r="FL997" s="9"/>
      <c r="FM997" s="9"/>
      <c r="FN997" s="9"/>
      <c r="FO997" s="9"/>
      <c r="FP997" s="9"/>
      <c r="FQ997" s="9"/>
      <c r="FR997" s="9"/>
      <c r="FS997" s="9"/>
      <c r="FT997" s="9"/>
      <c r="FU997" s="9"/>
      <c r="FV997" s="9"/>
      <c r="FW997" s="9"/>
      <c r="FX997" s="9"/>
      <c r="FY997" s="9"/>
      <c r="FZ997" s="9"/>
      <c r="GA997" s="9"/>
      <c r="GB997" s="9"/>
      <c r="GC997" s="9"/>
      <c r="GD997" s="9"/>
      <c r="GE997" s="9"/>
      <c r="GF997" s="9"/>
      <c r="GG997" s="9"/>
      <c r="GH997" s="9"/>
      <c r="GI997" s="9"/>
      <c r="GJ997" s="9"/>
      <c r="GK997" s="9"/>
      <c r="GL997" s="9"/>
      <c r="GM997" s="9"/>
      <c r="GN997" s="9"/>
      <c r="GO997" s="9"/>
      <c r="GP997" s="9"/>
      <c r="GQ997" s="9"/>
      <c r="GR997" s="9"/>
      <c r="GS997" s="9"/>
      <c r="GT997" s="9"/>
      <c r="GU997" s="9"/>
      <c r="GV997" s="9"/>
      <c r="GW997" s="9"/>
      <c r="GX997" s="9"/>
      <c r="GY997" s="9"/>
      <c r="GZ997" s="9"/>
      <c r="HA997" s="9"/>
      <c r="HB997" s="9"/>
      <c r="HC997" s="9"/>
      <c r="HD997" s="9"/>
      <c r="HE997" s="9"/>
      <c r="HF997" s="9"/>
      <c r="HG997" s="9"/>
      <c r="HH997" s="9"/>
      <c r="HI997" s="9"/>
      <c r="HJ997" s="9"/>
      <c r="HK997" s="9"/>
      <c r="HL997" s="9"/>
      <c r="HM997" s="9"/>
      <c r="HZ997" s="58"/>
    </row>
    <row r="998" spans="140:234">
      <c r="EJ998" s="9"/>
      <c r="EK998" s="9"/>
      <c r="EL998" s="9"/>
      <c r="EM998" s="9"/>
      <c r="EN998" s="9"/>
      <c r="EO998" s="9"/>
      <c r="EP998" s="9"/>
      <c r="EQ998" s="9"/>
      <c r="ER998" s="9"/>
      <c r="ES998" s="9"/>
      <c r="ET998" s="9"/>
      <c r="EU998" s="9"/>
      <c r="EV998" s="9"/>
      <c r="EW998" s="9"/>
      <c r="EX998" s="9"/>
      <c r="EY998" s="9"/>
      <c r="EZ998" s="9"/>
      <c r="FA998" s="9"/>
      <c r="FB998" s="9"/>
      <c r="FC998" s="9"/>
      <c r="FD998" s="9"/>
      <c r="FE998" s="9"/>
      <c r="FF998" s="9"/>
      <c r="FG998" s="9"/>
      <c r="FH998" s="9"/>
      <c r="FI998" s="9"/>
      <c r="FJ998" s="9"/>
      <c r="FK998" s="9"/>
      <c r="FL998" s="9"/>
      <c r="FM998" s="9"/>
      <c r="FN998" s="9"/>
      <c r="FO998" s="9"/>
      <c r="FP998" s="9"/>
      <c r="FQ998" s="9"/>
      <c r="FR998" s="9"/>
      <c r="FS998" s="9"/>
      <c r="FT998" s="9"/>
      <c r="FU998" s="9"/>
      <c r="FV998" s="9"/>
      <c r="FW998" s="9"/>
      <c r="FX998" s="9"/>
      <c r="FY998" s="9"/>
      <c r="FZ998" s="9"/>
      <c r="GA998" s="9"/>
      <c r="GB998" s="9"/>
      <c r="GC998" s="9"/>
      <c r="GD998" s="9"/>
      <c r="GE998" s="9"/>
      <c r="GF998" s="9"/>
      <c r="GG998" s="9"/>
      <c r="GH998" s="9"/>
      <c r="GI998" s="9"/>
      <c r="GJ998" s="9"/>
      <c r="GK998" s="9"/>
      <c r="GL998" s="9"/>
      <c r="GM998" s="9"/>
      <c r="GN998" s="9"/>
      <c r="GO998" s="9"/>
      <c r="GP998" s="9"/>
      <c r="GQ998" s="9"/>
      <c r="GR998" s="9"/>
      <c r="GS998" s="9"/>
      <c r="GT998" s="9"/>
      <c r="GU998" s="9"/>
      <c r="GV998" s="9"/>
      <c r="GW998" s="9"/>
      <c r="GX998" s="9"/>
      <c r="GY998" s="9"/>
      <c r="GZ998" s="9"/>
      <c r="HA998" s="9"/>
      <c r="HB998" s="9"/>
      <c r="HC998" s="9"/>
      <c r="HD998" s="9"/>
      <c r="HE998" s="9"/>
      <c r="HF998" s="9"/>
      <c r="HG998" s="9"/>
      <c r="HH998" s="9"/>
      <c r="HI998" s="9"/>
      <c r="HJ998" s="9"/>
      <c r="HK998" s="9"/>
      <c r="HL998" s="9"/>
      <c r="HM998" s="9"/>
      <c r="HZ998" s="58"/>
    </row>
    <row r="999" spans="140:234">
      <c r="EJ999" s="9"/>
      <c r="EK999" s="9"/>
      <c r="EL999" s="9"/>
      <c r="EM999" s="9"/>
      <c r="EN999" s="9"/>
      <c r="EO999" s="9"/>
      <c r="EP999" s="9"/>
      <c r="EQ999" s="9"/>
      <c r="ER999" s="9"/>
      <c r="ES999" s="9"/>
      <c r="ET999" s="9"/>
      <c r="EU999" s="9"/>
      <c r="EV999" s="9"/>
      <c r="EW999" s="9"/>
      <c r="EX999" s="9"/>
      <c r="EY999" s="9"/>
      <c r="EZ999" s="9"/>
      <c r="FA999" s="9"/>
      <c r="FB999" s="9"/>
      <c r="FC999" s="9"/>
      <c r="FD999" s="9"/>
      <c r="FE999" s="9"/>
      <c r="FF999" s="9"/>
      <c r="FG999" s="9"/>
      <c r="FH999" s="9"/>
      <c r="FI999" s="9"/>
      <c r="FJ999" s="9"/>
      <c r="FK999" s="9"/>
      <c r="FL999" s="9"/>
      <c r="FM999" s="9"/>
      <c r="FN999" s="9"/>
      <c r="FO999" s="9"/>
      <c r="FP999" s="9"/>
      <c r="FQ999" s="9"/>
      <c r="FR999" s="9"/>
      <c r="FS999" s="9"/>
      <c r="FT999" s="9"/>
      <c r="FU999" s="9"/>
      <c r="FV999" s="9"/>
      <c r="FW999" s="9"/>
      <c r="FX999" s="9"/>
      <c r="FY999" s="9"/>
      <c r="FZ999" s="9"/>
      <c r="GA999" s="9"/>
      <c r="GB999" s="9"/>
      <c r="GC999" s="9"/>
      <c r="GD999" s="9"/>
      <c r="GE999" s="9"/>
      <c r="GF999" s="9"/>
      <c r="GG999" s="9"/>
      <c r="GH999" s="9"/>
      <c r="GI999" s="9"/>
      <c r="GJ999" s="9"/>
      <c r="GK999" s="9"/>
      <c r="GL999" s="9"/>
      <c r="GM999" s="9"/>
      <c r="GN999" s="9"/>
      <c r="GO999" s="9"/>
      <c r="GP999" s="9"/>
      <c r="GQ999" s="9"/>
      <c r="GR999" s="9"/>
      <c r="GS999" s="9"/>
      <c r="GT999" s="9"/>
      <c r="GU999" s="9"/>
      <c r="GV999" s="9"/>
      <c r="GW999" s="9"/>
      <c r="GX999" s="9"/>
      <c r="GY999" s="9"/>
      <c r="GZ999" s="9"/>
      <c r="HA999" s="9"/>
      <c r="HB999" s="9"/>
      <c r="HC999" s="9"/>
      <c r="HD999" s="9"/>
      <c r="HE999" s="9"/>
      <c r="HF999" s="9"/>
      <c r="HG999" s="9"/>
      <c r="HH999" s="9"/>
      <c r="HI999" s="9"/>
      <c r="HJ999" s="9"/>
      <c r="HK999" s="9"/>
      <c r="HL999" s="9"/>
      <c r="HM999" s="9"/>
      <c r="HZ999" s="58"/>
    </row>
    <row r="1000" spans="140:234">
      <c r="EJ1000" s="9"/>
      <c r="EK1000" s="9"/>
      <c r="EL1000" s="9"/>
      <c r="EM1000" s="9"/>
      <c r="EN1000" s="9"/>
      <c r="EO1000" s="9"/>
      <c r="EP1000" s="9"/>
      <c r="EQ1000" s="9"/>
      <c r="ER1000" s="9"/>
      <c r="ES1000" s="9"/>
      <c r="ET1000" s="9"/>
      <c r="EU1000" s="9"/>
      <c r="EV1000" s="9"/>
      <c r="EW1000" s="9"/>
      <c r="EX1000" s="9"/>
      <c r="EY1000" s="9"/>
      <c r="EZ1000" s="9"/>
      <c r="FA1000" s="9"/>
      <c r="FB1000" s="9"/>
      <c r="FC1000" s="9"/>
      <c r="FD1000" s="9"/>
      <c r="FE1000" s="9"/>
      <c r="FF1000" s="9"/>
      <c r="FG1000" s="9"/>
      <c r="FH1000" s="9"/>
      <c r="FI1000" s="9"/>
      <c r="FJ1000" s="9"/>
      <c r="FK1000" s="9"/>
      <c r="FL1000" s="9"/>
      <c r="FM1000" s="9"/>
      <c r="FN1000" s="9"/>
      <c r="FO1000" s="9"/>
      <c r="FP1000" s="9"/>
      <c r="FQ1000" s="9"/>
      <c r="FR1000" s="9"/>
      <c r="FS1000" s="9"/>
      <c r="FT1000" s="9"/>
      <c r="FU1000" s="9"/>
      <c r="FV1000" s="9"/>
      <c r="FW1000" s="9"/>
      <c r="FX1000" s="9"/>
      <c r="FY1000" s="9"/>
      <c r="FZ1000" s="9"/>
      <c r="GA1000" s="9"/>
      <c r="GB1000" s="9"/>
      <c r="GC1000" s="9"/>
      <c r="GD1000" s="9"/>
      <c r="GE1000" s="9"/>
      <c r="GF1000" s="9"/>
      <c r="GG1000" s="9"/>
      <c r="GH1000" s="9"/>
      <c r="GI1000" s="9"/>
      <c r="GJ1000" s="9"/>
      <c r="GK1000" s="9"/>
      <c r="GL1000" s="9"/>
      <c r="GM1000" s="9"/>
      <c r="GN1000" s="9"/>
      <c r="GO1000" s="9"/>
      <c r="GP1000" s="9"/>
      <c r="GQ1000" s="9"/>
      <c r="GR1000" s="9"/>
      <c r="GS1000" s="9"/>
      <c r="GT1000" s="9"/>
      <c r="GU1000" s="9"/>
      <c r="GV1000" s="9"/>
      <c r="GW1000" s="9"/>
      <c r="GX1000" s="9"/>
      <c r="GY1000" s="9"/>
      <c r="GZ1000" s="9"/>
      <c r="HA1000" s="9"/>
      <c r="HB1000" s="9"/>
      <c r="HC1000" s="9"/>
      <c r="HD1000" s="9"/>
      <c r="HE1000" s="9"/>
      <c r="HF1000" s="9"/>
      <c r="HG1000" s="9"/>
      <c r="HH1000" s="9"/>
      <c r="HI1000" s="9"/>
      <c r="HJ1000" s="9"/>
      <c r="HK1000" s="9"/>
      <c r="HL1000" s="9"/>
      <c r="HM1000" s="9"/>
      <c r="HZ1000" s="58"/>
    </row>
    <row r="1001" spans="140:234">
      <c r="EJ1001" s="9"/>
      <c r="EK1001" s="9"/>
      <c r="EL1001" s="9"/>
      <c r="EM1001" s="9"/>
      <c r="EN1001" s="9"/>
      <c r="EO1001" s="9"/>
      <c r="EP1001" s="9"/>
      <c r="EQ1001" s="9"/>
      <c r="ER1001" s="9"/>
      <c r="ES1001" s="9"/>
      <c r="ET1001" s="9"/>
      <c r="EU1001" s="9"/>
      <c r="EV1001" s="9"/>
      <c r="EW1001" s="9"/>
      <c r="EX1001" s="9"/>
      <c r="EY1001" s="9"/>
      <c r="EZ1001" s="9"/>
      <c r="FA1001" s="9"/>
      <c r="FB1001" s="9"/>
      <c r="FC1001" s="9"/>
      <c r="FD1001" s="9"/>
      <c r="FE1001" s="9"/>
      <c r="FF1001" s="9"/>
      <c r="FG1001" s="9"/>
      <c r="FH1001" s="9"/>
      <c r="FI1001" s="9"/>
      <c r="FJ1001" s="9"/>
      <c r="FK1001" s="9"/>
      <c r="FL1001" s="9"/>
      <c r="FM1001" s="9"/>
      <c r="FN1001" s="9"/>
      <c r="FO1001" s="9"/>
      <c r="FP1001" s="9"/>
      <c r="FQ1001" s="9"/>
      <c r="FR1001" s="9"/>
      <c r="FS1001" s="9"/>
      <c r="FT1001" s="9"/>
      <c r="FU1001" s="9"/>
      <c r="FV1001" s="9"/>
      <c r="FW1001" s="9"/>
      <c r="FX1001" s="9"/>
      <c r="FY1001" s="9"/>
      <c r="FZ1001" s="9"/>
      <c r="GA1001" s="9"/>
      <c r="GB1001" s="9"/>
      <c r="GC1001" s="9"/>
      <c r="GD1001" s="9"/>
      <c r="GE1001" s="9"/>
      <c r="GF1001" s="9"/>
      <c r="GG1001" s="9"/>
      <c r="GH1001" s="9"/>
      <c r="GI1001" s="9"/>
      <c r="GJ1001" s="9"/>
      <c r="GK1001" s="9"/>
      <c r="GL1001" s="9"/>
      <c r="GM1001" s="9"/>
      <c r="GN1001" s="9"/>
      <c r="GO1001" s="9"/>
      <c r="GP1001" s="9"/>
      <c r="GQ1001" s="9"/>
      <c r="GR1001" s="9"/>
      <c r="GS1001" s="9"/>
      <c r="GT1001" s="9"/>
      <c r="GU1001" s="9"/>
      <c r="GV1001" s="9"/>
      <c r="GW1001" s="9"/>
      <c r="GX1001" s="9"/>
      <c r="GY1001" s="9"/>
      <c r="GZ1001" s="9"/>
      <c r="HA1001" s="9"/>
      <c r="HB1001" s="9"/>
      <c r="HC1001" s="9"/>
      <c r="HD1001" s="9"/>
      <c r="HE1001" s="9"/>
      <c r="HF1001" s="9"/>
      <c r="HG1001" s="9"/>
      <c r="HH1001" s="9"/>
      <c r="HI1001" s="9"/>
      <c r="HJ1001" s="9"/>
      <c r="HK1001" s="9"/>
      <c r="HL1001" s="9"/>
      <c r="HM1001" s="9"/>
      <c r="HZ1001" s="58"/>
    </row>
    <row r="1002" spans="140:234">
      <c r="EJ1002" s="9"/>
      <c r="EK1002" s="9"/>
      <c r="EL1002" s="9"/>
      <c r="EM1002" s="9"/>
      <c r="EN1002" s="9"/>
      <c r="EO1002" s="9"/>
      <c r="EP1002" s="9"/>
      <c r="EQ1002" s="9"/>
      <c r="ER1002" s="9"/>
      <c r="ES1002" s="9"/>
      <c r="ET1002" s="9"/>
      <c r="EU1002" s="9"/>
      <c r="EV1002" s="9"/>
      <c r="EW1002" s="9"/>
      <c r="EX1002" s="9"/>
      <c r="EY1002" s="9"/>
      <c r="EZ1002" s="9"/>
      <c r="FA1002" s="9"/>
      <c r="FB1002" s="9"/>
      <c r="FC1002" s="9"/>
      <c r="FD1002" s="9"/>
      <c r="FE1002" s="9"/>
      <c r="FF1002" s="9"/>
      <c r="FG1002" s="9"/>
      <c r="FH1002" s="9"/>
      <c r="FI1002" s="9"/>
      <c r="FJ1002" s="9"/>
      <c r="FK1002" s="9"/>
      <c r="FL1002" s="9"/>
      <c r="FM1002" s="9"/>
      <c r="FN1002" s="9"/>
      <c r="FO1002" s="9"/>
      <c r="FP1002" s="9"/>
      <c r="FQ1002" s="9"/>
      <c r="FR1002" s="9"/>
      <c r="FS1002" s="9"/>
      <c r="FT1002" s="9"/>
      <c r="FU1002" s="9"/>
      <c r="FV1002" s="9"/>
      <c r="FW1002" s="9"/>
      <c r="FX1002" s="9"/>
      <c r="FY1002" s="9"/>
      <c r="FZ1002" s="9"/>
      <c r="GA1002" s="9"/>
      <c r="GB1002" s="9"/>
      <c r="GC1002" s="9"/>
      <c r="GD1002" s="9"/>
      <c r="GE1002" s="9"/>
      <c r="GF1002" s="9"/>
      <c r="GG1002" s="9"/>
      <c r="GH1002" s="9"/>
      <c r="GI1002" s="9"/>
      <c r="GJ1002" s="9"/>
      <c r="GK1002" s="9"/>
      <c r="GL1002" s="9"/>
      <c r="GM1002" s="9"/>
      <c r="GN1002" s="9"/>
      <c r="GO1002" s="9"/>
      <c r="GP1002" s="9"/>
      <c r="GQ1002" s="9"/>
      <c r="GR1002" s="9"/>
      <c r="GS1002" s="9"/>
      <c r="GT1002" s="9"/>
      <c r="GU1002" s="9"/>
      <c r="GV1002" s="9"/>
      <c r="GW1002" s="9"/>
      <c r="GX1002" s="9"/>
      <c r="GY1002" s="9"/>
      <c r="GZ1002" s="9"/>
      <c r="HA1002" s="9"/>
      <c r="HB1002" s="9"/>
      <c r="HC1002" s="9"/>
      <c r="HD1002" s="9"/>
      <c r="HE1002" s="9"/>
      <c r="HF1002" s="9"/>
      <c r="HG1002" s="9"/>
      <c r="HH1002" s="9"/>
      <c r="HI1002" s="9"/>
      <c r="HJ1002" s="9"/>
      <c r="HK1002" s="9"/>
      <c r="HL1002" s="9"/>
      <c r="HM1002" s="9"/>
      <c r="HZ1002" s="58"/>
    </row>
    <row r="1003" spans="140:234">
      <c r="EJ1003" s="9"/>
      <c r="EK1003" s="9"/>
      <c r="EL1003" s="9"/>
      <c r="EM1003" s="9"/>
      <c r="EN1003" s="9"/>
      <c r="EO1003" s="9"/>
      <c r="EP1003" s="9"/>
      <c r="EQ1003" s="9"/>
      <c r="ER1003" s="9"/>
      <c r="ES1003" s="9"/>
      <c r="ET1003" s="9"/>
      <c r="EU1003" s="9"/>
      <c r="EV1003" s="9"/>
      <c r="EW1003" s="9"/>
      <c r="EX1003" s="9"/>
      <c r="EY1003" s="9"/>
      <c r="EZ1003" s="9"/>
      <c r="FA1003" s="9"/>
      <c r="FB1003" s="9"/>
      <c r="FC1003" s="9"/>
      <c r="FD1003" s="9"/>
      <c r="FE1003" s="9"/>
      <c r="FF1003" s="9"/>
      <c r="FG1003" s="9"/>
      <c r="FH1003" s="9"/>
      <c r="FI1003" s="9"/>
      <c r="FJ1003" s="9"/>
      <c r="FK1003" s="9"/>
      <c r="FL1003" s="9"/>
      <c r="FM1003" s="9"/>
      <c r="FN1003" s="9"/>
      <c r="FO1003" s="9"/>
      <c r="FP1003" s="9"/>
      <c r="FQ1003" s="9"/>
      <c r="FR1003" s="9"/>
      <c r="FS1003" s="9"/>
      <c r="FT1003" s="9"/>
      <c r="FU1003" s="9"/>
      <c r="FV1003" s="9"/>
      <c r="FW1003" s="9"/>
      <c r="FX1003" s="9"/>
      <c r="FY1003" s="9"/>
      <c r="FZ1003" s="9"/>
      <c r="GA1003" s="9"/>
      <c r="GB1003" s="9"/>
      <c r="GC1003" s="9"/>
      <c r="GD1003" s="9"/>
      <c r="GE1003" s="9"/>
      <c r="GF1003" s="9"/>
      <c r="GG1003" s="9"/>
      <c r="GH1003" s="9"/>
      <c r="GI1003" s="9"/>
      <c r="GJ1003" s="9"/>
      <c r="GK1003" s="9"/>
      <c r="GL1003" s="9"/>
      <c r="GM1003" s="9"/>
      <c r="GN1003" s="9"/>
      <c r="GO1003" s="9"/>
      <c r="GP1003" s="9"/>
      <c r="GQ1003" s="9"/>
      <c r="GR1003" s="9"/>
      <c r="GS1003" s="9"/>
      <c r="GT1003" s="9"/>
      <c r="GU1003" s="9"/>
      <c r="GV1003" s="9"/>
      <c r="GW1003" s="9"/>
      <c r="GX1003" s="9"/>
      <c r="GY1003" s="9"/>
      <c r="GZ1003" s="9"/>
      <c r="HA1003" s="9"/>
      <c r="HB1003" s="9"/>
      <c r="HC1003" s="9"/>
      <c r="HD1003" s="9"/>
      <c r="HE1003" s="9"/>
      <c r="HF1003" s="9"/>
      <c r="HG1003" s="9"/>
      <c r="HH1003" s="9"/>
      <c r="HI1003" s="9"/>
      <c r="HJ1003" s="9"/>
      <c r="HK1003" s="9"/>
      <c r="HL1003" s="9"/>
      <c r="HM1003" s="9"/>
      <c r="HZ1003" s="58"/>
    </row>
    <row r="1004" spans="140:234">
      <c r="EJ1004" s="9"/>
      <c r="EK1004" s="9"/>
      <c r="EL1004" s="9"/>
      <c r="EM1004" s="9"/>
      <c r="EN1004" s="9"/>
      <c r="EO1004" s="9"/>
      <c r="EP1004" s="9"/>
      <c r="EQ1004" s="9"/>
      <c r="ER1004" s="9"/>
      <c r="ES1004" s="9"/>
      <c r="ET1004" s="9"/>
      <c r="EU1004" s="9"/>
      <c r="EV1004" s="9"/>
      <c r="EW1004" s="9"/>
      <c r="EX1004" s="9"/>
      <c r="EY1004" s="9"/>
      <c r="EZ1004" s="9"/>
      <c r="FA1004" s="9"/>
      <c r="FB1004" s="9"/>
      <c r="FC1004" s="9"/>
      <c r="FD1004" s="9"/>
      <c r="FE1004" s="9"/>
      <c r="FF1004" s="9"/>
      <c r="FG1004" s="9"/>
      <c r="FH1004" s="9"/>
      <c r="FI1004" s="9"/>
      <c r="FJ1004" s="9"/>
      <c r="FK1004" s="9"/>
      <c r="FL1004" s="9"/>
      <c r="FM1004" s="9"/>
      <c r="FN1004" s="9"/>
      <c r="FO1004" s="9"/>
      <c r="FP1004" s="9"/>
      <c r="FQ1004" s="9"/>
      <c r="FR1004" s="9"/>
      <c r="FS1004" s="9"/>
      <c r="FT1004" s="9"/>
      <c r="FU1004" s="9"/>
      <c r="FV1004" s="9"/>
      <c r="FW1004" s="9"/>
      <c r="FX1004" s="9"/>
      <c r="FY1004" s="9"/>
      <c r="FZ1004" s="9"/>
      <c r="GA1004" s="9"/>
      <c r="GB1004" s="9"/>
      <c r="GC1004" s="9"/>
      <c r="GD1004" s="9"/>
      <c r="GE1004" s="9"/>
      <c r="GF1004" s="9"/>
      <c r="GG1004" s="9"/>
      <c r="GH1004" s="9"/>
      <c r="GI1004" s="9"/>
      <c r="GJ1004" s="9"/>
      <c r="GK1004" s="9"/>
      <c r="GL1004" s="9"/>
      <c r="GM1004" s="9"/>
      <c r="GN1004" s="9"/>
      <c r="GO1004" s="9"/>
      <c r="GP1004" s="9"/>
      <c r="GQ1004" s="9"/>
      <c r="GR1004" s="9"/>
      <c r="GS1004" s="9"/>
      <c r="GT1004" s="9"/>
      <c r="GU1004" s="9"/>
      <c r="GV1004" s="9"/>
      <c r="GW1004" s="9"/>
      <c r="GX1004" s="9"/>
      <c r="GY1004" s="9"/>
      <c r="GZ1004" s="9"/>
      <c r="HA1004" s="9"/>
      <c r="HB1004" s="9"/>
      <c r="HC1004" s="9"/>
      <c r="HD1004" s="9"/>
      <c r="HE1004" s="9"/>
      <c r="HF1004" s="9"/>
      <c r="HG1004" s="9"/>
      <c r="HH1004" s="9"/>
      <c r="HI1004" s="9"/>
      <c r="HJ1004" s="9"/>
      <c r="HK1004" s="9"/>
      <c r="HL1004" s="9"/>
      <c r="HM1004" s="9"/>
      <c r="HZ1004" s="58"/>
    </row>
    <row r="1005" spans="140:234">
      <c r="EJ1005" s="9"/>
      <c r="EK1005" s="9"/>
      <c r="EL1005" s="9"/>
      <c r="EM1005" s="9"/>
      <c r="EN1005" s="9"/>
      <c r="EO1005" s="9"/>
      <c r="EP1005" s="9"/>
      <c r="EQ1005" s="9"/>
      <c r="ER1005" s="9"/>
      <c r="ES1005" s="9"/>
      <c r="ET1005" s="9"/>
      <c r="EU1005" s="9"/>
      <c r="EV1005" s="9"/>
      <c r="EW1005" s="9"/>
      <c r="EX1005" s="9"/>
      <c r="EY1005" s="9"/>
      <c r="EZ1005" s="9"/>
      <c r="FA1005" s="9"/>
      <c r="FB1005" s="9"/>
      <c r="FC1005" s="9"/>
      <c r="FD1005" s="9"/>
      <c r="FE1005" s="9"/>
      <c r="FF1005" s="9"/>
      <c r="FG1005" s="9"/>
      <c r="FH1005" s="9"/>
      <c r="FI1005" s="9"/>
      <c r="FJ1005" s="9"/>
      <c r="FK1005" s="9"/>
      <c r="FL1005" s="9"/>
      <c r="FM1005" s="9"/>
      <c r="FN1005" s="9"/>
      <c r="FO1005" s="9"/>
      <c r="FP1005" s="9"/>
      <c r="FQ1005" s="9"/>
      <c r="FR1005" s="9"/>
      <c r="FS1005" s="9"/>
      <c r="FT1005" s="9"/>
      <c r="FU1005" s="9"/>
      <c r="FV1005" s="9"/>
      <c r="FW1005" s="9"/>
      <c r="FX1005" s="9"/>
      <c r="FY1005" s="9"/>
      <c r="FZ1005" s="9"/>
      <c r="GA1005" s="9"/>
      <c r="GB1005" s="9"/>
      <c r="GC1005" s="9"/>
      <c r="GD1005" s="9"/>
      <c r="GE1005" s="9"/>
      <c r="GF1005" s="9"/>
      <c r="GG1005" s="9"/>
      <c r="GH1005" s="9"/>
      <c r="GI1005" s="9"/>
      <c r="GJ1005" s="9"/>
      <c r="GK1005" s="9"/>
      <c r="GL1005" s="9"/>
      <c r="GM1005" s="9"/>
      <c r="GN1005" s="9"/>
      <c r="GO1005" s="9"/>
      <c r="GP1005" s="9"/>
      <c r="GQ1005" s="9"/>
      <c r="GR1005" s="9"/>
      <c r="GS1005" s="9"/>
      <c r="GT1005" s="9"/>
      <c r="GU1005" s="9"/>
      <c r="GV1005" s="9"/>
      <c r="GW1005" s="9"/>
      <c r="GX1005" s="9"/>
      <c r="GY1005" s="9"/>
      <c r="GZ1005" s="9"/>
      <c r="HA1005" s="9"/>
      <c r="HB1005" s="9"/>
      <c r="HC1005" s="9"/>
      <c r="HD1005" s="9"/>
      <c r="HE1005" s="9"/>
      <c r="HF1005" s="9"/>
      <c r="HG1005" s="9"/>
      <c r="HH1005" s="9"/>
      <c r="HI1005" s="9"/>
      <c r="HJ1005" s="9"/>
      <c r="HK1005" s="9"/>
      <c r="HL1005" s="9"/>
      <c r="HM1005" s="9"/>
      <c r="HZ1005" s="58"/>
    </row>
    <row r="1006" spans="140:234">
      <c r="EJ1006" s="9"/>
      <c r="EK1006" s="9"/>
      <c r="EL1006" s="9"/>
      <c r="EM1006" s="9"/>
      <c r="EN1006" s="9"/>
      <c r="EO1006" s="9"/>
      <c r="EP1006" s="9"/>
      <c r="EQ1006" s="9"/>
      <c r="ER1006" s="9"/>
      <c r="ES1006" s="9"/>
      <c r="ET1006" s="9"/>
      <c r="EU1006" s="9"/>
      <c r="EV1006" s="9"/>
      <c r="EW1006" s="9"/>
      <c r="EX1006" s="9"/>
      <c r="EY1006" s="9"/>
      <c r="EZ1006" s="9"/>
      <c r="FA1006" s="9"/>
      <c r="FB1006" s="9"/>
      <c r="FC1006" s="9"/>
      <c r="FD1006" s="9"/>
      <c r="FE1006" s="9"/>
      <c r="FF1006" s="9"/>
      <c r="FG1006" s="9"/>
      <c r="FH1006" s="9"/>
      <c r="FI1006" s="9"/>
      <c r="FJ1006" s="9"/>
      <c r="FK1006" s="9"/>
      <c r="FL1006" s="9"/>
      <c r="FM1006" s="9"/>
      <c r="FN1006" s="9"/>
      <c r="FO1006" s="9"/>
      <c r="FP1006" s="9"/>
      <c r="FQ1006" s="9"/>
      <c r="FR1006" s="9"/>
      <c r="FS1006" s="9"/>
      <c r="FT1006" s="9"/>
      <c r="FU1006" s="9"/>
      <c r="FV1006" s="9"/>
      <c r="FW1006" s="9"/>
      <c r="FX1006" s="9"/>
      <c r="FY1006" s="9"/>
      <c r="FZ1006" s="9"/>
      <c r="GA1006" s="9"/>
      <c r="GB1006" s="9"/>
      <c r="GC1006" s="9"/>
      <c r="GD1006" s="9"/>
      <c r="GE1006" s="9"/>
      <c r="GF1006" s="9"/>
      <c r="GG1006" s="9"/>
      <c r="GH1006" s="9"/>
      <c r="GI1006" s="9"/>
      <c r="GJ1006" s="9"/>
      <c r="GK1006" s="9"/>
      <c r="GL1006" s="9"/>
      <c r="GM1006" s="9"/>
      <c r="GN1006" s="9"/>
      <c r="GO1006" s="9"/>
      <c r="GP1006" s="9"/>
      <c r="GQ1006" s="9"/>
      <c r="GR1006" s="9"/>
      <c r="GS1006" s="9"/>
      <c r="GT1006" s="9"/>
      <c r="GU1006" s="9"/>
      <c r="GV1006" s="9"/>
      <c r="GW1006" s="9"/>
      <c r="GX1006" s="9"/>
      <c r="GY1006" s="9"/>
      <c r="GZ1006" s="9"/>
      <c r="HA1006" s="9"/>
      <c r="HB1006" s="9"/>
      <c r="HC1006" s="9"/>
      <c r="HD1006" s="9"/>
      <c r="HE1006" s="9"/>
      <c r="HF1006" s="9"/>
      <c r="HG1006" s="9"/>
      <c r="HH1006" s="9"/>
      <c r="HI1006" s="9"/>
      <c r="HJ1006" s="9"/>
      <c r="HK1006" s="9"/>
      <c r="HL1006" s="9"/>
      <c r="HM1006" s="9"/>
      <c r="HZ1006" s="58"/>
    </row>
    <row r="1007" spans="140:234">
      <c r="EJ1007" s="9"/>
      <c r="EK1007" s="9"/>
      <c r="EL1007" s="9"/>
      <c r="EM1007" s="9"/>
      <c r="EN1007" s="9"/>
      <c r="EO1007" s="9"/>
      <c r="EP1007" s="9"/>
      <c r="EQ1007" s="9"/>
      <c r="ER1007" s="9"/>
      <c r="ES1007" s="9"/>
      <c r="ET1007" s="9"/>
      <c r="EU1007" s="9"/>
      <c r="EV1007" s="9"/>
      <c r="EW1007" s="9"/>
      <c r="EX1007" s="9"/>
      <c r="EY1007" s="9"/>
      <c r="EZ1007" s="9"/>
      <c r="FA1007" s="9"/>
      <c r="FB1007" s="9"/>
      <c r="FC1007" s="9"/>
      <c r="FD1007" s="9"/>
      <c r="FE1007" s="9"/>
      <c r="FF1007" s="9"/>
      <c r="FG1007" s="9"/>
      <c r="FH1007" s="9"/>
      <c r="FI1007" s="9"/>
      <c r="FJ1007" s="9"/>
      <c r="FK1007" s="9"/>
      <c r="FL1007" s="9"/>
      <c r="FM1007" s="9"/>
      <c r="FN1007" s="9"/>
      <c r="FO1007" s="9"/>
      <c r="FP1007" s="9"/>
      <c r="FQ1007" s="9"/>
      <c r="FR1007" s="9"/>
      <c r="FS1007" s="9"/>
      <c r="FT1007" s="9"/>
      <c r="FU1007" s="9"/>
      <c r="FV1007" s="9"/>
      <c r="FW1007" s="9"/>
      <c r="FX1007" s="9"/>
      <c r="FY1007" s="9"/>
      <c r="FZ1007" s="9"/>
      <c r="GA1007" s="9"/>
      <c r="GB1007" s="9"/>
      <c r="GC1007" s="9"/>
      <c r="GD1007" s="9"/>
      <c r="GE1007" s="9"/>
      <c r="GF1007" s="9"/>
      <c r="GG1007" s="9"/>
      <c r="GH1007" s="9"/>
      <c r="GI1007" s="9"/>
      <c r="GJ1007" s="9"/>
      <c r="GK1007" s="9"/>
      <c r="GL1007" s="9"/>
      <c r="GM1007" s="9"/>
      <c r="GN1007" s="9"/>
      <c r="GO1007" s="9"/>
      <c r="GP1007" s="9"/>
      <c r="GQ1007" s="9"/>
      <c r="GR1007" s="9"/>
      <c r="GS1007" s="9"/>
      <c r="GT1007" s="9"/>
      <c r="GU1007" s="9"/>
      <c r="GV1007" s="9"/>
      <c r="GW1007" s="9"/>
      <c r="GX1007" s="9"/>
      <c r="GY1007" s="9"/>
      <c r="GZ1007" s="9"/>
      <c r="HA1007" s="9"/>
      <c r="HB1007" s="9"/>
      <c r="HC1007" s="9"/>
      <c r="HD1007" s="9"/>
      <c r="HE1007" s="9"/>
      <c r="HF1007" s="9"/>
      <c r="HG1007" s="9"/>
      <c r="HH1007" s="9"/>
      <c r="HI1007" s="9"/>
      <c r="HJ1007" s="9"/>
      <c r="HK1007" s="9"/>
      <c r="HL1007" s="9"/>
      <c r="HM1007" s="9"/>
      <c r="HZ1007" s="58"/>
    </row>
    <row r="1008" spans="140:234">
      <c r="EJ1008" s="9"/>
      <c r="EK1008" s="9"/>
      <c r="EL1008" s="9"/>
      <c r="EM1008" s="9"/>
      <c r="EN1008" s="9"/>
      <c r="EO1008" s="9"/>
      <c r="EP1008" s="9"/>
      <c r="EQ1008" s="9"/>
      <c r="ER1008" s="9"/>
      <c r="ES1008" s="9"/>
      <c r="ET1008" s="9"/>
      <c r="EU1008" s="9"/>
      <c r="EV1008" s="9"/>
      <c r="EW1008" s="9"/>
      <c r="EX1008" s="9"/>
      <c r="EY1008" s="9"/>
      <c r="EZ1008" s="9"/>
      <c r="FA1008" s="9"/>
      <c r="FB1008" s="9"/>
      <c r="FC1008" s="9"/>
      <c r="FD1008" s="9"/>
      <c r="FE1008" s="9"/>
      <c r="FF1008" s="9"/>
      <c r="FG1008" s="9"/>
      <c r="FH1008" s="9"/>
      <c r="FI1008" s="9"/>
      <c r="FJ1008" s="9"/>
      <c r="FK1008" s="9"/>
      <c r="FL1008" s="9"/>
      <c r="FM1008" s="9"/>
      <c r="FN1008" s="9"/>
      <c r="FO1008" s="9"/>
      <c r="FP1008" s="9"/>
      <c r="FQ1008" s="9"/>
      <c r="FR1008" s="9"/>
      <c r="FS1008" s="9"/>
      <c r="FT1008" s="9"/>
      <c r="FU1008" s="9"/>
      <c r="FV1008" s="9"/>
      <c r="FW1008" s="9"/>
      <c r="FX1008" s="9"/>
      <c r="FY1008" s="9"/>
      <c r="FZ1008" s="9"/>
      <c r="GA1008" s="9"/>
      <c r="GB1008" s="9"/>
      <c r="GC1008" s="9"/>
      <c r="GD1008" s="9"/>
      <c r="GE1008" s="9"/>
      <c r="GF1008" s="9"/>
      <c r="GG1008" s="9"/>
      <c r="GH1008" s="9"/>
      <c r="GI1008" s="9"/>
      <c r="GJ1008" s="9"/>
      <c r="GK1008" s="9"/>
      <c r="GL1008" s="9"/>
      <c r="GM1008" s="9"/>
      <c r="GN1008" s="9"/>
      <c r="GO1008" s="9"/>
      <c r="GP1008" s="9"/>
      <c r="GQ1008" s="9"/>
      <c r="GR1008" s="9"/>
      <c r="GS1008" s="9"/>
      <c r="GT1008" s="9"/>
      <c r="GU1008" s="9"/>
      <c r="GV1008" s="9"/>
      <c r="GW1008" s="9"/>
      <c r="GX1008" s="9"/>
      <c r="GY1008" s="9"/>
      <c r="GZ1008" s="9"/>
      <c r="HA1008" s="9"/>
      <c r="HB1008" s="9"/>
      <c r="HC1008" s="9"/>
      <c r="HD1008" s="9"/>
      <c r="HE1008" s="9"/>
      <c r="HF1008" s="9"/>
      <c r="HG1008" s="9"/>
      <c r="HH1008" s="9"/>
      <c r="HI1008" s="9"/>
      <c r="HJ1008" s="9"/>
      <c r="HK1008" s="9"/>
      <c r="HL1008" s="9"/>
      <c r="HM1008" s="9"/>
      <c r="HZ1008" s="58"/>
    </row>
    <row r="1009" spans="140:234">
      <c r="EJ1009" s="9"/>
      <c r="EK1009" s="9"/>
      <c r="EL1009" s="9"/>
      <c r="EM1009" s="9"/>
      <c r="EN1009" s="9"/>
      <c r="EO1009" s="9"/>
      <c r="EP1009" s="9"/>
      <c r="EQ1009" s="9"/>
      <c r="ER1009" s="9"/>
      <c r="ES1009" s="9"/>
      <c r="ET1009" s="9"/>
      <c r="EU1009" s="9"/>
      <c r="EV1009" s="9"/>
      <c r="EW1009" s="9"/>
      <c r="EX1009" s="9"/>
      <c r="EY1009" s="9"/>
      <c r="EZ1009" s="9"/>
      <c r="FA1009" s="9"/>
      <c r="FB1009" s="9"/>
      <c r="FC1009" s="9"/>
      <c r="FD1009" s="9"/>
      <c r="FE1009" s="9"/>
      <c r="FF1009" s="9"/>
      <c r="FG1009" s="9"/>
      <c r="FH1009" s="9"/>
      <c r="FI1009" s="9"/>
      <c r="FJ1009" s="9"/>
      <c r="FK1009" s="9"/>
      <c r="FL1009" s="9"/>
      <c r="FM1009" s="9"/>
      <c r="FN1009" s="9"/>
      <c r="FO1009" s="9"/>
      <c r="FP1009" s="9"/>
      <c r="FQ1009" s="9"/>
      <c r="FR1009" s="9"/>
      <c r="FS1009" s="9"/>
      <c r="FT1009" s="9"/>
      <c r="FU1009" s="9"/>
      <c r="FV1009" s="9"/>
      <c r="FW1009" s="9"/>
      <c r="FX1009" s="9"/>
      <c r="FY1009" s="9"/>
      <c r="FZ1009" s="9"/>
      <c r="GA1009" s="9"/>
      <c r="GB1009" s="9"/>
      <c r="GC1009" s="9"/>
      <c r="GD1009" s="9"/>
      <c r="GE1009" s="9"/>
      <c r="GF1009" s="9"/>
      <c r="GG1009" s="9"/>
      <c r="GH1009" s="9"/>
      <c r="GI1009" s="9"/>
      <c r="GJ1009" s="9"/>
      <c r="GK1009" s="9"/>
      <c r="GL1009" s="9"/>
      <c r="GM1009" s="9"/>
      <c r="GN1009" s="9"/>
      <c r="GO1009" s="9"/>
      <c r="GP1009" s="9"/>
      <c r="GQ1009" s="9"/>
      <c r="GR1009" s="9"/>
      <c r="GS1009" s="9"/>
      <c r="GT1009" s="9"/>
      <c r="GU1009" s="9"/>
      <c r="GV1009" s="9"/>
      <c r="GW1009" s="9"/>
      <c r="GX1009" s="9"/>
      <c r="GY1009" s="9"/>
      <c r="GZ1009" s="9"/>
      <c r="HA1009" s="9"/>
      <c r="HB1009" s="9"/>
      <c r="HC1009" s="9"/>
      <c r="HD1009" s="9"/>
      <c r="HE1009" s="9"/>
      <c r="HF1009" s="9"/>
      <c r="HG1009" s="9"/>
      <c r="HH1009" s="9"/>
      <c r="HI1009" s="9"/>
      <c r="HJ1009" s="9"/>
      <c r="HK1009" s="9"/>
      <c r="HL1009" s="9"/>
      <c r="HM1009" s="9"/>
      <c r="HZ1009" s="58"/>
    </row>
    <row r="1010" spans="140:234">
      <c r="EJ1010" s="9"/>
      <c r="EK1010" s="9"/>
      <c r="EL1010" s="9"/>
      <c r="EM1010" s="9"/>
      <c r="EN1010" s="9"/>
      <c r="EO1010" s="9"/>
      <c r="EP1010" s="9"/>
      <c r="EQ1010" s="9"/>
      <c r="ER1010" s="9"/>
      <c r="ES1010" s="9"/>
      <c r="ET1010" s="9"/>
      <c r="EU1010" s="9"/>
      <c r="EV1010" s="9"/>
      <c r="EW1010" s="9"/>
      <c r="EX1010" s="9"/>
      <c r="EY1010" s="9"/>
      <c r="EZ1010" s="9"/>
      <c r="FA1010" s="9"/>
      <c r="FB1010" s="9"/>
      <c r="FC1010" s="9"/>
      <c r="FD1010" s="9"/>
      <c r="FE1010" s="9"/>
      <c r="FF1010" s="9"/>
      <c r="FG1010" s="9"/>
      <c r="FH1010" s="9"/>
      <c r="FI1010" s="9"/>
      <c r="FJ1010" s="9"/>
      <c r="FK1010" s="9"/>
      <c r="FL1010" s="9"/>
      <c r="FM1010" s="9"/>
      <c r="FN1010" s="9"/>
      <c r="FO1010" s="9"/>
      <c r="FP1010" s="9"/>
      <c r="FQ1010" s="9"/>
      <c r="FR1010" s="9"/>
      <c r="FS1010" s="9"/>
      <c r="FT1010" s="9"/>
      <c r="FU1010" s="9"/>
      <c r="FV1010" s="9"/>
      <c r="FW1010" s="9"/>
      <c r="FX1010" s="9"/>
      <c r="FY1010" s="9"/>
      <c r="FZ1010" s="9"/>
      <c r="GA1010" s="9"/>
      <c r="GB1010" s="9"/>
      <c r="GC1010" s="9"/>
      <c r="GD1010" s="9"/>
      <c r="GE1010" s="9"/>
      <c r="GF1010" s="9"/>
      <c r="GG1010" s="9"/>
      <c r="GH1010" s="9"/>
      <c r="GI1010" s="9"/>
      <c r="GJ1010" s="9"/>
      <c r="GK1010" s="9"/>
      <c r="GL1010" s="9"/>
      <c r="GM1010" s="9"/>
      <c r="GN1010" s="9"/>
      <c r="GO1010" s="9"/>
      <c r="GP1010" s="9"/>
      <c r="GQ1010" s="9"/>
      <c r="GR1010" s="9"/>
      <c r="GS1010" s="9"/>
      <c r="GT1010" s="9"/>
      <c r="GU1010" s="9"/>
      <c r="GV1010" s="9"/>
      <c r="GW1010" s="9"/>
      <c r="GX1010" s="9"/>
      <c r="GY1010" s="9"/>
      <c r="GZ1010" s="9"/>
      <c r="HA1010" s="9"/>
      <c r="HB1010" s="9"/>
      <c r="HC1010" s="9"/>
      <c r="HD1010" s="9"/>
      <c r="HE1010" s="9"/>
      <c r="HF1010" s="9"/>
      <c r="HG1010" s="9"/>
      <c r="HH1010" s="9"/>
      <c r="HI1010" s="9"/>
      <c r="HJ1010" s="9"/>
      <c r="HK1010" s="9"/>
      <c r="HL1010" s="9"/>
      <c r="HM1010" s="9"/>
      <c r="HZ1010" s="58"/>
    </row>
    <row r="1011" spans="140:234">
      <c r="EJ1011" s="9"/>
      <c r="EK1011" s="9"/>
      <c r="EL1011" s="9"/>
      <c r="EM1011" s="9"/>
      <c r="EN1011" s="9"/>
      <c r="EO1011" s="9"/>
      <c r="EP1011" s="9"/>
      <c r="EQ1011" s="9"/>
      <c r="ER1011" s="9"/>
      <c r="ES1011" s="9"/>
      <c r="ET1011" s="9"/>
      <c r="EU1011" s="9"/>
      <c r="EV1011" s="9"/>
      <c r="EW1011" s="9"/>
      <c r="EX1011" s="9"/>
      <c r="EY1011" s="9"/>
      <c r="EZ1011" s="9"/>
      <c r="FA1011" s="9"/>
      <c r="FB1011" s="9"/>
      <c r="FC1011" s="9"/>
      <c r="FD1011" s="9"/>
      <c r="FE1011" s="9"/>
      <c r="FF1011" s="9"/>
      <c r="FG1011" s="9"/>
      <c r="FH1011" s="9"/>
      <c r="FI1011" s="9"/>
      <c r="FJ1011" s="9"/>
      <c r="FK1011" s="9"/>
      <c r="FL1011" s="9"/>
      <c r="FM1011" s="9"/>
      <c r="FN1011" s="9"/>
      <c r="FO1011" s="9"/>
      <c r="FP1011" s="9"/>
      <c r="FQ1011" s="9"/>
      <c r="FR1011" s="9"/>
      <c r="FS1011" s="9"/>
      <c r="FT1011" s="9"/>
      <c r="FU1011" s="9"/>
      <c r="FV1011" s="9"/>
      <c r="FW1011" s="9"/>
      <c r="FX1011" s="9"/>
      <c r="FY1011" s="9"/>
      <c r="FZ1011" s="9"/>
      <c r="GA1011" s="9"/>
      <c r="GB1011" s="9"/>
      <c r="GC1011" s="9"/>
      <c r="GD1011" s="9"/>
      <c r="GE1011" s="9"/>
      <c r="GF1011" s="9"/>
      <c r="GG1011" s="9"/>
      <c r="GH1011" s="9"/>
      <c r="GI1011" s="9"/>
      <c r="GJ1011" s="9"/>
      <c r="GK1011" s="9"/>
      <c r="GL1011" s="9"/>
      <c r="GM1011" s="9"/>
      <c r="GN1011" s="9"/>
      <c r="GO1011" s="9"/>
      <c r="GP1011" s="9"/>
      <c r="GQ1011" s="9"/>
      <c r="GR1011" s="9"/>
      <c r="GS1011" s="9"/>
      <c r="GT1011" s="9"/>
      <c r="GU1011" s="9"/>
      <c r="GV1011" s="9"/>
      <c r="GW1011" s="9"/>
      <c r="GX1011" s="9"/>
      <c r="GY1011" s="9"/>
      <c r="GZ1011" s="9"/>
      <c r="HA1011" s="9"/>
      <c r="HB1011" s="9"/>
      <c r="HC1011" s="9"/>
      <c r="HD1011" s="9"/>
      <c r="HE1011" s="9"/>
      <c r="HF1011" s="9"/>
      <c r="HG1011" s="9"/>
      <c r="HH1011" s="9"/>
      <c r="HI1011" s="9"/>
      <c r="HJ1011" s="9"/>
      <c r="HK1011" s="9"/>
      <c r="HL1011" s="9"/>
      <c r="HM1011" s="9"/>
      <c r="HZ1011" s="58"/>
    </row>
    <row r="1012" spans="140:234">
      <c r="EJ1012" s="9"/>
      <c r="EK1012" s="9"/>
      <c r="EL1012" s="9"/>
      <c r="EM1012" s="9"/>
      <c r="EN1012" s="9"/>
      <c r="EO1012" s="9"/>
      <c r="EP1012" s="9"/>
      <c r="EQ1012" s="9"/>
      <c r="ER1012" s="9"/>
      <c r="ES1012" s="9"/>
      <c r="ET1012" s="9"/>
      <c r="EU1012" s="9"/>
      <c r="EV1012" s="9"/>
      <c r="EW1012" s="9"/>
      <c r="EX1012" s="9"/>
      <c r="EY1012" s="9"/>
      <c r="EZ1012" s="9"/>
      <c r="FA1012" s="9"/>
      <c r="FB1012" s="9"/>
      <c r="FC1012" s="9"/>
      <c r="FD1012" s="9"/>
      <c r="FE1012" s="9"/>
      <c r="FF1012" s="9"/>
      <c r="FG1012" s="9"/>
      <c r="FH1012" s="9"/>
      <c r="FI1012" s="9"/>
      <c r="FJ1012" s="9"/>
      <c r="FK1012" s="9"/>
      <c r="FL1012" s="9"/>
      <c r="FM1012" s="9"/>
      <c r="FN1012" s="9"/>
      <c r="FO1012" s="9"/>
      <c r="FP1012" s="9"/>
      <c r="FQ1012" s="9"/>
      <c r="FR1012" s="9"/>
      <c r="FS1012" s="9"/>
      <c r="FT1012" s="9"/>
      <c r="FU1012" s="9"/>
      <c r="FV1012" s="9"/>
      <c r="FW1012" s="9"/>
      <c r="FX1012" s="9"/>
      <c r="FY1012" s="9"/>
      <c r="FZ1012" s="9"/>
      <c r="GA1012" s="9"/>
      <c r="GB1012" s="9"/>
      <c r="GC1012" s="9"/>
      <c r="GD1012" s="9"/>
      <c r="GE1012" s="9"/>
      <c r="GF1012" s="9"/>
      <c r="GG1012" s="9"/>
      <c r="GH1012" s="9"/>
      <c r="GI1012" s="9"/>
      <c r="GJ1012" s="9"/>
      <c r="GK1012" s="9"/>
      <c r="GL1012" s="9"/>
      <c r="GM1012" s="9"/>
      <c r="GN1012" s="9"/>
      <c r="GO1012" s="9"/>
      <c r="GP1012" s="9"/>
      <c r="GQ1012" s="9"/>
      <c r="GR1012" s="9"/>
      <c r="GS1012" s="9"/>
      <c r="GT1012" s="9"/>
      <c r="GU1012" s="9"/>
      <c r="GV1012" s="9"/>
      <c r="GW1012" s="9"/>
      <c r="GX1012" s="9"/>
      <c r="GY1012" s="9"/>
      <c r="GZ1012" s="9"/>
      <c r="HA1012" s="9"/>
      <c r="HB1012" s="9"/>
      <c r="HC1012" s="9"/>
      <c r="HD1012" s="9"/>
      <c r="HE1012" s="9"/>
      <c r="HF1012" s="9"/>
      <c r="HG1012" s="9"/>
      <c r="HH1012" s="9"/>
      <c r="HI1012" s="9"/>
      <c r="HJ1012" s="9"/>
      <c r="HK1012" s="9"/>
      <c r="HL1012" s="9"/>
      <c r="HM1012" s="9"/>
      <c r="HZ1012" s="58"/>
    </row>
    <row r="1013" spans="140:234">
      <c r="EJ1013" s="9"/>
      <c r="EK1013" s="9"/>
      <c r="EL1013" s="9"/>
      <c r="EM1013" s="9"/>
      <c r="EN1013" s="9"/>
      <c r="EO1013" s="9"/>
      <c r="EP1013" s="9"/>
      <c r="EQ1013" s="9"/>
      <c r="ER1013" s="9"/>
      <c r="ES1013" s="9"/>
      <c r="ET1013" s="9"/>
      <c r="EU1013" s="9"/>
      <c r="EV1013" s="9"/>
      <c r="EW1013" s="9"/>
      <c r="EX1013" s="9"/>
      <c r="EY1013" s="9"/>
      <c r="EZ1013" s="9"/>
      <c r="FA1013" s="9"/>
      <c r="FB1013" s="9"/>
      <c r="FC1013" s="9"/>
      <c r="FD1013" s="9"/>
      <c r="FE1013" s="9"/>
      <c r="FF1013" s="9"/>
      <c r="FG1013" s="9"/>
      <c r="FH1013" s="9"/>
      <c r="FI1013" s="9"/>
      <c r="FJ1013" s="9"/>
      <c r="FK1013" s="9"/>
      <c r="FL1013" s="9"/>
      <c r="FM1013" s="9"/>
      <c r="FN1013" s="9"/>
      <c r="FO1013" s="9"/>
      <c r="FP1013" s="9"/>
      <c r="FQ1013" s="9"/>
      <c r="FR1013" s="9"/>
      <c r="FS1013" s="9"/>
      <c r="FT1013" s="9"/>
      <c r="FU1013" s="9"/>
      <c r="FV1013" s="9"/>
      <c r="FW1013" s="9"/>
      <c r="FX1013" s="9"/>
      <c r="FY1013" s="9"/>
      <c r="FZ1013" s="9"/>
      <c r="GA1013" s="9"/>
      <c r="GB1013" s="9"/>
      <c r="GC1013" s="9"/>
      <c r="GD1013" s="9"/>
      <c r="GE1013" s="9"/>
      <c r="GF1013" s="9"/>
      <c r="GG1013" s="9"/>
      <c r="GH1013" s="9"/>
      <c r="GI1013" s="9"/>
      <c r="GJ1013" s="9"/>
      <c r="GK1013" s="9"/>
      <c r="GL1013" s="9"/>
      <c r="GM1013" s="9"/>
      <c r="GN1013" s="9"/>
      <c r="GO1013" s="9"/>
      <c r="GP1013" s="9"/>
      <c r="GQ1013" s="9"/>
      <c r="GR1013" s="9"/>
      <c r="GS1013" s="9"/>
      <c r="GT1013" s="9"/>
      <c r="GU1013" s="9"/>
      <c r="GV1013" s="9"/>
      <c r="GW1013" s="9"/>
      <c r="GX1013" s="9"/>
      <c r="GY1013" s="9"/>
      <c r="GZ1013" s="9"/>
      <c r="HA1013" s="9"/>
      <c r="HB1013" s="9"/>
      <c r="HC1013" s="9"/>
      <c r="HD1013" s="9"/>
      <c r="HE1013" s="9"/>
      <c r="HF1013" s="9"/>
      <c r="HG1013" s="9"/>
      <c r="HH1013" s="9"/>
      <c r="HI1013" s="9"/>
      <c r="HJ1013" s="9"/>
      <c r="HK1013" s="9"/>
      <c r="HL1013" s="9"/>
      <c r="HM1013" s="9"/>
      <c r="HZ1013" s="58"/>
    </row>
    <row r="1014" spans="140:234">
      <c r="EJ1014" s="9"/>
      <c r="EK1014" s="9"/>
      <c r="EL1014" s="9"/>
      <c r="EM1014" s="9"/>
      <c r="EN1014" s="9"/>
      <c r="EO1014" s="9"/>
      <c r="EP1014" s="9"/>
      <c r="EQ1014" s="9"/>
      <c r="ER1014" s="9"/>
      <c r="ES1014" s="9"/>
      <c r="ET1014" s="9"/>
      <c r="EU1014" s="9"/>
      <c r="EV1014" s="9"/>
      <c r="EW1014" s="9"/>
      <c r="EX1014" s="9"/>
      <c r="EY1014" s="9"/>
      <c r="EZ1014" s="9"/>
      <c r="FA1014" s="9"/>
      <c r="FB1014" s="9"/>
      <c r="FC1014" s="9"/>
      <c r="FD1014" s="9"/>
      <c r="FE1014" s="9"/>
      <c r="FF1014" s="9"/>
      <c r="FG1014" s="9"/>
      <c r="FH1014" s="9"/>
      <c r="FI1014" s="9"/>
      <c r="FJ1014" s="9"/>
      <c r="FK1014" s="9"/>
      <c r="FL1014" s="9"/>
      <c r="FM1014" s="9"/>
      <c r="FN1014" s="9"/>
      <c r="FO1014" s="9"/>
      <c r="FP1014" s="9"/>
      <c r="FQ1014" s="9"/>
      <c r="FR1014" s="9"/>
      <c r="FS1014" s="9"/>
      <c r="FT1014" s="9"/>
      <c r="FU1014" s="9"/>
      <c r="FV1014" s="9"/>
      <c r="FW1014" s="9"/>
      <c r="FX1014" s="9"/>
      <c r="FY1014" s="9"/>
      <c r="FZ1014" s="9"/>
      <c r="GA1014" s="9"/>
      <c r="GB1014" s="9"/>
      <c r="GC1014" s="9"/>
      <c r="GD1014" s="9"/>
      <c r="GE1014" s="9"/>
      <c r="GF1014" s="9"/>
      <c r="GG1014" s="9"/>
      <c r="GH1014" s="9"/>
      <c r="GI1014" s="9"/>
      <c r="GJ1014" s="9"/>
      <c r="GK1014" s="9"/>
      <c r="GL1014" s="9"/>
      <c r="GM1014" s="9"/>
      <c r="GN1014" s="9"/>
      <c r="GO1014" s="9"/>
      <c r="GP1014" s="9"/>
      <c r="GQ1014" s="9"/>
      <c r="GR1014" s="9"/>
      <c r="GS1014" s="9"/>
      <c r="GT1014" s="9"/>
      <c r="GU1014" s="9"/>
      <c r="GV1014" s="9"/>
      <c r="GW1014" s="9"/>
      <c r="GX1014" s="9"/>
      <c r="GY1014" s="9"/>
      <c r="GZ1014" s="9"/>
      <c r="HA1014" s="9"/>
      <c r="HB1014" s="9"/>
      <c r="HC1014" s="9"/>
      <c r="HD1014" s="9"/>
      <c r="HE1014" s="9"/>
      <c r="HF1014" s="9"/>
      <c r="HG1014" s="9"/>
      <c r="HH1014" s="9"/>
      <c r="HI1014" s="9"/>
      <c r="HJ1014" s="9"/>
      <c r="HK1014" s="9"/>
      <c r="HL1014" s="9"/>
      <c r="HM1014" s="9"/>
      <c r="HZ1014" s="58"/>
    </row>
    <row r="1015" spans="140:234">
      <c r="EJ1015" s="9"/>
      <c r="EK1015" s="9"/>
      <c r="EL1015" s="9"/>
      <c r="EM1015" s="9"/>
      <c r="EN1015" s="9"/>
      <c r="EO1015" s="9"/>
      <c r="EP1015" s="9"/>
      <c r="EQ1015" s="9"/>
      <c r="ER1015" s="9"/>
      <c r="ES1015" s="9"/>
      <c r="ET1015" s="9"/>
      <c r="EU1015" s="9"/>
      <c r="EV1015" s="9"/>
      <c r="EW1015" s="9"/>
      <c r="EX1015" s="9"/>
      <c r="EY1015" s="9"/>
      <c r="EZ1015" s="9"/>
      <c r="FA1015" s="9"/>
      <c r="FB1015" s="9"/>
      <c r="FC1015" s="9"/>
      <c r="FD1015" s="9"/>
      <c r="FE1015" s="9"/>
      <c r="FF1015" s="9"/>
      <c r="FG1015" s="9"/>
      <c r="FH1015" s="9"/>
      <c r="FI1015" s="9"/>
      <c r="FJ1015" s="9"/>
      <c r="FK1015" s="9"/>
      <c r="FL1015" s="9"/>
      <c r="FM1015" s="9"/>
      <c r="FN1015" s="9"/>
      <c r="FO1015" s="9"/>
      <c r="FP1015" s="9"/>
      <c r="FQ1015" s="9"/>
      <c r="FR1015" s="9"/>
      <c r="FS1015" s="9"/>
      <c r="FT1015" s="9"/>
      <c r="FU1015" s="9"/>
      <c r="FV1015" s="9"/>
      <c r="FW1015" s="9"/>
      <c r="FX1015" s="9"/>
      <c r="FY1015" s="9"/>
      <c r="FZ1015" s="9"/>
      <c r="GA1015" s="9"/>
      <c r="GB1015" s="9"/>
      <c r="GC1015" s="9"/>
      <c r="GD1015" s="9"/>
      <c r="GE1015" s="9"/>
      <c r="GF1015" s="9"/>
      <c r="GG1015" s="9"/>
      <c r="GH1015" s="9"/>
      <c r="GI1015" s="9"/>
      <c r="GJ1015" s="9"/>
      <c r="GK1015" s="9"/>
      <c r="GL1015" s="9"/>
      <c r="GM1015" s="9"/>
      <c r="GN1015" s="9"/>
      <c r="GO1015" s="9"/>
      <c r="GP1015" s="9"/>
      <c r="GQ1015" s="9"/>
      <c r="GR1015" s="9"/>
      <c r="GS1015" s="9"/>
      <c r="GT1015" s="9"/>
      <c r="GU1015" s="9"/>
      <c r="GV1015" s="9"/>
      <c r="GW1015" s="9"/>
      <c r="GX1015" s="9"/>
      <c r="GY1015" s="9"/>
      <c r="GZ1015" s="9"/>
      <c r="HA1015" s="9"/>
      <c r="HB1015" s="9"/>
      <c r="HC1015" s="9"/>
      <c r="HD1015" s="9"/>
      <c r="HE1015" s="9"/>
      <c r="HF1015" s="9"/>
      <c r="HG1015" s="9"/>
      <c r="HH1015" s="9"/>
      <c r="HI1015" s="9"/>
      <c r="HJ1015" s="9"/>
      <c r="HK1015" s="9"/>
      <c r="HL1015" s="9"/>
      <c r="HM1015" s="9"/>
      <c r="HZ1015" s="58"/>
    </row>
    <row r="1016" spans="140:234">
      <c r="EJ1016" s="9"/>
      <c r="EK1016" s="9"/>
      <c r="EL1016" s="9"/>
      <c r="EM1016" s="9"/>
      <c r="EN1016" s="9"/>
      <c r="EO1016" s="9"/>
      <c r="EP1016" s="9"/>
      <c r="EQ1016" s="9"/>
      <c r="ER1016" s="9"/>
      <c r="ES1016" s="9"/>
      <c r="ET1016" s="9"/>
      <c r="EU1016" s="9"/>
      <c r="EV1016" s="9"/>
      <c r="EW1016" s="9"/>
      <c r="EX1016" s="9"/>
      <c r="EY1016" s="9"/>
      <c r="EZ1016" s="9"/>
      <c r="FA1016" s="9"/>
      <c r="FB1016" s="9"/>
      <c r="FC1016" s="9"/>
      <c r="FD1016" s="9"/>
      <c r="FE1016" s="9"/>
      <c r="FF1016" s="9"/>
      <c r="FG1016" s="9"/>
      <c r="FH1016" s="9"/>
      <c r="FI1016" s="9"/>
      <c r="FJ1016" s="9"/>
      <c r="FK1016" s="9"/>
      <c r="FL1016" s="9"/>
      <c r="FM1016" s="9"/>
      <c r="FN1016" s="9"/>
      <c r="FO1016" s="9"/>
      <c r="FP1016" s="9"/>
      <c r="FQ1016" s="9"/>
      <c r="FR1016" s="9"/>
      <c r="FS1016" s="9"/>
      <c r="FT1016" s="9"/>
      <c r="FU1016" s="9"/>
      <c r="FV1016" s="9"/>
      <c r="FW1016" s="9"/>
      <c r="FX1016" s="9"/>
      <c r="FY1016" s="9"/>
      <c r="FZ1016" s="9"/>
      <c r="GA1016" s="9"/>
      <c r="GB1016" s="9"/>
      <c r="GC1016" s="9"/>
      <c r="GD1016" s="9"/>
      <c r="GE1016" s="9"/>
      <c r="GF1016" s="9"/>
      <c r="GG1016" s="9"/>
      <c r="GH1016" s="9"/>
      <c r="GI1016" s="9"/>
      <c r="GJ1016" s="9"/>
      <c r="GK1016" s="9"/>
      <c r="GL1016" s="9"/>
      <c r="GM1016" s="9"/>
      <c r="GN1016" s="9"/>
      <c r="GO1016" s="9"/>
      <c r="GP1016" s="9"/>
      <c r="GQ1016" s="9"/>
      <c r="GR1016" s="9"/>
      <c r="GS1016" s="9"/>
      <c r="GT1016" s="9"/>
      <c r="GU1016" s="9"/>
      <c r="GV1016" s="9"/>
      <c r="GW1016" s="9"/>
      <c r="GX1016" s="9"/>
      <c r="GY1016" s="9"/>
      <c r="GZ1016" s="9"/>
      <c r="HA1016" s="9"/>
      <c r="HB1016" s="9"/>
      <c r="HC1016" s="9"/>
      <c r="HD1016" s="9"/>
      <c r="HE1016" s="9"/>
      <c r="HF1016" s="9"/>
      <c r="HG1016" s="9"/>
      <c r="HH1016" s="9"/>
      <c r="HI1016" s="9"/>
      <c r="HJ1016" s="9"/>
      <c r="HK1016" s="9"/>
      <c r="HL1016" s="9"/>
      <c r="HM1016" s="9"/>
      <c r="HZ1016" s="58"/>
    </row>
    <row r="1017" spans="140:234">
      <c r="EJ1017" s="9"/>
      <c r="EK1017" s="9"/>
      <c r="EL1017" s="9"/>
      <c r="EM1017" s="9"/>
      <c r="EN1017" s="9"/>
      <c r="EO1017" s="9"/>
      <c r="EP1017" s="9"/>
      <c r="EQ1017" s="9"/>
      <c r="ER1017" s="9"/>
      <c r="ES1017" s="9"/>
      <c r="ET1017" s="9"/>
      <c r="EU1017" s="9"/>
      <c r="EV1017" s="9"/>
      <c r="EW1017" s="9"/>
      <c r="EX1017" s="9"/>
      <c r="EY1017" s="9"/>
      <c r="EZ1017" s="9"/>
      <c r="FA1017" s="9"/>
      <c r="FB1017" s="9"/>
      <c r="FC1017" s="9"/>
      <c r="FD1017" s="9"/>
      <c r="FE1017" s="9"/>
      <c r="FF1017" s="9"/>
      <c r="FG1017" s="9"/>
      <c r="FH1017" s="9"/>
      <c r="FI1017" s="9"/>
      <c r="FJ1017" s="9"/>
      <c r="FK1017" s="9"/>
      <c r="FL1017" s="9"/>
      <c r="FM1017" s="9"/>
      <c r="FN1017" s="9"/>
      <c r="FO1017" s="9"/>
      <c r="FP1017" s="9"/>
      <c r="FQ1017" s="9"/>
      <c r="FR1017" s="9"/>
      <c r="FS1017" s="9"/>
      <c r="FT1017" s="9"/>
      <c r="FU1017" s="9"/>
      <c r="FV1017" s="9"/>
      <c r="FW1017" s="9"/>
      <c r="FX1017" s="9"/>
      <c r="FY1017" s="9"/>
      <c r="FZ1017" s="9"/>
      <c r="GA1017" s="9"/>
      <c r="GB1017" s="9"/>
      <c r="GC1017" s="9"/>
      <c r="GD1017" s="9"/>
      <c r="GE1017" s="9"/>
      <c r="GF1017" s="9"/>
      <c r="GG1017" s="9"/>
      <c r="GH1017" s="9"/>
      <c r="GI1017" s="9"/>
      <c r="GJ1017" s="9"/>
      <c r="GK1017" s="9"/>
      <c r="GL1017" s="9"/>
      <c r="GM1017" s="9"/>
      <c r="GN1017" s="9"/>
      <c r="GO1017" s="9"/>
      <c r="GP1017" s="9"/>
      <c r="GQ1017" s="9"/>
      <c r="GR1017" s="9"/>
      <c r="GS1017" s="9"/>
      <c r="GT1017" s="9"/>
      <c r="GU1017" s="9"/>
      <c r="GV1017" s="9"/>
      <c r="GW1017" s="9"/>
      <c r="GX1017" s="9"/>
      <c r="GY1017" s="9"/>
      <c r="GZ1017" s="9"/>
      <c r="HA1017" s="9"/>
      <c r="HB1017" s="9"/>
      <c r="HC1017" s="9"/>
      <c r="HD1017" s="9"/>
      <c r="HE1017" s="9"/>
      <c r="HF1017" s="9"/>
      <c r="HG1017" s="9"/>
      <c r="HH1017" s="9"/>
      <c r="HI1017" s="9"/>
      <c r="HJ1017" s="9"/>
      <c r="HK1017" s="9"/>
      <c r="HL1017" s="9"/>
      <c r="HM1017" s="9"/>
      <c r="HZ1017" s="58"/>
    </row>
    <row r="1018" spans="140:234">
      <c r="EJ1018" s="9"/>
      <c r="EK1018" s="9"/>
      <c r="EL1018" s="9"/>
      <c r="EM1018" s="9"/>
      <c r="EN1018" s="9"/>
      <c r="EO1018" s="9"/>
      <c r="EP1018" s="9"/>
      <c r="EQ1018" s="9"/>
      <c r="ER1018" s="9"/>
      <c r="ES1018" s="9"/>
      <c r="ET1018" s="9"/>
      <c r="EU1018" s="9"/>
      <c r="EV1018" s="9"/>
      <c r="EW1018" s="9"/>
      <c r="EX1018" s="9"/>
      <c r="EY1018" s="9"/>
      <c r="EZ1018" s="9"/>
      <c r="FA1018" s="9"/>
      <c r="FB1018" s="9"/>
      <c r="FC1018" s="9"/>
      <c r="FD1018" s="9"/>
      <c r="FE1018" s="9"/>
      <c r="FF1018" s="9"/>
      <c r="FG1018" s="9"/>
      <c r="FH1018" s="9"/>
      <c r="FI1018" s="9"/>
      <c r="FJ1018" s="9"/>
      <c r="FK1018" s="9"/>
      <c r="FL1018" s="9"/>
      <c r="FM1018" s="9"/>
      <c r="FN1018" s="9"/>
      <c r="FO1018" s="9"/>
      <c r="FP1018" s="9"/>
      <c r="FQ1018" s="9"/>
      <c r="FR1018" s="9"/>
      <c r="FS1018" s="9"/>
      <c r="FT1018" s="9"/>
      <c r="FU1018" s="9"/>
      <c r="FV1018" s="9"/>
      <c r="FW1018" s="9"/>
      <c r="FX1018" s="9"/>
      <c r="FY1018" s="9"/>
      <c r="FZ1018" s="9"/>
      <c r="GA1018" s="9"/>
      <c r="GB1018" s="9"/>
      <c r="GC1018" s="9"/>
      <c r="GD1018" s="9"/>
      <c r="GE1018" s="9"/>
      <c r="GF1018" s="9"/>
      <c r="GG1018" s="9"/>
      <c r="GH1018" s="9"/>
      <c r="GI1018" s="9"/>
      <c r="GJ1018" s="9"/>
      <c r="GK1018" s="9"/>
      <c r="GL1018" s="9"/>
      <c r="GM1018" s="9"/>
      <c r="GN1018" s="9"/>
      <c r="GO1018" s="9"/>
      <c r="GP1018" s="9"/>
      <c r="GQ1018" s="9"/>
      <c r="GR1018" s="9"/>
      <c r="GS1018" s="9"/>
      <c r="GT1018" s="9"/>
      <c r="GU1018" s="9"/>
      <c r="GV1018" s="9"/>
      <c r="GW1018" s="9"/>
      <c r="GX1018" s="9"/>
      <c r="GY1018" s="9"/>
      <c r="GZ1018" s="9"/>
      <c r="HA1018" s="9"/>
      <c r="HB1018" s="9"/>
      <c r="HC1018" s="9"/>
      <c r="HD1018" s="9"/>
      <c r="HE1018" s="9"/>
      <c r="HF1018" s="9"/>
      <c r="HG1018" s="9"/>
      <c r="HH1018" s="9"/>
      <c r="HI1018" s="9"/>
      <c r="HJ1018" s="9"/>
      <c r="HK1018" s="9"/>
      <c r="HL1018" s="9"/>
      <c r="HM1018" s="9"/>
      <c r="HZ1018" s="58"/>
    </row>
    <row r="1019" spans="140:234">
      <c r="EJ1019" s="9"/>
      <c r="EK1019" s="9"/>
      <c r="EL1019" s="9"/>
      <c r="EM1019" s="9"/>
      <c r="EN1019" s="9"/>
      <c r="EO1019" s="9"/>
      <c r="EP1019" s="9"/>
      <c r="EQ1019" s="9"/>
      <c r="ER1019" s="9"/>
      <c r="ES1019" s="9"/>
      <c r="ET1019" s="9"/>
      <c r="EU1019" s="9"/>
      <c r="EV1019" s="9"/>
      <c r="EW1019" s="9"/>
      <c r="EX1019" s="9"/>
      <c r="EY1019" s="9"/>
      <c r="EZ1019" s="9"/>
      <c r="FA1019" s="9"/>
      <c r="FB1019" s="9"/>
      <c r="FC1019" s="9"/>
      <c r="FD1019" s="9"/>
      <c r="FE1019" s="9"/>
      <c r="FF1019" s="9"/>
      <c r="FG1019" s="9"/>
      <c r="FH1019" s="9"/>
      <c r="FI1019" s="9"/>
      <c r="FJ1019" s="9"/>
      <c r="FK1019" s="9"/>
      <c r="FL1019" s="9"/>
      <c r="FM1019" s="9"/>
      <c r="FN1019" s="9"/>
      <c r="FO1019" s="9"/>
      <c r="FP1019" s="9"/>
      <c r="FQ1019" s="9"/>
      <c r="FR1019" s="9"/>
      <c r="FS1019" s="9"/>
      <c r="FT1019" s="9"/>
      <c r="FU1019" s="9"/>
      <c r="FV1019" s="9"/>
      <c r="FW1019" s="9"/>
      <c r="FX1019" s="9"/>
      <c r="FY1019" s="9"/>
      <c r="FZ1019" s="9"/>
      <c r="GA1019" s="9"/>
      <c r="GB1019" s="9"/>
      <c r="GC1019" s="9"/>
      <c r="GD1019" s="9"/>
      <c r="GE1019" s="9"/>
      <c r="GF1019" s="9"/>
      <c r="GG1019" s="9"/>
      <c r="GH1019" s="9"/>
      <c r="GI1019" s="9"/>
      <c r="GJ1019" s="9"/>
      <c r="GK1019" s="9"/>
      <c r="GL1019" s="9"/>
      <c r="GM1019" s="9"/>
      <c r="GN1019" s="9"/>
      <c r="GO1019" s="9"/>
      <c r="GP1019" s="9"/>
      <c r="GQ1019" s="9"/>
      <c r="GR1019" s="9"/>
      <c r="GS1019" s="9"/>
      <c r="GT1019" s="9"/>
      <c r="GU1019" s="9"/>
      <c r="GV1019" s="9"/>
      <c r="GW1019" s="9"/>
      <c r="GX1019" s="9"/>
      <c r="GY1019" s="9"/>
      <c r="GZ1019" s="9"/>
      <c r="HA1019" s="9"/>
      <c r="HB1019" s="9"/>
      <c r="HC1019" s="9"/>
      <c r="HD1019" s="9"/>
      <c r="HE1019" s="9"/>
      <c r="HF1019" s="9"/>
      <c r="HG1019" s="9"/>
      <c r="HH1019" s="9"/>
      <c r="HI1019" s="9"/>
      <c r="HJ1019" s="9"/>
      <c r="HK1019" s="9"/>
      <c r="HL1019" s="9"/>
      <c r="HM1019" s="9"/>
      <c r="HZ1019" s="58"/>
    </row>
    <row r="1020" spans="140:234">
      <c r="EJ1020" s="9"/>
      <c r="EK1020" s="9"/>
      <c r="EL1020" s="9"/>
      <c r="EM1020" s="9"/>
      <c r="EN1020" s="9"/>
      <c r="EO1020" s="9"/>
      <c r="EP1020" s="9"/>
      <c r="EQ1020" s="9"/>
      <c r="ER1020" s="9"/>
      <c r="ES1020" s="9"/>
      <c r="ET1020" s="9"/>
      <c r="EU1020" s="9"/>
      <c r="EV1020" s="9"/>
      <c r="EW1020" s="9"/>
      <c r="EX1020" s="9"/>
      <c r="EY1020" s="9"/>
      <c r="EZ1020" s="9"/>
      <c r="FA1020" s="9"/>
      <c r="FB1020" s="9"/>
      <c r="FC1020" s="9"/>
      <c r="FD1020" s="9"/>
      <c r="FE1020" s="9"/>
      <c r="FF1020" s="9"/>
      <c r="FG1020" s="9"/>
      <c r="FH1020" s="9"/>
      <c r="FI1020" s="9"/>
      <c r="FJ1020" s="9"/>
      <c r="FK1020" s="9"/>
      <c r="FL1020" s="9"/>
      <c r="FM1020" s="9"/>
      <c r="FN1020" s="9"/>
      <c r="FO1020" s="9"/>
      <c r="FP1020" s="9"/>
      <c r="FQ1020" s="9"/>
      <c r="FR1020" s="9"/>
      <c r="FS1020" s="9"/>
      <c r="FT1020" s="9"/>
      <c r="FU1020" s="9"/>
      <c r="FV1020" s="9"/>
      <c r="FW1020" s="9"/>
      <c r="FX1020" s="9"/>
      <c r="FY1020" s="9"/>
      <c r="FZ1020" s="9"/>
      <c r="GA1020" s="9"/>
      <c r="GB1020" s="9"/>
      <c r="GC1020" s="9"/>
      <c r="GD1020" s="9"/>
      <c r="GE1020" s="9"/>
      <c r="GF1020" s="9"/>
      <c r="GG1020" s="9"/>
      <c r="GH1020" s="9"/>
      <c r="GI1020" s="9"/>
      <c r="GJ1020" s="9"/>
      <c r="GK1020" s="9"/>
      <c r="GL1020" s="9"/>
      <c r="GM1020" s="9"/>
      <c r="GN1020" s="9"/>
      <c r="GO1020" s="9"/>
      <c r="GP1020" s="9"/>
      <c r="GQ1020" s="9"/>
      <c r="GR1020" s="9"/>
      <c r="GS1020" s="9"/>
      <c r="GT1020" s="9"/>
      <c r="GU1020" s="9"/>
      <c r="GV1020" s="9"/>
      <c r="GW1020" s="9"/>
      <c r="GX1020" s="9"/>
      <c r="GY1020" s="9"/>
      <c r="GZ1020" s="9"/>
      <c r="HA1020" s="9"/>
      <c r="HB1020" s="9"/>
      <c r="HC1020" s="9"/>
      <c r="HD1020" s="9"/>
      <c r="HE1020" s="9"/>
      <c r="HF1020" s="9"/>
      <c r="HG1020" s="9"/>
      <c r="HH1020" s="9"/>
      <c r="HI1020" s="9"/>
      <c r="HJ1020" s="9"/>
      <c r="HK1020" s="9"/>
      <c r="HL1020" s="9"/>
      <c r="HM1020" s="9"/>
      <c r="HZ1020" s="58"/>
    </row>
    <row r="1021" spans="140:234">
      <c r="EJ1021" s="9"/>
      <c r="EK1021" s="9"/>
      <c r="EL1021" s="9"/>
      <c r="EM1021" s="9"/>
      <c r="EN1021" s="9"/>
      <c r="EO1021" s="9"/>
      <c r="EP1021" s="9"/>
      <c r="EQ1021" s="9"/>
      <c r="ER1021" s="9"/>
      <c r="ES1021" s="9"/>
      <c r="ET1021" s="9"/>
      <c r="EU1021" s="9"/>
      <c r="EV1021" s="9"/>
      <c r="EW1021" s="9"/>
      <c r="EX1021" s="9"/>
      <c r="EY1021" s="9"/>
      <c r="EZ1021" s="9"/>
      <c r="FA1021" s="9"/>
      <c r="FB1021" s="9"/>
      <c r="FC1021" s="9"/>
      <c r="FD1021" s="9"/>
      <c r="FE1021" s="9"/>
      <c r="FF1021" s="9"/>
      <c r="FG1021" s="9"/>
      <c r="FH1021" s="9"/>
      <c r="FI1021" s="9"/>
      <c r="FJ1021" s="9"/>
      <c r="FK1021" s="9"/>
      <c r="FL1021" s="9"/>
      <c r="FM1021" s="9"/>
      <c r="FN1021" s="9"/>
      <c r="FO1021" s="9"/>
      <c r="FP1021" s="9"/>
      <c r="FQ1021" s="9"/>
      <c r="FR1021" s="9"/>
      <c r="FS1021" s="9"/>
      <c r="FT1021" s="9"/>
      <c r="FU1021" s="9"/>
      <c r="FV1021" s="9"/>
      <c r="FW1021" s="9"/>
      <c r="FX1021" s="9"/>
      <c r="FY1021" s="9"/>
      <c r="FZ1021" s="9"/>
      <c r="GA1021" s="9"/>
      <c r="GB1021" s="9"/>
      <c r="GC1021" s="9"/>
      <c r="GD1021" s="9"/>
      <c r="GE1021" s="9"/>
      <c r="GF1021" s="9"/>
      <c r="GG1021" s="9"/>
      <c r="GH1021" s="9"/>
      <c r="GI1021" s="9"/>
      <c r="GJ1021" s="9"/>
      <c r="GK1021" s="9"/>
      <c r="GL1021" s="9"/>
      <c r="GM1021" s="9"/>
      <c r="GN1021" s="9"/>
      <c r="GO1021" s="9"/>
      <c r="GP1021" s="9"/>
      <c r="GQ1021" s="9"/>
      <c r="GR1021" s="9"/>
      <c r="GS1021" s="9"/>
      <c r="GT1021" s="9"/>
      <c r="GU1021" s="9"/>
      <c r="GV1021" s="9"/>
      <c r="GW1021" s="9"/>
      <c r="GX1021" s="9"/>
      <c r="GY1021" s="9"/>
      <c r="GZ1021" s="9"/>
      <c r="HA1021" s="9"/>
      <c r="HB1021" s="9"/>
      <c r="HC1021" s="9"/>
      <c r="HD1021" s="9"/>
      <c r="HE1021" s="9"/>
      <c r="HF1021" s="9"/>
      <c r="HG1021" s="9"/>
      <c r="HH1021" s="9"/>
      <c r="HI1021" s="9"/>
      <c r="HJ1021" s="9"/>
      <c r="HK1021" s="9"/>
      <c r="HL1021" s="9"/>
      <c r="HM1021" s="9"/>
      <c r="HZ1021" s="58"/>
    </row>
    <row r="1022" spans="140:234">
      <c r="EJ1022" s="9"/>
      <c r="EK1022" s="9"/>
      <c r="EL1022" s="9"/>
      <c r="EM1022" s="9"/>
      <c r="EN1022" s="9"/>
      <c r="EO1022" s="9"/>
      <c r="EP1022" s="9"/>
      <c r="EQ1022" s="9"/>
      <c r="ER1022" s="9"/>
      <c r="ES1022" s="9"/>
      <c r="ET1022" s="9"/>
      <c r="EU1022" s="9"/>
      <c r="EV1022" s="9"/>
      <c r="EW1022" s="9"/>
      <c r="EX1022" s="9"/>
      <c r="EY1022" s="9"/>
      <c r="EZ1022" s="9"/>
      <c r="FA1022" s="9"/>
      <c r="FB1022" s="9"/>
      <c r="FC1022" s="9"/>
      <c r="FD1022" s="9"/>
      <c r="FE1022" s="9"/>
      <c r="FF1022" s="9"/>
      <c r="FG1022" s="9"/>
      <c r="FH1022" s="9"/>
      <c r="FI1022" s="9"/>
      <c r="FJ1022" s="9"/>
      <c r="FK1022" s="9"/>
      <c r="FL1022" s="9"/>
      <c r="FM1022" s="9"/>
      <c r="FN1022" s="9"/>
      <c r="FO1022" s="9"/>
      <c r="FP1022" s="9"/>
      <c r="FQ1022" s="9"/>
      <c r="FR1022" s="9"/>
      <c r="FS1022" s="9"/>
      <c r="FT1022" s="9"/>
      <c r="FU1022" s="9"/>
      <c r="FV1022" s="9"/>
      <c r="FW1022" s="9"/>
      <c r="FX1022" s="9"/>
      <c r="FY1022" s="9"/>
      <c r="FZ1022" s="9"/>
      <c r="GA1022" s="9"/>
      <c r="GB1022" s="9"/>
      <c r="GC1022" s="9"/>
      <c r="GD1022" s="9"/>
      <c r="GE1022" s="9"/>
      <c r="GF1022" s="9"/>
      <c r="GG1022" s="9"/>
      <c r="GH1022" s="9"/>
      <c r="GI1022" s="9"/>
      <c r="GJ1022" s="9"/>
      <c r="GK1022" s="9"/>
      <c r="GL1022" s="9"/>
      <c r="GM1022" s="9"/>
      <c r="GN1022" s="9"/>
      <c r="GO1022" s="9"/>
      <c r="GP1022" s="9"/>
      <c r="GQ1022" s="9"/>
      <c r="GR1022" s="9"/>
      <c r="GS1022" s="9"/>
      <c r="GT1022" s="9"/>
      <c r="GU1022" s="9"/>
      <c r="GV1022" s="9"/>
      <c r="GW1022" s="9"/>
      <c r="GX1022" s="9"/>
      <c r="GY1022" s="9"/>
      <c r="GZ1022" s="9"/>
      <c r="HA1022" s="9"/>
      <c r="HB1022" s="9"/>
      <c r="HC1022" s="9"/>
      <c r="HD1022" s="9"/>
      <c r="HE1022" s="9"/>
      <c r="HF1022" s="9"/>
      <c r="HG1022" s="9"/>
      <c r="HH1022" s="9"/>
      <c r="HI1022" s="9"/>
      <c r="HJ1022" s="9"/>
      <c r="HK1022" s="9"/>
      <c r="HL1022" s="9"/>
      <c r="HM1022" s="9"/>
      <c r="HZ1022" s="58"/>
    </row>
    <row r="1023" spans="140:234">
      <c r="EJ1023" s="9"/>
      <c r="EK1023" s="9"/>
      <c r="EL1023" s="9"/>
      <c r="EM1023" s="9"/>
      <c r="EN1023" s="9"/>
      <c r="EO1023" s="9"/>
      <c r="EP1023" s="9"/>
      <c r="EQ1023" s="9"/>
      <c r="ER1023" s="9"/>
      <c r="ES1023" s="9"/>
      <c r="ET1023" s="9"/>
      <c r="EU1023" s="9"/>
      <c r="EV1023" s="9"/>
      <c r="EW1023" s="9"/>
      <c r="EX1023" s="9"/>
      <c r="EY1023" s="9"/>
      <c r="EZ1023" s="9"/>
      <c r="FA1023" s="9"/>
      <c r="FB1023" s="9"/>
      <c r="FC1023" s="9"/>
      <c r="FD1023" s="9"/>
      <c r="FE1023" s="9"/>
      <c r="FF1023" s="9"/>
      <c r="FG1023" s="9"/>
      <c r="FH1023" s="9"/>
      <c r="FI1023" s="9"/>
      <c r="FJ1023" s="9"/>
      <c r="FK1023" s="9"/>
      <c r="FL1023" s="9"/>
      <c r="FM1023" s="9"/>
      <c r="FN1023" s="9"/>
      <c r="FO1023" s="9"/>
      <c r="FP1023" s="9"/>
      <c r="FQ1023" s="9"/>
      <c r="FR1023" s="9"/>
      <c r="FS1023" s="9"/>
      <c r="FT1023" s="9"/>
      <c r="FU1023" s="9"/>
      <c r="FV1023" s="9"/>
      <c r="FW1023" s="9"/>
      <c r="FX1023" s="9"/>
      <c r="FY1023" s="9"/>
      <c r="FZ1023" s="9"/>
      <c r="GA1023" s="9"/>
      <c r="GB1023" s="9"/>
      <c r="GC1023" s="9"/>
      <c r="GD1023" s="9"/>
      <c r="GE1023" s="9"/>
      <c r="GF1023" s="9"/>
      <c r="GG1023" s="9"/>
      <c r="GH1023" s="9"/>
      <c r="GI1023" s="9"/>
      <c r="GJ1023" s="9"/>
      <c r="GK1023" s="9"/>
      <c r="GL1023" s="9"/>
      <c r="GM1023" s="9"/>
      <c r="GN1023" s="9"/>
      <c r="GO1023" s="9"/>
      <c r="GP1023" s="9"/>
      <c r="GQ1023" s="9"/>
      <c r="GR1023" s="9"/>
      <c r="GS1023" s="9"/>
      <c r="GT1023" s="9"/>
      <c r="GU1023" s="9"/>
      <c r="GV1023" s="9"/>
      <c r="GW1023" s="9"/>
      <c r="GX1023" s="9"/>
      <c r="GY1023" s="9"/>
      <c r="GZ1023" s="9"/>
      <c r="HA1023" s="9"/>
      <c r="HB1023" s="9"/>
      <c r="HC1023" s="9"/>
      <c r="HD1023" s="9"/>
      <c r="HE1023" s="9"/>
      <c r="HF1023" s="9"/>
      <c r="HG1023" s="9"/>
      <c r="HH1023" s="9"/>
      <c r="HI1023" s="9"/>
      <c r="HJ1023" s="9"/>
      <c r="HK1023" s="9"/>
      <c r="HL1023" s="9"/>
      <c r="HM1023" s="9"/>
      <c r="HZ1023" s="58"/>
    </row>
    <row r="1024" spans="140:234">
      <c r="EJ1024" s="9"/>
      <c r="EK1024" s="9"/>
      <c r="EL1024" s="9"/>
      <c r="EM1024" s="9"/>
      <c r="EN1024" s="9"/>
      <c r="EO1024" s="9"/>
      <c r="EP1024" s="9"/>
      <c r="EQ1024" s="9"/>
      <c r="ER1024" s="9"/>
      <c r="ES1024" s="9"/>
      <c r="ET1024" s="9"/>
      <c r="EU1024" s="9"/>
      <c r="EV1024" s="9"/>
      <c r="EW1024" s="9"/>
      <c r="EX1024" s="9"/>
      <c r="EY1024" s="9"/>
      <c r="EZ1024" s="9"/>
      <c r="FA1024" s="9"/>
      <c r="FB1024" s="9"/>
      <c r="FC1024" s="9"/>
      <c r="FD1024" s="9"/>
      <c r="FE1024" s="9"/>
      <c r="FF1024" s="9"/>
      <c r="FG1024" s="9"/>
      <c r="FH1024" s="9"/>
      <c r="FI1024" s="9"/>
      <c r="FJ1024" s="9"/>
      <c r="FK1024" s="9"/>
      <c r="FL1024" s="9"/>
      <c r="FM1024" s="9"/>
      <c r="FN1024" s="9"/>
      <c r="FO1024" s="9"/>
      <c r="FP1024" s="9"/>
      <c r="FQ1024" s="9"/>
      <c r="FR1024" s="9"/>
      <c r="FS1024" s="9"/>
      <c r="FT1024" s="9"/>
      <c r="FU1024" s="9"/>
      <c r="FV1024" s="9"/>
      <c r="FW1024" s="9"/>
      <c r="FX1024" s="9"/>
      <c r="FY1024" s="9"/>
      <c r="FZ1024" s="9"/>
      <c r="GA1024" s="9"/>
      <c r="GB1024" s="9"/>
      <c r="GC1024" s="9"/>
      <c r="GD1024" s="9"/>
      <c r="GE1024" s="9"/>
      <c r="GF1024" s="9"/>
      <c r="GG1024" s="9"/>
      <c r="GH1024" s="9"/>
      <c r="GI1024" s="9"/>
      <c r="GJ1024" s="9"/>
      <c r="GK1024" s="9"/>
      <c r="GL1024" s="9"/>
      <c r="GM1024" s="9"/>
      <c r="GN1024" s="9"/>
      <c r="GO1024" s="9"/>
      <c r="GP1024" s="9"/>
      <c r="GQ1024" s="9"/>
      <c r="GR1024" s="9"/>
      <c r="GS1024" s="9"/>
      <c r="GT1024" s="9"/>
      <c r="GU1024" s="9"/>
      <c r="GV1024" s="9"/>
      <c r="GW1024" s="9"/>
      <c r="GX1024" s="9"/>
      <c r="GY1024" s="9"/>
      <c r="GZ1024" s="9"/>
      <c r="HA1024" s="9"/>
      <c r="HB1024" s="9"/>
      <c r="HC1024" s="9"/>
      <c r="HD1024" s="9"/>
      <c r="HE1024" s="9"/>
      <c r="HF1024" s="9"/>
      <c r="HG1024" s="9"/>
      <c r="HH1024" s="9"/>
      <c r="HI1024" s="9"/>
      <c r="HJ1024" s="9"/>
      <c r="HK1024" s="9"/>
      <c r="HL1024" s="9"/>
      <c r="HM1024" s="9"/>
      <c r="HZ1024" s="58"/>
    </row>
    <row r="1025" spans="140:234">
      <c r="EJ1025" s="9"/>
      <c r="EK1025" s="9"/>
      <c r="EL1025" s="9"/>
      <c r="EM1025" s="9"/>
      <c r="EN1025" s="9"/>
      <c r="EO1025" s="9"/>
      <c r="EP1025" s="9"/>
      <c r="EQ1025" s="9"/>
      <c r="ER1025" s="9"/>
      <c r="ES1025" s="9"/>
      <c r="ET1025" s="9"/>
      <c r="EU1025" s="9"/>
      <c r="EV1025" s="9"/>
      <c r="EW1025" s="9"/>
      <c r="EX1025" s="9"/>
      <c r="EY1025" s="9"/>
      <c r="EZ1025" s="9"/>
      <c r="FA1025" s="9"/>
      <c r="FB1025" s="9"/>
      <c r="FC1025" s="9"/>
      <c r="FD1025" s="9"/>
      <c r="FE1025" s="9"/>
      <c r="FF1025" s="9"/>
      <c r="FG1025" s="9"/>
      <c r="FH1025" s="9"/>
      <c r="FI1025" s="9"/>
      <c r="FJ1025" s="9"/>
      <c r="FK1025" s="9"/>
      <c r="FL1025" s="9"/>
      <c r="FM1025" s="9"/>
      <c r="FN1025" s="9"/>
      <c r="FO1025" s="9"/>
      <c r="FP1025" s="9"/>
      <c r="FQ1025" s="9"/>
      <c r="FR1025" s="9"/>
      <c r="FS1025" s="9"/>
      <c r="FT1025" s="9"/>
      <c r="FU1025" s="9"/>
      <c r="FV1025" s="9"/>
      <c r="FW1025" s="9"/>
      <c r="FX1025" s="9"/>
      <c r="FY1025" s="9"/>
      <c r="FZ1025" s="9"/>
      <c r="GA1025" s="9"/>
      <c r="GB1025" s="9"/>
      <c r="GC1025" s="9"/>
      <c r="GD1025" s="9"/>
      <c r="GE1025" s="9"/>
      <c r="GF1025" s="9"/>
      <c r="GG1025" s="9"/>
      <c r="GH1025" s="9"/>
      <c r="GI1025" s="9"/>
      <c r="GJ1025" s="9"/>
      <c r="GK1025" s="9"/>
      <c r="GL1025" s="9"/>
      <c r="GM1025" s="9"/>
      <c r="GN1025" s="9"/>
      <c r="GO1025" s="9"/>
      <c r="GP1025" s="9"/>
      <c r="GQ1025" s="9"/>
      <c r="GR1025" s="9"/>
      <c r="GS1025" s="9"/>
      <c r="GT1025" s="9"/>
      <c r="GU1025" s="9"/>
      <c r="GV1025" s="9"/>
      <c r="GW1025" s="9"/>
      <c r="GX1025" s="9"/>
      <c r="GY1025" s="9"/>
      <c r="GZ1025" s="9"/>
      <c r="HA1025" s="9"/>
      <c r="HB1025" s="9"/>
      <c r="HC1025" s="9"/>
      <c r="HD1025" s="9"/>
      <c r="HE1025" s="9"/>
      <c r="HF1025" s="9"/>
      <c r="HG1025" s="9"/>
      <c r="HH1025" s="9"/>
      <c r="HI1025" s="9"/>
      <c r="HJ1025" s="9"/>
      <c r="HK1025" s="9"/>
      <c r="HL1025" s="9"/>
      <c r="HM1025" s="9"/>
      <c r="HZ1025" s="58"/>
    </row>
    <row r="1026" spans="140:234">
      <c r="EJ1026" s="9"/>
      <c r="EK1026" s="9"/>
      <c r="EL1026" s="9"/>
      <c r="EM1026" s="9"/>
      <c r="EN1026" s="9"/>
      <c r="EO1026" s="9"/>
      <c r="EP1026" s="9"/>
      <c r="EQ1026" s="9"/>
      <c r="ER1026" s="9"/>
      <c r="ES1026" s="9"/>
      <c r="ET1026" s="9"/>
      <c r="EU1026" s="9"/>
      <c r="EV1026" s="9"/>
      <c r="EW1026" s="9"/>
      <c r="EX1026" s="9"/>
      <c r="EY1026" s="9"/>
      <c r="EZ1026" s="9"/>
      <c r="FA1026" s="9"/>
      <c r="FB1026" s="9"/>
      <c r="FC1026" s="9"/>
      <c r="FD1026" s="9"/>
      <c r="FE1026" s="9"/>
      <c r="FF1026" s="9"/>
      <c r="FG1026" s="9"/>
      <c r="FH1026" s="9"/>
      <c r="FI1026" s="9"/>
      <c r="FJ1026" s="9"/>
      <c r="FK1026" s="9"/>
      <c r="FL1026" s="9"/>
      <c r="FM1026" s="9"/>
      <c r="FN1026" s="9"/>
      <c r="FO1026" s="9"/>
      <c r="FP1026" s="9"/>
      <c r="FQ1026" s="9"/>
      <c r="FR1026" s="9"/>
      <c r="FS1026" s="9"/>
      <c r="FT1026" s="9"/>
      <c r="FU1026" s="9"/>
      <c r="FV1026" s="9"/>
      <c r="FW1026" s="9"/>
      <c r="FX1026" s="9"/>
      <c r="FY1026" s="9"/>
      <c r="FZ1026" s="9"/>
      <c r="GA1026" s="9"/>
      <c r="GB1026" s="9"/>
      <c r="GC1026" s="9"/>
      <c r="GD1026" s="9"/>
      <c r="GE1026" s="9"/>
      <c r="GF1026" s="9"/>
      <c r="GG1026" s="9"/>
      <c r="GH1026" s="9"/>
      <c r="GI1026" s="9"/>
      <c r="GJ1026" s="9"/>
      <c r="GK1026" s="9"/>
      <c r="GL1026" s="9"/>
      <c r="GM1026" s="9"/>
      <c r="GN1026" s="9"/>
      <c r="GO1026" s="9"/>
      <c r="GP1026" s="9"/>
      <c r="GQ1026" s="9"/>
      <c r="GR1026" s="9"/>
      <c r="GS1026" s="9"/>
      <c r="GT1026" s="9"/>
      <c r="GU1026" s="9"/>
      <c r="GV1026" s="9"/>
      <c r="GW1026" s="9"/>
      <c r="GX1026" s="9"/>
      <c r="GY1026" s="9"/>
      <c r="GZ1026" s="9"/>
      <c r="HA1026" s="9"/>
      <c r="HB1026" s="9"/>
      <c r="HC1026" s="9"/>
      <c r="HD1026" s="9"/>
      <c r="HE1026" s="9"/>
      <c r="HF1026" s="9"/>
      <c r="HG1026" s="9"/>
      <c r="HH1026" s="9"/>
      <c r="HI1026" s="9"/>
      <c r="HJ1026" s="9"/>
      <c r="HK1026" s="9"/>
      <c r="HL1026" s="9"/>
      <c r="HM1026" s="9"/>
      <c r="HZ1026" s="58"/>
    </row>
    <row r="1027" spans="140:234">
      <c r="EJ1027" s="9"/>
      <c r="EK1027" s="9"/>
      <c r="EL1027" s="9"/>
      <c r="EM1027" s="9"/>
      <c r="EN1027" s="9"/>
      <c r="EO1027" s="9"/>
      <c r="EP1027" s="9"/>
      <c r="EQ1027" s="9"/>
      <c r="ER1027" s="9"/>
      <c r="ES1027" s="9"/>
      <c r="ET1027" s="9"/>
      <c r="EU1027" s="9"/>
      <c r="EV1027" s="9"/>
      <c r="EW1027" s="9"/>
      <c r="EX1027" s="9"/>
      <c r="EY1027" s="9"/>
      <c r="EZ1027" s="9"/>
      <c r="FA1027" s="9"/>
      <c r="FB1027" s="9"/>
      <c r="FC1027" s="9"/>
      <c r="FD1027" s="9"/>
      <c r="FE1027" s="9"/>
      <c r="FF1027" s="9"/>
      <c r="FG1027" s="9"/>
      <c r="FH1027" s="9"/>
      <c r="FI1027" s="9"/>
      <c r="FJ1027" s="9"/>
      <c r="FK1027" s="9"/>
      <c r="FL1027" s="9"/>
      <c r="FM1027" s="9"/>
      <c r="FN1027" s="9"/>
      <c r="FO1027" s="9"/>
      <c r="FP1027" s="9"/>
      <c r="FQ1027" s="9"/>
      <c r="FR1027" s="9"/>
      <c r="FS1027" s="9"/>
      <c r="FT1027" s="9"/>
      <c r="FU1027" s="9"/>
      <c r="FV1027" s="9"/>
      <c r="FW1027" s="9"/>
      <c r="FX1027" s="9"/>
      <c r="FY1027" s="9"/>
      <c r="FZ1027" s="9"/>
      <c r="GA1027" s="9"/>
      <c r="GB1027" s="9"/>
      <c r="GC1027" s="9"/>
      <c r="GD1027" s="9"/>
      <c r="GE1027" s="9"/>
      <c r="GF1027" s="9"/>
      <c r="GG1027" s="9"/>
      <c r="GH1027" s="9"/>
      <c r="GI1027" s="9"/>
      <c r="GJ1027" s="9"/>
      <c r="GK1027" s="9"/>
      <c r="GL1027" s="9"/>
      <c r="GM1027" s="9"/>
      <c r="GN1027" s="9"/>
      <c r="GO1027" s="9"/>
      <c r="GP1027" s="9"/>
      <c r="GQ1027" s="9"/>
      <c r="GR1027" s="9"/>
      <c r="GS1027" s="9"/>
      <c r="GT1027" s="9"/>
      <c r="GU1027" s="9"/>
      <c r="GV1027" s="9"/>
      <c r="GW1027" s="9"/>
      <c r="GX1027" s="9"/>
      <c r="GY1027" s="9"/>
      <c r="GZ1027" s="9"/>
      <c r="HA1027" s="9"/>
      <c r="HB1027" s="9"/>
      <c r="HC1027" s="9"/>
      <c r="HD1027" s="9"/>
      <c r="HE1027" s="9"/>
      <c r="HF1027" s="9"/>
      <c r="HG1027" s="9"/>
      <c r="HH1027" s="9"/>
      <c r="HI1027" s="9"/>
      <c r="HJ1027" s="9"/>
      <c r="HK1027" s="9"/>
      <c r="HL1027" s="9"/>
      <c r="HM1027" s="9"/>
      <c r="HZ1027" s="58"/>
    </row>
    <row r="1028" spans="140:234">
      <c r="EJ1028" s="9"/>
      <c r="EK1028" s="9"/>
      <c r="EL1028" s="9"/>
      <c r="EM1028" s="9"/>
      <c r="EN1028" s="9"/>
      <c r="EO1028" s="9"/>
      <c r="EP1028" s="9"/>
      <c r="EQ1028" s="9"/>
      <c r="ER1028" s="9"/>
      <c r="ES1028" s="9"/>
      <c r="ET1028" s="9"/>
      <c r="EU1028" s="9"/>
      <c r="EV1028" s="9"/>
      <c r="EW1028" s="9"/>
      <c r="EX1028" s="9"/>
      <c r="EY1028" s="9"/>
      <c r="EZ1028" s="9"/>
      <c r="FA1028" s="9"/>
      <c r="FB1028" s="9"/>
      <c r="FC1028" s="9"/>
      <c r="FD1028" s="9"/>
      <c r="FE1028" s="9"/>
      <c r="FF1028" s="9"/>
      <c r="FG1028" s="9"/>
      <c r="FH1028" s="9"/>
      <c r="FI1028" s="9"/>
      <c r="FJ1028" s="9"/>
      <c r="FK1028" s="9"/>
      <c r="FL1028" s="9"/>
      <c r="FM1028" s="9"/>
      <c r="FN1028" s="9"/>
      <c r="FO1028" s="9"/>
      <c r="FP1028" s="9"/>
      <c r="FQ1028" s="9"/>
      <c r="FR1028" s="9"/>
      <c r="FS1028" s="9"/>
      <c r="FT1028" s="9"/>
      <c r="FU1028" s="9"/>
      <c r="FV1028" s="9"/>
      <c r="FW1028" s="9"/>
      <c r="FX1028" s="9"/>
      <c r="FY1028" s="9"/>
      <c r="FZ1028" s="9"/>
      <c r="GA1028" s="9"/>
      <c r="GB1028" s="9"/>
      <c r="GC1028" s="9"/>
      <c r="GD1028" s="9"/>
      <c r="GE1028" s="9"/>
      <c r="GF1028" s="9"/>
      <c r="GG1028" s="9"/>
      <c r="GH1028" s="9"/>
      <c r="GI1028" s="9"/>
      <c r="GJ1028" s="9"/>
      <c r="GK1028" s="9"/>
      <c r="GL1028" s="9"/>
      <c r="GM1028" s="9"/>
      <c r="GN1028" s="9"/>
      <c r="GO1028" s="9"/>
      <c r="GP1028" s="9"/>
      <c r="GQ1028" s="9"/>
      <c r="GR1028" s="9"/>
      <c r="GS1028" s="9"/>
      <c r="GT1028" s="9"/>
      <c r="GU1028" s="9"/>
      <c r="GV1028" s="9"/>
      <c r="GW1028" s="9"/>
      <c r="GX1028" s="9"/>
      <c r="GY1028" s="9"/>
      <c r="GZ1028" s="9"/>
      <c r="HA1028" s="9"/>
      <c r="HB1028" s="9"/>
      <c r="HC1028" s="9"/>
      <c r="HD1028" s="9"/>
      <c r="HE1028" s="9"/>
      <c r="HF1028" s="9"/>
      <c r="HG1028" s="9"/>
      <c r="HH1028" s="9"/>
      <c r="HI1028" s="9"/>
      <c r="HJ1028" s="9"/>
      <c r="HK1028" s="9"/>
      <c r="HL1028" s="9"/>
      <c r="HM1028" s="9"/>
      <c r="HZ1028" s="58"/>
    </row>
    <row r="1029" spans="140:234">
      <c r="EJ1029" s="9"/>
      <c r="EK1029" s="9"/>
      <c r="EL1029" s="9"/>
      <c r="EM1029" s="9"/>
      <c r="EN1029" s="9"/>
      <c r="EO1029" s="9"/>
      <c r="EP1029" s="9"/>
      <c r="EQ1029" s="9"/>
      <c r="ER1029" s="9"/>
      <c r="ES1029" s="9"/>
      <c r="ET1029" s="9"/>
      <c r="EU1029" s="9"/>
      <c r="EV1029" s="9"/>
      <c r="EW1029" s="9"/>
      <c r="EX1029" s="9"/>
      <c r="EY1029" s="9"/>
      <c r="EZ1029" s="9"/>
      <c r="FA1029" s="9"/>
      <c r="FB1029" s="9"/>
      <c r="FC1029" s="9"/>
      <c r="FD1029" s="9"/>
      <c r="FE1029" s="9"/>
      <c r="FF1029" s="9"/>
      <c r="FG1029" s="9"/>
      <c r="FH1029" s="9"/>
      <c r="FI1029" s="9"/>
      <c r="FJ1029" s="9"/>
      <c r="FK1029" s="9"/>
      <c r="FL1029" s="9"/>
      <c r="FM1029" s="9"/>
      <c r="FN1029" s="9"/>
      <c r="FO1029" s="9"/>
      <c r="FP1029" s="9"/>
      <c r="FQ1029" s="9"/>
      <c r="FR1029" s="9"/>
      <c r="FS1029" s="9"/>
      <c r="FT1029" s="9"/>
      <c r="FU1029" s="9"/>
      <c r="FV1029" s="9"/>
      <c r="FW1029" s="9"/>
      <c r="FX1029" s="9"/>
      <c r="FY1029" s="9"/>
      <c r="FZ1029" s="9"/>
      <c r="GA1029" s="9"/>
      <c r="GB1029" s="9"/>
      <c r="GC1029" s="9"/>
      <c r="GD1029" s="9"/>
      <c r="GE1029" s="9"/>
      <c r="GF1029" s="9"/>
      <c r="GG1029" s="9"/>
      <c r="GH1029" s="9"/>
      <c r="GI1029" s="9"/>
      <c r="GJ1029" s="9"/>
      <c r="GK1029" s="9"/>
      <c r="GL1029" s="9"/>
      <c r="GM1029" s="9"/>
      <c r="GN1029" s="9"/>
      <c r="GO1029" s="9"/>
      <c r="GP1029" s="9"/>
      <c r="GQ1029" s="9"/>
      <c r="GR1029" s="9"/>
      <c r="GS1029" s="9"/>
      <c r="GT1029" s="9"/>
      <c r="GU1029" s="9"/>
      <c r="GV1029" s="9"/>
      <c r="GW1029" s="9"/>
      <c r="GX1029" s="9"/>
      <c r="GY1029" s="9"/>
      <c r="GZ1029" s="9"/>
      <c r="HA1029" s="9"/>
      <c r="HB1029" s="9"/>
      <c r="HC1029" s="9"/>
      <c r="HD1029" s="9"/>
      <c r="HE1029" s="9"/>
      <c r="HF1029" s="9"/>
      <c r="HG1029" s="9"/>
      <c r="HH1029" s="9"/>
      <c r="HI1029" s="9"/>
      <c r="HJ1029" s="9"/>
      <c r="HK1029" s="9"/>
      <c r="HL1029" s="9"/>
      <c r="HM1029" s="9"/>
      <c r="HZ1029" s="58"/>
    </row>
    <row r="1030" spans="140:234">
      <c r="EJ1030" s="9"/>
      <c r="EK1030" s="9"/>
      <c r="EL1030" s="9"/>
      <c r="EM1030" s="9"/>
      <c r="EN1030" s="9"/>
      <c r="EO1030" s="9"/>
      <c r="EP1030" s="9"/>
      <c r="EQ1030" s="9"/>
      <c r="ER1030" s="9"/>
      <c r="ES1030" s="9"/>
      <c r="ET1030" s="9"/>
      <c r="EU1030" s="9"/>
      <c r="EV1030" s="9"/>
      <c r="EW1030" s="9"/>
      <c r="EX1030" s="9"/>
      <c r="EY1030" s="9"/>
      <c r="EZ1030" s="9"/>
      <c r="FA1030" s="9"/>
      <c r="FB1030" s="9"/>
      <c r="FC1030" s="9"/>
      <c r="FD1030" s="9"/>
      <c r="FE1030" s="9"/>
      <c r="FF1030" s="9"/>
      <c r="FG1030" s="9"/>
      <c r="FH1030" s="9"/>
      <c r="FI1030" s="9"/>
      <c r="FJ1030" s="9"/>
      <c r="FK1030" s="9"/>
      <c r="FL1030" s="9"/>
      <c r="FM1030" s="9"/>
      <c r="FN1030" s="9"/>
      <c r="FO1030" s="9"/>
      <c r="FP1030" s="9"/>
      <c r="FQ1030" s="9"/>
      <c r="FR1030" s="9"/>
      <c r="FS1030" s="9"/>
      <c r="FT1030" s="9"/>
      <c r="FU1030" s="9"/>
      <c r="FV1030" s="9"/>
      <c r="FW1030" s="9"/>
      <c r="FX1030" s="9"/>
      <c r="FY1030" s="9"/>
      <c r="FZ1030" s="9"/>
      <c r="GA1030" s="9"/>
      <c r="GB1030" s="9"/>
      <c r="GC1030" s="9"/>
      <c r="GD1030" s="9"/>
      <c r="GE1030" s="9"/>
      <c r="GF1030" s="9"/>
      <c r="GG1030" s="9"/>
      <c r="GH1030" s="9"/>
      <c r="GI1030" s="9"/>
      <c r="GJ1030" s="9"/>
      <c r="GK1030" s="9"/>
      <c r="GL1030" s="9"/>
      <c r="GM1030" s="9"/>
      <c r="GN1030" s="9"/>
      <c r="GO1030" s="9"/>
      <c r="GP1030" s="9"/>
      <c r="GQ1030" s="9"/>
      <c r="GR1030" s="9"/>
      <c r="GS1030" s="9"/>
      <c r="GT1030" s="9"/>
      <c r="GU1030" s="9"/>
      <c r="GV1030" s="9"/>
      <c r="GW1030" s="9"/>
      <c r="GX1030" s="9"/>
      <c r="GY1030" s="9"/>
      <c r="GZ1030" s="9"/>
      <c r="HA1030" s="9"/>
      <c r="HB1030" s="9"/>
      <c r="HC1030" s="9"/>
      <c r="HD1030" s="9"/>
      <c r="HE1030" s="9"/>
      <c r="HF1030" s="9"/>
      <c r="HG1030" s="9"/>
      <c r="HH1030" s="9"/>
      <c r="HI1030" s="9"/>
      <c r="HJ1030" s="9"/>
      <c r="HK1030" s="9"/>
      <c r="HL1030" s="9"/>
      <c r="HM1030" s="9"/>
      <c r="HZ1030" s="58"/>
    </row>
    <row r="1031" spans="140:234">
      <c r="EJ1031" s="9"/>
      <c r="EK1031" s="9"/>
      <c r="EL1031" s="9"/>
      <c r="EM1031" s="9"/>
      <c r="EN1031" s="9"/>
      <c r="EO1031" s="9"/>
      <c r="EP1031" s="9"/>
      <c r="EQ1031" s="9"/>
      <c r="ER1031" s="9"/>
      <c r="ES1031" s="9"/>
      <c r="ET1031" s="9"/>
      <c r="EU1031" s="9"/>
      <c r="EV1031" s="9"/>
      <c r="EW1031" s="9"/>
      <c r="EX1031" s="9"/>
      <c r="EY1031" s="9"/>
      <c r="EZ1031" s="9"/>
      <c r="FA1031" s="9"/>
      <c r="FB1031" s="9"/>
      <c r="FC1031" s="9"/>
      <c r="FD1031" s="9"/>
      <c r="FE1031" s="9"/>
      <c r="FF1031" s="9"/>
      <c r="FG1031" s="9"/>
      <c r="FH1031" s="9"/>
      <c r="FI1031" s="9"/>
      <c r="FJ1031" s="9"/>
      <c r="FK1031" s="9"/>
      <c r="FL1031" s="9"/>
      <c r="FM1031" s="9"/>
      <c r="FN1031" s="9"/>
      <c r="FO1031" s="9"/>
      <c r="FP1031" s="9"/>
      <c r="FQ1031" s="9"/>
      <c r="FR1031" s="9"/>
      <c r="FS1031" s="9"/>
      <c r="FT1031" s="9"/>
      <c r="FU1031" s="9"/>
      <c r="FV1031" s="9"/>
      <c r="FW1031" s="9"/>
      <c r="FX1031" s="9"/>
      <c r="FY1031" s="9"/>
      <c r="FZ1031" s="9"/>
      <c r="GA1031" s="9"/>
      <c r="GB1031" s="9"/>
      <c r="GC1031" s="9"/>
      <c r="GD1031" s="9"/>
      <c r="GE1031" s="9"/>
      <c r="GF1031" s="9"/>
      <c r="GG1031" s="9"/>
      <c r="GH1031" s="9"/>
      <c r="GI1031" s="9"/>
      <c r="GJ1031" s="9"/>
      <c r="GK1031" s="9"/>
      <c r="GL1031" s="9"/>
      <c r="GM1031" s="9"/>
      <c r="GN1031" s="9"/>
      <c r="GO1031" s="9"/>
      <c r="GP1031" s="9"/>
      <c r="GQ1031" s="9"/>
      <c r="GR1031" s="9"/>
      <c r="GS1031" s="9"/>
      <c r="GT1031" s="9"/>
      <c r="GU1031" s="9"/>
      <c r="GV1031" s="9"/>
      <c r="GW1031" s="9"/>
      <c r="GX1031" s="9"/>
      <c r="GY1031" s="9"/>
      <c r="GZ1031" s="9"/>
      <c r="HA1031" s="9"/>
      <c r="HB1031" s="9"/>
      <c r="HC1031" s="9"/>
      <c r="HD1031" s="9"/>
      <c r="HE1031" s="9"/>
      <c r="HF1031" s="9"/>
      <c r="HG1031" s="9"/>
      <c r="HH1031" s="9"/>
      <c r="HI1031" s="9"/>
      <c r="HJ1031" s="9"/>
      <c r="HK1031" s="9"/>
      <c r="HL1031" s="9"/>
      <c r="HM1031" s="9"/>
      <c r="HZ1031" s="58"/>
    </row>
    <row r="1032" spans="140:234">
      <c r="EJ1032" s="9"/>
      <c r="EK1032" s="9"/>
      <c r="EL1032" s="9"/>
      <c r="EM1032" s="9"/>
      <c r="EN1032" s="9"/>
      <c r="EO1032" s="9"/>
      <c r="EP1032" s="9"/>
      <c r="EQ1032" s="9"/>
      <c r="ER1032" s="9"/>
      <c r="ES1032" s="9"/>
      <c r="ET1032" s="9"/>
      <c r="EU1032" s="9"/>
      <c r="EV1032" s="9"/>
      <c r="EW1032" s="9"/>
      <c r="EX1032" s="9"/>
      <c r="EY1032" s="9"/>
      <c r="EZ1032" s="9"/>
      <c r="FA1032" s="9"/>
      <c r="FB1032" s="9"/>
      <c r="FC1032" s="9"/>
      <c r="FD1032" s="9"/>
      <c r="FE1032" s="9"/>
      <c r="FF1032" s="9"/>
      <c r="FG1032" s="9"/>
      <c r="FH1032" s="9"/>
      <c r="FI1032" s="9"/>
      <c r="FJ1032" s="9"/>
      <c r="FK1032" s="9"/>
      <c r="FL1032" s="9"/>
      <c r="FM1032" s="9"/>
      <c r="FN1032" s="9"/>
      <c r="FO1032" s="9"/>
      <c r="FP1032" s="9"/>
      <c r="FQ1032" s="9"/>
      <c r="FR1032" s="9"/>
      <c r="FS1032" s="9"/>
      <c r="FT1032" s="9"/>
      <c r="FU1032" s="9"/>
      <c r="FV1032" s="9"/>
      <c r="FW1032" s="9"/>
      <c r="FX1032" s="9"/>
      <c r="FY1032" s="9"/>
      <c r="FZ1032" s="9"/>
      <c r="GA1032" s="9"/>
      <c r="GB1032" s="9"/>
      <c r="GC1032" s="9"/>
      <c r="GD1032" s="9"/>
      <c r="GE1032" s="9"/>
      <c r="GF1032" s="9"/>
      <c r="GG1032" s="9"/>
      <c r="GH1032" s="9"/>
      <c r="GI1032" s="9"/>
      <c r="GJ1032" s="9"/>
      <c r="GK1032" s="9"/>
      <c r="GL1032" s="9"/>
      <c r="GM1032" s="9"/>
      <c r="GN1032" s="9"/>
      <c r="GO1032" s="9"/>
      <c r="GP1032" s="9"/>
      <c r="GQ1032" s="9"/>
      <c r="GR1032" s="9"/>
      <c r="GS1032" s="9"/>
      <c r="GT1032" s="9"/>
      <c r="GU1032" s="9"/>
      <c r="GV1032" s="9"/>
      <c r="GW1032" s="9"/>
      <c r="GX1032" s="9"/>
      <c r="GY1032" s="9"/>
      <c r="GZ1032" s="9"/>
      <c r="HA1032" s="9"/>
      <c r="HB1032" s="9"/>
      <c r="HC1032" s="9"/>
      <c r="HD1032" s="9"/>
      <c r="HE1032" s="9"/>
      <c r="HF1032" s="9"/>
      <c r="HG1032" s="9"/>
      <c r="HH1032" s="9"/>
      <c r="HI1032" s="9"/>
      <c r="HJ1032" s="9"/>
      <c r="HK1032" s="9"/>
      <c r="HL1032" s="9"/>
      <c r="HM1032" s="9"/>
      <c r="HZ1032" s="58"/>
    </row>
    <row r="1033" spans="140:234">
      <c r="EJ1033" s="9"/>
      <c r="EK1033" s="9"/>
      <c r="EL1033" s="9"/>
      <c r="EM1033" s="9"/>
      <c r="EN1033" s="9"/>
      <c r="EO1033" s="9"/>
      <c r="EP1033" s="9"/>
      <c r="EQ1033" s="9"/>
      <c r="ER1033" s="9"/>
      <c r="ES1033" s="9"/>
      <c r="ET1033" s="9"/>
      <c r="EU1033" s="9"/>
      <c r="EV1033" s="9"/>
      <c r="EW1033" s="9"/>
      <c r="EX1033" s="9"/>
      <c r="EY1033" s="9"/>
      <c r="EZ1033" s="9"/>
      <c r="FA1033" s="9"/>
      <c r="FB1033" s="9"/>
      <c r="FC1033" s="9"/>
      <c r="FD1033" s="9"/>
      <c r="FE1033" s="9"/>
      <c r="FF1033" s="9"/>
      <c r="FG1033" s="9"/>
      <c r="FH1033" s="9"/>
      <c r="FI1033" s="9"/>
      <c r="FJ1033" s="9"/>
      <c r="FK1033" s="9"/>
      <c r="FL1033" s="9"/>
      <c r="FM1033" s="9"/>
      <c r="FN1033" s="9"/>
      <c r="FO1033" s="9"/>
      <c r="FP1033" s="9"/>
      <c r="FQ1033" s="9"/>
      <c r="FR1033" s="9"/>
      <c r="FS1033" s="9"/>
      <c r="FT1033" s="9"/>
      <c r="FU1033" s="9"/>
      <c r="FV1033" s="9"/>
      <c r="FW1033" s="9"/>
      <c r="FX1033" s="9"/>
      <c r="FY1033" s="9"/>
      <c r="FZ1033" s="9"/>
      <c r="GA1033" s="9"/>
      <c r="GB1033" s="9"/>
      <c r="GC1033" s="9"/>
      <c r="GD1033" s="9"/>
      <c r="GE1033" s="9"/>
      <c r="GF1033" s="9"/>
      <c r="GG1033" s="9"/>
      <c r="GH1033" s="9"/>
      <c r="GI1033" s="9"/>
      <c r="GJ1033" s="9"/>
      <c r="GK1033" s="9"/>
      <c r="GL1033" s="9"/>
      <c r="GM1033" s="9"/>
      <c r="GN1033" s="9"/>
      <c r="GO1033" s="9"/>
      <c r="GP1033" s="9"/>
      <c r="GQ1033" s="9"/>
      <c r="GR1033" s="9"/>
      <c r="GS1033" s="9"/>
      <c r="GT1033" s="9"/>
      <c r="GU1033" s="9"/>
      <c r="GV1033" s="9"/>
      <c r="GW1033" s="9"/>
      <c r="GX1033" s="9"/>
      <c r="GY1033" s="9"/>
      <c r="GZ1033" s="9"/>
      <c r="HA1033" s="9"/>
      <c r="HB1033" s="9"/>
      <c r="HC1033" s="9"/>
      <c r="HD1033" s="9"/>
      <c r="HE1033" s="9"/>
      <c r="HF1033" s="9"/>
      <c r="HG1033" s="9"/>
      <c r="HH1033" s="9"/>
      <c r="HI1033" s="9"/>
      <c r="HJ1033" s="9"/>
      <c r="HK1033" s="9"/>
      <c r="HL1033" s="9"/>
      <c r="HM1033" s="9"/>
      <c r="HZ1033" s="58"/>
    </row>
    <row r="1034" spans="140:234">
      <c r="EJ1034" s="9"/>
      <c r="EK1034" s="9"/>
      <c r="EL1034" s="9"/>
      <c r="EM1034" s="9"/>
      <c r="EN1034" s="9"/>
      <c r="EO1034" s="9"/>
      <c r="EP1034" s="9"/>
      <c r="EQ1034" s="9"/>
      <c r="ER1034" s="9"/>
      <c r="ES1034" s="9"/>
      <c r="ET1034" s="9"/>
      <c r="EU1034" s="9"/>
      <c r="EV1034" s="9"/>
      <c r="EW1034" s="9"/>
      <c r="EX1034" s="9"/>
      <c r="EY1034" s="9"/>
      <c r="EZ1034" s="9"/>
      <c r="FA1034" s="9"/>
      <c r="FB1034" s="9"/>
      <c r="FC1034" s="9"/>
      <c r="FD1034" s="9"/>
      <c r="FE1034" s="9"/>
      <c r="FF1034" s="9"/>
      <c r="FG1034" s="9"/>
      <c r="FH1034" s="9"/>
      <c r="FI1034" s="9"/>
      <c r="FJ1034" s="9"/>
      <c r="FK1034" s="9"/>
      <c r="FL1034" s="9"/>
      <c r="FM1034" s="9"/>
      <c r="FN1034" s="9"/>
      <c r="FO1034" s="9"/>
      <c r="FP1034" s="9"/>
      <c r="FQ1034" s="9"/>
      <c r="FR1034" s="9"/>
      <c r="FS1034" s="9"/>
      <c r="FT1034" s="9"/>
      <c r="FU1034" s="9"/>
      <c r="FV1034" s="9"/>
      <c r="FW1034" s="9"/>
      <c r="FX1034" s="9"/>
      <c r="FY1034" s="9"/>
      <c r="FZ1034" s="9"/>
      <c r="GA1034" s="9"/>
      <c r="GB1034" s="9"/>
      <c r="GC1034" s="9"/>
      <c r="GD1034" s="9"/>
      <c r="GE1034" s="9"/>
      <c r="GF1034" s="9"/>
      <c r="GG1034" s="9"/>
      <c r="GH1034" s="9"/>
      <c r="GI1034" s="9"/>
      <c r="GJ1034" s="9"/>
      <c r="GK1034" s="9"/>
      <c r="GL1034" s="9"/>
      <c r="GM1034" s="9"/>
      <c r="GN1034" s="9"/>
      <c r="GO1034" s="9"/>
      <c r="GP1034" s="9"/>
      <c r="GQ1034" s="9"/>
      <c r="GR1034" s="9"/>
      <c r="GS1034" s="9"/>
      <c r="GT1034" s="9"/>
      <c r="GU1034" s="9"/>
      <c r="GV1034" s="9"/>
      <c r="GW1034" s="9"/>
      <c r="GX1034" s="9"/>
      <c r="GY1034" s="9"/>
      <c r="GZ1034" s="9"/>
      <c r="HA1034" s="9"/>
      <c r="HB1034" s="9"/>
      <c r="HC1034" s="9"/>
      <c r="HD1034" s="9"/>
      <c r="HE1034" s="9"/>
      <c r="HF1034" s="9"/>
      <c r="HG1034" s="9"/>
      <c r="HH1034" s="9"/>
      <c r="HI1034" s="9"/>
      <c r="HJ1034" s="9"/>
      <c r="HK1034" s="9"/>
      <c r="HL1034" s="9"/>
      <c r="HM1034" s="9"/>
      <c r="HZ1034" s="58"/>
    </row>
    <row r="1035" spans="140:234">
      <c r="EJ1035" s="9"/>
      <c r="EK1035" s="9"/>
      <c r="EL1035" s="9"/>
      <c r="EM1035" s="9"/>
      <c r="EN1035" s="9"/>
      <c r="EO1035" s="9"/>
      <c r="EP1035" s="9"/>
      <c r="EQ1035" s="9"/>
      <c r="ER1035" s="9"/>
      <c r="ES1035" s="9"/>
      <c r="ET1035" s="9"/>
      <c r="EU1035" s="9"/>
      <c r="EV1035" s="9"/>
      <c r="EW1035" s="9"/>
      <c r="EX1035" s="9"/>
      <c r="EY1035" s="9"/>
      <c r="EZ1035" s="9"/>
      <c r="FA1035" s="9"/>
      <c r="FB1035" s="9"/>
      <c r="FC1035" s="9"/>
      <c r="FD1035" s="9"/>
      <c r="FE1035" s="9"/>
      <c r="FF1035" s="9"/>
      <c r="FG1035" s="9"/>
      <c r="FH1035" s="9"/>
      <c r="FI1035" s="9"/>
      <c r="FJ1035" s="9"/>
      <c r="FK1035" s="9"/>
      <c r="FL1035" s="9"/>
      <c r="FM1035" s="9"/>
      <c r="FN1035" s="9"/>
      <c r="FO1035" s="9"/>
      <c r="FP1035" s="9"/>
      <c r="FQ1035" s="9"/>
      <c r="FR1035" s="9"/>
      <c r="FS1035" s="9"/>
      <c r="FT1035" s="9"/>
      <c r="FU1035" s="9"/>
      <c r="FV1035" s="9"/>
      <c r="FW1035" s="9"/>
      <c r="FX1035" s="9"/>
      <c r="FY1035" s="9"/>
      <c r="FZ1035" s="9"/>
      <c r="GA1035" s="9"/>
      <c r="GB1035" s="9"/>
      <c r="GC1035" s="9"/>
      <c r="GD1035" s="9"/>
      <c r="GE1035" s="9"/>
      <c r="GF1035" s="9"/>
      <c r="GG1035" s="9"/>
      <c r="GH1035" s="9"/>
      <c r="GI1035" s="9"/>
      <c r="GJ1035" s="9"/>
      <c r="GK1035" s="9"/>
      <c r="GL1035" s="9"/>
      <c r="GM1035" s="9"/>
      <c r="GN1035" s="9"/>
      <c r="GO1035" s="9"/>
      <c r="GP1035" s="9"/>
      <c r="GQ1035" s="9"/>
      <c r="GR1035" s="9"/>
      <c r="GS1035" s="9"/>
      <c r="GT1035" s="9"/>
      <c r="GU1035" s="9"/>
      <c r="GV1035" s="9"/>
      <c r="GW1035" s="9"/>
      <c r="GX1035" s="9"/>
      <c r="GY1035" s="9"/>
      <c r="GZ1035" s="9"/>
      <c r="HA1035" s="9"/>
      <c r="HB1035" s="9"/>
      <c r="HC1035" s="9"/>
      <c r="HD1035" s="9"/>
      <c r="HE1035" s="9"/>
      <c r="HF1035" s="9"/>
      <c r="HG1035" s="9"/>
      <c r="HH1035" s="9"/>
      <c r="HI1035" s="9"/>
      <c r="HJ1035" s="9"/>
      <c r="HK1035" s="9"/>
      <c r="HL1035" s="9"/>
      <c r="HM1035" s="9"/>
      <c r="HZ1035" s="58"/>
    </row>
    <row r="1036" spans="140:234">
      <c r="EJ1036" s="9"/>
      <c r="EK1036" s="9"/>
      <c r="EL1036" s="9"/>
      <c r="EM1036" s="9"/>
      <c r="EN1036" s="9"/>
      <c r="EO1036" s="9"/>
      <c r="EP1036" s="9"/>
      <c r="EQ1036" s="9"/>
      <c r="ER1036" s="9"/>
      <c r="ES1036" s="9"/>
      <c r="ET1036" s="9"/>
      <c r="EU1036" s="9"/>
      <c r="EV1036" s="9"/>
      <c r="EW1036" s="9"/>
      <c r="EX1036" s="9"/>
      <c r="EY1036" s="9"/>
      <c r="EZ1036" s="9"/>
      <c r="FA1036" s="9"/>
      <c r="FB1036" s="9"/>
      <c r="FC1036" s="9"/>
      <c r="FD1036" s="9"/>
      <c r="FE1036" s="9"/>
      <c r="FF1036" s="9"/>
      <c r="FG1036" s="9"/>
      <c r="FH1036" s="9"/>
      <c r="FI1036" s="9"/>
      <c r="FJ1036" s="9"/>
      <c r="FK1036" s="9"/>
      <c r="FL1036" s="9"/>
      <c r="FM1036" s="9"/>
      <c r="FN1036" s="9"/>
      <c r="FO1036" s="9"/>
      <c r="FP1036" s="9"/>
      <c r="FQ1036" s="9"/>
      <c r="FR1036" s="9"/>
      <c r="FS1036" s="9"/>
      <c r="FT1036" s="9"/>
      <c r="FU1036" s="9"/>
      <c r="FV1036" s="9"/>
      <c r="FW1036" s="9"/>
      <c r="FX1036" s="9"/>
      <c r="FY1036" s="9"/>
      <c r="FZ1036" s="9"/>
      <c r="GA1036" s="9"/>
      <c r="GB1036" s="9"/>
      <c r="GC1036" s="9"/>
      <c r="GD1036" s="9"/>
      <c r="GE1036" s="9"/>
      <c r="GF1036" s="9"/>
      <c r="GG1036" s="9"/>
      <c r="GH1036" s="9"/>
      <c r="GI1036" s="9"/>
      <c r="GJ1036" s="9"/>
      <c r="GK1036" s="9"/>
      <c r="GL1036" s="9"/>
      <c r="GM1036" s="9"/>
      <c r="GN1036" s="9"/>
      <c r="GO1036" s="9"/>
      <c r="GP1036" s="9"/>
      <c r="GQ1036" s="9"/>
      <c r="GR1036" s="9"/>
      <c r="GS1036" s="9"/>
      <c r="GT1036" s="9"/>
      <c r="GU1036" s="9"/>
      <c r="GV1036" s="9"/>
      <c r="GW1036" s="9"/>
      <c r="GX1036" s="9"/>
      <c r="GY1036" s="9"/>
      <c r="GZ1036" s="9"/>
      <c r="HA1036" s="9"/>
      <c r="HB1036" s="9"/>
      <c r="HC1036" s="9"/>
      <c r="HD1036" s="9"/>
      <c r="HE1036" s="9"/>
      <c r="HF1036" s="9"/>
      <c r="HG1036" s="9"/>
      <c r="HH1036" s="9"/>
      <c r="HI1036" s="9"/>
      <c r="HJ1036" s="9"/>
      <c r="HK1036" s="9"/>
      <c r="HL1036" s="9"/>
      <c r="HM1036" s="9"/>
      <c r="HZ1036" s="58"/>
    </row>
    <row r="1037" spans="140:234">
      <c r="EJ1037" s="9"/>
      <c r="EK1037" s="9"/>
      <c r="EL1037" s="9"/>
      <c r="EM1037" s="9"/>
      <c r="EN1037" s="9"/>
      <c r="EO1037" s="9"/>
      <c r="EP1037" s="9"/>
      <c r="EQ1037" s="9"/>
      <c r="ER1037" s="9"/>
      <c r="ES1037" s="9"/>
      <c r="ET1037" s="9"/>
      <c r="EU1037" s="9"/>
      <c r="EV1037" s="9"/>
      <c r="EW1037" s="9"/>
      <c r="EX1037" s="9"/>
      <c r="EY1037" s="9"/>
      <c r="EZ1037" s="9"/>
      <c r="FA1037" s="9"/>
      <c r="FB1037" s="9"/>
      <c r="FC1037" s="9"/>
      <c r="FD1037" s="9"/>
      <c r="FE1037" s="9"/>
      <c r="FF1037" s="9"/>
      <c r="FG1037" s="9"/>
      <c r="FH1037" s="9"/>
      <c r="FI1037" s="9"/>
      <c r="FJ1037" s="9"/>
      <c r="FK1037" s="9"/>
      <c r="FL1037" s="9"/>
      <c r="FM1037" s="9"/>
      <c r="FN1037" s="9"/>
      <c r="FO1037" s="9"/>
      <c r="FP1037" s="9"/>
      <c r="FQ1037" s="9"/>
      <c r="FR1037" s="9"/>
      <c r="FS1037" s="9"/>
      <c r="FT1037" s="9"/>
      <c r="FU1037" s="9"/>
      <c r="FV1037" s="9"/>
      <c r="FW1037" s="9"/>
      <c r="FX1037" s="9"/>
      <c r="FY1037" s="9"/>
      <c r="FZ1037" s="9"/>
      <c r="GA1037" s="9"/>
      <c r="GB1037" s="9"/>
      <c r="GC1037" s="9"/>
      <c r="GD1037" s="9"/>
      <c r="GE1037" s="9"/>
      <c r="GF1037" s="9"/>
      <c r="GG1037" s="9"/>
      <c r="GH1037" s="9"/>
      <c r="GI1037" s="9"/>
      <c r="GJ1037" s="9"/>
      <c r="GK1037" s="9"/>
      <c r="GL1037" s="9"/>
      <c r="GM1037" s="9"/>
      <c r="GN1037" s="9"/>
      <c r="GO1037" s="9"/>
      <c r="GP1037" s="9"/>
      <c r="GQ1037" s="9"/>
      <c r="GR1037" s="9"/>
      <c r="GS1037" s="9"/>
      <c r="GT1037" s="9"/>
      <c r="GU1037" s="9"/>
      <c r="GV1037" s="9"/>
      <c r="GW1037" s="9"/>
      <c r="GX1037" s="9"/>
      <c r="GY1037" s="9"/>
      <c r="GZ1037" s="9"/>
      <c r="HA1037" s="9"/>
      <c r="HB1037" s="9"/>
      <c r="HC1037" s="9"/>
      <c r="HD1037" s="9"/>
      <c r="HE1037" s="9"/>
      <c r="HF1037" s="9"/>
      <c r="HG1037" s="9"/>
      <c r="HH1037" s="9"/>
      <c r="HI1037" s="9"/>
      <c r="HJ1037" s="9"/>
      <c r="HK1037" s="9"/>
      <c r="HL1037" s="9"/>
      <c r="HM1037" s="9"/>
      <c r="HZ1037" s="58"/>
    </row>
    <row r="1038" spans="140:234">
      <c r="EJ1038" s="9"/>
      <c r="EK1038" s="9"/>
      <c r="EL1038" s="9"/>
      <c r="EM1038" s="9"/>
      <c r="EN1038" s="9"/>
      <c r="EO1038" s="9"/>
      <c r="EP1038" s="9"/>
      <c r="EQ1038" s="9"/>
      <c r="ER1038" s="9"/>
      <c r="ES1038" s="9"/>
      <c r="ET1038" s="9"/>
      <c r="EU1038" s="9"/>
      <c r="EV1038" s="9"/>
      <c r="EW1038" s="9"/>
      <c r="EX1038" s="9"/>
      <c r="EY1038" s="9"/>
      <c r="EZ1038" s="9"/>
      <c r="FA1038" s="9"/>
      <c r="FB1038" s="9"/>
      <c r="FC1038" s="9"/>
      <c r="FD1038" s="9"/>
      <c r="FE1038" s="9"/>
      <c r="FF1038" s="9"/>
      <c r="FG1038" s="9"/>
      <c r="FH1038" s="9"/>
      <c r="FI1038" s="9"/>
      <c r="FJ1038" s="9"/>
      <c r="FK1038" s="9"/>
      <c r="FL1038" s="9"/>
      <c r="FM1038" s="9"/>
      <c r="FN1038" s="9"/>
      <c r="FO1038" s="9"/>
      <c r="FP1038" s="9"/>
      <c r="FQ1038" s="9"/>
      <c r="FR1038" s="9"/>
      <c r="FS1038" s="9"/>
      <c r="FT1038" s="9"/>
      <c r="FU1038" s="9"/>
      <c r="FV1038" s="9"/>
      <c r="FW1038" s="9"/>
      <c r="FX1038" s="9"/>
      <c r="FY1038" s="9"/>
      <c r="FZ1038" s="9"/>
      <c r="GA1038" s="9"/>
      <c r="GB1038" s="9"/>
      <c r="GC1038" s="9"/>
      <c r="GD1038" s="9"/>
      <c r="GE1038" s="9"/>
      <c r="GF1038" s="9"/>
      <c r="GG1038" s="9"/>
      <c r="GH1038" s="9"/>
      <c r="GI1038" s="9"/>
      <c r="GJ1038" s="9"/>
      <c r="GK1038" s="9"/>
      <c r="GL1038" s="9"/>
      <c r="GM1038" s="9"/>
      <c r="GN1038" s="9"/>
      <c r="GO1038" s="9"/>
      <c r="GP1038" s="9"/>
      <c r="GQ1038" s="9"/>
      <c r="GR1038" s="9"/>
      <c r="GS1038" s="9"/>
      <c r="GT1038" s="9"/>
      <c r="GU1038" s="9"/>
      <c r="GV1038" s="9"/>
      <c r="GW1038" s="9"/>
      <c r="GX1038" s="9"/>
      <c r="GY1038" s="9"/>
      <c r="GZ1038" s="9"/>
      <c r="HA1038" s="9"/>
      <c r="HB1038" s="9"/>
      <c r="HC1038" s="9"/>
      <c r="HD1038" s="9"/>
      <c r="HE1038" s="9"/>
      <c r="HF1038" s="9"/>
      <c r="HG1038" s="9"/>
      <c r="HH1038" s="9"/>
      <c r="HI1038" s="9"/>
      <c r="HJ1038" s="9"/>
      <c r="HK1038" s="9"/>
      <c r="HL1038" s="9"/>
      <c r="HM1038" s="9"/>
      <c r="HZ1038" s="58"/>
    </row>
    <row r="1039" spans="140:234">
      <c r="EJ1039" s="9"/>
      <c r="EK1039" s="9"/>
      <c r="EL1039" s="9"/>
      <c r="EM1039" s="9"/>
      <c r="EN1039" s="9"/>
      <c r="EO1039" s="9"/>
      <c r="EP1039" s="9"/>
      <c r="EQ1039" s="9"/>
      <c r="ER1039" s="9"/>
      <c r="ES1039" s="9"/>
      <c r="ET1039" s="9"/>
      <c r="EU1039" s="9"/>
      <c r="EV1039" s="9"/>
      <c r="EW1039" s="9"/>
      <c r="EX1039" s="9"/>
      <c r="EY1039" s="9"/>
      <c r="EZ1039" s="9"/>
      <c r="FA1039" s="9"/>
      <c r="FB1039" s="9"/>
      <c r="FC1039" s="9"/>
      <c r="FD1039" s="9"/>
      <c r="FE1039" s="9"/>
      <c r="FF1039" s="9"/>
      <c r="FG1039" s="9"/>
      <c r="FH1039" s="9"/>
      <c r="FI1039" s="9"/>
      <c r="FJ1039" s="9"/>
      <c r="FK1039" s="9"/>
      <c r="FL1039" s="9"/>
      <c r="FM1039" s="9"/>
      <c r="FN1039" s="9"/>
      <c r="FO1039" s="9"/>
      <c r="FP1039" s="9"/>
      <c r="FQ1039" s="9"/>
      <c r="FR1039" s="9"/>
      <c r="FS1039" s="9"/>
      <c r="FT1039" s="9"/>
      <c r="FU1039" s="9"/>
      <c r="FV1039" s="9"/>
      <c r="FW1039" s="9"/>
      <c r="FX1039" s="9"/>
      <c r="FY1039" s="9"/>
      <c r="FZ1039" s="9"/>
      <c r="GA1039" s="9"/>
      <c r="GB1039" s="9"/>
      <c r="GC1039" s="9"/>
      <c r="GD1039" s="9"/>
      <c r="GE1039" s="9"/>
      <c r="GF1039" s="9"/>
      <c r="GG1039" s="9"/>
      <c r="GH1039" s="9"/>
      <c r="GI1039" s="9"/>
      <c r="GJ1039" s="9"/>
      <c r="GK1039" s="9"/>
      <c r="GL1039" s="9"/>
      <c r="GM1039" s="9"/>
      <c r="GN1039" s="9"/>
      <c r="GO1039" s="9"/>
      <c r="GP1039" s="9"/>
      <c r="GQ1039" s="9"/>
      <c r="GR1039" s="9"/>
      <c r="GS1039" s="9"/>
      <c r="GT1039" s="9"/>
      <c r="GU1039" s="9"/>
      <c r="GV1039" s="9"/>
      <c r="GW1039" s="9"/>
      <c r="GX1039" s="9"/>
      <c r="GY1039" s="9"/>
      <c r="GZ1039" s="9"/>
      <c r="HA1039" s="9"/>
      <c r="HB1039" s="9"/>
      <c r="HC1039" s="9"/>
      <c r="HD1039" s="9"/>
      <c r="HE1039" s="9"/>
      <c r="HF1039" s="9"/>
      <c r="HG1039" s="9"/>
      <c r="HH1039" s="9"/>
      <c r="HI1039" s="9"/>
      <c r="HJ1039" s="9"/>
      <c r="HK1039" s="9"/>
      <c r="HL1039" s="9"/>
      <c r="HM1039" s="9"/>
      <c r="HZ1039" s="58"/>
    </row>
    <row r="1040" spans="140:234">
      <c r="EJ1040" s="9"/>
      <c r="EK1040" s="9"/>
      <c r="EL1040" s="9"/>
      <c r="EM1040" s="9"/>
      <c r="EN1040" s="9"/>
      <c r="EO1040" s="9"/>
      <c r="EP1040" s="9"/>
      <c r="EQ1040" s="9"/>
      <c r="ER1040" s="9"/>
      <c r="ES1040" s="9"/>
      <c r="ET1040" s="9"/>
      <c r="EU1040" s="9"/>
      <c r="EV1040" s="9"/>
      <c r="EW1040" s="9"/>
      <c r="EX1040" s="9"/>
      <c r="EY1040" s="9"/>
      <c r="EZ1040" s="9"/>
      <c r="FA1040" s="9"/>
      <c r="FB1040" s="9"/>
      <c r="FC1040" s="9"/>
      <c r="FD1040" s="9"/>
      <c r="FE1040" s="9"/>
      <c r="FF1040" s="9"/>
      <c r="FG1040" s="9"/>
      <c r="FH1040" s="9"/>
      <c r="FI1040" s="9"/>
      <c r="FJ1040" s="9"/>
      <c r="FK1040" s="9"/>
      <c r="FL1040" s="9"/>
      <c r="FM1040" s="9"/>
      <c r="FN1040" s="9"/>
      <c r="FO1040" s="9"/>
      <c r="FP1040" s="9"/>
      <c r="FQ1040" s="9"/>
      <c r="FR1040" s="9"/>
      <c r="FS1040" s="9"/>
      <c r="FT1040" s="9"/>
      <c r="FU1040" s="9"/>
      <c r="FV1040" s="9"/>
      <c r="FW1040" s="9"/>
      <c r="FX1040" s="9"/>
      <c r="FY1040" s="9"/>
      <c r="FZ1040" s="9"/>
      <c r="GA1040" s="9"/>
      <c r="GB1040" s="9"/>
      <c r="GC1040" s="9"/>
      <c r="GD1040" s="9"/>
      <c r="GE1040" s="9"/>
      <c r="GF1040" s="9"/>
      <c r="GG1040" s="9"/>
      <c r="GH1040" s="9"/>
      <c r="GI1040" s="9"/>
      <c r="GJ1040" s="9"/>
      <c r="GK1040" s="9"/>
      <c r="GL1040" s="9"/>
      <c r="GM1040" s="9"/>
      <c r="GN1040" s="9"/>
      <c r="GO1040" s="9"/>
      <c r="GP1040" s="9"/>
      <c r="GQ1040" s="9"/>
      <c r="GR1040" s="9"/>
      <c r="GS1040" s="9"/>
      <c r="GT1040" s="9"/>
      <c r="GU1040" s="9"/>
      <c r="GV1040" s="9"/>
      <c r="GW1040" s="9"/>
      <c r="GX1040" s="9"/>
      <c r="GY1040" s="9"/>
      <c r="GZ1040" s="9"/>
      <c r="HA1040" s="9"/>
      <c r="HB1040" s="9"/>
      <c r="HC1040" s="9"/>
      <c r="HD1040" s="9"/>
      <c r="HE1040" s="9"/>
      <c r="HF1040" s="9"/>
      <c r="HG1040" s="9"/>
      <c r="HH1040" s="9"/>
      <c r="HI1040" s="9"/>
      <c r="HJ1040" s="9"/>
      <c r="HK1040" s="9"/>
      <c r="HL1040" s="9"/>
      <c r="HM1040" s="9"/>
      <c r="HZ1040" s="58"/>
    </row>
    <row r="1041" spans="140:234">
      <c r="EJ1041" s="9"/>
      <c r="EK1041" s="9"/>
      <c r="EL1041" s="9"/>
      <c r="EM1041" s="9"/>
      <c r="EN1041" s="9"/>
      <c r="EO1041" s="9"/>
      <c r="EP1041" s="9"/>
      <c r="EQ1041" s="9"/>
      <c r="ER1041" s="9"/>
      <c r="ES1041" s="9"/>
      <c r="ET1041" s="9"/>
      <c r="EU1041" s="9"/>
      <c r="EV1041" s="9"/>
      <c r="EW1041" s="9"/>
      <c r="EX1041" s="9"/>
      <c r="EY1041" s="9"/>
      <c r="EZ1041" s="9"/>
      <c r="FA1041" s="9"/>
      <c r="FB1041" s="9"/>
      <c r="FC1041" s="9"/>
      <c r="FD1041" s="9"/>
      <c r="FE1041" s="9"/>
      <c r="FF1041" s="9"/>
      <c r="FG1041" s="9"/>
      <c r="FH1041" s="9"/>
      <c r="FI1041" s="9"/>
      <c r="FJ1041" s="9"/>
      <c r="FK1041" s="9"/>
      <c r="FL1041" s="9"/>
      <c r="FM1041" s="9"/>
      <c r="FN1041" s="9"/>
      <c r="FO1041" s="9"/>
      <c r="FP1041" s="9"/>
      <c r="FQ1041" s="9"/>
      <c r="FR1041" s="9"/>
      <c r="FS1041" s="9"/>
      <c r="FT1041" s="9"/>
      <c r="FU1041" s="9"/>
      <c r="FV1041" s="9"/>
      <c r="FW1041" s="9"/>
      <c r="FX1041" s="9"/>
      <c r="FY1041" s="9"/>
      <c r="FZ1041" s="9"/>
      <c r="GA1041" s="9"/>
      <c r="GB1041" s="9"/>
      <c r="GC1041" s="9"/>
      <c r="GD1041" s="9"/>
      <c r="GE1041" s="9"/>
      <c r="GF1041" s="9"/>
      <c r="GG1041" s="9"/>
      <c r="GH1041" s="9"/>
      <c r="GI1041" s="9"/>
      <c r="GJ1041" s="9"/>
      <c r="GK1041" s="9"/>
      <c r="GL1041" s="9"/>
      <c r="GM1041" s="9"/>
      <c r="GN1041" s="9"/>
      <c r="GO1041" s="9"/>
      <c r="GP1041" s="9"/>
      <c r="GQ1041" s="9"/>
      <c r="GR1041" s="9"/>
      <c r="GS1041" s="9"/>
      <c r="GT1041" s="9"/>
      <c r="GU1041" s="9"/>
      <c r="GV1041" s="9"/>
      <c r="GW1041" s="9"/>
      <c r="GX1041" s="9"/>
      <c r="GY1041" s="9"/>
      <c r="GZ1041" s="9"/>
      <c r="HA1041" s="9"/>
      <c r="HB1041" s="9"/>
      <c r="HC1041" s="9"/>
      <c r="HD1041" s="9"/>
      <c r="HE1041" s="9"/>
      <c r="HF1041" s="9"/>
      <c r="HG1041" s="9"/>
      <c r="HH1041" s="9"/>
      <c r="HI1041" s="9"/>
      <c r="HJ1041" s="9"/>
      <c r="HK1041" s="9"/>
      <c r="HL1041" s="9"/>
      <c r="HM1041" s="9"/>
      <c r="HZ1041" s="58"/>
    </row>
    <row r="1042" spans="140:234">
      <c r="EJ1042" s="9"/>
      <c r="EK1042" s="9"/>
      <c r="EL1042" s="9"/>
      <c r="EM1042" s="9"/>
      <c r="EN1042" s="9"/>
      <c r="EO1042" s="9"/>
      <c r="EP1042" s="9"/>
      <c r="EQ1042" s="9"/>
      <c r="ER1042" s="9"/>
      <c r="ES1042" s="9"/>
      <c r="ET1042" s="9"/>
      <c r="EU1042" s="9"/>
      <c r="EV1042" s="9"/>
      <c r="EW1042" s="9"/>
      <c r="EX1042" s="9"/>
      <c r="EY1042" s="9"/>
      <c r="EZ1042" s="9"/>
      <c r="FA1042" s="9"/>
      <c r="FB1042" s="9"/>
      <c r="FC1042" s="9"/>
      <c r="FD1042" s="9"/>
      <c r="FE1042" s="9"/>
      <c r="FF1042" s="9"/>
      <c r="FG1042" s="9"/>
      <c r="FH1042" s="9"/>
      <c r="FI1042" s="9"/>
      <c r="FJ1042" s="9"/>
      <c r="FK1042" s="9"/>
      <c r="FL1042" s="9"/>
      <c r="FM1042" s="9"/>
      <c r="FN1042" s="9"/>
      <c r="FO1042" s="9"/>
      <c r="FP1042" s="9"/>
      <c r="FQ1042" s="9"/>
      <c r="FR1042" s="9"/>
      <c r="FS1042" s="9"/>
      <c r="FT1042" s="9"/>
      <c r="FU1042" s="9"/>
      <c r="FV1042" s="9"/>
      <c r="FW1042" s="9"/>
      <c r="FX1042" s="9"/>
      <c r="FY1042" s="9"/>
      <c r="FZ1042" s="9"/>
      <c r="GA1042" s="9"/>
      <c r="GB1042" s="9"/>
      <c r="GC1042" s="9"/>
      <c r="GD1042" s="9"/>
      <c r="GE1042" s="9"/>
      <c r="GF1042" s="9"/>
      <c r="GG1042" s="9"/>
      <c r="GH1042" s="9"/>
      <c r="GI1042" s="9"/>
      <c r="GJ1042" s="9"/>
      <c r="GK1042" s="9"/>
      <c r="GL1042" s="9"/>
      <c r="GM1042" s="9"/>
      <c r="GN1042" s="9"/>
      <c r="GO1042" s="9"/>
      <c r="GP1042" s="9"/>
      <c r="GQ1042" s="9"/>
      <c r="GR1042" s="9"/>
      <c r="GS1042" s="9"/>
      <c r="GT1042" s="9"/>
      <c r="GU1042" s="9"/>
      <c r="GV1042" s="9"/>
      <c r="GW1042" s="9"/>
      <c r="GX1042" s="9"/>
      <c r="GY1042" s="9"/>
      <c r="GZ1042" s="9"/>
      <c r="HA1042" s="9"/>
      <c r="HB1042" s="9"/>
      <c r="HC1042" s="9"/>
      <c r="HD1042" s="9"/>
      <c r="HE1042" s="9"/>
      <c r="HF1042" s="9"/>
      <c r="HG1042" s="9"/>
      <c r="HH1042" s="9"/>
      <c r="HI1042" s="9"/>
      <c r="HJ1042" s="9"/>
      <c r="HK1042" s="9"/>
      <c r="HL1042" s="9"/>
      <c r="HM1042" s="9"/>
      <c r="HZ1042" s="58"/>
    </row>
    <row r="1043" spans="140:234">
      <c r="EJ1043" s="9"/>
      <c r="EK1043" s="9"/>
      <c r="EL1043" s="9"/>
      <c r="EM1043" s="9"/>
      <c r="EN1043" s="9"/>
      <c r="EO1043" s="9"/>
      <c r="EP1043" s="9"/>
      <c r="EQ1043" s="9"/>
      <c r="ER1043" s="9"/>
      <c r="ES1043" s="9"/>
      <c r="ET1043" s="9"/>
      <c r="EU1043" s="9"/>
      <c r="EV1043" s="9"/>
      <c r="EW1043" s="9"/>
      <c r="EX1043" s="9"/>
      <c r="EY1043" s="9"/>
      <c r="EZ1043" s="9"/>
      <c r="FA1043" s="9"/>
      <c r="FB1043" s="9"/>
      <c r="FC1043" s="9"/>
      <c r="FD1043" s="9"/>
      <c r="FE1043" s="9"/>
      <c r="FF1043" s="9"/>
      <c r="FG1043" s="9"/>
      <c r="FH1043" s="9"/>
      <c r="FI1043" s="9"/>
      <c r="FJ1043" s="9"/>
      <c r="FK1043" s="9"/>
      <c r="FL1043" s="9"/>
      <c r="FM1043" s="9"/>
      <c r="FN1043" s="9"/>
      <c r="FO1043" s="9"/>
      <c r="FP1043" s="9"/>
      <c r="FQ1043" s="9"/>
      <c r="FR1043" s="9"/>
      <c r="FS1043" s="9"/>
      <c r="FT1043" s="9"/>
      <c r="FU1043" s="9"/>
      <c r="FV1043" s="9"/>
      <c r="FW1043" s="9"/>
      <c r="FX1043" s="9"/>
      <c r="FY1043" s="9"/>
      <c r="FZ1043" s="9"/>
      <c r="GA1043" s="9"/>
      <c r="GB1043" s="9"/>
      <c r="GC1043" s="9"/>
      <c r="GD1043" s="9"/>
      <c r="GE1043" s="9"/>
      <c r="GF1043" s="9"/>
      <c r="GG1043" s="9"/>
      <c r="GH1043" s="9"/>
      <c r="GI1043" s="9"/>
      <c r="GJ1043" s="9"/>
      <c r="GK1043" s="9"/>
      <c r="GL1043" s="9"/>
      <c r="GM1043" s="9"/>
      <c r="GN1043" s="9"/>
      <c r="GO1043" s="9"/>
      <c r="GP1043" s="9"/>
      <c r="GQ1043" s="9"/>
      <c r="GR1043" s="9"/>
      <c r="GS1043" s="9"/>
      <c r="GT1043" s="9"/>
      <c r="GU1043" s="9"/>
      <c r="GV1043" s="9"/>
      <c r="GW1043" s="9"/>
      <c r="GX1043" s="9"/>
      <c r="GY1043" s="9"/>
      <c r="GZ1043" s="9"/>
      <c r="HA1043" s="9"/>
      <c r="HB1043" s="9"/>
      <c r="HC1043" s="9"/>
      <c r="HD1043" s="9"/>
      <c r="HE1043" s="9"/>
      <c r="HF1043" s="9"/>
      <c r="HG1043" s="9"/>
      <c r="HH1043" s="9"/>
      <c r="HI1043" s="9"/>
      <c r="HJ1043" s="9"/>
      <c r="HK1043" s="9"/>
      <c r="HL1043" s="9"/>
      <c r="HM1043" s="9"/>
      <c r="HZ1043" s="58"/>
    </row>
    <row r="1044" spans="140:234">
      <c r="EJ1044" s="9"/>
      <c r="EK1044" s="9"/>
      <c r="EL1044" s="9"/>
      <c r="EM1044" s="9"/>
      <c r="EN1044" s="9"/>
      <c r="EO1044" s="9"/>
      <c r="EP1044" s="9"/>
      <c r="EQ1044" s="9"/>
      <c r="ER1044" s="9"/>
      <c r="ES1044" s="9"/>
      <c r="ET1044" s="9"/>
      <c r="EU1044" s="9"/>
      <c r="EV1044" s="9"/>
      <c r="EW1044" s="9"/>
      <c r="EX1044" s="9"/>
      <c r="EY1044" s="9"/>
      <c r="EZ1044" s="9"/>
      <c r="FA1044" s="9"/>
      <c r="FB1044" s="9"/>
      <c r="FC1044" s="9"/>
      <c r="FD1044" s="9"/>
      <c r="FE1044" s="9"/>
      <c r="FF1044" s="9"/>
      <c r="FG1044" s="9"/>
      <c r="FH1044" s="9"/>
      <c r="FI1044" s="9"/>
      <c r="FJ1044" s="9"/>
      <c r="FK1044" s="9"/>
      <c r="FL1044" s="9"/>
      <c r="FM1044" s="9"/>
      <c r="FN1044" s="9"/>
      <c r="FO1044" s="9"/>
      <c r="FP1044" s="9"/>
      <c r="FQ1044" s="9"/>
      <c r="FR1044" s="9"/>
      <c r="FS1044" s="9"/>
      <c r="FT1044" s="9"/>
      <c r="FU1044" s="9"/>
      <c r="FV1044" s="9"/>
      <c r="FW1044" s="9"/>
      <c r="FX1044" s="9"/>
      <c r="FY1044" s="9"/>
      <c r="FZ1044" s="9"/>
      <c r="GA1044" s="9"/>
      <c r="GB1044" s="9"/>
      <c r="GC1044" s="9"/>
      <c r="GD1044" s="9"/>
      <c r="GE1044" s="9"/>
      <c r="GF1044" s="9"/>
      <c r="GG1044" s="9"/>
      <c r="GH1044" s="9"/>
      <c r="GI1044" s="9"/>
      <c r="GJ1044" s="9"/>
      <c r="GK1044" s="9"/>
      <c r="GL1044" s="9"/>
      <c r="GM1044" s="9"/>
      <c r="GN1044" s="9"/>
      <c r="GO1044" s="9"/>
      <c r="GP1044" s="9"/>
      <c r="GQ1044" s="9"/>
      <c r="GR1044" s="9"/>
      <c r="GS1044" s="9"/>
      <c r="GT1044" s="9"/>
      <c r="GU1044" s="9"/>
      <c r="GV1044" s="9"/>
      <c r="GW1044" s="9"/>
      <c r="GX1044" s="9"/>
      <c r="GY1044" s="9"/>
      <c r="GZ1044" s="9"/>
      <c r="HA1044" s="9"/>
      <c r="HB1044" s="9"/>
      <c r="HC1044" s="9"/>
      <c r="HD1044" s="9"/>
      <c r="HE1044" s="9"/>
      <c r="HF1044" s="9"/>
      <c r="HG1044" s="9"/>
      <c r="HH1044" s="9"/>
      <c r="HI1044" s="9"/>
      <c r="HJ1044" s="9"/>
      <c r="HK1044" s="9"/>
      <c r="HL1044" s="9"/>
      <c r="HM1044" s="9"/>
      <c r="HZ1044" s="58"/>
    </row>
    <row r="1045" spans="140:234">
      <c r="EJ1045" s="9"/>
      <c r="EK1045" s="9"/>
      <c r="EL1045" s="9"/>
      <c r="EM1045" s="9"/>
      <c r="EN1045" s="9"/>
      <c r="EO1045" s="9"/>
      <c r="EP1045" s="9"/>
      <c r="EQ1045" s="9"/>
      <c r="ER1045" s="9"/>
      <c r="ES1045" s="9"/>
      <c r="ET1045" s="9"/>
      <c r="EU1045" s="9"/>
      <c r="EV1045" s="9"/>
      <c r="EW1045" s="9"/>
      <c r="EX1045" s="9"/>
      <c r="EY1045" s="9"/>
      <c r="EZ1045" s="9"/>
      <c r="FA1045" s="9"/>
      <c r="FB1045" s="9"/>
      <c r="FC1045" s="9"/>
      <c r="FD1045" s="9"/>
      <c r="FE1045" s="9"/>
      <c r="FF1045" s="9"/>
      <c r="FG1045" s="9"/>
      <c r="FH1045" s="9"/>
      <c r="FI1045" s="9"/>
      <c r="FJ1045" s="9"/>
      <c r="FK1045" s="9"/>
      <c r="FL1045" s="9"/>
      <c r="FM1045" s="9"/>
      <c r="FN1045" s="9"/>
      <c r="FO1045" s="9"/>
      <c r="FP1045" s="9"/>
      <c r="FQ1045" s="9"/>
      <c r="FR1045" s="9"/>
      <c r="FS1045" s="9"/>
      <c r="FT1045" s="9"/>
      <c r="FU1045" s="9"/>
      <c r="FV1045" s="9"/>
      <c r="FW1045" s="9"/>
      <c r="FX1045" s="9"/>
      <c r="FY1045" s="9"/>
      <c r="FZ1045" s="9"/>
      <c r="GA1045" s="9"/>
      <c r="GB1045" s="9"/>
      <c r="GC1045" s="9"/>
      <c r="GD1045" s="9"/>
      <c r="GE1045" s="9"/>
      <c r="GF1045" s="9"/>
      <c r="GG1045" s="9"/>
      <c r="GH1045" s="9"/>
      <c r="GI1045" s="9"/>
      <c r="GJ1045" s="9"/>
      <c r="GK1045" s="9"/>
      <c r="GL1045" s="9"/>
      <c r="GM1045" s="9"/>
      <c r="GN1045" s="9"/>
      <c r="GO1045" s="9"/>
      <c r="GP1045" s="9"/>
      <c r="GQ1045" s="9"/>
      <c r="GR1045" s="9"/>
      <c r="GS1045" s="9"/>
      <c r="GT1045" s="9"/>
      <c r="GU1045" s="9"/>
      <c r="GV1045" s="9"/>
      <c r="GW1045" s="9"/>
      <c r="GX1045" s="9"/>
      <c r="GY1045" s="9"/>
      <c r="GZ1045" s="9"/>
      <c r="HA1045" s="9"/>
      <c r="HB1045" s="9"/>
      <c r="HC1045" s="9"/>
      <c r="HD1045" s="9"/>
      <c r="HE1045" s="9"/>
      <c r="HF1045" s="9"/>
      <c r="HG1045" s="9"/>
      <c r="HH1045" s="9"/>
      <c r="HI1045" s="9"/>
      <c r="HJ1045" s="9"/>
      <c r="HK1045" s="9"/>
      <c r="HL1045" s="9"/>
      <c r="HM1045" s="9"/>
      <c r="HZ1045" s="58"/>
    </row>
    <row r="1046" spans="140:234">
      <c r="EJ1046" s="9"/>
      <c r="EK1046" s="9"/>
      <c r="EL1046" s="9"/>
      <c r="EM1046" s="9"/>
      <c r="EN1046" s="9"/>
      <c r="EO1046" s="9"/>
      <c r="EP1046" s="9"/>
      <c r="EQ1046" s="9"/>
      <c r="ER1046" s="9"/>
      <c r="ES1046" s="9"/>
      <c r="ET1046" s="9"/>
      <c r="EU1046" s="9"/>
      <c r="EV1046" s="9"/>
      <c r="EW1046" s="9"/>
      <c r="EX1046" s="9"/>
      <c r="EY1046" s="9"/>
      <c r="EZ1046" s="9"/>
      <c r="FA1046" s="9"/>
      <c r="FB1046" s="9"/>
      <c r="FC1046" s="9"/>
      <c r="FD1046" s="9"/>
      <c r="FE1046" s="9"/>
      <c r="FF1046" s="9"/>
      <c r="FG1046" s="9"/>
      <c r="FH1046" s="9"/>
      <c r="FI1046" s="9"/>
      <c r="FJ1046" s="9"/>
      <c r="FK1046" s="9"/>
      <c r="FL1046" s="9"/>
      <c r="FM1046" s="9"/>
      <c r="FN1046" s="9"/>
      <c r="FO1046" s="9"/>
      <c r="FP1046" s="9"/>
      <c r="FQ1046" s="9"/>
      <c r="FR1046" s="9"/>
      <c r="FS1046" s="9"/>
      <c r="FT1046" s="9"/>
      <c r="FU1046" s="9"/>
      <c r="FV1046" s="9"/>
      <c r="FW1046" s="9"/>
      <c r="FX1046" s="9"/>
      <c r="FY1046" s="9"/>
      <c r="FZ1046" s="9"/>
      <c r="GA1046" s="9"/>
      <c r="GB1046" s="9"/>
      <c r="GC1046" s="9"/>
      <c r="GD1046" s="9"/>
      <c r="GE1046" s="9"/>
      <c r="GF1046" s="9"/>
      <c r="GG1046" s="9"/>
      <c r="GH1046" s="9"/>
      <c r="GI1046" s="9"/>
      <c r="GJ1046" s="9"/>
      <c r="GK1046" s="9"/>
      <c r="GL1046" s="9"/>
      <c r="GM1046" s="9"/>
      <c r="GN1046" s="9"/>
      <c r="GO1046" s="9"/>
      <c r="GP1046" s="9"/>
      <c r="GQ1046" s="9"/>
      <c r="GR1046" s="9"/>
      <c r="GS1046" s="9"/>
      <c r="GT1046" s="9"/>
      <c r="GU1046" s="9"/>
      <c r="GV1046" s="9"/>
      <c r="GW1046" s="9"/>
      <c r="GX1046" s="9"/>
      <c r="GY1046" s="9"/>
      <c r="GZ1046" s="9"/>
      <c r="HA1046" s="9"/>
      <c r="HB1046" s="9"/>
      <c r="HC1046" s="9"/>
      <c r="HD1046" s="9"/>
      <c r="HE1046" s="9"/>
      <c r="HF1046" s="9"/>
      <c r="HG1046" s="9"/>
      <c r="HH1046" s="9"/>
      <c r="HI1046" s="9"/>
      <c r="HJ1046" s="9"/>
      <c r="HK1046" s="9"/>
      <c r="HL1046" s="9"/>
      <c r="HM1046" s="9"/>
      <c r="HZ1046" s="58"/>
    </row>
    <row r="1047" spans="140:234">
      <c r="EJ1047" s="9"/>
      <c r="EK1047" s="9"/>
      <c r="EL1047" s="9"/>
      <c r="EM1047" s="9"/>
      <c r="EN1047" s="9"/>
      <c r="EO1047" s="9"/>
      <c r="EP1047" s="9"/>
      <c r="EQ1047" s="9"/>
      <c r="ER1047" s="9"/>
      <c r="ES1047" s="9"/>
      <c r="ET1047" s="9"/>
      <c r="EU1047" s="9"/>
      <c r="EV1047" s="9"/>
      <c r="EW1047" s="9"/>
      <c r="EX1047" s="9"/>
      <c r="EY1047" s="9"/>
      <c r="EZ1047" s="9"/>
      <c r="FA1047" s="9"/>
      <c r="FB1047" s="9"/>
      <c r="FC1047" s="9"/>
      <c r="FD1047" s="9"/>
      <c r="FE1047" s="9"/>
      <c r="FF1047" s="9"/>
      <c r="FG1047" s="9"/>
      <c r="FH1047" s="9"/>
      <c r="FI1047" s="9"/>
      <c r="FJ1047" s="9"/>
      <c r="FK1047" s="9"/>
      <c r="FL1047" s="9"/>
      <c r="FM1047" s="9"/>
      <c r="FN1047" s="9"/>
      <c r="FO1047" s="9"/>
      <c r="FP1047" s="9"/>
      <c r="FQ1047" s="9"/>
      <c r="FR1047" s="9"/>
      <c r="FS1047" s="9"/>
      <c r="FT1047" s="9"/>
      <c r="FU1047" s="9"/>
      <c r="FV1047" s="9"/>
      <c r="FW1047" s="9"/>
      <c r="FX1047" s="9"/>
      <c r="FY1047" s="9"/>
      <c r="FZ1047" s="9"/>
      <c r="GA1047" s="9"/>
      <c r="GB1047" s="9"/>
      <c r="GC1047" s="9"/>
      <c r="GD1047" s="9"/>
      <c r="GE1047" s="9"/>
      <c r="GF1047" s="9"/>
      <c r="GG1047" s="9"/>
      <c r="GH1047" s="9"/>
      <c r="GI1047" s="9"/>
      <c r="GJ1047" s="9"/>
      <c r="GK1047" s="9"/>
      <c r="GL1047" s="9"/>
      <c r="GM1047" s="9"/>
      <c r="GN1047" s="9"/>
      <c r="GO1047" s="9"/>
      <c r="GP1047" s="9"/>
      <c r="GQ1047" s="9"/>
      <c r="GR1047" s="9"/>
      <c r="GS1047" s="9"/>
      <c r="GT1047" s="9"/>
      <c r="GU1047" s="9"/>
      <c r="GV1047" s="9"/>
      <c r="GW1047" s="9"/>
      <c r="GX1047" s="9"/>
      <c r="GY1047" s="9"/>
      <c r="GZ1047" s="9"/>
      <c r="HA1047" s="9"/>
      <c r="HB1047" s="9"/>
      <c r="HC1047" s="9"/>
      <c r="HD1047" s="9"/>
      <c r="HE1047" s="9"/>
      <c r="HF1047" s="9"/>
      <c r="HG1047" s="9"/>
      <c r="HH1047" s="9"/>
      <c r="HI1047" s="9"/>
      <c r="HJ1047" s="9"/>
      <c r="HK1047" s="9"/>
      <c r="HL1047" s="9"/>
      <c r="HM1047" s="9"/>
      <c r="HZ1047" s="58"/>
    </row>
    <row r="1048" spans="140:234">
      <c r="EJ1048" s="9"/>
      <c r="EK1048" s="9"/>
      <c r="EL1048" s="9"/>
      <c r="EM1048" s="9"/>
      <c r="EN1048" s="9"/>
      <c r="EO1048" s="9"/>
      <c r="EP1048" s="9"/>
      <c r="EQ1048" s="9"/>
      <c r="ER1048" s="9"/>
      <c r="ES1048" s="9"/>
      <c r="ET1048" s="9"/>
      <c r="EU1048" s="9"/>
      <c r="EV1048" s="9"/>
      <c r="EW1048" s="9"/>
      <c r="EX1048" s="9"/>
      <c r="EY1048" s="9"/>
      <c r="EZ1048" s="9"/>
      <c r="FA1048" s="9"/>
      <c r="FB1048" s="9"/>
      <c r="FC1048" s="9"/>
      <c r="FD1048" s="9"/>
      <c r="FE1048" s="9"/>
      <c r="FF1048" s="9"/>
      <c r="FG1048" s="9"/>
      <c r="FH1048" s="9"/>
      <c r="FI1048" s="9"/>
      <c r="FJ1048" s="9"/>
      <c r="FK1048" s="9"/>
      <c r="FL1048" s="9"/>
      <c r="FM1048" s="9"/>
      <c r="FN1048" s="9"/>
      <c r="FO1048" s="9"/>
      <c r="FP1048" s="9"/>
      <c r="FQ1048" s="9"/>
      <c r="FR1048" s="9"/>
      <c r="FS1048" s="9"/>
      <c r="FT1048" s="9"/>
      <c r="FU1048" s="9"/>
      <c r="FV1048" s="9"/>
      <c r="FW1048" s="9"/>
      <c r="FX1048" s="9"/>
      <c r="FY1048" s="9"/>
      <c r="FZ1048" s="9"/>
      <c r="GA1048" s="9"/>
      <c r="GB1048" s="9"/>
      <c r="GC1048" s="9"/>
      <c r="GD1048" s="9"/>
      <c r="GE1048" s="9"/>
      <c r="GF1048" s="9"/>
      <c r="GG1048" s="9"/>
      <c r="GH1048" s="9"/>
      <c r="GI1048" s="9"/>
      <c r="GJ1048" s="9"/>
      <c r="GK1048" s="9"/>
      <c r="GL1048" s="9"/>
      <c r="GM1048" s="9"/>
      <c r="GN1048" s="9"/>
      <c r="GO1048" s="9"/>
      <c r="GP1048" s="9"/>
      <c r="GQ1048" s="9"/>
      <c r="GR1048" s="9"/>
      <c r="GS1048" s="9"/>
      <c r="GT1048" s="9"/>
      <c r="GU1048" s="9"/>
      <c r="GV1048" s="9"/>
      <c r="GW1048" s="9"/>
      <c r="GX1048" s="9"/>
      <c r="GY1048" s="9"/>
      <c r="GZ1048" s="9"/>
      <c r="HA1048" s="9"/>
      <c r="HB1048" s="9"/>
      <c r="HC1048" s="9"/>
      <c r="HD1048" s="9"/>
      <c r="HE1048" s="9"/>
      <c r="HF1048" s="9"/>
      <c r="HG1048" s="9"/>
      <c r="HH1048" s="9"/>
      <c r="HI1048" s="9"/>
      <c r="HJ1048" s="9"/>
      <c r="HK1048" s="9"/>
      <c r="HL1048" s="9"/>
      <c r="HM1048" s="9"/>
      <c r="HZ1048" s="58"/>
    </row>
    <row r="1049" spans="140:234">
      <c r="EJ1049" s="9"/>
      <c r="EK1049" s="9"/>
      <c r="EL1049" s="9"/>
      <c r="EM1049" s="9"/>
      <c r="EN1049" s="9"/>
      <c r="EO1049" s="9"/>
      <c r="EP1049" s="9"/>
      <c r="EQ1049" s="9"/>
      <c r="ER1049" s="9"/>
      <c r="ES1049" s="9"/>
      <c r="ET1049" s="9"/>
      <c r="EU1049" s="9"/>
      <c r="EV1049" s="9"/>
      <c r="EW1049" s="9"/>
      <c r="EX1049" s="9"/>
      <c r="EY1049" s="9"/>
      <c r="EZ1049" s="9"/>
      <c r="FA1049" s="9"/>
      <c r="FB1049" s="9"/>
      <c r="FC1049" s="9"/>
      <c r="FD1049" s="9"/>
      <c r="FE1049" s="9"/>
      <c r="FF1049" s="9"/>
      <c r="FG1049" s="9"/>
      <c r="FH1049" s="9"/>
      <c r="FI1049" s="9"/>
      <c r="FJ1049" s="9"/>
      <c r="FK1049" s="9"/>
      <c r="FL1049" s="9"/>
      <c r="FM1049" s="9"/>
      <c r="FN1049" s="9"/>
      <c r="FO1049" s="9"/>
      <c r="FP1049" s="9"/>
      <c r="FQ1049" s="9"/>
      <c r="FR1049" s="9"/>
      <c r="FS1049" s="9"/>
      <c r="FT1049" s="9"/>
      <c r="FU1049" s="9"/>
      <c r="FV1049" s="9"/>
      <c r="FW1049" s="9"/>
      <c r="FX1049" s="9"/>
      <c r="FY1049" s="9"/>
      <c r="FZ1049" s="9"/>
      <c r="GA1049" s="9"/>
      <c r="GB1049" s="9"/>
      <c r="GC1049" s="9"/>
      <c r="GD1049" s="9"/>
      <c r="GE1049" s="9"/>
      <c r="GF1049" s="9"/>
      <c r="GG1049" s="9"/>
      <c r="GH1049" s="9"/>
      <c r="GI1049" s="9"/>
      <c r="GJ1049" s="9"/>
      <c r="GK1049" s="9"/>
      <c r="GL1049" s="9"/>
      <c r="GM1049" s="9"/>
      <c r="GN1049" s="9"/>
      <c r="GO1049" s="9"/>
      <c r="GP1049" s="9"/>
      <c r="GQ1049" s="9"/>
      <c r="GR1049" s="9"/>
      <c r="GS1049" s="9"/>
      <c r="GT1049" s="9"/>
      <c r="GU1049" s="9"/>
      <c r="GV1049" s="9"/>
      <c r="GW1049" s="9"/>
      <c r="GX1049" s="9"/>
      <c r="GY1049" s="9"/>
      <c r="GZ1049" s="9"/>
      <c r="HA1049" s="9"/>
      <c r="HB1049" s="9"/>
      <c r="HC1049" s="9"/>
      <c r="HD1049" s="9"/>
      <c r="HE1049" s="9"/>
      <c r="HF1049" s="9"/>
      <c r="HG1049" s="9"/>
      <c r="HH1049" s="9"/>
      <c r="HI1049" s="9"/>
      <c r="HJ1049" s="9"/>
      <c r="HK1049" s="9"/>
      <c r="HL1049" s="9"/>
      <c r="HM1049" s="9"/>
      <c r="HZ1049" s="58"/>
    </row>
    <row r="1050" spans="140:234">
      <c r="EJ1050" s="9"/>
      <c r="EK1050" s="9"/>
      <c r="EL1050" s="9"/>
      <c r="EM1050" s="9"/>
      <c r="EN1050" s="9"/>
      <c r="EO1050" s="9"/>
      <c r="EP1050" s="9"/>
      <c r="EQ1050" s="9"/>
      <c r="ER1050" s="9"/>
      <c r="ES1050" s="9"/>
      <c r="ET1050" s="9"/>
      <c r="EU1050" s="9"/>
      <c r="EV1050" s="9"/>
      <c r="EW1050" s="9"/>
      <c r="EX1050" s="9"/>
      <c r="EY1050" s="9"/>
      <c r="EZ1050" s="9"/>
      <c r="FA1050" s="9"/>
      <c r="FB1050" s="9"/>
      <c r="FC1050" s="9"/>
      <c r="FD1050" s="9"/>
      <c r="FE1050" s="9"/>
      <c r="FF1050" s="9"/>
      <c r="FG1050" s="9"/>
      <c r="FH1050" s="9"/>
      <c r="FI1050" s="9"/>
      <c r="FJ1050" s="9"/>
      <c r="FK1050" s="9"/>
      <c r="FL1050" s="9"/>
      <c r="FM1050" s="9"/>
      <c r="FN1050" s="9"/>
      <c r="FO1050" s="9"/>
      <c r="FP1050" s="9"/>
      <c r="FQ1050" s="9"/>
      <c r="FR1050" s="9"/>
      <c r="FS1050" s="9"/>
      <c r="FT1050" s="9"/>
      <c r="FU1050" s="9"/>
      <c r="FV1050" s="9"/>
      <c r="FW1050" s="9"/>
      <c r="FX1050" s="9"/>
      <c r="FY1050" s="9"/>
      <c r="FZ1050" s="9"/>
      <c r="GA1050" s="9"/>
      <c r="GB1050" s="9"/>
      <c r="GC1050" s="9"/>
      <c r="GD1050" s="9"/>
      <c r="GE1050" s="9"/>
      <c r="GF1050" s="9"/>
      <c r="GG1050" s="9"/>
      <c r="GH1050" s="9"/>
      <c r="GI1050" s="9"/>
      <c r="GJ1050" s="9"/>
      <c r="GK1050" s="9"/>
      <c r="GL1050" s="9"/>
      <c r="GM1050" s="9"/>
      <c r="GN1050" s="9"/>
      <c r="GO1050" s="9"/>
      <c r="GP1050" s="9"/>
      <c r="GQ1050" s="9"/>
      <c r="GR1050" s="9"/>
      <c r="GS1050" s="9"/>
      <c r="GT1050" s="9"/>
      <c r="GU1050" s="9"/>
      <c r="GV1050" s="9"/>
      <c r="GW1050" s="9"/>
      <c r="GX1050" s="9"/>
      <c r="GY1050" s="9"/>
      <c r="GZ1050" s="9"/>
      <c r="HA1050" s="9"/>
      <c r="HB1050" s="9"/>
      <c r="HC1050" s="9"/>
      <c r="HD1050" s="9"/>
      <c r="HE1050" s="9"/>
      <c r="HF1050" s="9"/>
      <c r="HG1050" s="9"/>
      <c r="HH1050" s="9"/>
      <c r="HI1050" s="9"/>
      <c r="HJ1050" s="9"/>
      <c r="HK1050" s="9"/>
      <c r="HL1050" s="9"/>
      <c r="HM1050" s="9"/>
      <c r="HZ1050" s="58"/>
    </row>
    <row r="1051" spans="140:234">
      <c r="EJ1051" s="9"/>
      <c r="EK1051" s="9"/>
      <c r="EL1051" s="9"/>
      <c r="EM1051" s="9"/>
      <c r="EN1051" s="9"/>
      <c r="EO1051" s="9"/>
      <c r="EP1051" s="9"/>
      <c r="EQ1051" s="9"/>
      <c r="ER1051" s="9"/>
      <c r="ES1051" s="9"/>
      <c r="ET1051" s="9"/>
      <c r="EU1051" s="9"/>
      <c r="EV1051" s="9"/>
      <c r="EW1051" s="9"/>
      <c r="EX1051" s="9"/>
      <c r="EY1051" s="9"/>
      <c r="EZ1051" s="9"/>
      <c r="FA1051" s="9"/>
      <c r="FB1051" s="9"/>
      <c r="FC1051" s="9"/>
      <c r="FD1051" s="9"/>
      <c r="FE1051" s="9"/>
      <c r="FF1051" s="9"/>
      <c r="FG1051" s="9"/>
      <c r="FH1051" s="9"/>
      <c r="FI1051" s="9"/>
      <c r="FJ1051" s="9"/>
      <c r="FK1051" s="9"/>
      <c r="FL1051" s="9"/>
      <c r="FM1051" s="9"/>
      <c r="FN1051" s="9"/>
      <c r="FO1051" s="9"/>
      <c r="FP1051" s="9"/>
      <c r="FQ1051" s="9"/>
      <c r="FR1051" s="9"/>
      <c r="FS1051" s="9"/>
      <c r="FT1051" s="9"/>
      <c r="FU1051" s="9"/>
      <c r="FV1051" s="9"/>
      <c r="FW1051" s="9"/>
      <c r="FX1051" s="9"/>
      <c r="FY1051" s="9"/>
      <c r="FZ1051" s="9"/>
      <c r="GA1051" s="9"/>
      <c r="GB1051" s="9"/>
      <c r="GC1051" s="9"/>
      <c r="GD1051" s="9"/>
      <c r="GE1051" s="9"/>
      <c r="GF1051" s="9"/>
      <c r="GG1051" s="9"/>
      <c r="GH1051" s="9"/>
      <c r="GI1051" s="9"/>
      <c r="GJ1051" s="9"/>
      <c r="GK1051" s="9"/>
      <c r="GL1051" s="9"/>
      <c r="GM1051" s="9"/>
      <c r="GN1051" s="9"/>
      <c r="GO1051" s="9"/>
      <c r="GP1051" s="9"/>
      <c r="GQ1051" s="9"/>
      <c r="GR1051" s="9"/>
      <c r="GS1051" s="9"/>
      <c r="GT1051" s="9"/>
      <c r="GU1051" s="9"/>
      <c r="GV1051" s="9"/>
      <c r="GW1051" s="9"/>
      <c r="GX1051" s="9"/>
      <c r="GY1051" s="9"/>
      <c r="GZ1051" s="9"/>
      <c r="HA1051" s="9"/>
      <c r="HB1051" s="9"/>
      <c r="HC1051" s="9"/>
      <c r="HD1051" s="9"/>
      <c r="HE1051" s="9"/>
      <c r="HF1051" s="9"/>
      <c r="HG1051" s="9"/>
      <c r="HH1051" s="9"/>
      <c r="HI1051" s="9"/>
      <c r="HJ1051" s="9"/>
      <c r="HK1051" s="9"/>
      <c r="HL1051" s="9"/>
      <c r="HM1051" s="9"/>
      <c r="HZ1051" s="58"/>
    </row>
    <row r="1052" spans="140:234">
      <c r="EJ1052" s="9"/>
      <c r="EK1052" s="9"/>
      <c r="EL1052" s="9"/>
      <c r="EM1052" s="9"/>
      <c r="EN1052" s="9"/>
      <c r="EO1052" s="9"/>
      <c r="EP1052" s="9"/>
      <c r="EQ1052" s="9"/>
      <c r="ER1052" s="9"/>
      <c r="ES1052" s="9"/>
      <c r="ET1052" s="9"/>
      <c r="EU1052" s="9"/>
      <c r="EV1052" s="9"/>
      <c r="EW1052" s="9"/>
      <c r="EX1052" s="9"/>
      <c r="EY1052" s="9"/>
      <c r="EZ1052" s="9"/>
      <c r="FA1052" s="9"/>
      <c r="FB1052" s="9"/>
      <c r="FC1052" s="9"/>
      <c r="FD1052" s="9"/>
      <c r="FE1052" s="9"/>
      <c r="FF1052" s="9"/>
      <c r="FG1052" s="9"/>
      <c r="FH1052" s="9"/>
      <c r="FI1052" s="9"/>
      <c r="FJ1052" s="9"/>
      <c r="FK1052" s="9"/>
      <c r="FL1052" s="9"/>
      <c r="FM1052" s="9"/>
      <c r="FN1052" s="9"/>
      <c r="FO1052" s="9"/>
      <c r="FP1052" s="9"/>
      <c r="FQ1052" s="9"/>
      <c r="FR1052" s="9"/>
      <c r="FS1052" s="9"/>
      <c r="FT1052" s="9"/>
      <c r="FU1052" s="9"/>
      <c r="FV1052" s="9"/>
      <c r="FW1052" s="9"/>
      <c r="FX1052" s="9"/>
      <c r="FY1052" s="9"/>
      <c r="FZ1052" s="9"/>
      <c r="GA1052" s="9"/>
      <c r="GB1052" s="9"/>
      <c r="GC1052" s="9"/>
      <c r="GD1052" s="9"/>
      <c r="GE1052" s="9"/>
      <c r="GF1052" s="9"/>
      <c r="GG1052" s="9"/>
      <c r="GH1052" s="9"/>
      <c r="GI1052" s="9"/>
      <c r="GJ1052" s="9"/>
      <c r="GK1052" s="9"/>
      <c r="GL1052" s="9"/>
      <c r="GM1052" s="9"/>
      <c r="GN1052" s="9"/>
      <c r="GO1052" s="9"/>
      <c r="GP1052" s="9"/>
      <c r="GQ1052" s="9"/>
      <c r="GR1052" s="9"/>
      <c r="GS1052" s="9"/>
      <c r="GT1052" s="9"/>
      <c r="GU1052" s="9"/>
      <c r="GV1052" s="9"/>
      <c r="GW1052" s="9"/>
      <c r="GX1052" s="9"/>
      <c r="GY1052" s="9"/>
      <c r="GZ1052" s="9"/>
      <c r="HA1052" s="9"/>
      <c r="HB1052" s="9"/>
      <c r="HC1052" s="9"/>
      <c r="HD1052" s="9"/>
      <c r="HE1052" s="9"/>
      <c r="HF1052" s="9"/>
      <c r="HG1052" s="9"/>
      <c r="HH1052" s="9"/>
      <c r="HI1052" s="9"/>
      <c r="HJ1052" s="9"/>
      <c r="HK1052" s="9"/>
      <c r="HL1052" s="9"/>
      <c r="HM1052" s="9"/>
      <c r="HZ1052" s="58"/>
    </row>
    <row r="1053" spans="140:234">
      <c r="EJ1053" s="9"/>
      <c r="EK1053" s="9"/>
      <c r="EL1053" s="9"/>
      <c r="EM1053" s="9"/>
      <c r="EN1053" s="9"/>
      <c r="EO1053" s="9"/>
      <c r="EP1053" s="9"/>
      <c r="EQ1053" s="9"/>
      <c r="ER1053" s="9"/>
      <c r="ES1053" s="9"/>
      <c r="ET1053" s="9"/>
      <c r="EU1053" s="9"/>
      <c r="EV1053" s="9"/>
      <c r="EW1053" s="9"/>
      <c r="EX1053" s="9"/>
      <c r="EY1053" s="9"/>
      <c r="EZ1053" s="9"/>
      <c r="FA1053" s="9"/>
      <c r="FB1053" s="9"/>
      <c r="FC1053" s="9"/>
      <c r="FD1053" s="9"/>
      <c r="FE1053" s="9"/>
      <c r="FF1053" s="9"/>
      <c r="FG1053" s="9"/>
      <c r="FH1053" s="9"/>
      <c r="FI1053" s="9"/>
      <c r="FJ1053" s="9"/>
      <c r="FK1053" s="9"/>
      <c r="FL1053" s="9"/>
      <c r="FM1053" s="9"/>
      <c r="FN1053" s="9"/>
      <c r="FO1053" s="9"/>
      <c r="FP1053" s="9"/>
      <c r="FQ1053" s="9"/>
      <c r="FR1053" s="9"/>
      <c r="FS1053" s="9"/>
      <c r="FT1053" s="9"/>
      <c r="FU1053" s="9"/>
      <c r="FV1053" s="9"/>
      <c r="FW1053" s="9"/>
      <c r="FX1053" s="9"/>
      <c r="FY1053" s="9"/>
      <c r="FZ1053" s="9"/>
      <c r="GA1053" s="9"/>
      <c r="GB1053" s="9"/>
      <c r="GC1053" s="9"/>
      <c r="GD1053" s="9"/>
      <c r="GE1053" s="9"/>
      <c r="GF1053" s="9"/>
      <c r="GG1053" s="9"/>
      <c r="GH1053" s="9"/>
      <c r="GI1053" s="9"/>
      <c r="GJ1053" s="9"/>
      <c r="GK1053" s="9"/>
      <c r="GL1053" s="9"/>
      <c r="GM1053" s="9"/>
      <c r="GN1053" s="9"/>
      <c r="GO1053" s="9"/>
      <c r="GP1053" s="9"/>
      <c r="GQ1053" s="9"/>
      <c r="GR1053" s="9"/>
      <c r="GS1053" s="9"/>
      <c r="GT1053" s="9"/>
      <c r="GU1053" s="9"/>
      <c r="GV1053" s="9"/>
      <c r="GW1053" s="9"/>
      <c r="GX1053" s="9"/>
      <c r="GY1053" s="9"/>
      <c r="GZ1053" s="9"/>
      <c r="HA1053" s="9"/>
      <c r="HB1053" s="9"/>
      <c r="HC1053" s="9"/>
      <c r="HD1053" s="9"/>
      <c r="HE1053" s="9"/>
      <c r="HF1053" s="9"/>
      <c r="HG1053" s="9"/>
      <c r="HH1053" s="9"/>
      <c r="HI1053" s="9"/>
      <c r="HJ1053" s="9"/>
      <c r="HK1053" s="9"/>
      <c r="HL1053" s="9"/>
      <c r="HM1053" s="9"/>
      <c r="HZ1053" s="58"/>
    </row>
    <row r="1054" spans="140:234">
      <c r="EJ1054" s="9"/>
      <c r="EK1054" s="9"/>
      <c r="EL1054" s="9"/>
      <c r="EM1054" s="9"/>
      <c r="EN1054" s="9"/>
      <c r="EO1054" s="9"/>
      <c r="EP1054" s="9"/>
      <c r="EQ1054" s="9"/>
      <c r="ER1054" s="9"/>
      <c r="ES1054" s="9"/>
      <c r="ET1054" s="9"/>
      <c r="EU1054" s="9"/>
      <c r="EV1054" s="9"/>
      <c r="EW1054" s="9"/>
      <c r="EX1054" s="9"/>
      <c r="EY1054" s="9"/>
      <c r="EZ1054" s="9"/>
      <c r="FA1054" s="9"/>
      <c r="FB1054" s="9"/>
      <c r="FC1054" s="9"/>
      <c r="FD1054" s="9"/>
      <c r="FE1054" s="9"/>
      <c r="FF1054" s="9"/>
      <c r="FG1054" s="9"/>
      <c r="FH1054" s="9"/>
      <c r="FI1054" s="9"/>
      <c r="FJ1054" s="9"/>
      <c r="FK1054" s="9"/>
      <c r="FL1054" s="9"/>
      <c r="FM1054" s="9"/>
      <c r="FN1054" s="9"/>
      <c r="FO1054" s="9"/>
      <c r="FP1054" s="9"/>
      <c r="FQ1054" s="9"/>
      <c r="FR1054" s="9"/>
      <c r="FS1054" s="9"/>
      <c r="FT1054" s="9"/>
      <c r="FU1054" s="9"/>
      <c r="FV1054" s="9"/>
      <c r="FW1054" s="9"/>
      <c r="FX1054" s="9"/>
      <c r="FY1054" s="9"/>
      <c r="FZ1054" s="9"/>
      <c r="GA1054" s="9"/>
      <c r="GB1054" s="9"/>
      <c r="GC1054" s="9"/>
      <c r="GD1054" s="9"/>
      <c r="GE1054" s="9"/>
      <c r="GF1054" s="9"/>
      <c r="GG1054" s="9"/>
      <c r="GH1054" s="9"/>
      <c r="GI1054" s="9"/>
      <c r="GJ1054" s="9"/>
      <c r="GK1054" s="9"/>
      <c r="GL1054" s="9"/>
      <c r="GM1054" s="9"/>
      <c r="GN1054" s="9"/>
      <c r="GO1054" s="9"/>
      <c r="GP1054" s="9"/>
      <c r="GQ1054" s="9"/>
      <c r="GR1054" s="9"/>
      <c r="GS1054" s="9"/>
      <c r="GT1054" s="9"/>
      <c r="GU1054" s="9"/>
      <c r="GV1054" s="9"/>
      <c r="GW1054" s="9"/>
      <c r="GX1054" s="9"/>
      <c r="GY1054" s="9"/>
      <c r="GZ1054" s="9"/>
      <c r="HA1054" s="9"/>
      <c r="HB1054" s="9"/>
      <c r="HC1054" s="9"/>
      <c r="HD1054" s="9"/>
      <c r="HE1054" s="9"/>
      <c r="HF1054" s="9"/>
      <c r="HG1054" s="9"/>
      <c r="HH1054" s="9"/>
      <c r="HI1054" s="9"/>
      <c r="HJ1054" s="9"/>
      <c r="HK1054" s="9"/>
      <c r="HL1054" s="9"/>
      <c r="HM1054" s="9"/>
      <c r="HZ1054" s="58"/>
    </row>
    <row r="1055" spans="140:234">
      <c r="EJ1055" s="9"/>
      <c r="EK1055" s="9"/>
      <c r="EL1055" s="9"/>
      <c r="EM1055" s="9"/>
      <c r="EN1055" s="9"/>
      <c r="EO1055" s="9"/>
      <c r="EP1055" s="9"/>
      <c r="EQ1055" s="9"/>
      <c r="ER1055" s="9"/>
      <c r="ES1055" s="9"/>
      <c r="ET1055" s="9"/>
      <c r="EU1055" s="9"/>
      <c r="EV1055" s="9"/>
      <c r="EW1055" s="9"/>
      <c r="EX1055" s="9"/>
      <c r="EY1055" s="9"/>
      <c r="EZ1055" s="9"/>
      <c r="FA1055" s="9"/>
      <c r="FB1055" s="9"/>
      <c r="FC1055" s="9"/>
      <c r="FD1055" s="9"/>
      <c r="FE1055" s="9"/>
      <c r="FF1055" s="9"/>
      <c r="FG1055" s="9"/>
      <c r="FH1055" s="9"/>
      <c r="FI1055" s="9"/>
      <c r="FJ1055" s="9"/>
      <c r="FK1055" s="9"/>
      <c r="FL1055" s="9"/>
      <c r="FM1055" s="9"/>
      <c r="FN1055" s="9"/>
      <c r="FO1055" s="9"/>
      <c r="FP1055" s="9"/>
      <c r="FQ1055" s="9"/>
      <c r="FR1055" s="9"/>
      <c r="FS1055" s="9"/>
      <c r="FT1055" s="9"/>
      <c r="FU1055" s="9"/>
      <c r="FV1055" s="9"/>
      <c r="FW1055" s="9"/>
      <c r="FX1055" s="9"/>
      <c r="FY1055" s="9"/>
      <c r="FZ1055" s="9"/>
      <c r="GA1055" s="9"/>
      <c r="GB1055" s="9"/>
      <c r="GC1055" s="9"/>
      <c r="GD1055" s="9"/>
      <c r="GE1055" s="9"/>
      <c r="GF1055" s="9"/>
      <c r="GG1055" s="9"/>
      <c r="GH1055" s="9"/>
      <c r="GI1055" s="9"/>
      <c r="GJ1055" s="9"/>
      <c r="GK1055" s="9"/>
      <c r="GL1055" s="9"/>
      <c r="GM1055" s="9"/>
      <c r="GN1055" s="9"/>
      <c r="GO1055" s="9"/>
      <c r="GP1055" s="9"/>
      <c r="GQ1055" s="9"/>
      <c r="GR1055" s="9"/>
      <c r="GS1055" s="9"/>
      <c r="GT1055" s="9"/>
      <c r="GU1055" s="9"/>
      <c r="GV1055" s="9"/>
      <c r="GW1055" s="9"/>
      <c r="GX1055" s="9"/>
      <c r="GY1055" s="9"/>
      <c r="GZ1055" s="9"/>
      <c r="HA1055" s="9"/>
      <c r="HB1055" s="9"/>
      <c r="HC1055" s="9"/>
      <c r="HD1055" s="9"/>
      <c r="HE1055" s="9"/>
      <c r="HF1055" s="9"/>
      <c r="HG1055" s="9"/>
      <c r="HH1055" s="9"/>
      <c r="HI1055" s="9"/>
      <c r="HJ1055" s="9"/>
      <c r="HK1055" s="9"/>
      <c r="HL1055" s="9"/>
      <c r="HM1055" s="9"/>
      <c r="HZ1055" s="58"/>
    </row>
    <row r="1056" spans="140:234">
      <c r="EJ1056" s="9"/>
      <c r="EK1056" s="9"/>
      <c r="EL1056" s="9"/>
      <c r="EM1056" s="9"/>
      <c r="EN1056" s="9"/>
      <c r="EO1056" s="9"/>
      <c r="EP1056" s="9"/>
      <c r="EQ1056" s="9"/>
      <c r="ER1056" s="9"/>
      <c r="ES1056" s="9"/>
      <c r="ET1056" s="9"/>
      <c r="EU1056" s="9"/>
      <c r="EV1056" s="9"/>
      <c r="EW1056" s="9"/>
      <c r="EX1056" s="9"/>
      <c r="EY1056" s="9"/>
      <c r="EZ1056" s="9"/>
      <c r="FA1056" s="9"/>
      <c r="FB1056" s="9"/>
      <c r="FC1056" s="9"/>
      <c r="FD1056" s="9"/>
      <c r="FE1056" s="9"/>
      <c r="FF1056" s="9"/>
      <c r="FG1056" s="9"/>
      <c r="FH1056" s="9"/>
      <c r="FI1056" s="9"/>
      <c r="FJ1056" s="9"/>
      <c r="FK1056" s="9"/>
      <c r="FL1056" s="9"/>
      <c r="FM1056" s="9"/>
      <c r="FN1056" s="9"/>
      <c r="FO1056" s="9"/>
      <c r="FP1056" s="9"/>
      <c r="FQ1056" s="9"/>
      <c r="FR1056" s="9"/>
      <c r="FS1056" s="9"/>
      <c r="FT1056" s="9"/>
      <c r="FU1056" s="9"/>
      <c r="FV1056" s="9"/>
      <c r="FW1056" s="9"/>
      <c r="FX1056" s="9"/>
      <c r="FY1056" s="9"/>
      <c r="FZ1056" s="9"/>
      <c r="GA1056" s="9"/>
      <c r="GB1056" s="9"/>
      <c r="GC1056" s="9"/>
      <c r="GD1056" s="9"/>
      <c r="GE1056" s="9"/>
      <c r="GF1056" s="9"/>
      <c r="GG1056" s="9"/>
      <c r="GH1056" s="9"/>
      <c r="GI1056" s="9"/>
      <c r="GJ1056" s="9"/>
      <c r="GK1056" s="9"/>
      <c r="GL1056" s="9"/>
      <c r="GM1056" s="9"/>
      <c r="GN1056" s="9"/>
      <c r="GO1056" s="9"/>
      <c r="GP1056" s="9"/>
      <c r="GQ1056" s="9"/>
      <c r="GR1056" s="9"/>
      <c r="GS1056" s="9"/>
      <c r="GT1056" s="9"/>
      <c r="GU1056" s="9"/>
      <c r="GV1056" s="9"/>
      <c r="GW1056" s="9"/>
      <c r="GX1056" s="9"/>
      <c r="GY1056" s="9"/>
      <c r="GZ1056" s="9"/>
      <c r="HA1056" s="9"/>
      <c r="HB1056" s="9"/>
      <c r="HC1056" s="9"/>
      <c r="HD1056" s="9"/>
      <c r="HE1056" s="9"/>
      <c r="HF1056" s="9"/>
      <c r="HG1056" s="9"/>
      <c r="HH1056" s="9"/>
      <c r="HI1056" s="9"/>
      <c r="HJ1056" s="9"/>
      <c r="HK1056" s="9"/>
      <c r="HL1056" s="9"/>
      <c r="HM1056" s="9"/>
      <c r="HZ1056" s="58"/>
    </row>
    <row r="1057" spans="140:234">
      <c r="EJ1057" s="9"/>
      <c r="EK1057" s="9"/>
      <c r="EL1057" s="9"/>
      <c r="EM1057" s="9"/>
      <c r="EN1057" s="9"/>
      <c r="EO1057" s="9"/>
      <c r="EP1057" s="9"/>
      <c r="EQ1057" s="9"/>
      <c r="ER1057" s="9"/>
      <c r="ES1057" s="9"/>
      <c r="ET1057" s="9"/>
      <c r="EU1057" s="9"/>
      <c r="EV1057" s="9"/>
      <c r="EW1057" s="9"/>
      <c r="EX1057" s="9"/>
      <c r="EY1057" s="9"/>
      <c r="EZ1057" s="9"/>
      <c r="FA1057" s="9"/>
      <c r="FB1057" s="9"/>
      <c r="FC1057" s="9"/>
      <c r="FD1057" s="9"/>
      <c r="FE1057" s="9"/>
      <c r="FF1057" s="9"/>
      <c r="FG1057" s="9"/>
      <c r="FH1057" s="9"/>
      <c r="FI1057" s="9"/>
      <c r="FJ1057" s="9"/>
      <c r="FK1057" s="9"/>
      <c r="FL1057" s="9"/>
      <c r="FM1057" s="9"/>
      <c r="FN1057" s="9"/>
      <c r="FO1057" s="9"/>
      <c r="FP1057" s="9"/>
      <c r="FQ1057" s="9"/>
      <c r="FR1057" s="9"/>
      <c r="FS1057" s="9"/>
      <c r="FT1057" s="9"/>
      <c r="FU1057" s="9"/>
      <c r="FV1057" s="9"/>
      <c r="FW1057" s="9"/>
      <c r="FX1057" s="9"/>
      <c r="FY1057" s="9"/>
      <c r="FZ1057" s="9"/>
      <c r="GA1057" s="9"/>
      <c r="GB1057" s="9"/>
      <c r="GC1057" s="9"/>
      <c r="GD1057" s="9"/>
      <c r="GE1057" s="9"/>
      <c r="GF1057" s="9"/>
      <c r="GG1057" s="9"/>
      <c r="GH1057" s="9"/>
      <c r="GI1057" s="9"/>
      <c r="GJ1057" s="9"/>
      <c r="GK1057" s="9"/>
      <c r="GL1057" s="9"/>
      <c r="GM1057" s="9"/>
      <c r="GN1057" s="9"/>
      <c r="GO1057" s="9"/>
      <c r="GP1057" s="9"/>
      <c r="GQ1057" s="9"/>
      <c r="GR1057" s="9"/>
      <c r="GS1057" s="9"/>
      <c r="GT1057" s="9"/>
      <c r="GU1057" s="9"/>
      <c r="GV1057" s="9"/>
      <c r="GW1057" s="9"/>
      <c r="GX1057" s="9"/>
      <c r="GY1057" s="9"/>
      <c r="GZ1057" s="9"/>
      <c r="HA1057" s="9"/>
      <c r="HB1057" s="9"/>
      <c r="HC1057" s="9"/>
      <c r="HD1057" s="9"/>
      <c r="HE1057" s="9"/>
      <c r="HF1057" s="9"/>
      <c r="HG1057" s="9"/>
      <c r="HH1057" s="9"/>
      <c r="HI1057" s="9"/>
      <c r="HJ1057" s="9"/>
      <c r="HK1057" s="9"/>
      <c r="HL1057" s="9"/>
      <c r="HM1057" s="9"/>
      <c r="HZ1057" s="58"/>
    </row>
    <row r="1058" spans="140:234">
      <c r="EJ1058" s="9"/>
      <c r="EK1058" s="9"/>
      <c r="EL1058" s="9"/>
      <c r="EM1058" s="9"/>
      <c r="EN1058" s="9"/>
      <c r="EO1058" s="9"/>
      <c r="EP1058" s="9"/>
      <c r="EQ1058" s="9"/>
      <c r="ER1058" s="9"/>
      <c r="ES1058" s="9"/>
      <c r="ET1058" s="9"/>
      <c r="EU1058" s="9"/>
      <c r="EV1058" s="9"/>
      <c r="EW1058" s="9"/>
      <c r="EX1058" s="9"/>
      <c r="EY1058" s="9"/>
      <c r="EZ1058" s="9"/>
      <c r="FA1058" s="9"/>
      <c r="FB1058" s="9"/>
      <c r="FC1058" s="9"/>
      <c r="FD1058" s="9"/>
      <c r="FE1058" s="9"/>
      <c r="FF1058" s="9"/>
      <c r="FG1058" s="9"/>
      <c r="FH1058" s="9"/>
      <c r="FI1058" s="9"/>
      <c r="FJ1058" s="9"/>
      <c r="FK1058" s="9"/>
      <c r="FL1058" s="9"/>
      <c r="FM1058" s="9"/>
      <c r="FN1058" s="9"/>
      <c r="FO1058" s="9"/>
      <c r="FP1058" s="9"/>
      <c r="FQ1058" s="9"/>
      <c r="FR1058" s="9"/>
      <c r="FS1058" s="9"/>
      <c r="FT1058" s="9"/>
      <c r="FU1058" s="9"/>
      <c r="FV1058" s="9"/>
      <c r="FW1058" s="9"/>
      <c r="FX1058" s="9"/>
      <c r="FY1058" s="9"/>
      <c r="FZ1058" s="9"/>
      <c r="GA1058" s="9"/>
      <c r="GB1058" s="9"/>
      <c r="GC1058" s="9"/>
      <c r="GD1058" s="9"/>
      <c r="GE1058" s="9"/>
      <c r="GF1058" s="9"/>
      <c r="GG1058" s="9"/>
      <c r="GH1058" s="9"/>
      <c r="GI1058" s="9"/>
      <c r="GJ1058" s="9"/>
      <c r="GK1058" s="9"/>
      <c r="GL1058" s="9"/>
      <c r="GM1058" s="9"/>
      <c r="GN1058" s="9"/>
      <c r="GO1058" s="9"/>
      <c r="GP1058" s="9"/>
      <c r="GQ1058" s="9"/>
      <c r="GR1058" s="9"/>
      <c r="GS1058" s="9"/>
      <c r="GT1058" s="9"/>
      <c r="GU1058" s="9"/>
      <c r="GV1058" s="9"/>
      <c r="GW1058" s="9"/>
      <c r="GX1058" s="9"/>
      <c r="GY1058" s="9"/>
      <c r="GZ1058" s="9"/>
      <c r="HA1058" s="9"/>
      <c r="HB1058" s="9"/>
      <c r="HC1058" s="9"/>
      <c r="HD1058" s="9"/>
      <c r="HE1058" s="9"/>
      <c r="HF1058" s="9"/>
      <c r="HG1058" s="9"/>
      <c r="HH1058" s="9"/>
      <c r="HI1058" s="9"/>
      <c r="HJ1058" s="9"/>
      <c r="HK1058" s="9"/>
      <c r="HL1058" s="9"/>
      <c r="HM1058" s="9"/>
      <c r="HZ1058" s="58"/>
    </row>
    <row r="1059" spans="140:234">
      <c r="EJ1059" s="9"/>
      <c r="EK1059" s="9"/>
      <c r="EL1059" s="9"/>
      <c r="EM1059" s="9"/>
      <c r="EN1059" s="9"/>
      <c r="EO1059" s="9"/>
      <c r="EP1059" s="9"/>
      <c r="EQ1059" s="9"/>
      <c r="ER1059" s="9"/>
      <c r="ES1059" s="9"/>
      <c r="ET1059" s="9"/>
      <c r="EU1059" s="9"/>
      <c r="EV1059" s="9"/>
      <c r="EW1059" s="9"/>
      <c r="EX1059" s="9"/>
      <c r="EY1059" s="9"/>
      <c r="EZ1059" s="9"/>
      <c r="FA1059" s="9"/>
      <c r="FB1059" s="9"/>
      <c r="FC1059" s="9"/>
      <c r="FD1059" s="9"/>
      <c r="FE1059" s="9"/>
      <c r="FF1059" s="9"/>
      <c r="FG1059" s="9"/>
      <c r="FH1059" s="9"/>
      <c r="FI1059" s="9"/>
      <c r="FJ1059" s="9"/>
      <c r="FK1059" s="9"/>
      <c r="FL1059" s="9"/>
      <c r="FM1059" s="9"/>
      <c r="FN1059" s="9"/>
      <c r="FO1059" s="9"/>
      <c r="FP1059" s="9"/>
      <c r="FQ1059" s="9"/>
      <c r="FR1059" s="9"/>
      <c r="FS1059" s="9"/>
      <c r="FT1059" s="9"/>
      <c r="FU1059" s="9"/>
      <c r="FV1059" s="9"/>
      <c r="FW1059" s="9"/>
      <c r="FX1059" s="9"/>
      <c r="FY1059" s="9"/>
      <c r="FZ1059" s="9"/>
      <c r="GA1059" s="9"/>
      <c r="GB1059" s="9"/>
      <c r="GC1059" s="9"/>
      <c r="GD1059" s="9"/>
      <c r="GE1059" s="9"/>
      <c r="GF1059" s="9"/>
      <c r="GG1059" s="9"/>
      <c r="GH1059" s="9"/>
      <c r="GI1059" s="9"/>
      <c r="GJ1059" s="9"/>
      <c r="GK1059" s="9"/>
      <c r="GL1059" s="9"/>
      <c r="GM1059" s="9"/>
      <c r="GN1059" s="9"/>
      <c r="GO1059" s="9"/>
      <c r="GP1059" s="9"/>
      <c r="GQ1059" s="9"/>
      <c r="GR1059" s="9"/>
      <c r="GS1059" s="9"/>
      <c r="GT1059" s="9"/>
      <c r="GU1059" s="9"/>
      <c r="GV1059" s="9"/>
      <c r="GW1059" s="9"/>
      <c r="GX1059" s="9"/>
      <c r="GY1059" s="9"/>
      <c r="GZ1059" s="9"/>
      <c r="HA1059" s="9"/>
      <c r="HB1059" s="9"/>
      <c r="HC1059" s="9"/>
      <c r="HD1059" s="9"/>
      <c r="HE1059" s="9"/>
      <c r="HF1059" s="9"/>
      <c r="HG1059" s="9"/>
      <c r="HH1059" s="9"/>
      <c r="HI1059" s="9"/>
      <c r="HJ1059" s="9"/>
      <c r="HK1059" s="9"/>
      <c r="HL1059" s="9"/>
      <c r="HM1059" s="9"/>
      <c r="HZ1059" s="58"/>
    </row>
    <row r="1060" spans="140:234">
      <c r="EJ1060" s="9"/>
      <c r="EK1060" s="9"/>
      <c r="EL1060" s="9"/>
      <c r="EM1060" s="9"/>
      <c r="EN1060" s="9"/>
      <c r="EO1060" s="9"/>
      <c r="EP1060" s="9"/>
      <c r="EQ1060" s="9"/>
      <c r="ER1060" s="9"/>
      <c r="ES1060" s="9"/>
      <c r="ET1060" s="9"/>
      <c r="EU1060" s="9"/>
      <c r="EV1060" s="9"/>
      <c r="EW1060" s="9"/>
      <c r="EX1060" s="9"/>
      <c r="EY1060" s="9"/>
      <c r="EZ1060" s="9"/>
      <c r="FA1060" s="9"/>
      <c r="FB1060" s="9"/>
      <c r="FC1060" s="9"/>
      <c r="FD1060" s="9"/>
      <c r="FE1060" s="9"/>
      <c r="FF1060" s="9"/>
      <c r="FG1060" s="9"/>
      <c r="FH1060" s="9"/>
      <c r="FI1060" s="9"/>
      <c r="FJ1060" s="9"/>
      <c r="FK1060" s="9"/>
      <c r="FL1060" s="9"/>
      <c r="FM1060" s="9"/>
      <c r="FN1060" s="9"/>
      <c r="FO1060" s="9"/>
      <c r="FP1060" s="9"/>
      <c r="FQ1060" s="9"/>
      <c r="FR1060" s="9"/>
      <c r="FS1060" s="9"/>
      <c r="FT1060" s="9"/>
      <c r="FU1060" s="9"/>
      <c r="FV1060" s="9"/>
      <c r="FW1060" s="9"/>
      <c r="FX1060" s="9"/>
      <c r="FY1060" s="9"/>
      <c r="FZ1060" s="9"/>
      <c r="GA1060" s="9"/>
      <c r="GB1060" s="9"/>
      <c r="GC1060" s="9"/>
      <c r="GD1060" s="9"/>
      <c r="GE1060" s="9"/>
      <c r="GF1060" s="9"/>
      <c r="GG1060" s="9"/>
      <c r="GH1060" s="9"/>
      <c r="GI1060" s="9"/>
      <c r="GJ1060" s="9"/>
      <c r="GK1060" s="9"/>
      <c r="GL1060" s="9"/>
      <c r="GM1060" s="9"/>
      <c r="GN1060" s="9"/>
      <c r="GO1060" s="9"/>
      <c r="GP1060" s="9"/>
      <c r="GQ1060" s="9"/>
      <c r="GR1060" s="9"/>
      <c r="GS1060" s="9"/>
      <c r="GT1060" s="9"/>
      <c r="GU1060" s="9"/>
      <c r="GV1060" s="9"/>
      <c r="GW1060" s="9"/>
      <c r="GX1060" s="9"/>
      <c r="GY1060" s="9"/>
      <c r="GZ1060" s="9"/>
      <c r="HA1060" s="9"/>
      <c r="HB1060" s="9"/>
      <c r="HC1060" s="9"/>
      <c r="HD1060" s="9"/>
      <c r="HE1060" s="9"/>
      <c r="HF1060" s="9"/>
      <c r="HG1060" s="9"/>
      <c r="HH1060" s="9"/>
      <c r="HI1060" s="9"/>
      <c r="HJ1060" s="9"/>
      <c r="HK1060" s="9"/>
      <c r="HL1060" s="9"/>
      <c r="HM1060" s="9"/>
      <c r="HZ1060" s="58"/>
    </row>
    <row r="1061" spans="140:234">
      <c r="EJ1061" s="9"/>
      <c r="EK1061" s="9"/>
      <c r="EL1061" s="9"/>
      <c r="EM1061" s="9"/>
      <c r="EN1061" s="9"/>
      <c r="EO1061" s="9"/>
      <c r="EP1061" s="9"/>
      <c r="EQ1061" s="9"/>
      <c r="ER1061" s="9"/>
      <c r="ES1061" s="9"/>
      <c r="ET1061" s="9"/>
      <c r="EU1061" s="9"/>
      <c r="EV1061" s="9"/>
      <c r="EW1061" s="9"/>
      <c r="EX1061" s="9"/>
      <c r="EY1061" s="9"/>
      <c r="EZ1061" s="9"/>
      <c r="FA1061" s="9"/>
      <c r="FB1061" s="9"/>
      <c r="FC1061" s="9"/>
      <c r="FD1061" s="9"/>
      <c r="FE1061" s="9"/>
      <c r="FF1061" s="9"/>
      <c r="FG1061" s="9"/>
      <c r="FH1061" s="9"/>
      <c r="FI1061" s="9"/>
      <c r="FJ1061" s="9"/>
      <c r="FK1061" s="9"/>
      <c r="FL1061" s="9"/>
      <c r="FM1061" s="9"/>
      <c r="FN1061" s="9"/>
      <c r="FO1061" s="9"/>
      <c r="FP1061" s="9"/>
      <c r="FQ1061" s="9"/>
      <c r="FR1061" s="9"/>
      <c r="FS1061" s="9"/>
      <c r="FT1061" s="9"/>
      <c r="FU1061" s="9"/>
      <c r="FV1061" s="9"/>
      <c r="FW1061" s="9"/>
      <c r="FX1061" s="9"/>
      <c r="FY1061" s="9"/>
      <c r="FZ1061" s="9"/>
      <c r="GA1061" s="9"/>
      <c r="GB1061" s="9"/>
      <c r="GC1061" s="9"/>
      <c r="GD1061" s="9"/>
      <c r="GE1061" s="9"/>
      <c r="GF1061" s="9"/>
      <c r="GG1061" s="9"/>
      <c r="GH1061" s="9"/>
      <c r="GI1061" s="9"/>
      <c r="GJ1061" s="9"/>
      <c r="GK1061" s="9"/>
      <c r="GL1061" s="9"/>
      <c r="GM1061" s="9"/>
      <c r="GN1061" s="9"/>
      <c r="GO1061" s="9"/>
      <c r="GP1061" s="9"/>
      <c r="GQ1061" s="9"/>
      <c r="GR1061" s="9"/>
      <c r="GS1061" s="9"/>
      <c r="GT1061" s="9"/>
      <c r="GU1061" s="9"/>
      <c r="GV1061" s="9"/>
      <c r="GW1061" s="9"/>
      <c r="GX1061" s="9"/>
      <c r="GY1061" s="9"/>
      <c r="GZ1061" s="9"/>
      <c r="HA1061" s="9"/>
      <c r="HB1061" s="9"/>
      <c r="HC1061" s="9"/>
      <c r="HD1061" s="9"/>
      <c r="HE1061" s="9"/>
      <c r="HF1061" s="9"/>
      <c r="HG1061" s="9"/>
      <c r="HH1061" s="9"/>
      <c r="HI1061" s="9"/>
      <c r="HJ1061" s="9"/>
      <c r="HK1061" s="9"/>
      <c r="HL1061" s="9"/>
      <c r="HM1061" s="9"/>
      <c r="HZ1061" s="58"/>
    </row>
    <row r="1062" spans="140:234">
      <c r="EJ1062" s="9"/>
      <c r="EK1062" s="9"/>
      <c r="EL1062" s="9"/>
      <c r="EM1062" s="9"/>
      <c r="EN1062" s="9"/>
      <c r="EO1062" s="9"/>
      <c r="EP1062" s="9"/>
      <c r="EQ1062" s="9"/>
      <c r="ER1062" s="9"/>
      <c r="ES1062" s="9"/>
      <c r="ET1062" s="9"/>
      <c r="EU1062" s="9"/>
      <c r="EV1062" s="9"/>
      <c r="EW1062" s="9"/>
      <c r="EX1062" s="9"/>
      <c r="EY1062" s="9"/>
      <c r="EZ1062" s="9"/>
      <c r="FA1062" s="9"/>
      <c r="FB1062" s="9"/>
      <c r="FC1062" s="9"/>
      <c r="FD1062" s="9"/>
      <c r="FE1062" s="9"/>
      <c r="FF1062" s="9"/>
      <c r="FG1062" s="9"/>
      <c r="FH1062" s="9"/>
      <c r="FI1062" s="9"/>
      <c r="FJ1062" s="9"/>
      <c r="FK1062" s="9"/>
      <c r="FL1062" s="9"/>
      <c r="FM1062" s="9"/>
      <c r="FN1062" s="9"/>
      <c r="FO1062" s="9"/>
      <c r="FP1062" s="9"/>
      <c r="FQ1062" s="9"/>
      <c r="FR1062" s="9"/>
      <c r="FS1062" s="9"/>
      <c r="FT1062" s="9"/>
      <c r="FU1062" s="9"/>
      <c r="FV1062" s="9"/>
      <c r="FW1062" s="9"/>
      <c r="FX1062" s="9"/>
      <c r="FY1062" s="9"/>
      <c r="FZ1062" s="9"/>
      <c r="GA1062" s="9"/>
      <c r="GB1062" s="9"/>
      <c r="GC1062" s="9"/>
      <c r="GD1062" s="9"/>
      <c r="GE1062" s="9"/>
      <c r="GF1062" s="9"/>
      <c r="GG1062" s="9"/>
      <c r="GH1062" s="9"/>
      <c r="GI1062" s="9"/>
      <c r="GJ1062" s="9"/>
      <c r="GK1062" s="9"/>
      <c r="GL1062" s="9"/>
      <c r="GM1062" s="9"/>
      <c r="GN1062" s="9"/>
      <c r="GO1062" s="9"/>
      <c r="GP1062" s="9"/>
      <c r="GQ1062" s="9"/>
      <c r="GR1062" s="9"/>
      <c r="GS1062" s="9"/>
      <c r="GT1062" s="9"/>
      <c r="GU1062" s="9"/>
      <c r="GV1062" s="9"/>
      <c r="GW1062" s="9"/>
      <c r="GX1062" s="9"/>
      <c r="GY1062" s="9"/>
      <c r="GZ1062" s="9"/>
      <c r="HA1062" s="9"/>
      <c r="HB1062" s="9"/>
      <c r="HC1062" s="9"/>
      <c r="HD1062" s="9"/>
      <c r="HE1062" s="9"/>
      <c r="HF1062" s="9"/>
      <c r="HG1062" s="9"/>
      <c r="HH1062" s="9"/>
      <c r="HI1062" s="9"/>
      <c r="HJ1062" s="9"/>
      <c r="HK1062" s="9"/>
      <c r="HL1062" s="9"/>
      <c r="HM1062" s="9"/>
      <c r="HZ1062" s="58"/>
    </row>
    <row r="1063" spans="140:234">
      <c r="EJ1063" s="9"/>
      <c r="EK1063" s="9"/>
      <c r="EL1063" s="9"/>
      <c r="EM1063" s="9"/>
      <c r="EN1063" s="9"/>
      <c r="EO1063" s="9"/>
      <c r="EP1063" s="9"/>
      <c r="EQ1063" s="9"/>
      <c r="ER1063" s="9"/>
      <c r="ES1063" s="9"/>
      <c r="ET1063" s="9"/>
      <c r="EU1063" s="9"/>
      <c r="EV1063" s="9"/>
      <c r="EW1063" s="9"/>
      <c r="EX1063" s="9"/>
      <c r="EY1063" s="9"/>
      <c r="EZ1063" s="9"/>
      <c r="FA1063" s="9"/>
      <c r="FB1063" s="9"/>
      <c r="FC1063" s="9"/>
      <c r="FD1063" s="9"/>
      <c r="FE1063" s="9"/>
      <c r="FF1063" s="9"/>
      <c r="FG1063" s="9"/>
      <c r="FH1063" s="9"/>
      <c r="FI1063" s="9"/>
      <c r="FJ1063" s="9"/>
      <c r="FK1063" s="9"/>
      <c r="FL1063" s="9"/>
      <c r="FM1063" s="9"/>
      <c r="FN1063" s="9"/>
      <c r="FO1063" s="9"/>
      <c r="FP1063" s="9"/>
      <c r="FQ1063" s="9"/>
      <c r="FR1063" s="9"/>
      <c r="FS1063" s="9"/>
      <c r="FT1063" s="9"/>
      <c r="FU1063" s="9"/>
      <c r="FV1063" s="9"/>
      <c r="FW1063" s="9"/>
      <c r="FX1063" s="9"/>
      <c r="FY1063" s="9"/>
      <c r="FZ1063" s="9"/>
      <c r="GA1063" s="9"/>
      <c r="GB1063" s="9"/>
      <c r="GC1063" s="9"/>
      <c r="GD1063" s="9"/>
      <c r="GE1063" s="9"/>
      <c r="GF1063" s="9"/>
      <c r="GG1063" s="9"/>
      <c r="GH1063" s="9"/>
      <c r="GI1063" s="9"/>
      <c r="GJ1063" s="9"/>
      <c r="GK1063" s="9"/>
      <c r="GL1063" s="9"/>
      <c r="GM1063" s="9"/>
      <c r="GN1063" s="9"/>
      <c r="GO1063" s="9"/>
      <c r="GP1063" s="9"/>
      <c r="GQ1063" s="9"/>
      <c r="GR1063" s="9"/>
      <c r="GS1063" s="9"/>
      <c r="GT1063" s="9"/>
      <c r="GU1063" s="9"/>
      <c r="GV1063" s="9"/>
      <c r="GW1063" s="9"/>
      <c r="GX1063" s="9"/>
      <c r="GY1063" s="9"/>
      <c r="GZ1063" s="9"/>
      <c r="HA1063" s="9"/>
      <c r="HB1063" s="9"/>
      <c r="HC1063" s="9"/>
      <c r="HD1063" s="9"/>
      <c r="HE1063" s="9"/>
      <c r="HF1063" s="9"/>
      <c r="HG1063" s="9"/>
      <c r="HH1063" s="9"/>
      <c r="HI1063" s="9"/>
      <c r="HJ1063" s="9"/>
      <c r="HK1063" s="9"/>
      <c r="HL1063" s="9"/>
      <c r="HM1063" s="9"/>
      <c r="HZ1063" s="58"/>
    </row>
    <row r="1064" spans="140:234">
      <c r="EJ1064" s="9"/>
      <c r="EK1064" s="9"/>
      <c r="EL1064" s="9"/>
      <c r="EM1064" s="9"/>
      <c r="EN1064" s="9"/>
      <c r="EO1064" s="9"/>
      <c r="EP1064" s="9"/>
      <c r="EQ1064" s="9"/>
      <c r="ER1064" s="9"/>
      <c r="ES1064" s="9"/>
      <c r="ET1064" s="9"/>
      <c r="EU1064" s="9"/>
      <c r="EV1064" s="9"/>
      <c r="EW1064" s="9"/>
      <c r="EX1064" s="9"/>
      <c r="EY1064" s="9"/>
      <c r="EZ1064" s="9"/>
      <c r="FA1064" s="9"/>
      <c r="FB1064" s="9"/>
      <c r="FC1064" s="9"/>
      <c r="FD1064" s="9"/>
      <c r="FE1064" s="9"/>
      <c r="FF1064" s="9"/>
      <c r="FG1064" s="9"/>
      <c r="FH1064" s="9"/>
      <c r="FI1064" s="9"/>
      <c r="FJ1064" s="9"/>
      <c r="FK1064" s="9"/>
      <c r="FL1064" s="9"/>
      <c r="FM1064" s="9"/>
      <c r="FN1064" s="9"/>
      <c r="FO1064" s="9"/>
      <c r="FP1064" s="9"/>
      <c r="FQ1064" s="9"/>
      <c r="FR1064" s="9"/>
      <c r="FS1064" s="9"/>
      <c r="FT1064" s="9"/>
      <c r="FU1064" s="9"/>
      <c r="FV1064" s="9"/>
      <c r="FW1064" s="9"/>
      <c r="FX1064" s="9"/>
      <c r="FY1064" s="9"/>
      <c r="FZ1064" s="9"/>
      <c r="GA1064" s="9"/>
      <c r="GB1064" s="9"/>
      <c r="GC1064" s="9"/>
      <c r="GD1064" s="9"/>
      <c r="GE1064" s="9"/>
      <c r="GF1064" s="9"/>
      <c r="GG1064" s="9"/>
      <c r="GH1064" s="9"/>
      <c r="GI1064" s="9"/>
      <c r="GJ1064" s="9"/>
      <c r="GK1064" s="9"/>
      <c r="GL1064" s="9"/>
      <c r="GM1064" s="9"/>
      <c r="GN1064" s="9"/>
      <c r="GO1064" s="9"/>
      <c r="GP1064" s="9"/>
      <c r="GQ1064" s="9"/>
      <c r="GR1064" s="9"/>
      <c r="GS1064" s="9"/>
      <c r="GT1064" s="9"/>
      <c r="GU1064" s="9"/>
      <c r="GV1064" s="9"/>
      <c r="GW1064" s="9"/>
      <c r="GX1064" s="9"/>
      <c r="GY1064" s="9"/>
      <c r="GZ1064" s="9"/>
      <c r="HA1064" s="9"/>
      <c r="HB1064" s="9"/>
      <c r="HC1064" s="9"/>
      <c r="HD1064" s="9"/>
      <c r="HE1064" s="9"/>
      <c r="HF1064" s="9"/>
      <c r="HG1064" s="9"/>
      <c r="HH1064" s="9"/>
      <c r="HI1064" s="9"/>
      <c r="HJ1064" s="9"/>
      <c r="HK1064" s="9"/>
      <c r="HL1064" s="9"/>
      <c r="HM1064" s="9"/>
      <c r="HZ1064" s="58"/>
    </row>
    <row r="1065" spans="140:234">
      <c r="EJ1065" s="9"/>
      <c r="EK1065" s="9"/>
      <c r="EL1065" s="9"/>
      <c r="EM1065" s="9"/>
      <c r="EN1065" s="9"/>
      <c r="EO1065" s="9"/>
      <c r="EP1065" s="9"/>
      <c r="EQ1065" s="9"/>
      <c r="ER1065" s="9"/>
      <c r="ES1065" s="9"/>
      <c r="ET1065" s="9"/>
      <c r="EU1065" s="9"/>
      <c r="EV1065" s="9"/>
      <c r="EW1065" s="9"/>
      <c r="EX1065" s="9"/>
      <c r="EY1065" s="9"/>
      <c r="EZ1065" s="9"/>
      <c r="FA1065" s="9"/>
      <c r="FB1065" s="9"/>
      <c r="FC1065" s="9"/>
      <c r="FD1065" s="9"/>
      <c r="FE1065" s="9"/>
      <c r="FF1065" s="9"/>
      <c r="FG1065" s="9"/>
      <c r="FH1065" s="9"/>
      <c r="FI1065" s="9"/>
      <c r="FJ1065" s="9"/>
      <c r="FK1065" s="9"/>
      <c r="FL1065" s="9"/>
      <c r="FM1065" s="9"/>
      <c r="FN1065" s="9"/>
      <c r="FO1065" s="9"/>
      <c r="FP1065" s="9"/>
      <c r="FQ1065" s="9"/>
      <c r="FR1065" s="9"/>
      <c r="FS1065" s="9"/>
      <c r="FT1065" s="9"/>
      <c r="FU1065" s="9"/>
      <c r="FV1065" s="9"/>
      <c r="FW1065" s="9"/>
      <c r="FX1065" s="9"/>
      <c r="FY1065" s="9"/>
      <c r="FZ1065" s="9"/>
      <c r="GA1065" s="9"/>
      <c r="GB1065" s="9"/>
      <c r="GC1065" s="9"/>
      <c r="GD1065" s="9"/>
      <c r="GE1065" s="9"/>
      <c r="GF1065" s="9"/>
      <c r="GG1065" s="9"/>
      <c r="GH1065" s="9"/>
      <c r="GI1065" s="9"/>
      <c r="GJ1065" s="9"/>
      <c r="GK1065" s="9"/>
      <c r="GL1065" s="9"/>
      <c r="GM1065" s="9"/>
      <c r="GN1065" s="9"/>
      <c r="GO1065" s="9"/>
      <c r="GP1065" s="9"/>
      <c r="GQ1065" s="9"/>
      <c r="GR1065" s="9"/>
      <c r="GS1065" s="9"/>
      <c r="GT1065" s="9"/>
      <c r="GU1065" s="9"/>
      <c r="GV1065" s="9"/>
      <c r="GW1065" s="9"/>
      <c r="GX1065" s="9"/>
      <c r="GY1065" s="9"/>
      <c r="GZ1065" s="9"/>
      <c r="HA1065" s="9"/>
      <c r="HB1065" s="9"/>
      <c r="HC1065" s="9"/>
      <c r="HD1065" s="9"/>
      <c r="HE1065" s="9"/>
      <c r="HF1065" s="9"/>
      <c r="HG1065" s="9"/>
      <c r="HH1065" s="9"/>
      <c r="HI1065" s="9"/>
      <c r="HJ1065" s="9"/>
      <c r="HK1065" s="9"/>
      <c r="HL1065" s="9"/>
      <c r="HM1065" s="9"/>
      <c r="HZ1065" s="58"/>
    </row>
    <row r="1066" spans="140:234">
      <c r="EJ1066" s="9"/>
      <c r="EK1066" s="9"/>
      <c r="EL1066" s="9"/>
      <c r="EM1066" s="9"/>
      <c r="EN1066" s="9"/>
      <c r="EO1066" s="9"/>
      <c r="EP1066" s="9"/>
      <c r="EQ1066" s="9"/>
      <c r="ER1066" s="9"/>
      <c r="ES1066" s="9"/>
      <c r="ET1066" s="9"/>
      <c r="EU1066" s="9"/>
      <c r="EV1066" s="9"/>
      <c r="EW1066" s="9"/>
      <c r="EX1066" s="9"/>
      <c r="EY1066" s="9"/>
      <c r="EZ1066" s="9"/>
      <c r="FA1066" s="9"/>
      <c r="FB1066" s="9"/>
      <c r="FC1066" s="9"/>
      <c r="FD1066" s="9"/>
      <c r="FE1066" s="9"/>
      <c r="FF1066" s="9"/>
      <c r="FG1066" s="9"/>
      <c r="FH1066" s="9"/>
      <c r="FI1066" s="9"/>
      <c r="FJ1066" s="9"/>
      <c r="FK1066" s="9"/>
      <c r="FL1066" s="9"/>
      <c r="FM1066" s="9"/>
      <c r="FN1066" s="9"/>
      <c r="FO1066" s="9"/>
      <c r="FP1066" s="9"/>
      <c r="FQ1066" s="9"/>
      <c r="FR1066" s="9"/>
      <c r="FS1066" s="9"/>
      <c r="FT1066" s="9"/>
      <c r="FU1066" s="9"/>
      <c r="FV1066" s="9"/>
      <c r="FW1066" s="9"/>
      <c r="FX1066" s="9"/>
      <c r="FY1066" s="9"/>
      <c r="FZ1066" s="9"/>
      <c r="GA1066" s="9"/>
      <c r="GB1066" s="9"/>
      <c r="GC1066" s="9"/>
      <c r="GD1066" s="9"/>
      <c r="GE1066" s="9"/>
      <c r="GF1066" s="9"/>
      <c r="GG1066" s="9"/>
      <c r="GH1066" s="9"/>
      <c r="GI1066" s="9"/>
      <c r="GJ1066" s="9"/>
      <c r="GK1066" s="9"/>
      <c r="GL1066" s="9"/>
      <c r="GM1066" s="9"/>
      <c r="GN1066" s="9"/>
      <c r="GO1066" s="9"/>
      <c r="GP1066" s="9"/>
      <c r="GQ1066" s="9"/>
      <c r="GR1066" s="9"/>
      <c r="GS1066" s="9"/>
      <c r="GT1066" s="9"/>
      <c r="GU1066" s="9"/>
      <c r="GV1066" s="9"/>
      <c r="GW1066" s="9"/>
      <c r="GX1066" s="9"/>
      <c r="GY1066" s="9"/>
      <c r="GZ1066" s="9"/>
      <c r="HA1066" s="9"/>
      <c r="HB1066" s="9"/>
      <c r="HC1066" s="9"/>
      <c r="HD1066" s="9"/>
      <c r="HE1066" s="9"/>
      <c r="HF1066" s="9"/>
      <c r="HG1066" s="9"/>
      <c r="HH1066" s="9"/>
      <c r="HI1066" s="9"/>
      <c r="HJ1066" s="9"/>
      <c r="HK1066" s="9"/>
      <c r="HL1066" s="9"/>
      <c r="HM1066" s="9"/>
      <c r="HZ1066" s="58"/>
    </row>
    <row r="1067" spans="140:234">
      <c r="EJ1067" s="9"/>
      <c r="EK1067" s="9"/>
      <c r="EL1067" s="9"/>
      <c r="EM1067" s="9"/>
      <c r="EN1067" s="9"/>
      <c r="EO1067" s="9"/>
      <c r="EP1067" s="9"/>
      <c r="EQ1067" s="9"/>
      <c r="ER1067" s="9"/>
      <c r="ES1067" s="9"/>
      <c r="ET1067" s="9"/>
      <c r="EU1067" s="9"/>
      <c r="EV1067" s="9"/>
      <c r="EW1067" s="9"/>
      <c r="EX1067" s="9"/>
      <c r="EY1067" s="9"/>
      <c r="EZ1067" s="9"/>
      <c r="FA1067" s="9"/>
      <c r="FB1067" s="9"/>
      <c r="FC1067" s="9"/>
      <c r="FD1067" s="9"/>
      <c r="FE1067" s="9"/>
      <c r="FF1067" s="9"/>
      <c r="FG1067" s="9"/>
      <c r="FH1067" s="9"/>
      <c r="FI1067" s="9"/>
      <c r="FJ1067" s="9"/>
      <c r="FK1067" s="9"/>
      <c r="FL1067" s="9"/>
      <c r="FM1067" s="9"/>
      <c r="FN1067" s="9"/>
      <c r="FO1067" s="9"/>
      <c r="FP1067" s="9"/>
      <c r="FQ1067" s="9"/>
      <c r="FR1067" s="9"/>
      <c r="FS1067" s="9"/>
      <c r="FT1067" s="9"/>
      <c r="FU1067" s="9"/>
      <c r="FV1067" s="9"/>
      <c r="FW1067" s="9"/>
      <c r="FX1067" s="9"/>
      <c r="FY1067" s="9"/>
      <c r="FZ1067" s="9"/>
      <c r="GA1067" s="9"/>
      <c r="GB1067" s="9"/>
      <c r="GC1067" s="9"/>
      <c r="GD1067" s="9"/>
      <c r="GE1067" s="9"/>
      <c r="GF1067" s="9"/>
      <c r="GG1067" s="9"/>
      <c r="GH1067" s="9"/>
      <c r="GI1067" s="9"/>
      <c r="GJ1067" s="9"/>
      <c r="GK1067" s="9"/>
      <c r="GL1067" s="9"/>
      <c r="GM1067" s="9"/>
      <c r="GN1067" s="9"/>
      <c r="GO1067" s="9"/>
      <c r="GP1067" s="9"/>
      <c r="GQ1067" s="9"/>
      <c r="GR1067" s="9"/>
      <c r="GS1067" s="9"/>
      <c r="GT1067" s="9"/>
      <c r="GU1067" s="9"/>
      <c r="GV1067" s="9"/>
      <c r="GW1067" s="9"/>
      <c r="GX1067" s="9"/>
      <c r="GY1067" s="9"/>
      <c r="GZ1067" s="9"/>
      <c r="HA1067" s="9"/>
      <c r="HB1067" s="9"/>
      <c r="HC1067" s="9"/>
      <c r="HD1067" s="9"/>
      <c r="HE1067" s="9"/>
      <c r="HF1067" s="9"/>
      <c r="HG1067" s="9"/>
      <c r="HH1067" s="9"/>
      <c r="HI1067" s="9"/>
      <c r="HJ1067" s="9"/>
      <c r="HK1067" s="9"/>
      <c r="HL1067" s="9"/>
      <c r="HM1067" s="9"/>
      <c r="HZ1067" s="58"/>
    </row>
    <row r="1068" spans="140:234">
      <c r="EJ1068" s="9"/>
      <c r="EK1068" s="9"/>
      <c r="EL1068" s="9"/>
      <c r="EM1068" s="9"/>
      <c r="EN1068" s="9"/>
      <c r="EO1068" s="9"/>
      <c r="EP1068" s="9"/>
      <c r="EQ1068" s="9"/>
      <c r="ER1068" s="9"/>
      <c r="ES1068" s="9"/>
      <c r="ET1068" s="9"/>
      <c r="EU1068" s="9"/>
      <c r="EV1068" s="9"/>
      <c r="EW1068" s="9"/>
      <c r="EX1068" s="9"/>
      <c r="EY1068" s="9"/>
      <c r="EZ1068" s="9"/>
      <c r="FA1068" s="9"/>
      <c r="FB1068" s="9"/>
      <c r="FC1068" s="9"/>
      <c r="FD1068" s="9"/>
      <c r="FE1068" s="9"/>
      <c r="FF1068" s="9"/>
      <c r="FG1068" s="9"/>
      <c r="FH1068" s="9"/>
      <c r="FI1068" s="9"/>
      <c r="FJ1068" s="9"/>
      <c r="FK1068" s="9"/>
      <c r="FL1068" s="9"/>
      <c r="FM1068" s="9"/>
      <c r="FN1068" s="9"/>
      <c r="FO1068" s="9"/>
      <c r="FP1068" s="9"/>
      <c r="FQ1068" s="9"/>
      <c r="FR1068" s="9"/>
      <c r="FS1068" s="9"/>
      <c r="FT1068" s="9"/>
      <c r="FU1068" s="9"/>
      <c r="FV1068" s="9"/>
      <c r="FW1068" s="9"/>
      <c r="FX1068" s="9"/>
      <c r="FY1068" s="9"/>
      <c r="FZ1068" s="9"/>
      <c r="GA1068" s="9"/>
      <c r="GB1068" s="9"/>
      <c r="GC1068" s="9"/>
      <c r="GD1068" s="9"/>
      <c r="GE1068" s="9"/>
      <c r="GF1068" s="9"/>
      <c r="GG1068" s="9"/>
      <c r="GH1068" s="9"/>
      <c r="GI1068" s="9"/>
      <c r="GJ1068" s="9"/>
      <c r="GK1068" s="9"/>
      <c r="GL1068" s="9"/>
      <c r="GM1068" s="9"/>
      <c r="GN1068" s="9"/>
      <c r="GO1068" s="9"/>
      <c r="GP1068" s="9"/>
      <c r="GQ1068" s="9"/>
      <c r="GR1068" s="9"/>
      <c r="GS1068" s="9"/>
      <c r="GT1068" s="9"/>
      <c r="GU1068" s="9"/>
      <c r="GV1068" s="9"/>
      <c r="GW1068" s="9"/>
      <c r="GX1068" s="9"/>
      <c r="GY1068" s="9"/>
      <c r="GZ1068" s="9"/>
      <c r="HA1068" s="9"/>
      <c r="HB1068" s="9"/>
      <c r="HC1068" s="9"/>
      <c r="HD1068" s="9"/>
      <c r="HE1068" s="9"/>
      <c r="HF1068" s="9"/>
      <c r="HG1068" s="9"/>
      <c r="HH1068" s="9"/>
      <c r="HI1068" s="9"/>
      <c r="HJ1068" s="9"/>
      <c r="HK1068" s="9"/>
      <c r="HL1068" s="9"/>
      <c r="HM1068" s="9"/>
      <c r="HZ1068" s="58"/>
    </row>
    <row r="1069" spans="140:234">
      <c r="EJ1069" s="9"/>
      <c r="EK1069" s="9"/>
      <c r="EL1069" s="9"/>
      <c r="EM1069" s="9"/>
      <c r="EN1069" s="9"/>
      <c r="EO1069" s="9"/>
      <c r="EP1069" s="9"/>
      <c r="EQ1069" s="9"/>
      <c r="ER1069" s="9"/>
      <c r="ES1069" s="9"/>
      <c r="ET1069" s="9"/>
      <c r="EU1069" s="9"/>
      <c r="EV1069" s="9"/>
      <c r="EW1069" s="9"/>
      <c r="EX1069" s="9"/>
      <c r="EY1069" s="9"/>
      <c r="EZ1069" s="9"/>
      <c r="FA1069" s="9"/>
      <c r="FB1069" s="9"/>
      <c r="FC1069" s="9"/>
      <c r="FD1069" s="9"/>
      <c r="FE1069" s="9"/>
      <c r="FF1069" s="9"/>
      <c r="FG1069" s="9"/>
      <c r="FH1069" s="9"/>
      <c r="FI1069" s="9"/>
      <c r="FJ1069" s="9"/>
      <c r="FK1069" s="9"/>
      <c r="FL1069" s="9"/>
      <c r="FM1069" s="9"/>
      <c r="FN1069" s="9"/>
      <c r="FO1069" s="9"/>
      <c r="FP1069" s="9"/>
      <c r="FQ1069" s="9"/>
      <c r="FR1069" s="9"/>
      <c r="FS1069" s="9"/>
      <c r="FT1069" s="9"/>
      <c r="FU1069" s="9"/>
      <c r="FV1069" s="9"/>
      <c r="FW1069" s="9"/>
      <c r="FX1069" s="9"/>
      <c r="FY1069" s="9"/>
      <c r="FZ1069" s="9"/>
      <c r="GA1069" s="9"/>
      <c r="GB1069" s="9"/>
      <c r="GC1069" s="9"/>
      <c r="GD1069" s="9"/>
      <c r="GE1069" s="9"/>
      <c r="GF1069" s="9"/>
      <c r="GG1069" s="9"/>
      <c r="GH1069" s="9"/>
      <c r="GI1069" s="9"/>
      <c r="GJ1069" s="9"/>
      <c r="GK1069" s="9"/>
      <c r="GL1069" s="9"/>
      <c r="GM1069" s="9"/>
      <c r="GN1069" s="9"/>
      <c r="GO1069" s="9"/>
      <c r="GP1069" s="9"/>
      <c r="GQ1069" s="9"/>
      <c r="GR1069" s="9"/>
      <c r="GS1069" s="9"/>
      <c r="GT1069" s="9"/>
      <c r="GU1069" s="9"/>
      <c r="GV1069" s="9"/>
      <c r="GW1069" s="9"/>
      <c r="GX1069" s="9"/>
      <c r="GY1069" s="9"/>
      <c r="GZ1069" s="9"/>
      <c r="HA1069" s="9"/>
      <c r="HB1069" s="9"/>
      <c r="HC1069" s="9"/>
      <c r="HD1069" s="9"/>
      <c r="HE1069" s="9"/>
      <c r="HF1069" s="9"/>
      <c r="HG1069" s="9"/>
      <c r="HH1069" s="9"/>
      <c r="HI1069" s="9"/>
      <c r="HJ1069" s="9"/>
      <c r="HK1069" s="9"/>
      <c r="HL1069" s="9"/>
      <c r="HM1069" s="9"/>
      <c r="HZ1069" s="58"/>
    </row>
    <row r="1070" spans="140:234">
      <c r="EJ1070" s="9"/>
      <c r="EK1070" s="9"/>
      <c r="EL1070" s="9"/>
      <c r="EM1070" s="9"/>
      <c r="EN1070" s="9"/>
      <c r="EO1070" s="9"/>
      <c r="EP1070" s="9"/>
      <c r="EQ1070" s="9"/>
      <c r="ER1070" s="9"/>
      <c r="ES1070" s="9"/>
      <c r="ET1070" s="9"/>
      <c r="EU1070" s="9"/>
      <c r="EV1070" s="9"/>
      <c r="EW1070" s="9"/>
      <c r="EX1070" s="9"/>
      <c r="EY1070" s="9"/>
      <c r="EZ1070" s="9"/>
      <c r="FA1070" s="9"/>
      <c r="FB1070" s="9"/>
      <c r="FC1070" s="9"/>
      <c r="FD1070" s="9"/>
      <c r="FE1070" s="9"/>
      <c r="FF1070" s="9"/>
      <c r="FG1070" s="9"/>
      <c r="FH1070" s="9"/>
      <c r="FI1070" s="9"/>
      <c r="FJ1070" s="9"/>
      <c r="FK1070" s="9"/>
      <c r="FL1070" s="9"/>
      <c r="FM1070" s="9"/>
      <c r="FN1070" s="9"/>
      <c r="FO1070" s="9"/>
      <c r="FP1070" s="9"/>
      <c r="FQ1070" s="9"/>
      <c r="FR1070" s="9"/>
      <c r="FS1070" s="9"/>
      <c r="FT1070" s="9"/>
      <c r="FU1070" s="9"/>
      <c r="FV1070" s="9"/>
      <c r="FW1070" s="9"/>
      <c r="FX1070" s="9"/>
      <c r="FY1070" s="9"/>
      <c r="FZ1070" s="9"/>
      <c r="GA1070" s="9"/>
      <c r="GB1070" s="9"/>
      <c r="GC1070" s="9"/>
      <c r="GD1070" s="9"/>
      <c r="GE1070" s="9"/>
      <c r="GF1070" s="9"/>
      <c r="GG1070" s="9"/>
      <c r="GH1070" s="9"/>
      <c r="GI1070" s="9"/>
      <c r="GJ1070" s="9"/>
      <c r="GK1070" s="9"/>
      <c r="GL1070" s="9"/>
      <c r="GM1070" s="9"/>
      <c r="GN1070" s="9"/>
      <c r="GO1070" s="9"/>
      <c r="GP1070" s="9"/>
      <c r="GQ1070" s="9"/>
      <c r="GR1070" s="9"/>
      <c r="GS1070" s="9"/>
      <c r="GT1070" s="9"/>
      <c r="GU1070" s="9"/>
      <c r="GV1070" s="9"/>
      <c r="GW1070" s="9"/>
      <c r="GX1070" s="9"/>
      <c r="GY1070" s="9"/>
      <c r="GZ1070" s="9"/>
      <c r="HA1070" s="9"/>
      <c r="HB1070" s="9"/>
      <c r="HC1070" s="9"/>
      <c r="HD1070" s="9"/>
      <c r="HE1070" s="9"/>
      <c r="HF1070" s="9"/>
      <c r="HG1070" s="9"/>
      <c r="HH1070" s="9"/>
      <c r="HI1070" s="9"/>
      <c r="HJ1070" s="9"/>
      <c r="HK1070" s="9"/>
      <c r="HL1070" s="9"/>
      <c r="HM1070" s="9"/>
      <c r="HZ1070" s="58"/>
    </row>
    <row r="1071" spans="140:234">
      <c r="EJ1071" s="9"/>
      <c r="EK1071" s="9"/>
      <c r="EL1071" s="9"/>
      <c r="EM1071" s="9"/>
      <c r="EN1071" s="9"/>
      <c r="EO1071" s="9"/>
      <c r="EP1071" s="9"/>
      <c r="EQ1071" s="9"/>
      <c r="ER1071" s="9"/>
      <c r="ES1071" s="9"/>
      <c r="ET1071" s="9"/>
      <c r="EU1071" s="9"/>
      <c r="EV1071" s="9"/>
      <c r="EW1071" s="9"/>
      <c r="EX1071" s="9"/>
      <c r="EY1071" s="9"/>
      <c r="EZ1071" s="9"/>
      <c r="FA1071" s="9"/>
      <c r="FB1071" s="9"/>
      <c r="FC1071" s="9"/>
      <c r="FD1071" s="9"/>
      <c r="FE1071" s="9"/>
      <c r="FF1071" s="9"/>
      <c r="FG1071" s="9"/>
      <c r="FH1071" s="9"/>
      <c r="FI1071" s="9"/>
      <c r="FJ1071" s="9"/>
      <c r="FK1071" s="9"/>
      <c r="FL1071" s="9"/>
      <c r="FM1071" s="9"/>
      <c r="FN1071" s="9"/>
      <c r="FO1071" s="9"/>
      <c r="FP1071" s="9"/>
      <c r="FQ1071" s="9"/>
      <c r="FR1071" s="9"/>
      <c r="FS1071" s="9"/>
      <c r="FT1071" s="9"/>
      <c r="FU1071" s="9"/>
      <c r="FV1071" s="9"/>
      <c r="FW1071" s="9"/>
      <c r="FX1071" s="9"/>
      <c r="FY1071" s="9"/>
      <c r="FZ1071" s="9"/>
      <c r="GA1071" s="9"/>
      <c r="GB1071" s="9"/>
      <c r="GC1071" s="9"/>
      <c r="GD1071" s="9"/>
      <c r="GE1071" s="9"/>
      <c r="GF1071" s="9"/>
      <c r="GG1071" s="9"/>
      <c r="GH1071" s="9"/>
      <c r="GI1071" s="9"/>
      <c r="GJ1071" s="9"/>
      <c r="GK1071" s="9"/>
      <c r="GL1071" s="9"/>
      <c r="GM1071" s="9"/>
      <c r="GN1071" s="9"/>
      <c r="GO1071" s="9"/>
      <c r="GP1071" s="9"/>
      <c r="GQ1071" s="9"/>
      <c r="GR1071" s="9"/>
      <c r="GS1071" s="9"/>
      <c r="GT1071" s="9"/>
      <c r="GU1071" s="9"/>
      <c r="GV1071" s="9"/>
      <c r="GW1071" s="9"/>
      <c r="GX1071" s="9"/>
      <c r="GY1071" s="9"/>
      <c r="GZ1071" s="9"/>
      <c r="HA1071" s="9"/>
      <c r="HB1071" s="9"/>
      <c r="HC1071" s="9"/>
      <c r="HD1071" s="9"/>
      <c r="HE1071" s="9"/>
      <c r="HF1071" s="9"/>
      <c r="HG1071" s="9"/>
      <c r="HH1071" s="9"/>
      <c r="HI1071" s="9"/>
      <c r="HJ1071" s="9"/>
      <c r="HK1071" s="9"/>
      <c r="HL1071" s="9"/>
      <c r="HM1071" s="9"/>
      <c r="HZ1071" s="58"/>
    </row>
    <row r="1072" spans="140:234">
      <c r="EJ1072" s="9"/>
      <c r="EK1072" s="9"/>
      <c r="EL1072" s="9"/>
      <c r="EM1072" s="9"/>
      <c r="EN1072" s="9"/>
      <c r="EO1072" s="9"/>
      <c r="EP1072" s="9"/>
      <c r="EQ1072" s="9"/>
      <c r="ER1072" s="9"/>
      <c r="ES1072" s="9"/>
      <c r="ET1072" s="9"/>
      <c r="EU1072" s="9"/>
      <c r="EV1072" s="9"/>
      <c r="EW1072" s="9"/>
      <c r="EX1072" s="9"/>
      <c r="EY1072" s="9"/>
      <c r="EZ1072" s="9"/>
      <c r="FA1072" s="9"/>
      <c r="FB1072" s="9"/>
      <c r="FC1072" s="9"/>
      <c r="FD1072" s="9"/>
      <c r="FE1072" s="9"/>
      <c r="FF1072" s="9"/>
      <c r="FG1072" s="9"/>
      <c r="FH1072" s="9"/>
      <c r="FI1072" s="9"/>
      <c r="FJ1072" s="9"/>
      <c r="FK1072" s="9"/>
      <c r="FL1072" s="9"/>
      <c r="FM1072" s="9"/>
      <c r="FN1072" s="9"/>
      <c r="FO1072" s="9"/>
      <c r="FP1072" s="9"/>
      <c r="FQ1072" s="9"/>
      <c r="FR1072" s="9"/>
      <c r="FS1072" s="9"/>
      <c r="FT1072" s="9"/>
      <c r="FU1072" s="9"/>
      <c r="FV1072" s="9"/>
      <c r="FW1072" s="9"/>
      <c r="FX1072" s="9"/>
      <c r="FY1072" s="9"/>
      <c r="FZ1072" s="9"/>
      <c r="GA1072" s="9"/>
      <c r="GB1072" s="9"/>
      <c r="GC1072" s="9"/>
      <c r="GD1072" s="9"/>
      <c r="GE1072" s="9"/>
      <c r="GF1072" s="9"/>
      <c r="GG1072" s="9"/>
      <c r="GH1072" s="9"/>
      <c r="GI1072" s="9"/>
      <c r="GJ1072" s="9"/>
      <c r="GK1072" s="9"/>
      <c r="GL1072" s="9"/>
      <c r="GM1072" s="9"/>
      <c r="GN1072" s="9"/>
      <c r="GO1072" s="9"/>
      <c r="GP1072" s="9"/>
      <c r="GQ1072" s="9"/>
      <c r="GR1072" s="9"/>
      <c r="GS1072" s="9"/>
      <c r="GT1072" s="9"/>
      <c r="GU1072" s="9"/>
      <c r="GV1072" s="9"/>
      <c r="GW1072" s="9"/>
      <c r="GX1072" s="9"/>
      <c r="GY1072" s="9"/>
      <c r="GZ1072" s="9"/>
      <c r="HA1072" s="9"/>
      <c r="HB1072" s="9"/>
      <c r="HC1072" s="9"/>
      <c r="HD1072" s="9"/>
      <c r="HE1072" s="9"/>
      <c r="HF1072" s="9"/>
      <c r="HG1072" s="9"/>
      <c r="HH1072" s="9"/>
      <c r="HI1072" s="9"/>
      <c r="HJ1072" s="9"/>
      <c r="HK1072" s="9"/>
      <c r="HL1072" s="9"/>
      <c r="HM1072" s="9"/>
      <c r="HZ1072" s="58"/>
    </row>
    <row r="1073" spans="140:234">
      <c r="EJ1073" s="9"/>
      <c r="EK1073" s="9"/>
      <c r="EL1073" s="9"/>
      <c r="EM1073" s="9"/>
      <c r="EN1073" s="9"/>
      <c r="EO1073" s="9"/>
      <c r="EP1073" s="9"/>
      <c r="EQ1073" s="9"/>
      <c r="ER1073" s="9"/>
      <c r="ES1073" s="9"/>
      <c r="ET1073" s="9"/>
      <c r="EU1073" s="9"/>
      <c r="EV1073" s="9"/>
      <c r="EW1073" s="9"/>
      <c r="EX1073" s="9"/>
      <c r="EY1073" s="9"/>
      <c r="EZ1073" s="9"/>
      <c r="FA1073" s="9"/>
      <c r="FB1073" s="9"/>
      <c r="FC1073" s="9"/>
      <c r="FD1073" s="9"/>
      <c r="FE1073" s="9"/>
      <c r="FF1073" s="9"/>
      <c r="FG1073" s="9"/>
      <c r="FH1073" s="9"/>
      <c r="FI1073" s="9"/>
      <c r="FJ1073" s="9"/>
      <c r="FK1073" s="9"/>
      <c r="FL1073" s="9"/>
      <c r="FM1073" s="9"/>
      <c r="FN1073" s="9"/>
      <c r="FO1073" s="9"/>
      <c r="FP1073" s="9"/>
      <c r="FQ1073" s="9"/>
      <c r="FR1073" s="9"/>
      <c r="FS1073" s="9"/>
      <c r="FT1073" s="9"/>
      <c r="FU1073" s="9"/>
      <c r="FV1073" s="9"/>
      <c r="FW1073" s="9"/>
      <c r="FX1073" s="9"/>
      <c r="FY1073" s="9"/>
      <c r="FZ1073" s="9"/>
      <c r="GA1073" s="9"/>
      <c r="GB1073" s="9"/>
      <c r="GC1073" s="9"/>
      <c r="GD1073" s="9"/>
      <c r="GE1073" s="9"/>
      <c r="GF1073" s="9"/>
      <c r="GG1073" s="9"/>
      <c r="GH1073" s="9"/>
      <c r="GI1073" s="9"/>
      <c r="GJ1073" s="9"/>
      <c r="GK1073" s="9"/>
      <c r="GL1073" s="9"/>
      <c r="GM1073" s="9"/>
      <c r="GN1073" s="9"/>
      <c r="GO1073" s="9"/>
      <c r="GP1073" s="9"/>
      <c r="GQ1073" s="9"/>
      <c r="GR1073" s="9"/>
      <c r="GS1073" s="9"/>
      <c r="GT1073" s="9"/>
      <c r="GU1073" s="9"/>
      <c r="GV1073" s="9"/>
      <c r="GW1073" s="9"/>
      <c r="GX1073" s="9"/>
      <c r="GY1073" s="9"/>
      <c r="GZ1073" s="9"/>
      <c r="HA1073" s="9"/>
      <c r="HB1073" s="9"/>
      <c r="HC1073" s="9"/>
      <c r="HD1073" s="9"/>
      <c r="HE1073" s="9"/>
      <c r="HF1073" s="9"/>
      <c r="HG1073" s="9"/>
      <c r="HH1073" s="9"/>
      <c r="HI1073" s="9"/>
      <c r="HJ1073" s="9"/>
      <c r="HK1073" s="9"/>
      <c r="HL1073" s="9"/>
      <c r="HM1073" s="9"/>
      <c r="HZ1073" s="58"/>
    </row>
    <row r="1074" spans="140:234">
      <c r="EJ1074" s="9"/>
      <c r="EK1074" s="9"/>
      <c r="EL1074" s="9"/>
      <c r="EM1074" s="9"/>
      <c r="EN1074" s="9"/>
      <c r="EO1074" s="9"/>
      <c r="EP1074" s="9"/>
      <c r="EQ1074" s="9"/>
      <c r="ER1074" s="9"/>
      <c r="ES1074" s="9"/>
      <c r="ET1074" s="9"/>
      <c r="EU1074" s="9"/>
      <c r="EV1074" s="9"/>
      <c r="EW1074" s="9"/>
      <c r="EX1074" s="9"/>
      <c r="EY1074" s="9"/>
      <c r="EZ1074" s="9"/>
      <c r="FA1074" s="9"/>
      <c r="FB1074" s="9"/>
      <c r="FC1074" s="9"/>
      <c r="FD1074" s="9"/>
      <c r="FE1074" s="9"/>
      <c r="FF1074" s="9"/>
      <c r="FG1074" s="9"/>
      <c r="FH1074" s="9"/>
      <c r="FI1074" s="9"/>
      <c r="FJ1074" s="9"/>
      <c r="FK1074" s="9"/>
      <c r="FL1074" s="9"/>
      <c r="FM1074" s="9"/>
      <c r="FN1074" s="9"/>
      <c r="FO1074" s="9"/>
      <c r="FP1074" s="9"/>
      <c r="FQ1074" s="9"/>
      <c r="FR1074" s="9"/>
      <c r="FS1074" s="9"/>
      <c r="FT1074" s="9"/>
      <c r="FU1074" s="9"/>
      <c r="FV1074" s="9"/>
      <c r="FW1074" s="9"/>
      <c r="FX1074" s="9"/>
      <c r="FY1074" s="9"/>
      <c r="FZ1074" s="9"/>
      <c r="GA1074" s="9"/>
      <c r="GB1074" s="9"/>
      <c r="GC1074" s="9"/>
      <c r="GD1074" s="9"/>
      <c r="GE1074" s="9"/>
      <c r="GF1074" s="9"/>
      <c r="GG1074" s="9"/>
      <c r="GH1074" s="9"/>
      <c r="GI1074" s="9"/>
      <c r="GJ1074" s="9"/>
      <c r="GK1074" s="9"/>
      <c r="GL1074" s="9"/>
      <c r="GM1074" s="9"/>
      <c r="GN1074" s="9"/>
      <c r="GO1074" s="9"/>
      <c r="GP1074" s="9"/>
      <c r="GQ1074" s="9"/>
      <c r="GR1074" s="9"/>
      <c r="GS1074" s="9"/>
      <c r="GT1074" s="9"/>
      <c r="GU1074" s="9"/>
      <c r="GV1074" s="9"/>
      <c r="GW1074" s="9"/>
      <c r="GX1074" s="9"/>
      <c r="GY1074" s="9"/>
      <c r="GZ1074" s="9"/>
      <c r="HA1074" s="9"/>
      <c r="HB1074" s="9"/>
      <c r="HC1074" s="9"/>
      <c r="HD1074" s="9"/>
      <c r="HE1074" s="9"/>
      <c r="HF1074" s="9"/>
      <c r="HG1074" s="9"/>
      <c r="HH1074" s="9"/>
      <c r="HI1074" s="9"/>
      <c r="HJ1074" s="9"/>
      <c r="HK1074" s="9"/>
      <c r="HL1074" s="9"/>
      <c r="HM1074" s="9"/>
      <c r="HZ1074" s="58"/>
    </row>
    <row r="1075" spans="140:234">
      <c r="EJ1075" s="9"/>
      <c r="EK1075" s="9"/>
      <c r="EL1075" s="9"/>
      <c r="EM1075" s="9"/>
      <c r="EN1075" s="9"/>
      <c r="EO1075" s="9"/>
      <c r="EP1075" s="9"/>
      <c r="EQ1075" s="9"/>
      <c r="ER1075" s="9"/>
      <c r="ES1075" s="9"/>
      <c r="ET1075" s="9"/>
      <c r="EU1075" s="9"/>
      <c r="EV1075" s="9"/>
      <c r="EW1075" s="9"/>
      <c r="EX1075" s="9"/>
      <c r="EY1075" s="9"/>
      <c r="EZ1075" s="9"/>
      <c r="FA1075" s="9"/>
      <c r="FB1075" s="9"/>
      <c r="FC1075" s="9"/>
      <c r="FD1075" s="9"/>
      <c r="FE1075" s="9"/>
      <c r="FF1075" s="9"/>
      <c r="FG1075" s="9"/>
      <c r="FH1075" s="9"/>
      <c r="FI1075" s="9"/>
      <c r="FJ1075" s="9"/>
      <c r="FK1075" s="9"/>
      <c r="FL1075" s="9"/>
      <c r="FM1075" s="9"/>
      <c r="FN1075" s="9"/>
      <c r="FO1075" s="9"/>
      <c r="FP1075" s="9"/>
      <c r="FQ1075" s="9"/>
      <c r="FR1075" s="9"/>
      <c r="FS1075" s="9"/>
      <c r="FT1075" s="9"/>
      <c r="FU1075" s="9"/>
      <c r="FV1075" s="9"/>
      <c r="FW1075" s="9"/>
      <c r="FX1075" s="9"/>
      <c r="FY1075" s="9"/>
      <c r="FZ1075" s="9"/>
      <c r="GA1075" s="9"/>
      <c r="GB1075" s="9"/>
      <c r="GC1075" s="9"/>
      <c r="GD1075" s="9"/>
      <c r="GE1075" s="9"/>
      <c r="GF1075" s="9"/>
      <c r="GG1075" s="9"/>
      <c r="GH1075" s="9"/>
      <c r="GI1075" s="9"/>
      <c r="GJ1075" s="9"/>
      <c r="GK1075" s="9"/>
      <c r="GL1075" s="9"/>
      <c r="GM1075" s="9"/>
      <c r="GN1075" s="9"/>
      <c r="GO1075" s="9"/>
      <c r="GP1075" s="9"/>
      <c r="GQ1075" s="9"/>
      <c r="GR1075" s="9"/>
      <c r="GS1075" s="9"/>
      <c r="GT1075" s="9"/>
      <c r="GU1075" s="9"/>
      <c r="GV1075" s="9"/>
      <c r="GW1075" s="9"/>
      <c r="GX1075" s="9"/>
      <c r="GY1075" s="9"/>
      <c r="GZ1075" s="9"/>
      <c r="HA1075" s="9"/>
      <c r="HB1075" s="9"/>
      <c r="HC1075" s="9"/>
      <c r="HD1075" s="9"/>
      <c r="HE1075" s="9"/>
      <c r="HF1075" s="9"/>
      <c r="HG1075" s="9"/>
      <c r="HH1075" s="9"/>
      <c r="HI1075" s="9"/>
      <c r="HJ1075" s="9"/>
      <c r="HK1075" s="9"/>
      <c r="HL1075" s="9"/>
      <c r="HM1075" s="9"/>
      <c r="HZ1075" s="58"/>
    </row>
    <row r="1076" spans="140:234">
      <c r="EJ1076" s="9"/>
      <c r="EK1076" s="9"/>
      <c r="EL1076" s="9"/>
      <c r="EM1076" s="9"/>
      <c r="EN1076" s="9"/>
      <c r="EO1076" s="9"/>
      <c r="EP1076" s="9"/>
      <c r="EQ1076" s="9"/>
      <c r="ER1076" s="9"/>
      <c r="ES1076" s="9"/>
      <c r="ET1076" s="9"/>
      <c r="EU1076" s="9"/>
      <c r="EV1076" s="9"/>
      <c r="EW1076" s="9"/>
      <c r="EX1076" s="9"/>
      <c r="EY1076" s="9"/>
      <c r="EZ1076" s="9"/>
      <c r="FA1076" s="9"/>
      <c r="FB1076" s="9"/>
      <c r="FC1076" s="9"/>
      <c r="FD1076" s="9"/>
      <c r="FE1076" s="9"/>
      <c r="FF1076" s="9"/>
      <c r="FG1076" s="9"/>
      <c r="FH1076" s="9"/>
      <c r="FI1076" s="9"/>
      <c r="FJ1076" s="9"/>
      <c r="FK1076" s="9"/>
      <c r="FL1076" s="9"/>
      <c r="FM1076" s="9"/>
      <c r="FN1076" s="9"/>
      <c r="FO1076" s="9"/>
      <c r="FP1076" s="9"/>
      <c r="FQ1076" s="9"/>
      <c r="FR1076" s="9"/>
      <c r="FS1076" s="9"/>
      <c r="FT1076" s="9"/>
      <c r="FU1076" s="9"/>
      <c r="FV1076" s="9"/>
      <c r="FW1076" s="9"/>
      <c r="FX1076" s="9"/>
      <c r="FY1076" s="9"/>
      <c r="FZ1076" s="9"/>
      <c r="GA1076" s="9"/>
      <c r="GB1076" s="9"/>
      <c r="GC1076" s="9"/>
      <c r="GD1076" s="9"/>
      <c r="GE1076" s="9"/>
      <c r="GF1076" s="9"/>
      <c r="GG1076" s="9"/>
      <c r="GH1076" s="9"/>
      <c r="GI1076" s="9"/>
      <c r="GJ1076" s="9"/>
      <c r="GK1076" s="9"/>
      <c r="GL1076" s="9"/>
      <c r="GM1076" s="9"/>
      <c r="GN1076" s="9"/>
      <c r="GO1076" s="9"/>
      <c r="GP1076" s="9"/>
      <c r="GQ1076" s="9"/>
      <c r="GR1076" s="9"/>
      <c r="GS1076" s="9"/>
      <c r="GT1076" s="9"/>
      <c r="GU1076" s="9"/>
      <c r="GV1076" s="9"/>
      <c r="GW1076" s="9"/>
      <c r="GX1076" s="9"/>
      <c r="GY1076" s="9"/>
      <c r="GZ1076" s="9"/>
      <c r="HA1076" s="9"/>
      <c r="HB1076" s="9"/>
      <c r="HC1076" s="9"/>
      <c r="HD1076" s="9"/>
      <c r="HE1076" s="9"/>
      <c r="HF1076" s="9"/>
      <c r="HG1076" s="9"/>
      <c r="HH1076" s="9"/>
      <c r="HI1076" s="9"/>
      <c r="HJ1076" s="9"/>
      <c r="HK1076" s="9"/>
      <c r="HL1076" s="9"/>
      <c r="HM1076" s="9"/>
      <c r="HZ1076" s="58"/>
    </row>
    <row r="1077" spans="140:234">
      <c r="EJ1077" s="9"/>
      <c r="EK1077" s="9"/>
      <c r="EL1077" s="9"/>
      <c r="EM1077" s="9"/>
      <c r="EN1077" s="9"/>
      <c r="EO1077" s="9"/>
      <c r="EP1077" s="9"/>
      <c r="EQ1077" s="9"/>
      <c r="ER1077" s="9"/>
      <c r="ES1077" s="9"/>
      <c r="ET1077" s="9"/>
      <c r="EU1077" s="9"/>
      <c r="EV1077" s="9"/>
      <c r="EW1077" s="9"/>
      <c r="EX1077" s="9"/>
      <c r="EY1077" s="9"/>
      <c r="EZ1077" s="9"/>
      <c r="FA1077" s="9"/>
      <c r="FB1077" s="9"/>
      <c r="FC1077" s="9"/>
      <c r="FD1077" s="9"/>
      <c r="FE1077" s="9"/>
      <c r="FF1077" s="9"/>
      <c r="FG1077" s="9"/>
      <c r="FH1077" s="9"/>
      <c r="FI1077" s="9"/>
      <c r="FJ1077" s="9"/>
      <c r="FK1077" s="9"/>
      <c r="FL1077" s="9"/>
      <c r="FM1077" s="9"/>
      <c r="FN1077" s="9"/>
      <c r="FO1077" s="9"/>
      <c r="FP1077" s="9"/>
      <c r="FQ1077" s="9"/>
      <c r="FR1077" s="9"/>
      <c r="FS1077" s="9"/>
      <c r="FT1077" s="9"/>
      <c r="FU1077" s="9"/>
      <c r="FV1077" s="9"/>
      <c r="FW1077" s="9"/>
      <c r="FX1077" s="9"/>
      <c r="FY1077" s="9"/>
      <c r="FZ1077" s="9"/>
      <c r="GA1077" s="9"/>
      <c r="GB1077" s="9"/>
      <c r="GC1077" s="9"/>
      <c r="GD1077" s="9"/>
      <c r="GE1077" s="9"/>
      <c r="GF1077" s="9"/>
      <c r="GG1077" s="9"/>
      <c r="GH1077" s="9"/>
      <c r="GI1077" s="9"/>
      <c r="GJ1077" s="9"/>
      <c r="GK1077" s="9"/>
      <c r="GL1077" s="9"/>
      <c r="GM1077" s="9"/>
      <c r="GN1077" s="9"/>
      <c r="GO1077" s="9"/>
      <c r="GP1077" s="9"/>
      <c r="GQ1077" s="9"/>
      <c r="GR1077" s="9"/>
      <c r="GS1077" s="9"/>
      <c r="GT1077" s="9"/>
      <c r="GU1077" s="9"/>
      <c r="GV1077" s="9"/>
      <c r="GW1077" s="9"/>
      <c r="GX1077" s="9"/>
      <c r="GY1077" s="9"/>
      <c r="GZ1077" s="9"/>
      <c r="HA1077" s="9"/>
      <c r="HB1077" s="9"/>
      <c r="HC1077" s="9"/>
      <c r="HD1077" s="9"/>
      <c r="HE1077" s="9"/>
      <c r="HF1077" s="9"/>
      <c r="HG1077" s="9"/>
      <c r="HH1077" s="9"/>
      <c r="HI1077" s="9"/>
      <c r="HJ1077" s="9"/>
      <c r="HK1077" s="9"/>
      <c r="HL1077" s="9"/>
      <c r="HM1077" s="9"/>
      <c r="HZ1077" s="58"/>
    </row>
    <row r="1078" spans="140:234">
      <c r="EJ1078" s="9"/>
      <c r="EK1078" s="9"/>
      <c r="EL1078" s="9"/>
      <c r="EM1078" s="9"/>
      <c r="EN1078" s="9"/>
      <c r="EO1078" s="9"/>
      <c r="EP1078" s="9"/>
      <c r="EQ1078" s="9"/>
      <c r="ER1078" s="9"/>
      <c r="ES1078" s="9"/>
      <c r="ET1078" s="9"/>
      <c r="EU1078" s="9"/>
      <c r="EV1078" s="9"/>
      <c r="EW1078" s="9"/>
      <c r="EX1078" s="9"/>
      <c r="EY1078" s="9"/>
      <c r="EZ1078" s="9"/>
      <c r="FA1078" s="9"/>
      <c r="FB1078" s="9"/>
      <c r="FC1078" s="9"/>
      <c r="FD1078" s="9"/>
      <c r="FE1078" s="9"/>
      <c r="FF1078" s="9"/>
      <c r="FG1078" s="9"/>
      <c r="FH1078" s="9"/>
      <c r="FI1078" s="9"/>
      <c r="FJ1078" s="9"/>
      <c r="FK1078" s="9"/>
      <c r="FL1078" s="9"/>
      <c r="FM1078" s="9"/>
      <c r="FN1078" s="9"/>
      <c r="FO1078" s="9"/>
      <c r="FP1078" s="9"/>
      <c r="FQ1078" s="9"/>
      <c r="FR1078" s="9"/>
      <c r="FS1078" s="9"/>
      <c r="FT1078" s="9"/>
      <c r="FU1078" s="9"/>
      <c r="FV1078" s="9"/>
      <c r="FW1078" s="9"/>
      <c r="FX1078" s="9"/>
      <c r="FY1078" s="9"/>
      <c r="FZ1078" s="9"/>
      <c r="GA1078" s="9"/>
      <c r="GB1078" s="9"/>
      <c r="GC1078" s="9"/>
      <c r="GD1078" s="9"/>
      <c r="GE1078" s="9"/>
      <c r="GF1078" s="9"/>
      <c r="GG1078" s="9"/>
      <c r="GH1078" s="9"/>
      <c r="GI1078" s="9"/>
      <c r="GJ1078" s="9"/>
      <c r="GK1078" s="9"/>
      <c r="GL1078" s="9"/>
      <c r="GM1078" s="9"/>
      <c r="GN1078" s="9"/>
      <c r="GO1078" s="9"/>
      <c r="GP1078" s="9"/>
      <c r="GQ1078" s="9"/>
      <c r="GR1078" s="9"/>
      <c r="GS1078" s="9"/>
      <c r="GT1078" s="9"/>
      <c r="GU1078" s="9"/>
      <c r="GV1078" s="9"/>
      <c r="GW1078" s="9"/>
      <c r="GX1078" s="9"/>
      <c r="GY1078" s="9"/>
      <c r="GZ1078" s="9"/>
      <c r="HA1078" s="9"/>
      <c r="HB1078" s="9"/>
      <c r="HC1078" s="9"/>
      <c r="HD1078" s="9"/>
      <c r="HE1078" s="9"/>
      <c r="HF1078" s="9"/>
      <c r="HG1078" s="9"/>
      <c r="HH1078" s="9"/>
      <c r="HI1078" s="9"/>
      <c r="HJ1078" s="9"/>
      <c r="HK1078" s="9"/>
      <c r="HL1078" s="9"/>
      <c r="HM1078" s="9"/>
      <c r="HZ1078" s="58"/>
    </row>
    <row r="1079" spans="140:234">
      <c r="EJ1079" s="9"/>
      <c r="EK1079" s="9"/>
      <c r="EL1079" s="9"/>
      <c r="EM1079" s="9"/>
      <c r="EN1079" s="9"/>
      <c r="EO1079" s="9"/>
      <c r="EP1079" s="9"/>
      <c r="EQ1079" s="9"/>
      <c r="ER1079" s="9"/>
      <c r="ES1079" s="9"/>
      <c r="ET1079" s="9"/>
      <c r="EU1079" s="9"/>
      <c r="EV1079" s="9"/>
      <c r="EW1079" s="9"/>
      <c r="EX1079" s="9"/>
      <c r="EY1079" s="9"/>
      <c r="EZ1079" s="9"/>
      <c r="FA1079" s="9"/>
      <c r="FB1079" s="9"/>
      <c r="FC1079" s="9"/>
      <c r="FD1079" s="9"/>
      <c r="FE1079" s="9"/>
      <c r="FF1079" s="9"/>
      <c r="FG1079" s="9"/>
      <c r="FH1079" s="9"/>
      <c r="FI1079" s="9"/>
      <c r="FJ1079" s="9"/>
      <c r="FK1079" s="9"/>
      <c r="FL1079" s="9"/>
      <c r="FM1079" s="9"/>
      <c r="FN1079" s="9"/>
      <c r="FO1079" s="9"/>
      <c r="FP1079" s="9"/>
      <c r="FQ1079" s="9"/>
      <c r="FR1079" s="9"/>
      <c r="FS1079" s="9"/>
      <c r="FT1079" s="9"/>
      <c r="FU1079" s="9"/>
      <c r="FV1079" s="9"/>
      <c r="FW1079" s="9"/>
      <c r="FX1079" s="9"/>
      <c r="FY1079" s="9"/>
      <c r="FZ1079" s="9"/>
      <c r="GA1079" s="9"/>
      <c r="GB1079" s="9"/>
      <c r="GC1079" s="9"/>
      <c r="GD1079" s="9"/>
      <c r="GE1079" s="9"/>
      <c r="GF1079" s="9"/>
      <c r="GG1079" s="9"/>
      <c r="GH1079" s="9"/>
      <c r="GI1079" s="9"/>
      <c r="GJ1079" s="9"/>
      <c r="GK1079" s="9"/>
      <c r="GL1079" s="9"/>
      <c r="GM1079" s="9"/>
      <c r="GN1079" s="9"/>
      <c r="GO1079" s="9"/>
      <c r="GP1079" s="9"/>
      <c r="GQ1079" s="9"/>
      <c r="GR1079" s="9"/>
      <c r="GS1079" s="9"/>
      <c r="GT1079" s="9"/>
      <c r="GU1079" s="9"/>
      <c r="GV1079" s="9"/>
      <c r="GW1079" s="9"/>
      <c r="GX1079" s="9"/>
      <c r="GY1079" s="9"/>
      <c r="GZ1079" s="9"/>
      <c r="HA1079" s="9"/>
      <c r="HB1079" s="9"/>
      <c r="HC1079" s="9"/>
      <c r="HD1079" s="9"/>
      <c r="HE1079" s="9"/>
      <c r="HF1079" s="9"/>
      <c r="HG1079" s="9"/>
      <c r="HH1079" s="9"/>
      <c r="HI1079" s="9"/>
      <c r="HJ1079" s="9"/>
      <c r="HK1079" s="9"/>
      <c r="HL1079" s="9"/>
      <c r="HM1079" s="9"/>
      <c r="HZ1079" s="58"/>
    </row>
    <row r="1080" spans="140:234">
      <c r="EJ1080" s="9"/>
      <c r="EK1080" s="9"/>
      <c r="EL1080" s="9"/>
      <c r="EM1080" s="9"/>
      <c r="EN1080" s="9"/>
      <c r="EO1080" s="9"/>
      <c r="EP1080" s="9"/>
      <c r="EQ1080" s="9"/>
      <c r="ER1080" s="9"/>
      <c r="ES1080" s="9"/>
      <c r="ET1080" s="9"/>
      <c r="EU1080" s="9"/>
      <c r="EV1080" s="9"/>
      <c r="EW1080" s="9"/>
      <c r="EX1080" s="9"/>
      <c r="EY1080" s="9"/>
      <c r="EZ1080" s="9"/>
      <c r="FA1080" s="9"/>
      <c r="FB1080" s="9"/>
      <c r="FC1080" s="9"/>
      <c r="FD1080" s="9"/>
      <c r="FE1080" s="9"/>
      <c r="FF1080" s="9"/>
      <c r="FG1080" s="9"/>
      <c r="FH1080" s="9"/>
      <c r="FI1080" s="9"/>
      <c r="FJ1080" s="9"/>
      <c r="FK1080" s="9"/>
      <c r="FL1080" s="9"/>
      <c r="FM1080" s="9"/>
      <c r="FN1080" s="9"/>
      <c r="FO1080" s="9"/>
      <c r="FP1080" s="9"/>
      <c r="FQ1080" s="9"/>
      <c r="FR1080" s="9"/>
      <c r="FS1080" s="9"/>
      <c r="FT1080" s="9"/>
      <c r="FU1080" s="9"/>
      <c r="FV1080" s="9"/>
      <c r="FW1080" s="9"/>
      <c r="FX1080" s="9"/>
      <c r="FY1080" s="9"/>
      <c r="FZ1080" s="9"/>
      <c r="GA1080" s="9"/>
      <c r="GB1080" s="9"/>
      <c r="GC1080" s="9"/>
      <c r="GD1080" s="9"/>
      <c r="GE1080" s="9"/>
      <c r="GF1080" s="9"/>
      <c r="GG1080" s="9"/>
      <c r="GH1080" s="9"/>
      <c r="GI1080" s="9"/>
      <c r="GJ1080" s="9"/>
      <c r="GK1080" s="9"/>
      <c r="GL1080" s="9"/>
      <c r="GM1080" s="9"/>
      <c r="GN1080" s="9"/>
      <c r="GO1080" s="9"/>
      <c r="GP1080" s="9"/>
      <c r="GQ1080" s="9"/>
      <c r="GR1080" s="9"/>
      <c r="GS1080" s="9"/>
      <c r="GT1080" s="9"/>
      <c r="GU1080" s="9"/>
      <c r="GV1080" s="9"/>
      <c r="GW1080" s="9"/>
      <c r="GX1080" s="9"/>
      <c r="GY1080" s="9"/>
      <c r="GZ1080" s="9"/>
      <c r="HA1080" s="9"/>
      <c r="HB1080" s="9"/>
      <c r="HC1080" s="9"/>
      <c r="HD1080" s="9"/>
      <c r="HE1080" s="9"/>
      <c r="HF1080" s="9"/>
      <c r="HG1080" s="9"/>
      <c r="HH1080" s="9"/>
      <c r="HI1080" s="9"/>
      <c r="HJ1080" s="9"/>
      <c r="HK1080" s="9"/>
      <c r="HL1080" s="9"/>
      <c r="HM1080" s="9"/>
      <c r="HZ1080" s="58"/>
    </row>
    <row r="1081" spans="140:234">
      <c r="EJ1081" s="9"/>
      <c r="EK1081" s="9"/>
      <c r="EL1081" s="9"/>
      <c r="EM1081" s="9"/>
      <c r="EN1081" s="9"/>
      <c r="EO1081" s="9"/>
      <c r="EP1081" s="9"/>
      <c r="EQ1081" s="9"/>
      <c r="ER1081" s="9"/>
      <c r="ES1081" s="9"/>
      <c r="ET1081" s="9"/>
      <c r="EU1081" s="9"/>
      <c r="EV1081" s="9"/>
      <c r="EW1081" s="9"/>
      <c r="EX1081" s="9"/>
      <c r="EY1081" s="9"/>
      <c r="EZ1081" s="9"/>
      <c r="FA1081" s="9"/>
      <c r="FB1081" s="9"/>
      <c r="FC1081" s="9"/>
      <c r="FD1081" s="9"/>
      <c r="FE1081" s="9"/>
      <c r="FF1081" s="9"/>
      <c r="FG1081" s="9"/>
      <c r="FH1081" s="9"/>
      <c r="FI1081" s="9"/>
      <c r="FJ1081" s="9"/>
      <c r="FK1081" s="9"/>
      <c r="FL1081" s="9"/>
      <c r="FM1081" s="9"/>
      <c r="FN1081" s="9"/>
      <c r="FO1081" s="9"/>
      <c r="FP1081" s="9"/>
      <c r="FQ1081" s="9"/>
      <c r="FR1081" s="9"/>
      <c r="FS1081" s="9"/>
      <c r="FT1081" s="9"/>
      <c r="FU1081" s="9"/>
      <c r="FV1081" s="9"/>
      <c r="FW1081" s="9"/>
      <c r="FX1081" s="9"/>
      <c r="FY1081" s="9"/>
      <c r="FZ1081" s="9"/>
      <c r="GA1081" s="9"/>
      <c r="GB1081" s="9"/>
      <c r="GC1081" s="9"/>
      <c r="GD1081" s="9"/>
      <c r="GE1081" s="9"/>
      <c r="GF1081" s="9"/>
      <c r="GG1081" s="9"/>
      <c r="GH1081" s="9"/>
      <c r="GI1081" s="9"/>
      <c r="GJ1081" s="9"/>
      <c r="GK1081" s="9"/>
      <c r="GL1081" s="9"/>
      <c r="GM1081" s="9"/>
      <c r="GN1081" s="9"/>
      <c r="GO1081" s="9"/>
      <c r="GP1081" s="9"/>
      <c r="GQ1081" s="9"/>
      <c r="GR1081" s="9"/>
      <c r="GS1081" s="9"/>
      <c r="GT1081" s="9"/>
      <c r="GU1081" s="9"/>
      <c r="GV1081" s="9"/>
      <c r="GW1081" s="9"/>
      <c r="GX1081" s="9"/>
      <c r="GY1081" s="9"/>
      <c r="GZ1081" s="9"/>
      <c r="HA1081" s="9"/>
      <c r="HB1081" s="9"/>
      <c r="HC1081" s="9"/>
      <c r="HD1081" s="9"/>
      <c r="HE1081" s="9"/>
      <c r="HF1081" s="9"/>
      <c r="HG1081" s="9"/>
      <c r="HH1081" s="9"/>
      <c r="HI1081" s="9"/>
      <c r="HJ1081" s="9"/>
      <c r="HK1081" s="9"/>
      <c r="HL1081" s="9"/>
      <c r="HM1081" s="9"/>
      <c r="HZ1081" s="58"/>
    </row>
    <row r="1082" spans="140:234">
      <c r="EJ1082" s="9"/>
      <c r="EK1082" s="9"/>
      <c r="EL1082" s="9"/>
      <c r="EM1082" s="9"/>
      <c r="EN1082" s="9"/>
      <c r="EO1082" s="9"/>
      <c r="EP1082" s="9"/>
      <c r="EQ1082" s="9"/>
      <c r="ER1082" s="9"/>
      <c r="ES1082" s="9"/>
      <c r="ET1082" s="9"/>
      <c r="EU1082" s="9"/>
      <c r="EV1082" s="9"/>
      <c r="EW1082" s="9"/>
      <c r="EX1082" s="9"/>
      <c r="EY1082" s="9"/>
      <c r="EZ1082" s="9"/>
      <c r="FA1082" s="9"/>
      <c r="FB1082" s="9"/>
      <c r="FC1082" s="9"/>
      <c r="FD1082" s="9"/>
      <c r="FE1082" s="9"/>
      <c r="FF1082" s="9"/>
      <c r="FG1082" s="9"/>
      <c r="FH1082" s="9"/>
      <c r="FI1082" s="9"/>
      <c r="FJ1082" s="9"/>
      <c r="FK1082" s="9"/>
      <c r="FL1082" s="9"/>
      <c r="FM1082" s="9"/>
      <c r="FN1082" s="9"/>
      <c r="FO1082" s="9"/>
      <c r="FP1082" s="9"/>
      <c r="FQ1082" s="9"/>
      <c r="FR1082" s="9"/>
      <c r="FS1082" s="9"/>
      <c r="FT1082" s="9"/>
      <c r="FU1082" s="9"/>
      <c r="FV1082" s="9"/>
      <c r="FW1082" s="9"/>
      <c r="FX1082" s="9"/>
      <c r="FY1082" s="9"/>
      <c r="FZ1082" s="9"/>
      <c r="GA1082" s="9"/>
      <c r="GB1082" s="9"/>
      <c r="GC1082" s="9"/>
      <c r="GD1082" s="9"/>
      <c r="GE1082" s="9"/>
      <c r="GF1082" s="9"/>
      <c r="GG1082" s="9"/>
      <c r="GH1082" s="9"/>
      <c r="GI1082" s="9"/>
      <c r="GJ1082" s="9"/>
      <c r="GK1082" s="9"/>
      <c r="GL1082" s="9"/>
      <c r="GM1082" s="9"/>
      <c r="GN1082" s="9"/>
      <c r="GO1082" s="9"/>
      <c r="GP1082" s="9"/>
      <c r="GQ1082" s="9"/>
      <c r="GR1082" s="9"/>
      <c r="GS1082" s="9"/>
      <c r="GT1082" s="9"/>
      <c r="GU1082" s="9"/>
      <c r="GV1082" s="9"/>
      <c r="GW1082" s="9"/>
      <c r="GX1082" s="9"/>
      <c r="GY1082" s="9"/>
      <c r="GZ1082" s="9"/>
      <c r="HA1082" s="9"/>
      <c r="HB1082" s="9"/>
      <c r="HC1082" s="9"/>
      <c r="HD1082" s="9"/>
      <c r="HE1082" s="9"/>
      <c r="HF1082" s="9"/>
      <c r="HG1082" s="9"/>
      <c r="HH1082" s="9"/>
      <c r="HI1082" s="9"/>
      <c r="HJ1082" s="9"/>
      <c r="HK1082" s="9"/>
      <c r="HL1082" s="9"/>
      <c r="HM1082" s="9"/>
      <c r="HZ1082" s="58"/>
    </row>
    <row r="1083" spans="140:234">
      <c r="EJ1083" s="9"/>
      <c r="EK1083" s="9"/>
      <c r="EL1083" s="9"/>
      <c r="EM1083" s="9"/>
      <c r="EN1083" s="9"/>
      <c r="EO1083" s="9"/>
      <c r="EP1083" s="9"/>
      <c r="EQ1083" s="9"/>
      <c r="ER1083" s="9"/>
      <c r="ES1083" s="9"/>
      <c r="ET1083" s="9"/>
      <c r="EU1083" s="9"/>
      <c r="EV1083" s="9"/>
      <c r="EW1083" s="9"/>
      <c r="EX1083" s="9"/>
      <c r="EY1083" s="9"/>
      <c r="EZ1083" s="9"/>
      <c r="FA1083" s="9"/>
      <c r="FB1083" s="9"/>
      <c r="FC1083" s="9"/>
      <c r="FD1083" s="9"/>
      <c r="FE1083" s="9"/>
      <c r="FF1083" s="9"/>
      <c r="FG1083" s="9"/>
      <c r="FH1083" s="9"/>
      <c r="FI1083" s="9"/>
      <c r="FJ1083" s="9"/>
      <c r="FK1083" s="9"/>
      <c r="FL1083" s="9"/>
      <c r="FM1083" s="9"/>
      <c r="FN1083" s="9"/>
      <c r="FO1083" s="9"/>
      <c r="FP1083" s="9"/>
      <c r="FQ1083" s="9"/>
      <c r="FR1083" s="9"/>
      <c r="FS1083" s="9"/>
      <c r="FT1083" s="9"/>
      <c r="FU1083" s="9"/>
      <c r="FV1083" s="9"/>
      <c r="FW1083" s="9"/>
      <c r="FX1083" s="9"/>
      <c r="FY1083" s="9"/>
      <c r="FZ1083" s="9"/>
      <c r="GA1083" s="9"/>
      <c r="GB1083" s="9"/>
      <c r="GC1083" s="9"/>
      <c r="GD1083" s="9"/>
      <c r="GE1083" s="9"/>
      <c r="GF1083" s="9"/>
      <c r="GG1083" s="9"/>
      <c r="GH1083" s="9"/>
      <c r="GI1083" s="9"/>
      <c r="GJ1083" s="9"/>
      <c r="GK1083" s="9"/>
      <c r="GL1083" s="9"/>
      <c r="GM1083" s="9"/>
      <c r="GN1083" s="9"/>
      <c r="GO1083" s="9"/>
      <c r="GP1083" s="9"/>
      <c r="GQ1083" s="9"/>
      <c r="GR1083" s="9"/>
      <c r="GS1083" s="9"/>
      <c r="GT1083" s="9"/>
      <c r="GU1083" s="9"/>
      <c r="GV1083" s="9"/>
      <c r="GW1083" s="9"/>
      <c r="GX1083" s="9"/>
      <c r="GY1083" s="9"/>
      <c r="GZ1083" s="9"/>
      <c r="HA1083" s="9"/>
      <c r="HB1083" s="9"/>
      <c r="HC1083" s="9"/>
      <c r="HD1083" s="9"/>
      <c r="HE1083" s="9"/>
      <c r="HF1083" s="9"/>
      <c r="HG1083" s="9"/>
      <c r="HH1083" s="9"/>
      <c r="HI1083" s="9"/>
      <c r="HJ1083" s="9"/>
      <c r="HK1083" s="9"/>
      <c r="HL1083" s="9"/>
      <c r="HM1083" s="9"/>
      <c r="HZ1083" s="58"/>
    </row>
    <row r="1084" spans="140:234">
      <c r="EJ1084" s="9"/>
      <c r="EK1084" s="9"/>
      <c r="EL1084" s="9"/>
      <c r="EM1084" s="9"/>
      <c r="EN1084" s="9"/>
      <c r="EO1084" s="9"/>
      <c r="EP1084" s="9"/>
      <c r="EQ1084" s="9"/>
      <c r="ER1084" s="9"/>
      <c r="ES1084" s="9"/>
      <c r="ET1084" s="9"/>
      <c r="EU1084" s="9"/>
      <c r="EV1084" s="9"/>
      <c r="EW1084" s="9"/>
      <c r="EX1084" s="9"/>
      <c r="EY1084" s="9"/>
      <c r="EZ1084" s="9"/>
      <c r="FA1084" s="9"/>
      <c r="FB1084" s="9"/>
      <c r="FC1084" s="9"/>
      <c r="FD1084" s="9"/>
      <c r="FE1084" s="9"/>
      <c r="FF1084" s="9"/>
      <c r="FG1084" s="9"/>
      <c r="FH1084" s="9"/>
      <c r="FI1084" s="9"/>
      <c r="FJ1084" s="9"/>
      <c r="FK1084" s="9"/>
      <c r="FL1084" s="9"/>
      <c r="FM1084" s="9"/>
      <c r="FN1084" s="9"/>
      <c r="FO1084" s="9"/>
      <c r="FP1084" s="9"/>
      <c r="FQ1084" s="9"/>
      <c r="FR1084" s="9"/>
      <c r="FS1084" s="9"/>
      <c r="FT1084" s="9"/>
      <c r="FU1084" s="9"/>
      <c r="FV1084" s="9"/>
      <c r="FW1084" s="9"/>
      <c r="FX1084" s="9"/>
      <c r="FY1084" s="9"/>
      <c r="FZ1084" s="9"/>
      <c r="GA1084" s="9"/>
      <c r="GB1084" s="9"/>
      <c r="GC1084" s="9"/>
      <c r="GD1084" s="9"/>
      <c r="GE1084" s="9"/>
      <c r="GF1084" s="9"/>
      <c r="GG1084" s="9"/>
      <c r="GH1084" s="9"/>
      <c r="GI1084" s="9"/>
      <c r="GJ1084" s="9"/>
      <c r="GK1084" s="9"/>
      <c r="GL1084" s="9"/>
      <c r="GM1084" s="9"/>
      <c r="GN1084" s="9"/>
      <c r="GO1084" s="9"/>
      <c r="GP1084" s="9"/>
      <c r="GQ1084" s="9"/>
      <c r="GR1084" s="9"/>
      <c r="GS1084" s="9"/>
      <c r="GT1084" s="9"/>
      <c r="GU1084" s="9"/>
      <c r="GV1084" s="9"/>
      <c r="GW1084" s="9"/>
      <c r="GX1084" s="9"/>
      <c r="GY1084" s="9"/>
      <c r="GZ1084" s="9"/>
      <c r="HA1084" s="9"/>
      <c r="HB1084" s="9"/>
      <c r="HC1084" s="9"/>
      <c r="HD1084" s="9"/>
      <c r="HE1084" s="9"/>
      <c r="HF1084" s="9"/>
      <c r="HG1084" s="9"/>
      <c r="HH1084" s="9"/>
      <c r="HI1084" s="9"/>
      <c r="HJ1084" s="9"/>
      <c r="HK1084" s="9"/>
      <c r="HL1084" s="9"/>
      <c r="HM1084" s="9"/>
      <c r="HZ1084" s="58"/>
    </row>
    <row r="1085" spans="140:234">
      <c r="EJ1085" s="9"/>
      <c r="EK1085" s="9"/>
      <c r="EL1085" s="9"/>
      <c r="EM1085" s="9"/>
      <c r="EN1085" s="9"/>
      <c r="EO1085" s="9"/>
      <c r="EP1085" s="9"/>
      <c r="EQ1085" s="9"/>
      <c r="ER1085" s="9"/>
      <c r="ES1085" s="9"/>
      <c r="ET1085" s="9"/>
      <c r="EU1085" s="9"/>
      <c r="EV1085" s="9"/>
      <c r="EW1085" s="9"/>
      <c r="EX1085" s="9"/>
      <c r="EY1085" s="9"/>
      <c r="EZ1085" s="9"/>
      <c r="FA1085" s="9"/>
      <c r="FB1085" s="9"/>
      <c r="FC1085" s="9"/>
      <c r="FD1085" s="9"/>
      <c r="FE1085" s="9"/>
      <c r="FF1085" s="9"/>
      <c r="FG1085" s="9"/>
      <c r="FH1085" s="9"/>
      <c r="FI1085" s="9"/>
      <c r="FJ1085" s="9"/>
      <c r="FK1085" s="9"/>
      <c r="FL1085" s="9"/>
      <c r="FM1085" s="9"/>
      <c r="FN1085" s="9"/>
      <c r="FO1085" s="9"/>
      <c r="FP1085" s="9"/>
      <c r="FQ1085" s="9"/>
      <c r="FR1085" s="9"/>
      <c r="FS1085" s="9"/>
      <c r="FT1085" s="9"/>
      <c r="FU1085" s="9"/>
      <c r="FV1085" s="9"/>
      <c r="FW1085" s="9"/>
      <c r="FX1085" s="9"/>
      <c r="FY1085" s="9"/>
      <c r="FZ1085" s="9"/>
      <c r="GA1085" s="9"/>
      <c r="GB1085" s="9"/>
      <c r="GC1085" s="9"/>
      <c r="GD1085" s="9"/>
      <c r="GE1085" s="9"/>
      <c r="GF1085" s="9"/>
      <c r="GG1085" s="9"/>
      <c r="GH1085" s="9"/>
      <c r="GI1085" s="9"/>
      <c r="GJ1085" s="9"/>
      <c r="GK1085" s="9"/>
      <c r="GL1085" s="9"/>
      <c r="GM1085" s="9"/>
      <c r="GN1085" s="9"/>
      <c r="GO1085" s="9"/>
      <c r="GP1085" s="9"/>
      <c r="GQ1085" s="9"/>
      <c r="GR1085" s="9"/>
      <c r="GS1085" s="9"/>
      <c r="GT1085" s="9"/>
      <c r="GU1085" s="9"/>
      <c r="GV1085" s="9"/>
      <c r="GW1085" s="9"/>
      <c r="GX1085" s="9"/>
      <c r="GY1085" s="9"/>
      <c r="GZ1085" s="9"/>
      <c r="HA1085" s="9"/>
      <c r="HB1085" s="9"/>
      <c r="HC1085" s="9"/>
      <c r="HD1085" s="9"/>
      <c r="HE1085" s="9"/>
      <c r="HF1085" s="9"/>
      <c r="HG1085" s="9"/>
      <c r="HH1085" s="9"/>
      <c r="HI1085" s="9"/>
      <c r="HJ1085" s="9"/>
      <c r="HK1085" s="9"/>
      <c r="HL1085" s="9"/>
      <c r="HM1085" s="9"/>
      <c r="HZ1085" s="58"/>
    </row>
    <row r="1086" spans="140:234">
      <c r="EJ1086" s="9"/>
      <c r="EK1086" s="9"/>
      <c r="EL1086" s="9"/>
      <c r="EM1086" s="9"/>
      <c r="EN1086" s="9"/>
      <c r="EO1086" s="9"/>
      <c r="EP1086" s="9"/>
      <c r="EQ1086" s="9"/>
      <c r="ER1086" s="9"/>
      <c r="ES1086" s="9"/>
      <c r="ET1086" s="9"/>
      <c r="EU1086" s="9"/>
      <c r="EV1086" s="9"/>
      <c r="EW1086" s="9"/>
      <c r="EX1086" s="9"/>
      <c r="EY1086" s="9"/>
      <c r="EZ1086" s="9"/>
      <c r="FA1086" s="9"/>
      <c r="FB1086" s="9"/>
      <c r="FC1086" s="9"/>
      <c r="FD1086" s="9"/>
      <c r="FE1086" s="9"/>
      <c r="FF1086" s="9"/>
      <c r="FG1086" s="9"/>
      <c r="FH1086" s="9"/>
      <c r="FI1086" s="9"/>
      <c r="FJ1086" s="9"/>
      <c r="FK1086" s="9"/>
      <c r="FL1086" s="9"/>
      <c r="FM1086" s="9"/>
      <c r="FN1086" s="9"/>
      <c r="FO1086" s="9"/>
      <c r="FP1086" s="9"/>
      <c r="FQ1086" s="9"/>
      <c r="FR1086" s="9"/>
      <c r="FS1086" s="9"/>
      <c r="FT1086" s="9"/>
      <c r="FU1086" s="9"/>
      <c r="FV1086" s="9"/>
      <c r="FW1086" s="9"/>
      <c r="FX1086" s="9"/>
      <c r="FY1086" s="9"/>
      <c r="FZ1086" s="9"/>
      <c r="GA1086" s="9"/>
      <c r="GB1086" s="9"/>
      <c r="GC1086" s="9"/>
      <c r="GD1086" s="9"/>
      <c r="GE1086" s="9"/>
      <c r="GF1086" s="9"/>
      <c r="GG1086" s="9"/>
      <c r="GH1086" s="9"/>
      <c r="GI1086" s="9"/>
      <c r="GJ1086" s="9"/>
      <c r="GK1086" s="9"/>
      <c r="GL1086" s="9"/>
      <c r="GM1086" s="9"/>
      <c r="GN1086" s="9"/>
      <c r="GO1086" s="9"/>
      <c r="GP1086" s="9"/>
      <c r="GQ1086" s="9"/>
      <c r="GR1086" s="9"/>
      <c r="GS1086" s="9"/>
      <c r="GT1086" s="9"/>
      <c r="GU1086" s="9"/>
      <c r="GV1086" s="9"/>
      <c r="GW1086" s="9"/>
      <c r="GX1086" s="9"/>
      <c r="GY1086" s="9"/>
      <c r="GZ1086" s="9"/>
      <c r="HA1086" s="9"/>
      <c r="HB1086" s="9"/>
      <c r="HC1086" s="9"/>
      <c r="HD1086" s="9"/>
      <c r="HE1086" s="9"/>
      <c r="HF1086" s="9"/>
      <c r="HG1086" s="9"/>
      <c r="HH1086" s="9"/>
      <c r="HI1086" s="9"/>
      <c r="HJ1086" s="9"/>
      <c r="HK1086" s="9"/>
      <c r="HL1086" s="9"/>
      <c r="HM1086" s="9"/>
      <c r="HZ1086" s="58"/>
    </row>
  </sheetData>
  <phoneticPr fontId="16" type="noConversion"/>
  <conditionalFormatting sqref="C696:K737">
    <cfRule type="expression" dxfId="707" priority="937">
      <formula>AND(LEN(TRIM($C696))&gt;0,LEN(TRIM(C696))=0)</formula>
    </cfRule>
  </conditionalFormatting>
  <conditionalFormatting sqref="C738:K785 C786:G912 I786:K912">
    <cfRule type="expression" dxfId="706" priority="383">
      <formula>AND(LEN(TRIM($C738))&gt;0,LEN(TRIM(C738))=0)</formula>
    </cfRule>
  </conditionalFormatting>
  <conditionalFormatting sqref="F786:F788 F790:F792 F794:F796">
    <cfRule type="expression" dxfId="705" priority="596">
      <formula>AND(LEN(TRIM($C787))&gt;0,LEN(TRIM(F786))=0)</formula>
    </cfRule>
  </conditionalFormatting>
  <conditionalFormatting sqref="F789">
    <cfRule type="expression" dxfId="704" priority="597">
      <formula>AND(LEN(TRIM(#REF!))&gt;0,LEN(TRIM(F789))=0)</formula>
    </cfRule>
  </conditionalFormatting>
  <conditionalFormatting sqref="F798:F800 F802:F804 F806:F808">
    <cfRule type="expression" dxfId="703" priority="582">
      <formula>AND(LEN(TRIM($C799))&gt;0,LEN(TRIM(F798))=0)</formula>
    </cfRule>
  </conditionalFormatting>
  <conditionalFormatting sqref="F810:F812 F814:F816 F818:F820 F822:F824 F826:F828 F830:F832">
    <cfRule type="expression" dxfId="702" priority="684">
      <formula>AND(LEN(TRIM($C811))&gt;0,LEN(TRIM(F810))=0)</formula>
    </cfRule>
  </conditionalFormatting>
  <conditionalFormatting sqref="F821">
    <cfRule type="expression" dxfId="701" priority="599">
      <formula>AND(LEN(TRIM($C826))&gt;0,LEN(TRIM(F821))=0)</formula>
    </cfRule>
  </conditionalFormatting>
  <conditionalFormatting sqref="F825">
    <cfRule type="expression" dxfId="700" priority="499">
      <formula>AND(LEN(TRIM(#REF!))&gt;0,LEN(TRIM(F825))=0)</formula>
    </cfRule>
  </conditionalFormatting>
  <conditionalFormatting sqref="F833">
    <cfRule type="expression" dxfId="699" priority="496">
      <formula>AND(LEN(TRIM($C838))&gt;0,LEN(TRIM(F833))=0)</formula>
    </cfRule>
  </conditionalFormatting>
  <conditionalFormatting sqref="F834:F836 F838:F840 F842:F844">
    <cfRule type="expression" dxfId="698" priority="494">
      <formula>AND(LEN(TRIM($C835))&gt;0,LEN(TRIM(F834))=0)</formula>
    </cfRule>
  </conditionalFormatting>
  <conditionalFormatting sqref="F837">
    <cfRule type="expression" dxfId="697" priority="492">
      <formula>AND(LEN(TRIM(#REF!))&gt;0,LEN(TRIM(F837))=0)</formula>
    </cfRule>
  </conditionalFormatting>
  <conditionalFormatting sqref="F845">
    <cfRule type="expression" dxfId="696" priority="489">
      <formula>AND(LEN(TRIM($C850))&gt;0,LEN(TRIM(F845))=0)</formula>
    </cfRule>
  </conditionalFormatting>
  <conditionalFormatting sqref="F846:F848 F850:F852 F854:F856">
    <cfRule type="expression" dxfId="695" priority="487">
      <formula>AND(LEN(TRIM($C847))&gt;0,LEN(TRIM(F846))=0)</formula>
    </cfRule>
  </conditionalFormatting>
  <conditionalFormatting sqref="F849">
    <cfRule type="expression" dxfId="694" priority="485">
      <formula>AND(LEN(TRIM(#REF!))&gt;0,LEN(TRIM(F849))=0)</formula>
    </cfRule>
  </conditionalFormatting>
  <conditionalFormatting sqref="F857">
    <cfRule type="expression" dxfId="693" priority="482">
      <formula>AND(LEN(TRIM($C862))&gt;0,LEN(TRIM(F857))=0)</formula>
    </cfRule>
  </conditionalFormatting>
  <conditionalFormatting sqref="F858:F860 F862:F864 F866:F868">
    <cfRule type="expression" dxfId="692" priority="480">
      <formula>AND(LEN(TRIM($C859))&gt;0,LEN(TRIM(F858))=0)</formula>
    </cfRule>
  </conditionalFormatting>
  <conditionalFormatting sqref="F861">
    <cfRule type="expression" dxfId="691" priority="478">
      <formula>AND(LEN(TRIM(#REF!))&gt;0,LEN(TRIM(F861))=0)</formula>
    </cfRule>
  </conditionalFormatting>
  <conditionalFormatting sqref="F865">
    <cfRule type="expression" dxfId="690" priority="1778">
      <formula>AND(LEN(TRIM(#REF!))&gt;0,LEN(TRIM(F865))=0)</formula>
    </cfRule>
  </conditionalFormatting>
  <conditionalFormatting sqref="F869">
    <cfRule type="expression" dxfId="689" priority="474">
      <formula>AND(LEN(TRIM($C873))&gt;0,LEN(TRIM(F869))=0)</formula>
    </cfRule>
  </conditionalFormatting>
  <conditionalFormatting sqref="H738:H742 H744:H748 H750:H754 H756:H760 H776:H782">
    <cfRule type="expression" dxfId="688" priority="792">
      <formula>AND(LEN(TRIM($C739))&gt;0,LEN(TRIM(H738))=0)</formula>
    </cfRule>
  </conditionalFormatting>
  <conditionalFormatting sqref="H743 H749 H755">
    <cfRule type="expression" dxfId="687" priority="793">
      <formula>AND(LEN(TRIM(#REF!))&gt;0,LEN(TRIM(H743))=0)</formula>
    </cfRule>
  </conditionalFormatting>
  <conditionalFormatting sqref="H761:H762 NC786:NC869 F801">
    <cfRule type="expression" dxfId="686" priority="583">
      <formula>AND(LEN(TRIM(#REF!))&gt;0,LEN(TRIM(F761))=0)</formula>
    </cfRule>
  </conditionalFormatting>
  <conditionalFormatting sqref="H762 H764 H766">
    <cfRule type="expression" dxfId="685" priority="1782">
      <formula>AND(LEN(TRIM($C765))&gt;0,LEN(TRIM(H762))=0)</formula>
    </cfRule>
  </conditionalFormatting>
  <conditionalFormatting sqref="H763 H765 H767">
    <cfRule type="expression" dxfId="684" priority="1783">
      <formula>AND(LEN(TRIM($C762))&gt;0,LEN(TRIM(H763))=0)</formula>
    </cfRule>
  </conditionalFormatting>
  <conditionalFormatting sqref="H768:H770">
    <cfRule type="expression" dxfId="683" priority="165">
      <formula>AND(LEN(TRIM(#REF!))&gt;0,LEN(TRIM(H768))=0)</formula>
    </cfRule>
  </conditionalFormatting>
  <conditionalFormatting sqref="H770 H772">
    <cfRule type="expression" dxfId="682" priority="166">
      <formula>AND(LEN(TRIM($C773))&gt;0,LEN(TRIM(H770))=0)</formula>
    </cfRule>
  </conditionalFormatting>
  <conditionalFormatting sqref="H771 H773 H775">
    <cfRule type="expression" dxfId="681" priority="167">
      <formula>AND(LEN(TRIM($C770))&gt;0,LEN(TRIM(H771))=0)</formula>
    </cfRule>
  </conditionalFormatting>
  <conditionalFormatting sqref="H774">
    <cfRule type="expression" dxfId="680" priority="2015">
      <formula>AND(LEN(TRIM(#REF!))&gt;0,LEN(TRIM(H774))=0)</formula>
    </cfRule>
  </conditionalFormatting>
  <conditionalFormatting sqref="H783 H785 F793 F797 NM798:NN798 NK798:NK809 F805 F809 F813 F817 F829 F841 F853">
    <cfRule type="expression" dxfId="679" priority="685">
      <formula>AND(LEN(TRIM(#REF!))&gt;0,LEN(TRIM(F783))=0)</formula>
    </cfRule>
  </conditionalFormatting>
  <conditionalFormatting sqref="H784">
    <cfRule type="expression" dxfId="678" priority="178">
      <formula>AND(LEN(TRIM($C785))&gt;0,LEN(TRIM(H784))=0)</formula>
    </cfRule>
  </conditionalFormatting>
  <conditionalFormatting sqref="L696:T737">
    <cfRule type="expression" dxfId="677" priority="938">
      <formula>AND(LEN(TRIM($L696))&gt;0,LEN(TRIM(L696))=0)</formula>
    </cfRule>
  </conditionalFormatting>
  <conditionalFormatting sqref="L738:T953">
    <cfRule type="expression" dxfId="676" priority="2">
      <formula>AND(LEN(TRIM($L738))&gt;0,LEN(TRIM(L738))=0)</formula>
    </cfRule>
  </conditionalFormatting>
  <conditionalFormatting sqref="U696:AC737">
    <cfRule type="expression" dxfId="675" priority="939">
      <formula>AND(LEN(TRIM($U696))&gt;0,LEN(TRIM(U696))=0)</formula>
    </cfRule>
  </conditionalFormatting>
  <conditionalFormatting sqref="U738:AC953">
    <cfRule type="expression" dxfId="674" priority="3">
      <formula>AND(LEN(TRIM($U738))&gt;0,LEN(TRIM(U738))=0)</formula>
    </cfRule>
  </conditionalFormatting>
  <conditionalFormatting sqref="AD696:AL737">
    <cfRule type="expression" dxfId="673" priority="940">
      <formula>AND(LEN(TRIM($AD696))&gt;0,LEN(TRIM(AD696))=0)</formula>
    </cfRule>
  </conditionalFormatting>
  <conditionalFormatting sqref="AD738:AL953">
    <cfRule type="expression" dxfId="672" priority="4">
      <formula>AND(LEN(TRIM($AD738))&gt;0,LEN(TRIM(AD738))=0)</formula>
    </cfRule>
  </conditionalFormatting>
  <conditionalFormatting sqref="AM696:AU737">
    <cfRule type="expression" dxfId="671" priority="941">
      <formula>AND(LEN(TRIM($AM696))&gt;0,LEN(TRIM(AM696))=0)</formula>
    </cfRule>
  </conditionalFormatting>
  <conditionalFormatting sqref="AM738:AU953">
    <cfRule type="expression" dxfId="670" priority="5">
      <formula>AND(LEN(TRIM($AM738))&gt;0,LEN(TRIM(AM738))=0)</formula>
    </cfRule>
  </conditionalFormatting>
  <conditionalFormatting sqref="AW696:BC737">
    <cfRule type="expression" dxfId="669" priority="942">
      <formula>AND(LEN(TRIM($AV696))&gt;0,LEN(TRIM(AW696))=0)</formula>
    </cfRule>
  </conditionalFormatting>
  <conditionalFormatting sqref="AW738:BC890 AX891:BC912">
    <cfRule type="expression" dxfId="668" priority="388">
      <formula>AND(LEN(TRIM($AV738))&gt;0,LEN(TRIM(AW738))=0)</formula>
    </cfRule>
  </conditionalFormatting>
  <conditionalFormatting sqref="AW913:BC953">
    <cfRule type="expression" dxfId="667" priority="6">
      <formula>AND(LEN(TRIM($AV913))&gt;0,LEN(TRIM(AW913))=0)</formula>
    </cfRule>
  </conditionalFormatting>
  <conditionalFormatting sqref="BE696:BG737">
    <cfRule type="expression" dxfId="666" priority="943">
      <formula>AND(LEN(TRIM($BD696))&gt;0,LEN(TRIM(BE696))=0)</formula>
    </cfRule>
  </conditionalFormatting>
  <conditionalFormatting sqref="BE738:BG912 IP786:IP912 HR870:HR890 BJ891:BJ900 BJ902:BJ911 BE931:BG953">
    <cfRule type="expression" dxfId="665" priority="389">
      <formula>AND(LEN(TRIM($BD738))&gt;0,LEN(TRIM(BE738))=0)</formula>
    </cfRule>
  </conditionalFormatting>
  <conditionalFormatting sqref="BF913:BG930">
    <cfRule type="expression" dxfId="664" priority="81">
      <formula>AND(LEN(TRIM($BE913))&gt;0,LEN(TRIM(BF913))=0)</formula>
    </cfRule>
  </conditionalFormatting>
  <conditionalFormatting sqref="BI913:BI930 BL913:BL930">
    <cfRule type="expression" dxfId="663" priority="7">
      <formula>AND(LEN(TRIM($BH913))&gt;0,LEN(TRIM(BI913))=0)</formula>
    </cfRule>
  </conditionalFormatting>
  <conditionalFormatting sqref="BI811:BK812 BN813 BY813 CD813 BI813:BL814 BT813:BT814 BI815:BK816 BN817 BY817 CD817 BI817:BL818 BT817:BT818 BI819:BK820 BN821 BY821 CD821 BI821:BL822 BT821:BT822 BI823:BK824 BN825 BY825 CD825 BI825:BL826 BT825:BT826 BI827:BK828 BN829 BY829 CD829 BI829:BL830 BT829:BT830 BI831:BK832 BN833 BY833 CD833 BI833:BL834 BT833:BT834 BI835:BK836 BN837 BY837 CD837 BI837:BL838 BT837:BT838 BI839:BK840 BN841 BY841 CD841 BI841:BL842 BT841:BT842 BI843:BK844 BN845 BY845 CD845 BI845:BL846 BT845:BT846 BI847:BK848 BN849 BY849 CD849 BI849:BL850 BT849:BT850 BI851:BK852 BN853 BY853 CD853 BI853:BL854 BT853:BT854 BI855:BK856 BN857 BY857 CD857 BI857:BL858 BT857:BT858 BI859:BK860 BN861 BY861 CD861 BI861:BL862 BT861:BT862 BI863:BK864 BN865 BY865 CD865 BI865:BL866 BT865:BT866 BI867:BK868 BN869 BT869 BY869 CD869">
    <cfRule type="expression" dxfId="662" priority="610">
      <formula>AND(LEN(TRIM($BH811))&gt;0,LEN(TRIM(BI811))=0)</formula>
    </cfRule>
  </conditionalFormatting>
  <conditionalFormatting sqref="BI696:BL737 BT701:BU701 BT707:BU707 BT725:BU725 BT731:BU731 BT737:BU737">
    <cfRule type="expression" dxfId="661" priority="944">
      <formula>AND(LEN(TRIM($BH696))&gt;0,LEN(TRIM(BI696))=0)</formula>
    </cfRule>
  </conditionalFormatting>
  <conditionalFormatting sqref="BI738:BL786 BN761:BN762 BN764 BN766 BN768 BN770 BN772 BN774 BO786:BO869 BN797 BY797 CD797 BI797:BL798 BT797:BT798 BI799:BK800 BN801 BY801 CD801 BI801:BL802 BT801:BT802 BI803:BK804 BN805 BY805 CD805 BI805:BL806 BT805:BT806 BI807:BK808 BN809 BY809 CD809 BI809:BL810 BT809:BT810 BI912:BL912">
    <cfRule type="expression" dxfId="660" priority="511">
      <formula>AND(LEN(TRIM($BH738))&gt;0,LEN(TRIM(BI738))=0)</formula>
    </cfRule>
  </conditionalFormatting>
  <conditionalFormatting sqref="BJ870:BJ875">
    <cfRule type="expression" dxfId="659" priority="371">
      <formula>AND(LEN(TRIM($BD870))&gt;0,LEN(TRIM(BJ870))=0)</formula>
    </cfRule>
  </conditionalFormatting>
  <conditionalFormatting sqref="BJ877:BJ882">
    <cfRule type="expression" dxfId="658" priority="333">
      <formula>AND(LEN(TRIM($BD877))&gt;0,LEN(TRIM(BJ877))=0)</formula>
    </cfRule>
  </conditionalFormatting>
  <conditionalFormatting sqref="BJ884:BJ889">
    <cfRule type="expression" dxfId="657" priority="294">
      <formula>AND(LEN(TRIM($BD884))&gt;0,LEN(TRIM(BJ884))=0)</formula>
    </cfRule>
  </conditionalFormatting>
  <conditionalFormatting sqref="BK870:BL873 BI870:BI900 BL874:BL875 BJ876:BL876 BK877:BL880 BL881:BL882 BJ883:BL883 BK884:BL887 BL888:BL889 BJ890:BL890 BK891:BL896 BL897:BL900 BI901:BL901 BK902:BL907 BI902:BI911 BL908:BL911 BI931:BL953">
    <cfRule type="expression" dxfId="656" priority="390">
      <formula>AND(LEN(TRIM($BH870))&gt;0,LEN(TRIM(BI870))=0)</formula>
    </cfRule>
  </conditionalFormatting>
  <conditionalFormatting sqref="BN713">
    <cfRule type="expression" dxfId="655" priority="933">
      <formula>AND(LEN(TRIM($BR713))&gt;0,LEN(TRIM(BN713))=0)</formula>
    </cfRule>
  </conditionalFormatting>
  <conditionalFormatting sqref="BN719">
    <cfRule type="expression" dxfId="654" priority="928">
      <formula>AND(LEN(TRIM($BR719))&gt;0,LEN(TRIM(BN719))=0)</formula>
    </cfRule>
  </conditionalFormatting>
  <conditionalFormatting sqref="BN738 BO738:BQ785 BN740 BN742 BN744 BN746 BN748 BN750 BN752 BN754 BN756 BN758 BN760 BN763 BN765 BN767 BN769 BN771 BN773 BN775:BN776 BN778 BN780 BN782 BN784 BP786:BQ869">
    <cfRule type="expression" dxfId="653" priority="719">
      <formula>AND(LEN(TRIM($BM738))&gt;0,LEN(TRIM(BN738))=0)</formula>
    </cfRule>
  </conditionalFormatting>
  <conditionalFormatting sqref="BN739">
    <cfRule type="expression" dxfId="652" priority="710">
      <formula>AND(LEN(TRIM($BH739))&gt;0,LEN(TRIM(BN739))=0)</formula>
    </cfRule>
  </conditionalFormatting>
  <conditionalFormatting sqref="BN741">
    <cfRule type="expression" dxfId="651" priority="709">
      <formula>AND(LEN(TRIM($BH741))&gt;0,LEN(TRIM(BN741))=0)</formula>
    </cfRule>
  </conditionalFormatting>
  <conditionalFormatting sqref="BN743">
    <cfRule type="expression" dxfId="650" priority="708">
      <formula>AND(LEN(TRIM($BH743))&gt;0,LEN(TRIM(BN743))=0)</formula>
    </cfRule>
  </conditionalFormatting>
  <conditionalFormatting sqref="BN745">
    <cfRule type="expression" dxfId="649" priority="707">
      <formula>AND(LEN(TRIM($BH745))&gt;0,LEN(TRIM(BN745))=0)</formula>
    </cfRule>
  </conditionalFormatting>
  <conditionalFormatting sqref="BN747">
    <cfRule type="expression" dxfId="648" priority="706">
      <formula>AND(LEN(TRIM($BH747))&gt;0,LEN(TRIM(BN747))=0)</formula>
    </cfRule>
  </conditionalFormatting>
  <conditionalFormatting sqref="BN749">
    <cfRule type="expression" dxfId="647" priority="705">
      <formula>AND(LEN(TRIM($BH749))&gt;0,LEN(TRIM(BN749))=0)</formula>
    </cfRule>
  </conditionalFormatting>
  <conditionalFormatting sqref="BN751">
    <cfRule type="expression" dxfId="646" priority="704">
      <formula>AND(LEN(TRIM($BH751))&gt;0,LEN(TRIM(BN751))=0)</formula>
    </cfRule>
  </conditionalFormatting>
  <conditionalFormatting sqref="BN753">
    <cfRule type="expression" dxfId="645" priority="703">
      <formula>AND(LEN(TRIM($BH753))&gt;0,LEN(TRIM(BN753))=0)</formula>
    </cfRule>
  </conditionalFormatting>
  <conditionalFormatting sqref="BN755">
    <cfRule type="expression" dxfId="644" priority="702">
      <formula>AND(LEN(TRIM($BH755))&gt;0,LEN(TRIM(BN755))=0)</formula>
    </cfRule>
  </conditionalFormatting>
  <conditionalFormatting sqref="BN757">
    <cfRule type="expression" dxfId="643" priority="700">
      <formula>AND(LEN(TRIM($BH757))&gt;0,LEN(TRIM(BN757))=0)</formula>
    </cfRule>
  </conditionalFormatting>
  <conditionalFormatting sqref="BN759">
    <cfRule type="expression" dxfId="642" priority="699">
      <formula>AND(LEN(TRIM($BH759))&gt;0,LEN(TRIM(BN759))=0)</formula>
    </cfRule>
  </conditionalFormatting>
  <conditionalFormatting sqref="BN777">
    <cfRule type="expression" dxfId="641" priority="690">
      <formula>AND(LEN(TRIM($BH777))&gt;0,LEN(TRIM(BN777))=0)</formula>
    </cfRule>
  </conditionalFormatting>
  <conditionalFormatting sqref="BN779">
    <cfRule type="expression" dxfId="640" priority="689">
      <formula>AND(LEN(TRIM($BH779))&gt;0,LEN(TRIM(BN779))=0)</formula>
    </cfRule>
  </conditionalFormatting>
  <conditionalFormatting sqref="BN781">
    <cfRule type="expression" dxfId="639" priority="688">
      <formula>AND(LEN(TRIM($BH781))&gt;0,LEN(TRIM(BN781))=0)</formula>
    </cfRule>
  </conditionalFormatting>
  <conditionalFormatting sqref="BN783 BN785 BT786 BI787:BK788 BN789 BY789 CD789 BI789:BL790 BT789:BT790 BI791:BK792 BN793 BY793 CD793 BI793:BL794 BT793:BT794 BI795:BK796 BI869:BL869">
    <cfRule type="expression" dxfId="638" priority="588">
      <formula>AND(LEN(TRIM($BH783))&gt;0,LEN(TRIM(BI783))=0)</formula>
    </cfRule>
  </conditionalFormatting>
  <conditionalFormatting sqref="BN786 BU786 BL787:BL788 BN790 BU790 BL791:BL792 BN794 BU794 BL795:BL796">
    <cfRule type="expression" dxfId="637" priority="589">
      <formula>AND(LEN(TRIM($BM786))&gt;0,LEN(TRIM(BL786))=0)</formula>
    </cfRule>
  </conditionalFormatting>
  <conditionalFormatting sqref="BN798 BU798 BL799:BL800 BN802 BU802 BL803:BL804 BN806 BU806 BL807:BL808">
    <cfRule type="expression" dxfId="636" priority="512">
      <formula>AND(LEN(TRIM($BM798))&gt;0,LEN(TRIM(BL798))=0)</formula>
    </cfRule>
  </conditionalFormatting>
  <conditionalFormatting sqref="BN810 BU810 BL811:BL812 BN814 BU814 BL815:BL816 BN818 BU818 BL819:BL820 BN822 BU822 BL823:BL824 BN826 BU826 BL827:BL828 BN830 BU830 BL831:BL832 BN834 BU834 BL835:BL836 BN838 BU838 BL839:BL840 BN842 BU842 BL843:BL844 BN846 BU846 BL847:BL848 BN850 BU850 BL851:BL852 BN854 BU854 BL855:BL856 BN858 BU858 BL859:BL860 BN862 BU862 BL863:BL864 BN866 BU866 BL867:BL868">
    <cfRule type="expression" dxfId="635" priority="611">
      <formula>AND(LEN(TRIM($BM810))&gt;0,LEN(TRIM(BL810))=0)</formula>
    </cfRule>
  </conditionalFormatting>
  <conditionalFormatting sqref="BN913:BP916 BJ913:BK930 C913:K953 BN917:BO918 BN919:BP922 BN923:BO924 BN925:BP928 BN929:BO930">
    <cfRule type="expression" dxfId="634" priority="1">
      <formula>AND(LEN(TRIM($C913))&gt;0,LEN(TRIM(C913))=0)</formula>
    </cfRule>
  </conditionalFormatting>
  <conditionalFormatting sqref="BN696:BQ700 BO701:BQ701 BN702:BQ706 BO707:BQ707 BN708:BQ712 BO713:BQ713 BN714:BQ718 BO719:BQ719 BN720:BQ724 BO725:BQ725 BN726:BQ730 BO731:BQ731 BN732:BQ736 BO737:BQ737">
    <cfRule type="expression" dxfId="633" priority="945">
      <formula>AND(LEN(TRIM($BM696))&gt;0,LEN(TRIM(BN696))=0)</formula>
    </cfRule>
  </conditionalFormatting>
  <conditionalFormatting sqref="BO870:BO912">
    <cfRule type="expression" dxfId="632" priority="212">
      <formula>AND(LEN(TRIM($BD870))&gt;0,LEN(TRIM(BO870))=0)</formula>
    </cfRule>
  </conditionalFormatting>
  <conditionalFormatting sqref="BQ870:BQ873 BN870:BN912 BP874:BQ876 BQ877:BQ880 BP881:BQ883 BQ884:BQ887 BP888:BQ890 BQ891:BQ896 BP897:BQ901 BQ902:BQ907 BP908:BQ912 BN931:BQ953">
    <cfRule type="expression" dxfId="631" priority="391">
      <formula>AND(LEN(TRIM($BM870))&gt;0,LEN(TRIM(BN870))=0)</formula>
    </cfRule>
  </conditionalFormatting>
  <conditionalFormatting sqref="BQ913:BQ916 BP917:BQ918 BQ919:BQ930 BP923:BP924 BP929:BP930">
    <cfRule type="expression" dxfId="630" priority="8">
      <formula>AND(LEN(TRIM($BM913))&gt;0,LEN(TRIM(BP913))=0)</formula>
    </cfRule>
  </conditionalFormatting>
  <conditionalFormatting sqref="BS786 BV786 BN787:BN788 BS787:BV788 BU789:BV789 BS789:BS790 BV790 BN791:BN792 BS791:BV792 BU793:BV793 BS793:BS794 BV794 BN795:BN796 BS795:BV796">
    <cfRule type="expression" dxfId="629" priority="590">
      <formula>AND(LEN(TRIM($BR786))&gt;0,LEN(TRIM(BN786))=0)</formula>
    </cfRule>
  </conditionalFormatting>
  <conditionalFormatting sqref="BS871 BV871">
    <cfRule type="expression" dxfId="628" priority="382">
      <formula>AND(LEN(TRIM($BH871))&gt;0,LEN(TRIM(BS871))=0)</formula>
    </cfRule>
  </conditionalFormatting>
  <conditionalFormatting sqref="BS872">
    <cfRule type="expression" dxfId="627" priority="375">
      <formula>AND(LEN(TRIM($BM872))&gt;0,LEN(TRIM(BS872))=0)</formula>
    </cfRule>
  </conditionalFormatting>
  <conditionalFormatting sqref="BS878 BV878">
    <cfRule type="expression" dxfId="626" priority="344">
      <formula>AND(LEN(TRIM($BH878))&gt;0,LEN(TRIM(BS878))=0)</formula>
    </cfRule>
  </conditionalFormatting>
  <conditionalFormatting sqref="BS879">
    <cfRule type="expression" dxfId="625" priority="337">
      <formula>AND(LEN(TRIM($BM879))&gt;0,LEN(TRIM(BS879))=0)</formula>
    </cfRule>
  </conditionalFormatting>
  <conditionalFormatting sqref="BS885 BV885">
    <cfRule type="expression" dxfId="624" priority="305">
      <formula>AND(LEN(TRIM($BH885))&gt;0,LEN(TRIM(BS885))=0)</formula>
    </cfRule>
  </conditionalFormatting>
  <conditionalFormatting sqref="BS886">
    <cfRule type="expression" dxfId="623" priority="298">
      <formula>AND(LEN(TRIM($BM886))&gt;0,LEN(TRIM(BS886))=0)</formula>
    </cfRule>
  </conditionalFormatting>
  <conditionalFormatting sqref="BS893:BS894">
    <cfRule type="expression" dxfId="622" priority="267">
      <formula>AND(LEN(TRIM($BM893))&gt;0,LEN(TRIM(BS893))=0)</formula>
    </cfRule>
  </conditionalFormatting>
  <conditionalFormatting sqref="BS904:BS905">
    <cfRule type="expression" dxfId="621" priority="224">
      <formula>AND(LEN(TRIM($BM904))&gt;0,LEN(TRIM(BS904))=0)</formula>
    </cfRule>
  </conditionalFormatting>
  <conditionalFormatting sqref="BS696:BV696 BU697:BV697 BS697:BS698 BV698 BS699:BV699 BU700:BV700 BS700:BS701 BN701 BV701 BS702:BV702 BU703:BV703 BS703:BS704 BV704 BS705:BV705 BU706:BV706 BS706:BS707 BN707 BV707 BS708:BV708 BU709:BV709 BS709:BS710 BV710 BS711:BV711 BU712:BV712 BS712:BS713 BV713 BS714:BV714 BU715:BV715 BS715:BS716 BV716 BS717:BV717 BU718:BV718 BS718:BS719 BV719 BS720:BV720 BU721:BV721 BS721:BS722 BV722 BS723:BV723 BU724:BV724 BS724:BS725 BN725 BV725 BS726:BV726 BU727:BV727 BS727:BS728 BV728 BS729:BV729 BU730:BV730 BS730:BS731 BN731 BV731 BS732:BV732 BU733:BV733 BS733:BS734 BV734 BS735:BV735 BU736:BV736 BS736:BS737 BN737 BV737">
    <cfRule type="expression" dxfId="620" priority="946">
      <formula>AND(LEN(TRIM($BR696))&gt;0,LEN(TRIM(BN696))=0)</formula>
    </cfRule>
  </conditionalFormatting>
  <conditionalFormatting sqref="BS738:BV785 BU797:BV797 BS797:BS798 BS869:BS870 BV870 BV872 BU873:BV873 BS873:BS877 BV874:BV877 BV879 BU880:BV880 BS880:BS884 BV881:BV884 BV886 BU887:BV887 BS887:BS892 BV888:BV894 BU895:BV896 BS895:BS903 BV897:BV905 BU906:BV907 BS906:BS912 BV908:BV912">
    <cfRule type="expression" dxfId="619" priority="392">
      <formula>AND(LEN(TRIM($BR738))&gt;0,LEN(TRIM(BS738))=0)</formula>
    </cfRule>
  </conditionalFormatting>
  <conditionalFormatting sqref="BS913:BV953">
    <cfRule type="expression" dxfId="618" priority="9">
      <formula>AND(LEN(TRIM($BR913))&gt;0,LEN(TRIM(BS913))=0)</formula>
    </cfRule>
  </conditionalFormatting>
  <conditionalFormatting sqref="BT697 BT698:BU698">
    <cfRule type="expression" dxfId="617" priority="894">
      <formula>AND(LEN(TRIM($BH697))&gt;0,LEN(TRIM(BT697))=0)</formula>
    </cfRule>
  </conditionalFormatting>
  <conditionalFormatting sqref="BT700">
    <cfRule type="expression" dxfId="616" priority="893">
      <formula>AND(LEN(TRIM($BH700))&gt;0,LEN(TRIM(BT700))=0)</formula>
    </cfRule>
  </conditionalFormatting>
  <conditionalFormatting sqref="BT703 BT704:BU704">
    <cfRule type="expression" dxfId="615" priority="879">
      <formula>AND(LEN(TRIM($BH703))&gt;0,LEN(TRIM(BT703))=0)</formula>
    </cfRule>
  </conditionalFormatting>
  <conditionalFormatting sqref="BT706">
    <cfRule type="expression" dxfId="614" priority="878">
      <formula>AND(LEN(TRIM($BH706))&gt;0,LEN(TRIM(BT706))=0)</formula>
    </cfRule>
  </conditionalFormatting>
  <conditionalFormatting sqref="BT709 BT710:BU710">
    <cfRule type="expression" dxfId="613" priority="936">
      <formula>AND(LEN(TRIM($BH709))&gt;0,LEN(TRIM(BT709))=0)</formula>
    </cfRule>
  </conditionalFormatting>
  <conditionalFormatting sqref="BT712">
    <cfRule type="expression" dxfId="612" priority="935">
      <formula>AND(LEN(TRIM($BH712))&gt;0,LEN(TRIM(BT712))=0)</formula>
    </cfRule>
  </conditionalFormatting>
  <conditionalFormatting sqref="BT715 BT716:BU716">
    <cfRule type="expression" dxfId="611" priority="931">
      <formula>AND(LEN(TRIM($BH715))&gt;0,LEN(TRIM(BT715))=0)</formula>
    </cfRule>
  </conditionalFormatting>
  <conditionalFormatting sqref="BT718">
    <cfRule type="expression" dxfId="610" priority="930">
      <formula>AND(LEN(TRIM($BH718))&gt;0,LEN(TRIM(BT718))=0)</formula>
    </cfRule>
  </conditionalFormatting>
  <conditionalFormatting sqref="BT721 BT722:BU722">
    <cfRule type="expression" dxfId="609" priority="855">
      <formula>AND(LEN(TRIM($BH721))&gt;0,LEN(TRIM(BT721))=0)</formula>
    </cfRule>
  </conditionalFormatting>
  <conditionalFormatting sqref="BT724">
    <cfRule type="expression" dxfId="608" priority="854">
      <formula>AND(LEN(TRIM($BH724))&gt;0,LEN(TRIM(BT724))=0)</formula>
    </cfRule>
  </conditionalFormatting>
  <conditionalFormatting sqref="BT727 BT728:BU728">
    <cfRule type="expression" dxfId="607" priority="832">
      <formula>AND(LEN(TRIM($BH727))&gt;0,LEN(TRIM(BT727))=0)</formula>
    </cfRule>
  </conditionalFormatting>
  <conditionalFormatting sqref="BT730">
    <cfRule type="expression" dxfId="606" priority="831">
      <formula>AND(LEN(TRIM($BH730))&gt;0,LEN(TRIM(BT730))=0)</formula>
    </cfRule>
  </conditionalFormatting>
  <conditionalFormatting sqref="BT733 BT734:BU734">
    <cfRule type="expression" dxfId="605" priority="806">
      <formula>AND(LEN(TRIM($BH733))&gt;0,LEN(TRIM(BT733))=0)</formula>
    </cfRule>
  </conditionalFormatting>
  <conditionalFormatting sqref="BT736">
    <cfRule type="expression" dxfId="604" priority="805">
      <formula>AND(LEN(TRIM($BH736))&gt;0,LEN(TRIM(BT736))=0)</formula>
    </cfRule>
  </conditionalFormatting>
  <conditionalFormatting sqref="BT870:BT875">
    <cfRule type="expression" dxfId="603" priority="358">
      <formula>AND(LEN(TRIM($BD870))&gt;0,LEN(TRIM(BT870))=0)</formula>
    </cfRule>
  </conditionalFormatting>
  <conditionalFormatting sqref="BT877:BT882">
    <cfRule type="expression" dxfId="602" priority="320">
      <formula>AND(LEN(TRIM($BD877))&gt;0,LEN(TRIM(BT877))=0)</formula>
    </cfRule>
  </conditionalFormatting>
  <conditionalFormatting sqref="BT884:BT889">
    <cfRule type="expression" dxfId="601" priority="281">
      <formula>AND(LEN(TRIM($BD884))&gt;0,LEN(TRIM(BT884))=0)</formula>
    </cfRule>
  </conditionalFormatting>
  <conditionalFormatting sqref="BT891:BT899">
    <cfRule type="expression" dxfId="600" priority="254">
      <formula>AND(LEN(TRIM($BD891))&gt;0,LEN(TRIM(BT891))=0)</formula>
    </cfRule>
  </conditionalFormatting>
  <conditionalFormatting sqref="BT902:BT910">
    <cfRule type="expression" dxfId="599" priority="211">
      <formula>AND(LEN(TRIM($BD902))&gt;0,LEN(TRIM(BT902))=0)</formula>
    </cfRule>
  </conditionalFormatting>
  <conditionalFormatting sqref="BT713:BU713">
    <cfRule type="expression" dxfId="598" priority="932">
      <formula>AND(LEN(TRIM($BH713))&gt;0,LEN(TRIM(BT713))=0)</formula>
    </cfRule>
  </conditionalFormatting>
  <conditionalFormatting sqref="BT719:BU719">
    <cfRule type="expression" dxfId="597" priority="927">
      <formula>AND(LEN(TRIM($BH719))&gt;0,LEN(TRIM(BT719))=0)</formula>
    </cfRule>
  </conditionalFormatting>
  <conditionalFormatting sqref="BT876:BU876">
    <cfRule type="expression" dxfId="596" priority="357">
      <formula>AND(LEN(TRIM($BH876))&gt;0,LEN(TRIM(BT876))=0)</formula>
    </cfRule>
  </conditionalFormatting>
  <conditionalFormatting sqref="BT883:BU883">
    <cfRule type="expression" dxfId="595" priority="319">
      <formula>AND(LEN(TRIM($BH883))&gt;0,LEN(TRIM(BT883))=0)</formula>
    </cfRule>
  </conditionalFormatting>
  <conditionalFormatting sqref="BT890:BU890">
    <cfRule type="expression" dxfId="594" priority="280">
      <formula>AND(LEN(TRIM($BH890))&gt;0,LEN(TRIM(BT890))=0)</formula>
    </cfRule>
  </conditionalFormatting>
  <conditionalFormatting sqref="BT900:BU901">
    <cfRule type="expression" dxfId="593" priority="240">
      <formula>AND(LEN(TRIM($BH900))&gt;0,LEN(TRIM(BT900))=0)</formula>
    </cfRule>
  </conditionalFormatting>
  <conditionalFormatting sqref="BT911:BU912">
    <cfRule type="expression" dxfId="592" priority="197">
      <formula>AND(LEN(TRIM($BH911))&gt;0,LEN(TRIM(BT911))=0)</formula>
    </cfRule>
  </conditionalFormatting>
  <conditionalFormatting sqref="BU871">
    <cfRule type="expression" dxfId="591" priority="368">
      <formula>AND(LEN(TRIM($BH871))&gt;0,LEN(TRIM(BU871))=0)</formula>
    </cfRule>
  </conditionalFormatting>
  <conditionalFormatting sqref="BU874">
    <cfRule type="expression" dxfId="590" priority="370">
      <formula>AND(LEN(TRIM($BH874))&gt;0,LEN(TRIM(BU874))=0)</formula>
    </cfRule>
  </conditionalFormatting>
  <conditionalFormatting sqref="BU878">
    <cfRule type="expression" dxfId="589" priority="330">
      <formula>AND(LEN(TRIM($BH878))&gt;0,LEN(TRIM(BU878))=0)</formula>
    </cfRule>
  </conditionalFormatting>
  <conditionalFormatting sqref="BU881">
    <cfRule type="expression" dxfId="588" priority="332">
      <formula>AND(LEN(TRIM($BH881))&gt;0,LEN(TRIM(BU881))=0)</formula>
    </cfRule>
  </conditionalFormatting>
  <conditionalFormatting sqref="BU885">
    <cfRule type="expression" dxfId="587" priority="291">
      <formula>AND(LEN(TRIM($BH885))&gt;0,LEN(TRIM(BU885))=0)</formula>
    </cfRule>
  </conditionalFormatting>
  <conditionalFormatting sqref="BU888">
    <cfRule type="expression" dxfId="586" priority="293">
      <formula>AND(LEN(TRIM($BH888))&gt;0,LEN(TRIM(BU888))=0)</formula>
    </cfRule>
  </conditionalFormatting>
  <conditionalFormatting sqref="BU897">
    <cfRule type="expression" dxfId="585" priority="263">
      <formula>AND(LEN(TRIM($BH897))&gt;0,LEN(TRIM(BU897))=0)</formula>
    </cfRule>
  </conditionalFormatting>
  <conditionalFormatting sqref="BU908">
    <cfRule type="expression" dxfId="584" priority="220">
      <formula>AND(LEN(TRIM($BH908))&gt;0,LEN(TRIM(BU908))=0)</formula>
    </cfRule>
  </conditionalFormatting>
  <conditionalFormatting sqref="BV798 BN799:BN800 BS799:BV800 BU801:BV801 BS801:BS802 BV802 BN803:BN804 BS803:BV804 BU805:BV805 BS805:BS806 BV806 BN807:BN808 BS807:BV808 BU809:BV809 BS809:BS810">
    <cfRule type="expression" dxfId="583" priority="513">
      <formula>AND(LEN(TRIM($BR798))&gt;0,LEN(TRIM(BN798))=0)</formula>
    </cfRule>
  </conditionalFormatting>
  <conditionalFormatting sqref="BV810 BN811:BN812 BS811:BV812 BU813:BV813 BS813:BS814 BV814 BN815:BN816 BS815:BV816 BU817:BV817 BS817:BS818 BV818 BN819:BN820 BS819:BV820 BU821:BV821 BS821:BS822 BV822 BN823:BN824 BS823:BV824 BU825:BV825 BS825:BS826 BV826 BN827:BN828 BS827:BV828 BU829:BV829 BS829:BS830 BV830 BN831:BN832 BS831:BV832 BU833:BV833 BS833:BS834 BV834 BN835:BN836 BS835:BV836 BU837:BV837 BS837:BS838 BV838 BN839:BN840 BS839:BV840 BU841:BV841 BS841:BS842 BV842 BN843:BN844 BS843:BV844 BU845:BV845 BS845:BS846 BV846 BN847:BN848 BS847:BV848 BU849:BV849 BS849:BS850 BV850 BN851:BN852 BS851:BV852 BU853:BV853 BS853:BS854 BV854 BN855:BN856 BS855:BV856 BU857:BV857 BS857:BS858 BV858 BN859:BN860 BS859:BV860 BU861:BV861 BS861:BS862 BV862 BN863:BN864 BS863:BV864 BU865:BV865 BS865:BS866 BV866 BN867:BN868 BS867:BV868 BU869:BV869">
    <cfRule type="expression" dxfId="582" priority="612">
      <formula>AND(LEN(TRIM($BR810))&gt;0,LEN(TRIM(BN810))=0)</formula>
    </cfRule>
  </conditionalFormatting>
  <conditionalFormatting sqref="BX870:BX871">
    <cfRule type="expression" dxfId="581" priority="376">
      <formula>AND(LEN(TRIM($BM870))&gt;0,LEN(TRIM(BX870))=0)</formula>
    </cfRule>
  </conditionalFormatting>
  <conditionalFormatting sqref="BX876:BX878">
    <cfRule type="expression" dxfId="580" priority="338">
      <formula>AND(LEN(TRIM($BM876))&gt;0,LEN(TRIM(BX876))=0)</formula>
    </cfRule>
  </conditionalFormatting>
  <conditionalFormatting sqref="BX883:BX885">
    <cfRule type="expression" dxfId="579" priority="299">
      <formula>AND(LEN(TRIM($BM883))&gt;0,LEN(TRIM(BX883))=0)</formula>
    </cfRule>
  </conditionalFormatting>
  <conditionalFormatting sqref="BX898 BZ898:CA898">
    <cfRule type="expression" dxfId="578" priority="244">
      <formula>AND(LEN(TRIM($BM898))&gt;0,LEN(TRIM(BX898))=0)</formula>
    </cfRule>
  </conditionalFormatting>
  <conditionalFormatting sqref="BX909 BZ909:CA909">
    <cfRule type="expression" dxfId="577" priority="201">
      <formula>AND(LEN(TRIM($BM909))&gt;0,LEN(TRIM(BX909))=0)</formula>
    </cfRule>
  </conditionalFormatting>
  <conditionalFormatting sqref="BX911:BX912 BZ911:BZ912">
    <cfRule type="expression" dxfId="576" priority="199">
      <formula>AND(LEN(TRIM($BM911))&gt;0,LEN(TRIM(BX911))=0)</formula>
    </cfRule>
  </conditionalFormatting>
  <conditionalFormatting sqref="BX696:CA699 BX700:BY700 CA700 BX701:CA705 BX706:BY706 CA706 BX707:CA711 BX712:BY712 CA712 BX713:CA717 BX718:BY718 CA718 BX719:CA723 BX724:BY724 CA724 BX725:CA729 BX730:BY730 CA730 BX731:CA735 BX736:BY736 CA736 BX737:CA737">
    <cfRule type="expression" dxfId="575" priority="947">
      <formula>AND(LEN(TRIM($BW696))&gt;0,LEN(TRIM(BX696))=0)</formula>
    </cfRule>
  </conditionalFormatting>
  <conditionalFormatting sqref="BX738:CA788 BX789 CE789:CF789 BX790:CA792 BX793 CE793:CF793 BX794:CA796 BX797 CE797:CF797">
    <cfRule type="expression" dxfId="574" priority="591">
      <formula>AND(LEN(TRIM($BW738))&gt;0,LEN(TRIM(BX738))=0)</formula>
    </cfRule>
  </conditionalFormatting>
  <conditionalFormatting sqref="BX798:CA800 BX801 CE801:CF801 BX802:CA804 BX805 CE805:CF805 BX806:CA808 BX809 CE809:CF809">
    <cfRule type="expression" dxfId="573" priority="514">
      <formula>AND(LEN(TRIM($BW798))&gt;0,LEN(TRIM(BX798))=0)</formula>
    </cfRule>
  </conditionalFormatting>
  <conditionalFormatting sqref="BX810:CA812 BX813 CE813:CF813 BX814:CA816 BX817 CE817:CF817 BX818:CA820 BX821 CE821:CF821 BX822:CA824 BX825 CE825:CF825 BX826:CA828 BX829 CE829:CF829 BX830:CA832 BX833 CE833:CF833 BX834:CA836 BX837 CE837:CF837 BX838:CA840 BX841 CE841:CF841 BX842:CA844 BX845 CE845:CF845 BX846:CA848 BX849 CE849:CF849 BX850:CA852 BX853 CE853:CF853 BX854:CA856 BX857 CE857:CF857 BX858:CA860 BX861 CE861:CF861 BX862:CA864 BX865 CE865:CF865 BX866:CA868 BX869 CE869:CF869">
    <cfRule type="expression" dxfId="572" priority="613">
      <formula>AND(LEN(TRIM($BW810))&gt;0,LEN(TRIM(BX810))=0)</formula>
    </cfRule>
  </conditionalFormatting>
  <conditionalFormatting sqref="BX913:CA953">
    <cfRule type="expression" dxfId="571" priority="10">
      <formula>AND(LEN(TRIM($BW913))&gt;0,LEN(TRIM(BX913))=0)</formula>
    </cfRule>
  </conditionalFormatting>
  <conditionalFormatting sqref="BY870:BY873">
    <cfRule type="expression" dxfId="570" priority="365">
      <formula>AND(LEN(TRIM($BD870))&gt;0,LEN(TRIM(BY870))=0)</formula>
    </cfRule>
  </conditionalFormatting>
  <conditionalFormatting sqref="BY874">
    <cfRule type="expression" dxfId="569" priority="350">
      <formula>AND(LEN(TRIM($BM874))&gt;0,LEN(TRIM(BY874))=0)</formula>
    </cfRule>
  </conditionalFormatting>
  <conditionalFormatting sqref="BY875:BY880">
    <cfRule type="expression" dxfId="568" priority="327">
      <formula>AND(LEN(TRIM($BD875))&gt;0,LEN(TRIM(BY875))=0)</formula>
    </cfRule>
  </conditionalFormatting>
  <conditionalFormatting sqref="BY881">
    <cfRule type="expression" dxfId="567" priority="312">
      <formula>AND(LEN(TRIM($BM881))&gt;0,LEN(TRIM(BY881))=0)</formula>
    </cfRule>
  </conditionalFormatting>
  <conditionalFormatting sqref="BY882:BY887">
    <cfRule type="expression" dxfId="566" priority="288">
      <formula>AND(LEN(TRIM($BD882))&gt;0,LEN(TRIM(BY882))=0)</formula>
    </cfRule>
  </conditionalFormatting>
  <conditionalFormatting sqref="BY888">
    <cfRule type="expression" dxfId="565" priority="273">
      <formula>AND(LEN(TRIM($BM888))&gt;0,LEN(TRIM(BY888))=0)</formula>
    </cfRule>
  </conditionalFormatting>
  <conditionalFormatting sqref="BY889:BY896">
    <cfRule type="expression" dxfId="564" priority="260">
      <formula>AND(LEN(TRIM($BD889))&gt;0,LEN(TRIM(BY889))=0)</formula>
    </cfRule>
  </conditionalFormatting>
  <conditionalFormatting sqref="BY897">
    <cfRule type="expression" dxfId="563" priority="246">
      <formula>AND(LEN(TRIM($BM897))&gt;0,LEN(TRIM(BY897))=0)</formula>
    </cfRule>
  </conditionalFormatting>
  <conditionalFormatting sqref="BY898:BY907">
    <cfRule type="expression" dxfId="562" priority="217">
      <formula>AND(LEN(TRIM($BD898))&gt;0,LEN(TRIM(BY898))=0)</formula>
    </cfRule>
  </conditionalFormatting>
  <conditionalFormatting sqref="BY908">
    <cfRule type="expression" dxfId="561" priority="203">
      <formula>AND(LEN(TRIM($BM908))&gt;0,LEN(TRIM(BY908))=0)</formula>
    </cfRule>
  </conditionalFormatting>
  <conditionalFormatting sqref="BY909:BY912">
    <cfRule type="expression" dxfId="560" priority="198">
      <formula>AND(LEN(TRIM($BD909))&gt;0,LEN(TRIM(BY909))=0)</formula>
    </cfRule>
  </conditionalFormatting>
  <conditionalFormatting sqref="BZ700">
    <cfRule type="expression" dxfId="559" priority="892">
      <formula>AND(LEN(TRIM($CB700))&gt;0,LEN(TRIM(BZ700))=0)</formula>
    </cfRule>
  </conditionalFormatting>
  <conditionalFormatting sqref="BZ706">
    <cfRule type="expression" dxfId="558" priority="877">
      <formula>AND(LEN(TRIM($CB706))&gt;0,LEN(TRIM(BZ706))=0)</formula>
    </cfRule>
  </conditionalFormatting>
  <conditionalFormatting sqref="BZ712">
    <cfRule type="expression" dxfId="557" priority="934">
      <formula>AND(LEN(TRIM($CB712))&gt;0,LEN(TRIM(BZ712))=0)</formula>
    </cfRule>
  </conditionalFormatting>
  <conditionalFormatting sqref="BZ718">
    <cfRule type="expression" dxfId="556" priority="929">
      <formula>AND(LEN(TRIM($CB718))&gt;0,LEN(TRIM(BZ718))=0)</formula>
    </cfRule>
  </conditionalFormatting>
  <conditionalFormatting sqref="BZ724">
    <cfRule type="expression" dxfId="555" priority="853">
      <formula>AND(LEN(TRIM($CB724))&gt;0,LEN(TRIM(BZ724))=0)</formula>
    </cfRule>
  </conditionalFormatting>
  <conditionalFormatting sqref="BZ730">
    <cfRule type="expression" dxfId="554" priority="830">
      <formula>AND(LEN(TRIM($CB730))&gt;0,LEN(TRIM(BZ730))=0)</formula>
    </cfRule>
  </conditionalFormatting>
  <conditionalFormatting sqref="BZ736">
    <cfRule type="expression" dxfId="553" priority="804">
      <formula>AND(LEN(TRIM($CB736))&gt;0,LEN(TRIM(BZ736))=0)</formula>
    </cfRule>
  </conditionalFormatting>
  <conditionalFormatting sqref="BZ872">
    <cfRule type="expression" dxfId="552" priority="366">
      <formula>AND(LEN(TRIM($BH872))&gt;0,LEN(TRIM(BZ872))=0)</formula>
    </cfRule>
  </conditionalFormatting>
  <conditionalFormatting sqref="BZ874">
    <cfRule type="expression" dxfId="551" priority="349">
      <formula>AND(LEN(TRIM($BM874))&gt;0,LEN(TRIM(BZ874))=0)</formula>
    </cfRule>
  </conditionalFormatting>
  <conditionalFormatting sqref="BZ876">
    <cfRule type="expression" dxfId="550" priority="354">
      <formula>AND(LEN(TRIM($BM876))&gt;0,LEN(TRIM(BZ876))=0)</formula>
    </cfRule>
  </conditionalFormatting>
  <conditionalFormatting sqref="BZ879">
    <cfRule type="expression" dxfId="549" priority="328">
      <formula>AND(LEN(TRIM($BH879))&gt;0,LEN(TRIM(BZ879))=0)</formula>
    </cfRule>
  </conditionalFormatting>
  <conditionalFormatting sqref="BZ881">
    <cfRule type="expression" dxfId="548" priority="311">
      <formula>AND(LEN(TRIM($BM881))&gt;0,LEN(TRIM(BZ881))=0)</formula>
    </cfRule>
  </conditionalFormatting>
  <conditionalFormatting sqref="BZ883">
    <cfRule type="expression" dxfId="547" priority="316">
      <formula>AND(LEN(TRIM($BM883))&gt;0,LEN(TRIM(BZ883))=0)</formula>
    </cfRule>
  </conditionalFormatting>
  <conditionalFormatting sqref="BZ886">
    <cfRule type="expression" dxfId="546" priority="289">
      <formula>AND(LEN(TRIM($BH886))&gt;0,LEN(TRIM(BZ886))=0)</formula>
    </cfRule>
  </conditionalFormatting>
  <conditionalFormatting sqref="BZ888">
    <cfRule type="expression" dxfId="545" priority="272">
      <formula>AND(LEN(TRIM($BM888))&gt;0,LEN(TRIM(BZ888))=0)</formula>
    </cfRule>
  </conditionalFormatting>
  <conditionalFormatting sqref="BZ890 BX890:BX892">
    <cfRule type="expression" dxfId="544" priority="277">
      <formula>AND(LEN(TRIM($BM890))&gt;0,LEN(TRIM(BX890))=0)</formula>
    </cfRule>
  </conditionalFormatting>
  <conditionalFormatting sqref="BZ893:BZ894">
    <cfRule type="expression" dxfId="543" priority="261">
      <formula>AND(LEN(TRIM($BH893))&gt;0,LEN(TRIM(BZ893))=0)</formula>
    </cfRule>
  </conditionalFormatting>
  <conditionalFormatting sqref="BZ897">
    <cfRule type="expression" dxfId="542" priority="245">
      <formula>AND(LEN(TRIM($BM897))&gt;0,LEN(TRIM(BZ897))=0)</formula>
    </cfRule>
  </conditionalFormatting>
  <conditionalFormatting sqref="BZ900:BZ901 BX900:BX903">
    <cfRule type="expression" dxfId="541" priority="242">
      <formula>AND(LEN(TRIM($BM900))&gt;0,LEN(TRIM(BX900))=0)</formula>
    </cfRule>
  </conditionalFormatting>
  <conditionalFormatting sqref="BZ904:BZ905">
    <cfRule type="expression" dxfId="540" priority="218">
      <formula>AND(LEN(TRIM($BH904))&gt;0,LEN(TRIM(BZ904))=0)</formula>
    </cfRule>
  </conditionalFormatting>
  <conditionalFormatting sqref="BZ908">
    <cfRule type="expression" dxfId="539" priority="202">
      <formula>AND(LEN(TRIM($BM908))&gt;0,LEN(TRIM(BZ908))=0)</formula>
    </cfRule>
  </conditionalFormatting>
  <conditionalFormatting sqref="BZ789:CA789">
    <cfRule type="expression" dxfId="538" priority="598">
      <formula>AND(LEN(TRIM(#REF!))&gt;0,LEN(TRIM(BZ789))=0)</formula>
    </cfRule>
  </conditionalFormatting>
  <conditionalFormatting sqref="BZ793:CA793">
    <cfRule type="expression" dxfId="537" priority="587">
      <formula>AND(LEN(TRIM(#REF!))&gt;0,LEN(TRIM(BZ793))=0)</formula>
    </cfRule>
  </conditionalFormatting>
  <conditionalFormatting sqref="BZ797:CA797">
    <cfRule type="expression" dxfId="536" priority="586">
      <formula>AND(LEN(TRIM(#REF!))&gt;0,LEN(TRIM(BZ797))=0)</formula>
    </cfRule>
  </conditionalFormatting>
  <conditionalFormatting sqref="BZ801:CA801">
    <cfRule type="expression" dxfId="535" priority="584">
      <formula>AND(LEN(TRIM(#REF!))&gt;0,LEN(TRIM(BZ801))=0)</formula>
    </cfRule>
  </conditionalFormatting>
  <conditionalFormatting sqref="BZ805:CA805">
    <cfRule type="expression" dxfId="534" priority="503">
      <formula>AND(LEN(TRIM(#REF!))&gt;0,LEN(TRIM(BZ805))=0)</formula>
    </cfRule>
  </conditionalFormatting>
  <conditionalFormatting sqref="BZ809:CA809">
    <cfRule type="expression" dxfId="533" priority="502">
      <formula>AND(LEN(TRIM(#REF!))&gt;0,LEN(TRIM(BZ809))=0)</formula>
    </cfRule>
  </conditionalFormatting>
  <conditionalFormatting sqref="BZ813:CA813">
    <cfRule type="expression" dxfId="532" priority="686">
      <formula>AND(LEN(TRIM(#REF!))&gt;0,LEN(TRIM(BZ813))=0)</formula>
    </cfRule>
  </conditionalFormatting>
  <conditionalFormatting sqref="BZ817:CA817">
    <cfRule type="expression" dxfId="531" priority="601">
      <formula>AND(LEN(TRIM(#REF!))&gt;0,LEN(TRIM(BZ817))=0)</formula>
    </cfRule>
  </conditionalFormatting>
  <conditionalFormatting sqref="BZ821:CA821">
    <cfRule type="expression" dxfId="530" priority="600">
      <formula>AND(LEN(TRIM(#REF!))&gt;0,LEN(TRIM(BZ821))=0)</formula>
    </cfRule>
  </conditionalFormatting>
  <conditionalFormatting sqref="BZ825:CA825">
    <cfRule type="expression" dxfId="529" priority="500">
      <formula>AND(LEN(TRIM(#REF!))&gt;0,LEN(TRIM(BZ825))=0)</formula>
    </cfRule>
  </conditionalFormatting>
  <conditionalFormatting sqref="BZ829:CA829">
    <cfRule type="expression" dxfId="528" priority="498">
      <formula>AND(LEN(TRIM(#REF!))&gt;0,LEN(TRIM(BZ829))=0)</formula>
    </cfRule>
  </conditionalFormatting>
  <conditionalFormatting sqref="BZ833:CA833">
    <cfRule type="expression" dxfId="527" priority="497">
      <formula>AND(LEN(TRIM(#REF!))&gt;0,LEN(TRIM(BZ833))=0)</formula>
    </cfRule>
  </conditionalFormatting>
  <conditionalFormatting sqref="BZ837:CA837">
    <cfRule type="expression" dxfId="526" priority="493">
      <formula>AND(LEN(TRIM(#REF!))&gt;0,LEN(TRIM(BZ837))=0)</formula>
    </cfRule>
  </conditionalFormatting>
  <conditionalFormatting sqref="BZ841:CA841">
    <cfRule type="expression" dxfId="525" priority="491">
      <formula>AND(LEN(TRIM(#REF!))&gt;0,LEN(TRIM(BZ841))=0)</formula>
    </cfRule>
  </conditionalFormatting>
  <conditionalFormatting sqref="BZ845:CA845">
    <cfRule type="expression" dxfId="524" priority="490">
      <formula>AND(LEN(TRIM(#REF!))&gt;0,LEN(TRIM(BZ845))=0)</formula>
    </cfRule>
  </conditionalFormatting>
  <conditionalFormatting sqref="BZ849:CA849">
    <cfRule type="expression" dxfId="523" priority="486">
      <formula>AND(LEN(TRIM(#REF!))&gt;0,LEN(TRIM(BZ849))=0)</formula>
    </cfRule>
  </conditionalFormatting>
  <conditionalFormatting sqref="BZ853:CA853">
    <cfRule type="expression" dxfId="522" priority="484">
      <formula>AND(LEN(TRIM(#REF!))&gt;0,LEN(TRIM(BZ853))=0)</formula>
    </cfRule>
  </conditionalFormatting>
  <conditionalFormatting sqref="BZ857:CA857">
    <cfRule type="expression" dxfId="521" priority="483">
      <formula>AND(LEN(TRIM(#REF!))&gt;0,LEN(TRIM(BZ857))=0)</formula>
    </cfRule>
  </conditionalFormatting>
  <conditionalFormatting sqref="BZ861:CA861">
    <cfRule type="expression" dxfId="520" priority="479">
      <formula>AND(LEN(TRIM(#REF!))&gt;0,LEN(TRIM(BZ861))=0)</formula>
    </cfRule>
  </conditionalFormatting>
  <conditionalFormatting sqref="BZ865:CA865">
    <cfRule type="expression" dxfId="519" priority="477">
      <formula>AND(LEN(TRIM(#REF!))&gt;0,LEN(TRIM(BZ865))=0)</formula>
    </cfRule>
  </conditionalFormatting>
  <conditionalFormatting sqref="BZ869:CA869">
    <cfRule type="expression" dxfId="518" priority="475">
      <formula>AND(LEN(TRIM(#REF!))&gt;0,LEN(TRIM(BZ869))=0)</formula>
    </cfRule>
  </conditionalFormatting>
  <conditionalFormatting sqref="CA870:CA872 BX872:BX875 BZ873:CA873 CA874 BZ875:CA875 CA876:CA879 BX879:BX882 BZ880:CA880 CA881 BZ882:CA882 CA883:CA886 BX886:BX889 BZ887:CA887 CA888 BZ889:CA889 CA890:CA894 BX893:BX897 BZ895:CA896 CA897 BX899 BZ899:CA899 CA900:CA905 BX904:BX908 BZ906:CA907 CA908 BX910 BZ910:CA910 CA911:CA912">
    <cfRule type="expression" dxfId="517" priority="393">
      <formula>AND(LEN(TRIM($BW870))&gt;0,LEN(TRIM(BX870))=0)</formula>
    </cfRule>
  </conditionalFormatting>
  <conditionalFormatting sqref="CC872">
    <cfRule type="expression" dxfId="516" priority="356">
      <formula>AND(LEN(TRIM($BM872))&gt;0,LEN(TRIM(CC872))=0)</formula>
    </cfRule>
  </conditionalFormatting>
  <conditionalFormatting sqref="CC879">
    <cfRule type="expression" dxfId="515" priority="318">
      <formula>AND(LEN(TRIM($BM879))&gt;0,LEN(TRIM(CC879))=0)</formula>
    </cfRule>
  </conditionalFormatting>
  <conditionalFormatting sqref="CC886">
    <cfRule type="expression" dxfId="514" priority="279">
      <formula>AND(LEN(TRIM($BM886))&gt;0,LEN(TRIM(CC886))=0)</formula>
    </cfRule>
  </conditionalFormatting>
  <conditionalFormatting sqref="CC893:CC894">
    <cfRule type="expression" dxfId="513" priority="252">
      <formula>AND(LEN(TRIM($BM893))&gt;0,LEN(TRIM(CC893))=0)</formula>
    </cfRule>
  </conditionalFormatting>
  <conditionalFormatting sqref="CC904:CC905">
    <cfRule type="expression" dxfId="512" priority="209">
      <formula>AND(LEN(TRIM($BM904))&gt;0,LEN(TRIM(CC904))=0)</formula>
    </cfRule>
  </conditionalFormatting>
  <conditionalFormatting sqref="CC696:CF737">
    <cfRule type="expression" dxfId="511" priority="948">
      <formula>AND(LEN(TRIM($CB696))&gt;0,LEN(TRIM(CC696))=0)</formula>
    </cfRule>
  </conditionalFormatting>
  <conditionalFormatting sqref="CC738:CF788 CC789 CC790:CF792 CC793 CC794:CF796 CC797">
    <cfRule type="expression" dxfId="510" priority="592">
      <formula>AND(LEN(TRIM($CB738))&gt;0,LEN(TRIM(CC738))=0)</formula>
    </cfRule>
  </conditionalFormatting>
  <conditionalFormatting sqref="CC798:CF800 CC801 CC802:CF804 CC805 CC806:CF808 CC809">
    <cfRule type="expression" dxfId="509" priority="515">
      <formula>AND(LEN(TRIM($CB798))&gt;0,LEN(TRIM(CC798))=0)</formula>
    </cfRule>
  </conditionalFormatting>
  <conditionalFormatting sqref="CC810:CF812 CC813 CC814:CF816 CC817 CC818:CF820 CC821 CC822:CF824 CC825 CC826:CF828 CC829 CC830:CF832 CC833 CC834:CF836 CC837 CC838:CF840 CC841 CC842:CF844 CC845 CC846:CF848 CC849 CC850:CF852 CC853 CC854:CF856 CC857 CC858:CF860 CC861 CC862:CF864 CC865 CC866:CF868 CC869 CC870:CF871">
    <cfRule type="expression" dxfId="508" priority="614">
      <formula>AND(LEN(TRIM($CB810))&gt;0,LEN(TRIM(CC810))=0)</formula>
    </cfRule>
  </conditionalFormatting>
  <conditionalFormatting sqref="CC913:CF953">
    <cfRule type="expression" dxfId="507" priority="11">
      <formula>AND(LEN(TRIM($CB913))&gt;0,LEN(TRIM(CC913))=0)</formula>
    </cfRule>
  </conditionalFormatting>
  <conditionalFormatting sqref="CD872">
    <cfRule type="expression" dxfId="506" priority="355">
      <formula>AND(LEN(TRIM($BD872))&gt;0,LEN(TRIM(CD872))=0)</formula>
    </cfRule>
  </conditionalFormatting>
  <conditionalFormatting sqref="CD875:CD876">
    <cfRule type="expression" dxfId="505" priority="361">
      <formula>AND(LEN(TRIM($BD875))&gt;0,LEN(TRIM(CD875))=0)</formula>
    </cfRule>
  </conditionalFormatting>
  <conditionalFormatting sqref="CD879">
    <cfRule type="expression" dxfId="504" priority="317">
      <formula>AND(LEN(TRIM($BD879))&gt;0,LEN(TRIM(CD879))=0)</formula>
    </cfRule>
  </conditionalFormatting>
  <conditionalFormatting sqref="CD882:CD883">
    <cfRule type="expression" dxfId="503" priority="323">
      <formula>AND(LEN(TRIM($BD882))&gt;0,LEN(TRIM(CD882))=0)</formula>
    </cfRule>
  </conditionalFormatting>
  <conditionalFormatting sqref="CD886">
    <cfRule type="expression" dxfId="502" priority="278">
      <formula>AND(LEN(TRIM($BD886))&gt;0,LEN(TRIM(CD886))=0)</formula>
    </cfRule>
  </conditionalFormatting>
  <conditionalFormatting sqref="CD889:CD890">
    <cfRule type="expression" dxfId="501" priority="284">
      <formula>AND(LEN(TRIM($BD889))&gt;0,LEN(TRIM(CD889))=0)</formula>
    </cfRule>
  </conditionalFormatting>
  <conditionalFormatting sqref="CD893:CD894">
    <cfRule type="expression" dxfId="500" priority="251">
      <formula>AND(LEN(TRIM($BD893))&gt;0,LEN(TRIM(CD893))=0)</formula>
    </cfRule>
  </conditionalFormatting>
  <conditionalFormatting sqref="CD898:CD901">
    <cfRule type="expression" dxfId="499" priority="256">
      <formula>AND(LEN(TRIM($BD898))&gt;0,LEN(TRIM(CD898))=0)</formula>
    </cfRule>
  </conditionalFormatting>
  <conditionalFormatting sqref="CD904:CD905">
    <cfRule type="expression" dxfId="498" priority="208">
      <formula>AND(LEN(TRIM($BD904))&gt;0,LEN(TRIM(CD904))=0)</formula>
    </cfRule>
  </conditionalFormatting>
  <conditionalFormatting sqref="CD909:CD912">
    <cfRule type="expression" dxfId="497" priority="213">
      <formula>AND(LEN(TRIM($BD909))&gt;0,LEN(TRIM(CD909))=0)</formula>
    </cfRule>
  </conditionalFormatting>
  <conditionalFormatting sqref="CE875:CE876">
    <cfRule type="expression" dxfId="496" priority="362">
      <formula>AND(LEN(TRIM($BH875))&gt;0,LEN(TRIM(CE875))=0)</formula>
    </cfRule>
  </conditionalFormatting>
  <conditionalFormatting sqref="CE882:CE883">
    <cfRule type="expression" dxfId="495" priority="324">
      <formula>AND(LEN(TRIM($BH882))&gt;0,LEN(TRIM(CE882))=0)</formula>
    </cfRule>
  </conditionalFormatting>
  <conditionalFormatting sqref="CE889:CE890">
    <cfRule type="expression" dxfId="494" priority="285">
      <formula>AND(LEN(TRIM($BH889))&gt;0,LEN(TRIM(CE889))=0)</formula>
    </cfRule>
  </conditionalFormatting>
  <conditionalFormatting sqref="CE898:CE901">
    <cfRule type="expression" dxfId="493" priority="257">
      <formula>AND(LEN(TRIM($BH898))&gt;0,LEN(TRIM(CE898))=0)</formula>
    </cfRule>
  </conditionalFormatting>
  <conditionalFormatting sqref="CE909:CE912">
    <cfRule type="expression" dxfId="492" priority="214">
      <formula>AND(LEN(TRIM($BH909))&gt;0,LEN(TRIM(CE909))=0)</formula>
    </cfRule>
  </conditionalFormatting>
  <conditionalFormatting sqref="CF872 CC873:CF874 CC875:CC876 CF875:CF876 CC877:CF878 CF879 CC880:CF881 CC882:CC883 CF882:CF883 CC884:CF885 CF886 CC887:CF888 CC889:CC890 CF889:CF890 CC891:CF892 CF893:CF894 CC895:CF897 CC898:CC901 CF898:CF901 CC902:CF903 CF904:CF905 CC906:CF908 CC909:CC912 CF909:CF912">
    <cfRule type="expression" dxfId="491" priority="394">
      <formula>AND(LEN(TRIM($CB872))&gt;0,LEN(TRIM(CC872))=0)</formula>
    </cfRule>
  </conditionalFormatting>
  <conditionalFormatting sqref="CH876 CJ876">
    <cfRule type="expression" dxfId="490" priority="352">
      <formula>AND(LEN(TRIM($BM876))&gt;0,LEN(TRIM(CH876))=0)</formula>
    </cfRule>
  </conditionalFormatting>
  <conditionalFormatting sqref="CH883 CJ883">
    <cfRule type="expression" dxfId="489" priority="314">
      <formula>AND(LEN(TRIM($BM883))&gt;0,LEN(TRIM(CH883))=0)</formula>
    </cfRule>
  </conditionalFormatting>
  <conditionalFormatting sqref="CH890 CJ890">
    <cfRule type="expression" dxfId="488" priority="275">
      <formula>AND(LEN(TRIM($BM890))&gt;0,LEN(TRIM(CH890))=0)</formula>
    </cfRule>
  </conditionalFormatting>
  <conditionalFormatting sqref="CH901 CJ901">
    <cfRule type="expression" dxfId="487" priority="248">
      <formula>AND(LEN(TRIM($BM901))&gt;0,LEN(TRIM(CH901))=0)</formula>
    </cfRule>
  </conditionalFormatting>
  <conditionalFormatting sqref="CH912 CJ912">
    <cfRule type="expression" dxfId="486" priority="205">
      <formula>AND(LEN(TRIM($BM912))&gt;0,LEN(TRIM(CH912))=0)</formula>
    </cfRule>
  </conditionalFormatting>
  <conditionalFormatting sqref="CH696:CK737">
    <cfRule type="expression" dxfId="485" priority="949">
      <formula>AND(LEN(TRIM($CG696))&gt;0,LEN(TRIM(CH696))=0)</formula>
    </cfRule>
  </conditionalFormatting>
  <conditionalFormatting sqref="CH738:CK875 CK876 CH877:CK882 CK883 CH884:CK889 CK890 CH891:CK900 CK901 CH902:CK911 CK912">
    <cfRule type="expression" dxfId="484" priority="395">
      <formula>AND(LEN(TRIM($CG738))&gt;0,LEN(TRIM(CH738))=0)</formula>
    </cfRule>
  </conditionalFormatting>
  <conditionalFormatting sqref="CH913:CK953">
    <cfRule type="expression" dxfId="483" priority="12">
      <formula>AND(LEN(TRIM($CG913))&gt;0,LEN(TRIM(CH913))=0)</formula>
    </cfRule>
  </conditionalFormatting>
  <conditionalFormatting sqref="CI876">
    <cfRule type="expression" dxfId="482" priority="351">
      <formula>AND(LEN(TRIM($BD876))&gt;0,LEN(TRIM(CI876))=0)</formula>
    </cfRule>
  </conditionalFormatting>
  <conditionalFormatting sqref="CI883">
    <cfRule type="expression" dxfId="481" priority="313">
      <formula>AND(LEN(TRIM($BD883))&gt;0,LEN(TRIM(CI883))=0)</formula>
    </cfRule>
  </conditionalFormatting>
  <conditionalFormatting sqref="CI890">
    <cfRule type="expression" dxfId="480" priority="274">
      <formula>AND(LEN(TRIM($BD890))&gt;0,LEN(TRIM(CI890))=0)</formula>
    </cfRule>
  </conditionalFormatting>
  <conditionalFormatting sqref="CI901">
    <cfRule type="expression" dxfId="479" priority="247">
      <formula>AND(LEN(TRIM($BD901))&gt;0,LEN(TRIM(CI901))=0)</formula>
    </cfRule>
  </conditionalFormatting>
  <conditionalFormatting sqref="CI912">
    <cfRule type="expression" dxfId="478" priority="204">
      <formula>AND(LEN(TRIM($BD912))&gt;0,LEN(TRIM(CI912))=0)</formula>
    </cfRule>
  </conditionalFormatting>
  <conditionalFormatting sqref="CM696:CP737">
    <cfRule type="expression" dxfId="477" priority="950">
      <formula>AND(LEN(TRIM($CL696))&gt;0,LEN(TRIM(CM696))=0)</formula>
    </cfRule>
  </conditionalFormatting>
  <conditionalFormatting sqref="CM738:CP953">
    <cfRule type="expression" dxfId="476" priority="13">
      <formula>AND(LEN(TRIM($CL738))&gt;0,LEN(TRIM(CM738))=0)</formula>
    </cfRule>
  </conditionalFormatting>
  <conditionalFormatting sqref="CR696:CU737">
    <cfRule type="expression" dxfId="475" priority="951">
      <formula>AND(LEN(TRIM($CQ696))&gt;0,LEN(TRIM(CR696))=0)</formula>
    </cfRule>
  </conditionalFormatting>
  <conditionalFormatting sqref="CR738:CU953">
    <cfRule type="expression" dxfId="474" priority="14">
      <formula>AND(LEN(TRIM($CQ738))&gt;0,LEN(TRIM(CR738))=0)</formula>
    </cfRule>
  </conditionalFormatting>
  <conditionalFormatting sqref="CW696:CZ737">
    <cfRule type="expression" dxfId="473" priority="952">
      <formula>AND(LEN(TRIM($CV696))&gt;0,LEN(TRIM(CW696))=0)</formula>
    </cfRule>
  </conditionalFormatting>
  <conditionalFormatting sqref="CW738:CZ953">
    <cfRule type="expression" dxfId="472" priority="15">
      <formula>AND(LEN(TRIM($CV738))&gt;0,LEN(TRIM(CW738))=0)</formula>
    </cfRule>
  </conditionalFormatting>
  <conditionalFormatting sqref="DB696:DE737">
    <cfRule type="expression" dxfId="471" priority="953">
      <formula>AND(LEN(TRIM($DA696))&gt;0,LEN(TRIM(DB696))=0)</formula>
    </cfRule>
  </conditionalFormatting>
  <conditionalFormatting sqref="DB738:DE953">
    <cfRule type="expression" dxfId="470" priority="16">
      <formula>AND(LEN(TRIM($DA738))&gt;0,LEN(TRIM(DB738))=0)</formula>
    </cfRule>
  </conditionalFormatting>
  <conditionalFormatting sqref="DG696:DJ737">
    <cfRule type="expression" dxfId="469" priority="954">
      <formula>AND(LEN(TRIM($DF696))&gt;0,LEN(TRIM(DG696))=0)</formula>
    </cfRule>
  </conditionalFormatting>
  <conditionalFormatting sqref="DG738:DJ953">
    <cfRule type="expression" dxfId="468" priority="17">
      <formula>AND(LEN(TRIM($DF738))&gt;0,LEN(TRIM(DG738))=0)</formula>
    </cfRule>
  </conditionalFormatting>
  <conditionalFormatting sqref="DL696:DO737">
    <cfRule type="expression" dxfId="467" priority="955">
      <formula>AND(LEN(TRIM($DK696))&gt;0,LEN(TRIM(DL696))=0)</formula>
    </cfRule>
  </conditionalFormatting>
  <conditionalFormatting sqref="DL738:DO953">
    <cfRule type="expression" dxfId="466" priority="18">
      <formula>AND(LEN(TRIM($DK738))&gt;0,LEN(TRIM(DL738))=0)</formula>
    </cfRule>
  </conditionalFormatting>
  <conditionalFormatting sqref="DQ696:DT737">
    <cfRule type="expression" dxfId="465" priority="956">
      <formula>AND(LEN(TRIM($DP696))&gt;0,LEN(TRIM(DQ696))=0)</formula>
    </cfRule>
  </conditionalFormatting>
  <conditionalFormatting sqref="DQ738:DT953">
    <cfRule type="expression" dxfId="464" priority="19">
      <formula>AND(LEN(TRIM($DP738))&gt;0,LEN(TRIM(DQ738))=0)</formula>
    </cfRule>
  </conditionalFormatting>
  <conditionalFormatting sqref="DV696:DY737">
    <cfRule type="expression" dxfId="463" priority="957">
      <formula>AND(LEN(TRIM($DU696))&gt;0,LEN(TRIM(DV696))=0)</formula>
    </cfRule>
  </conditionalFormatting>
  <conditionalFormatting sqref="DV738:DY953">
    <cfRule type="expression" dxfId="462" priority="20">
      <formula>AND(LEN(TRIM($DU738))&gt;0,LEN(TRIM(DV738))=0)</formula>
    </cfRule>
  </conditionalFormatting>
  <conditionalFormatting sqref="EA696:ED737">
    <cfRule type="expression" dxfId="461" priority="958">
      <formula>AND(LEN(TRIM($DZ696))&gt;0,LEN(TRIM(EA696))=0)</formula>
    </cfRule>
  </conditionalFormatting>
  <conditionalFormatting sqref="EA738:ED953">
    <cfRule type="expression" dxfId="460" priority="21">
      <formula>AND(LEN(TRIM($DZ738))&gt;0,LEN(TRIM(EA738))=0)</formula>
    </cfRule>
  </conditionalFormatting>
  <conditionalFormatting sqref="EE533">
    <cfRule type="duplicateValues" dxfId="459" priority="1081"/>
  </conditionalFormatting>
  <conditionalFormatting sqref="EE534">
    <cfRule type="duplicateValues" dxfId="458" priority="1079"/>
  </conditionalFormatting>
  <conditionalFormatting sqref="EE535:EE536">
    <cfRule type="duplicateValues" dxfId="457" priority="1080"/>
  </conditionalFormatting>
  <conditionalFormatting sqref="EE537">
    <cfRule type="duplicateValues" dxfId="456" priority="1078"/>
  </conditionalFormatting>
  <conditionalFormatting sqref="EE540">
    <cfRule type="duplicateValues" dxfId="455" priority="1076"/>
  </conditionalFormatting>
  <conditionalFormatting sqref="EE541">
    <cfRule type="duplicateValues" dxfId="454" priority="1074"/>
  </conditionalFormatting>
  <conditionalFormatting sqref="EE542:EE543">
    <cfRule type="duplicateValues" dxfId="453" priority="1075"/>
  </conditionalFormatting>
  <conditionalFormatting sqref="EE544">
    <cfRule type="duplicateValues" dxfId="452" priority="1073"/>
  </conditionalFormatting>
  <conditionalFormatting sqref="EE547">
    <cfRule type="duplicateValues" dxfId="451" priority="1071"/>
  </conditionalFormatting>
  <conditionalFormatting sqref="EE548">
    <cfRule type="duplicateValues" dxfId="450" priority="1069"/>
  </conditionalFormatting>
  <conditionalFormatting sqref="EE549:EE550">
    <cfRule type="duplicateValues" dxfId="449" priority="1070"/>
  </conditionalFormatting>
  <conditionalFormatting sqref="EE551">
    <cfRule type="duplicateValues" dxfId="448" priority="1068"/>
  </conditionalFormatting>
  <conditionalFormatting sqref="EE554">
    <cfRule type="duplicateValues" dxfId="447" priority="1066"/>
  </conditionalFormatting>
  <conditionalFormatting sqref="EE555">
    <cfRule type="duplicateValues" dxfId="446" priority="1064"/>
  </conditionalFormatting>
  <conditionalFormatting sqref="EE556:EE557">
    <cfRule type="duplicateValues" dxfId="445" priority="1065"/>
  </conditionalFormatting>
  <conditionalFormatting sqref="EE558">
    <cfRule type="duplicateValues" dxfId="444" priority="1063"/>
  </conditionalFormatting>
  <conditionalFormatting sqref="EE561">
    <cfRule type="duplicateValues" dxfId="443" priority="1061"/>
  </conditionalFormatting>
  <conditionalFormatting sqref="EE562">
    <cfRule type="duplicateValues" dxfId="442" priority="1059"/>
  </conditionalFormatting>
  <conditionalFormatting sqref="EE563:EE564">
    <cfRule type="duplicateValues" dxfId="441" priority="1060"/>
  </conditionalFormatting>
  <conditionalFormatting sqref="EE565">
    <cfRule type="duplicateValues" dxfId="440" priority="1058"/>
  </conditionalFormatting>
  <conditionalFormatting sqref="EF696:EH737">
    <cfRule type="expression" dxfId="439" priority="959">
      <formula>AND(LEN(TRIM($EE696))&gt;0,LEN(TRIM(EF696))=0)</formula>
    </cfRule>
  </conditionalFormatting>
  <conditionalFormatting sqref="EF738:EH953">
    <cfRule type="expression" dxfId="438" priority="22">
      <formula>AND(LEN(TRIM($EE738))&gt;0,LEN(TRIM(EF738))=0)</formula>
    </cfRule>
  </conditionalFormatting>
  <conditionalFormatting sqref="EI535">
    <cfRule type="duplicateValues" dxfId="437" priority="1077"/>
  </conditionalFormatting>
  <conditionalFormatting sqref="EI542">
    <cfRule type="duplicateValues" dxfId="436" priority="1072"/>
  </conditionalFormatting>
  <conditionalFormatting sqref="EI549">
    <cfRule type="duplicateValues" dxfId="435" priority="1067"/>
  </conditionalFormatting>
  <conditionalFormatting sqref="EI556">
    <cfRule type="duplicateValues" dxfId="434" priority="1062"/>
  </conditionalFormatting>
  <conditionalFormatting sqref="EI563">
    <cfRule type="duplicateValues" dxfId="433" priority="1057"/>
  </conditionalFormatting>
  <conditionalFormatting sqref="EJ696:EL737">
    <cfRule type="expression" dxfId="432" priority="960">
      <formula>AND(LEN(TRIM($EI696))&gt;0,LEN(TRIM(EJ696))=0)</formula>
    </cfRule>
  </conditionalFormatting>
  <conditionalFormatting sqref="EJ738:EL953">
    <cfRule type="expression" dxfId="431" priority="23">
      <formula>AND(LEN(TRIM($EI738))&gt;0,LEN(TRIM(EJ738))=0)</formula>
    </cfRule>
  </conditionalFormatting>
  <conditionalFormatting sqref="EN696:EP737">
    <cfRule type="expression" dxfId="430" priority="961">
      <formula>AND(LEN(TRIM($EM696))&gt;0,LEN(TRIM(EN696))=0)</formula>
    </cfRule>
  </conditionalFormatting>
  <conditionalFormatting sqref="EN738:EP953">
    <cfRule type="expression" dxfId="429" priority="24">
      <formula>AND(LEN(TRIM($EM738))&gt;0,LEN(TRIM(EN738))=0)</formula>
    </cfRule>
  </conditionalFormatting>
  <conditionalFormatting sqref="ER696:ET737">
    <cfRule type="expression" dxfId="428" priority="962">
      <formula>AND(LEN(TRIM($EQ696))&gt;0,LEN(TRIM(ER696))=0)</formula>
    </cfRule>
  </conditionalFormatting>
  <conditionalFormatting sqref="ER738:ET953">
    <cfRule type="expression" dxfId="427" priority="25">
      <formula>AND(LEN(TRIM($EQ738))&gt;0,LEN(TRIM(ER738))=0)</formula>
    </cfRule>
  </conditionalFormatting>
  <conditionalFormatting sqref="EV696:EX737">
    <cfRule type="expression" dxfId="426" priority="963">
      <formula>AND(LEN(TRIM($EU696))&gt;0,LEN(TRIM(EV696))=0)</formula>
    </cfRule>
  </conditionalFormatting>
  <conditionalFormatting sqref="EV738:EX953">
    <cfRule type="expression" dxfId="425" priority="26">
      <formula>AND(LEN(TRIM($EU738))&gt;0,LEN(TRIM(EV738))=0)</formula>
    </cfRule>
  </conditionalFormatting>
  <conditionalFormatting sqref="EZ696:FB737">
    <cfRule type="expression" dxfId="424" priority="964">
      <formula>AND(LEN(TRIM($EY696))&gt;0,LEN(TRIM(EZ696))=0)</formula>
    </cfRule>
  </conditionalFormatting>
  <conditionalFormatting sqref="EZ738:FB953">
    <cfRule type="expression" dxfId="423" priority="27">
      <formula>AND(LEN(TRIM($EY738))&gt;0,LEN(TRIM(EZ738))=0)</formula>
    </cfRule>
  </conditionalFormatting>
  <conditionalFormatting sqref="FD696:FF737">
    <cfRule type="expression" dxfId="422" priority="965">
      <formula>AND(LEN(TRIM($FC696))&gt;0,LEN(TRIM(FD696))=0)</formula>
    </cfRule>
  </conditionalFormatting>
  <conditionalFormatting sqref="FD738:FF953">
    <cfRule type="expression" dxfId="421" priority="28">
      <formula>AND(LEN(TRIM($FC738))&gt;0,LEN(TRIM(FD738))=0)</formula>
    </cfRule>
  </conditionalFormatting>
  <conditionalFormatting sqref="FH696:FJ737">
    <cfRule type="expression" dxfId="420" priority="966">
      <formula>AND(LEN(TRIM($FG696))&gt;0,LEN(TRIM(FH696))=0)</formula>
    </cfRule>
  </conditionalFormatting>
  <conditionalFormatting sqref="FH738:FJ953">
    <cfRule type="expression" dxfId="419" priority="29">
      <formula>AND(LEN(TRIM($FG738))&gt;0,LEN(TRIM(FH738))=0)</formula>
    </cfRule>
  </conditionalFormatting>
  <conditionalFormatting sqref="FL696:FN737">
    <cfRule type="expression" dxfId="418" priority="967">
      <formula>AND(LEN(TRIM($FK696))&gt;0,LEN(TRIM(FL696))=0)</formula>
    </cfRule>
  </conditionalFormatting>
  <conditionalFormatting sqref="FL738:FN953">
    <cfRule type="expression" dxfId="417" priority="30">
      <formula>AND(LEN(TRIM($FK738))&gt;0,LEN(TRIM(FL738))=0)</formula>
    </cfRule>
  </conditionalFormatting>
  <conditionalFormatting sqref="FP696:FR737">
    <cfRule type="expression" dxfId="416" priority="968">
      <formula>AND(LEN(TRIM($FO696))&gt;0,LEN(TRIM(FP696))=0)</formula>
    </cfRule>
  </conditionalFormatting>
  <conditionalFormatting sqref="FP738:FR953">
    <cfRule type="expression" dxfId="415" priority="31">
      <formula>AND(LEN(TRIM($FO738))&gt;0,LEN(TRIM(FP738))=0)</formula>
    </cfRule>
  </conditionalFormatting>
  <conditionalFormatting sqref="FT696:FV737">
    <cfRule type="expression" dxfId="414" priority="969">
      <formula>AND(LEN(TRIM($FS696))&gt;0,LEN(TRIM(FT696))=0)</formula>
    </cfRule>
  </conditionalFormatting>
  <conditionalFormatting sqref="FT738:FV953">
    <cfRule type="expression" dxfId="413" priority="32">
      <formula>AND(LEN(TRIM($FS738))&gt;0,LEN(TRIM(FT738))=0)</formula>
    </cfRule>
  </conditionalFormatting>
  <conditionalFormatting sqref="FX696:FZ737">
    <cfRule type="expression" dxfId="412" priority="970">
      <formula>AND(LEN(TRIM($FW696))&gt;0,LEN(TRIM(FX696))=0)</formula>
    </cfRule>
  </conditionalFormatting>
  <conditionalFormatting sqref="FX738:FZ953">
    <cfRule type="expression" dxfId="411" priority="33">
      <formula>AND(LEN(TRIM($FW738))&gt;0,LEN(TRIM(FX738))=0)</formula>
    </cfRule>
  </conditionalFormatting>
  <conditionalFormatting sqref="GB696:GD737">
    <cfRule type="expression" dxfId="410" priority="971">
      <formula>AND(LEN(TRIM($GA696))&gt;0,LEN(TRIM(GB696))=0)</formula>
    </cfRule>
  </conditionalFormatting>
  <conditionalFormatting sqref="GB738:GD953">
    <cfRule type="expression" dxfId="409" priority="34">
      <formula>AND(LEN(TRIM($GA738))&gt;0,LEN(TRIM(GB738))=0)</formula>
    </cfRule>
  </conditionalFormatting>
  <conditionalFormatting sqref="GF696:GH737">
    <cfRule type="expression" dxfId="408" priority="972">
      <formula>AND(LEN(TRIM($GE696))&gt;0,LEN(TRIM(GF696))=0)</formula>
    </cfRule>
  </conditionalFormatting>
  <conditionalFormatting sqref="GF738:GH953">
    <cfRule type="expression" dxfId="407" priority="35">
      <formula>AND(LEN(TRIM($GE738))&gt;0,LEN(TRIM(GF738))=0)</formula>
    </cfRule>
  </conditionalFormatting>
  <conditionalFormatting sqref="GJ696:GL737">
    <cfRule type="expression" dxfId="406" priority="973">
      <formula>AND(LEN(TRIM($GI696))&gt;0,LEN(TRIM(GJ696))=0)</formula>
    </cfRule>
  </conditionalFormatting>
  <conditionalFormatting sqref="GJ738:GL953">
    <cfRule type="expression" dxfId="405" priority="36">
      <formula>AND(LEN(TRIM($GI738))&gt;0,LEN(TRIM(GJ738))=0)</formula>
    </cfRule>
  </conditionalFormatting>
  <conditionalFormatting sqref="GN696:GQ737">
    <cfRule type="expression" dxfId="404" priority="974">
      <formula>AND(LEN(TRIM($GM696))&gt;0,LEN(TRIM(GN696))=0)</formula>
    </cfRule>
  </conditionalFormatting>
  <conditionalFormatting sqref="GN738:GQ953">
    <cfRule type="expression" dxfId="403" priority="37">
      <formula>AND(LEN(TRIM($GM738))&gt;0,LEN(TRIM(GN738))=0)</formula>
    </cfRule>
  </conditionalFormatting>
  <conditionalFormatting sqref="GS696:GV737">
    <cfRule type="expression" dxfId="402" priority="975">
      <formula>AND(LEN(TRIM($GR696))&gt;0,LEN(TRIM(GS696))=0)</formula>
    </cfRule>
  </conditionalFormatting>
  <conditionalFormatting sqref="GS738:GV953">
    <cfRule type="expression" dxfId="401" priority="38">
      <formula>AND(LEN(TRIM($GR738))&gt;0,LEN(TRIM(GS738))=0)</formula>
    </cfRule>
  </conditionalFormatting>
  <conditionalFormatting sqref="GX696:HA737">
    <cfRule type="expression" dxfId="400" priority="976">
      <formula>AND(LEN(TRIM($GW696))&gt;0,LEN(TRIM(GX696))=0)</formula>
    </cfRule>
  </conditionalFormatting>
  <conditionalFormatting sqref="GX738:HA953">
    <cfRule type="expression" dxfId="399" priority="39">
      <formula>AND(LEN(TRIM($GW738))&gt;0,LEN(TRIM(GX738))=0)</formula>
    </cfRule>
  </conditionalFormatting>
  <conditionalFormatting sqref="HC696:HF737">
    <cfRule type="expression" dxfId="398" priority="977">
      <formula>AND(LEN(TRIM($HB696))&gt;0,LEN(TRIM(HC696))=0)</formula>
    </cfRule>
  </conditionalFormatting>
  <conditionalFormatting sqref="HC738:HF953">
    <cfRule type="expression" dxfId="397" priority="40">
      <formula>AND(LEN(TRIM($HB738))&gt;0,LEN(TRIM(HC738))=0)</formula>
    </cfRule>
  </conditionalFormatting>
  <conditionalFormatting sqref="HH696:HK737">
    <cfRule type="expression" dxfId="396" priority="978">
      <formula>AND(LEN(TRIM($HG696))&gt;0,LEN(TRIM(HH696))=0)</formula>
    </cfRule>
  </conditionalFormatting>
  <conditionalFormatting sqref="HH738:HK890 HH891:HJ912">
    <cfRule type="expression" dxfId="395" priority="424">
      <formula>AND(LEN(TRIM($HG738))&gt;0,LEN(TRIM(HH738))=0)</formula>
    </cfRule>
  </conditionalFormatting>
  <conditionalFormatting sqref="HH913:HK953">
    <cfRule type="expression" dxfId="394" priority="41">
      <formula>AND(LEN(TRIM($HG913))&gt;0,LEN(TRIM(HH913))=0)</formula>
    </cfRule>
  </conditionalFormatting>
  <conditionalFormatting sqref="HL870:HL912">
    <cfRule type="expression" dxfId="393" priority="301">
      <formula>AND(LEN(TRIM($BD870))&gt;0,LEN(TRIM(HL870))=0)</formula>
    </cfRule>
  </conditionalFormatting>
  <conditionalFormatting sqref="HM696:HQ737">
    <cfRule type="expression" dxfId="392" priority="979">
      <formula>AND(LEN(TRIM($HL696))&gt;0,LEN(TRIM(HM696))=0)</formula>
    </cfRule>
  </conditionalFormatting>
  <conditionalFormatting sqref="HM738:HQ953">
    <cfRule type="expression" dxfId="391" priority="42">
      <formula>AND(LEN(TRIM($HL738))&gt;0,LEN(TRIM(HM738))=0)</formula>
    </cfRule>
  </conditionalFormatting>
  <conditionalFormatting sqref="HN698">
    <cfRule type="expression" dxfId="390" priority="891">
      <formula>AND(LEN(TRIM($C696))&gt;0,LEN(TRIM(HN698))=0)</formula>
    </cfRule>
  </conditionalFormatting>
  <conditionalFormatting sqref="HN701">
    <cfRule type="expression" dxfId="389" priority="887">
      <formula>AND(LEN(TRIM($C699))&gt;0,LEN(TRIM(HN701))=0)</formula>
    </cfRule>
  </conditionalFormatting>
  <conditionalFormatting sqref="HN704">
    <cfRule type="expression" dxfId="388" priority="876">
      <formula>AND(LEN(TRIM($C702))&gt;0,LEN(TRIM(HN704))=0)</formula>
    </cfRule>
  </conditionalFormatting>
  <conditionalFormatting sqref="HN713">
    <cfRule type="expression" dxfId="387" priority="922">
      <formula>AND(LEN(TRIM($C711))&gt;0,LEN(TRIM(HN713))=0)</formula>
    </cfRule>
  </conditionalFormatting>
  <conditionalFormatting sqref="HN716">
    <cfRule type="expression" dxfId="386" priority="918">
      <formula>AND(LEN(TRIM($C714))&gt;0,LEN(TRIM(HN716))=0)</formula>
    </cfRule>
  </conditionalFormatting>
  <conditionalFormatting sqref="HN719">
    <cfRule type="expression" dxfId="385" priority="914">
      <formula>AND(LEN(TRIM($C717))&gt;0,LEN(TRIM(HN719))=0)</formula>
    </cfRule>
  </conditionalFormatting>
  <conditionalFormatting sqref="HN722">
    <cfRule type="expression" dxfId="384" priority="852">
      <formula>AND(LEN(TRIM($C720))&gt;0,LEN(TRIM(HN722))=0)</formula>
    </cfRule>
  </conditionalFormatting>
  <conditionalFormatting sqref="HN728">
    <cfRule type="expression" dxfId="383" priority="829">
      <formula>AND(LEN(TRIM($C726))&gt;0,LEN(TRIM(HN728))=0)</formula>
    </cfRule>
  </conditionalFormatting>
  <conditionalFormatting sqref="HN734">
    <cfRule type="expression" dxfId="382" priority="803">
      <formula>AND(LEN(TRIM($C732))&gt;0,LEN(TRIM(HN734))=0)</formula>
    </cfRule>
  </conditionalFormatting>
  <conditionalFormatting sqref="HN707:HQ707 HN710">
    <cfRule type="expression" dxfId="381" priority="926">
      <formula>AND(LEN(TRIM($C705))&gt;0,LEN(TRIM(HN707))=0)</formula>
    </cfRule>
  </conditionalFormatting>
  <conditionalFormatting sqref="HN725:HQ725">
    <cfRule type="expression" dxfId="380" priority="860">
      <formula>AND(LEN(TRIM($C723))&gt;0,LEN(TRIM(HN725))=0)</formula>
    </cfRule>
  </conditionalFormatting>
  <conditionalFormatting sqref="HN731:HQ731">
    <cfRule type="expression" dxfId="379" priority="837">
      <formula>AND(LEN(TRIM($C729))&gt;0,LEN(TRIM(HN731))=0)</formula>
    </cfRule>
  </conditionalFormatting>
  <conditionalFormatting sqref="HN737:HQ737">
    <cfRule type="expression" dxfId="378" priority="811">
      <formula>AND(LEN(TRIM($C735))&gt;0,LEN(TRIM(HN737))=0)</formula>
    </cfRule>
  </conditionalFormatting>
  <conditionalFormatting sqref="HO698">
    <cfRule type="expression" dxfId="377" priority="890">
      <formula>AND(LEN(TRIM($C696))&gt;0,LEN(TRIM(HO698))=0)</formula>
    </cfRule>
  </conditionalFormatting>
  <conditionalFormatting sqref="HO701">
    <cfRule type="expression" dxfId="376" priority="886">
      <formula>AND(LEN(TRIM($C699))&gt;0,LEN(TRIM(HO701))=0)</formula>
    </cfRule>
  </conditionalFormatting>
  <conditionalFormatting sqref="HO704">
    <cfRule type="expression" dxfId="375" priority="875">
      <formula>AND(LEN(TRIM($C702))&gt;0,LEN(TRIM(HO704))=0)</formula>
    </cfRule>
  </conditionalFormatting>
  <conditionalFormatting sqref="HO710">
    <cfRule type="expression" dxfId="374" priority="925">
      <formula>AND(LEN(TRIM($C708))&gt;0,LEN(TRIM(HO710))=0)</formula>
    </cfRule>
  </conditionalFormatting>
  <conditionalFormatting sqref="HO713">
    <cfRule type="expression" dxfId="373" priority="921">
      <formula>AND(LEN(TRIM($C711))&gt;0,LEN(TRIM(HO713))=0)</formula>
    </cfRule>
  </conditionalFormatting>
  <conditionalFormatting sqref="HO716">
    <cfRule type="expression" dxfId="372" priority="917">
      <formula>AND(LEN(TRIM($C714))&gt;0,LEN(TRIM(HO716))=0)</formula>
    </cfRule>
  </conditionalFormatting>
  <conditionalFormatting sqref="HO719">
    <cfRule type="expression" dxfId="371" priority="913">
      <formula>AND(LEN(TRIM($C717))&gt;0,LEN(TRIM(HO719))=0)</formula>
    </cfRule>
  </conditionalFormatting>
  <conditionalFormatting sqref="HO722">
    <cfRule type="expression" dxfId="370" priority="851">
      <formula>AND(LEN(TRIM($C720))&gt;0,LEN(TRIM(HO722))=0)</formula>
    </cfRule>
  </conditionalFormatting>
  <conditionalFormatting sqref="HO728">
    <cfRule type="expression" dxfId="369" priority="828">
      <formula>AND(LEN(TRIM($C726))&gt;0,LEN(TRIM(HO728))=0)</formula>
    </cfRule>
  </conditionalFormatting>
  <conditionalFormatting sqref="HO734">
    <cfRule type="expression" dxfId="368" priority="802">
      <formula>AND(LEN(TRIM($C732))&gt;0,LEN(TRIM(HO734))=0)</formula>
    </cfRule>
  </conditionalFormatting>
  <conditionalFormatting sqref="HP696:HP697 HP699:HP703 HP705:HP709 HP711:HP721 HP723:HP727 HP729:HP733 HP735:HP737">
    <cfRule type="expression" dxfId="367" priority="980">
      <formula>AND($HP696&gt;50, $HP696&lt;&gt;"Unspecified")</formula>
    </cfRule>
  </conditionalFormatting>
  <conditionalFormatting sqref="HP698">
    <cfRule type="expression" dxfId="366" priority="889">
      <formula>AND(LEN(TRIM($C696))&gt;0,LEN(TRIM(HP698))=0)</formula>
    </cfRule>
  </conditionalFormatting>
  <conditionalFormatting sqref="HP701">
    <cfRule type="expression" dxfId="365" priority="885">
      <formula>AND(LEN(TRIM($C699))&gt;0,LEN(TRIM(HP701))=0)</formula>
    </cfRule>
  </conditionalFormatting>
  <conditionalFormatting sqref="HP704">
    <cfRule type="expression" dxfId="364" priority="874">
      <formula>AND(LEN(TRIM($C702))&gt;0,LEN(TRIM(HP704))=0)</formula>
    </cfRule>
  </conditionalFormatting>
  <conditionalFormatting sqref="HP710">
    <cfRule type="expression" dxfId="363" priority="924">
      <formula>AND(LEN(TRIM($C708))&gt;0,LEN(TRIM(HP710))=0)</formula>
    </cfRule>
  </conditionalFormatting>
  <conditionalFormatting sqref="HP713">
    <cfRule type="expression" dxfId="362" priority="920">
      <formula>AND(LEN(TRIM($C711))&gt;0,LEN(TRIM(HP713))=0)</formula>
    </cfRule>
  </conditionalFormatting>
  <conditionalFormatting sqref="HP716">
    <cfRule type="expression" dxfId="361" priority="916">
      <formula>AND(LEN(TRIM($C714))&gt;0,LEN(TRIM(HP716))=0)</formula>
    </cfRule>
  </conditionalFormatting>
  <conditionalFormatting sqref="HP719">
    <cfRule type="expression" dxfId="360" priority="912">
      <formula>AND(LEN(TRIM($C717))&gt;0,LEN(TRIM(HP719))=0)</formula>
    </cfRule>
  </conditionalFormatting>
  <conditionalFormatting sqref="HP722">
    <cfRule type="expression" dxfId="359" priority="850">
      <formula>AND(LEN(TRIM($C720))&gt;0,LEN(TRIM(HP722))=0)</formula>
    </cfRule>
  </conditionalFormatting>
  <conditionalFormatting sqref="HP728">
    <cfRule type="expression" dxfId="358" priority="827">
      <formula>AND(LEN(TRIM($C726))&gt;0,LEN(TRIM(HP728))=0)</formula>
    </cfRule>
  </conditionalFormatting>
  <conditionalFormatting sqref="HP734">
    <cfRule type="expression" dxfId="357" priority="801">
      <formula>AND(LEN(TRIM($C732))&gt;0,LEN(TRIM(HP734))=0)</formula>
    </cfRule>
  </conditionalFormatting>
  <conditionalFormatting sqref="HP738:HP953">
    <cfRule type="expression" dxfId="356" priority="43">
      <formula>AND($HP738&gt;50, $HP738&lt;&gt;"Unspecified")</formula>
    </cfRule>
  </conditionalFormatting>
  <conditionalFormatting sqref="HQ698">
    <cfRule type="expression" dxfId="355" priority="888">
      <formula>AND(LEN(TRIM($C696))&gt;0,LEN(TRIM(HQ698))=0)</formula>
    </cfRule>
  </conditionalFormatting>
  <conditionalFormatting sqref="HQ701">
    <cfRule type="expression" dxfId="354" priority="884">
      <formula>AND(LEN(TRIM($C699))&gt;0,LEN(TRIM(HQ701))=0)</formula>
    </cfRule>
  </conditionalFormatting>
  <conditionalFormatting sqref="HQ704">
    <cfRule type="expression" dxfId="353" priority="873">
      <formula>AND(LEN(TRIM($C702))&gt;0,LEN(TRIM(HQ704))=0)</formula>
    </cfRule>
  </conditionalFormatting>
  <conditionalFormatting sqref="HQ710">
    <cfRule type="expression" dxfId="352" priority="923">
      <formula>AND(LEN(TRIM($C708))&gt;0,LEN(TRIM(HQ710))=0)</formula>
    </cfRule>
  </conditionalFormatting>
  <conditionalFormatting sqref="HQ713">
    <cfRule type="expression" dxfId="351" priority="919">
      <formula>AND(LEN(TRIM($C711))&gt;0,LEN(TRIM(HQ713))=0)</formula>
    </cfRule>
  </conditionalFormatting>
  <conditionalFormatting sqref="HQ716">
    <cfRule type="expression" dxfId="350" priority="915">
      <formula>AND(LEN(TRIM($C714))&gt;0,LEN(TRIM(HQ716))=0)</formula>
    </cfRule>
  </conditionalFormatting>
  <conditionalFormatting sqref="HQ719">
    <cfRule type="expression" dxfId="349" priority="911">
      <formula>AND(LEN(TRIM($C717))&gt;0,LEN(TRIM(HQ719))=0)</formula>
    </cfRule>
  </conditionalFormatting>
  <conditionalFormatting sqref="HQ722">
    <cfRule type="expression" dxfId="348" priority="849">
      <formula>AND(LEN(TRIM($C720))&gt;0,LEN(TRIM(HQ722))=0)</formula>
    </cfRule>
  </conditionalFormatting>
  <conditionalFormatting sqref="HQ728">
    <cfRule type="expression" dxfId="347" priority="826">
      <formula>AND(LEN(TRIM($C726))&gt;0,LEN(TRIM(HQ728))=0)</formula>
    </cfRule>
  </conditionalFormatting>
  <conditionalFormatting sqref="HQ734">
    <cfRule type="expression" dxfId="346" priority="800">
      <formula>AND(LEN(TRIM($C732))&gt;0,LEN(TRIM(HQ734))=0)</formula>
    </cfRule>
  </conditionalFormatting>
  <conditionalFormatting sqref="HS696:HV737">
    <cfRule type="expression" dxfId="345" priority="981">
      <formula>AND(LEN(TRIM($HR696))&gt;0,LEN(TRIM(HS696))=0)</formula>
    </cfRule>
  </conditionalFormatting>
  <conditionalFormatting sqref="HS738:HV953">
    <cfRule type="expression" dxfId="344" priority="44">
      <formula>AND(LEN(TRIM($HR738))&gt;0,LEN(TRIM(HS738))=0)</formula>
    </cfRule>
  </conditionalFormatting>
  <conditionalFormatting sqref="HW696:HX737">
    <cfRule type="expression" dxfId="343" priority="982">
      <formula>IF(AND(COUNTIF($BH696:$DZ696,$HW696)=0,$HW696&lt;&gt;""),1,0)=1</formula>
    </cfRule>
  </conditionalFormatting>
  <conditionalFormatting sqref="HW738:HX912 HW931:HX953">
    <cfRule type="expression" dxfId="342" priority="428">
      <formula>IF(AND(COUNTIF($BH738:$DZ738,$HW738)=0,$HW738&lt;&gt;""),1,0)=1</formula>
    </cfRule>
  </conditionalFormatting>
  <conditionalFormatting sqref="HX913:HX930">
    <cfRule type="expression" dxfId="341" priority="45">
      <formula>IF(AND(COUNTIF($BH913:$DZ913,$HX913)=0,$HX913&lt;&gt;""),1,0)=1</formula>
    </cfRule>
  </conditionalFormatting>
  <conditionalFormatting sqref="HY696:IB737">
    <cfRule type="expression" dxfId="340" priority="983">
      <formula>AND(LEN(TRIM($HW696))&gt;0,LEN(TRIM(HY696))=0)</formula>
    </cfRule>
  </conditionalFormatting>
  <conditionalFormatting sqref="HY738:IB912 HY931:IB953">
    <cfRule type="expression" dxfId="339" priority="429">
      <formula>AND(LEN(TRIM($HW738))&gt;0,LEN(TRIM(HY738))=0)</formula>
    </cfRule>
  </conditionalFormatting>
  <conditionalFormatting sqref="HY913:IC930">
    <cfRule type="expression" dxfId="338" priority="46">
      <formula>AND(LEN(TRIM($HX913))&gt;0,LEN(TRIM(HY913))=0)</formula>
    </cfRule>
  </conditionalFormatting>
  <conditionalFormatting sqref="IC913:IC930 IE913:IH930">
    <cfRule type="expression" dxfId="337" priority="48">
      <formula>AND(LEN(TRIM($ID913))&gt;0,LEN(TRIM(IC913))=0)</formula>
    </cfRule>
  </conditionalFormatting>
  <conditionalFormatting sqref="IC696:ID737">
    <cfRule type="expression" dxfId="336" priority="984">
      <formula>IF(AND(COUNTIF(#REF!,$IC696)=0,$IC696&lt;&gt;""),1,0)=1</formula>
    </cfRule>
  </conditionalFormatting>
  <conditionalFormatting sqref="IC738:ID912 IC931:ID953">
    <cfRule type="expression" dxfId="335" priority="430">
      <formula>IF(AND(COUNTIF(#REF!,$IC738)=0,$IC738&lt;&gt;""),1,0)=1</formula>
    </cfRule>
  </conditionalFormatting>
  <conditionalFormatting sqref="ID913:ID930">
    <cfRule type="expression" dxfId="334" priority="47">
      <formula>IF(AND(COUNTIF(#REF!,$ID913)=0,$ID913&lt;&gt;""),1,0)=1</formula>
    </cfRule>
  </conditionalFormatting>
  <conditionalFormatting sqref="IE738:IH785 IE786:II869 II892:II893 II896 IP896 II898 IP898 II900 IP900 II903:II904 II907 IP907 II909 IP909 II911 IP911 IE912:II912 IE931:II953">
    <cfRule type="expression" dxfId="333" priority="759">
      <formula>AND(LEN(TRIM($IC738))&gt;0,LEN(TRIM(IE738))=0)</formula>
    </cfRule>
  </conditionalFormatting>
  <conditionalFormatting sqref="IE870:IH911">
    <cfRule type="expression" dxfId="332" priority="431">
      <formula>AND(LEN(TRIM($IC870))&gt;0,LEN(TRIM(IE870))=0)</formula>
    </cfRule>
  </conditionalFormatting>
  <conditionalFormatting sqref="IE696:IJ737">
    <cfRule type="expression" dxfId="331" priority="985">
      <formula>AND(LEN(TRIM($IC696))&gt;0,LEN(TRIM(IE696))=0)</formula>
    </cfRule>
  </conditionalFormatting>
  <conditionalFormatting sqref="II870:II912">
    <cfRule type="expression" dxfId="330" priority="271">
      <formula>AND(LEN(TRIM($BD870))&gt;0,LEN(TRIM(II870))=0)</formula>
    </cfRule>
  </conditionalFormatting>
  <conditionalFormatting sqref="IJ738:IJ785 IJ870:IJ891 IJ894:IJ902">
    <cfRule type="expression" dxfId="329" priority="1312">
      <formula>AND(LEN(TRIM($II738))&gt;0,LEN(TRIM(IJ738))=0)</formula>
    </cfRule>
  </conditionalFormatting>
  <conditionalFormatting sqref="IJ892:IJ893">
    <cfRule type="expression" dxfId="328" priority="466">
      <formula>AND(LEN(TRIM(#REF!))&gt;0,LEN(TRIM(IJ892))=0)</formula>
    </cfRule>
  </conditionalFormatting>
  <conditionalFormatting sqref="IJ903:IJ904">
    <cfRule type="expression" dxfId="327" priority="228">
      <formula>AND(LEN(TRIM(#REF!))&gt;0,LEN(TRIM(IJ903))=0)</formula>
    </cfRule>
  </conditionalFormatting>
  <conditionalFormatting sqref="IJ905:IJ930">
    <cfRule type="expression" dxfId="326" priority="49">
      <formula>AND(LEN(TRIM($II905))&gt;0,LEN(TRIM(IJ905))=0)</formula>
    </cfRule>
  </conditionalFormatting>
  <conditionalFormatting sqref="IK786:IK869 IK931:IK953">
    <cfRule type="expression" dxfId="325" priority="553">
      <formula>AND(LEN(TRIM($IJ786))&gt;0,LEN(TRIM(IK786))=0)</formula>
    </cfRule>
  </conditionalFormatting>
  <conditionalFormatting sqref="IK892:IL893 IO896 IV896 LK896 IK903:IL904 IO907 IV907 LK907">
    <cfRule type="expression" dxfId="324" priority="1640">
      <formula>AND(LEN(TRIM(#REF!))&gt;0,LEN(TRIM(IK892))=0,$IJ892&lt;&gt;"Monoculture")</formula>
    </cfRule>
  </conditionalFormatting>
  <conditionalFormatting sqref="IK738:IO785 IK870:IO890 IV870:IV895 IK891:IM891 IO891:IO895 LK891:LK895 IM892:IM901 IK894:IL901 IO897:IO906 IV897:IV906 LK897:LK906 IK902:IM902 IM903:IM912 IK905:IL912 IO908:IO912 IV908:IV912 LK908:LK912">
    <cfRule type="expression" dxfId="323" priority="1313">
      <formula>AND(LEN(TRIM($II738))&gt;0,LEN(TRIM(IK738))=0,$IJ738&lt;&gt;"Monoculture")</formula>
    </cfRule>
  </conditionalFormatting>
  <conditionalFormatting sqref="IK913:IO930">
    <cfRule type="expression" dxfId="322" priority="50">
      <formula>AND(LEN(TRIM($II913))&gt;0,LEN(TRIM(IK913))=0,$IJ913&lt;&gt;"Monoculture")</formula>
    </cfRule>
  </conditionalFormatting>
  <conditionalFormatting sqref="IL696:IL737">
    <cfRule type="expression" dxfId="321" priority="986">
      <formula>AND(LEN(TRIM($IK696))&gt;0,LEN(TRIM(IL696))=0)</formula>
    </cfRule>
  </conditionalFormatting>
  <conditionalFormatting sqref="IL786:IO809 IL810:IP869 IL931:IP953">
    <cfRule type="expression" dxfId="320" priority="554">
      <formula>AND(LEN(TRIM($IJ786))&gt;0,LEN(TRIM(IL786))=0,$IK786&lt;&gt;"Monoculture")</formula>
    </cfRule>
  </conditionalFormatting>
  <conditionalFormatting sqref="IM696:IO737">
    <cfRule type="expression" dxfId="319" priority="987">
      <formula>AND(LEN(TRIM($IK696))&gt;0,LEN(TRIM(IM696))=0,$IL696&lt;&gt;"Monoculture")</formula>
    </cfRule>
  </conditionalFormatting>
  <conditionalFormatting sqref="IN891:IN912">
    <cfRule type="expression" dxfId="318" priority="192">
      <formula>AND(LEN(TRIM($BD891))&gt;0,LEN(TRIM(IN891))=0)</formula>
    </cfRule>
  </conditionalFormatting>
  <conditionalFormatting sqref="IP696:IP737">
    <cfRule type="expression" dxfId="317" priority="910">
      <formula>AND(LEN(TRIM($BD696))&gt;0,LEN(TRIM(IP696))=0)</formula>
    </cfRule>
  </conditionalFormatting>
  <conditionalFormatting sqref="IP892:IP893">
    <cfRule type="expression" dxfId="316" priority="236">
      <formula>AND(LEN(TRIM($IC892))&gt;0,LEN(TRIM(IP892))=0)</formula>
    </cfRule>
  </conditionalFormatting>
  <conditionalFormatting sqref="IP903:IP904">
    <cfRule type="expression" dxfId="315" priority="193">
      <formula>AND(LEN(TRIM($IC903))&gt;0,LEN(TRIM(IP903))=0)</formula>
    </cfRule>
  </conditionalFormatting>
  <conditionalFormatting sqref="IQ696:IQ737 IT696:IV737">
    <cfRule type="expression" dxfId="314" priority="1236">
      <formula>AND(LEN(TRIM($IP696))&gt;0,LEN(TRIM(IQ696))=0,$IQ696&lt;&gt;"Monoculture",$IR696&lt;&gt;"Monoculture",$IS696&lt;&gt;"Monoculture")</formula>
    </cfRule>
  </conditionalFormatting>
  <conditionalFormatting sqref="IQ891:IQ901 IT891:IU901">
    <cfRule type="expression" dxfId="313" priority="1670">
      <formula>AND(LEN(TRIM($IP891))&gt;0,LEN(TRIM(IQ891))=0,$IQ891&lt;&gt;"Monoculture",$IR891&lt;&gt;"Monoculture",#REF!&lt;&gt;"Monoculture")</formula>
    </cfRule>
  </conditionalFormatting>
  <conditionalFormatting sqref="IQ902:IQ930 IT913:IV930">
    <cfRule type="expression" dxfId="312" priority="51">
      <formula>AND(LEN(TRIM($IP902))&gt;0,LEN(TRIM(IQ902))=0,$IQ902&lt;&gt;"Monoculture",$IR902&lt;&gt;"Monoculture",$IS902&lt;&gt;"Monoculture")</formula>
    </cfRule>
  </conditionalFormatting>
  <conditionalFormatting sqref="IR931:IR953 IU931:IW953">
    <cfRule type="expression" dxfId="311" priority="654">
      <formula>AND(LEN(TRIM($IQ931))&gt;0,LEN(TRIM(IR931))=0,$IR931&lt;&gt;"Monoculture",$IS931&lt;&gt;"Monoculture",$IT931&lt;&gt;"Monoculture")</formula>
    </cfRule>
  </conditionalFormatting>
  <conditionalFormatting sqref="IS738:IS785 IV738:IX785">
    <cfRule type="expression" dxfId="310" priority="762">
      <formula>AND(LEN(TRIM($IR738))&gt;0,LEN(TRIM(IS738))=0,$IS738&lt;&gt;"Monoculture",$IT738&lt;&gt;"Monoculture",$IU738&lt;&gt;"Monoculture")</formula>
    </cfRule>
  </conditionalFormatting>
  <conditionalFormatting sqref="IT786:IV869 IQ786:IQ890 IT870:IU890 IT902:IU912">
    <cfRule type="expression" dxfId="309" priority="1318">
      <formula>AND(LEN(TRIM($IP786))&gt;0,LEN(TRIM(IQ786))=0,$IQ786&lt;&gt;"Monoculture",$IR786&lt;&gt;"Monoculture",$IS786&lt;&gt;"Monoculture")</formula>
    </cfRule>
  </conditionalFormatting>
  <conditionalFormatting sqref="IX870:JA912 IX913:IZ930">
    <cfRule type="expression" dxfId="308" priority="1540">
      <formula>AND(LEN(TRIM($IW870))&gt;0,LEN(TRIM(IX870))=0)</formula>
    </cfRule>
  </conditionalFormatting>
  <conditionalFormatting sqref="IY786:JB869 IY931:JB953">
    <cfRule type="expression" dxfId="307" priority="556">
      <formula>AND(LEN(TRIM($IX786))&gt;0,LEN(TRIM(IY786))=0)</formula>
    </cfRule>
  </conditionalFormatting>
  <conditionalFormatting sqref="IZ696:JC737">
    <cfRule type="expression" dxfId="306" priority="989">
      <formula>AND(LEN(TRIM($IY696))&gt;0,LEN(TRIM(IZ696))=0)</formula>
    </cfRule>
  </conditionalFormatting>
  <conditionalFormatting sqref="IZ738:JC785">
    <cfRule type="expression" dxfId="305" priority="763">
      <formula>AND(LEN(TRIM($IY738))&gt;0,LEN(TRIM(IZ738))=0)</formula>
    </cfRule>
  </conditionalFormatting>
  <conditionalFormatting sqref="JB913:JB930">
    <cfRule type="expression" dxfId="304" priority="2064">
      <formula>AND(OR($JB913&gt;100, $JB913&lt;0), JB913&lt;&gt;"Unspecified")</formula>
    </cfRule>
  </conditionalFormatting>
  <conditionalFormatting sqref="JB913:JJ913">
    <cfRule type="expression" dxfId="303" priority="82">
      <formula>AND(LEN(TRIM(#REF!))&gt;0,LEN(TRIM(JB913))=0)</formula>
    </cfRule>
  </conditionalFormatting>
  <conditionalFormatting sqref="JB914:JJ930">
    <cfRule type="expression" dxfId="302" priority="2018">
      <formula>AND(LEN(TRIM($IZ914))&gt;0,LEN(TRIM(JB914))=0)</formula>
    </cfRule>
  </conditionalFormatting>
  <conditionalFormatting sqref="JC870:JC912">
    <cfRule type="expression" dxfId="301" priority="1542">
      <formula>AND(OR($JC870&gt;100, $JC870&lt;0), JC870&lt;&gt;"Unspecified")</formula>
    </cfRule>
  </conditionalFormatting>
  <conditionalFormatting sqref="JC913:JC930">
    <cfRule type="expression" dxfId="300" priority="2065">
      <formula>AND(OR($JC913&gt;100, $JC913&lt;0), JD913&lt;&gt;"Unspecified")</formula>
    </cfRule>
  </conditionalFormatting>
  <conditionalFormatting sqref="JC870:JK912">
    <cfRule type="expression" dxfId="299" priority="1544">
      <formula>AND(LEN(TRIM($JA870))&gt;0,LEN(TRIM(JC870))=0)</formula>
    </cfRule>
  </conditionalFormatting>
  <conditionalFormatting sqref="JD786:JD869 JD931:JD953">
    <cfRule type="expression" dxfId="298" priority="557">
      <formula>AND(OR($JD786&gt;100, $JD786&lt;0), JD786&lt;&gt;"Unspecified")</formula>
    </cfRule>
  </conditionalFormatting>
  <conditionalFormatting sqref="JD870:JD912">
    <cfRule type="expression" dxfId="297" priority="1546">
      <formula>AND(OR($JD870&gt;100, $JD870&lt;0), JE870&lt;&gt;"Unspecified")</formula>
    </cfRule>
  </conditionalFormatting>
  <conditionalFormatting sqref="JD913:JD930">
    <cfRule type="expression" dxfId="296" priority="2066">
      <formula>AND(OR($JD913&gt;100, $JD913&lt;$JC913), $JD913&lt;&gt;"Unspecified")</formula>
    </cfRule>
  </conditionalFormatting>
  <conditionalFormatting sqref="JD786:JL869 JD931:JL953">
    <cfRule type="expression" dxfId="295" priority="558">
      <formula>AND(LEN(TRIM($JB786))&gt;0,LEN(TRIM(JD786))=0)</formula>
    </cfRule>
  </conditionalFormatting>
  <conditionalFormatting sqref="JE696:JE737">
    <cfRule type="expression" dxfId="294" priority="990">
      <formula>AND(OR($JE696&gt;100, $JE696&lt;0), JE696&lt;&gt;"Unspecified")</formula>
    </cfRule>
  </conditionalFormatting>
  <conditionalFormatting sqref="JE738:JE785">
    <cfRule type="expression" dxfId="293" priority="764">
      <formula>AND(OR($JE738&gt;100, $JE738&lt;0), JE738&lt;&gt;"Unspecified")</formula>
    </cfRule>
  </conditionalFormatting>
  <conditionalFormatting sqref="JE786:JE869 JE931:JE953">
    <cfRule type="expression" dxfId="292" priority="559">
      <formula>AND(OR($JE786&gt;100, $JE786&lt;0), JF786&lt;&gt;"Unspecified")</formula>
    </cfRule>
  </conditionalFormatting>
  <conditionalFormatting sqref="JE870:JE912">
    <cfRule type="expression" dxfId="291" priority="1548">
      <formula>AND(OR($JE870&gt;100, $JE870&lt;$JD870), $JE870&lt;&gt;"Unspecified")</formula>
    </cfRule>
  </conditionalFormatting>
  <conditionalFormatting sqref="JE913:JE930">
    <cfRule type="expression" dxfId="290" priority="2067">
      <formula>AND($JE913&lt;0, $JE913&lt;&gt;"Unspecified")</formula>
    </cfRule>
  </conditionalFormatting>
  <conditionalFormatting sqref="JE696:JK737">
    <cfRule type="expression" dxfId="289" priority="991">
      <formula>AND(LEN(TRIM($JC696))&gt;0,LEN(TRIM(JE696))=0)</formula>
    </cfRule>
  </conditionalFormatting>
  <conditionalFormatting sqref="JE738:JL785">
    <cfRule type="expression" dxfId="288" priority="765">
      <formula>AND(LEN(TRIM($JC738))&gt;0,LEN(TRIM(JE738))=0)</formula>
    </cfRule>
  </conditionalFormatting>
  <conditionalFormatting sqref="JF696:JF737">
    <cfRule type="expression" dxfId="287" priority="992">
      <formula>AND(OR($JF696&gt;100, $JF696&lt;0), JG696&lt;&gt;"Unspecified")</formula>
    </cfRule>
  </conditionalFormatting>
  <conditionalFormatting sqref="JF738:JF785">
    <cfRule type="expression" dxfId="286" priority="766">
      <formula>AND(OR($JF738&gt;100, $JF738&lt;0), JG738&lt;&gt;"Unspecified")</formula>
    </cfRule>
  </conditionalFormatting>
  <conditionalFormatting sqref="JF786:JF869 JF931:JF953">
    <cfRule type="expression" dxfId="285" priority="560">
      <formula>AND(OR($JF786&gt;100, $JF786&lt;$JE786), $JF786&lt;&gt;"Unspecified")</formula>
    </cfRule>
  </conditionalFormatting>
  <conditionalFormatting sqref="JF870:JF930">
    <cfRule type="expression" dxfId="284" priority="1550">
      <formula>AND($JF870&lt;0, $JF870&lt;&gt;"Unspecified")</formula>
    </cfRule>
  </conditionalFormatting>
  <conditionalFormatting sqref="JG696:JG737">
    <cfRule type="expression" dxfId="283" priority="993">
      <formula>AND(OR($JG696&gt;100, $JG696&lt;$JF696), $JG696&lt;&gt;"Unspecified")</formula>
    </cfRule>
  </conditionalFormatting>
  <conditionalFormatting sqref="JG738:JG785">
    <cfRule type="expression" dxfId="282" priority="767">
      <formula>AND(OR($JG738&gt;100, $JG738&lt;$JF738), $JG738&lt;&gt;"Unspecified")</formula>
    </cfRule>
  </conditionalFormatting>
  <conditionalFormatting sqref="JG786:JG912 JG931:JG953">
    <cfRule type="expression" dxfId="281" priority="561">
      <formula>AND($JG786&lt;0, $JG786&lt;&gt;"Unspecified")</formula>
    </cfRule>
  </conditionalFormatting>
  <conditionalFormatting sqref="JG913:JG930">
    <cfRule type="expression" dxfId="280" priority="2069">
      <formula>AND($JG913&lt;$JF913, $JG913&lt;&gt;"Unspecified")</formula>
    </cfRule>
  </conditionalFormatting>
  <conditionalFormatting sqref="JH696:JH737">
    <cfRule type="expression" dxfId="279" priority="994">
      <formula>AND($JH696&lt;0, $JH696&lt;&gt;"Unspecified")</formula>
    </cfRule>
  </conditionalFormatting>
  <conditionalFormatting sqref="JH738:JH869 JH913:JH953">
    <cfRule type="expression" dxfId="278" priority="768">
      <formula>AND($JH738&lt;0, $JH738&lt;&gt;"Unspecified")</formula>
    </cfRule>
  </conditionalFormatting>
  <conditionalFormatting sqref="JH870:JH912">
    <cfRule type="expression" dxfId="277" priority="1554">
      <formula>AND($JH870&lt;$JG870, $JH870&lt;&gt;"Unspecified")</formula>
    </cfRule>
  </conditionalFormatting>
  <conditionalFormatting sqref="JI696:JI737">
    <cfRule type="expression" dxfId="276" priority="995">
      <formula>AND($JI696&lt;0, $JI696&lt;&gt;"Unspecified")</formula>
    </cfRule>
  </conditionalFormatting>
  <conditionalFormatting sqref="JI738:JI785 JI870:JI930">
    <cfRule type="expression" dxfId="275" priority="769">
      <formula>AND($JI738&lt;0, $JI738&lt;&gt;"Unspecified")</formula>
    </cfRule>
  </conditionalFormatting>
  <conditionalFormatting sqref="JI786:JI869 JI931:JI953">
    <cfRule type="expression" dxfId="274" priority="563">
      <formula>AND($JI786&lt;$JH786, $JI786&lt;&gt;"Unspecified")</formula>
    </cfRule>
  </conditionalFormatting>
  <conditionalFormatting sqref="JJ696:JJ737">
    <cfRule type="expression" dxfId="273" priority="996">
      <formula>AND($JJ696&lt;$JI696, $JJ696&lt;&gt;"Unspecified")</formula>
    </cfRule>
  </conditionalFormatting>
  <conditionalFormatting sqref="JJ738:JJ785 JJ913:JJ930">
    <cfRule type="expression" dxfId="272" priority="770">
      <formula>AND($JJ738&lt;$JI738, $JJ738&lt;&gt;"Unspecified")</formula>
    </cfRule>
  </conditionalFormatting>
  <conditionalFormatting sqref="JJ786:JJ912 JJ931:JJ953">
    <cfRule type="expression" dxfId="271" priority="564">
      <formula>AND($JJ786&lt;0, $JJ786&lt;&gt;"Unspecified")</formula>
    </cfRule>
  </conditionalFormatting>
  <conditionalFormatting sqref="JK696:JK737">
    <cfRule type="expression" dxfId="270" priority="1280">
      <formula>AND($JK696&lt;#REF!, $JK696&lt;&gt;"Unspecified")</formula>
    </cfRule>
  </conditionalFormatting>
  <conditionalFormatting sqref="JK738:JK869 JK931:JK953">
    <cfRule type="expression" dxfId="269" priority="771">
      <formula>AND($JK738&lt;0, $JK738&lt;&gt;"Unspecified")</formula>
    </cfRule>
  </conditionalFormatting>
  <conditionalFormatting sqref="JK870:JK912">
    <cfRule type="expression" dxfId="268" priority="1560">
      <formula>AND($JK870&lt;$JJ870, $JK870&lt;&gt;"Unspecified")</formula>
    </cfRule>
  </conditionalFormatting>
  <conditionalFormatting sqref="JL696:JL737">
    <cfRule type="expression" dxfId="267" priority="1240">
      <formula>AND(LEN(TRIM($JK696))&gt;0,LEN(TRIM(JL696))=0)</formula>
    </cfRule>
  </conditionalFormatting>
  <conditionalFormatting sqref="JL738:JL785">
    <cfRule type="expression" dxfId="266" priority="772">
      <formula>AND($JL738&lt;0, $JL738&lt;&gt;"Unspecified")</formula>
    </cfRule>
  </conditionalFormatting>
  <conditionalFormatting sqref="JL786:JL869 JL931:JL953">
    <cfRule type="expression" dxfId="265" priority="566">
      <formula>AND($JL786&lt;$JK786, $JL786&lt;&gt;"Unspecified")</formula>
    </cfRule>
  </conditionalFormatting>
  <conditionalFormatting sqref="JL870:JL912">
    <cfRule type="expression" dxfId="264" priority="1562">
      <formula>AND(LEN(TRIM(#REF!))&gt;0,LEN(TRIM(JL870))=0)</formula>
    </cfRule>
  </conditionalFormatting>
  <conditionalFormatting sqref="JL913:JL930">
    <cfRule type="expression" dxfId="263" priority="2073">
      <formula>AND(LEN(TRIM($JK913))&gt;0,LEN(TRIM(JL913))=0)</formula>
    </cfRule>
  </conditionalFormatting>
  <conditionalFormatting sqref="JN222:JN223 JN240:JN241 JN246:JN247 JN252:JN253 JN228:JN230 JN233:JN235">
    <cfRule type="duplicateValues" dxfId="262" priority="1174"/>
  </conditionalFormatting>
  <conditionalFormatting sqref="JN258:JN259 JN264:JN266 JN269:JN271">
    <cfRule type="duplicateValues" dxfId="261" priority="1168"/>
  </conditionalFormatting>
  <conditionalFormatting sqref="JN282:JN283">
    <cfRule type="duplicateValues" dxfId="260" priority="185"/>
  </conditionalFormatting>
  <conditionalFormatting sqref="JN299:JN301 JN288:JN290 JN276:JN277 JN293:JN296">
    <cfRule type="duplicateValues" dxfId="259" priority="1777"/>
  </conditionalFormatting>
  <conditionalFormatting sqref="JN306:JN307">
    <cfRule type="duplicateValues" dxfId="258" priority="183"/>
  </conditionalFormatting>
  <conditionalFormatting sqref="JN738:JO785 JS738:JY785 JN786:JV930 JN931:JN953">
    <cfRule type="expression" dxfId="257" priority="1314">
      <formula>AND(LEN(TRIM($JM738))&gt;0,LEN(TRIM(JN738))=0)</formula>
    </cfRule>
  </conditionalFormatting>
  <conditionalFormatting sqref="JN696:JV737">
    <cfRule type="expression" dxfId="256" priority="1241">
      <formula>AND(LEN(TRIM($JM696))&gt;0,LEN(TRIM(JN696))=0)</formula>
    </cfRule>
  </conditionalFormatting>
  <conditionalFormatting sqref="JP931:JX953">
    <cfRule type="expression" dxfId="255" priority="667">
      <formula>AND(LEN(TRIM($JO931))&gt;0,LEN(TRIM(JP931))=0)</formula>
    </cfRule>
  </conditionalFormatting>
  <conditionalFormatting sqref="JX375:JX376">
    <cfRule type="duplicateValues" dxfId="254" priority="1158"/>
  </conditionalFormatting>
  <conditionalFormatting sqref="JX377:JX378">
    <cfRule type="duplicateValues" dxfId="253" priority="1202"/>
  </conditionalFormatting>
  <conditionalFormatting sqref="JX379:JX380">
    <cfRule type="duplicateValues" dxfId="252" priority="1156"/>
  </conditionalFormatting>
  <conditionalFormatting sqref="JX384:JX385">
    <cfRule type="duplicateValues" dxfId="251" priority="1142"/>
  </conditionalFormatting>
  <conditionalFormatting sqref="JX386:JX387">
    <cfRule type="duplicateValues" dxfId="250" priority="1143"/>
  </conditionalFormatting>
  <conditionalFormatting sqref="JX388:JX389">
    <cfRule type="duplicateValues" dxfId="249" priority="1141"/>
  </conditionalFormatting>
  <conditionalFormatting sqref="JX393:JX394">
    <cfRule type="duplicateValues" dxfId="248" priority="1127"/>
  </conditionalFormatting>
  <conditionalFormatting sqref="JX395:JX396">
    <cfRule type="duplicateValues" dxfId="247" priority="1128"/>
  </conditionalFormatting>
  <conditionalFormatting sqref="JX397:JX398">
    <cfRule type="duplicateValues" dxfId="246" priority="1126"/>
  </conditionalFormatting>
  <conditionalFormatting sqref="JX402:JX403">
    <cfRule type="duplicateValues" dxfId="245" priority="1118"/>
  </conditionalFormatting>
  <conditionalFormatting sqref="JX404:JX405">
    <cfRule type="duplicateValues" dxfId="244" priority="1119"/>
  </conditionalFormatting>
  <conditionalFormatting sqref="JX406:JX407">
    <cfRule type="duplicateValues" dxfId="243" priority="1117"/>
  </conditionalFormatting>
  <conditionalFormatting sqref="JX409:JX410">
    <cfRule type="duplicateValues" dxfId="242" priority="1107"/>
  </conditionalFormatting>
  <conditionalFormatting sqref="JX412:JX413">
    <cfRule type="duplicateValues" dxfId="241" priority="1109"/>
  </conditionalFormatting>
  <conditionalFormatting sqref="JX415:JX416">
    <cfRule type="duplicateValues" dxfId="240" priority="1108"/>
  </conditionalFormatting>
  <conditionalFormatting sqref="JX420:JX421">
    <cfRule type="duplicateValues" dxfId="239" priority="1103"/>
  </conditionalFormatting>
  <conditionalFormatting sqref="JX422:JX423">
    <cfRule type="duplicateValues" dxfId="238" priority="1104"/>
  </conditionalFormatting>
  <conditionalFormatting sqref="JX424:JX425">
    <cfRule type="duplicateValues" dxfId="237" priority="1102"/>
  </conditionalFormatting>
  <conditionalFormatting sqref="JX429:JX430">
    <cfRule type="duplicateValues" dxfId="236" priority="1100"/>
  </conditionalFormatting>
  <conditionalFormatting sqref="JX431:JX432">
    <cfRule type="duplicateValues" dxfId="235" priority="1101"/>
  </conditionalFormatting>
  <conditionalFormatting sqref="JX433:JX434">
    <cfRule type="duplicateValues" dxfId="234" priority="1099"/>
  </conditionalFormatting>
  <conditionalFormatting sqref="JX696:KE737">
    <cfRule type="expression" dxfId="233" priority="1253">
      <formula>AND(LEN(TRIM($JW696))&gt;0,LEN(TRIM(JX696))=0)</formula>
    </cfRule>
  </conditionalFormatting>
  <conditionalFormatting sqref="JX786:KE930">
    <cfRule type="expression" dxfId="232" priority="1326">
      <formula>AND(LEN(TRIM($JW786))&gt;0,LEN(TRIM(JX786))=0)</formula>
    </cfRule>
  </conditionalFormatting>
  <conditionalFormatting sqref="JZ931:KG953">
    <cfRule type="expression" dxfId="231" priority="668">
      <formula>AND(LEN(TRIM($JY931))&gt;0,LEN(TRIM(JZ931))=0)</formula>
    </cfRule>
  </conditionalFormatting>
  <conditionalFormatting sqref="KA738:KH785">
    <cfRule type="expression" dxfId="230" priority="776">
      <formula>AND(LEN(TRIM($JZ738))&gt;0,LEN(TRIM(KA738))=0)</formula>
    </cfRule>
  </conditionalFormatting>
  <conditionalFormatting sqref="KG696:KI737">
    <cfRule type="expression" dxfId="229" priority="1255">
      <formula>AND(LEN(TRIM($KF696))&gt;0,LEN(TRIM(KG696))=0)</formula>
    </cfRule>
  </conditionalFormatting>
  <conditionalFormatting sqref="KG786:KI890 KG891:KH912 KG913:KI930">
    <cfRule type="expression" dxfId="228" priority="1329">
      <formula>AND(LEN(TRIM($KF786))&gt;0,LEN(TRIM(KG786))=0)</formula>
    </cfRule>
  </conditionalFormatting>
  <conditionalFormatting sqref="KI891:KI912">
    <cfRule type="expression" dxfId="227" priority="191">
      <formula>AND(LEN(TRIM($BD891))&gt;0,LEN(TRIM(KI891))=0)</formula>
    </cfRule>
  </conditionalFormatting>
  <conditionalFormatting sqref="KI931:KK953">
    <cfRule type="expression" dxfId="226" priority="449">
      <formula>AND(LEN(TRIM($KH931))&gt;0,LEN(TRIM(KI931))=0)</formula>
    </cfRule>
  </conditionalFormatting>
  <conditionalFormatting sqref="KJ870:KJ912">
    <cfRule type="expression" dxfId="225" priority="304">
      <formula>AND(LEN(TRIM($BD870))&gt;0,LEN(TRIM(KJ870))=0)</formula>
    </cfRule>
  </conditionalFormatting>
  <conditionalFormatting sqref="KJ738:KL785">
    <cfRule type="expression" dxfId="224" priority="777">
      <formula>AND(LEN(TRIM($KI738))&gt;0,LEN(TRIM(KJ738))=0)</formula>
    </cfRule>
  </conditionalFormatting>
  <conditionalFormatting sqref="KK696:KK737">
    <cfRule type="expression" dxfId="223" priority="1256">
      <formula>AND(LEN(TRIM($KJ696))&gt;0,LEN(TRIM(KK696))=0)</formula>
    </cfRule>
  </conditionalFormatting>
  <conditionalFormatting sqref="KK786:KK894 KO870:KO894 KK897:KK905 KO897:KO905 KO908:KO912 KK908:KK930">
    <cfRule type="expression" dxfId="222" priority="1332">
      <formula>AND(LEN(TRIM($KJ786))&gt;0,LEN(TRIM(KK786))=0)</formula>
    </cfRule>
  </conditionalFormatting>
  <conditionalFormatting sqref="KK895:KK896 KO895:KO896 KK906:KK907 KO906:KO907">
    <cfRule type="expression" dxfId="221" priority="1770">
      <formula>AND(LEN(TRIM($KJ896))&gt;0,LEN(TRIM(KK895))=0)</formula>
    </cfRule>
  </conditionalFormatting>
  <conditionalFormatting sqref="KL312:KL371 KL567:KL629">
    <cfRule type="expression" dxfId="220" priority="1164">
      <formula>COUNTIF(KL:KL,KL312)&gt;1</formula>
    </cfRule>
  </conditionalFormatting>
  <conditionalFormatting sqref="KL787:KL788 KL791:KL792 KL795:KL796 KL799:KL800 KL803:KL804 KL807:KL808 KL811:KL812 KL815:KL816 KL819:KL820 KL823:KL824 KL827:KL828 KL831:KL832 KL835:KL836 KL839:KL840 KL843:KL844 KL847:KL848 KL851:KL852 KL855:KL856 KL859:KL860 KL863:KL864 KL867:KL868 KP786 KP790 KT793 KP798 KP802 KT805 KP810 KP814 KT817 KP822 KP826 KT829 KP834 KP838 KT841 KP846 KP850 KT853 KP858 KP862 KT865">
    <cfRule type="expression" dxfId="219" priority="1465">
      <formula>COUNTIF(KN:KN,KL786)&gt;1</formula>
    </cfRule>
  </conditionalFormatting>
  <conditionalFormatting sqref="KL895:KL896 KN895:KN896 KL906:KL907 KN906:KN907">
    <cfRule type="expression" dxfId="218" priority="1774">
      <formula>AND(LEN(TRIM($KJ896))&gt;0,LEN(TRIM(KL895))=0,$KK895&lt;&gt;"Hand Hoe",LEFT($KK895,3)&lt;&gt;"No ")</formula>
    </cfRule>
  </conditionalFormatting>
  <conditionalFormatting sqref="KL696:KN737">
    <cfRule type="expression" dxfId="217" priority="1257">
      <formula>AND(LEN(TRIM($KJ696))&gt;0,LEN(TRIM(KL696))=0,$KK696&lt;&gt;"Hand Hoe",LEFT($KK696,3)&lt;&gt;"No ")</formula>
    </cfRule>
  </conditionalFormatting>
  <conditionalFormatting sqref="KL786:KN786 KM787:KN787 KL788:KN788 KM789:KN789 KL790:KN790 KM791:KN791 KL792:KN792 KM793:KN793 KL794:KN794 KM795:KN795 KL796:KN796 KM797:KN797 KL798:KN798 KM799:KN799 KL800:KN800 KM801:KN801 KL802:KN802 KM803:KN803 KL804:KN804 KM805:KN805 KL806:KN806 KM807:KN807 KL808:KN808 KM809:KN809 KL810:KN810 KM811:KN811 KL812:KN812 KM813:KN813 KL814:KN814 KM815:KN815 KL816:KN816 KM817:KN817 KL818:KN818 KM819:KN819 KL820:KN820 KM821:KN821 KL822:KN822 KM823:KN823 KL824:KN824 KM825:KN825 KL826:KN826 KM827:KN827 KL828:KN828 KM829:KN829 KL830:KN830 KM831:KN831 KL832:KN832 KM833:KN833 KL834:KN834 KM835:KN835 KL836:KN836 KM837:KN837 KL838:KN838 KM839:KN839 KL840:KN840 KM841:KN841 KL842:KN842 KM843:KN843 KL844:KN844 KM845:KN845 KL846:KN846 KM847:KN847 KL848:KN848 KM849:KN849 KL850:KN850 KM851:KN851 KL852:KN852 KM853:KN853 KL854:KN854 KM855:KN855 KL856:KN856 KM857:KN857 KL858:KN858 KM859:KN859 KL860:KN860 KM861:KN861 KL862:KN862 KM863:KN863 KL864:KN864 KM865:KN865 KL866:KN866 KM867:KN867 KL868:KN868 KM869:KN869 KL870:KL894 KN870:KN894 KQ874 KQ881 KQ888 KL897:KL905 KN897:KN905 KL908:KL912 KN908:KN912 KL913:KN930">
    <cfRule type="expression" dxfId="216" priority="1335">
      <formula>AND(LEN(TRIM($KJ786))&gt;0,LEN(TRIM(KL786))=0,$KK786&lt;&gt;"Hand Hoe",LEFT($KK786,3)&lt;&gt;"No ")</formula>
    </cfRule>
  </conditionalFormatting>
  <conditionalFormatting sqref="KM931:KM953">
    <cfRule type="expression" dxfId="215" priority="670">
      <formula>AND(LEN(TRIM($KL931))&gt;0,LEN(TRIM(KM931))=0)</formula>
    </cfRule>
  </conditionalFormatting>
  <conditionalFormatting sqref="KN738:KN785">
    <cfRule type="expression" dxfId="214" priority="778">
      <formula>AND(LEN(TRIM($KM738))&gt;0,LEN(TRIM(KN738))=0)</formula>
    </cfRule>
  </conditionalFormatting>
  <conditionalFormatting sqref="KN931:KP953">
    <cfRule type="expression" dxfId="213" priority="671">
      <formula>AND(LEN(TRIM($KL931))&gt;0,LEN(TRIM(KN931))=0,$KM931&lt;&gt;"Hand Hoe",LEFT($KM931,3)&lt;&gt;"No ")</formula>
    </cfRule>
  </conditionalFormatting>
  <conditionalFormatting sqref="KO738:KQ785">
    <cfRule type="expression" dxfId="212" priority="779">
      <formula>AND(LEN(TRIM($KM738))&gt;0,LEN(TRIM(KO738))=0,$KN738&lt;&gt;"Hand Hoe",LEFT($KN738,3)&lt;&gt;"No ")</formula>
    </cfRule>
  </conditionalFormatting>
  <conditionalFormatting sqref="KP567:KP629">
    <cfRule type="expression" dxfId="211" priority="1205">
      <formula>COUNTIF(KK:KK,KP567)&gt;1</formula>
    </cfRule>
  </conditionalFormatting>
  <conditionalFormatting sqref="KP896 KR896">
    <cfRule type="expression" dxfId="210" priority="469">
      <formula>AND(LEN(TRIM(#REF!))&gt;0,LEN(TRIM(KP896))=0,#REF!&lt;&gt;"Hand Hoe",LEFT(#REF!,3)&lt;&gt;"No ")</formula>
    </cfRule>
  </conditionalFormatting>
  <conditionalFormatting sqref="KP907 KR907">
    <cfRule type="expression" dxfId="209" priority="231">
      <formula>AND(LEN(TRIM(#REF!))&gt;0,LEN(TRIM(KP907))=0,#REF!&lt;&gt;"Hand Hoe",LEFT(#REF!,3)&lt;&gt;"No ")</formula>
    </cfRule>
  </conditionalFormatting>
  <conditionalFormatting sqref="KP696:KR737">
    <cfRule type="expression" dxfId="208" priority="1258">
      <formula>AND(LEN(TRIM($KO696))&gt;0,LEN(TRIM(KP696))=0,$KO696&lt;&gt;"Hand Hoe",LEFT($KO696,3)&lt;&gt;"No ")</formula>
    </cfRule>
  </conditionalFormatting>
  <conditionalFormatting sqref="KQ786:KR786 KP787:KR789 KQ790:KR790 KP791:KR797 KQ798:KR798 KP799:KR801 KQ802:KR802 KP803:KR809 KQ810:KR810 KP811:KR813 KQ814:KR814 KP815:KR821 KQ822:KR822 KP823:KR825 KQ826:KR826 KP827:KR833 KQ834:KR834 KP835:KR837 KQ838:KR838 KP839:KR845 KQ846:KR846 KP847:KR849 KQ850:KR850 KP851:KR857 KQ858:KR858 KP859:KR861 KQ862:KR862 KP863:KR869 KP870:KP895 KR870:KR895 KP897:KP906 KR897:KR906 KP908:KP912 KR908:KR912 KP913:KR930">
    <cfRule type="expression" dxfId="207" priority="1396">
      <formula>AND(LEN(TRIM($KO786))&gt;0,LEN(TRIM(KP786))=0,$KO786&lt;&gt;"Hand Hoe",LEFT($KO786,3)&lt;&gt;"No ")</formula>
    </cfRule>
  </conditionalFormatting>
  <conditionalFormatting sqref="KR931:KT953">
    <cfRule type="expression" dxfId="206" priority="452">
      <formula>AND(LEN(TRIM($KQ931))&gt;0,LEN(TRIM(KR931))=0,$KQ931&lt;&gt;"Hand Hoe",LEFT($KQ931,3)&lt;&gt;"No ")</formula>
    </cfRule>
  </conditionalFormatting>
  <conditionalFormatting sqref="KS738:KU785">
    <cfRule type="expression" dxfId="205" priority="780">
      <formula>AND(LEN(TRIM($KR738))&gt;0,LEN(TRIM(KS738))=0,$KR738&lt;&gt;"Hand Hoe",LEFT($KR738,3)&lt;&gt;"No ")</formula>
    </cfRule>
  </conditionalFormatting>
  <conditionalFormatting sqref="KT697:KV701 KT703:KV707 KT709:KV713 KT715:KV719 KT721:KV725 KT727:KV731 KT733:KV737">
    <cfRule type="expression" dxfId="204" priority="1259">
      <formula>AND(LEN(TRIM($KS697))&gt;0,LEN(TRIM(KT697))=0,$KS697&lt;&gt;"Hand Hoe",LEFT($KS697,3)&lt;&gt;"No ")</formula>
    </cfRule>
  </conditionalFormatting>
  <conditionalFormatting sqref="KT786:KV792 KU793:KV793 KT794:KV804 KU805:KV805 KT806:KV816 KU817:KV817 KT818:KV828 KU829:KV829 KT830:KV840 KU841:KV841 KT842:KV852 KU853:KV853 KT854:KV864 KU865:KV865 KT866:KV890 KT891:KU901 KT902:KV930">
    <cfRule type="expression" dxfId="203" priority="1418">
      <formula>AND(LEN(TRIM($KS786))&gt;0,LEN(TRIM(KT786))=0,$KS786&lt;&gt;"Hand Hoe",LEFT($KS786,3)&lt;&gt;"No ")</formula>
    </cfRule>
  </conditionalFormatting>
  <conditionalFormatting sqref="KV931:KX953">
    <cfRule type="expression" dxfId="202" priority="673">
      <formula>AND(LEN(TRIM($KU931))&gt;0,LEN(TRIM(KV931))=0,$KU931&lt;&gt;"Hand Hoe",LEFT($KU931,3)&lt;&gt;"No ")</formula>
    </cfRule>
  </conditionalFormatting>
  <conditionalFormatting sqref="KW696 KW702 KW708 KW720 KW726 KW732">
    <cfRule type="expression" dxfId="201" priority="1306">
      <formula>AND(LEN(TRIM($KT697))&gt;0,LEN(TRIM(KW696))=0,$KT697&lt;&gt;"Hand Hoe",LEFT($KT697,3)&lt;&gt;"No ")</formula>
    </cfRule>
  </conditionalFormatting>
  <conditionalFormatting sqref="KW697">
    <cfRule type="expression" dxfId="200" priority="897">
      <formula>AND(LEN(TRIM(#REF!))&gt;0,LEN(TRIM(KW697))=0,#REF!&lt;&gt;"Hand Hoe",LEFT(#REF!,3)&lt;&gt;"No ")</formula>
    </cfRule>
  </conditionalFormatting>
  <conditionalFormatting sqref="KW698:KW701 KW704:KW707 KW710:KW719 KW722:KW725 KW728:KW731 KW734:KW737">
    <cfRule type="expression" dxfId="199" priority="1281">
      <formula>AND(LEN(TRIM($KT698))&gt;0,LEN(TRIM(KW698))=0,$KT698&lt;&gt;"Hand Hoe",LEFT($KT698,3)&lt;&gt;"No ")</formula>
    </cfRule>
  </conditionalFormatting>
  <conditionalFormatting sqref="KW703">
    <cfRule type="expression" dxfId="198" priority="881">
      <formula>AND(LEN(TRIM(#REF!))&gt;0,LEN(TRIM(KW703))=0,#REF!&lt;&gt;"Hand Hoe",LEFT(#REF!,3)&lt;&gt;"No ")</formula>
    </cfRule>
  </conditionalFormatting>
  <conditionalFormatting sqref="KW709">
    <cfRule type="expression" dxfId="197" priority="1021">
      <formula>AND(LEN(TRIM(#REF!))&gt;0,LEN(TRIM(KW709))=0,#REF!&lt;&gt;"Hand Hoe",LEFT(#REF!,3)&lt;&gt;"No ")</formula>
    </cfRule>
  </conditionalFormatting>
  <conditionalFormatting sqref="KW721">
    <cfRule type="expression" dxfId="196" priority="857">
      <formula>AND(LEN(TRIM(#REF!))&gt;0,LEN(TRIM(KW721))=0,#REF!&lt;&gt;"Hand Hoe",LEFT(#REF!,3)&lt;&gt;"No ")</formula>
    </cfRule>
  </conditionalFormatting>
  <conditionalFormatting sqref="KW727">
    <cfRule type="expression" dxfId="195" priority="834">
      <formula>AND(LEN(TRIM(#REF!))&gt;0,LEN(TRIM(KW727))=0,#REF!&lt;&gt;"Hand Hoe",LEFT(#REF!,3)&lt;&gt;"No ")</formula>
    </cfRule>
  </conditionalFormatting>
  <conditionalFormatting sqref="KW733">
    <cfRule type="expression" dxfId="194" priority="808">
      <formula>AND(LEN(TRIM(#REF!))&gt;0,LEN(TRIM(KW733))=0,#REF!&lt;&gt;"Hand Hoe",LEFT(#REF!,3)&lt;&gt;"No ")</formula>
    </cfRule>
  </conditionalFormatting>
  <conditionalFormatting sqref="KW738:KY785">
    <cfRule type="expression" dxfId="193" priority="781">
      <formula>AND(LEN(TRIM($KV738))&gt;0,LEN(TRIM(KW738))=0,$KV738&lt;&gt;"Hand Hoe",LEFT($KV738,3)&lt;&gt;"No ")</formula>
    </cfRule>
  </conditionalFormatting>
  <conditionalFormatting sqref="LE786:LO890 LE891:LH901 LJ891:LJ901 NU891:NU901 LL891:LO912 LE902:LJ912 LE913:LO930">
    <cfRule type="expression" dxfId="192" priority="1431">
      <formula>AND(LEN(TRIM($KX786))&gt;0,LEN(TRIM(LE786))=0,$KX786&lt;&gt;"No mulch applied")</formula>
    </cfRule>
  </conditionalFormatting>
  <conditionalFormatting sqref="LG696:LP737">
    <cfRule type="expression" dxfId="191" priority="1284">
      <formula>AND(LEN(TRIM($KY696))&gt;0,LEN(TRIM(LG696))=0,$KY696&lt;&gt;"No mulch applied")</formula>
    </cfRule>
  </conditionalFormatting>
  <conditionalFormatting sqref="LI931:LQ953">
    <cfRule type="expression" dxfId="190" priority="454">
      <formula>AND(LEN(TRIM($KZ931))&gt;0,LEN(TRIM(LI931))=0,$KZ931&lt;&gt;"No mulch applied")</formula>
    </cfRule>
  </conditionalFormatting>
  <conditionalFormatting sqref="LJ738:LR785">
    <cfRule type="expression" dxfId="189" priority="782">
      <formula>AND(LEN(TRIM($LA738))&gt;0,LEN(TRIM(LJ738))=0,$LA738&lt;&gt;"No mulch applied")</formula>
    </cfRule>
  </conditionalFormatting>
  <conditionalFormatting sqref="LQ786:LT930">
    <cfRule type="expression" dxfId="188" priority="1434">
      <formula>AND(LEN(TRIM($LP786))&gt;0,LEN(TRIM(LQ786))=0)</formula>
    </cfRule>
  </conditionalFormatting>
  <conditionalFormatting sqref="LR696:LU737">
    <cfRule type="expression" dxfId="187" priority="1285">
      <formula>AND(LEN(TRIM($LQ696))&gt;0,LEN(TRIM(LR696))=0)</formula>
    </cfRule>
  </conditionalFormatting>
  <conditionalFormatting sqref="LS931:LW953">
    <cfRule type="expression" dxfId="186" priority="675">
      <formula>AND(LEN(TRIM($LR931))&gt;0,LEN(TRIM(LS931))=0)</formula>
    </cfRule>
  </conditionalFormatting>
  <conditionalFormatting sqref="LT738:LX785">
    <cfRule type="expression" dxfId="185" priority="783">
      <formula>AND(LEN(TRIM($LS738))&gt;0,LEN(TRIM(LT738))=0)</formula>
    </cfRule>
  </conditionalFormatting>
  <conditionalFormatting sqref="LV786:MB930">
    <cfRule type="expression" dxfId="184" priority="1437">
      <formula>AND(LEN(TRIM($LU786))&gt;0,LEN(TRIM(LV786))=0)</formula>
    </cfRule>
  </conditionalFormatting>
  <conditionalFormatting sqref="LX696:MC737">
    <cfRule type="expression" dxfId="183" priority="1286">
      <formula>AND(LEN(TRIM($LV696))&gt;0,LEN(TRIM(LX696))=0)</formula>
    </cfRule>
  </conditionalFormatting>
  <conditionalFormatting sqref="LY931:MD953">
    <cfRule type="expression" dxfId="182" priority="676">
      <formula>AND(LEN(TRIM($LX931))&gt;0,LEN(TRIM(LY931))=0)</formula>
    </cfRule>
  </conditionalFormatting>
  <conditionalFormatting sqref="LZ738:ME785">
    <cfRule type="expression" dxfId="181" priority="784">
      <formula>AND(LEN(TRIM($LY738))&gt;0,LEN(TRIM(LZ738))=0)</formula>
    </cfRule>
  </conditionalFormatting>
  <conditionalFormatting sqref="MD786:MD930">
    <cfRule type="expression" dxfId="180" priority="1438">
      <formula>AND(LEN(TRIM($MC786))&gt;0,LEN(TRIM(MD786))=0)</formula>
    </cfRule>
  </conditionalFormatting>
  <conditionalFormatting sqref="ME696:ME737">
    <cfRule type="expression" dxfId="179" priority="1287">
      <formula>AND(LEN(TRIM($MD696))&gt;0,LEN(TRIM(ME696))=0)</formula>
    </cfRule>
  </conditionalFormatting>
  <conditionalFormatting sqref="MF931:MF953">
    <cfRule type="expression" dxfId="178" priority="677">
      <formula>AND(LEN(TRIM($ME931))&gt;0,LEN(TRIM(MF931))=0)</formula>
    </cfRule>
  </conditionalFormatting>
  <conditionalFormatting sqref="MG738:MG785">
    <cfRule type="expression" dxfId="177" priority="785">
      <formula>AND(LEN(TRIM($MF738))&gt;0,LEN(TRIM(MG738))=0)</formula>
    </cfRule>
  </conditionalFormatting>
  <conditionalFormatting sqref="MI786:ML930">
    <cfRule type="expression" dxfId="176" priority="1441">
      <formula>AND(LEN(TRIM($MH786))&gt;0,LEN(TRIM(MI786))=0)</formula>
    </cfRule>
  </conditionalFormatting>
  <conditionalFormatting sqref="MJ696:MM737">
    <cfRule type="expression" dxfId="175" priority="1288">
      <formula>AND(LEN(TRIM($MI696))&gt;0,LEN(TRIM(MJ696))=0)</formula>
    </cfRule>
  </conditionalFormatting>
  <conditionalFormatting sqref="MK931:MN953">
    <cfRule type="expression" dxfId="174" priority="678">
      <formula>AND(LEN(TRIM($MJ931))&gt;0,LEN(TRIM(MK931))=0)</formula>
    </cfRule>
  </conditionalFormatting>
  <conditionalFormatting sqref="ML738:MO785">
    <cfRule type="expression" dxfId="173" priority="786">
      <formula>AND(LEN(TRIM($MK738))&gt;0,LEN(TRIM(ML738))=0)</formula>
    </cfRule>
  </conditionalFormatting>
  <conditionalFormatting sqref="MN786:MN930 MR786:MT930">
    <cfRule type="expression" dxfId="172" priority="1444">
      <formula>AND(LEN(TRIM($MM786))&gt;0,LEN(TRIM(MN786))=0)</formula>
    </cfRule>
  </conditionalFormatting>
  <conditionalFormatting sqref="MP931:MP953 MT931:MV953">
    <cfRule type="expression" dxfId="171" priority="679">
      <formula>AND(LEN(TRIM($MO931))&gt;0,LEN(TRIM(MP931))=0)</formula>
    </cfRule>
  </conditionalFormatting>
  <conditionalFormatting sqref="MQ738:MQ785 MU738:MW785">
    <cfRule type="expression" dxfId="170" priority="787">
      <formula>AND(LEN(TRIM($MP738))&gt;0,LEN(TRIM(MQ738))=0)</formula>
    </cfRule>
  </conditionalFormatting>
  <conditionalFormatting sqref="MV786:MY930">
    <cfRule type="expression" dxfId="169" priority="1450">
      <formula>AND(LEN(TRIM($MU786))&gt;0,LEN(TRIM(MV786))=0)</formula>
    </cfRule>
  </conditionalFormatting>
  <conditionalFormatting sqref="MX931:NA953">
    <cfRule type="expression" dxfId="168" priority="680">
      <formula>AND(LEN(TRIM($MW931))&gt;0,LEN(TRIM(MX931))=0)</formula>
    </cfRule>
  </conditionalFormatting>
  <conditionalFormatting sqref="MY738:MY785">
    <cfRule type="expression" dxfId="167" priority="788">
      <formula>AND(LEN(TRIM($MX738))&gt;0,LEN(TRIM(MY738))=0)</formula>
    </cfRule>
  </conditionalFormatting>
  <conditionalFormatting sqref="NB696:NB707 MS696:MU713 MO696:MO737 MS714:MT719 NB714:NB737 MS720:MU737">
    <cfRule type="expression" dxfId="166" priority="1289">
      <formula>AND(LEN(TRIM($MN696))&gt;0,LEN(TRIM(MO696))=0)</formula>
    </cfRule>
  </conditionalFormatting>
  <conditionalFormatting sqref="NB696:NB737">
    <cfRule type="expression" dxfId="165" priority="1272">
      <formula>AND(LEN(TRIM($MZ696))&gt;0,LEN(TRIM(NB696))=0)</formula>
    </cfRule>
  </conditionalFormatting>
  <conditionalFormatting sqref="NC696:NC737">
    <cfRule type="expression" dxfId="164" priority="1266">
      <formula>AND(LEN(TRIM($NB696))&gt;0,LEN(TRIM(NC696))=0)</formula>
    </cfRule>
  </conditionalFormatting>
  <conditionalFormatting sqref="NC738:NC785 NC870:NC875 NC876:ND876 NC877:NC882 NC883:ND883 NC884:NC889 NC890:ND890 NC891:NC930 ND901 ND912">
    <cfRule type="expression" dxfId="163" priority="1315">
      <formula>AND(LEN(TRIM($NB738))&gt;0,LEN(TRIM(NC738))=0)</formula>
    </cfRule>
  </conditionalFormatting>
  <conditionalFormatting sqref="NE931:NE953">
    <cfRule type="expression" dxfId="162" priority="681">
      <formula>AND(LEN(TRIM($NC931))&gt;0,LEN(TRIM(NE931))=0)</formula>
    </cfRule>
  </conditionalFormatting>
  <conditionalFormatting sqref="NK435">
    <cfRule type="duplicateValues" dxfId="161" priority="1084"/>
  </conditionalFormatting>
  <conditionalFormatting sqref="NK696:NK718 NK720:NK737">
    <cfRule type="expression" dxfId="160" priority="1273">
      <formula>AND(LEN(TRIM($NF696))&gt;0,LEN(TRIM(NK696))=0)</formula>
    </cfRule>
  </conditionalFormatting>
  <conditionalFormatting sqref="NK719">
    <cfRule type="expression" dxfId="159" priority="1311">
      <formula>AND(LEN(TRIM($NE719))&gt;0,LEN(TRIM(NK719))=0)</formula>
    </cfRule>
  </conditionalFormatting>
  <conditionalFormatting sqref="NL738:NN783 NB750:NB775 NL784:NL785 NN784:NN785 NL786:NN797 NM799:NN809 NL810:NN857 NL858:NL869 NN858:NN869 NL870:NN876 NL877:NL912 NN877:NN912 NL913:NN930">
    <cfRule type="expression" dxfId="158" priority="1316">
      <formula>AND(LEN(TRIM($NK738))&gt;0,LEN(TRIM(NB738))=0)</formula>
    </cfRule>
  </conditionalFormatting>
  <conditionalFormatting sqref="NM22:NM29">
    <cfRule type="duplicateValues" dxfId="157" priority="1170"/>
  </conditionalFormatting>
  <conditionalFormatting sqref="NM112:NM201">
    <cfRule type="duplicateValues" dxfId="156" priority="1177"/>
  </conditionalFormatting>
  <conditionalFormatting sqref="NM222:NM239">
    <cfRule type="duplicateValues" dxfId="155" priority="1197"/>
  </conditionalFormatting>
  <conditionalFormatting sqref="NM240:NM257">
    <cfRule type="duplicateValues" dxfId="154" priority="1198"/>
  </conditionalFormatting>
  <conditionalFormatting sqref="NM258:NM275">
    <cfRule type="duplicateValues" dxfId="153" priority="1167"/>
  </conditionalFormatting>
  <conditionalFormatting sqref="NM282:NM287">
    <cfRule type="duplicateValues" dxfId="152" priority="184"/>
  </conditionalFormatting>
  <conditionalFormatting sqref="NM294:NM299">
    <cfRule type="duplicateValues" dxfId="151" priority="182"/>
  </conditionalFormatting>
  <conditionalFormatting sqref="NM306:NM311">
    <cfRule type="duplicateValues" dxfId="150" priority="181"/>
  </conditionalFormatting>
  <conditionalFormatting sqref="NM312:NM335">
    <cfRule type="duplicateValues" dxfId="149" priority="179"/>
  </conditionalFormatting>
  <conditionalFormatting sqref="NM336:NM353">
    <cfRule type="duplicateValues" dxfId="148" priority="1200"/>
  </conditionalFormatting>
  <conditionalFormatting sqref="NM354:NM371">
    <cfRule type="duplicateValues" dxfId="147" priority="180"/>
  </conditionalFormatting>
  <conditionalFormatting sqref="NM372:NM374">
    <cfRule type="duplicateValues" dxfId="146" priority="1155"/>
  </conditionalFormatting>
  <conditionalFormatting sqref="NM375:NM376">
    <cfRule type="duplicateValues" dxfId="145" priority="1154"/>
  </conditionalFormatting>
  <conditionalFormatting sqref="NM377:NM378">
    <cfRule type="duplicateValues" dxfId="144" priority="1203"/>
  </conditionalFormatting>
  <conditionalFormatting sqref="NM379:NM380">
    <cfRule type="duplicateValues" dxfId="143" priority="1152"/>
  </conditionalFormatting>
  <conditionalFormatting sqref="NM381:NM389">
    <cfRule type="duplicateValues" dxfId="142" priority="1130"/>
  </conditionalFormatting>
  <conditionalFormatting sqref="NM390:NM398">
    <cfRule type="duplicateValues" dxfId="141" priority="1122"/>
  </conditionalFormatting>
  <conditionalFormatting sqref="NM399:NM407">
    <cfRule type="duplicateValues" dxfId="140" priority="1111"/>
  </conditionalFormatting>
  <conditionalFormatting sqref="NM408:NM416">
    <cfRule type="duplicateValues" dxfId="139" priority="1105"/>
  </conditionalFormatting>
  <conditionalFormatting sqref="NM417:NM425">
    <cfRule type="duplicateValues" dxfId="138" priority="1098"/>
  </conditionalFormatting>
  <conditionalFormatting sqref="NM426:NM434">
    <cfRule type="duplicateValues" dxfId="137" priority="1096"/>
  </conditionalFormatting>
  <conditionalFormatting sqref="NM435">
    <cfRule type="duplicateValues" dxfId="136" priority="1082"/>
  </conditionalFormatting>
  <conditionalFormatting sqref="NM520:NM523">
    <cfRule type="duplicateValues" dxfId="135" priority="1083"/>
  </conditionalFormatting>
  <conditionalFormatting sqref="NM567:NM580">
    <cfRule type="duplicateValues" dxfId="134" priority="471"/>
  </conditionalFormatting>
  <conditionalFormatting sqref="NM581:NM587">
    <cfRule type="duplicateValues" dxfId="133" priority="1054"/>
  </conditionalFormatting>
  <conditionalFormatting sqref="NM588:NM594">
    <cfRule type="duplicateValues" dxfId="132" priority="1231"/>
  </conditionalFormatting>
  <conditionalFormatting sqref="NM595:NM601">
    <cfRule type="duplicateValues" dxfId="131" priority="1221"/>
  </conditionalFormatting>
  <conditionalFormatting sqref="NM602:NM608">
    <cfRule type="duplicateValues" dxfId="130" priority="1049"/>
  </conditionalFormatting>
  <conditionalFormatting sqref="NM609:NM615">
    <cfRule type="duplicateValues" dxfId="129" priority="1235"/>
  </conditionalFormatting>
  <conditionalFormatting sqref="NM616:NM622">
    <cfRule type="duplicateValues" dxfId="128" priority="1029"/>
  </conditionalFormatting>
  <conditionalFormatting sqref="NM623:NM629">
    <cfRule type="duplicateValues" dxfId="127" priority="1023"/>
  </conditionalFormatting>
  <conditionalFormatting sqref="NM858:NM869">
    <cfRule type="duplicateValues" dxfId="126" priority="472"/>
  </conditionalFormatting>
  <conditionalFormatting sqref="NM877:NM883">
    <cfRule type="duplicateValues" dxfId="125" priority="307"/>
  </conditionalFormatting>
  <conditionalFormatting sqref="NM884:NM890">
    <cfRule type="duplicateValues" dxfId="124" priority="268"/>
  </conditionalFormatting>
  <conditionalFormatting sqref="NM891:NM901">
    <cfRule type="duplicateValues" dxfId="123" priority="464"/>
  </conditionalFormatting>
  <conditionalFormatting sqref="NM902:NM912">
    <cfRule type="duplicateValues" dxfId="122" priority="226"/>
  </conditionalFormatting>
  <conditionalFormatting sqref="NM696:NN725 NM726:NM737 NN732:NN737">
    <cfRule type="expression" dxfId="121" priority="1268">
      <formula>AND(LEN(TRIM($NK696))&gt;0,LEN(TRIM(NM696))=0)</formula>
    </cfRule>
  </conditionalFormatting>
  <conditionalFormatting sqref="NN931:NP953">
    <cfRule type="expression" dxfId="120" priority="462">
      <formula>AND(LEN(TRIM($NM931))&gt;0,LEN(TRIM(NN931))=0)</formula>
    </cfRule>
  </conditionalFormatting>
  <conditionalFormatting sqref="NP738:NP930">
    <cfRule type="expression" dxfId="119" priority="1317">
      <formula>AND($NP738&lt;$NO738, $NP738&lt;&gt;"Unspecified")</formula>
    </cfRule>
  </conditionalFormatting>
  <conditionalFormatting sqref="NR931:NR953">
    <cfRule type="expression" dxfId="118" priority="683">
      <formula>AND($NR931&lt;$NQ931, $NR931&lt;&gt;"Unspecified")</formula>
    </cfRule>
  </conditionalFormatting>
  <conditionalFormatting sqref="NT696:NU699 NT700:NV701 NT702:NU705 NT706:NV707 NT708:NU711 NT712:NV713 NT714:NU723 NV718:NV719 NT724:NV725 NT726:NU729 NT730:NV731 NT732:NU735 NT736:NV737">
    <cfRule type="expression" dxfId="117" priority="1274">
      <formula>AND(LEN(TRIM($NS696))&gt;0,LEN(TRIM(NT696))=0)</formula>
    </cfRule>
  </conditionalFormatting>
  <conditionalFormatting sqref="NU870:NU876">
    <cfRule type="expression" dxfId="116" priority="186">
      <formula>AND(LEN(TRIM($BD870))&gt;0,LEN(TRIM(NU870))=0)</formula>
    </cfRule>
  </conditionalFormatting>
  <conditionalFormatting sqref="NU891:NU894">
    <cfRule type="expression" dxfId="115" priority="188">
      <formula>AND(LEN(TRIM($IC891))&gt;0,LEN(TRIM(NU891))=0)</formula>
    </cfRule>
  </conditionalFormatting>
  <conditionalFormatting sqref="NU897:NU901">
    <cfRule type="expression" dxfId="114" priority="187">
      <formula>AND(LEN(TRIM($IC897))&gt;0,LEN(TRIM(NU897))=0)</formula>
    </cfRule>
  </conditionalFormatting>
  <dataValidations count="252">
    <dataValidation type="list" allowBlank="1" showInputMessage="1" showErrorMessage="1" prompt="Breed of the animal" sqref="IE696:IE737" xr:uid="{719FBF25-34D7-45E6-80F6-449C9E7BE969}">
      <formula1>INDIRECT($IC696)</formula1>
    </dataValidation>
    <dataValidation type="list" allowBlank="1" showInputMessage="1" showErrorMessage="1" sqref="GN696:GN737" xr:uid="{7C0DC6C1-E81E-48C8-867C-E5D491F427C0}">
      <formula1>INDIRECT($GM696)</formula1>
    </dataValidation>
    <dataValidation type="whole" allowBlank="1" showInputMessage="1" showErrorMessage="1" prompt="Year when the experiment stopped. Year End as stated by the author _x000a__x000a_Should be equal to start year or later" sqref="BB696:BB737" xr:uid="{034AB024-D4D3-4F42-A4B8-76DE4D8DB367}">
      <formula1>BA696</formula1>
      <formula2>2100</formula2>
    </dataValidation>
    <dataValidation type="decimal" operator="greaterThanOrEqual" allowBlank="1" showInputMessage="1" prompt="Canopy height  max if height is provided by ranges. Ex. If height is 50-70, complete with 70_x000a__x000a_Value should be above agrod_canopy_height_min, or write &quot;Unspecified&quot; if unknown." sqref="JJ696:JJ737" xr:uid="{7900FCB6-83BD-49F9-AA3C-DC19F5A3BC79}">
      <formula1>JI696</formula1>
    </dataValidation>
    <dataValidation type="decimal" allowBlank="1" showInputMessage="1" prompt="Shade max if shade is provided by ranges. Ex. If shade is 50-70, complete with 70_x000a__x000a_Value should be between agrof_shade_min and 100, or write &quot;Unspecified&quot; if unknown." sqref="JG696:JG737" xr:uid="{DF0DCAF7-5CB5-4A1A-8AC7-E1DBFB51DA73}">
      <formula1>JF696</formula1>
      <formula2>100</formula2>
    </dataValidation>
    <dataValidation type="list" allowBlank="1" showInputMessage="1" showErrorMessage="1" prompt="Variety, cultivar of the crop" sqref="HY696:HY737" xr:uid="{4048DA12-6274-495C-B464-3E986CDC9D1B}">
      <formula1>INDIRECT($HW696)</formula1>
    </dataValidation>
    <dataValidation type="list" allowBlank="1" showInputMessage="1" showErrorMessage="1" sqref="E696:E737" xr:uid="{128617FA-1A08-44EF-B7E2-E320C1544D84}">
      <formula1>INDIRECT($C696)</formula1>
    </dataValidation>
    <dataValidation type="list" allowBlank="1" showInputMessage="1" showErrorMessage="1" sqref="BI696:BI737" xr:uid="{1CE85834-FE27-40D0-9512-91946673C469}">
      <formula1>INDIRECT(BH696)</formula1>
    </dataValidation>
    <dataValidation allowBlank="1" showInputMessage="1" showErrorMessage="1" prompt="List the starting season of an experimental treatment in systems with &gt;1 growing season. If a region has unimodal rainfall or if seasonality is unespecified please leave this file blanck" sqref="IU696:IU737 IW738:IW785 IV931:IV953 IU786:IU930" xr:uid="{73BA8AEA-6323-43BB-9E30-8075CB48D5BE}"/>
    <dataValidation allowBlank="1" showInputMessage="1" showErrorMessage="1" prompt="Unique ID assigned to each site/treatment/managment." sqref="NU870:NU876 CD875:CD876 CD872 BJ870:BJ875 CI876 BT870:BT875 BY870:BY873 BY875:BY880 CD882:CD883 CD879 BJ877:BJ882 CI883 BT877:BT882 BT884:BT889 BY882:BY887 CD889:CD890 CD886 BJ884:BJ889 CI890 CD893:CD894 CD898:CD901 CI901 BT891:BT899 BY889:BY896 BJ891:BJ900 CD904:CD905 CD909:CD912 CI912 BY909:BY912 BT902:BT910 BY898:BY907 BJ902:BJ911 BO870:BO912 BF696:BF953" xr:uid="{2E8379FF-987D-4161-8FCE-51C53EE07106}"/>
    <dataValidation type="decimal" operator="greaterThanOrEqual" allowBlank="1" showInputMessage="1" showErrorMessage="1" sqref="JD696:JD737" xr:uid="{547CA5F4-B352-48B4-926A-645F1AC92183}">
      <formula1>0</formula1>
    </dataValidation>
    <dataValidation allowBlank="1" showInputMessage="1" showErrorMessage="1" prompt="Name of the agroforestry practice. This dimension captures whether trees are part of a rotation." sqref="JB696:JB737" xr:uid="{A3139D51-0D23-4D12-9881-99629FBAEB69}"/>
    <dataValidation allowBlank="1" showInputMessage="1" showErrorMessage="1" prompt="Complete with an easy to recognize name for the animal practice, you will use this name to reference it when building treatments later in the extraction process. Avoid using special characters." sqref="IF696:IF737" xr:uid="{6D777529-3971-439D-B0B7-3B5F9D3E1FF7}"/>
    <dataValidation type="list" allowBlank="1" showInputMessage="1" showErrorMessage="1" prompt="Name of the animal" sqref="IC696:ID737" xr:uid="{B235EEAE-CA52-4D7A-864A-2F20735446C4}">
      <formula1>AnimalsList</formula1>
    </dataValidation>
    <dataValidation type="decimal" operator="greaterThan" allowBlank="1" showInputMessage="1" showErrorMessage="1" prompt="Numerical value of animal growing density corresponding to the selected animal and density unit." sqref="GP696:GP737" xr:uid="{12E47AD1-E8B5-455F-9628-0A82B498C8C9}">
      <formula1>0</formula1>
    </dataValidation>
    <dataValidation type="list" allowBlank="1" showInputMessage="1" showErrorMessage="1" sqref="GM696:GM737" xr:uid="{AE347621-9892-4BD4-9DB3-68CCE3CA0E40}">
      <formula1>AnimalsList</formula1>
    </dataValidation>
    <dataValidation allowBlank="1" showInputMessage="1" showErrorMessage="1" prompt="Choose a easy to recognize name for the practice, you will use this name to reference it when building treatments later in the extraction process. Avoid using special characters." sqref="IX786:IX869 IW870:IW912 IY696:IY785 IX931:IX953" xr:uid="{760A0274-8201-4631-8048-5157EBE631DD}"/>
    <dataValidation allowBlank="1" showInputMessage="1" showErrorMessage="1" prompt="Fate of crop residues from the previous season" sqref="IV696:IV737" xr:uid="{22430EAA-971E-494B-9DEE-5CA5ADC9F22F}"/>
    <dataValidation type="whole" allowBlank="1" showInputMessage="1" sqref="IT696:IT737" xr:uid="{E7306139-9FB5-400B-A97C-523EC1408EC4}">
      <formula1>1900</formula1>
      <formula2>2100</formula2>
    </dataValidation>
    <dataValidation type="whole" allowBlank="1" showInputMessage="1" showErrorMessage="1" prompt="Intercropping start year" sqref="IO696:IO737" xr:uid="{70B0D29C-AF92-4B71-AF44-60D18A8B7128}">
      <formula1>1900</formula1>
      <formula2>2100</formula2>
    </dataValidation>
    <dataValidation type="list" allowBlank="1" showInputMessage="1" showErrorMessage="1" prompt="Please entery name of crop_x000a__x000a_If cell turns red, this means the crop was not selected as a study crop (crop01, crop02 etc.) Please adjust entries as necessary_x000a_" sqref="HW696:HX737" xr:uid="{A272BC5A-49BA-4287-A09F-FAB85076A677}">
      <formula1>CropList</formula1>
    </dataValidation>
    <dataValidation type="date" allowBlank="1" showInputMessage="1" prompt="Planting Date Start (dd/mm/yy)" sqref="HU696:HU737" xr:uid="{884BECB6-9453-4CA1-943D-655853A88162}">
      <formula1>1</formula1>
      <formula2>73415</formula2>
    </dataValidation>
    <dataValidation allowBlank="1" showInputMessage="1" showErrorMessage="1" prompt="Complete with an easy to recognize name for the planting method, you will use this name to reference it when building treatments later in the extraction process. Avoid using special characters." sqref="HR696:HR737" xr:uid="{51064ECA-E279-4D89-B8CD-CB800D46FD8A}"/>
    <dataValidation type="whole" operator="greaterThan" allowBlank="1" showInputMessage="1" showErrorMessage="1" prompt="How many times was the land tilled during one experimental season " sqref="HQ696:HQ737" xr:uid="{AB292A22-3EFF-4FBC-A773-A2AFB1D35BAD}">
      <formula1>0</formula1>
    </dataValidation>
    <dataValidation allowBlank="1" showInputMessage="1" showErrorMessage="1" prompt="Complete with an easy to recognize name for the tillage practice, you will use this name to reference it when building treatments later in the extraction process. Avoid using special characters." sqref="HL696:HL737" xr:uid="{FE244021-043C-4F7F-9463-97269FCEFE1C}"/>
    <dataValidation type="decimal" operator="greaterThanOrEqual" allowBlank="1" showInputMessage="1" showErrorMessage="1" prompt="Numerical value of tree planting density corresponding to the selected tree and density unit." sqref="EK696:EK737" xr:uid="{C2BC8AA7-D948-449C-84DB-1932ADBDEA76}">
      <formula1>0</formula1>
    </dataValidation>
    <dataValidation type="decimal" operator="greaterThanOrEqual" allowBlank="1" showInputMessage="1" showErrorMessage="1" prompt="Numerical value of tree planting density corresponding to the selected tree and density unit._x000a__x000a_Should be greater than 0" sqref="EG696:EG737" xr:uid="{1F1CE538-038B-4D7C-86F0-565691DBFAD5}">
      <formula1>0</formula1>
    </dataValidation>
    <dataValidation type="list" allowBlank="1" showInputMessage="1" showErrorMessage="1" prompt="Name of tree or shrub species used in the specific practice. Please use scientific name and be careful of your spelling. Use full scientific name, do not abbreviate genus" sqref="EE696:EE737 EI696:EI737" xr:uid="{D926A3D7-C4EF-4B4E-9CB5-6445D45EB128}">
      <formula1>trees</formula1>
    </dataValidation>
    <dataValidation type="decimal" operator="greaterThanOrEqual" allowBlank="1" showInputMessage="1" showErrorMessage="1" prompt="Numerical value of crop planting density corresponding to the selected crop and density unit._x000a__x000a_Should be greater than 0" sqref="BP696:BP737" xr:uid="{D4CDE4BE-D6F2-4F5F-A87F-9ABCFDDBB19D}">
      <formula1>0</formula1>
    </dataValidation>
    <dataValidation type="list" allowBlank="1" showInputMessage="1" showErrorMessage="1" prompt="Name of crop species including in the practice, first letter of name capitilized and the rest lowercase. Use common names of species. See crop lists in 01_crops$crop_names in 01_FOMD_ontologoies file." sqref="BM696:BM737 BH696:BH737 BR696:BR737" xr:uid="{DDFDB51A-4FFD-4026-A93B-F9050F13AEF1}">
      <formula1>CropList</formula1>
    </dataValidation>
    <dataValidation allowBlank="1" showInputMessage="1" showErrorMessage="1" prompt="Season as stated by the author" sqref="BC696:BC737" xr:uid="{37AF2571-4714-4BFF-850A-4DD9137A7470}"/>
    <dataValidation type="whole" allowBlank="1" showInputMessage="1" showErrorMessage="1" prompt="Year when the experiment started. Year Start as stated by the author" sqref="BA696:BA737" xr:uid="{D04D5099-6934-4DCD-B426-D2048078CD85}">
      <formula1>1900</formula1>
      <formula2>2100</formula2>
    </dataValidation>
    <dataValidation allowBlank="1" showInputMessage="1" showErrorMessage="1" prompt="Complete with the specific time period name the study provide" sqref="AZ696:AZ737" xr:uid="{26D5939B-75F2-40D5-AF3A-7712DFCB3EF3}"/>
    <dataValidation type="whole" operator="greaterThanOrEqual" allowBlank="1" showInputMessage="1" showErrorMessage="1" prompt="Should be 0 or greater" sqref="AY696:AY737" xr:uid="{8CC5FEE9-CBF2-4617-8F15-1D77AC469B7B}">
      <formula1>0</formula1>
    </dataValidation>
    <dataValidation type="decimal" operator="greaterThanOrEqual" allowBlank="1" showInputMessage="1" prompt="Field size in hectares_x000a__x000a_Should be greater than 0" sqref="AX696:AX737" xr:uid="{F910E398-0890-4BAC-800E-F7A1ED4A7C10}">
      <formula1>0</formula1>
    </dataValidation>
    <dataValidation type="decimal" operator="greaterThan" allowBlank="1" showInputMessage="1" prompt="The size of a treatment plot in the experiment, if variable use the mean value or mid-point of the size range._x000a__x000a_Valulue should be greater than 0" sqref="AW696:AW737" xr:uid="{2535BEB8-A71E-40A8-9C78-21A46CE56281}">
      <formula1>0</formula1>
    </dataValidation>
    <dataValidation allowBlank="1" showInputMessage="1" showErrorMessage="1" prompt="A plan specification that states how treatments are allocated to the experimental units during an agronomic trial. It refers to the conceptual framework within which the experiment is conducted. Source: AGRO" sqref="AV696:AV737" xr:uid="{30693781-EB4D-4AD8-96B0-41E0CCDEC29F}"/>
    <dataValidation allowBlank="1" showInputMessage="1" showErrorMessage="1" prompt="Standardised name of the specific study site_x000a__x000a_If site is present in the drop-down list, then this will be automatically completed." sqref="F696:F737" xr:uid="{BEFCE37A-6D92-4D9F-A2B4-333B377F3940}"/>
    <dataValidation type="decimal" operator="greaterThanOrEqual" allowBlank="1" showInputMessage="1" prompt="Canopy height  min if height is provided by ranges. Ex. If height is 50-70, complete with 50_x000a__x000a_Value should be above 0, or write &quot;Unspecified&quot; if unknown." sqref="JI696:JI737" xr:uid="{82DED76C-DD6E-46EA-AD78-E799FAA8CD9A}">
      <formula1>0</formula1>
    </dataValidation>
    <dataValidation type="decimal" operator="greaterThanOrEqual" allowBlank="1" showInputMessage="1" prompt="Canopy height mean if height is provided as mean. Ex. If height is 15 meters, complete with 15_x000a__x000a_Value should be above 0, or write &quot;Unspecified&quot; if unknown." sqref="JH696:JH737" xr:uid="{7D599078-B25D-4EEB-978F-9236DDE7DA70}">
      <formula1>0</formula1>
    </dataValidation>
    <dataValidation type="decimal" operator="greaterThanOrEqual" allowBlank="1" showInputMessage="1" prompt="Shade min if shade is provided by ranges. Ex. If shade is 50-70, complete with 50_x000a__x000a_Value should be between 0 and 100, or write &quot;Unspecified&quot; if unknown." sqref="JF696:JF737" xr:uid="{56763F3C-2E36-4772-8080-55B7747D286C}">
      <formula1>0</formula1>
    </dataValidation>
    <dataValidation type="decimal" allowBlank="1" showInputMessage="1" prompt="Shade mean if shade is provided as mean. Ex. If shade is 52%, complete with 52_x000a__x000a_Value should be between 0 and 100, or write &quot;Unspecified&quot; if unknown." sqref="JE696:JE737" xr:uid="{4E2829A9-4EDF-4819-95A3-B133F2A1A3E6}">
      <formula1>0</formula1>
      <formula2>100</formula2>
    </dataValidation>
    <dataValidation allowBlank="1" showInputMessage="1" showErrorMessage="1" prompt="Unit used to report elemental nutrient quantities (N, P, K) applied from organic fertilizers. Try to record kg/ha" sqref="KA696:KA737 KD738:KD785 KC931:KC953 KA786:KA930" xr:uid="{2C47E86B-52E2-4604-A7A4-21F6D622F123}"/>
    <dataValidation errorStyle="warning" operator="lessThanOrEqual" allowBlank="1" showInputMessage="1" showErrorMessage="1" prompt="Experimental design information, such as plot size, layout and notes on historical management. " sqref="AV891:AV912 NB931:NB953 MZ696:MZ930" xr:uid="{D0FE58A0-121A-4CF3-9AE5-6A0BBFF7A8C1}"/>
    <dataValidation type="date" allowBlank="1" showInputMessage="1" prompt="Planting Date End (dd/mm/yy)" sqref="HV722 HV728 HV734" xr:uid="{80228279-BE72-4D65-813D-AE74F70FB41C}">
      <formula1>HU728</formula1>
      <formula2>73415</formula2>
    </dataValidation>
    <dataValidation type="date" allowBlank="1" showInputMessage="1" prompt="Planting Date End (dd/mm/yy)" sqref="HV705:HV707 HV720:HV721 HV724:HV727 HV735:HV737 HV730:HV733" xr:uid="{8530A0FA-F047-4E2E-870C-75B423734A6E}">
      <formula1>HU715</formula1>
      <formula2>73415</formula2>
    </dataValidation>
    <dataValidation type="date" allowBlank="1" showInputMessage="1" prompt="Planting Date End (dd/mm/yy)" sqref="HV700:HV701" xr:uid="{7E140C39-0450-4FBB-A2F6-18373E89978A}">
      <formula1>HU713</formula1>
      <formula2>73415</formula2>
    </dataValidation>
    <dataValidation type="date" allowBlank="1" showInputMessage="1" prompt="Planting Date End (dd/mm/yy)" sqref="HV708:HV709 HV712:HV713" xr:uid="{AD61D7A3-E46E-453A-9EF7-642E1112A222}">
      <formula1>HU717</formula1>
      <formula2>73415</formula2>
    </dataValidation>
    <dataValidation errorStyle="warning" allowBlank="1" showInputMessage="1" showErrorMessage="1" prompt="Complete with an easy to recognize name for the weeding practice, you will use this name to reference it when building treatments later in the extraction process. Avoid using special characters." sqref="KF696:KF737 KI738:KI785 KH931:KH953 KF786:KF930" xr:uid="{17A7769C-C035-4C10-97FC-492C3EF385E2}"/>
    <dataValidation type="date" allowBlank="1" showInputMessage="1" prompt="Planting Date End (dd/mm/yy)" sqref="HV704" xr:uid="{DEAFE08F-4BCB-4A58-BAA4-2D7437DF79FD}">
      <formula1>HU712</formula1>
      <formula2>73415</formula2>
    </dataValidation>
    <dataValidation type="date" allowBlank="1" showInputMessage="1" prompt="Planting Date End (dd/mm/yy)" sqref="HV735:HV737 HV705:HV707" xr:uid="{4C6993F9-86D3-4422-887F-D5A0A8CBB573}">
      <formula1>HU719</formula1>
      <formula2>73415</formula2>
    </dataValidation>
    <dataValidation type="date" allowBlank="1" showInputMessage="1" prompt="Planting Date End (dd/mm/yy)" sqref="HV706:HV707 HV723:HV725 HV736:HV737 HV729:HV731" xr:uid="{8F552F9B-40B6-48BF-AEDF-AD55FB008C8B}">
      <formula1>HU718</formula1>
      <formula2>73415</formula2>
    </dataValidation>
    <dataValidation type="decimal" operator="greaterThanOrEqual" allowBlank="1" showInputMessage="1" prompt="Value should be above agrof_dhb_min, or write &quot;Unspecified&quot; if unknown." sqref="JK696:JK737" xr:uid="{DD5BA80E-6A68-4EDF-8603-DDD497378A41}">
      <formula1>#REF!</formula1>
    </dataValidation>
    <dataValidation type="date" allowBlank="1" showInputMessage="1" showErrorMessage="1" prompt="(Storage Date End for Postharvest)" sqref="MT696:MT737" xr:uid="{305CD149-A411-4244-A1FE-87C72A58D103}">
      <formula1>MS696</formula1>
      <formula2>73415</formula2>
    </dataValidation>
    <dataValidation type="date" operator="greaterThanOrEqual" allowBlank="1" showInputMessage="1" showErrorMessage="1" prompt="(Storage Date End for Postharvest)" sqref="MQ696:MQ737" xr:uid="{0C3A9094-9D5E-4374-AEFE-C19710291977}">
      <formula1>MP696</formula1>
    </dataValidation>
    <dataValidation type="date" operator="greaterThanOrEqual" allowBlank="1" showInputMessage="1" showErrorMessage="1" prompt="Harvest Date End (dd/mm/yy)" sqref="ML696:ML737" xr:uid="{9FAC93CE-C9AB-4155-A7D9-9FD82F510D53}">
      <formula1>MK696</formula1>
    </dataValidation>
    <dataValidation type="date" operator="greaterThanOrEqual" allowBlank="1" showInputMessage="1" showErrorMessage="1" prompt="Date End of the irrigation" sqref="LZ696:LZ737" xr:uid="{2AF598A8-55FA-4D8B-A5D9-68926EC3C299}">
      <formula1>LY696</formula1>
    </dataValidation>
    <dataValidation type="date" allowBlank="1" showInputMessage="1" prompt="Planting Date End (dd/mm/yy)" sqref="HV715" xr:uid="{7F243908-E299-4FA5-BD48-2822D5F56D2F}">
      <formula1>HU711</formula1>
      <formula2>73415</formula2>
    </dataValidation>
    <dataValidation type="date" allowBlank="1" showInputMessage="1" prompt="Planting Date End (dd/mm/yy)" sqref="HV714 HV718:HV719" xr:uid="{3F7A6108-6308-4669-98E6-83242133AFE6}">
      <formula1>HU709</formula1>
      <formula2>73415</formula2>
    </dataValidation>
    <dataValidation type="date" allowBlank="1" showInputMessage="1" prompt="Planting Date End (dd/mm/yy)" sqref="HV710:HV711 HV698:HV699 HV704:HV705 HV722:HV723 HV728:HV729 HV734:HV735" xr:uid="{72802DD8-9D30-447A-9243-20564FEECAC7}">
      <formula1>HU699</formula1>
      <formula2>73415</formula2>
    </dataValidation>
    <dataValidation type="date" allowBlank="1" showInputMessage="1" prompt="Planting Date End (dd/mm/yy)" sqref="HV717" xr:uid="{4D8BE428-ADA1-4F14-A365-B453EB8F4785}">
      <formula1>HU719</formula1>
      <formula2>73415</formula2>
    </dataValidation>
    <dataValidation type="date" allowBlank="1" showInputMessage="1" prompt="Planting Date End (dd/mm/yy)" sqref="HV710" xr:uid="{BD4DDD60-1E38-46EE-8BFD-70CE17EFD5C6}">
      <formula1>HU715</formula1>
      <formula2>73415</formula2>
    </dataValidation>
    <dataValidation type="date" allowBlank="1" showInputMessage="1" prompt="Planting Date End (dd/mm/yy)" sqref="HV716" xr:uid="{67674A10-30DE-4483-AA73-10808A294813}">
      <formula1>HU708</formula1>
      <formula2>73415</formula2>
    </dataValidation>
    <dataValidation type="date" allowBlank="1" showInputMessage="1" prompt="Planting Date End (dd/mm/yy)" sqref="HV706:HV709 HV720:HV721 HV696:HV703 HV711:HV714 HV736:HV737 HV723:HV727 HV729:HV733" xr:uid="{3E5AD880-832C-4096-8B7C-0DFE99D589F2}">
      <formula1>#REF!</formula1>
      <formula2>73415</formula2>
    </dataValidation>
    <dataValidation type="date" allowBlank="1" showInputMessage="1" prompt="Planting Date End (dd/mm/yy)" sqref="HV699:HV701 HV711:HV713" xr:uid="{AD7FC47D-CEE4-4FEB-96F6-26DBC9C1E640}">
      <formula1>HU710</formula1>
      <formula2>73415</formula2>
    </dataValidation>
    <dataValidation type="whole"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PI696:PI737" xr:uid="{8A32E767-D22D-4594-8C6B-E1EC03F25E36}">
      <formula1>PH696</formula1>
      <formula2>2100</formula2>
    </dataValidation>
    <dataValidation type="decimal" operator="greaterThanOrEqual" allowBlank="1" showInputMessage="1" showErrorMessage="1" prompt="Upper limit for variation in suboutcome when  variation is reported as a confidence interval or interquartile range." sqref="OJ696:OJ737" xr:uid="{678AF17D-AE00-45AA-8DF7-EFDCB3ACA0BE}">
      <formula1>OI696</formula1>
    </dataValidation>
    <dataValidation allowBlank="1" showInputMessage="1" showErrorMessage="1" prompt="Detailed description of how the practice or sub-practice was implemented, including contextual or methodological qualifiers (e.g., frequency, intensity, timing, species used)." sqref="IP696:IP737 KJ870:KJ890 KI891:KJ912 IN891:IN912 HL870:HL912 IH894:IH895 NU894 NU897 IH897 NU899 IH899 NU901 IH901 NU891 IH891 HR870:HR890 IP786:IP912 IW913:IW930 II870:II930 HW913:HW930 BE696:BE953" xr:uid="{6C5CE572-A36F-4019-A58B-68566C7F16EC}"/>
    <dataValidation type="whole" errorStyle="warning" operator="greaterThanOrEqual" allowBlank="1" showInputMessage="1" showErrorMessage="1" prompt="(Days after Storage for Postharvest)" sqref="MU696:MU713 NB696:NB707 NB714:NB737 MU720:MU737 MW738:MW785 MV931:MV953 MT786:MT930" xr:uid="{A58D3C8D-B16F-4B39-B292-786E06E7F245}">
      <formula1>30</formula1>
    </dataValidation>
    <dataValidation type="whole" errorStyle="warning" operator="greaterThanOrEqual" allowBlank="1" showInputMessage="1" showErrorMessage="1" prompt="Harvest Days After Planting" sqref="MM696:MM737 MO738:MO785 MN931:MN953 ML786:ML930" xr:uid="{D3C63630-9965-4CE5-9E9E-AC6E9F8F72B1}">
      <formula1>30</formula1>
    </dataValidation>
    <dataValidation type="list" allowBlank="1" showInputMessage="1" showErrorMessage="1" prompt="Tree (plant species). Only required if a material comes from a tree or shrub" sqref="LK696:LK737" xr:uid="{C8F45FA8-D1CB-4808-9824-BA0FE8AD81D5}">
      <formula1>tree.latin.name</formula1>
    </dataValidation>
    <dataValidation allowBlank="1" showInputMessage="1" showErrorMessage="1" prompt="(Days after Storage for Postharvest)" sqref="MR696:MR737" xr:uid="{A9695EBD-C163-4809-AAEE-7A2FB7E6C705}"/>
    <dataValidation type="date" allowBlank="1" showInputMessage="1" showErrorMessage="1" prompt="(Storage Date Start for Postharvest)" sqref="MP696:MP737 MS696:MS737" xr:uid="{D3B159DA-72A9-49AC-93F8-123D46968D87}">
      <formula1>1</formula1>
      <formula2>73415</formula2>
    </dataValidation>
    <dataValidation type="date" allowBlank="1" showInputMessage="1" showErrorMessage="1" prompt="Harvest Date Start (dd/mm/yy)" sqref="MK696:MK737" xr:uid="{7757BD5D-25D2-4E72-BA9E-BDAD551E8CE5}">
      <formula1>1</formula1>
      <formula2>73415</formula2>
    </dataValidation>
    <dataValidation type="decimal" operator="greaterThanOrEqual" allowBlank="1" showInputMessage="1" showErrorMessage="1" prompt="Amount of Water Applied" sqref="MB696:MB737" xr:uid="{99F09F07-5AD3-462B-8A0F-BE0781791D20}">
      <formula1>0</formula1>
    </dataValidation>
    <dataValidation type="date" allowBlank="1" showInputMessage="1" showErrorMessage="1" prompt="Date Start of the irrigation" sqref="LY696:LY737" xr:uid="{6AE9F64B-A278-4C30-B25F-6AED12D47089}">
      <formula1>1</formula1>
      <formula2>73415</formula2>
    </dataValidation>
    <dataValidation type="decimal" operator="greaterThanOrEqual" allowBlank="1" showInputMessage="1" showErrorMessage="1" prompt="Amount Applied. Captures the total amount of pH-altering material applied" sqref="LU696:LU737" xr:uid="{DFD057EE-A253-48B7-B1FB-B5D8DB250CDF}">
      <formula1>0</formula1>
    </dataValidation>
    <dataValidation type="decimal" operator="greaterThanOrEqual" allowBlank="1" showInputMessage="1" showErrorMessage="1" prompt="Amount of material applied in the study_x000a__x000a_Should be 0 or higher" sqref="LP696:LP737" xr:uid="{4DB8CDD5-876D-4107-9CEA-DD8372035772}">
      <formula1>0</formula1>
    </dataValidation>
    <dataValidation type="decimal" operator="greaterThanOrEqual" allowBlank="1" showInputMessage="1" prompt="Indicates the total amount of elemental potassium (K) from non-composted organic materials_x000a__x000a_Should be 0 or higher" sqref="LJ696:LJ737" xr:uid="{5A0AF824-3CB9-45E6-821B-5EE71CDA4349}">
      <formula1>0</formula1>
    </dataValidation>
    <dataValidation type="decimal" operator="greaterThanOrEqual" allowBlank="1" showInputMessage="1" prompt="Specifies the total amount of elemental phosphorus (P) from non-composted organic materials_x000a__x000a_Should be 0 or higher" sqref="LI696:LI737" xr:uid="{EBF4AF4B-84CC-45E8-9202-A0F641F3E9D4}">
      <formula1>0</formula1>
    </dataValidation>
    <dataValidation type="decimal" operator="greaterThanOrEqual" allowBlank="1" showInputMessage="1" prompt="Represents the total amount of elemental nitrogen (N) added from non-composted organic materials_x000a__x000a_Should be 0 or higher" sqref="LG696:LH737" xr:uid="{D38BEB1B-7575-4CFC-97FD-A65CE30437C5}">
      <formula1>0</formula1>
    </dataValidation>
    <dataValidation type="decimal" operator="greaterThanOrEqual" allowBlank="1" showInputMessage="1" showErrorMessage="1" prompt="Chemical amount applied_x000a__x000a_Should be 0 or higher" sqref="KW696:KW737" xr:uid="{B4CCA720-F4E0-4CF8-ADE9-2077D4F7EF8C}">
      <formula1>0</formula1>
    </dataValidation>
    <dataValidation allowBlank="1" showInputMessage="1" showErrorMessage="1" prompt="Complete with an easy to recognize name for the intercropping practice, you will use this name to reference it when building treatments later in the extraction process. Avoid using special characters." sqref="IK696:IK737" xr:uid="{52D09BE0-9D77-46D8-B905-14C5230D2F37}"/>
    <dataValidation allowBlank="1" showInputMessage="1" showErrorMessage="1" prompt="Unit for the planting density" sqref="BT708 BO717 BT711 BO711 BT714 BT717 BT696 BO699 BT699 BT702 BO705 BT705 BT723 BT720 BO723 BO729 BT729 BO735 BT735 BT726 BT732" xr:uid="{A5A70082-4F06-4501-ACDB-B0F1DBE48663}"/>
    <dataValidation type="decimal" operator="greaterThanOrEqual" allowBlank="1" showInputMessage="1" prompt="Numerical value of crop planting density corresponding to the selected crop and density unit._x000a__x000a_Should be greater than 0" sqref="BU710 BU719 BU713 BU716 BU701 BU698 BU707 BU704 BU722 BU725 BU731 BU728 BU737 BU734 BK696:BK737" xr:uid="{B8E8F3E4-DB59-4370-BD38-3063A80CEC54}">
      <formula1>0</formula1>
    </dataValidation>
    <dataValidation type="list" allowBlank="1" showInputMessage="1" showErrorMessage="1" prompt="Commercial or local name of the crop variety associated with the selected crop (e.g., Katumani, G2333, Maasai Red). Do not include the crop species name in this field." sqref="BS717:BS718 BS711:BS712 BS699:BS700 BS705:BS706 BS723:BS724 BS729:BS730 BS735:BS736 BN696:BN737" xr:uid="{8DCC7D76-F5D7-462B-8791-BD8BDD2D3FEC}">
      <formula1>INDIRECT(#REF!)</formula1>
    </dataValidation>
    <dataValidation type="decimal" operator="greaterThan" allowBlank="1" showInputMessage="1" showErrorMessage="1" prompt="Numerical value of crop planting density corresponding to the selected crop and density unit._x000a__x000a_Should be greater than 0" sqref="BU708:BU709 BU717:BU718 BU711:BU712 BU714:BU715 BU696:BU697 BU699:BU700 BU702:BU703 BU705:BU706 BU723:BU724 BU720:BU721 BU729:BU730 BU735:BU736 BU726:BU727 BU732:BU733" xr:uid="{1781FBC4-5151-4886-ADB8-353DE3E29FF4}">
      <formula1>0</formula1>
    </dataValidation>
    <dataValidation type="whole" operator="greaterThanOrEqual" allowBlank="1" showInputMessage="1" showErrorMessage="1" prompt="This only required for temporally aggregated observations in areas with more than one growing season" sqref="OZ696:OZ714 PF696:PF737 OZ720:OZ737" xr:uid="{F690D0BD-2BB2-44C0-BBD1-910385AF7B43}">
      <formula1>1</formula1>
    </dataValidation>
    <dataValidation type="decimal" allowBlank="1" showInputMessage="1" showErrorMessage="1" prompt="The calendar year the measurement was taken. Seasons in multi-season systems are identified by decimals ‘.1’ or ‘.2’ for the first and second season respectively." sqref="OV696:OV714 PG696:PG737 OV720:OV737" xr:uid="{130544E3-F830-4995-8A22-8A6F49D2EF5E}">
      <formula1>1900</formula1>
      <formula2>2100</formula2>
    </dataValidation>
    <dataValidation type="decimal" operator="greaterThanOrEqual" allowBlank="1" showInputMessage="1" showErrorMessage="1" prompt="Lower limit for variation in suboutcome when variation is reported as a confidence interval or interquartile range." sqref="OA696:OA714 OI696:OI737 OA720:OA737" xr:uid="{0A927FD2-7848-4386-AA67-43134CB32FD0}">
      <formula1>-9.99999999999999E+40</formula1>
    </dataValidation>
    <dataValidation type="decimal" errorStyle="warning" allowBlank="1" showInputMessage="1" showErrorMessage="1" prompt="Duration (Days). Use with Weight Gain subindicator." sqref="NU696:NU714 OC696:OC737 NU720:NU869 NW931:NW953 NU877:NU930" xr:uid="{972C53E5-DCEA-4D61-8C79-EE6BF5636CC5}">
      <formula1>0</formula1>
      <formula2>1000</formula2>
    </dataValidation>
    <dataValidation type="decimal" allowBlank="1" showInputMessage="1" showErrorMessage="1" prompt="Economic Period (Years). Use with Net Present Value (NPV) outcome or similar only." sqref="NR696:NR714 NR720:NR737" xr:uid="{162060A2-6B51-40AC-AB23-D6580C166740}">
      <formula1>0</formula1>
      <formula2>100</formula2>
    </dataValidation>
    <dataValidation allowBlank="1" showInputMessage="1" showErrorMessage="1" prompt="Description of the suboutcome as reported in the primary study or systematic synthesis. Record sufficient detail to clearly identify what was measured and how it was defined." sqref="NT696:NT737 NN732:NN737 NL696:NL737" xr:uid="{F0237DDF-2D1D-4FD5-BF4D-0FFC7405943A}"/>
    <dataValidation allowBlank="1" showInputMessage="1" showErrorMessage="1" prompt="Suboutcome or component of the outcome as reported (e.g., “yield per plot”, “gross margin”, “labour cost”, “aboveground biomass”). Use when the study reports multiple components under a broader outcome." sqref="NK696:NK714 NS696:NS737 NK720:NK737" xr:uid="{4ABF23C3-1972-48FC-9F16-83ECE95BE89A}"/>
    <dataValidation allowBlank="1" showInputMessage="1" showErrorMessage="1" prompt="For biodiversity outcomes, specify the functional group related to taxa assessed, if specified in the article" sqref="NH696:NH714 NP696:NP737 NH720:NH737" xr:uid="{31BBDB12-5C7B-4E3D-8ED5-F9B52A87DC26}"/>
    <dataValidation allowBlank="1" showInputMessage="1" showErrorMessage="1" prompt="taxa details, output from economic indictors" sqref="NB708:NB713" xr:uid="{A7258842-DF74-4BDD-B88F-3FBD61A513DB}"/>
    <dataValidation allowBlank="1" showInputMessage="1" showErrorMessage="1" prompt="The location in the paper where the data can be found. This should be three letters (fig, tab, or txt) in lowercase and a number (for figures and tables) to signify figure, table or text, respectively." sqref="PB696:PB737 OT696:OT737" xr:uid="{6F282F2A-A1ED-4F35-B03E-C239E9995BDA}"/>
    <dataValidation allowBlank="1" showInputMessage="1" showErrorMessage="1" prompt="Comparison Treatment (e.g. for LER or fertilizer use efficiency outcomes)" sqref="NV709:NV713 NV715:NV719 NV697:NV701 NV703:NV707 OD696:OD737 NV721:NV725 NV727:NV731 NV733:NV737" xr:uid="{7D0CA704-55B6-49D8-979C-5EB398A03875}"/>
    <dataValidation type="whole" operator="greaterThanOrEqual" allowBlank="1" showInputMessage="1" showErrorMessage="1" prompt="Leave blank where there is only one growing season per year or no seasonal information is presented with the data. Code the season in order 1,2,etc. Determine the season sequence by harvest year. " sqref="OY696:OY714 PJ696:PJ737 OY720:OY737" xr:uid="{4FA79F19-EFA1-447A-9150-AB7E6B46720B}">
      <formula1>1</formula1>
    </dataValidation>
    <dataValidation type="whole"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OW696:OW714 PH696:PH737 OW720:OW737" xr:uid="{858A8DFD-D452-47BB-83C3-562C8259C1F2}">
      <formula1>1900</formula1>
      <formula2>2100</formula2>
    </dataValidation>
    <dataValidation type="whole" operator="greaterThanOrEqual" allowBlank="1" showInputMessage="1" prompt="Number of independent sampling units on which the sub-outcome estimate is based for this specific practice. " sqref="OK696:OK737 OC696:OC737" xr:uid="{4CFE3541-CC79-4B2A-9DD5-9CBDCE93D8C5}">
      <formula1>0</formula1>
    </dataValidation>
    <dataValidation type="decimal" errorStyle="warning" operator="greaterThanOrEqual" allowBlank="1" showInputMessage="1" showErrorMessage="1" prompt="Value measure of dispersion when variation is reported as standard deviation or standard error" sqref="OH696:OH737 NZ738:NZ785 OB931:OB953 NZ798:NZ930" xr:uid="{DABF99E2-D6FA-4A54-8B17-B4C5C1702490}">
      <formula1>0</formula1>
    </dataValidation>
    <dataValidation type="decimal" operator="greaterThanOrEqual" allowBlank="1" showInputMessage="1" showErrorMessage="1" prompt="Numerical value corresponding to the reported central tendency of the sub-outcome." sqref="OF696:OF737" xr:uid="{FD7DA69C-0181-4ECD-A134-171901329DF2}">
      <formula1>-9.99999999999999E+30</formula1>
    </dataValidation>
    <dataValidation allowBlank="1" showInputMessage="1" showErrorMessage="1" prompt="Mean Starting Weight. Use with Weight Gain subindicator. You may take the average across all treatments if the starting weights are similar and the difference between them is small relative to the total change in wieght." sqref="NT696:NT714 OB696:OB737 NT720:NT737" xr:uid="{13970D69-04CD-473C-B31E-FBEBA2AD71D0}"/>
    <dataValidation type="decimal" operator="greaterThanOrEqual" allowBlank="1" showInputMessage="1" showErrorMessage="1" prompt="Starting Weight Unit. Use with Weight Gain subindicator." sqref="NS696:NS714 OA696:OA737 NS720:NS737" xr:uid="{A45C00BF-BCA2-404B-B67D-4DC4364C294D}">
      <formula1>0</formula1>
    </dataValidation>
    <dataValidation type="decimal" allowBlank="1" showInputMessage="1" showErrorMessage="1" prompt="Economic Discount Rate (%). Typically associated with calculations of Net Present Value (NPV)." sqref="NQ696:NQ714 NQ720:NQ737" xr:uid="{6DDDB0F5-E264-443E-AE4E-7CFC504B72DD}">
      <formula1>0</formula1>
      <formula2>100</formula2>
    </dataValidation>
    <dataValidation type="decimal" errorStyle="warning" allowBlank="1" showInputMessage="1" showErrorMessage="1" prompt="Soil outcome depths (cm) upper. Upper depth of measurement (cm) for soil outcomes" sqref="NP696:NP714 NR931:NR953 NP720:NP930" xr:uid="{65C4F02E-B8F6-440E-91C6-3CB7B0DAE2B8}">
      <formula1>0</formula1>
      <formula2>200</formula2>
    </dataValidation>
    <dataValidation type="decimal" errorStyle="warning" allowBlank="1" showInputMessage="1" showErrorMessage="1" prompt="Soil outcome depths (cm) lower. Lower depth of measurement (cm) for soil outcomes" sqref="NO696:NO714 NQ931:NQ953 NO720:NO930" xr:uid="{97784F19-CA3B-4BCD-9A3C-9761ECBDA5CC}">
      <formula1>0</formula1>
      <formula2>200</formula2>
    </dataValidation>
    <dataValidation allowBlank="1" showInputMessage="1" showErrorMessage="1" prompt="Complete with an easy to recognize name for the practice, you will use this name to reference it when building treatments later in the extraction process. Avoid using special characters." sqref="MV696:MV714 MV720:MV737 MZ696:MZ737 MH696:MI737 KZ696:LD737 KX696:KX737 LV696:LW737 MN696:MN737 LQ696:LQ737" xr:uid="{44DAC701-B1FB-4E82-8F80-F5588F8C1C25}"/>
    <dataValidation errorStyle="warning" allowBlank="1" showInputMessage="1" showErrorMessage="1" prompt="Manual estimation (e.g. from measuring on google earth) in m of the spatial uncertainty for a point location. The site should within an X m radius (the buffer.manual amount) of the point location specified. Unit is meters" sqref="HN719:HQ719 HN710:HQ710 HN713:HQ713 HN716:HQ716 HN701:HQ701 HN698:HQ698 HN707:HQ707 HN704:HQ704 HN722:HQ722 HN725:HQ725 HN731:HQ731 HN728:HQ728 HN737:HQ737 HN734:HQ734 BJ913:BK930 BN913:BP916 BN917:BO918 BN919:BP922 BN923:BO924 BN925:BP928 BN929:BO930 AU738:AU953 K696:K953 T738:T953 AC738:AC953 AL738:AL953" xr:uid="{379E589B-57F3-49A2-88F1-3C8DC9E15B8E}"/>
    <dataValidation type="decimal" errorStyle="warning" operator="greaterThanOrEqual" allowBlank="1" showInputMessage="1" showErrorMessage="1" prompt="Numerical value corresponding to the reported central tendency of the sub-outcome." sqref="NZ931:NZ953 NX696:NX930" xr:uid="{DC0BD332-B7AE-42ED-9CA6-11E52B7C2AAB}">
      <formula1>-9.99999999999999E+30</formula1>
    </dataValidation>
    <dataValidation type="decimal" errorStyle="warning" operator="greaterThanOrEqual" allowBlank="1" showInputMessage="1" prompt="Numerical value of crop planting density corresponding to the selected crop and density unit._x000a__x000a_Should be greater than 0" sqref="BZ718 BZ712 BZ714:BZ715 CE714:CE716 CE696:CE698 BZ696:BZ697 BZ700 CE702:CE704 BZ702:BZ703 BZ706 CE708:CE710 BZ708:BZ709 CE720:CE722 BZ720:BZ721 BZ724 CE726:CE728 BZ726:BZ727 BZ730 CE732:CE734 BZ732:BZ733 BZ736 BK931:BK953 BK901:BK907 BU895:BU897 BU873:BU874 BJ876 BU871 BZ872:BZ873 BZ879:BZ880 BU880:BU881 BJ883 BU878 BP881:BP883 BZ882:BZ883 BT883:BU883 BZ886:BZ887 BU887:BU888 BJ890 BU885 BZ875:BZ876 BP874:BP876 BT876:BU876 BP888:BP890 BZ889:BZ890 BT890:BU890 BZ893:BZ896 BJ901 BZ898:BZ901 BT900:BU901 BP897:BP901 BU906:BU908 BZ904:BZ907 BT911:BT912 CE873:CE878 BK876:BK880 BK883:BK887 CE880:CE885 BK890:BK896 CE887:CE892 CE895:CE903 BP738:BP869 BZ738:BZ869 BU738:BU869 CE738:CE871 BK738:BK873 BJ912:BK912 BP908:BP912 BP929:BP953 BP923:BP924 BP917:BP918 CT738:CT953 CO738:CO953 CJ738:CJ953 CY738:CY953 EC738:EC953 DX738:DX953 DS738:DS953 DN738:DN953 DI738:DI953 DD738:DD953 CE906:CE953 BZ909:BZ953 BU911:BU953" xr:uid="{96C276CB-AD8F-45F6-9B99-A55F837ED4BD}">
      <formula1>0</formula1>
    </dataValidation>
    <dataValidation type="list" errorStyle="warning" allowBlank="1" showInputMessage="1" showErrorMessage="1" prompt="Commercial or local name of the crop variety associated with the selected crop (e.g., Katumani, G2333, Maasai Red). Do not include the crop species name in this field." sqref="BX712:BX716 BS713:BS716 CC714:CC716 BX696:BX698 CC696:CC698 BS696:BS698 CC702:CC704 CC708:CC710 BS707:BS710 BX706:BX710 BX700:BX704 BS701:BS704 CC720:CC722 BS725:BS728 BX724:BX728 BX718:BX722 BS719:BS722 CC726:CC728 BS731:BS734 BX730:BX734 CC732:CC734 BY908:BZ908 BY874:BZ874 BY881:BZ881 BY888:BZ888 BY897:BZ897 DG931:DG953 DL931:DL953 DQ931:DQ953 DV931:DV953 EA931:EA953 BN931:BN953 BS931:BS953 BX931:BX953 CC931:CC953 CH931:CH953 CM931:CM953 CR931:CR953 CW931:CW953 BI931:BI953 DB931:DB953 DB738:DB912 DG738:DG912 DL738:DL912 DQ738:DQ912 DV738:DV912 EA738:EA912 BN738:BN912 BS737:BS912 BX736:BX912 CC738:CC912 CH738:CH912 CM738:CM912 CR738:CR912 CW738:CW912 BI738:BI912" xr:uid="{9EA5A42B-0383-4F9F-A3D5-67B9E24279FA}">
      <formula1>INDIRECT(BH696)</formula1>
    </dataValidation>
    <dataValidation type="list" errorStyle="warning" allowBlank="1" showInputMessage="1" showErrorMessage="1" prompt="Name of crop species including in the practice, first letter of name capitilized and the rest lowercase. Use common names of species. See crop lists in 01_crops$crop_names in 01_FOMD_ontologoies file." sqref="BW718 BW712 BW714:BW716 CB714:CB716 CB696:CB698 BW696:BW698 BW700 CB702:CB704 BW702:BW704 BW706 CB708:CB710 BW708:BW710 CB720:CB722 BW720:BW722 BW724 CB726:CB728 BW726:BW728 BW730 CB732:CB734 BW732:BW734 BW736 BH738:BH953 CV738:CV953 CQ738:CQ953 CL738:CL953 CG738:CG953 CB738:CB953 BW738:BW953 BR738:BR953 BM738:BM953 DZ738:DZ953 DU738:DU953 DP738:DP953 DK738:DK953 DF738:DF953 DA738:DA953" xr:uid="{5776455A-EDFA-43CD-96E3-3FF19DBFA92C}">
      <formula1>CropList</formula1>
    </dataValidation>
    <dataValidation errorStyle="warning" allowBlank="1" showInputMessage="1" showErrorMessage="1" prompt="Complete with an easy to recognize name for the practice, you will use this name to reference it when building treatments later in the extraction process. Avoid using special characters." sqref="MD696:MD737 LS738:LS785 LY738:LY785 MP738:MP785 MK738:MK785 MX738:MX785 MF738:MF785 KZ738:KZ785 MW931:MW953 MJ931:MJ953 MO931:MO953 LX931:LX953 LR931:LR953 KY931:KY953 ME931:ME953 MC786:MC930 MU786:MU930 MH786:MH930 MM786:MM930 LU786:LU930 LP786:LP930 KW786:KW930" xr:uid="{2ADF129A-42B7-4649-B2C6-67EB5D162EE7}"/>
    <dataValidation type="decimal" errorStyle="warning" operator="greaterThanOrEqual" allowBlank="1" showInputMessage="1" showErrorMessage="1" prompt="Chemical amount applied_x000a__x000a_Should be 0 or higher" sqref="KV715:KV719 KV709:KV713 KV697:KV701 KV703:KV707 KV721:KV725 KV727:KV731 KR696:KR737 KN696:KN737 KV733:KV737 KU738:KU785 KY738:KY785 KQ738:KQ785 KV786:KV890 KP931:KP953 KX931:KX953 KT931:KT953 KR786:KR930 KN786:KN930 KV902:KV930" xr:uid="{08A5FBF5-74A4-4FC4-BBED-40B4011AF147}">
      <formula1>0</formula1>
    </dataValidation>
    <dataValidation type="decimal" errorStyle="warning" operator="greaterThanOrEqual" allowBlank="1" showInputMessage="1" showErrorMessage="1" prompt="Total elemental potassium applied from organic sources (e.g., compost, manure, biosolid)." sqref="KD696:KD737 KG738:KG785 KF931:KF953 KD786:KD930" xr:uid="{8D098A69-D60C-45D6-89B0-C4CD9EC3146D}">
      <formula1>0</formula1>
    </dataValidation>
    <dataValidation type="decimal" errorStyle="warning" operator="greaterThanOrEqual" allowBlank="1" showInputMessage="1" showErrorMessage="1" prompt="Total elemental phosphorus applied from organic sources (e.g., compost, manure, biosolid)." sqref="KC696:KC737 KF738:KF785 KE931:KE953 KC786:KC930" xr:uid="{1EF807BE-0B32-4973-B436-953EAD5574C2}">
      <formula1>0</formula1>
    </dataValidation>
    <dataValidation type="decimal" errorStyle="warning" operator="greaterThanOrEqual" allowBlank="1" showInputMessage="1" showErrorMessage="1" prompt="Total elemental nitrogen applied  from organic sources (e.g., compost, manure, biosolid)." sqref="KB696:KB737 KE738:KE785 KD931:KD953 KB786:KB930" xr:uid="{7064F0BB-9D00-4B8F-8120-92D4E8C978C7}">
      <formula1>0</formula1>
    </dataValidation>
    <dataValidation errorStyle="warning" allowBlank="1" showInputMessage="1" showErrorMessage="1" prompt="Total elemental nitrogen, phosphorus, and potassium applied from inorganic sources (e.g., urea or DAP)." sqref="JP696:JP737 JS738:JS785 JR931:JR953 JP786:JP930" xr:uid="{45B2C002-BEE9-4C8E-ABA7-643F2B816EA8}"/>
    <dataValidation errorStyle="warning" allowBlank="1" showInputMessage="1" showErrorMessage="1" prompt="Complete with an easy to recognize name for the chemical practice, you will use this name to reference it when building treatments later in the extraction process. Avoid using special characters." sqref="KJ696:KJ737 KQ889:KQ912 KJ786:KJ869 KQ870:KQ873 KQ875:KQ880 KQ882:KQ887 KM870:KM912 KM738:KM785 KL931:KL953 KJ913:KJ930" xr:uid="{9D619487-3A7C-432D-A6C1-EF131C351499}"/>
    <dataValidation type="decimal" errorStyle="warning" operator="greaterThanOrEqual" allowBlank="1" showInputMessage="1" showErrorMessage="1" prompt="Total potassium applied from inorganic sources presented as potassium oxide (K2O)." sqref="JV696:JV737 JY738:JY785 JX931:JX953 JV786:JV930" xr:uid="{ED29816C-8ABC-4F53-A114-161FEABC5854}">
      <formula1>0</formula1>
    </dataValidation>
    <dataValidation type="decimal" errorStyle="warning" operator="greaterThanOrEqual" allowBlank="1" showInputMessage="1" showErrorMessage="1" prompt="Total phosphorus applied from inorganic sources presented as phosphorus pentoxide (P2O5) ." sqref="JU696:JU737 JX738:JX785 JW931:JW953 JU786:JU930" xr:uid="{844D7B68-E095-4301-B7D4-7D2EFB96AE13}">
      <formula1>0</formula1>
    </dataValidation>
    <dataValidation type="decimal" errorStyle="warning" operator="greaterThanOrEqual" allowBlank="1" showInputMessage="1" showErrorMessage="1" prompt="Total elemental potassium applied from inorganic sources (e.g., potassium chloride or monopotassium phosphate)." sqref="JT696:JT737 JW738:JW785 JV931:JV953 JT786:JT930" xr:uid="{CF545502-CE19-497D-808D-19BCB0B160B0}">
      <formula1>0</formula1>
    </dataValidation>
    <dataValidation type="decimal" errorStyle="warning" operator="greaterThanOrEqual" allowBlank="1" showInputMessage="1" showErrorMessage="1" prompt="Total elemental phosphorus applied from inorganic sources (e.g., rock phosphate or DAP)." sqref="JS696:JS737 JV738:JV785 JU931:JU953 JS786:JS930" xr:uid="{0C931CEA-F98A-40F6-9EA6-34107BA7EB3D}">
      <formula1>0</formula1>
    </dataValidation>
    <dataValidation type="decimal" errorStyle="warning" operator="greaterThanOrEqual" allowBlank="1" showInputMessage="1" showErrorMessage="1" prompt="Total elemental nitrogen applied from inorganic sources (e.g., urea or DAP)." sqref="JR696:JR737 JU738:JU785 JT931:JT953 JR786:JR930" xr:uid="{69BC6470-935C-4FBD-B7B1-1BEE13192422}">
      <formula1>0</formula1>
    </dataValidation>
    <dataValidation errorStyle="warning" allowBlank="1" showInputMessage="1" showErrorMessage="1" prompt="Comparison Treatment (e.g. for LER or fertilizer use efficiency outcomes)" sqref="NV708 NV714 NV696 NV702 NV720 NV726 NV732 NV738:NV912 NY870:NY912 NX931:NX953" xr:uid="{ACAD9BE5-6552-40B6-9B24-CD45A23DF439}"/>
    <dataValidation type="decimal" errorStyle="warning" operator="greaterThanOrEqual" allowBlank="1" showInputMessage="1" showErrorMessage="1" prompt="Total elemental nitrogen, phosphorus, and potassium applied from organic sources (e.g., compost, manure, biosolid)." sqref="JZ696:JZ737 KC738:KC785 KB931:KB953 JZ786:JZ930" xr:uid="{851566FF-5E32-43FD-9F9A-030368D6F749}">
      <formula1>0</formula1>
    </dataValidation>
    <dataValidation type="list" errorStyle="warning" allowBlank="1" showInputMessage="1" prompt="Please use active ingredient name over trade-name of product, unless the  product contains multiple active ingredients then it is acceptible to use the product name." sqref="KL696:KL737 KL858:KL859 KL866:KL867 KL862:KL863 KL854:KL855 KL850:KL851 KL846:KL847 KL842:KL843 KL834:KL835 KL838:KL839 KL830:KL831 KL798:KL799 KL802:KL803 KL806:KL807 KL786:KL787 KL790:KL791 KL794:KL795 KL810:KL811 KL814:KL815 KL818:KL819 KL826:KL827 KL822:KL823 KL870:KL930" xr:uid="{88032B93-22E8-403C-8B6B-279D09F349AC}">
      <formula1>INDIRECT($KK696)</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P696:KP737 KP897:KP906 KP786:KP895 KP908:KP930" xr:uid="{3CD53C5B-522D-4226-89B3-AB76015D25BA}">
      <formula1>INDIRECT($KO696)</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T715:KT719 KT703:KT707 KT697:KT701 KT721:KT725 KT727:KT731 KT709:KT713 KT733:KT737 KT786:KT930" xr:uid="{904D3E84-FDEA-471C-B435-EAB1F538C9BA}">
      <formula1>INDIRECT($KS697)</formula1>
    </dataValidation>
    <dataValidation type="list" errorStyle="warning" allowBlank="1" showInputMessage="1" showErrorMessage="1" prompt="Name of the organic fertilizer" sqref="JX696:JX737 JX786:JX930" xr:uid="{9F10E940-C9EC-4782-9963-59C53D2DD0FD}">
      <formula1>INDIRECT($JW696)</formula1>
    </dataValidation>
    <dataValidation errorStyle="warning" allowBlank="1" showInputMessage="1" showErrorMessage="1" prompt="Unit used to report elemental nutrient quantities (N, P, K) applied from inorganic fertilizers. Try to record kg/ha" sqref="JQ786:JQ901 JT738:JT785 JS931:JS953 JQ913:JQ930" xr:uid="{A4480792-41D8-4C37-9ECB-39743622C1FC}"/>
    <dataValidation type="date" errorStyle="warning" allowBlank="1" showInputMessage="1" prompt="Planting Date End (dd/mm/yy)" sqref="HU810:HU812 HU814:HU816 HU786:HU788 HU790:HU792 HU798:HU800 HU802:HU804 HU806:HU808 HU822:HU824 HU826:HU828 HU834:HU836 HU838:HU840 HU818:HU820 HU846:HU848 HU850:HU852 HU830:HU832 HU842:HU844 HU858:HU860 HU862:HU864 HU854:HU856 HU866:HU868 HV738:HV761 HU794:HU796 HV776:HV869 HV926:HV930 HV919:HV921 HV913:HV915 HV923:HV924" xr:uid="{2664DCAE-A741-45A6-BC15-25F6632EA624}">
      <formula1>HT741</formula1>
      <formula2>73415</formula2>
    </dataValidation>
    <dataValidation errorStyle="warning" allowBlank="1" showInputMessage="1" showErrorMessage="1" prompt="For biodiversity outcomes, specify the functional group related to taxa assessed, if specified in the article" sqref="NJ931:NJ953 NH738:NH930 NK913:NK930" xr:uid="{D120839F-B8EC-4F25-BC58-B4AE66529314}"/>
    <dataValidation type="decimal" errorStyle="warning" operator="greaterThanOrEqual" allowBlank="1" showInputMessage="1" showErrorMessage="1" prompt="Lower limit for variation in suboutcome when variation is reported as a confidence interval or interquartile range." sqref="OC931:OC953 OA738:OA930" xr:uid="{2C7510C8-0201-4CB6-A479-7A54DF46D318}">
      <formula1>-9.99999999999999E+40</formula1>
    </dataValidation>
    <dataValidation type="date" errorStyle="warning" allowBlank="1" showInputMessage="1" showErrorMessage="1" prompt="(Storage Date End for Postharvest)" sqref="MV738:MV785 MU931:MU953 MS786:MS930" xr:uid="{6E6D16CE-A034-41FE-A2F1-581775882B16}">
      <formula1>MR738</formula1>
      <formula2>73415</formula2>
    </dataValidation>
    <dataValidation type="date" errorStyle="warning" allowBlank="1" showInputMessage="1" showErrorMessage="1" prompt="(Storage Date Start for Postharvest)" sqref="MU738:MU785 MT931:MT953 MR786:MR930" xr:uid="{090766B9-4888-4E7E-AE3A-1EE7AAA611ED}">
      <formula1>1</formula1>
      <formula2>73415</formula2>
    </dataValidation>
    <dataValidation type="date" errorStyle="warning" operator="greaterThanOrEqual" allowBlank="1" showInputMessage="1" showErrorMessage="1" prompt="Harvest Date End (dd/mm/yy)" sqref="MN738:MN785 MM931:MM953 MK786:MK930" xr:uid="{3765FBC2-A97D-45D3-9866-855C1103893B}">
      <formula1>MJ738</formula1>
    </dataValidation>
    <dataValidation type="date" errorStyle="warning" allowBlank="1" showInputMessage="1" showErrorMessage="1" prompt="Harvest Date Start (dd/mm/yy)" sqref="MM738:MM785 ML931:ML953 MJ786:MJ930" xr:uid="{4EC3F1B7-3066-4352-B777-B28852D6D2CD}">
      <formula1>1</formula1>
      <formula2>73415</formula2>
    </dataValidation>
    <dataValidation type="list" errorStyle="warning" allowBlank="1" showInputMessage="1" showErrorMessage="1" prompt="Tree (plant species). Only required if a material comes from a tree or shrub" sqref="LM738:LM785 LL931:LL953 LJ786:LJ930" xr:uid="{EA15D598-2388-47BF-8949-0434FDD6192F}">
      <formula1>tree.latin.name</formula1>
    </dataValidation>
    <dataValidation errorStyle="warning" allowBlank="1" showInputMessage="1" showErrorMessage="1" prompt="Name of the agroforestry practice. This dimension captures whether trees are part of a rotation." sqref="JA786:JA869 IZ870:IZ912 JB738:JB785 JA931:JA953" xr:uid="{7C5AE310-7106-444C-BCE9-5481CE7A75A0}"/>
    <dataValidation type="decimal" errorStyle="warning" operator="greaterThanOrEqual" allowBlank="1" showInputMessage="1" showErrorMessage="1" prompt="Amount of Water Applied" sqref="MD738:MD785 MC931:MC953 MA786:MA930" xr:uid="{BF334BF7-3EE4-4511-A238-B4ADB7E913FF}">
      <formula1>0</formula1>
    </dataValidation>
    <dataValidation type="date" errorStyle="warning" operator="greaterThanOrEqual" allowBlank="1" showInputMessage="1" showErrorMessage="1" prompt="Date End of the irrigation" sqref="MB738:MB785 MA931:MA953 LY786:LY930" xr:uid="{C0FF830C-DBB5-44F0-AECB-F626ACCD0DF7}">
      <formula1>LX738</formula1>
    </dataValidation>
    <dataValidation type="date" errorStyle="warning" allowBlank="1" showInputMessage="1" showErrorMessage="1" prompt="Date Start of the irrigation" sqref="MA738:MA785 LZ931:LZ953 LX786:LX930" xr:uid="{EA303D7C-BCBD-4C7C-95E1-999A9B86B98F}">
      <formula1>1</formula1>
      <formula2>73415</formula2>
    </dataValidation>
    <dataValidation errorStyle="warning" allowBlank="1" showInputMessage="1" showErrorMessage="1" prompt="Complete with an easy to recognize name for the planting method, you will use this name to reference it when building treatments later in the extraction process. Avoid using special characters." sqref="HR738:HR869 HR891:HR953" xr:uid="{480073FF-0396-4C60-BFF3-DA59B2DBCCBE}"/>
    <dataValidation errorStyle="warning" allowBlank="1" showInputMessage="1" showErrorMessage="1" prompt="Complete with an easy to recognize name for the tillage practice, you will use this name to reference it when building treatments later in the extraction process. Avoid using special characters." sqref="HL738:HL869 HL913:HL953" xr:uid="{1FC2832B-DEC8-4C4B-BC06-9A649EDC84F9}"/>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PB870:PB912 OT738:OT869 OV919:OV953 OT923:OT924 OW913:OW918" xr:uid="{6CBC2DCB-1949-498C-B83D-D3AAA64E9968}"/>
    <dataValidation type="decimal" errorStyle="warning" operator="greaterThanOrEqual" allowBlank="1" showInputMessage="1" showErrorMessage="1" prompt="Amount Applied. Captures the total amount of pH-altering material applied" sqref="LX738:LX785 LV931:LW953 LT786:LT930" xr:uid="{C75796F6-F91D-44E3-80E9-A370CDF23DD5}">
      <formula1>0</formula1>
    </dataValidation>
    <dataValidation type="decimal" errorStyle="warning" operator="greaterThanOrEqual" allowBlank="1" showInputMessage="1" showErrorMessage="1" prompt="Amount of material applied in the study_x000a__x000a_Should be 0 or higher" sqref="LR738:LR785 LQ931:LQ953 LO786:LO930" xr:uid="{B5694E3F-3C3E-40CC-B64B-FDE812FE4FE2}">
      <formula1>0</formula1>
    </dataValidation>
    <dataValidation type="whole" errorStyle="warning" allowBlank="1" showInputMessage="1" prompt="The start year of the crop rotation practice" sqref="IV738:IV785 IU931:IU953 IT786:IT930" xr:uid="{606B2F91-39D3-45A2-93B2-FB401B82068E}">
      <formula1>1900</formula1>
      <formula2>2100</formula2>
    </dataValidation>
    <dataValidation errorStyle="warning" allowBlank="1" showInputMessage="1" showErrorMessage="1" prompt="Intercropping start season" sqref="IO786:IO869 IN870:IN890 IN738:IN785 IO931:IO953 IN913:IN930" xr:uid="{EF1FEA8E-9687-4E66-A6F7-07F07C389092}"/>
    <dataValidation type="whole" errorStyle="warning" allowBlank="1" showInputMessage="1" showErrorMessage="1" prompt="Intercropping start year" sqref="IN786:IN869 IM738:IM785 IN931:IN953 IM870:IM930" xr:uid="{8B15CD11-F226-4E46-9913-3B7216F1657B}">
      <formula1>1900</formula1>
      <formula2>2100</formula2>
    </dataValidation>
    <dataValidation errorStyle="warning" allowBlank="1" showInputMessage="1" showErrorMessage="1" prompt="Complete with an easy to recognize name for the intercropping practice, you will use this name to reference it when building treatments later in the extraction process. Avoid using special characters." sqref="IJ786:IJ869 II738:II785 IR738:IR785 IP786:IP869 IJ931:IJ953 IQ931:IQ953 IP913:IP930" xr:uid="{0A08FE25-BB87-4265-9E12-57C6B75EA642}"/>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OX738:OX869 OZ931:OZ953 OX919:OX930" xr:uid="{8CAF9AD6-8540-4AB6-9D10-273C23B6470B}">
      <formula1>OW738</formula1>
      <formula2>2100</formula2>
    </dataValidation>
    <dataValidation type="whole" errorStyle="warning"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PE870:PE912 OW738:OW869 OY931:OY953 OW919:OW930 OZ913:OZ918" xr:uid="{A970E12F-CD89-40A4-A18B-FE60555011C3}">
      <formula1>1900</formula1>
      <formula2>2100</formula2>
    </dataValidation>
    <dataValidation type="decimal" errorStyle="warning" operator="greaterThan" allowBlank="1" showInputMessage="1" prompt="The size of a treatment plot in the experiment, if variable use the mean value or mid-point of the size range._x000a__x000a_Valulue should be greater than 0" sqref="AW738:AW890 AW913:AW953" xr:uid="{F22C8BF3-A14F-4C04-8F69-7EC03398AFCE}">
      <formula1>0</formula1>
    </dataValidation>
    <dataValidation errorStyle="warning" allowBlank="1" showInputMessage="1" showErrorMessage="1" prompt="A plan specification that states how treatments are allocated to the experimental units during an agronomic trial. It refers to the conceptual framework within which the experiment is conducted. Source: AGRO" sqref="AV738:AV890 AV913:AV953" xr:uid="{B550E6F6-C584-401C-B6AD-7E77E170764F}"/>
    <dataValidation type="decimal" errorStyle="warning" operator="greaterThanOrEqual" allowBlank="1" showInputMessage="1" prompt="Value should be above 0, or write &quot;Unspecified&quot; if unknown." sqref="JK786:JK869 JJ870:JJ912 JL738:JL785 JK931:JK953 JI913:JI930" xr:uid="{81634B21-EFD6-4587-9A4F-F87B555CA8D7}">
      <formula1>0</formula1>
    </dataValidation>
    <dataValidation type="decimal" errorStyle="warning" operator="greaterThanOrEqual" allowBlank="1" showInputMessage="1" showErrorMessage="1" prompt="Value should be above 0, or write &quot;Unspecified&quot; if unknown." sqref="JJ786:JJ869 JI870:JI912 JK738:JK785 JJ931:JJ953 JH913:JH930" xr:uid="{3D086E7E-59C8-4851-8C2C-37ECDF5CD749}">
      <formula1>0</formula1>
    </dataValidation>
    <dataValidation type="decimal" errorStyle="warning" operator="greaterThanOrEqual" allowBlank="1" showInputMessage="1" prompt="Canopy height  max if height is provided by ranges. Ex. If height is 50-70, complete with 70_x000a__x000a_Value should be above agrod_canopy_height_min, or write &quot;Unspecified&quot; if unknown." sqref="JI786:JI869 JH870:JH912 JJ738:JJ785 JI931:JI953 JG913:JG930" xr:uid="{5C81D8D4-36D0-4B46-B054-09623B9D0735}">
      <formula1>JF738</formula1>
    </dataValidation>
    <dataValidation type="decimal" errorStyle="warning" operator="greaterThanOrEqual" allowBlank="1" showInputMessage="1" prompt="Canopy height  min if height is provided by ranges. Ex. If height is 50-70, complete with 50_x000a__x000a_Value should be above 0, or write &quot;Unspecified&quot; if unknown." sqref="JH786:JH869 JG870:JG912 JI738:JI785 JH931:JH953 JF913:JF930" xr:uid="{05A89733-E896-4639-8D89-23842606C351}">
      <formula1>0</formula1>
    </dataValidation>
    <dataValidation type="decimal" errorStyle="warning" operator="greaterThanOrEqual" allowBlank="1" showInputMessage="1" prompt="Canopy height mean if height is provided as mean. Ex. If height is 15 meters, complete with 15_x000a__x000a_Value should be above 0, or write &quot;Unspecified&quot; if unknown." sqref="JG786:JG869 JF870:JF912 JH738:JH785 JG931:JG953 JE913:JE930" xr:uid="{3AD709CB-9A49-4A42-908E-0577B541DAAD}">
      <formula1>0</formula1>
    </dataValidation>
    <dataValidation type="decimal" errorStyle="warning" allowBlank="1" showInputMessage="1" prompt="Shade max if shade is provided by ranges. Ex. If shade is 50-70, complete with 70_x000a__x000a_Value should be between agrof_shade_min and 100, or write &quot;Unspecified&quot; if unknown." sqref="JF786:JF869 JE870:JE912 JG738:JG785 JF931:JF953 JD913:JD930" xr:uid="{9C2AE320-F0D8-4396-A1CB-4AA48AB6E215}">
      <formula1>JC738</formula1>
      <formula2>100</formula2>
    </dataValidation>
    <dataValidation type="decimal" errorStyle="warning" operator="greaterThanOrEqual" allowBlank="1" showInputMessage="1" prompt="Shade min if shade is provided by ranges. Ex. If shade is 50-70, complete with 50_x000a__x000a_Value should be between 0 and 100, or write &quot;Unspecified&quot; if unknown." sqref="JE786:JE869 JD870:JD912 JF738:JF785 JE931:JE953 JC913:JC930" xr:uid="{F87BD5F0-36EB-488F-86C9-A16C2872BB78}">
      <formula1>0</formula1>
    </dataValidation>
    <dataValidation type="decimal" errorStyle="warning" allowBlank="1" showInputMessage="1" prompt="Shade mean if shade is provided as mean. Ex. If shade is 52%, complete with 52_x000a__x000a_Value should be between 0 and 100, or write &quot;Unspecified&quot; if unknown." sqref="JD786:JD869 JC870:JC912 JE738:JE785 JD931:JD953 JB913:JB930" xr:uid="{A2CCCEE3-CC67-4FFE-9D67-EA7113978386}">
      <formula1>0</formula1>
      <formula2>100</formula2>
    </dataValidation>
    <dataValidation type="whole" errorStyle="warning" operator="greaterThanOrEqual" allowBlank="1" showInputMessage="1" showErrorMessage="1" prompt="This only required for temporally aggregated observations in areas with more than one growing season" sqref="PB786:PB869 OZ738:OZ785 PB931:PB953 OZ870:OZ930" xr:uid="{9D2E0F31-F5E3-47DA-9C4E-5993ABED1AF4}">
      <formula1>1</formula1>
    </dataValidation>
    <dataValidation type="whole" errorStyle="warning" operator="greaterThanOrEqual" allowBlank="1" showInputMessage="1" showErrorMessage="1" prompt="Leave blank where there is only one growing season per year or no seasonal information is presented with the data. Code the season in order 1,2,etc. Determine the season sequence by harvest year. " sqref="PI870:PI912 OY738:OY785 PA931:PA953 OY913:OY930" xr:uid="{293B2D6E-5543-4BBE-94C6-823213CF2278}">
      <formula1>1</formula1>
    </dataValidation>
    <dataValidation errorStyle="warning" allowBlank="1" showInputMessage="1" showErrorMessage="1" prompt="Mean Starting Weight. Use with Weight Gain subindicator. You may take the average across all treatments if the starting weights are similar and the difference between them is small relative to the total change in wieght." sqref="NV931:NV953 NT738:NT930" xr:uid="{CA5C58A7-E559-4488-A925-72D97C2CA552}"/>
    <dataValidation type="decimal" errorStyle="warning" operator="greaterThanOrEqual" allowBlank="1" showInputMessage="1" showErrorMessage="1" prompt="Starting Weight Unit. Use with Weight Gain subindicator." sqref="NU931:NU953 NS738:NS930" xr:uid="{6A8C3B2C-AF64-4842-9737-1A093CDA2CB2}">
      <formula1>0</formula1>
    </dataValidation>
    <dataValidation type="decimal" errorStyle="warning" allowBlank="1" showInputMessage="1" showErrorMessage="1" prompt="Economic Discount Rate (%). Typically associated with calculations of Net Present Value (NPV)." sqref="NS931:NS953 NQ738:NQ930" xr:uid="{1DC24E28-359F-4D60-B797-D28735A6F14F}">
      <formula1>0</formula1>
      <formula2>100</formula2>
    </dataValidation>
    <dataValidation type="decimal" errorStyle="warning" operator="greaterThanOrEqual" allowBlank="1" showInputMessage="1" prompt="Indicates the total amount of elemental potassium (K) from non-composted organic materials_x000a__x000a_Should be 0 or higher" sqref="NU891:NU901 LI786:LI890 LL738:LL785 LK931:LK953 LI902:LI930" xr:uid="{8DE57BA2-53CC-455D-B5C3-50043C4575A4}">
      <formula1>0</formula1>
    </dataValidation>
    <dataValidation type="decimal" errorStyle="warning" operator="greaterThanOrEqual" allowBlank="1" showInputMessage="1" prompt="Specifies the total amount of elemental phosphorus (P) from non-composted organic materials_x000a__x000a_Should be 0 or higher" sqref="LK738:LK785 LJ931:LJ953 LG786:LH930" xr:uid="{4887B2BA-DB88-416D-9F9D-75C1FF07946A}">
      <formula1>0</formula1>
    </dataValidation>
    <dataValidation type="decimal" errorStyle="warning" operator="greaterThanOrEqual" allowBlank="1" showInputMessage="1" prompt="Represents the total amount of elemental nitrogen (N) added from non-composted organic materials_x000a__x000a_Should be 0 or higher" sqref="LJ738:LJ785 LI931:LI953 LE786:LF930" xr:uid="{1230F3A8-FA07-453D-874F-63FC639DB82A}">
      <formula1>0</formula1>
    </dataValidation>
    <dataValidation errorStyle="warning" allowBlank="1" showInputMessage="1" showErrorMessage="1" prompt="Frequency of the weeding practice" sqref="KI786:KI890 KL738:KL785 KK931:KK953 KI913:KI930" xr:uid="{0E7E7BD9-DDE1-4A97-9966-C7ED6C492363}"/>
    <dataValidation errorStyle="warning" allowBlank="1" showInputMessage="1" showErrorMessage="1" prompt="Fate of crop residues from the previous season" sqref="IV786:IV869 IX738:IX785 IW931:IW953" xr:uid="{157FC97D-C7C8-4ED9-81DF-266EB789D037}"/>
    <dataValidation type="decimal" errorStyle="warning" allowBlank="1" showInputMessage="1" showErrorMessage="1" prompt="The calendar year the measurement was taken. Seasons in multi-season systems are identified by decimals ‘.1’ or ‘.2’ for the first and second season respectively." sqref="PD870:PD912 OV786:OV869 OX784:OX785 OV738:OV783 OX931:OX953 OV923:OV924 OY913:OY918" xr:uid="{3C084D86-460B-4383-9A28-A862B128ECBC}">
      <formula1>1900</formula1>
      <formula2>2100</formula2>
    </dataValidation>
    <dataValidation type="decimal" errorStyle="warning" allowBlank="1" showInputMessage="1" showErrorMessage="1" prompt="Economic Period (Years). Use with Net Present Value (NPV) outcome or similar only." sqref="NT931:NT953 NR738:NR930" xr:uid="{3D3D481D-15E7-4FBF-A524-02AD8A3C1C83}">
      <formula1>0</formula1>
      <formula2>100</formula2>
    </dataValidation>
    <dataValidation type="decimal" errorStyle="warning" operator="greaterThanOrEqual" allowBlank="1" showInputMessage="1" showErrorMessage="1" prompt="Upper limit for variation in suboutcome when  variation is reported as a confidence interval or interquartile range." sqref="OD931:OD953 OB738:OB930" xr:uid="{1923AAE7-EA14-4ABF-8CA6-EC760CA6FE38}">
      <formula1>OA738</formula1>
    </dataValidation>
    <dataValidation type="whole" errorStyle="warning" operator="greaterThanOrEqual" allowBlank="1" showInputMessage="1" prompt="Number of independent sampling units on which the sub-outcome estimate is based for this specific practice. " sqref="OC738:OC912 OE931:OE953 NX913:NX924 OC925:OC930" xr:uid="{D97F0AC0-3D92-4D47-BB7C-50EA89F66227}">
      <formula1>0</formula1>
    </dataValidation>
    <dataValidation errorStyle="warning" allowBlank="1" showInputMessage="1" showErrorMessage="1" prompt="Suboutcome or component of the outcome as reported (e.g., “yield per plot”, “gross margin”, “labour cost”, “aboveground biomass”). Use when the study reports multiple components under a broader outcome." sqref="NK738:NK912 NB776:NB785 NM931:NM953 NK923:NK924" xr:uid="{027A1A12-FA31-4163-886E-A634C1F27082}"/>
    <dataValidation errorStyle="warning" allowBlank="1" showInputMessage="1" showErrorMessage="1" prompt="Description of the suboutcome as reported in the primary study or systematic synthesis. Record sufficient detail to clearly identify what was measured and how it was defined." sqref="NL738:NL797 NK798:NK809 NB750:NB775 NN931:NN953 NL810:NL930" xr:uid="{32A170B4-17A8-4D7C-91DF-14C542EC9132}"/>
    <dataValidation errorStyle="warning" allowBlank="1" showInputMessage="1" showErrorMessage="1" prompt="taxa details, output from economic indictors" sqref="NB738:NB749 NB870:NB930 NC931:NC953" xr:uid="{0BB0A35E-6F58-42C8-81EA-6F0321F52A4A}"/>
    <dataValidation type="decimal" errorStyle="warning" operator="greaterThanOrEqual" allowBlank="1" showInputMessage="1" showErrorMessage="1" prompt="Number of years since the agroforestry system or comparator was established or transitioned to its current state, measured at the time of the study. Report values in years using a numeric format" sqref="JD738 JD744 JD750 JD756 JD763 JD776 JC810 JC806 JC814 JC818 JC786 JC790 JC794 JC798 JC802 JC822 JC826 JC830 JC834 JC838 JC842 JC846 JC850 JC854 JC858 JC862 JC866 JD771" xr:uid="{D8F47236-D22B-4F3A-9D89-044246A745E3}">
      <formula1>0</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S738 GS744 GS750 GS756 GS763 GS776 GS798 GS818 GS814 GS810 GS794 GS790 GS786 GS806 GS802 GS830 GS826 GS822 GS842 GS838 GS834 GS854 GS850 GS846 GS866 GS862 GS858 GS771" xr:uid="{FC65B853-B6C3-43BC-A47F-5B28C3BF6C4D}">
      <formula1>INDIRECT($GR738)</formula1>
    </dataValidation>
    <dataValidation type="decimal" errorStyle="warning" operator="greaterThanOrEqual" allowBlank="1" showInputMessage="1" showErrorMessage="1" sqref="JD739:JD743 JD745:JD749 JD751:JD755 JD772:JD775 JC835:JC837 JC827:JC829 JC819:JC821 JC811:JC813 JC815:JC817 JC803:JC805 JC787:JC789 JC791:JC793 JD777:JD785 JC807:JC809 JC799:JC801 JC831:JC833 JC823:JC825 JC839:JC841 JC843:JC845 JC851:JC853 JC847:JC849 JC855:JC857 JC859:JC861 JC863:JC865 JB870:JB912 JC867:JC869 JC795:JC797 JD757:JD762 JD764:JD770 JC931:JC953 JA913:JA930" xr:uid="{3101AD3A-B2C2-4794-8270-C1FF5713761B}">
      <formula1>0</formula1>
    </dataValidation>
    <dataValidation type="list" errorStyle="warning" allowBlank="1" showInputMessage="1" showErrorMessage="1" sqref="GS739:GS743 GS745:GS749 GS751:GS755 GS819:GS821 GS823:GS825 GS815:GS817 GS811:GS813 GS807:GS809 GS791:GS793 GS787:GS789 GS803:GS805 GS799:GS801 GS777:GS785 GS831:GS833 GS827:GS829 GS835:GS837 GS839:GS841 GS843:GS845 GS847:GS849 GS851:GS853 GS855:GS857 GS859:GS861 GS863:GS865 GS795:GS797 GS757:GS762 GS764:GS770 GS772:GS775 GS867:GS953" xr:uid="{D3941458-8129-48F3-90D2-591CFE713D2E}">
      <formula1>INDIRECT($GR739)</formula1>
    </dataValidation>
    <dataValidation type="list" errorStyle="warning" allowBlank="1" showInputMessage="1" prompt="Please use active ingredient name over trade-name of product, unless the  product contains multiple active ingredients then it is acceptible to use the product name." sqref="KL812 KL864 KL868 KL860 KL852 KL856 KL848 KL840 KL844 KL836 KL828 KL832 KL824 KL804 KL808 KL800 KL792 KL796 KL788 KL816 KL820" xr:uid="{6F1EC747-0F47-43DC-B1AE-9862FCAD258A}">
      <formula1>INDIRECT($KK789)</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P896 KP907" xr:uid="{E3B19FF4-84B0-437D-9375-91ADD97810CC}">
      <formula1>INDIRECT(#REF!)</formula1>
    </dataValidation>
    <dataValidation type="decimal" errorStyle="warning" operator="greaterThanOrEqual" allowBlank="1" showInputMessage="1" prompt="Value should be above agrof_dhb_min, or write &quot;Unspecified&quot; if unknown." sqref="JK870:JK912 JL786:JL869 JL931:JL953 JJ913:JJ930" xr:uid="{6FC8B9D0-5BCE-41A6-B765-50D41A181705}">
      <formula1>JI786</formula1>
    </dataValidation>
    <dataValidation errorStyle="warning" allowBlank="1" showInputMessage="1" showErrorMessage="1" prompt="Complete with an easy to recognize name for the fertilizer practice, you will use this name to reference it when building treatments later in the extraction process. Avoid using special characters." sqref="JM786:JM869 JM931:JM953 JK913:JK930" xr:uid="{143AFB7E-A125-4B45-8E08-DF8DAC6F7032}"/>
    <dataValidation type="list" errorStyle="warning" allowBlank="1" showInputMessage="1" prompt="Please use active ingredient name over trade-name of product, unless the  product contains multiple active ingredients then it is acceptible to use the product name." sqref="KN931:KN953" xr:uid="{D8E0072B-5874-4335-97BF-E24918860BC4}">
      <formula1>INDIRECT($KM931)</formula1>
    </dataValidation>
    <dataValidation type="list" errorStyle="warning" allowBlank="1" showInputMessage="1" showErrorMessage="1" prompt="Name of the organic fertilizer" sqref="JZ931:JZ953" xr:uid="{1953B215-3F89-4035-8EDD-6D85098759B3}">
      <formula1>INDIRECT($JY931)</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P931:JP953" xr:uid="{0DA49CBC-01D8-4022-862C-20BF21241D0F}">
      <formula1>INDIRECT($JO931)</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V931:KV953" xr:uid="{FEA55FC7-B888-47B3-BF1D-7D852D236375}">
      <formula1>INDIRECT($KU931)</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R931:KR953" xr:uid="{712611CC-7B48-468F-BFAF-1D042284D8FE}">
      <formula1>INDIRECT($KQ931)</formula1>
    </dataValidation>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PH870:PH912" xr:uid="{EA1FB1B4-DE06-49CF-ACC6-25E5D7AF8E6B}">
      <formula1>PE870</formula1>
      <formula2>2100</formula2>
    </dataValidation>
    <dataValidation type="decimal" errorStyle="warning" operator="lessThanOrEqual" allowBlank="1" showInputMessage="1" showErrorMessage="1" prompt="Size of Harvested Plot (m2)." sqref="AW891:AW912" xr:uid="{5E20A7F6-4E0C-4374-9D1B-84E7C83B8DC7}">
      <formula1>WVN891</formula1>
    </dataValidation>
    <dataValidation type="date" errorStyle="warning" allowBlank="1" showInputMessage="1" prompt="Planting Date End (dd/mm/yy)" sqref="HV762 HV764 HV770" xr:uid="{EC201537-B2D8-4F0A-B246-9C9EF4CD40E2}">
      <formula1>HU767</formula1>
      <formula2>73415</formula2>
    </dataValidation>
    <dataValidation type="date" errorStyle="warning" allowBlank="1" showInputMessage="1" prompt="Planting Date End (dd/mm/yy)" sqref="HV763 HV765 HV767 HV771 HV773" xr:uid="{97DD65F6-7972-48CD-B115-3CC87F5BD477}">
      <formula1>HU764</formula1>
      <formula2>73415</formula2>
    </dataValidation>
    <dataValidation type="date" errorStyle="warning" allowBlank="1" showInputMessage="1" prompt="Planting Date End (dd/mm/yy)" sqref="HV774" xr:uid="{0E8BD939-4014-43B1-8F01-266AF4D8ECC0}">
      <formula1>HU785</formula1>
      <formula2>73415</formula2>
    </dataValidation>
    <dataValidation type="date" errorStyle="warning" allowBlank="1" showInputMessage="1" prompt="Planting Date End (dd/mm/yy)" sqref="HV766 HV768" xr:uid="{772E5A8B-7C08-465F-A0A7-9B1B803041A9}">
      <formula1>HU776</formula1>
      <formula2>73415</formula2>
    </dataValidation>
    <dataValidation type="date" errorStyle="warning" allowBlank="1" showInputMessage="1" prompt="Planting Date End (dd/mm/yy)" sqref="HV769" xr:uid="{C49B960B-10AE-4CEA-8A5C-D82B57D9FE24}">
      <formula1>HU777</formula1>
      <formula2>73415</formula2>
    </dataValidation>
    <dataValidation type="date" errorStyle="warning" allowBlank="1" showInputMessage="1" prompt="Planting Date End (dd/mm/yy)" sqref="HV772 HV775" xr:uid="{152DD376-8E75-441C-9FF7-0D3688DFE58D}">
      <formula1>#REF!</formula1>
      <formula2>73415</formula2>
    </dataValidation>
    <dataValidation errorStyle="warning" allowBlank="1" showInputMessage="1" showErrorMessage="1" prompt="If the study is at a research station, but we only know the location of the city where the station is,  we record &quot;City&quot;. If we know the exact location of the station record &quot;Facility&quot;." sqref="H738:H785 AG931:AG953 X931:X953 O931:O953 AP931:AP953 AP738:AP912 O738:O912 X738:X912 AG738:AG912 F738:F912 F931:F953" xr:uid="{B4C358E2-C648-472F-B8C8-1CC93DBC6356}"/>
    <dataValidation type="list" errorStyle="warning" allowBlank="1" showInputMessage="1" showErrorMessage="1" prompt="Name of the organic fertilizer" sqref="KA738:KA785" xr:uid="{D3375C45-2467-407C-A075-AC17D8E93E50}">
      <formula1>INDIRECT($JZ738)</formula1>
    </dataValidation>
    <dataValidation type="list" errorStyle="warning" allowBlank="1" showInputMessage="1" prompt="Please use active ingredient name over trade-name of product, unless the  product contains multiple active ingredients then it is acceptible to use the product name." sqref="KO738:KO785" xr:uid="{E9444A6E-62DE-4D36-A780-CEE578DEBB9A}">
      <formula1>INDIRECT($KN738)</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W738:KW785" xr:uid="{92858304-40D0-492A-A8D2-37A1BEF146CE}">
      <formula1>INDIRECT($KV738)</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S738:KS785" xr:uid="{E310B1B7-DAFB-4BD2-963D-F65A32122ABC}">
      <formula1>INDIRECT($KR738)</formula1>
    </dataValidation>
    <dataValidation type="decimal" errorStyle="warning" operator="lessThanOrEqual" allowBlank="1" showInputMessage="1" showErrorMessage="1" prompt="Size of Harvested Plot (m2)." sqref="NA696:NA930" xr:uid="{1DDDEB14-FD68-4D4F-AAC2-3A581ACFC0E2}">
      <formula1>AW696</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N696:JN930" xr:uid="{D36AE503-C403-4B90-88C7-B43D1F894D0C}">
      <formula1>INDIRECT($JM696)</formula1>
    </dataValidation>
    <dataValidation allowBlank="1" showInputMessage="1" showErrorMessage="1" prompt="Subpractice or specific implementation detail of the broader practice as reported (e.g., “reduced tillage”, “legume intercrop”, “organic manure application”)." sqref="BD696:BD912 BD931:BD953 IW913:IW930 II913:II930 HW913:HW930 BE913:BE930 NV923:NV924 NV917:NV918 NV929:NV930" xr:uid="{C6A9266B-993C-4A70-A0F6-7AC1D639DE4E}"/>
    <dataValidation errorStyle="warning" allowBlank="1" showInputMessage="1" showErrorMessage="1" prompt="Complete with an easy to recognize name for the animal practice, you will use this name to reference it when building treatments later in the extraction process. Avoid using special characters." sqref="IF738:IF912 IF931:IF953 IC913:IC930" xr:uid="{0CFE63BC-FF2C-4D5D-B8F0-D92BF21FCD5F}"/>
    <dataValidation type="list" errorStyle="warning" allowBlank="1" showInputMessage="1" showErrorMessage="1" prompt="Breed of the animal" sqref="IE931:IE953 IE738:IE912" xr:uid="{A64859D3-A932-4A3C-A336-CB6BD1D5CC8F}">
      <formula1>INDIRECT($IC738)</formula1>
    </dataValidation>
    <dataValidation type="list" errorStyle="warning" allowBlank="1" showInputMessage="1" showErrorMessage="1" prompt="Name of the animal" sqref="IC738:ID912 IC931:ID953 ID913:ID930" xr:uid="{D857FD4D-36AB-479D-BA49-F83B4424DE9C}">
      <formula1>AnimalsList</formula1>
    </dataValidation>
    <dataValidation type="list" errorStyle="warning" allowBlank="1" showInputMessage="1" showErrorMessage="1" prompt="Variety, cultivar of the crop" sqref="HY931:HY953 HY738:HY912" xr:uid="{226763E0-5D9B-4370-99B2-867A1857843D}">
      <formula1>INDIRECT($HW738)</formula1>
    </dataValidation>
    <dataValidation type="list" errorStyle="warning" allowBlank="1" showInputMessage="1" showErrorMessage="1" prompt="Please entery name of crop_x000a__x000a_If cell turns red, this means the crop was not selected as a study crop (crop01, crop02 etc.) Please adjust entries as necessary_x000a_" sqref="HW738:HX912 HW931:HX953 HX913:HX930" xr:uid="{0C690494-5E7F-4888-9FB9-3FAE056861D4}">
      <formula1>CropList</formula1>
    </dataValidation>
    <dataValidation type="date" errorStyle="warning" allowBlank="1" showInputMessage="1" prompt="Planting Date End (dd/mm/yy)" sqref="HV916:HV918" xr:uid="{7BC9E5B2-EC77-4814-A71F-D6F3A87D37EA}">
      <formula1>HU954</formula1>
      <formula2>73415</formula2>
    </dataValidation>
    <dataValidation type="date" errorStyle="warning" allowBlank="1" showInputMessage="1" prompt="Planting Date End (dd/mm/yy)" sqref="HV922" xr:uid="{F4F9359F-BE6B-4418-AF1A-4A25F537CCC2}">
      <formula1>HU938</formula1>
      <formula2>73415</formula2>
    </dataValidation>
    <dataValidation type="date" errorStyle="warning" allowBlank="1" showInputMessage="1" prompt="Planting Date End (dd/mm/yy)" sqref="HV925" xr:uid="{D813E6C3-92EC-4AB1-A970-DC14DAFB99E9}">
      <formula1>HU927</formula1>
      <formula2>73415</formula2>
    </dataValidation>
    <dataValidation type="date" errorStyle="warning" allowBlank="1" showInputMessage="1" prompt="Planting Date End (dd/mm/yy)" sqref="HV924" xr:uid="{F2C19170-EAD1-473C-9B20-63FAA11D1CDB}">
      <formula1>HU928</formula1>
      <formula2>73415</formula2>
    </dataValidation>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CR913:CR930 CM913:CM930 CH913:CH930 CC913:CC930 BX913:BX930 BS913:BS930 EA913:EA930 DV913:DV930 DQ913:DQ930 DL913:DL930 DG913:DG930 DB913:DB930 BI913:BI930 CW913:CW930" xr:uid="{C4E61B90-0279-4403-848D-74DD3225A7DC}">
      <formula1>INDIRECT(BH913)</formula1>
    </dataValidation>
    <dataValidation type="list" errorStyle="warning" allowBlank="1" showInputMessage="1" showErrorMessage="1" prompt="Breed of the animal" sqref="IE913:IE930" xr:uid="{29306B34-CE1C-4921-950E-E0D7768EF28A}">
      <formula1>INDIRECT($ID913)</formula1>
    </dataValidation>
    <dataValidation type="list" errorStyle="warning" allowBlank="1" showInputMessage="1" showErrorMessage="1" prompt="Variety, cultivar of the crop" sqref="HY913:HY930" xr:uid="{D9013683-DB5A-4C5B-8D04-77558B16A3B5}">
      <formula1>INDIRECT($HX913)</formula1>
    </dataValidation>
    <dataValidation type="list" errorStyle="warning" allowBlank="1" showInputMessage="1" showErrorMessage="1" prompt="Country where the study site is located" sqref="C696:C953" xr:uid="{18EB30CF-ABA9-4F1C-9C1B-7115994EB5B9}">
      <formula1>CountryList</formula1>
    </dataValidation>
    <dataValidation allowBlank="1" showInputMessage="1" showErrorMessage="1" prompt="Unique identifier assigned to each study" sqref="B696:B953" xr:uid="{2EFFABB1-AC60-45B2-802E-E095EEEE0D7A}"/>
    <dataValidation allowBlank="1" showInputMessage="1" showErrorMessage="1" prompt="Unique identifier assigned to the study by the original systematic synthesis." sqref="A696:A953" xr:uid="{C8006A29-A975-4583-8FDE-B0644218C57B}"/>
    <dataValidation type="decimal" errorStyle="warning" allowBlank="1" showInputMessage="1" showErrorMessage="1" prompt="Tillage Depth (cm). The depth at which a soil is ploughed or tilled. Source: AGROVOC_x000a__x000a_Values allowed between 0 and 150 cm_x000a__x000a_Text will turn orange if value is above 50cm as a warning, values over 50cm should be double-checked." sqref="HP696:HP953" xr:uid="{DD6567E6-2DA8-40D3-94D8-3910B4618E66}">
      <formula1>0</formula1>
      <formula2>150</formula2>
    </dataValidation>
    <dataValidation errorStyle="warning" allowBlank="1" showInputMessage="1" showErrorMessage="1" prompt="Longitude of the study location in decimal degrees, recorded at the precision reported in the publication or derived from place-based geocoding when coordinates are not provided." sqref="AK738:AK953 AT738:AT953 J696:J953 S738:S953 AB738:AB953" xr:uid="{E15A1357-1C58-42F7-AB83-3A33F3664CC4}"/>
    <dataValidation errorStyle="warning" allowBlank="1" showInputMessage="1" showErrorMessage="1" prompt="Latitude of the study location in decimal degrees, recorded at the precision reported in the publication or derived from place-based geocoding when coordinates are not provided." sqref="AJ738:AJ953 AS738:AS953 I696:I953 R738:R953 AA738:AA953" xr:uid="{0520ECAB-3336-4884-BCF3-9F927A923E02}"/>
    <dataValidation type="list" errorStyle="warning" allowBlank="1" showInputMessage="1" showErrorMessage="1" prompt="Standardised name of the specific study site" sqref="AO738:AO953" xr:uid="{25A6E9FE-29ED-4933-ADDD-5B8FA8F1BE8D}">
      <formula1>INDIRECT($AM738)</formula1>
    </dataValidation>
    <dataValidation type="list" errorStyle="warning" allowBlank="1" showInputMessage="1" showErrorMessage="1" prompt="Standardised name of the specific study site" sqref="AF738:AF953" xr:uid="{6A44F3D7-CAE6-40E9-87A8-3AC210A80996}">
      <formula1>INDIRECT($AD738)</formula1>
    </dataValidation>
    <dataValidation type="list" errorStyle="warning" allowBlank="1" showInputMessage="1" showErrorMessage="1" prompt="Standardised name of the specific study site" sqref="W738:W953" xr:uid="{BC6FA6B3-BACA-44A1-B43F-07E1401C9ABC}">
      <formula1>INDIRECT($U738)</formula1>
    </dataValidation>
    <dataValidation type="list" errorStyle="warning" allowBlank="1" showInputMessage="1" showErrorMessage="1" prompt="Standardised name of the specific study site" sqref="N738:N953" xr:uid="{1A9FE546-53F7-40E9-8BBC-4FA634AE3A9F}">
      <formula1>INDIRECT($L738)</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N738:GN953" xr:uid="{EAAC55A3-8182-46E2-81BD-60DC1ABF0F7C}">
      <formula1>INDIRECT($GM738)</formula1>
    </dataValidation>
    <dataValidation type="decimal" errorStyle="warning" operator="greaterThan" allowBlank="1" showInputMessage="1" showErrorMessage="1" prompt="Numerical value of animal growing density corresponding to the selected animal and density unit." sqref="HE738:HE953 HJ738:HJ953 GP738:GP953 GU738:GU953 GZ738:GZ953" xr:uid="{04E3E44C-781C-43D6-AFC3-D30D08029B3D}">
      <formula1>0</formula1>
    </dataValidation>
    <dataValidation type="list" errorStyle="warning" allowBlank="1" showInputMessage="1" showErrorMessage="1" prompt="Name of animal species including in the practice, first letter of name capitilized and the rest lowercase. Use common names of species. See animal lists in 01_animals$v_product in 01_FOMD_ontologoies file." sqref="HB738:HB953 HG738:HG953 GM738:GM953 GR738:GR953 GW738:GW953" xr:uid="{6B60068F-06A7-4374-8C99-8979D88F68B8}">
      <formula1>AnimalsList</formula1>
    </dataValidation>
    <dataValidation type="date" errorStyle="warning" allowBlank="1" showInputMessage="1" prompt="Planting Date Start (dd/mm/yy)" sqref="HU738:HU953" xr:uid="{93B71BE1-203B-4419-9C06-3CC9696D4997}">
      <formula1>1</formula1>
      <formula2>73415</formula2>
    </dataValidation>
    <dataValidation type="whole" errorStyle="warning" operator="greaterThan" allowBlank="1" showInputMessage="1" showErrorMessage="1" prompt="How many times was the land tilled during one experimental season " sqref="HQ738:HQ953" xr:uid="{FD296201-2558-4400-8BC1-D2D8BC2A7BBE}">
      <formula1>0</formula1>
    </dataValidation>
    <dataValidation type="decimal" errorStyle="warning" operator="greaterThanOrEqual" allowBlank="1" showInputMessage="1" showErrorMessage="1" prompt="Numerical value of tree planting density corresponding to the selected tree and density unit._x000a__x000a_Should be greater than 0" sqref="EG738:EG953 EO738:EO953 GK738:GK953 GG738:GG953 GC738:GC953 FY738:FY953 FU738:FU953 FQ738:FQ953 FM738:FM953 FI738:FI953 FE738:FE953 FA738:FA953 EW738:EW953 ES738:ES953 EK738:EK953" xr:uid="{0398326C-887F-4D10-B11C-1963B3FEE94B}">
      <formula1>0</formula1>
    </dataValidation>
    <dataValidation errorStyle="warning" allowBlank="1" showInputMessage="1" showErrorMessage="1" prompt="Season as stated by the author" sqref="BC738:BC953" xr:uid="{2924069F-A848-45D2-80A1-B5D79373880B}"/>
    <dataValidation type="whole" errorStyle="warning" allowBlank="1" showInputMessage="1" showErrorMessage="1" prompt="Year when the experiment stopped. Year End as stated by the author _x000a__x000a_Should be equal to start year or later" sqref="BB738:BB953" xr:uid="{341B74F7-BCDC-4009-B0B7-67CF4FDEAB9E}">
      <formula1>BA738</formula1>
      <formula2>2100</formula2>
    </dataValidation>
    <dataValidation type="whole" errorStyle="warning" allowBlank="1" showInputMessage="1" showErrorMessage="1" prompt="Year when the experiment started. Year Start as stated by the author" sqref="BA738:BA953" xr:uid="{4C0DB285-A052-4C12-BA15-58BBD5C79D72}">
      <formula1>1900</formula1>
      <formula2>2100</formula2>
    </dataValidation>
    <dataValidation errorStyle="warning" allowBlank="1" showInputMessage="1" showErrorMessage="1" prompt="Complete with the specific time period name the study provide" sqref="AZ738:AZ953" xr:uid="{74F4F920-C209-4F2F-92DC-76C3598B3A14}"/>
    <dataValidation type="whole" errorStyle="warning" operator="greaterThanOrEqual" allowBlank="1" showInputMessage="1" showErrorMessage="1" prompt="Length of time the experiment has been ongoing up to the date the data are being reported for in years._x000a__x000a_Should be 0 or greater" sqref="AY738:AY953" xr:uid="{3311242C-524E-4F8C-8026-F9B61FAEFDDC}">
      <formula1>0</formula1>
    </dataValidation>
    <dataValidation type="decimal" errorStyle="warning" operator="greaterThanOrEqual" allowBlank="1" showInputMessage="1" prompt="Field size in hectares_x000a__x000a_Should be greater than 0" sqref="AX738:AX953" xr:uid="{FF92857A-99CA-40E5-B5E9-5EFDDD47FB55}">
      <formula1>0</formula1>
    </dataValidation>
    <dataValidation type="list" errorStyle="warning" allowBlank="1" showInputMessage="1" showErrorMessage="1" prompt="Standardised name of the specific study site" sqref="E738:E953" xr:uid="{3345BC9E-DED7-4C74-95FF-4C4B6B043A26}">
      <formula1>INDIRECT($C738)</formula1>
    </dataValidation>
    <dataValidation type="list" errorStyle="warning" allowBlank="1" showInputMessage="1" showErrorMessage="1" prompt="Name of tree or shrub species used in the specific practice. Please use scientific name and be careful of your spelling. Use full scientific name, do not abbreviate genus" sqref="EI738:EI953 GI738:GI953 EE738:EE953 GE738:GE953 GA738:GA953 FW738:FW953 FS738:FS953 FO738:FO953 FK738:FK953 FG738:FG953 FC738:FC953 EY738:EY953 EU738:EU953 EQ738:EQ953 EM738:EM953" xr:uid="{BF0FE447-55EF-4769-A7F0-55F3067D2E37}">
      <formula1>trees</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H738:HH953" xr:uid="{D6D80BA9-8D62-4100-AA01-F4E1D87984D7}">
      <formula1>INDIRECT($HG738)</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C738:HC953" xr:uid="{0A3F960D-DE89-4BC9-AC8D-1170B07A99AE}">
      <formula1>INDIRECT($HB738)</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X738:GX953" xr:uid="{BA785BAE-C389-4DCB-8B99-C88461F5C6B1}">
      <formula1>INDIRECT($GW738)</formula1>
    </dataValidation>
    <dataValidation type="list" errorStyle="warning" allowBlank="1" showInputMessage="1" showErrorMessage="1" errorTitle="Invalid Entry" error="Please select a country from the dropdown list." promptTitle="Country" prompt="Select a country from the dropdown list." sqref="AM738:AM953 L738:L953 U738:U953 AD738:AD953" xr:uid="{81189E27-41E4-4F45-80BB-F5DA4F963E2E}">
      <formula1>CountryList</formula1>
    </dataValidation>
  </dataValidations>
  <pageMargins left="0.7" right="0.7" top="0.75" bottom="0.75" header="0.3" footer="0.3"/>
  <legacyDrawing r:id="rId1"/>
  <tableParts count="1">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3F62AA-3BDC-4010-8DF8-BB48656FD3A2}">
  <dimension ref="A1:R256"/>
  <sheetViews>
    <sheetView topLeftCell="A7" zoomScale="88" zoomScaleNormal="88" workbookViewId="0">
      <pane ySplit="1" topLeftCell="A95" activePane="bottomLeft" state="frozen"/>
      <selection activeCell="A7" sqref="A7"/>
      <selection pane="bottomLeft" activeCell="E16" sqref="E16"/>
    </sheetView>
  </sheetViews>
  <sheetFormatPr defaultRowHeight="15"/>
  <cols>
    <col min="1" max="1" width="23.28515625" customWidth="1"/>
    <col min="2" max="2" width="35.7109375" customWidth="1"/>
    <col min="3" max="3" width="10.5703125" customWidth="1"/>
    <col min="4" max="4" width="8.85546875" customWidth="1"/>
    <col min="5" max="5" width="66.140625" customWidth="1"/>
    <col min="6" max="12" width="18.7109375" customWidth="1"/>
    <col min="13" max="13" width="18.5703125" customWidth="1"/>
  </cols>
  <sheetData>
    <row r="1" spans="1:17" hidden="1">
      <c r="A1" s="59" t="s">
        <v>751</v>
      </c>
      <c r="B1" s="11">
        <v>7</v>
      </c>
      <c r="D1" s="11"/>
    </row>
    <row r="2" spans="1:17" hidden="1">
      <c r="A2" s="59" t="s">
        <v>752</v>
      </c>
      <c r="B2" s="11" t="s">
        <v>753</v>
      </c>
      <c r="D2" s="11"/>
    </row>
    <row r="3" spans="1:17" hidden="1">
      <c r="A3" s="59" t="s">
        <v>754</v>
      </c>
    </row>
    <row r="4" spans="1:17" hidden="1">
      <c r="A4" s="59" t="s">
        <v>755</v>
      </c>
    </row>
    <row r="5" spans="1:17" hidden="1">
      <c r="B5" s="59"/>
    </row>
    <row r="6" spans="1:17" hidden="1">
      <c r="B6" s="11"/>
    </row>
    <row r="7" spans="1:17" s="60" customFormat="1" ht="39.950000000000003" customHeight="1">
      <c r="B7" s="105" t="s">
        <v>756</v>
      </c>
      <c r="C7" s="60" t="s">
        <v>757</v>
      </c>
      <c r="D7" s="60" t="s">
        <v>758</v>
      </c>
      <c r="E7" s="60" t="s">
        <v>759</v>
      </c>
      <c r="F7" s="60" t="s">
        <v>760</v>
      </c>
      <c r="G7" s="60" t="s">
        <v>761</v>
      </c>
      <c r="H7" s="60" t="s">
        <v>762</v>
      </c>
      <c r="I7" s="60" t="s">
        <v>763</v>
      </c>
      <c r="J7" s="60" t="s">
        <v>764</v>
      </c>
      <c r="K7" s="60" t="s">
        <v>765</v>
      </c>
      <c r="L7" s="60" t="s">
        <v>766</v>
      </c>
      <c r="M7" s="60" t="s">
        <v>767</v>
      </c>
      <c r="N7" s="60" t="s">
        <v>768</v>
      </c>
      <c r="O7" s="60" t="s">
        <v>769</v>
      </c>
      <c r="P7" s="60" t="s">
        <v>770</v>
      </c>
      <c r="Q7" s="60" t="s">
        <v>771</v>
      </c>
    </row>
    <row r="8" spans="1:17">
      <c r="A8" s="61" t="s">
        <v>494</v>
      </c>
      <c r="B8" t="s">
        <v>1402</v>
      </c>
      <c r="C8" t="s">
        <v>772</v>
      </c>
      <c r="E8" s="19"/>
      <c r="M8" t="s">
        <v>773</v>
      </c>
    </row>
    <row r="9" spans="1:17">
      <c r="A9" s="61" t="s">
        <v>494</v>
      </c>
      <c r="B9" t="s">
        <v>652</v>
      </c>
      <c r="C9" t="s">
        <v>772</v>
      </c>
      <c r="E9" t="s">
        <v>774</v>
      </c>
      <c r="L9" t="s">
        <v>775</v>
      </c>
      <c r="M9" t="s">
        <v>773</v>
      </c>
      <c r="N9" t="s">
        <v>776</v>
      </c>
    </row>
    <row r="10" spans="1:17">
      <c r="A10" s="31" t="s">
        <v>493</v>
      </c>
      <c r="B10" t="s">
        <v>1299</v>
      </c>
      <c r="C10" t="s">
        <v>777</v>
      </c>
      <c r="E10" t="s">
        <v>453</v>
      </c>
      <c r="G10" t="s">
        <v>1198</v>
      </c>
      <c r="L10" t="s">
        <v>778</v>
      </c>
      <c r="M10" t="s">
        <v>779</v>
      </c>
      <c r="N10" t="s">
        <v>780</v>
      </c>
    </row>
    <row r="11" spans="1:17">
      <c r="A11" s="31" t="s">
        <v>493</v>
      </c>
      <c r="B11" t="s">
        <v>1300</v>
      </c>
      <c r="C11" t="s">
        <v>777</v>
      </c>
      <c r="E11" t="s">
        <v>781</v>
      </c>
      <c r="G11" t="s">
        <v>782</v>
      </c>
      <c r="L11" t="s">
        <v>783</v>
      </c>
      <c r="M11" t="s">
        <v>779</v>
      </c>
      <c r="N11" t="s">
        <v>784</v>
      </c>
    </row>
    <row r="12" spans="1:17">
      <c r="A12" s="31" t="s">
        <v>493</v>
      </c>
      <c r="B12" t="s">
        <v>1301</v>
      </c>
      <c r="C12" t="s">
        <v>777</v>
      </c>
      <c r="E12" t="s">
        <v>785</v>
      </c>
      <c r="G12" t="s">
        <v>1199</v>
      </c>
      <c r="L12" t="s">
        <v>786</v>
      </c>
      <c r="M12" t="s">
        <v>787</v>
      </c>
      <c r="N12" t="s">
        <v>788</v>
      </c>
    </row>
    <row r="13" spans="1:17">
      <c r="A13" s="31" t="s">
        <v>493</v>
      </c>
      <c r="B13" t="s">
        <v>1302</v>
      </c>
      <c r="C13" t="s">
        <v>777</v>
      </c>
      <c r="E13" t="s">
        <v>450</v>
      </c>
      <c r="G13" s="4" t="s">
        <v>1197</v>
      </c>
      <c r="L13" t="s">
        <v>789</v>
      </c>
      <c r="M13" t="s">
        <v>779</v>
      </c>
      <c r="N13" t="s">
        <v>790</v>
      </c>
    </row>
    <row r="14" spans="1:17">
      <c r="A14" s="31" t="s">
        <v>493</v>
      </c>
      <c r="B14" t="s">
        <v>1303</v>
      </c>
      <c r="C14" t="s">
        <v>777</v>
      </c>
      <c r="E14" t="s">
        <v>791</v>
      </c>
      <c r="G14" s="4" t="s">
        <v>792</v>
      </c>
    </row>
    <row r="15" spans="1:17">
      <c r="A15" s="31" t="s">
        <v>493</v>
      </c>
      <c r="B15" t="s">
        <v>1304</v>
      </c>
      <c r="C15" t="s">
        <v>777</v>
      </c>
      <c r="E15" t="s">
        <v>449</v>
      </c>
      <c r="G15" s="4" t="s">
        <v>1196</v>
      </c>
      <c r="L15" t="s">
        <v>793</v>
      </c>
      <c r="M15" t="s">
        <v>779</v>
      </c>
      <c r="N15" t="s">
        <v>794</v>
      </c>
    </row>
    <row r="16" spans="1:17">
      <c r="A16" s="31" t="s">
        <v>493</v>
      </c>
      <c r="B16" t="s">
        <v>1305</v>
      </c>
      <c r="C16" t="s">
        <v>795</v>
      </c>
      <c r="D16" t="s">
        <v>796</v>
      </c>
      <c r="E16" t="s">
        <v>448</v>
      </c>
      <c r="L16" t="s">
        <v>797</v>
      </c>
      <c r="M16" t="s">
        <v>798</v>
      </c>
      <c r="N16" t="s">
        <v>799</v>
      </c>
    </row>
    <row r="17" spans="1:14">
      <c r="A17" s="31" t="s">
        <v>493</v>
      </c>
      <c r="B17" t="s">
        <v>1306</v>
      </c>
      <c r="C17" t="s">
        <v>795</v>
      </c>
      <c r="D17" t="s">
        <v>796</v>
      </c>
      <c r="E17" t="s">
        <v>447</v>
      </c>
      <c r="L17" t="s">
        <v>800</v>
      </c>
      <c r="M17" t="s">
        <v>798</v>
      </c>
      <c r="N17" t="s">
        <v>799</v>
      </c>
    </row>
    <row r="18" spans="1:14">
      <c r="A18" s="31" t="s">
        <v>493</v>
      </c>
      <c r="B18" t="s">
        <v>1307</v>
      </c>
      <c r="C18" t="s">
        <v>795</v>
      </c>
      <c r="D18" t="s">
        <v>801</v>
      </c>
      <c r="E18" t="s">
        <v>446</v>
      </c>
      <c r="L18" t="s">
        <v>802</v>
      </c>
      <c r="M18" t="s">
        <v>798</v>
      </c>
      <c r="N18" t="s">
        <v>803</v>
      </c>
    </row>
    <row r="19" spans="1:14" ht="15.75" thickBot="1">
      <c r="A19" s="39" t="s">
        <v>1147</v>
      </c>
      <c r="B19" t="s">
        <v>644</v>
      </c>
      <c r="C19" t="s">
        <v>772</v>
      </c>
      <c r="E19" t="s">
        <v>445</v>
      </c>
      <c r="G19" t="s">
        <v>804</v>
      </c>
      <c r="I19" t="s">
        <v>805</v>
      </c>
      <c r="J19" t="s">
        <v>806</v>
      </c>
      <c r="K19" t="s">
        <v>807</v>
      </c>
    </row>
    <row r="20" spans="1:14" ht="15.75" thickBot="1">
      <c r="A20" s="39" t="s">
        <v>1147</v>
      </c>
      <c r="B20" t="s">
        <v>643</v>
      </c>
      <c r="C20" s="106" t="s">
        <v>808</v>
      </c>
      <c r="D20" s="106" t="s">
        <v>809</v>
      </c>
      <c r="E20" s="45" t="s">
        <v>723</v>
      </c>
      <c r="F20" s="107"/>
      <c r="G20" t="s">
        <v>810</v>
      </c>
      <c r="H20" s="107"/>
      <c r="I20" s="107"/>
      <c r="J20" s="107"/>
      <c r="K20" s="107"/>
      <c r="L20" t="s">
        <v>811</v>
      </c>
    </row>
    <row r="21" spans="1:14" ht="14.45" customHeight="1" thickBot="1">
      <c r="A21" s="39" t="s">
        <v>1147</v>
      </c>
      <c r="B21" t="s">
        <v>642</v>
      </c>
      <c r="C21" s="106" t="s">
        <v>808</v>
      </c>
      <c r="D21" s="106" t="s">
        <v>812</v>
      </c>
      <c r="E21" s="106" t="s">
        <v>444</v>
      </c>
      <c r="F21" s="108"/>
      <c r="G21" t="s">
        <v>810</v>
      </c>
      <c r="H21" s="108"/>
      <c r="I21" s="108"/>
      <c r="J21" s="108"/>
      <c r="K21" s="108"/>
      <c r="L21" s="108" t="s">
        <v>813</v>
      </c>
    </row>
    <row r="22" spans="1:14" ht="14.45" customHeight="1" thickBot="1">
      <c r="A22" s="39" t="s">
        <v>1147</v>
      </c>
      <c r="B22" t="s">
        <v>641</v>
      </c>
      <c r="C22" s="106" t="s">
        <v>808</v>
      </c>
      <c r="D22" s="106" t="s">
        <v>997</v>
      </c>
      <c r="E22" s="106" t="s">
        <v>443</v>
      </c>
      <c r="F22" s="109"/>
      <c r="H22" s="109"/>
      <c r="I22" s="109"/>
      <c r="J22" s="109"/>
      <c r="K22" s="109"/>
      <c r="L22" s="109"/>
    </row>
    <row r="23" spans="1:14" ht="15.75" thickBot="1">
      <c r="A23" s="34" t="s">
        <v>1148</v>
      </c>
      <c r="B23" s="106" t="s">
        <v>640</v>
      </c>
      <c r="C23" s="106" t="s">
        <v>772</v>
      </c>
      <c r="D23" s="106"/>
      <c r="E23" s="106" t="s">
        <v>442</v>
      </c>
      <c r="F23" s="107"/>
      <c r="G23" s="107" t="s">
        <v>804</v>
      </c>
      <c r="H23" s="107"/>
      <c r="I23" s="107"/>
      <c r="J23" s="107"/>
      <c r="K23" s="107"/>
    </row>
    <row r="24" spans="1:14" ht="15.75" thickBot="1">
      <c r="A24" s="34" t="s">
        <v>1148</v>
      </c>
      <c r="B24" s="106" t="s">
        <v>639</v>
      </c>
      <c r="C24" s="106" t="s">
        <v>808</v>
      </c>
      <c r="D24" s="106"/>
      <c r="E24" s="106" t="s">
        <v>441</v>
      </c>
      <c r="F24" s="107"/>
      <c r="G24" s="107" t="s">
        <v>814</v>
      </c>
      <c r="H24" s="107"/>
      <c r="I24" s="107"/>
      <c r="J24" s="107"/>
      <c r="K24" s="107"/>
    </row>
    <row r="25" spans="1:14" ht="15.75" thickBot="1">
      <c r="A25" s="34" t="s">
        <v>1148</v>
      </c>
      <c r="B25" s="106" t="s">
        <v>638</v>
      </c>
      <c r="C25" s="106" t="s">
        <v>808</v>
      </c>
      <c r="D25" s="106"/>
      <c r="E25" s="106" t="s">
        <v>440</v>
      </c>
      <c r="F25" s="107"/>
      <c r="G25" s="107" t="s">
        <v>814</v>
      </c>
      <c r="H25" s="107"/>
      <c r="I25" s="107"/>
      <c r="J25" s="107"/>
      <c r="K25" s="107"/>
    </row>
    <row r="26" spans="1:14" ht="15.75" thickBot="1">
      <c r="A26" s="34" t="s">
        <v>1148</v>
      </c>
      <c r="B26" s="106" t="s">
        <v>637</v>
      </c>
      <c r="C26" s="106" t="s">
        <v>772</v>
      </c>
      <c r="D26" s="106"/>
      <c r="E26" s="106" t="s">
        <v>439</v>
      </c>
      <c r="F26" s="107"/>
      <c r="G26" s="107" t="s">
        <v>804</v>
      </c>
      <c r="H26" s="107"/>
      <c r="I26" s="107"/>
      <c r="J26" s="107"/>
      <c r="K26" s="107"/>
    </row>
    <row r="27" spans="1:14" ht="15.75" thickBot="1">
      <c r="A27" s="22" t="s">
        <v>490</v>
      </c>
      <c r="B27" s="106" t="s">
        <v>636</v>
      </c>
      <c r="C27" s="106" t="s">
        <v>777</v>
      </c>
      <c r="D27" s="106" t="s">
        <v>56</v>
      </c>
      <c r="E27" s="106" t="s">
        <v>815</v>
      </c>
      <c r="F27" s="106"/>
      <c r="G27" s="106"/>
      <c r="H27" s="106"/>
      <c r="I27" s="106"/>
      <c r="J27" s="106"/>
      <c r="K27" s="106"/>
      <c r="L27" t="s">
        <v>816</v>
      </c>
      <c r="M27" t="s">
        <v>773</v>
      </c>
      <c r="N27" t="s">
        <v>817</v>
      </c>
    </row>
    <row r="28" spans="1:14" ht="15.75" thickBot="1">
      <c r="A28" s="22" t="s">
        <v>490</v>
      </c>
      <c r="B28" s="106" t="s">
        <v>635</v>
      </c>
      <c r="C28" s="106" t="s">
        <v>777</v>
      </c>
      <c r="D28" s="106" t="s">
        <v>56</v>
      </c>
      <c r="E28" s="106" t="s">
        <v>818</v>
      </c>
      <c r="F28" s="106"/>
      <c r="G28" s="106"/>
      <c r="H28" s="106"/>
      <c r="I28" s="106"/>
      <c r="J28" s="106"/>
      <c r="K28" s="106"/>
      <c r="L28" t="s">
        <v>819</v>
      </c>
      <c r="M28" t="s">
        <v>773</v>
      </c>
      <c r="N28" t="s">
        <v>820</v>
      </c>
    </row>
    <row r="29" spans="1:14" ht="15.75" thickBot="1">
      <c r="A29" s="22" t="s">
        <v>490</v>
      </c>
      <c r="B29" s="106" t="s">
        <v>717</v>
      </c>
      <c r="C29" s="106" t="s">
        <v>777</v>
      </c>
      <c r="D29" s="106"/>
      <c r="E29" s="109" t="s">
        <v>1150</v>
      </c>
      <c r="F29" s="106"/>
      <c r="G29" s="106"/>
      <c r="H29" s="106"/>
      <c r="I29" s="106"/>
      <c r="J29" s="106"/>
      <c r="K29" s="106"/>
    </row>
    <row r="30" spans="1:14" ht="15.75" thickBot="1">
      <c r="A30" s="22" t="s">
        <v>490</v>
      </c>
      <c r="B30" s="106" t="s">
        <v>1727</v>
      </c>
      <c r="C30" s="106" t="s">
        <v>777</v>
      </c>
      <c r="D30" s="106"/>
      <c r="E30" s="109" t="s">
        <v>1737</v>
      </c>
      <c r="F30" s="106"/>
      <c r="G30" s="106"/>
      <c r="H30" s="106"/>
      <c r="I30" s="106"/>
      <c r="J30" s="106"/>
      <c r="K30" s="106"/>
    </row>
    <row r="31" spans="1:14" ht="15.75" thickBot="1">
      <c r="A31" s="1" t="s">
        <v>489</v>
      </c>
      <c r="B31" s="106" t="s">
        <v>821</v>
      </c>
      <c r="C31" s="106" t="s">
        <v>777</v>
      </c>
      <c r="D31" s="106" t="s">
        <v>56</v>
      </c>
      <c r="E31" s="106" t="s">
        <v>438</v>
      </c>
      <c r="F31" s="106"/>
      <c r="G31" s="106" t="s">
        <v>1579</v>
      </c>
      <c r="H31" s="106"/>
      <c r="I31" s="106"/>
      <c r="J31" s="106"/>
      <c r="K31" s="106"/>
      <c r="L31" s="110"/>
    </row>
    <row r="32" spans="1:14" ht="15.75" thickBot="1">
      <c r="A32" s="1" t="s">
        <v>489</v>
      </c>
      <c r="B32" s="106" t="s">
        <v>822</v>
      </c>
      <c r="C32" s="106" t="s">
        <v>777</v>
      </c>
      <c r="D32" s="106" t="s">
        <v>56</v>
      </c>
      <c r="E32" s="106" t="s">
        <v>823</v>
      </c>
      <c r="F32" s="106"/>
      <c r="G32" s="106" t="s">
        <v>824</v>
      </c>
      <c r="H32" s="106" t="s">
        <v>825</v>
      </c>
      <c r="I32" s="106"/>
      <c r="J32" s="106"/>
      <c r="K32" s="106"/>
      <c r="L32" s="110"/>
    </row>
    <row r="33" spans="1:15" ht="15.75" thickBot="1">
      <c r="A33" s="1" t="s">
        <v>489</v>
      </c>
      <c r="B33" s="106" t="s">
        <v>826</v>
      </c>
      <c r="C33" s="106" t="s">
        <v>777</v>
      </c>
      <c r="D33" s="106" t="s">
        <v>827</v>
      </c>
      <c r="E33" s="106" t="s">
        <v>433</v>
      </c>
      <c r="F33" s="106"/>
      <c r="G33" s="106" t="s">
        <v>828</v>
      </c>
      <c r="H33" s="106"/>
      <c r="I33" s="106"/>
      <c r="J33" s="106"/>
      <c r="K33" s="106"/>
      <c r="L33" s="110"/>
    </row>
    <row r="34" spans="1:15" ht="15.75" thickBot="1">
      <c r="A34" s="1" t="s">
        <v>489</v>
      </c>
      <c r="B34" s="106" t="s">
        <v>829</v>
      </c>
      <c r="C34" s="106" t="s">
        <v>808</v>
      </c>
      <c r="D34" s="106" t="s">
        <v>56</v>
      </c>
      <c r="E34" s="106" t="s">
        <v>436</v>
      </c>
      <c r="F34" s="106"/>
      <c r="G34" s="106"/>
      <c r="H34" s="106" t="s">
        <v>830</v>
      </c>
      <c r="I34" s="106"/>
      <c r="J34" s="106"/>
      <c r="K34" s="106"/>
    </row>
    <row r="35" spans="1:15" ht="15.75" thickBot="1">
      <c r="A35" s="1" t="s">
        <v>489</v>
      </c>
      <c r="B35" s="106" t="s">
        <v>831</v>
      </c>
      <c r="C35" s="106" t="s">
        <v>777</v>
      </c>
      <c r="D35" s="106"/>
      <c r="E35" s="106" t="s">
        <v>435</v>
      </c>
      <c r="F35" s="106"/>
      <c r="G35" s="106" t="s">
        <v>832</v>
      </c>
      <c r="H35" s="106"/>
      <c r="I35" s="106"/>
      <c r="J35" s="106"/>
      <c r="K35" s="106"/>
    </row>
    <row r="36" spans="1:15" ht="15.75" thickBot="1">
      <c r="A36" s="39" t="s">
        <v>833</v>
      </c>
      <c r="B36" s="106" t="s">
        <v>834</v>
      </c>
      <c r="C36" s="106" t="s">
        <v>777</v>
      </c>
      <c r="D36" s="106"/>
      <c r="E36" s="106" t="s">
        <v>434</v>
      </c>
      <c r="F36" s="106"/>
      <c r="G36" s="106" t="s">
        <v>835</v>
      </c>
      <c r="H36" s="106" t="s">
        <v>836</v>
      </c>
      <c r="I36" s="106" t="s">
        <v>805</v>
      </c>
      <c r="J36" s="106" t="s">
        <v>837</v>
      </c>
      <c r="K36" s="111" t="s">
        <v>838</v>
      </c>
      <c r="L36" s="3"/>
    </row>
    <row r="37" spans="1:15" ht="15.75" thickBot="1">
      <c r="A37" s="39" t="s">
        <v>833</v>
      </c>
      <c r="B37" s="106" t="s">
        <v>839</v>
      </c>
      <c r="C37" s="106" t="s">
        <v>777</v>
      </c>
      <c r="D37" s="106" t="s">
        <v>827</v>
      </c>
      <c r="E37" s="106" t="s">
        <v>433</v>
      </c>
      <c r="F37" s="106"/>
      <c r="G37" s="106" t="s">
        <v>828</v>
      </c>
      <c r="H37" s="106"/>
      <c r="I37" s="106"/>
      <c r="J37" s="106"/>
      <c r="K37" s="106"/>
      <c r="L37" s="110"/>
    </row>
    <row r="38" spans="1:15" ht="15.75" thickBot="1">
      <c r="A38" s="39" t="s">
        <v>833</v>
      </c>
      <c r="B38" s="106" t="s">
        <v>840</v>
      </c>
      <c r="C38" s="106" t="s">
        <v>808</v>
      </c>
      <c r="D38" s="106"/>
      <c r="E38" s="106" t="s">
        <v>432</v>
      </c>
      <c r="F38" s="106"/>
      <c r="H38" s="106" t="s">
        <v>830</v>
      </c>
      <c r="I38" s="106"/>
      <c r="J38" s="106"/>
      <c r="K38" s="106"/>
    </row>
    <row r="39" spans="1:15" ht="15.75" thickBot="1">
      <c r="A39" s="39" t="s">
        <v>833</v>
      </c>
      <c r="B39" s="106" t="s">
        <v>841</v>
      </c>
      <c r="C39" s="106" t="s">
        <v>777</v>
      </c>
      <c r="D39" s="106"/>
      <c r="E39" s="106" t="s">
        <v>683</v>
      </c>
      <c r="F39" s="106"/>
      <c r="G39" s="106" t="s">
        <v>832</v>
      </c>
      <c r="H39" s="106"/>
      <c r="I39" s="106"/>
      <c r="J39" s="106"/>
      <c r="K39" s="107"/>
    </row>
    <row r="40" spans="1:15" ht="15.75" thickBot="1">
      <c r="A40" s="31" t="s">
        <v>1146</v>
      </c>
      <c r="B40" s="106" t="s">
        <v>842</v>
      </c>
      <c r="C40" s="106" t="s">
        <v>777</v>
      </c>
      <c r="D40" s="106"/>
      <c r="E40" s="106" t="s">
        <v>1728</v>
      </c>
      <c r="F40" s="106"/>
      <c r="G40" s="106" t="s">
        <v>843</v>
      </c>
      <c r="H40" s="106"/>
      <c r="I40" s="106"/>
      <c r="J40" s="106"/>
      <c r="K40" s="3"/>
      <c r="L40" s="3" t="s">
        <v>1729</v>
      </c>
      <c r="M40" t="s">
        <v>844</v>
      </c>
      <c r="N40" t="s">
        <v>845</v>
      </c>
    </row>
    <row r="41" spans="1:15" ht="15.75" thickBot="1">
      <c r="A41" s="31" t="s">
        <v>1146</v>
      </c>
      <c r="B41" s="106" t="s">
        <v>846</v>
      </c>
      <c r="C41" s="106" t="s">
        <v>777</v>
      </c>
      <c r="D41" s="106"/>
      <c r="E41" s="106" t="s">
        <v>669</v>
      </c>
      <c r="F41" s="106"/>
      <c r="G41" s="106" t="s">
        <v>1730</v>
      </c>
      <c r="H41" s="106"/>
      <c r="I41" s="106"/>
      <c r="J41" s="106"/>
      <c r="L41" s="3" t="s">
        <v>847</v>
      </c>
      <c r="M41" t="s">
        <v>848</v>
      </c>
      <c r="N41" t="s">
        <v>849</v>
      </c>
    </row>
    <row r="42" spans="1:15" ht="15.75" thickBot="1">
      <c r="A42" s="31" t="s">
        <v>1146</v>
      </c>
      <c r="B42" s="106" t="s">
        <v>850</v>
      </c>
      <c r="C42" s="106" t="s">
        <v>777</v>
      </c>
      <c r="D42" s="106"/>
      <c r="E42" s="106" t="s">
        <v>668</v>
      </c>
      <c r="F42" s="106"/>
      <c r="G42" s="106" t="s">
        <v>828</v>
      </c>
      <c r="H42" s="106"/>
      <c r="I42" s="106"/>
      <c r="J42" s="106"/>
      <c r="K42" s="106"/>
      <c r="L42" s="110" t="s">
        <v>851</v>
      </c>
      <c r="M42" t="s">
        <v>852</v>
      </c>
      <c r="N42" t="s">
        <v>853</v>
      </c>
      <c r="O42" t="s">
        <v>854</v>
      </c>
    </row>
    <row r="43" spans="1:15" ht="15.75" thickBot="1">
      <c r="A43" s="31" t="s">
        <v>1146</v>
      </c>
      <c r="B43" s="106" t="s">
        <v>855</v>
      </c>
      <c r="C43" s="106" t="s">
        <v>808</v>
      </c>
      <c r="D43" s="106"/>
      <c r="E43" s="106" t="s">
        <v>666</v>
      </c>
      <c r="F43" s="106"/>
      <c r="G43" s="106"/>
      <c r="H43" s="106" t="s">
        <v>830</v>
      </c>
      <c r="I43" s="106"/>
      <c r="J43" s="106"/>
      <c r="K43" s="106"/>
      <c r="L43" t="s">
        <v>856</v>
      </c>
      <c r="M43" t="s">
        <v>857</v>
      </c>
      <c r="N43" t="s">
        <v>858</v>
      </c>
      <c r="O43" t="s">
        <v>854</v>
      </c>
    </row>
    <row r="44" spans="1:15" ht="15.75" thickBot="1">
      <c r="A44" s="31" t="s">
        <v>1146</v>
      </c>
      <c r="B44" s="106" t="s">
        <v>1099</v>
      </c>
      <c r="C44" s="106" t="s">
        <v>777</v>
      </c>
      <c r="D44" s="106"/>
      <c r="E44" s="106" t="s">
        <v>683</v>
      </c>
      <c r="F44" s="106"/>
      <c r="G44" s="106" t="s">
        <v>832</v>
      </c>
      <c r="H44" s="106"/>
      <c r="I44" s="106"/>
      <c r="J44" s="106"/>
      <c r="K44" s="106"/>
    </row>
    <row r="45" spans="1:15" ht="15.75" thickBot="1">
      <c r="A45" s="34" t="s">
        <v>859</v>
      </c>
      <c r="B45" s="106" t="s">
        <v>616</v>
      </c>
      <c r="C45" s="106" t="s">
        <v>777</v>
      </c>
      <c r="D45" s="106"/>
      <c r="E45" s="106" t="s">
        <v>431</v>
      </c>
      <c r="F45" s="106"/>
      <c r="G45" s="106" t="s">
        <v>804</v>
      </c>
      <c r="H45" s="106" t="s">
        <v>860</v>
      </c>
      <c r="I45" s="106" t="s">
        <v>836</v>
      </c>
      <c r="J45" s="106" t="s">
        <v>836</v>
      </c>
      <c r="K45" s="106" t="s">
        <v>836</v>
      </c>
    </row>
    <row r="46" spans="1:15" ht="15.75" thickBot="1">
      <c r="A46" s="34" t="s">
        <v>859</v>
      </c>
      <c r="B46" s="106" t="s">
        <v>615</v>
      </c>
      <c r="C46" s="106" t="s">
        <v>777</v>
      </c>
      <c r="D46" s="106"/>
      <c r="E46" s="106" t="s">
        <v>430</v>
      </c>
      <c r="F46" s="106"/>
      <c r="G46" s="24" t="s">
        <v>1231</v>
      </c>
      <c r="H46" s="106"/>
      <c r="I46" s="106" t="s">
        <v>805</v>
      </c>
      <c r="J46" s="106"/>
      <c r="K46" s="106"/>
    </row>
    <row r="47" spans="1:15" ht="15.75" thickBot="1">
      <c r="A47" s="34" t="s">
        <v>861</v>
      </c>
      <c r="B47" s="106" t="s">
        <v>614</v>
      </c>
      <c r="C47" s="106" t="s">
        <v>777</v>
      </c>
      <c r="D47" s="106"/>
      <c r="E47" s="106" t="s">
        <v>429</v>
      </c>
      <c r="F47" s="106"/>
      <c r="G47" s="106" t="s">
        <v>862</v>
      </c>
      <c r="H47" s="106" t="s">
        <v>863</v>
      </c>
      <c r="I47" s="106" t="s">
        <v>805</v>
      </c>
      <c r="J47" s="106" t="s">
        <v>864</v>
      </c>
      <c r="K47" s="106" t="s">
        <v>865</v>
      </c>
    </row>
    <row r="48" spans="1:15" ht="15.75" thickBot="1">
      <c r="A48" s="34" t="s">
        <v>861</v>
      </c>
      <c r="B48" s="106" t="s">
        <v>613</v>
      </c>
      <c r="C48" s="106" t="s">
        <v>777</v>
      </c>
      <c r="D48" s="106"/>
      <c r="E48" s="106" t="s">
        <v>428</v>
      </c>
      <c r="F48" s="106"/>
      <c r="G48" s="106" t="s">
        <v>866</v>
      </c>
      <c r="H48" s="106" t="s">
        <v>836</v>
      </c>
      <c r="I48" s="106" t="s">
        <v>867</v>
      </c>
      <c r="J48" s="106"/>
      <c r="K48" s="106"/>
    </row>
    <row r="49" spans="1:11" ht="15.75" thickBot="1">
      <c r="A49" s="34" t="s">
        <v>861</v>
      </c>
      <c r="B49" s="106" t="s">
        <v>612</v>
      </c>
      <c r="C49" s="106" t="s">
        <v>868</v>
      </c>
      <c r="D49" s="106" t="s">
        <v>869</v>
      </c>
      <c r="E49" s="106" t="s">
        <v>427</v>
      </c>
      <c r="F49" s="106"/>
      <c r="G49" s="106" t="s">
        <v>836</v>
      </c>
      <c r="H49" s="106" t="s">
        <v>870</v>
      </c>
      <c r="I49" s="106" t="s">
        <v>805</v>
      </c>
      <c r="J49" s="106" t="s">
        <v>871</v>
      </c>
      <c r="K49" s="106" t="s">
        <v>872</v>
      </c>
    </row>
    <row r="50" spans="1:11" ht="15.75" thickBot="1">
      <c r="A50" s="34" t="s">
        <v>861</v>
      </c>
      <c r="B50" s="106" t="s">
        <v>611</v>
      </c>
      <c r="C50" s="106" t="s">
        <v>777</v>
      </c>
      <c r="D50" s="106"/>
      <c r="E50" s="106" t="s">
        <v>426</v>
      </c>
      <c r="F50" s="106"/>
      <c r="G50" s="106" t="s">
        <v>804</v>
      </c>
      <c r="H50" s="106" t="s">
        <v>873</v>
      </c>
      <c r="I50" s="106"/>
      <c r="J50" s="106"/>
      <c r="K50" s="106"/>
    </row>
    <row r="51" spans="1:11" ht="15.75" thickBot="1">
      <c r="A51" s="39" t="s">
        <v>874</v>
      </c>
      <c r="B51" s="106" t="s">
        <v>610</v>
      </c>
      <c r="C51" s="106" t="s">
        <v>777</v>
      </c>
      <c r="D51" s="106"/>
      <c r="E51" s="106" t="s">
        <v>425</v>
      </c>
      <c r="F51" s="106"/>
      <c r="G51" s="106" t="s">
        <v>804</v>
      </c>
      <c r="H51" s="106"/>
      <c r="I51" s="106"/>
      <c r="J51" s="106"/>
      <c r="K51" s="106"/>
    </row>
    <row r="52" spans="1:11" ht="15.75" thickBot="1">
      <c r="A52" s="39" t="s">
        <v>874</v>
      </c>
      <c r="B52" s="106" t="s">
        <v>609</v>
      </c>
      <c r="C52" s="106" t="s">
        <v>777</v>
      </c>
      <c r="D52" s="106"/>
      <c r="E52" s="106" t="s">
        <v>424</v>
      </c>
      <c r="F52" s="106"/>
      <c r="G52" s="106" t="s">
        <v>1704</v>
      </c>
      <c r="H52" s="106"/>
      <c r="I52" s="106"/>
      <c r="J52" s="106"/>
      <c r="K52" s="106"/>
    </row>
    <row r="53" spans="1:11" ht="15.75" thickBot="1">
      <c r="A53" s="39" t="s">
        <v>875</v>
      </c>
      <c r="B53" s="106" t="s">
        <v>608</v>
      </c>
      <c r="C53" s="106" t="s">
        <v>777</v>
      </c>
      <c r="D53" s="106"/>
      <c r="E53" s="106" t="s">
        <v>423</v>
      </c>
      <c r="F53" s="106"/>
      <c r="G53" s="106" t="s">
        <v>876</v>
      </c>
      <c r="H53" s="106"/>
      <c r="I53" s="106"/>
      <c r="J53" s="106"/>
      <c r="K53" s="106"/>
    </row>
    <row r="54" spans="1:11" ht="15.75" thickBot="1">
      <c r="A54" s="39" t="s">
        <v>875</v>
      </c>
      <c r="B54" s="106" t="s">
        <v>607</v>
      </c>
      <c r="C54" t="s">
        <v>877</v>
      </c>
      <c r="D54" s="106"/>
      <c r="E54" s="106" t="s">
        <v>1126</v>
      </c>
      <c r="G54" s="106"/>
      <c r="H54" s="106"/>
      <c r="I54" s="106"/>
      <c r="J54" s="106"/>
      <c r="K54" s="106"/>
    </row>
    <row r="55" spans="1:11" ht="15.75" thickBot="1">
      <c r="A55" s="39" t="s">
        <v>875</v>
      </c>
      <c r="B55" s="106" t="s">
        <v>606</v>
      </c>
      <c r="C55" t="s">
        <v>877</v>
      </c>
      <c r="D55" s="106"/>
      <c r="E55" s="106" t="s">
        <v>1127</v>
      </c>
      <c r="G55" s="106"/>
      <c r="H55" s="106"/>
      <c r="I55" s="106"/>
      <c r="J55" s="106"/>
      <c r="K55" s="106"/>
    </row>
    <row r="56" spans="1:11" ht="15.75" thickBot="1">
      <c r="A56" s="41" t="s">
        <v>878</v>
      </c>
      <c r="B56" s="106" t="s">
        <v>1223</v>
      </c>
      <c r="C56" s="106" t="s">
        <v>777</v>
      </c>
      <c r="D56" s="106"/>
      <c r="E56" s="106" t="s">
        <v>879</v>
      </c>
      <c r="G56" s="106" t="s">
        <v>804</v>
      </c>
      <c r="H56" s="106"/>
      <c r="I56" s="106"/>
      <c r="J56" s="106"/>
      <c r="K56" s="106"/>
    </row>
    <row r="57" spans="1:11" ht="15.75" thickBot="1">
      <c r="A57" s="41" t="s">
        <v>878</v>
      </c>
      <c r="B57" s="106" t="s">
        <v>695</v>
      </c>
      <c r="C57" s="106" t="s">
        <v>777</v>
      </c>
      <c r="D57" s="106"/>
      <c r="E57" s="106" t="s">
        <v>422</v>
      </c>
      <c r="F57" s="106"/>
      <c r="G57" s="106" t="s">
        <v>880</v>
      </c>
      <c r="H57" s="106"/>
      <c r="I57" s="106"/>
      <c r="J57" s="106"/>
      <c r="K57" s="106"/>
    </row>
    <row r="58" spans="1:11" ht="15.75" thickBot="1">
      <c r="A58" s="41" t="s">
        <v>878</v>
      </c>
      <c r="B58" s="106" t="s">
        <v>696</v>
      </c>
      <c r="C58" s="106" t="s">
        <v>777</v>
      </c>
      <c r="D58" s="106"/>
      <c r="E58" s="106" t="s">
        <v>421</v>
      </c>
      <c r="F58" s="106"/>
      <c r="G58" s="24" t="s">
        <v>1230</v>
      </c>
      <c r="H58" s="106"/>
      <c r="I58" s="106"/>
      <c r="J58" s="106"/>
      <c r="K58" s="106"/>
    </row>
    <row r="59" spans="1:11" ht="15.75" thickBot="1">
      <c r="A59" s="41" t="s">
        <v>878</v>
      </c>
      <c r="B59" s="106" t="s">
        <v>697</v>
      </c>
      <c r="C59" s="106" t="s">
        <v>777</v>
      </c>
      <c r="D59" s="106"/>
      <c r="E59" s="106" t="s">
        <v>420</v>
      </c>
      <c r="F59" s="106"/>
      <c r="G59" s="106" t="s">
        <v>1732</v>
      </c>
      <c r="H59" s="106"/>
      <c r="I59" s="106"/>
      <c r="J59" s="106"/>
      <c r="K59" s="106"/>
    </row>
    <row r="60" spans="1:11" ht="15.75" thickBot="1">
      <c r="A60" s="41" t="s">
        <v>878</v>
      </c>
      <c r="B60" s="106" t="s">
        <v>698</v>
      </c>
      <c r="C60" s="106" t="s">
        <v>777</v>
      </c>
      <c r="D60" s="106"/>
      <c r="E60" s="106" t="s">
        <v>1093</v>
      </c>
      <c r="F60" s="106"/>
      <c r="G60" s="106" t="s">
        <v>881</v>
      </c>
      <c r="H60" s="106" t="s">
        <v>863</v>
      </c>
      <c r="I60" s="106"/>
      <c r="J60" s="106"/>
      <c r="K60" s="106"/>
    </row>
    <row r="61" spans="1:11" ht="15.75" thickBot="1">
      <c r="A61" s="47" t="s">
        <v>663</v>
      </c>
      <c r="B61" s="106" t="s">
        <v>725</v>
      </c>
      <c r="C61" s="106" t="s">
        <v>777</v>
      </c>
      <c r="D61" s="106"/>
      <c r="E61" s="106" t="s">
        <v>726</v>
      </c>
      <c r="F61" s="106"/>
      <c r="G61" s="106" t="s">
        <v>804</v>
      </c>
      <c r="H61" s="106"/>
      <c r="I61" s="106"/>
      <c r="J61" s="106"/>
      <c r="K61" s="106"/>
    </row>
    <row r="62" spans="1:11" ht="15.75" thickBot="1">
      <c r="A62" s="47" t="s">
        <v>663</v>
      </c>
      <c r="B62" s="106" t="s">
        <v>701</v>
      </c>
      <c r="C62" s="106" t="s">
        <v>777</v>
      </c>
      <c r="D62" s="106"/>
      <c r="E62" s="106" t="s">
        <v>665</v>
      </c>
      <c r="F62" s="106"/>
      <c r="G62" s="106" t="s">
        <v>1730</v>
      </c>
      <c r="H62" s="106"/>
      <c r="I62" s="106"/>
      <c r="J62" s="106"/>
      <c r="K62" s="106"/>
    </row>
    <row r="63" spans="1:11" ht="15.75" thickBot="1">
      <c r="A63" s="47" t="s">
        <v>663</v>
      </c>
      <c r="B63" s="106" t="s">
        <v>702</v>
      </c>
      <c r="C63" s="106" t="s">
        <v>777</v>
      </c>
      <c r="D63" s="106"/>
      <c r="E63" s="106" t="s">
        <v>664</v>
      </c>
      <c r="F63" s="106"/>
      <c r="G63" s="24" t="s">
        <v>1731</v>
      </c>
      <c r="H63" s="106"/>
      <c r="I63" s="106"/>
      <c r="J63" s="106"/>
      <c r="K63" s="106"/>
    </row>
    <row r="64" spans="1:11" ht="15.75" thickBot="1">
      <c r="A64" s="47" t="s">
        <v>663</v>
      </c>
      <c r="B64" s="106" t="s">
        <v>703</v>
      </c>
      <c r="C64" s="106" t="s">
        <v>777</v>
      </c>
      <c r="D64" s="106"/>
      <c r="E64" s="106" t="s">
        <v>662</v>
      </c>
      <c r="F64" s="106"/>
      <c r="G64" s="106" t="s">
        <v>1734</v>
      </c>
      <c r="H64" s="106"/>
      <c r="I64" s="106"/>
      <c r="J64" s="106"/>
      <c r="K64" s="106"/>
    </row>
    <row r="65" spans="1:11" ht="15.75" thickBot="1">
      <c r="A65" s="47" t="s">
        <v>663</v>
      </c>
      <c r="B65" s="106" t="s">
        <v>1733</v>
      </c>
      <c r="C65" s="106" t="s">
        <v>777</v>
      </c>
      <c r="D65" s="106"/>
      <c r="E65" s="106" t="s">
        <v>1735</v>
      </c>
      <c r="F65" s="106"/>
      <c r="G65" s="106" t="s">
        <v>1736</v>
      </c>
      <c r="H65" s="106"/>
      <c r="I65" s="107"/>
      <c r="J65" s="107"/>
      <c r="K65" s="107"/>
    </row>
    <row r="66" spans="1:11" ht="15.75" thickBot="1">
      <c r="A66" s="38" t="s">
        <v>1224</v>
      </c>
      <c r="B66" s="106" t="s">
        <v>605</v>
      </c>
      <c r="C66" s="106" t="s">
        <v>777</v>
      </c>
      <c r="D66" s="106"/>
      <c r="E66" s="106" t="s">
        <v>417</v>
      </c>
      <c r="F66" s="106"/>
      <c r="G66" s="106" t="s">
        <v>804</v>
      </c>
      <c r="H66" s="106"/>
    </row>
    <row r="67" spans="1:11" ht="15.75" thickBot="1">
      <c r="A67" s="38" t="s">
        <v>1224</v>
      </c>
      <c r="B67" s="106" t="s">
        <v>604</v>
      </c>
      <c r="C67" s="106" t="s">
        <v>777</v>
      </c>
      <c r="D67" s="106"/>
      <c r="E67" s="106" t="s">
        <v>1094</v>
      </c>
      <c r="F67" s="106"/>
      <c r="G67" s="24" t="s">
        <v>1723</v>
      </c>
      <c r="H67" s="106" t="s">
        <v>863</v>
      </c>
    </row>
    <row r="68" spans="1:11" ht="15.75" thickBot="1">
      <c r="A68" s="38" t="s">
        <v>1225</v>
      </c>
      <c r="B68" s="106" t="s">
        <v>656</v>
      </c>
      <c r="C68" s="106" t="s">
        <v>777</v>
      </c>
      <c r="D68" s="106"/>
      <c r="E68" s="106" t="s">
        <v>658</v>
      </c>
      <c r="F68" s="106"/>
      <c r="G68" s="106" t="s">
        <v>882</v>
      </c>
      <c r="H68" s="106"/>
      <c r="J68" t="s">
        <v>883</v>
      </c>
      <c r="K68" t="s">
        <v>884</v>
      </c>
    </row>
    <row r="69" spans="1:11" ht="15.75" thickBot="1">
      <c r="A69" s="38" t="s">
        <v>1225</v>
      </c>
      <c r="B69" s="106" t="s">
        <v>657</v>
      </c>
      <c r="C69" s="106" t="s">
        <v>777</v>
      </c>
      <c r="D69" s="106"/>
      <c r="E69" s="106" t="s">
        <v>659</v>
      </c>
      <c r="F69" s="106"/>
      <c r="G69" s="106" t="s">
        <v>885</v>
      </c>
      <c r="H69" s="106"/>
      <c r="J69" t="s">
        <v>883</v>
      </c>
      <c r="K69" t="s">
        <v>884</v>
      </c>
    </row>
    <row r="70" spans="1:11" ht="15.75" thickBot="1">
      <c r="A70" s="38" t="s">
        <v>1225</v>
      </c>
      <c r="B70" s="106" t="s">
        <v>603</v>
      </c>
      <c r="C70" s="106" t="s">
        <v>777</v>
      </c>
      <c r="D70" s="106"/>
      <c r="E70" s="106" t="s">
        <v>727</v>
      </c>
      <c r="F70" s="106"/>
      <c r="G70" s="106"/>
      <c r="H70" s="106"/>
    </row>
    <row r="71" spans="1:11" ht="14.45" customHeight="1" thickBot="1">
      <c r="A71" s="38" t="s">
        <v>1225</v>
      </c>
      <c r="B71" s="106" t="s">
        <v>602</v>
      </c>
      <c r="C71" s="106" t="s">
        <v>777</v>
      </c>
      <c r="D71" s="106"/>
      <c r="E71" s="106" t="s">
        <v>728</v>
      </c>
      <c r="F71" s="106"/>
      <c r="G71" s="106"/>
      <c r="H71" s="106"/>
    </row>
    <row r="72" spans="1:11" ht="14.45" customHeight="1" thickBot="1">
      <c r="A72" s="38" t="s">
        <v>1225</v>
      </c>
      <c r="B72" s="106" t="s">
        <v>601</v>
      </c>
      <c r="C72" s="106" t="s">
        <v>777</v>
      </c>
      <c r="D72" s="106"/>
      <c r="E72" s="106" t="s">
        <v>415</v>
      </c>
      <c r="F72" s="106"/>
      <c r="G72" s="4" t="s">
        <v>886</v>
      </c>
      <c r="H72" s="106"/>
    </row>
    <row r="73" spans="1:11" ht="14.45" customHeight="1" thickBot="1">
      <c r="A73" s="34" t="s">
        <v>1095</v>
      </c>
      <c r="B73" s="106" t="s">
        <v>600</v>
      </c>
      <c r="C73" s="106" t="s">
        <v>777</v>
      </c>
      <c r="D73" s="106"/>
      <c r="E73" s="106" t="s">
        <v>887</v>
      </c>
      <c r="F73" s="106"/>
      <c r="G73" s="106" t="s">
        <v>804</v>
      </c>
      <c r="H73" s="106"/>
      <c r="I73" s="106"/>
    </row>
    <row r="74" spans="1:11" ht="14.45" customHeight="1" thickBot="1">
      <c r="A74" s="34" t="s">
        <v>1095</v>
      </c>
      <c r="B74" s="106" t="s">
        <v>888</v>
      </c>
      <c r="C74" s="106" t="s">
        <v>777</v>
      </c>
      <c r="D74" s="106"/>
      <c r="E74" s="106" t="s">
        <v>416</v>
      </c>
      <c r="F74" s="106"/>
      <c r="G74" s="24" t="s">
        <v>1722</v>
      </c>
      <c r="H74" s="106"/>
      <c r="I74" s="106"/>
    </row>
    <row r="75" spans="1:11" ht="15.75" thickBot="1">
      <c r="A75" s="34" t="s">
        <v>1096</v>
      </c>
      <c r="B75" s="106" t="s">
        <v>596</v>
      </c>
      <c r="C75" s="106" t="s">
        <v>777</v>
      </c>
      <c r="D75" s="106"/>
      <c r="E75" s="106" t="s">
        <v>889</v>
      </c>
      <c r="F75" s="106"/>
      <c r="G75" s="106"/>
      <c r="H75" s="106"/>
    </row>
    <row r="76" spans="1:11" ht="14.45" customHeight="1" thickBot="1">
      <c r="A76" s="34" t="s">
        <v>1096</v>
      </c>
      <c r="B76" s="106" t="s">
        <v>595</v>
      </c>
      <c r="C76" s="106" t="s">
        <v>777</v>
      </c>
      <c r="D76" s="106"/>
      <c r="E76" s="106" t="s">
        <v>728</v>
      </c>
      <c r="F76" s="106"/>
      <c r="G76" s="106"/>
      <c r="H76" s="106"/>
    </row>
    <row r="77" spans="1:11" ht="14.45" customHeight="1" thickBot="1">
      <c r="A77" s="34" t="s">
        <v>1096</v>
      </c>
      <c r="B77" s="106" t="s">
        <v>594</v>
      </c>
      <c r="C77" s="106" t="s">
        <v>777</v>
      </c>
      <c r="D77" s="106"/>
      <c r="E77" s="106" t="s">
        <v>415</v>
      </c>
      <c r="F77" s="106"/>
      <c r="G77" s="4" t="s">
        <v>886</v>
      </c>
      <c r="H77" s="106"/>
    </row>
    <row r="78" spans="1:11" ht="15.75" thickBot="1">
      <c r="A78" s="39" t="s">
        <v>1100</v>
      </c>
      <c r="B78" s="106" t="s">
        <v>729</v>
      </c>
      <c r="C78" s="106" t="s">
        <v>777</v>
      </c>
      <c r="D78" s="106"/>
      <c r="E78" s="106" t="s">
        <v>414</v>
      </c>
      <c r="F78" s="106"/>
      <c r="G78" s="106" t="s">
        <v>804</v>
      </c>
      <c r="H78" s="106"/>
      <c r="I78" s="106"/>
      <c r="J78" s="106"/>
      <c r="K78" s="106"/>
    </row>
    <row r="79" spans="1:11" ht="15.75" thickBot="1">
      <c r="A79" s="39" t="s">
        <v>1100</v>
      </c>
      <c r="B79" s="106" t="s">
        <v>593</v>
      </c>
      <c r="C79" s="106" t="s">
        <v>777</v>
      </c>
      <c r="D79" s="106"/>
      <c r="E79" s="106" t="s">
        <v>413</v>
      </c>
      <c r="F79" s="106"/>
      <c r="G79" s="22" t="s">
        <v>1721</v>
      </c>
      <c r="H79" s="106"/>
      <c r="I79" s="106" t="s">
        <v>805</v>
      </c>
      <c r="J79" s="106" t="s">
        <v>890</v>
      </c>
      <c r="K79" s="106" t="s">
        <v>891</v>
      </c>
    </row>
    <row r="80" spans="1:11" ht="15.75" thickBot="1">
      <c r="A80" s="39" t="s">
        <v>1100</v>
      </c>
      <c r="B80" s="107" t="s">
        <v>592</v>
      </c>
      <c r="C80" s="106" t="s">
        <v>777</v>
      </c>
      <c r="D80" s="107"/>
      <c r="E80" s="107" t="s">
        <v>412</v>
      </c>
      <c r="F80" s="107"/>
      <c r="G80" s="22" t="s">
        <v>1724</v>
      </c>
      <c r="H80" s="107"/>
      <c r="I80" s="107"/>
      <c r="J80" s="107"/>
      <c r="K80" s="107"/>
    </row>
    <row r="81" spans="1:14" ht="15.75" thickBot="1">
      <c r="A81" s="39" t="s">
        <v>1100</v>
      </c>
      <c r="B81" s="107" t="s">
        <v>715</v>
      </c>
      <c r="C81" s="106" t="s">
        <v>777</v>
      </c>
      <c r="D81" s="107"/>
      <c r="E81" s="106" t="s">
        <v>1229</v>
      </c>
      <c r="F81" s="107"/>
      <c r="G81" s="22" t="s">
        <v>1725</v>
      </c>
      <c r="H81" s="107"/>
      <c r="I81" s="107"/>
      <c r="J81" s="107"/>
      <c r="K81" s="107"/>
    </row>
    <row r="82" spans="1:14" ht="15.75" thickBot="1">
      <c r="A82" s="39" t="s">
        <v>1100</v>
      </c>
      <c r="B82" s="107" t="s">
        <v>1720</v>
      </c>
      <c r="C82" s="106" t="s">
        <v>808</v>
      </c>
      <c r="D82" s="106" t="s">
        <v>997</v>
      </c>
      <c r="E82" s="106" t="s">
        <v>1738</v>
      </c>
      <c r="F82" s="107"/>
      <c r="G82" s="107"/>
      <c r="H82" s="107"/>
      <c r="I82" s="107"/>
      <c r="J82" s="107"/>
      <c r="K82" s="107"/>
    </row>
    <row r="83" spans="1:14" ht="15.75" thickBot="1">
      <c r="A83" s="39" t="s">
        <v>1101</v>
      </c>
      <c r="B83" s="106" t="s">
        <v>590</v>
      </c>
      <c r="C83" s="106" t="s">
        <v>777</v>
      </c>
      <c r="D83" s="106" t="s">
        <v>892</v>
      </c>
      <c r="E83" s="107" t="s">
        <v>411</v>
      </c>
      <c r="F83" s="107"/>
      <c r="G83" s="107" t="s">
        <v>893</v>
      </c>
      <c r="H83" s="107"/>
      <c r="I83" s="107"/>
      <c r="J83" s="107"/>
      <c r="K83" s="107"/>
    </row>
    <row r="84" spans="1:14" ht="15.75" thickBot="1">
      <c r="A84" s="39" t="s">
        <v>1101</v>
      </c>
      <c r="B84" s="106" t="s">
        <v>589</v>
      </c>
      <c r="C84" s="106" t="s">
        <v>777</v>
      </c>
      <c r="D84" s="106" t="s">
        <v>892</v>
      </c>
      <c r="E84" s="107" t="s">
        <v>410</v>
      </c>
      <c r="F84" s="107"/>
      <c r="G84" s="107" t="s">
        <v>893</v>
      </c>
      <c r="H84" s="107"/>
      <c r="I84" s="107"/>
      <c r="J84" s="107"/>
      <c r="K84" s="107"/>
    </row>
    <row r="85" spans="1:14" ht="15.75" thickBot="1">
      <c r="A85" s="39" t="s">
        <v>1101</v>
      </c>
      <c r="B85" s="106" t="s">
        <v>588</v>
      </c>
      <c r="C85" s="106" t="s">
        <v>777</v>
      </c>
      <c r="D85" s="106" t="s">
        <v>892</v>
      </c>
      <c r="E85" s="107" t="s">
        <v>409</v>
      </c>
      <c r="F85" s="107"/>
      <c r="G85" s="107" t="s">
        <v>893</v>
      </c>
      <c r="H85" s="107"/>
      <c r="I85" s="107"/>
      <c r="J85" s="107"/>
      <c r="K85" s="107"/>
    </row>
    <row r="86" spans="1:14" ht="15.75" thickBot="1">
      <c r="A86" s="39" t="s">
        <v>1101</v>
      </c>
      <c r="B86" s="106" t="s">
        <v>587</v>
      </c>
      <c r="C86" s="106" t="s">
        <v>777</v>
      </c>
      <c r="D86" s="106" t="s">
        <v>801</v>
      </c>
      <c r="E86" s="107" t="s">
        <v>408</v>
      </c>
      <c r="F86" s="107"/>
      <c r="G86" s="107" t="s">
        <v>894</v>
      </c>
      <c r="H86" s="107"/>
      <c r="I86" s="107"/>
      <c r="J86" s="107"/>
      <c r="K86" s="107"/>
    </row>
    <row r="87" spans="1:14" ht="15.75" thickBot="1">
      <c r="A87" s="39" t="s">
        <v>1101</v>
      </c>
      <c r="B87" s="106" t="s">
        <v>586</v>
      </c>
      <c r="C87" s="106" t="s">
        <v>777</v>
      </c>
      <c r="D87" s="106" t="s">
        <v>801</v>
      </c>
      <c r="E87" s="107" t="s">
        <v>407</v>
      </c>
      <c r="F87" s="107"/>
      <c r="G87" s="107" t="s">
        <v>894</v>
      </c>
      <c r="H87" s="107"/>
      <c r="I87" s="107"/>
      <c r="J87" s="107"/>
      <c r="K87" s="107"/>
    </row>
    <row r="88" spans="1:14" ht="15.75" thickBot="1">
      <c r="A88" s="39" t="s">
        <v>1101</v>
      </c>
      <c r="B88" s="106" t="s">
        <v>716</v>
      </c>
      <c r="C88" s="106" t="s">
        <v>777</v>
      </c>
      <c r="D88" s="106" t="s">
        <v>801</v>
      </c>
      <c r="E88" s="107" t="s">
        <v>406</v>
      </c>
      <c r="F88" s="107"/>
      <c r="G88" s="107" t="s">
        <v>894</v>
      </c>
      <c r="H88" s="107"/>
      <c r="I88" s="107"/>
      <c r="J88" s="107"/>
      <c r="K88" s="107"/>
    </row>
    <row r="89" spans="1:14" ht="15.75" thickBot="1">
      <c r="A89" s="39" t="s">
        <v>1101</v>
      </c>
      <c r="B89" s="106" t="s">
        <v>585</v>
      </c>
      <c r="C89" s="106" t="s">
        <v>777</v>
      </c>
      <c r="D89" s="106" t="s">
        <v>869</v>
      </c>
      <c r="E89" s="107" t="s">
        <v>405</v>
      </c>
      <c r="F89" s="107"/>
      <c r="G89" s="107"/>
      <c r="H89" s="107"/>
      <c r="I89" s="107"/>
      <c r="J89" s="107"/>
      <c r="K89" s="107"/>
    </row>
    <row r="90" spans="1:14" ht="15.75" thickBot="1">
      <c r="A90" s="39" t="s">
        <v>1101</v>
      </c>
      <c r="B90" s="106" t="s">
        <v>584</v>
      </c>
      <c r="C90" s="106" t="s">
        <v>777</v>
      </c>
      <c r="D90" s="106" t="s">
        <v>869</v>
      </c>
      <c r="E90" s="107" t="s">
        <v>404</v>
      </c>
      <c r="F90" s="107"/>
      <c r="G90" s="107"/>
      <c r="H90" s="107"/>
      <c r="I90" s="107"/>
      <c r="J90" s="107"/>
      <c r="K90" s="107"/>
    </row>
    <row r="91" spans="1:14" ht="15.75" thickBot="1">
      <c r="A91" s="39" t="s">
        <v>1101</v>
      </c>
      <c r="B91" s="106" t="s">
        <v>583</v>
      </c>
      <c r="C91" s="106" t="s">
        <v>777</v>
      </c>
      <c r="D91" s="106" t="s">
        <v>869</v>
      </c>
      <c r="E91" s="107" t="s">
        <v>403</v>
      </c>
      <c r="F91" s="107"/>
      <c r="G91" s="107"/>
      <c r="H91" s="107"/>
      <c r="I91" s="107"/>
      <c r="J91" s="107"/>
      <c r="K91" s="107"/>
    </row>
    <row r="92" spans="1:14" ht="15.75" thickBot="1">
      <c r="A92" s="38" t="s">
        <v>1236</v>
      </c>
      <c r="B92" s="107" t="s">
        <v>582</v>
      </c>
      <c r="C92" s="106" t="s">
        <v>777</v>
      </c>
      <c r="D92" s="106"/>
      <c r="E92" s="106" t="s">
        <v>402</v>
      </c>
      <c r="F92" s="106"/>
      <c r="G92" s="106" t="s">
        <v>804</v>
      </c>
      <c r="H92" s="106"/>
      <c r="I92" s="106"/>
      <c r="J92" s="106"/>
      <c r="K92" s="106"/>
      <c r="M92" t="s">
        <v>895</v>
      </c>
    </row>
    <row r="93" spans="1:14" ht="15.75" thickBot="1">
      <c r="A93" s="38" t="s">
        <v>1236</v>
      </c>
      <c r="B93" s="107" t="s">
        <v>581</v>
      </c>
      <c r="C93" s="106" t="s">
        <v>777</v>
      </c>
      <c r="D93" s="106"/>
      <c r="E93" s="106" t="s">
        <v>401</v>
      </c>
      <c r="F93" s="106"/>
      <c r="G93" s="22" t="s">
        <v>1699</v>
      </c>
      <c r="H93" s="106"/>
      <c r="I93" s="106"/>
      <c r="J93" s="106"/>
      <c r="K93" s="106"/>
    </row>
    <row r="94" spans="1:14" ht="15.75" thickBot="1">
      <c r="A94" s="38" t="s">
        <v>1237</v>
      </c>
      <c r="B94" s="107" t="s">
        <v>580</v>
      </c>
      <c r="C94" s="106" t="s">
        <v>777</v>
      </c>
      <c r="D94" s="106"/>
      <c r="E94" s="106" t="s">
        <v>400</v>
      </c>
      <c r="F94" s="106"/>
      <c r="G94" s="106" t="s">
        <v>896</v>
      </c>
      <c r="H94" s="106" t="s">
        <v>836</v>
      </c>
      <c r="I94" s="106" t="s">
        <v>805</v>
      </c>
      <c r="J94" s="106" t="s">
        <v>897</v>
      </c>
      <c r="K94" s="106" t="s">
        <v>898</v>
      </c>
      <c r="M94" t="s">
        <v>899</v>
      </c>
      <c r="N94" s="112" t="s">
        <v>794</v>
      </c>
    </row>
    <row r="95" spans="1:14" ht="15.75" thickBot="1">
      <c r="A95" s="38" t="s">
        <v>1237</v>
      </c>
      <c r="B95" s="106" t="s">
        <v>579</v>
      </c>
      <c r="C95" s="106" t="s">
        <v>777</v>
      </c>
      <c r="D95" s="106"/>
      <c r="E95" s="106" t="s">
        <v>399</v>
      </c>
      <c r="F95" s="106"/>
      <c r="G95" s="106" t="s">
        <v>900</v>
      </c>
      <c r="H95" s="106" t="s">
        <v>901</v>
      </c>
      <c r="I95" s="106" t="s">
        <v>805</v>
      </c>
      <c r="J95" s="106" t="s">
        <v>897</v>
      </c>
      <c r="K95" s="106" t="s">
        <v>898</v>
      </c>
      <c r="N95" s="112"/>
    </row>
    <row r="96" spans="1:14" ht="15.75" thickBot="1">
      <c r="A96" s="38" t="s">
        <v>1237</v>
      </c>
      <c r="B96" s="106" t="s">
        <v>1102</v>
      </c>
      <c r="C96" s="106" t="s">
        <v>777</v>
      </c>
      <c r="D96" s="106" t="s">
        <v>902</v>
      </c>
      <c r="E96" s="106" t="s">
        <v>903</v>
      </c>
      <c r="F96" s="106"/>
      <c r="G96" s="106" t="s">
        <v>904</v>
      </c>
      <c r="H96" s="106" t="s">
        <v>836</v>
      </c>
      <c r="I96" s="106" t="s">
        <v>905</v>
      </c>
      <c r="J96" s="106" t="s">
        <v>805</v>
      </c>
      <c r="K96" s="106"/>
      <c r="M96" t="s">
        <v>899</v>
      </c>
      <c r="N96" s="112" t="s">
        <v>794</v>
      </c>
    </row>
    <row r="97" spans="1:14" ht="15.75" thickBot="1">
      <c r="A97" s="38" t="s">
        <v>1237</v>
      </c>
      <c r="B97" s="106" t="s">
        <v>1103</v>
      </c>
      <c r="C97" s="106" t="s">
        <v>808</v>
      </c>
      <c r="D97" s="106"/>
      <c r="E97" s="106" t="s">
        <v>397</v>
      </c>
      <c r="F97" s="106"/>
      <c r="G97" s="106" t="s">
        <v>836</v>
      </c>
      <c r="H97" s="106" t="s">
        <v>830</v>
      </c>
      <c r="I97" s="106"/>
      <c r="J97" s="106"/>
      <c r="K97" s="106"/>
      <c r="M97" t="s">
        <v>810</v>
      </c>
      <c r="N97" t="s">
        <v>906</v>
      </c>
    </row>
    <row r="98" spans="1:14" ht="15.75" thickBot="1">
      <c r="A98" s="38" t="s">
        <v>1237</v>
      </c>
      <c r="B98" s="106" t="s">
        <v>578</v>
      </c>
      <c r="C98" s="106" t="s">
        <v>777</v>
      </c>
      <c r="D98" s="106"/>
      <c r="E98" s="106" t="s">
        <v>907</v>
      </c>
      <c r="F98" s="106"/>
      <c r="G98" s="106"/>
      <c r="H98" s="106"/>
      <c r="I98" s="106"/>
      <c r="J98" s="106"/>
      <c r="K98" s="106"/>
    </row>
    <row r="99" spans="1:14" ht="15.75" thickBot="1">
      <c r="A99" s="38" t="s">
        <v>1237</v>
      </c>
      <c r="B99" s="106" t="s">
        <v>577</v>
      </c>
      <c r="C99" s="106" t="s">
        <v>808</v>
      </c>
      <c r="D99" s="106"/>
      <c r="E99" s="106" t="s">
        <v>908</v>
      </c>
      <c r="F99" s="106"/>
      <c r="G99" s="106" t="s">
        <v>836</v>
      </c>
      <c r="H99" s="106" t="s">
        <v>830</v>
      </c>
      <c r="I99" s="106" t="s">
        <v>805</v>
      </c>
      <c r="J99" s="106" t="s">
        <v>909</v>
      </c>
      <c r="K99" s="106" t="s">
        <v>910</v>
      </c>
      <c r="M99" t="s">
        <v>810</v>
      </c>
      <c r="N99" t="s">
        <v>906</v>
      </c>
    </row>
    <row r="100" spans="1:14" ht="15.75" thickBot="1">
      <c r="A100" s="38" t="s">
        <v>1237</v>
      </c>
      <c r="B100" s="106" t="s">
        <v>576</v>
      </c>
      <c r="C100" s="106" t="s">
        <v>808</v>
      </c>
      <c r="D100" s="106"/>
      <c r="E100" s="106" t="s">
        <v>395</v>
      </c>
      <c r="F100" s="106"/>
      <c r="G100" s="106" t="s">
        <v>836</v>
      </c>
      <c r="H100" s="106" t="s">
        <v>830</v>
      </c>
      <c r="I100" s="106" t="s">
        <v>805</v>
      </c>
      <c r="J100" s="106" t="s">
        <v>911</v>
      </c>
      <c r="K100" s="106" t="s">
        <v>912</v>
      </c>
      <c r="M100" t="s">
        <v>810</v>
      </c>
      <c r="N100" t="s">
        <v>906</v>
      </c>
    </row>
    <row r="101" spans="1:14" ht="15.75" thickBot="1">
      <c r="A101" s="38" t="s">
        <v>1237</v>
      </c>
      <c r="B101" s="106" t="s">
        <v>575</v>
      </c>
      <c r="C101" s="106" t="s">
        <v>808</v>
      </c>
      <c r="D101" s="106"/>
      <c r="E101" s="106" t="s">
        <v>394</v>
      </c>
      <c r="F101" s="106"/>
      <c r="G101" s="106" t="s">
        <v>836</v>
      </c>
      <c r="H101" s="106" t="s">
        <v>830</v>
      </c>
      <c r="I101" s="106" t="s">
        <v>805</v>
      </c>
      <c r="J101" s="106" t="s">
        <v>911</v>
      </c>
      <c r="K101" s="106" t="s">
        <v>912</v>
      </c>
      <c r="M101" t="s">
        <v>810</v>
      </c>
      <c r="N101" t="s">
        <v>906</v>
      </c>
    </row>
    <row r="102" spans="1:14" ht="15.75" thickBot="1">
      <c r="A102" s="38" t="s">
        <v>1237</v>
      </c>
      <c r="B102" s="106" t="s">
        <v>574</v>
      </c>
      <c r="C102" s="106" t="s">
        <v>808</v>
      </c>
      <c r="D102" s="106"/>
      <c r="E102" s="106" t="s">
        <v>393</v>
      </c>
      <c r="F102" s="106"/>
      <c r="G102" s="106" t="s">
        <v>836</v>
      </c>
      <c r="H102" s="106" t="s">
        <v>830</v>
      </c>
      <c r="I102" s="106" t="s">
        <v>805</v>
      </c>
      <c r="J102" s="106" t="s">
        <v>911</v>
      </c>
      <c r="K102" s="106" t="s">
        <v>912</v>
      </c>
    </row>
    <row r="103" spans="1:14" ht="15.75" thickBot="1">
      <c r="A103" s="38" t="s">
        <v>1237</v>
      </c>
      <c r="B103" s="106" t="s">
        <v>573</v>
      </c>
      <c r="C103" s="106" t="s">
        <v>808</v>
      </c>
      <c r="D103" s="106"/>
      <c r="E103" s="106" t="s">
        <v>392</v>
      </c>
      <c r="F103" s="106"/>
      <c r="G103" s="106" t="s">
        <v>836</v>
      </c>
      <c r="H103" s="106" t="s">
        <v>830</v>
      </c>
      <c r="I103" s="106" t="s">
        <v>805</v>
      </c>
      <c r="J103" s="106" t="s">
        <v>913</v>
      </c>
      <c r="K103" s="106" t="s">
        <v>914</v>
      </c>
    </row>
    <row r="104" spans="1:14" ht="15.75" thickBot="1">
      <c r="A104" s="34" t="s">
        <v>1238</v>
      </c>
      <c r="B104" s="106" t="s">
        <v>572</v>
      </c>
      <c r="C104" s="106" t="s">
        <v>777</v>
      </c>
      <c r="D104" s="106"/>
      <c r="E104" s="106" t="s">
        <v>391</v>
      </c>
      <c r="F104" s="106"/>
      <c r="G104" s="106" t="s">
        <v>896</v>
      </c>
      <c r="H104" s="106" t="s">
        <v>836</v>
      </c>
      <c r="I104" s="106" t="s">
        <v>805</v>
      </c>
      <c r="J104" s="106" t="s">
        <v>897</v>
      </c>
      <c r="K104" s="106" t="s">
        <v>898</v>
      </c>
    </row>
    <row r="105" spans="1:14" ht="15.75" thickBot="1">
      <c r="A105" s="34" t="s">
        <v>1238</v>
      </c>
      <c r="B105" s="106" t="s">
        <v>571</v>
      </c>
      <c r="C105" s="106" t="s">
        <v>777</v>
      </c>
      <c r="D105" s="106"/>
      <c r="E105" s="106" t="s">
        <v>390</v>
      </c>
      <c r="F105" s="106"/>
      <c r="G105" s="106" t="s">
        <v>915</v>
      </c>
      <c r="H105" s="106" t="s">
        <v>901</v>
      </c>
      <c r="I105" s="106" t="s">
        <v>805</v>
      </c>
      <c r="J105" s="106" t="s">
        <v>897</v>
      </c>
      <c r="K105" s="106" t="s">
        <v>898</v>
      </c>
    </row>
    <row r="106" spans="1:14" ht="15.75" thickBot="1">
      <c r="A106" s="34" t="s">
        <v>1238</v>
      </c>
      <c r="B106" s="106" t="s">
        <v>570</v>
      </c>
      <c r="C106" s="106" t="s">
        <v>777</v>
      </c>
      <c r="D106" s="106" t="s">
        <v>902</v>
      </c>
      <c r="E106" s="106" t="s">
        <v>374</v>
      </c>
      <c r="F106" s="106"/>
      <c r="G106" s="106" t="s">
        <v>904</v>
      </c>
      <c r="H106" s="106" t="s">
        <v>836</v>
      </c>
      <c r="I106" s="106" t="s">
        <v>905</v>
      </c>
      <c r="J106" s="106" t="s">
        <v>805</v>
      </c>
      <c r="K106" s="106"/>
    </row>
    <row r="107" spans="1:14" ht="15.75" thickBot="1">
      <c r="A107" s="34" t="s">
        <v>1238</v>
      </c>
      <c r="B107" s="106" t="s">
        <v>569</v>
      </c>
      <c r="C107" s="106" t="s">
        <v>808</v>
      </c>
      <c r="D107" s="106"/>
      <c r="E107" s="106" t="s">
        <v>389</v>
      </c>
      <c r="F107" s="106"/>
      <c r="G107" s="106" t="s">
        <v>836</v>
      </c>
      <c r="H107" s="106" t="s">
        <v>830</v>
      </c>
      <c r="I107" s="106"/>
      <c r="J107" s="106"/>
      <c r="K107" s="106"/>
      <c r="M107" t="s">
        <v>810</v>
      </c>
      <c r="N107" t="s">
        <v>906</v>
      </c>
    </row>
    <row r="108" spans="1:14" ht="15.75" thickBot="1">
      <c r="A108" s="34" t="s">
        <v>1238</v>
      </c>
      <c r="B108" s="106" t="s">
        <v>568</v>
      </c>
      <c r="C108" s="106" t="s">
        <v>777</v>
      </c>
      <c r="D108" s="106"/>
      <c r="E108" s="106" t="s">
        <v>916</v>
      </c>
      <c r="F108" s="106"/>
      <c r="G108" s="106"/>
      <c r="H108" s="106"/>
      <c r="I108" s="106"/>
      <c r="J108" s="106"/>
      <c r="K108" s="106"/>
    </row>
    <row r="109" spans="1:14" ht="15.75" thickBot="1">
      <c r="A109" s="34" t="s">
        <v>1238</v>
      </c>
      <c r="B109" s="106" t="s">
        <v>567</v>
      </c>
      <c r="C109" s="106" t="s">
        <v>808</v>
      </c>
      <c r="D109" s="106"/>
      <c r="E109" s="106" t="s">
        <v>388</v>
      </c>
      <c r="F109" s="106"/>
      <c r="G109" s="106" t="s">
        <v>836</v>
      </c>
      <c r="H109" s="106" t="s">
        <v>830</v>
      </c>
      <c r="I109" s="106" t="s">
        <v>805</v>
      </c>
      <c r="J109" s="106" t="s">
        <v>917</v>
      </c>
      <c r="K109" s="106" t="s">
        <v>918</v>
      </c>
      <c r="M109" t="s">
        <v>810</v>
      </c>
      <c r="N109" t="s">
        <v>906</v>
      </c>
    </row>
    <row r="110" spans="1:14" ht="15.75" thickBot="1">
      <c r="A110" s="34" t="s">
        <v>1238</v>
      </c>
      <c r="B110" s="106" t="s">
        <v>566</v>
      </c>
      <c r="C110" s="106" t="s">
        <v>808</v>
      </c>
      <c r="D110" s="106"/>
      <c r="E110" s="106" t="s">
        <v>387</v>
      </c>
      <c r="F110" s="106"/>
      <c r="G110" s="106" t="s">
        <v>836</v>
      </c>
      <c r="H110" s="106" t="s">
        <v>830</v>
      </c>
      <c r="I110" s="106" t="s">
        <v>805</v>
      </c>
      <c r="J110" s="106" t="s">
        <v>919</v>
      </c>
      <c r="K110" s="106" t="s">
        <v>920</v>
      </c>
      <c r="M110" t="s">
        <v>810</v>
      </c>
      <c r="N110" t="s">
        <v>906</v>
      </c>
    </row>
    <row r="111" spans="1:14" ht="15.75" thickBot="1">
      <c r="A111" s="34" t="s">
        <v>1238</v>
      </c>
      <c r="B111" s="106" t="s">
        <v>565</v>
      </c>
      <c r="C111" s="106" t="s">
        <v>808</v>
      </c>
      <c r="D111" s="106"/>
      <c r="E111" s="106" t="s">
        <v>386</v>
      </c>
      <c r="F111" s="106"/>
      <c r="G111" s="106" t="s">
        <v>836</v>
      </c>
      <c r="H111" s="106" t="s">
        <v>830</v>
      </c>
      <c r="I111" s="106" t="s">
        <v>805</v>
      </c>
      <c r="J111" s="106" t="s">
        <v>921</v>
      </c>
      <c r="K111" s="106" t="s">
        <v>922</v>
      </c>
      <c r="M111" t="s">
        <v>810</v>
      </c>
      <c r="N111" t="s">
        <v>906</v>
      </c>
    </row>
    <row r="112" spans="1:14" ht="15.75" thickBot="1">
      <c r="A112" s="34" t="s">
        <v>1238</v>
      </c>
      <c r="B112" s="106" t="s">
        <v>564</v>
      </c>
      <c r="C112" s="106" t="s">
        <v>777</v>
      </c>
      <c r="D112" s="106"/>
      <c r="E112" s="106" t="s">
        <v>385</v>
      </c>
      <c r="F112" s="106"/>
      <c r="G112" s="106" t="s">
        <v>923</v>
      </c>
      <c r="H112" s="106" t="s">
        <v>836</v>
      </c>
      <c r="I112" s="106" t="s">
        <v>924</v>
      </c>
      <c r="J112" s="106" t="s">
        <v>805</v>
      </c>
      <c r="K112" s="106"/>
    </row>
    <row r="113" spans="1:13" ht="15.75" thickBot="1">
      <c r="A113" s="38" t="s">
        <v>1105</v>
      </c>
      <c r="B113" s="106" t="s">
        <v>748</v>
      </c>
      <c r="C113" s="106" t="s">
        <v>777</v>
      </c>
      <c r="D113" s="106"/>
      <c r="E113" s="106" t="s">
        <v>1104</v>
      </c>
      <c r="F113" s="106"/>
      <c r="G113" s="106" t="s">
        <v>804</v>
      </c>
      <c r="H113" s="106" t="s">
        <v>836</v>
      </c>
      <c r="I113" s="106" t="s">
        <v>836</v>
      </c>
      <c r="J113" s="106" t="s">
        <v>836</v>
      </c>
      <c r="K113" s="106" t="s">
        <v>836</v>
      </c>
    </row>
    <row r="114" spans="1:13" ht="15.75" thickBot="1">
      <c r="A114" s="38" t="s">
        <v>1105</v>
      </c>
      <c r="B114" s="106" t="s">
        <v>749</v>
      </c>
      <c r="C114" s="106" t="s">
        <v>777</v>
      </c>
      <c r="D114" s="106"/>
      <c r="E114" s="106" t="s">
        <v>383</v>
      </c>
      <c r="F114" s="106"/>
      <c r="G114" s="124" t="s">
        <v>1863</v>
      </c>
      <c r="H114" s="106" t="s">
        <v>836</v>
      </c>
      <c r="I114" s="106" t="s">
        <v>805</v>
      </c>
      <c r="J114" s="106" t="s">
        <v>925</v>
      </c>
      <c r="K114" s="106" t="s">
        <v>926</v>
      </c>
      <c r="M114" s="112" t="s">
        <v>794</v>
      </c>
    </row>
    <row r="115" spans="1:13" ht="15.75" thickBot="1">
      <c r="A115" s="38" t="s">
        <v>1106</v>
      </c>
      <c r="B115" s="106" t="s">
        <v>563</v>
      </c>
      <c r="C115" s="106" t="s">
        <v>777</v>
      </c>
      <c r="D115" s="106"/>
      <c r="E115" s="106" t="s">
        <v>382</v>
      </c>
      <c r="F115" s="106"/>
      <c r="G115" s="106" t="s">
        <v>927</v>
      </c>
      <c r="H115" s="106" t="s">
        <v>860</v>
      </c>
      <c r="I115" s="106" t="s">
        <v>805</v>
      </c>
      <c r="J115" s="106"/>
      <c r="K115" s="106"/>
      <c r="L115" t="s">
        <v>899</v>
      </c>
      <c r="M115" s="112" t="s">
        <v>794</v>
      </c>
    </row>
    <row r="116" spans="1:13" ht="15.75" thickBot="1">
      <c r="A116" s="38" t="s">
        <v>1106</v>
      </c>
      <c r="B116" s="106" t="s">
        <v>562</v>
      </c>
      <c r="C116" s="106" t="s">
        <v>777</v>
      </c>
      <c r="D116" s="106"/>
      <c r="E116" s="106" t="s">
        <v>381</v>
      </c>
      <c r="F116" s="106"/>
      <c r="G116" s="106" t="s">
        <v>804</v>
      </c>
      <c r="H116" s="106" t="s">
        <v>836</v>
      </c>
      <c r="I116" s="106" t="s">
        <v>836</v>
      </c>
      <c r="J116" s="106" t="s">
        <v>836</v>
      </c>
      <c r="K116" s="106" t="s">
        <v>836</v>
      </c>
    </row>
    <row r="117" spans="1:13" ht="15.75" thickBot="1">
      <c r="A117" s="34" t="s">
        <v>1107</v>
      </c>
      <c r="B117" s="106" t="s">
        <v>561</v>
      </c>
      <c r="C117" s="106" t="s">
        <v>777</v>
      </c>
      <c r="D117" s="106"/>
      <c r="E117" s="106" t="s">
        <v>380</v>
      </c>
      <c r="F117" s="106"/>
      <c r="G117" s="106" t="s">
        <v>804</v>
      </c>
      <c r="H117" s="106" t="s">
        <v>836</v>
      </c>
      <c r="I117" s="106" t="s">
        <v>836</v>
      </c>
      <c r="J117" s="106" t="s">
        <v>836</v>
      </c>
      <c r="K117" s="106" t="s">
        <v>836</v>
      </c>
    </row>
    <row r="118" spans="1:13" ht="15.75" thickBot="1">
      <c r="A118" s="34" t="s">
        <v>1107</v>
      </c>
      <c r="B118" s="106" t="s">
        <v>928</v>
      </c>
      <c r="C118" s="106" t="s">
        <v>777</v>
      </c>
      <c r="D118" s="106"/>
      <c r="E118" s="106" t="s">
        <v>929</v>
      </c>
      <c r="F118" s="106"/>
      <c r="G118" s="22" t="s">
        <v>1698</v>
      </c>
      <c r="H118" s="106" t="s">
        <v>836</v>
      </c>
      <c r="I118" s="106" t="s">
        <v>805</v>
      </c>
      <c r="J118" s="106" t="s">
        <v>930</v>
      </c>
      <c r="K118" s="106" t="s">
        <v>931</v>
      </c>
    </row>
    <row r="119" spans="1:13" ht="15.75" thickBot="1">
      <c r="A119" s="34" t="s">
        <v>1108</v>
      </c>
      <c r="B119" s="106" t="s">
        <v>932</v>
      </c>
      <c r="C119" s="106" t="s">
        <v>777</v>
      </c>
      <c r="D119" s="106"/>
      <c r="E119" s="106" t="s">
        <v>378</v>
      </c>
      <c r="F119" s="106"/>
      <c r="G119" s="106" t="s">
        <v>1942</v>
      </c>
      <c r="H119" s="106" t="s">
        <v>836</v>
      </c>
      <c r="I119" s="106" t="s">
        <v>805</v>
      </c>
      <c r="J119" s="106" t="s">
        <v>930</v>
      </c>
      <c r="K119" s="106" t="s">
        <v>931</v>
      </c>
    </row>
    <row r="120" spans="1:13" ht="15.75" thickBot="1">
      <c r="A120" s="34" t="s">
        <v>1108</v>
      </c>
      <c r="B120" s="106" t="s">
        <v>933</v>
      </c>
      <c r="C120" s="106" t="s">
        <v>777</v>
      </c>
      <c r="D120" s="106" t="s">
        <v>902</v>
      </c>
      <c r="E120" s="106" t="s">
        <v>377</v>
      </c>
      <c r="F120" s="106"/>
      <c r="G120" s="106" t="s">
        <v>934</v>
      </c>
      <c r="H120" s="106" t="s">
        <v>836</v>
      </c>
      <c r="I120" s="106" t="s">
        <v>805</v>
      </c>
      <c r="J120" s="106"/>
      <c r="K120" s="106"/>
      <c r="L120" t="s">
        <v>899</v>
      </c>
      <c r="M120" s="112" t="s">
        <v>794</v>
      </c>
    </row>
    <row r="121" spans="1:13" ht="15.75" thickBot="1">
      <c r="A121" s="34" t="s">
        <v>1108</v>
      </c>
      <c r="B121" s="106" t="s">
        <v>935</v>
      </c>
      <c r="C121" s="106" t="s">
        <v>808</v>
      </c>
      <c r="D121" s="106"/>
      <c r="E121" s="106" t="s">
        <v>376</v>
      </c>
      <c r="F121" s="106"/>
      <c r="G121" s="106" t="s">
        <v>836</v>
      </c>
      <c r="H121" s="106" t="s">
        <v>830</v>
      </c>
      <c r="I121" s="106" t="s">
        <v>805</v>
      </c>
      <c r="J121" s="106" t="s">
        <v>936</v>
      </c>
      <c r="K121" s="106" t="s">
        <v>891</v>
      </c>
      <c r="M121" t="s">
        <v>906</v>
      </c>
    </row>
    <row r="122" spans="1:13" ht="15.75" thickBot="1">
      <c r="A122" s="38" t="s">
        <v>1115</v>
      </c>
      <c r="B122" s="106" t="s">
        <v>548</v>
      </c>
      <c r="C122" s="106" t="s">
        <v>777</v>
      </c>
      <c r="D122" s="106"/>
      <c r="E122" s="106" t="s">
        <v>350</v>
      </c>
      <c r="F122" s="106"/>
      <c r="G122" s="106" t="s">
        <v>804</v>
      </c>
      <c r="H122" s="106" t="s">
        <v>860</v>
      </c>
      <c r="I122" s="106" t="s">
        <v>836</v>
      </c>
      <c r="J122" s="106" t="s">
        <v>836</v>
      </c>
      <c r="K122" s="106" t="s">
        <v>836</v>
      </c>
    </row>
    <row r="123" spans="1:13" ht="15.75" thickBot="1">
      <c r="A123" s="38" t="s">
        <v>1115</v>
      </c>
      <c r="B123" s="106" t="s">
        <v>547</v>
      </c>
      <c r="C123" s="106" t="s">
        <v>777</v>
      </c>
      <c r="D123" s="106"/>
      <c r="E123" s="106" t="s">
        <v>1114</v>
      </c>
      <c r="F123" s="106"/>
      <c r="G123" s="106" t="s">
        <v>1228</v>
      </c>
      <c r="H123" s="106" t="s">
        <v>863</v>
      </c>
      <c r="I123" s="106" t="s">
        <v>805</v>
      </c>
      <c r="J123" s="106" t="s">
        <v>937</v>
      </c>
      <c r="K123" s="106" t="s">
        <v>938</v>
      </c>
      <c r="L123" t="s">
        <v>899</v>
      </c>
      <c r="M123" s="112" t="s">
        <v>794</v>
      </c>
    </row>
    <row r="124" spans="1:13" ht="15.75" thickBot="1">
      <c r="A124" s="38" t="s">
        <v>1115</v>
      </c>
      <c r="B124" s="106" t="s">
        <v>2515</v>
      </c>
      <c r="C124" s="106"/>
      <c r="D124" s="106"/>
      <c r="E124" s="25"/>
      <c r="F124" s="106"/>
      <c r="G124" s="106"/>
      <c r="H124" s="106"/>
      <c r="I124" s="106"/>
      <c r="J124" s="106"/>
      <c r="K124" s="106"/>
      <c r="M124" s="112"/>
    </row>
    <row r="125" spans="1:13" ht="15.75" thickBot="1">
      <c r="A125" s="38" t="s">
        <v>1115</v>
      </c>
      <c r="B125" s="106" t="s">
        <v>2516</v>
      </c>
      <c r="C125" s="106"/>
      <c r="D125" s="106"/>
      <c r="E125" s="25"/>
      <c r="F125" s="106"/>
      <c r="G125" s="106"/>
      <c r="H125" s="106"/>
      <c r="I125" s="106"/>
      <c r="J125" s="106"/>
      <c r="K125" s="106"/>
      <c r="M125" s="112"/>
    </row>
    <row r="126" spans="1:13" ht="15.75" thickBot="1">
      <c r="A126" s="38" t="s">
        <v>1116</v>
      </c>
      <c r="B126" s="106" t="s">
        <v>2512</v>
      </c>
      <c r="C126" s="106" t="s">
        <v>777</v>
      </c>
      <c r="D126" s="106"/>
      <c r="E126" s="25" t="s">
        <v>374</v>
      </c>
      <c r="F126" s="106"/>
      <c r="G126" s="106" t="s">
        <v>904</v>
      </c>
      <c r="H126" s="106" t="s">
        <v>836</v>
      </c>
      <c r="I126" s="106" t="s">
        <v>805</v>
      </c>
      <c r="J126" s="106"/>
      <c r="K126" s="106"/>
      <c r="M126" s="112"/>
    </row>
    <row r="127" spans="1:13" ht="15.75" thickBot="1">
      <c r="A127" s="38" t="s">
        <v>1116</v>
      </c>
      <c r="B127" s="106" t="s">
        <v>545</v>
      </c>
      <c r="C127" s="106" t="s">
        <v>808</v>
      </c>
      <c r="D127" s="106"/>
      <c r="E127" s="106" t="s">
        <v>373</v>
      </c>
      <c r="F127" s="106"/>
      <c r="G127" s="106" t="s">
        <v>836</v>
      </c>
      <c r="H127" s="106" t="s">
        <v>830</v>
      </c>
      <c r="I127" s="106" t="s">
        <v>805</v>
      </c>
      <c r="J127" s="106" t="s">
        <v>939</v>
      </c>
      <c r="K127" s="106" t="s">
        <v>940</v>
      </c>
      <c r="M127" s="112"/>
    </row>
    <row r="128" spans="1:13" ht="15.75" thickBot="1">
      <c r="A128" s="38" t="s">
        <v>1116</v>
      </c>
      <c r="B128" s="106" t="s">
        <v>2513</v>
      </c>
      <c r="C128" s="106" t="s">
        <v>777</v>
      </c>
      <c r="D128" s="106"/>
      <c r="E128" s="25" t="s">
        <v>374</v>
      </c>
      <c r="F128" s="106"/>
      <c r="G128" s="106" t="s">
        <v>904</v>
      </c>
      <c r="H128" s="106" t="s">
        <v>836</v>
      </c>
      <c r="I128" s="106" t="s">
        <v>805</v>
      </c>
      <c r="J128" s="106"/>
      <c r="K128" s="106"/>
      <c r="M128" s="112"/>
    </row>
    <row r="129" spans="1:13" ht="15.75" thickBot="1">
      <c r="A129" s="38" t="s">
        <v>1116</v>
      </c>
      <c r="B129" s="106" t="s">
        <v>544</v>
      </c>
      <c r="C129" s="106" t="s">
        <v>808</v>
      </c>
      <c r="D129" s="106"/>
      <c r="E129" s="106" t="s">
        <v>372</v>
      </c>
      <c r="F129" s="106"/>
      <c r="G129" s="106" t="s">
        <v>836</v>
      </c>
      <c r="H129" s="106" t="s">
        <v>830</v>
      </c>
      <c r="I129" s="106" t="s">
        <v>805</v>
      </c>
      <c r="J129" s="106" t="s">
        <v>941</v>
      </c>
      <c r="K129" s="106" t="s">
        <v>942</v>
      </c>
      <c r="M129" s="112" t="s">
        <v>794</v>
      </c>
    </row>
    <row r="130" spans="1:13" ht="15.75" thickBot="1">
      <c r="A130" s="38" t="s">
        <v>1116</v>
      </c>
      <c r="B130" s="106" t="s">
        <v>2514</v>
      </c>
      <c r="C130" s="106" t="s">
        <v>777</v>
      </c>
      <c r="D130" s="106"/>
      <c r="E130" s="25" t="s">
        <v>374</v>
      </c>
      <c r="F130" s="106"/>
      <c r="G130" s="106" t="s">
        <v>904</v>
      </c>
      <c r="H130" s="106" t="s">
        <v>836</v>
      </c>
      <c r="I130" s="106" t="s">
        <v>805</v>
      </c>
      <c r="J130" s="106"/>
      <c r="K130" s="106"/>
      <c r="M130" s="112"/>
    </row>
    <row r="131" spans="1:13" ht="15.75" thickBot="1">
      <c r="A131" s="38" t="s">
        <v>1116</v>
      </c>
      <c r="B131" s="106" t="s">
        <v>543</v>
      </c>
      <c r="C131" s="106" t="s">
        <v>808</v>
      </c>
      <c r="D131" s="106"/>
      <c r="E131" s="106" t="s">
        <v>371</v>
      </c>
      <c r="F131" s="106"/>
      <c r="G131" s="106" t="s">
        <v>836</v>
      </c>
      <c r="H131" s="106" t="s">
        <v>830</v>
      </c>
      <c r="I131" s="106" t="s">
        <v>805</v>
      </c>
      <c r="J131" s="106" t="s">
        <v>943</v>
      </c>
      <c r="K131" s="106" t="s">
        <v>944</v>
      </c>
    </row>
    <row r="132" spans="1:13" ht="15.75" thickBot="1">
      <c r="A132" s="38" t="s">
        <v>1116</v>
      </c>
      <c r="B132" s="106" t="s">
        <v>542</v>
      </c>
      <c r="C132" s="106" t="s">
        <v>777</v>
      </c>
      <c r="D132" s="106"/>
      <c r="E132" s="106" t="s">
        <v>370</v>
      </c>
      <c r="F132" s="106"/>
      <c r="G132" s="106" t="s">
        <v>945</v>
      </c>
      <c r="H132" s="106" t="s">
        <v>836</v>
      </c>
      <c r="I132" s="106" t="s">
        <v>805</v>
      </c>
      <c r="J132" s="106" t="s">
        <v>946</v>
      </c>
      <c r="K132" s="106" t="s">
        <v>947</v>
      </c>
    </row>
    <row r="133" spans="1:13" ht="15.75" thickBot="1">
      <c r="A133" s="38" t="s">
        <v>1116</v>
      </c>
      <c r="B133" s="106" t="s">
        <v>541</v>
      </c>
      <c r="C133" s="106" t="s">
        <v>777</v>
      </c>
      <c r="D133" s="106"/>
      <c r="E133" s="106" t="s">
        <v>369</v>
      </c>
      <c r="F133" s="106"/>
      <c r="G133" s="106" t="s">
        <v>948</v>
      </c>
      <c r="H133" s="106" t="s">
        <v>860</v>
      </c>
      <c r="I133" s="106" t="s">
        <v>805</v>
      </c>
      <c r="J133" s="106" t="s">
        <v>949</v>
      </c>
      <c r="K133" s="106" t="s">
        <v>950</v>
      </c>
    </row>
    <row r="134" spans="1:13" ht="15.75" thickBot="1">
      <c r="A134" s="38" t="s">
        <v>1116</v>
      </c>
      <c r="B134" s="106" t="s">
        <v>540</v>
      </c>
      <c r="C134" s="106" t="s">
        <v>777</v>
      </c>
      <c r="D134" s="106"/>
      <c r="E134" s="106" t="s">
        <v>368</v>
      </c>
      <c r="F134" s="106"/>
      <c r="G134" s="4" t="s">
        <v>951</v>
      </c>
      <c r="H134" s="106"/>
      <c r="I134" s="106"/>
      <c r="J134" s="106"/>
      <c r="K134" s="106"/>
    </row>
    <row r="135" spans="1:13" ht="15.75" thickBot="1">
      <c r="A135" s="38" t="s">
        <v>1116</v>
      </c>
      <c r="B135" s="106" t="s">
        <v>539</v>
      </c>
      <c r="C135" s="106" t="s">
        <v>777</v>
      </c>
      <c r="D135" s="106"/>
      <c r="E135" s="106" t="s">
        <v>367</v>
      </c>
      <c r="F135" s="106"/>
      <c r="G135" s="106" t="s">
        <v>952</v>
      </c>
      <c r="H135" s="106" t="s">
        <v>2</v>
      </c>
      <c r="I135" s="106" t="s">
        <v>805</v>
      </c>
      <c r="J135" s="106"/>
      <c r="K135" s="106"/>
    </row>
    <row r="136" spans="1:13" ht="15.75" thickBot="1">
      <c r="A136" s="38" t="s">
        <v>1116</v>
      </c>
      <c r="B136" s="106" t="s">
        <v>538</v>
      </c>
      <c r="C136" s="106" t="s">
        <v>777</v>
      </c>
      <c r="D136" s="106"/>
      <c r="E136" s="106" t="s">
        <v>363</v>
      </c>
      <c r="F136" s="106"/>
      <c r="G136" s="106" t="s">
        <v>953</v>
      </c>
      <c r="H136" s="106" t="s">
        <v>954</v>
      </c>
      <c r="I136" s="106" t="s">
        <v>805</v>
      </c>
      <c r="J136" s="106"/>
      <c r="K136" s="106"/>
    </row>
    <row r="137" spans="1:13" ht="15.75" thickBot="1">
      <c r="A137" s="38" t="s">
        <v>1116</v>
      </c>
      <c r="B137" s="106" t="s">
        <v>537</v>
      </c>
      <c r="C137" s="106" t="s">
        <v>808</v>
      </c>
      <c r="D137" s="106"/>
      <c r="E137" s="106" t="s">
        <v>366</v>
      </c>
      <c r="F137" s="106"/>
      <c r="G137" s="106" t="s">
        <v>830</v>
      </c>
      <c r="H137" s="106" t="s">
        <v>2</v>
      </c>
      <c r="I137" s="106" t="s">
        <v>805</v>
      </c>
      <c r="J137" s="106"/>
      <c r="K137" s="106"/>
    </row>
    <row r="138" spans="1:13" ht="15.75" thickBot="1">
      <c r="A138" s="37" t="s">
        <v>1121</v>
      </c>
      <c r="B138" s="106" t="s">
        <v>536</v>
      </c>
      <c r="C138" s="106" t="s">
        <v>777</v>
      </c>
      <c r="D138" s="106"/>
      <c r="E138" s="106" t="s">
        <v>350</v>
      </c>
      <c r="F138" s="106"/>
      <c r="G138" s="106" t="s">
        <v>804</v>
      </c>
      <c r="H138" s="106" t="s">
        <v>860</v>
      </c>
      <c r="I138" s="106" t="s">
        <v>836</v>
      </c>
      <c r="J138" s="106" t="s">
        <v>836</v>
      </c>
      <c r="K138" s="106" t="s">
        <v>836</v>
      </c>
    </row>
    <row r="139" spans="1:13" ht="15.75" thickBot="1">
      <c r="A139" s="37" t="s">
        <v>1121</v>
      </c>
      <c r="B139" s="106" t="s">
        <v>535</v>
      </c>
      <c r="C139" s="106" t="s">
        <v>777</v>
      </c>
      <c r="D139" s="106"/>
      <c r="E139" s="106" t="s">
        <v>365</v>
      </c>
      <c r="F139" s="106"/>
      <c r="G139" s="106" t="s">
        <v>955</v>
      </c>
      <c r="H139" s="106" t="s">
        <v>836</v>
      </c>
      <c r="I139" s="106" t="s">
        <v>805</v>
      </c>
      <c r="J139" s="106" t="s">
        <v>956</v>
      </c>
      <c r="K139" s="106" t="s">
        <v>957</v>
      </c>
    </row>
    <row r="140" spans="1:13" ht="15.75" thickBot="1">
      <c r="A140" s="37" t="s">
        <v>1120</v>
      </c>
      <c r="B140" s="106" t="s">
        <v>534</v>
      </c>
      <c r="C140" s="106" t="s">
        <v>777</v>
      </c>
      <c r="D140" s="106"/>
      <c r="E140" s="106" t="s">
        <v>364</v>
      </c>
      <c r="F140" s="106"/>
      <c r="G140" s="106" t="s">
        <v>958</v>
      </c>
      <c r="H140" s="106" t="s">
        <v>860</v>
      </c>
      <c r="I140" s="106" t="s">
        <v>805</v>
      </c>
      <c r="J140" s="106" t="s">
        <v>959</v>
      </c>
      <c r="K140" s="106" t="s">
        <v>960</v>
      </c>
    </row>
    <row r="141" spans="1:13" ht="15.75" thickBot="1">
      <c r="A141" s="37" t="s">
        <v>1120</v>
      </c>
      <c r="B141" s="106" t="s">
        <v>1118</v>
      </c>
      <c r="C141" s="106" t="s">
        <v>777</v>
      </c>
      <c r="D141" s="106"/>
      <c r="E141" s="106" t="s">
        <v>363</v>
      </c>
      <c r="F141" s="106"/>
      <c r="G141" s="106" t="s">
        <v>961</v>
      </c>
      <c r="H141" s="106"/>
      <c r="I141" s="106" t="s">
        <v>805</v>
      </c>
      <c r="J141" s="106"/>
      <c r="K141" s="106"/>
    </row>
    <row r="142" spans="1:13" ht="15.75" thickBot="1">
      <c r="A142" s="37" t="s">
        <v>1120</v>
      </c>
      <c r="B142" s="106" t="s">
        <v>1119</v>
      </c>
      <c r="C142" s="106" t="s">
        <v>808</v>
      </c>
      <c r="D142" s="106"/>
      <c r="E142" s="106" t="s">
        <v>362</v>
      </c>
      <c r="F142" s="106" t="s">
        <v>836</v>
      </c>
      <c r="G142" s="106" t="s">
        <v>830</v>
      </c>
      <c r="H142" s="106"/>
      <c r="I142" s="106" t="s">
        <v>805</v>
      </c>
      <c r="J142" s="106"/>
      <c r="K142" s="106"/>
    </row>
    <row r="143" spans="1:13" ht="15.75" thickBot="1">
      <c r="A143" s="62" t="s">
        <v>1122</v>
      </c>
      <c r="B143" s="106" t="s">
        <v>533</v>
      </c>
      <c r="C143" s="106" t="s">
        <v>777</v>
      </c>
      <c r="D143" s="106"/>
      <c r="E143" s="106" t="s">
        <v>350</v>
      </c>
      <c r="F143" s="106"/>
      <c r="G143" s="106" t="s">
        <v>804</v>
      </c>
      <c r="H143" s="106" t="s">
        <v>860</v>
      </c>
      <c r="I143" s="106" t="s">
        <v>836</v>
      </c>
      <c r="J143" s="106" t="s">
        <v>836</v>
      </c>
      <c r="K143" s="106" t="s">
        <v>836</v>
      </c>
    </row>
    <row r="144" spans="1:13" ht="15.75" thickBot="1">
      <c r="A144" s="62" t="s">
        <v>1122</v>
      </c>
      <c r="B144" s="106" t="s">
        <v>532</v>
      </c>
      <c r="C144" s="106" t="s">
        <v>777</v>
      </c>
      <c r="D144" s="106"/>
      <c r="E144" s="106" t="s">
        <v>361</v>
      </c>
      <c r="F144" s="106"/>
      <c r="G144" s="24" t="s">
        <v>1700</v>
      </c>
      <c r="H144" s="106"/>
      <c r="I144" s="106" t="s">
        <v>805</v>
      </c>
      <c r="J144" s="106" t="s">
        <v>836</v>
      </c>
      <c r="K144" s="106" t="s">
        <v>836</v>
      </c>
    </row>
    <row r="145" spans="1:11" ht="15.75" thickBot="1">
      <c r="A145" s="62" t="s">
        <v>1122</v>
      </c>
      <c r="B145" s="106" t="s">
        <v>2518</v>
      </c>
      <c r="C145" s="106" t="s">
        <v>777</v>
      </c>
      <c r="D145" s="106"/>
      <c r="E145" s="25"/>
      <c r="F145" s="107"/>
      <c r="G145" s="22"/>
      <c r="H145" s="107"/>
      <c r="I145" s="107"/>
      <c r="J145" s="107"/>
      <c r="K145" s="107"/>
    </row>
    <row r="146" spans="1:11" ht="15.75" thickBot="1">
      <c r="A146" s="62" t="s">
        <v>1123</v>
      </c>
      <c r="B146" s="106" t="s">
        <v>531</v>
      </c>
      <c r="C146" s="106" t="s">
        <v>877</v>
      </c>
      <c r="D146" s="106"/>
      <c r="E146" s="106" t="s">
        <v>1128</v>
      </c>
      <c r="F146" s="107"/>
      <c r="G146" s="107"/>
      <c r="H146" s="107"/>
      <c r="I146" s="107"/>
      <c r="J146" s="107"/>
      <c r="K146" s="107"/>
    </row>
    <row r="147" spans="1:11" ht="15.75" thickBot="1">
      <c r="A147" s="62" t="s">
        <v>1123</v>
      </c>
      <c r="B147" s="106" t="s">
        <v>530</v>
      </c>
      <c r="C147" s="106" t="s">
        <v>877</v>
      </c>
      <c r="D147" s="106"/>
      <c r="E147" s="106" t="s">
        <v>1129</v>
      </c>
      <c r="F147" s="107"/>
      <c r="G147" s="107"/>
      <c r="H147" s="107"/>
      <c r="I147" s="107"/>
      <c r="J147" s="107"/>
      <c r="K147" s="107"/>
    </row>
    <row r="148" spans="1:11" ht="15.75" thickBot="1">
      <c r="A148" s="62" t="s">
        <v>1123</v>
      </c>
      <c r="B148" s="106" t="s">
        <v>529</v>
      </c>
      <c r="C148" s="106" t="s">
        <v>777</v>
      </c>
      <c r="D148" s="106"/>
      <c r="E148" s="106" t="s">
        <v>358</v>
      </c>
      <c r="F148" s="107"/>
      <c r="G148" s="107" t="s">
        <v>962</v>
      </c>
      <c r="H148" s="107" t="s">
        <v>836</v>
      </c>
      <c r="I148" s="107" t="s">
        <v>805</v>
      </c>
      <c r="J148" s="107"/>
      <c r="K148" s="107"/>
    </row>
    <row r="149" spans="1:11" ht="15.75" thickBot="1">
      <c r="A149" s="62" t="s">
        <v>1123</v>
      </c>
      <c r="B149" s="106" t="s">
        <v>528</v>
      </c>
      <c r="C149" s="106" t="s">
        <v>808</v>
      </c>
      <c r="D149" s="106"/>
      <c r="E149" s="106" t="s">
        <v>357</v>
      </c>
      <c r="F149" s="107"/>
      <c r="G149" s="107" t="s">
        <v>836</v>
      </c>
      <c r="H149" s="107" t="s">
        <v>830</v>
      </c>
      <c r="I149" s="107"/>
      <c r="J149" s="107"/>
      <c r="K149" s="107"/>
    </row>
    <row r="150" spans="1:11" ht="15.75" thickBot="1">
      <c r="A150" s="62" t="s">
        <v>1123</v>
      </c>
      <c r="B150" s="106" t="s">
        <v>527</v>
      </c>
      <c r="C150" s="106" t="s">
        <v>777</v>
      </c>
      <c r="D150" s="106"/>
      <c r="E150" s="106" t="s">
        <v>356</v>
      </c>
      <c r="F150" s="107"/>
      <c r="G150" s="107" t="s">
        <v>963</v>
      </c>
      <c r="H150" s="107" t="s">
        <v>836</v>
      </c>
      <c r="I150" s="107" t="s">
        <v>805</v>
      </c>
      <c r="J150" s="107" t="s">
        <v>964</v>
      </c>
      <c r="K150" s="107" t="s">
        <v>965</v>
      </c>
    </row>
    <row r="151" spans="1:11" ht="15.75" thickBot="1">
      <c r="A151" s="121" t="s">
        <v>2519</v>
      </c>
      <c r="B151" s="106" t="s">
        <v>526</v>
      </c>
      <c r="C151" s="106" t="s">
        <v>777</v>
      </c>
      <c r="D151" s="106"/>
      <c r="E151" s="106" t="s">
        <v>350</v>
      </c>
      <c r="F151" s="107"/>
      <c r="G151" s="107" t="s">
        <v>804</v>
      </c>
      <c r="H151" s="107" t="s">
        <v>860</v>
      </c>
      <c r="I151" s="107" t="s">
        <v>836</v>
      </c>
      <c r="J151" s="107" t="s">
        <v>836</v>
      </c>
      <c r="K151" s="107" t="s">
        <v>836</v>
      </c>
    </row>
    <row r="152" spans="1:11" ht="15.75" thickBot="1">
      <c r="A152" s="121" t="s">
        <v>2519</v>
      </c>
      <c r="B152" s="106" t="s">
        <v>525</v>
      </c>
      <c r="C152" s="106" t="s">
        <v>777</v>
      </c>
      <c r="D152" s="106"/>
      <c r="E152" s="107" t="s">
        <v>355</v>
      </c>
      <c r="F152" s="107"/>
      <c r="G152" s="22" t="s">
        <v>1701</v>
      </c>
      <c r="H152" s="107" t="s">
        <v>836</v>
      </c>
      <c r="I152" s="107" t="s">
        <v>805</v>
      </c>
      <c r="J152" s="107" t="s">
        <v>966</v>
      </c>
      <c r="K152" s="107" t="s">
        <v>967</v>
      </c>
    </row>
    <row r="153" spans="1:11" ht="15.75" thickBot="1">
      <c r="A153" s="34" t="s">
        <v>1130</v>
      </c>
      <c r="B153" s="106" t="s">
        <v>524</v>
      </c>
      <c r="C153" s="106" t="s">
        <v>777</v>
      </c>
      <c r="D153" s="106"/>
      <c r="E153" s="106" t="s">
        <v>350</v>
      </c>
      <c r="F153" s="106"/>
      <c r="G153" s="106" t="s">
        <v>804</v>
      </c>
      <c r="H153" s="106" t="s">
        <v>860</v>
      </c>
      <c r="I153" s="106" t="s">
        <v>836</v>
      </c>
      <c r="J153" s="106" t="s">
        <v>836</v>
      </c>
      <c r="K153" s="106" t="s">
        <v>836</v>
      </c>
    </row>
    <row r="154" spans="1:11" ht="15.75" thickBot="1">
      <c r="A154" s="34" t="s">
        <v>1130</v>
      </c>
      <c r="B154" s="106" t="s">
        <v>523</v>
      </c>
      <c r="C154" s="106" t="s">
        <v>777</v>
      </c>
      <c r="D154" s="106"/>
      <c r="E154" s="106" t="s">
        <v>354</v>
      </c>
      <c r="F154" s="106"/>
      <c r="G154" s="106" t="s">
        <v>1702</v>
      </c>
      <c r="H154" s="106" t="s">
        <v>836</v>
      </c>
      <c r="I154" s="106" t="s">
        <v>805</v>
      </c>
      <c r="J154" s="106" t="s">
        <v>968</v>
      </c>
      <c r="K154" s="106" t="s">
        <v>969</v>
      </c>
    </row>
    <row r="155" spans="1:11" ht="15.75" thickBot="1">
      <c r="A155" s="34" t="s">
        <v>1131</v>
      </c>
      <c r="B155" s="107" t="s">
        <v>522</v>
      </c>
      <c r="C155" s="106" t="s">
        <v>877</v>
      </c>
      <c r="D155" s="106"/>
      <c r="E155" s="106" t="s">
        <v>353</v>
      </c>
      <c r="F155" s="106"/>
      <c r="G155" s="106" t="s">
        <v>970</v>
      </c>
      <c r="H155" s="106"/>
      <c r="I155" s="106"/>
      <c r="J155" s="106"/>
      <c r="K155" s="106"/>
    </row>
    <row r="156" spans="1:11" ht="15.75" thickBot="1">
      <c r="A156" s="34" t="s">
        <v>1131</v>
      </c>
      <c r="B156" s="107" t="s">
        <v>521</v>
      </c>
      <c r="C156" s="106" t="s">
        <v>877</v>
      </c>
      <c r="D156" s="106"/>
      <c r="E156" s="106" t="s">
        <v>352</v>
      </c>
      <c r="F156" s="106"/>
      <c r="G156" s="106" t="s">
        <v>970</v>
      </c>
      <c r="H156" s="106"/>
      <c r="I156" s="106"/>
      <c r="J156" s="106"/>
      <c r="K156" s="106"/>
    </row>
    <row r="157" spans="1:11" ht="15.75" thickBot="1">
      <c r="A157" s="34" t="s">
        <v>1131</v>
      </c>
      <c r="B157" s="107" t="s">
        <v>520</v>
      </c>
      <c r="C157" s="107" t="s">
        <v>868</v>
      </c>
      <c r="D157" s="106"/>
      <c r="E157" s="106" t="s">
        <v>351</v>
      </c>
      <c r="F157" s="106"/>
      <c r="G157" s="106"/>
      <c r="H157" s="106" t="s">
        <v>971</v>
      </c>
      <c r="I157" s="106"/>
      <c r="J157" s="106"/>
      <c r="K157" s="106"/>
    </row>
    <row r="158" spans="1:11" ht="15.75" thickBot="1">
      <c r="A158" s="33" t="s">
        <v>1132</v>
      </c>
      <c r="B158" s="107" t="s">
        <v>1134</v>
      </c>
      <c r="C158" s="107" t="s">
        <v>777</v>
      </c>
      <c r="D158" s="107"/>
      <c r="E158" s="107" t="s">
        <v>350</v>
      </c>
      <c r="F158" s="107"/>
      <c r="G158" s="107"/>
      <c r="H158" s="107"/>
      <c r="I158" s="107"/>
      <c r="J158" s="107"/>
      <c r="K158" s="107"/>
    </row>
    <row r="159" spans="1:11" ht="15.75" thickBot="1">
      <c r="A159" s="33" t="s">
        <v>1132</v>
      </c>
      <c r="B159" s="107" t="s">
        <v>1135</v>
      </c>
      <c r="C159" s="107" t="s">
        <v>777</v>
      </c>
      <c r="D159" s="107"/>
      <c r="E159" s="107" t="s">
        <v>349</v>
      </c>
      <c r="F159" s="107"/>
      <c r="G159" s="22" t="s">
        <v>1703</v>
      </c>
      <c r="H159" s="106" t="s">
        <v>863</v>
      </c>
      <c r="I159" s="107"/>
      <c r="J159" s="107"/>
      <c r="K159" s="107"/>
    </row>
    <row r="160" spans="1:11">
      <c r="A160" s="33" t="s">
        <v>1133</v>
      </c>
      <c r="B160" s="107" t="s">
        <v>1136</v>
      </c>
      <c r="C160" s="107" t="s">
        <v>877</v>
      </c>
      <c r="D160" s="107"/>
      <c r="E160" s="45" t="s">
        <v>348</v>
      </c>
      <c r="F160" s="107"/>
      <c r="G160" s="107" t="s">
        <v>970</v>
      </c>
      <c r="H160" s="107"/>
      <c r="I160" s="107"/>
      <c r="J160" s="107"/>
      <c r="K160" s="107"/>
    </row>
    <row r="161" spans="1:14">
      <c r="A161" s="33" t="s">
        <v>1133</v>
      </c>
      <c r="B161" s="107" t="s">
        <v>1137</v>
      </c>
      <c r="C161" s="107" t="s">
        <v>877</v>
      </c>
      <c r="D161" s="107"/>
      <c r="E161" s="113" t="s">
        <v>347</v>
      </c>
      <c r="F161" s="107"/>
      <c r="G161" s="107" t="s">
        <v>970</v>
      </c>
      <c r="H161" s="107"/>
      <c r="I161" s="107"/>
      <c r="J161" s="107"/>
      <c r="K161" s="107"/>
    </row>
    <row r="162" spans="1:14" ht="15.75" thickBot="1">
      <c r="A162" s="33" t="s">
        <v>1133</v>
      </c>
      <c r="B162" s="107" t="s">
        <v>1138</v>
      </c>
      <c r="C162" s="107" t="s">
        <v>868</v>
      </c>
      <c r="D162" s="107"/>
      <c r="E162" s="107" t="s">
        <v>346</v>
      </c>
      <c r="F162" s="107"/>
      <c r="G162" s="107" t="s">
        <v>836</v>
      </c>
      <c r="H162" s="45" t="s">
        <v>971</v>
      </c>
      <c r="I162" s="107"/>
      <c r="J162" s="107"/>
      <c r="K162" s="107"/>
    </row>
    <row r="163" spans="1:14" ht="15.75" thickBot="1">
      <c r="A163" s="38" t="s">
        <v>1705</v>
      </c>
      <c r="B163" s="107" t="s">
        <v>1708</v>
      </c>
      <c r="C163" s="107" t="s">
        <v>777</v>
      </c>
      <c r="D163" s="107"/>
      <c r="E163" s="106" t="s">
        <v>350</v>
      </c>
      <c r="F163" s="107"/>
      <c r="G163" s="106" t="s">
        <v>804</v>
      </c>
      <c r="H163" s="45"/>
      <c r="I163" s="107"/>
      <c r="J163" s="107"/>
      <c r="K163" s="107"/>
    </row>
    <row r="164" spans="1:14" ht="15.75" thickBot="1">
      <c r="A164" s="38" t="s">
        <v>1705</v>
      </c>
      <c r="B164" s="107" t="s">
        <v>1709</v>
      </c>
      <c r="C164" s="107" t="s">
        <v>777</v>
      </c>
      <c r="D164" s="107"/>
      <c r="E164" s="106" t="s">
        <v>1707</v>
      </c>
      <c r="F164" s="107"/>
      <c r="G164" s="22" t="s">
        <v>1726</v>
      </c>
      <c r="H164" s="45"/>
      <c r="I164" s="107"/>
      <c r="J164" s="107"/>
      <c r="K164" s="107"/>
    </row>
    <row r="165" spans="1:14" ht="15.75" thickBot="1">
      <c r="A165" s="38" t="s">
        <v>1705</v>
      </c>
      <c r="B165" s="107" t="s">
        <v>1710</v>
      </c>
      <c r="C165" s="107" t="s">
        <v>777</v>
      </c>
      <c r="D165" s="107"/>
      <c r="E165" t="s">
        <v>1706</v>
      </c>
      <c r="F165" s="107"/>
      <c r="G165" s="107" t="s">
        <v>1715</v>
      </c>
      <c r="H165" s="45"/>
      <c r="I165" s="107"/>
      <c r="J165" s="107"/>
      <c r="K165" s="107"/>
    </row>
    <row r="166" spans="1:14" ht="15.75" thickBot="1">
      <c r="A166" s="38" t="s">
        <v>1705</v>
      </c>
      <c r="B166" s="107" t="s">
        <v>1711</v>
      </c>
      <c r="C166" s="107" t="s">
        <v>777</v>
      </c>
      <c r="D166" s="107"/>
      <c r="E166" s="107" t="s">
        <v>1714</v>
      </c>
      <c r="F166" s="107"/>
      <c r="G166" s="107" t="s">
        <v>1716</v>
      </c>
      <c r="H166" s="45"/>
      <c r="I166" s="107"/>
      <c r="J166" s="107"/>
      <c r="K166" s="107"/>
    </row>
    <row r="167" spans="1:14" ht="15.75" thickBot="1">
      <c r="A167" s="38" t="s">
        <v>1705</v>
      </c>
      <c r="B167" s="107" t="s">
        <v>1712</v>
      </c>
      <c r="C167" s="107" t="s">
        <v>777</v>
      </c>
      <c r="D167" s="107"/>
      <c r="E167" s="107" t="s">
        <v>1713</v>
      </c>
      <c r="F167" s="107"/>
      <c r="G167" s="107" t="s">
        <v>1717</v>
      </c>
      <c r="H167" s="45"/>
      <c r="I167" s="107"/>
      <c r="J167" s="107"/>
      <c r="K167" s="107"/>
    </row>
    <row r="168" spans="1:14" ht="15.75" thickBot="1">
      <c r="A168" s="63" t="s">
        <v>972</v>
      </c>
      <c r="B168" s="107"/>
      <c r="C168" s="107"/>
      <c r="D168" s="107"/>
      <c r="E168" s="107"/>
      <c r="F168" s="107"/>
      <c r="G168" s="107"/>
      <c r="H168" s="107"/>
      <c r="I168" s="107"/>
      <c r="J168" s="107"/>
      <c r="K168" s="107"/>
    </row>
    <row r="169" spans="1:14" ht="14.45" customHeight="1" thickBot="1">
      <c r="A169" s="32" t="s">
        <v>1235</v>
      </c>
      <c r="B169" s="106" t="s">
        <v>519</v>
      </c>
      <c r="C169" t="s">
        <v>777</v>
      </c>
      <c r="E169" t="s">
        <v>2520</v>
      </c>
      <c r="G169" t="s">
        <v>804</v>
      </c>
      <c r="H169" t="s">
        <v>973</v>
      </c>
      <c r="I169" t="s">
        <v>805</v>
      </c>
      <c r="J169" t="s">
        <v>806</v>
      </c>
      <c r="K169" t="s">
        <v>807</v>
      </c>
    </row>
    <row r="170" spans="1:14" ht="15.75" thickBot="1">
      <c r="A170" s="32" t="s">
        <v>1235</v>
      </c>
      <c r="B170" s="106" t="s">
        <v>518</v>
      </c>
      <c r="C170" s="106" t="s">
        <v>808</v>
      </c>
      <c r="D170" s="106" t="s">
        <v>809</v>
      </c>
      <c r="E170" s="114" t="s">
        <v>2521</v>
      </c>
      <c r="F170" s="106"/>
      <c r="G170" s="106"/>
      <c r="H170" s="106" t="s">
        <v>974</v>
      </c>
      <c r="I170" s="106"/>
      <c r="J170" s="106"/>
      <c r="K170" s="106"/>
    </row>
    <row r="171" spans="1:14">
      <c r="A171" s="31" t="s">
        <v>1144</v>
      </c>
      <c r="B171" t="s">
        <v>517</v>
      </c>
      <c r="C171" s="107" t="s">
        <v>777</v>
      </c>
      <c r="E171" t="s">
        <v>343</v>
      </c>
    </row>
    <row r="172" spans="1:14">
      <c r="A172" s="31" t="s">
        <v>1144</v>
      </c>
      <c r="B172" t="s">
        <v>975</v>
      </c>
      <c r="C172" s="107" t="s">
        <v>777</v>
      </c>
      <c r="E172" t="s">
        <v>342</v>
      </c>
      <c r="G172" t="s">
        <v>1143</v>
      </c>
    </row>
    <row r="173" spans="1:14" ht="15.75" thickBot="1">
      <c r="A173" s="31" t="s">
        <v>1144</v>
      </c>
      <c r="B173" t="s">
        <v>714</v>
      </c>
      <c r="C173" s="107" t="s">
        <v>777</v>
      </c>
      <c r="E173" t="s">
        <v>341</v>
      </c>
    </row>
    <row r="174" spans="1:14" ht="15.75" thickBot="1">
      <c r="A174" s="31" t="s">
        <v>1144</v>
      </c>
      <c r="B174" s="106" t="s">
        <v>708</v>
      </c>
      <c r="C174" s="106" t="s">
        <v>777</v>
      </c>
      <c r="D174" s="106"/>
      <c r="E174" s="106" t="s">
        <v>336</v>
      </c>
      <c r="F174" s="106"/>
      <c r="G174" s="106" t="s">
        <v>976</v>
      </c>
      <c r="H174" s="106"/>
      <c r="I174" s="106"/>
      <c r="J174" s="106"/>
      <c r="K174" s="106"/>
    </row>
    <row r="175" spans="1:14" ht="15.75" thickBot="1">
      <c r="A175" s="31" t="s">
        <v>1145</v>
      </c>
      <c r="B175" s="106" t="s">
        <v>713</v>
      </c>
      <c r="C175" s="106" t="s">
        <v>777</v>
      </c>
      <c r="D175" s="106"/>
      <c r="E175" s="106" t="s">
        <v>328</v>
      </c>
      <c r="F175" s="106"/>
      <c r="G175" s="106" t="s">
        <v>977</v>
      </c>
      <c r="H175" s="106" t="s">
        <v>978</v>
      </c>
      <c r="I175" s="106"/>
      <c r="J175" s="106"/>
      <c r="K175" s="106"/>
    </row>
    <row r="176" spans="1:14" ht="15.75" thickBot="1">
      <c r="A176" s="1" t="s">
        <v>0</v>
      </c>
      <c r="B176" s="106" t="s">
        <v>704</v>
      </c>
      <c r="C176" s="106" t="s">
        <v>777</v>
      </c>
      <c r="D176" s="106" t="s">
        <v>56</v>
      </c>
      <c r="E176" s="106" t="s">
        <v>340</v>
      </c>
      <c r="F176" s="106"/>
      <c r="G176" s="106" t="s">
        <v>773</v>
      </c>
      <c r="H176" s="106"/>
      <c r="I176" s="106"/>
      <c r="J176" s="106"/>
      <c r="K176" s="106"/>
      <c r="L176" t="s">
        <v>979</v>
      </c>
      <c r="M176" t="s">
        <v>773</v>
      </c>
      <c r="N176" t="s">
        <v>56</v>
      </c>
    </row>
    <row r="177" spans="1:18" ht="15.75" thickBot="1">
      <c r="A177" s="1" t="s">
        <v>0</v>
      </c>
      <c r="B177" s="106" t="s">
        <v>705</v>
      </c>
      <c r="C177" s="106" t="s">
        <v>777</v>
      </c>
      <c r="D177" s="106"/>
      <c r="E177" s="106" t="s">
        <v>339</v>
      </c>
      <c r="F177" s="106"/>
      <c r="G177" s="106" t="s">
        <v>773</v>
      </c>
      <c r="H177" s="106"/>
      <c r="I177" s="106"/>
      <c r="J177" s="106"/>
      <c r="K177" s="106"/>
      <c r="L177" t="s">
        <v>980</v>
      </c>
      <c r="M177" t="s">
        <v>773</v>
      </c>
      <c r="N177" t="s">
        <v>981</v>
      </c>
    </row>
    <row r="178" spans="1:18" s="64" customFormat="1" ht="15.75" thickBot="1">
      <c r="A178" s="1" t="s">
        <v>0</v>
      </c>
      <c r="B178" s="106" t="s">
        <v>706</v>
      </c>
      <c r="C178" s="106" t="s">
        <v>777</v>
      </c>
      <c r="D178" s="106"/>
      <c r="E178" s="106" t="s">
        <v>338</v>
      </c>
      <c r="F178" s="106"/>
      <c r="G178" s="106" t="s">
        <v>982</v>
      </c>
      <c r="H178" s="106"/>
      <c r="I178" s="106"/>
      <c r="J178" s="106"/>
      <c r="K178" s="106"/>
      <c r="L178" t="s">
        <v>983</v>
      </c>
      <c r="M178" t="s">
        <v>779</v>
      </c>
      <c r="N178" t="s">
        <v>984</v>
      </c>
    </row>
    <row r="179" spans="1:18" ht="15.75" thickBot="1">
      <c r="A179" s="1" t="s">
        <v>0</v>
      </c>
      <c r="B179" s="106" t="s">
        <v>707</v>
      </c>
      <c r="C179" s="106" t="s">
        <v>777</v>
      </c>
      <c r="D179" s="106" t="s">
        <v>56</v>
      </c>
      <c r="E179" s="106" t="s">
        <v>337</v>
      </c>
      <c r="F179" s="106"/>
      <c r="G179" s="106" t="s">
        <v>985</v>
      </c>
      <c r="H179" s="106" t="s">
        <v>986</v>
      </c>
      <c r="I179" s="106" t="s">
        <v>805</v>
      </c>
      <c r="J179" s="106"/>
      <c r="K179" s="106"/>
      <c r="L179" t="s">
        <v>987</v>
      </c>
      <c r="M179" t="s">
        <v>988</v>
      </c>
      <c r="N179" t="s">
        <v>56</v>
      </c>
    </row>
    <row r="180" spans="1:18" ht="15.75" thickBot="1">
      <c r="A180" s="1" t="s">
        <v>0</v>
      </c>
      <c r="B180" s="106" t="s">
        <v>511</v>
      </c>
      <c r="C180" s="106" t="s">
        <v>808</v>
      </c>
      <c r="D180" s="106" t="s">
        <v>869</v>
      </c>
      <c r="E180" s="106" t="s">
        <v>989</v>
      </c>
      <c r="F180" s="106"/>
      <c r="G180" s="106"/>
      <c r="H180" s="106" t="s">
        <v>990</v>
      </c>
      <c r="I180" s="106" t="s">
        <v>805</v>
      </c>
      <c r="J180" s="106" t="s">
        <v>991</v>
      </c>
      <c r="K180" s="106" t="s">
        <v>992</v>
      </c>
    </row>
    <row r="181" spans="1:18" ht="15.75" thickBot="1">
      <c r="A181" s="1" t="s">
        <v>0</v>
      </c>
      <c r="B181" s="106" t="s">
        <v>510</v>
      </c>
      <c r="C181" s="106" t="s">
        <v>808</v>
      </c>
      <c r="D181" s="106" t="s">
        <v>869</v>
      </c>
      <c r="E181" s="106" t="s">
        <v>993</v>
      </c>
      <c r="F181" s="106"/>
      <c r="G181" s="106"/>
      <c r="H181" s="106" t="s">
        <v>994</v>
      </c>
      <c r="I181" s="106" t="s">
        <v>805</v>
      </c>
      <c r="J181" s="106" t="s">
        <v>991</v>
      </c>
      <c r="K181" s="106" t="s">
        <v>992</v>
      </c>
    </row>
    <row r="182" spans="1:18" ht="15.75" thickBot="1">
      <c r="A182" s="1" t="s">
        <v>0</v>
      </c>
      <c r="B182" s="106" t="s">
        <v>509</v>
      </c>
      <c r="C182" s="106" t="s">
        <v>808</v>
      </c>
      <c r="D182" s="106" t="s">
        <v>995</v>
      </c>
      <c r="E182" s="106" t="s">
        <v>333</v>
      </c>
      <c r="F182" s="106"/>
      <c r="G182" s="106" t="s">
        <v>836</v>
      </c>
      <c r="H182" s="106" t="s">
        <v>996</v>
      </c>
      <c r="I182" s="106" t="s">
        <v>805</v>
      </c>
      <c r="J182" s="106"/>
      <c r="K182" s="106"/>
    </row>
    <row r="183" spans="1:18" ht="15.75" thickBot="1">
      <c r="A183" s="1" t="s">
        <v>0</v>
      </c>
      <c r="B183" s="106" t="s">
        <v>508</v>
      </c>
      <c r="C183" s="106" t="s">
        <v>808</v>
      </c>
      <c r="D183" s="106" t="s">
        <v>997</v>
      </c>
      <c r="E183" s="106" t="s">
        <v>332</v>
      </c>
      <c r="F183" s="106"/>
      <c r="G183" s="106" t="s">
        <v>836</v>
      </c>
      <c r="H183" s="106" t="s">
        <v>996</v>
      </c>
      <c r="I183" s="106" t="s">
        <v>805</v>
      </c>
      <c r="J183" s="106"/>
      <c r="K183" s="106"/>
    </row>
    <row r="184" spans="1:18" ht="15.75" thickBot="1">
      <c r="A184" s="1" t="s">
        <v>0</v>
      </c>
      <c r="B184" s="106" t="s">
        <v>507</v>
      </c>
      <c r="C184" s="106" t="s">
        <v>777</v>
      </c>
      <c r="D184" s="106"/>
      <c r="E184" s="106" t="s">
        <v>331</v>
      </c>
      <c r="F184" s="106"/>
      <c r="G184" s="106"/>
      <c r="H184" s="106" t="s">
        <v>998</v>
      </c>
      <c r="I184" s="106" t="s">
        <v>999</v>
      </c>
      <c r="J184" s="106" t="s">
        <v>805</v>
      </c>
      <c r="K184" s="106"/>
    </row>
    <row r="185" spans="1:18" ht="15.75" thickBot="1">
      <c r="A185" s="1" t="s">
        <v>0</v>
      </c>
      <c r="B185" s="106" t="s">
        <v>506</v>
      </c>
      <c r="C185" s="106" t="s">
        <v>808</v>
      </c>
      <c r="D185" s="106"/>
      <c r="E185" s="106" t="s">
        <v>330</v>
      </c>
      <c r="F185" s="106"/>
      <c r="G185" s="106"/>
      <c r="H185" s="106" t="s">
        <v>830</v>
      </c>
      <c r="I185" s="106" t="s">
        <v>805</v>
      </c>
      <c r="J185" s="106" t="s">
        <v>1000</v>
      </c>
      <c r="K185" s="106" t="s">
        <v>1001</v>
      </c>
    </row>
    <row r="186" spans="1:18" ht="15.75" thickBot="1">
      <c r="A186" s="1" t="s">
        <v>0</v>
      </c>
      <c r="B186" s="106" t="s">
        <v>505</v>
      </c>
      <c r="C186" s="106" t="s">
        <v>808</v>
      </c>
      <c r="D186" s="106" t="s">
        <v>1002</v>
      </c>
      <c r="E186" s="106" t="s">
        <v>329</v>
      </c>
      <c r="F186" s="106"/>
      <c r="G186" s="106"/>
      <c r="H186" s="106" t="s">
        <v>1003</v>
      </c>
      <c r="I186" s="106" t="s">
        <v>1004</v>
      </c>
      <c r="J186" s="106" t="s">
        <v>1005</v>
      </c>
      <c r="K186" s="106" t="s">
        <v>1006</v>
      </c>
    </row>
    <row r="187" spans="1:18" s="19" customFormat="1" ht="15.75" thickBot="1">
      <c r="A187" s="1" t="s">
        <v>0</v>
      </c>
      <c r="B187" s="106" t="s">
        <v>504</v>
      </c>
      <c r="C187" s="106" t="s">
        <v>777</v>
      </c>
      <c r="D187" s="106"/>
      <c r="E187" s="106" t="s">
        <v>327</v>
      </c>
      <c r="F187"/>
      <c r="G187"/>
      <c r="H187"/>
      <c r="I187"/>
      <c r="J187"/>
      <c r="K187"/>
      <c r="L187"/>
      <c r="M187"/>
      <c r="N187"/>
      <c r="O187"/>
      <c r="P187"/>
      <c r="Q187"/>
      <c r="R187"/>
    </row>
    <row r="188" spans="1:18" ht="15.75" thickBot="1">
      <c r="A188" s="30" t="s">
        <v>1234</v>
      </c>
      <c r="B188" s="106" t="s">
        <v>503</v>
      </c>
      <c r="C188" s="106" t="s">
        <v>777</v>
      </c>
      <c r="D188" s="106" t="s">
        <v>1007</v>
      </c>
      <c r="E188" s="106" t="s">
        <v>326</v>
      </c>
      <c r="F188" s="106"/>
      <c r="G188" s="106" t="s">
        <v>1008</v>
      </c>
      <c r="H188" s="106"/>
      <c r="I188" s="106"/>
      <c r="J188" s="106"/>
      <c r="K188" s="106"/>
      <c r="L188" t="s">
        <v>1009</v>
      </c>
      <c r="M188" t="s">
        <v>779</v>
      </c>
      <c r="N188" t="s">
        <v>1010</v>
      </c>
    </row>
    <row r="189" spans="1:18" ht="15.75" thickBot="1">
      <c r="A189" s="30" t="s">
        <v>1234</v>
      </c>
      <c r="B189" s="106" t="s">
        <v>502</v>
      </c>
      <c r="C189" s="106" t="s">
        <v>808</v>
      </c>
      <c r="D189" s="106" t="s">
        <v>56</v>
      </c>
      <c r="E189" s="106" t="s">
        <v>325</v>
      </c>
      <c r="F189" s="106"/>
      <c r="G189" s="106"/>
      <c r="H189" s="106"/>
      <c r="I189" s="106"/>
      <c r="J189" s="106"/>
      <c r="K189" s="106"/>
      <c r="L189" s="10" t="s">
        <v>1011</v>
      </c>
      <c r="M189" t="s">
        <v>857</v>
      </c>
      <c r="N189" t="s">
        <v>1012</v>
      </c>
    </row>
    <row r="190" spans="1:18" ht="15.75" thickBot="1">
      <c r="A190" s="30" t="s">
        <v>1234</v>
      </c>
      <c r="B190" s="106" t="s">
        <v>1182</v>
      </c>
      <c r="C190" s="106" t="s">
        <v>777</v>
      </c>
      <c r="D190" s="106" t="s">
        <v>1007</v>
      </c>
      <c r="E190" s="106" t="s">
        <v>324</v>
      </c>
      <c r="F190" s="106"/>
      <c r="G190" s="106" t="s">
        <v>1013</v>
      </c>
      <c r="H190" s="106"/>
      <c r="I190" s="106"/>
      <c r="J190" s="106"/>
      <c r="K190" s="106"/>
      <c r="L190" s="3" t="s">
        <v>1014</v>
      </c>
      <c r="M190" t="s">
        <v>779</v>
      </c>
      <c r="N190" t="s">
        <v>1015</v>
      </c>
    </row>
    <row r="191" spans="1:18" ht="15.75" thickBot="1">
      <c r="A191" s="30" t="s">
        <v>1234</v>
      </c>
      <c r="B191" s="106" t="s">
        <v>1183</v>
      </c>
      <c r="C191" s="106" t="s">
        <v>808</v>
      </c>
      <c r="D191" s="106"/>
      <c r="E191" s="106" t="s">
        <v>323</v>
      </c>
      <c r="F191" s="106"/>
      <c r="G191" s="106"/>
      <c r="H191" s="106"/>
      <c r="I191" s="106"/>
      <c r="J191" s="106"/>
      <c r="K191" s="106"/>
      <c r="L191" s="3" t="s">
        <v>1016</v>
      </c>
      <c r="M191" t="s">
        <v>857</v>
      </c>
      <c r="N191" t="s">
        <v>1017</v>
      </c>
    </row>
    <row r="192" spans="1:18" ht="15.75" thickBot="1">
      <c r="A192" s="30" t="s">
        <v>1234</v>
      </c>
      <c r="B192" s="106" t="s">
        <v>1184</v>
      </c>
      <c r="C192" s="106" t="s">
        <v>808</v>
      </c>
      <c r="D192" s="106"/>
      <c r="E192" s="106" t="s">
        <v>322</v>
      </c>
      <c r="F192" s="106"/>
      <c r="G192" s="106"/>
      <c r="H192" s="106"/>
      <c r="I192" s="106"/>
      <c r="J192" s="106"/>
      <c r="K192" s="106"/>
      <c r="L192" s="3" t="s">
        <v>1018</v>
      </c>
      <c r="M192" t="s">
        <v>857</v>
      </c>
      <c r="N192" t="s">
        <v>1019</v>
      </c>
    </row>
    <row r="193" spans="1:14" ht="15.75" thickBot="1">
      <c r="A193" s="30" t="s">
        <v>1234</v>
      </c>
      <c r="B193" s="106" t="s">
        <v>1185</v>
      </c>
      <c r="C193" s="106" t="s">
        <v>808</v>
      </c>
      <c r="D193" s="106"/>
      <c r="E193" s="106" t="s">
        <v>321</v>
      </c>
      <c r="F193" s="106"/>
      <c r="G193" s="106"/>
      <c r="H193" s="106"/>
      <c r="I193" s="106"/>
      <c r="J193" s="106"/>
      <c r="K193" s="106"/>
      <c r="L193" s="3" t="s">
        <v>1018</v>
      </c>
      <c r="M193" t="s">
        <v>857</v>
      </c>
      <c r="N193" t="s">
        <v>1019</v>
      </c>
    </row>
    <row r="194" spans="1:14" ht="15.75" thickBot="1">
      <c r="A194" s="30" t="s">
        <v>1234</v>
      </c>
      <c r="B194" s="106" t="s">
        <v>718</v>
      </c>
      <c r="C194" s="106" t="s">
        <v>1020</v>
      </c>
      <c r="D194" s="106"/>
      <c r="E194" s="106" t="s">
        <v>320</v>
      </c>
      <c r="F194" s="106"/>
      <c r="G194" s="106"/>
      <c r="H194" s="106"/>
      <c r="I194" s="106"/>
      <c r="J194" s="106"/>
      <c r="K194" s="106"/>
      <c r="L194" s="3" t="s">
        <v>1021</v>
      </c>
      <c r="M194" t="s">
        <v>1022</v>
      </c>
      <c r="N194" t="s">
        <v>1023</v>
      </c>
    </row>
    <row r="195" spans="1:14" ht="15.75" thickBot="1">
      <c r="A195" s="228" t="s">
        <v>2526</v>
      </c>
      <c r="B195" s="106" t="s">
        <v>2527</v>
      </c>
      <c r="C195" s="106"/>
      <c r="D195" s="106"/>
      <c r="E195" s="106"/>
      <c r="F195" s="106"/>
      <c r="G195" s="106"/>
      <c r="H195" s="106"/>
      <c r="I195" s="106"/>
      <c r="J195" s="106"/>
      <c r="K195" s="106"/>
      <c r="L195" s="3"/>
    </row>
    <row r="196" spans="1:14" ht="15.75" thickBot="1">
      <c r="A196" s="228" t="s">
        <v>2526</v>
      </c>
      <c r="B196" s="106" t="s">
        <v>2525</v>
      </c>
      <c r="C196" s="106"/>
      <c r="D196" s="106"/>
      <c r="E196" s="106"/>
      <c r="F196" s="106"/>
      <c r="G196" s="106"/>
      <c r="H196" s="106"/>
      <c r="I196" s="106"/>
      <c r="J196" s="106"/>
      <c r="K196" s="106"/>
      <c r="L196" s="3"/>
    </row>
    <row r="197" spans="1:14" ht="15.75" thickBot="1">
      <c r="A197" s="227" t="s">
        <v>2522</v>
      </c>
      <c r="B197" s="106" t="s">
        <v>2524</v>
      </c>
      <c r="C197" s="106"/>
      <c r="D197" s="106"/>
      <c r="E197" s="106"/>
      <c r="F197" s="106"/>
      <c r="G197" s="106"/>
      <c r="H197" s="106"/>
      <c r="I197" s="106"/>
      <c r="J197" s="106"/>
      <c r="K197" s="106"/>
      <c r="L197" s="3"/>
    </row>
    <row r="198" spans="1:14" ht="15.75" thickBot="1">
      <c r="A198" s="227" t="s">
        <v>2522</v>
      </c>
      <c r="B198" s="106" t="s">
        <v>2523</v>
      </c>
      <c r="C198" s="106"/>
      <c r="D198" s="106"/>
      <c r="E198" s="106"/>
      <c r="F198" s="106"/>
      <c r="G198" s="106"/>
      <c r="H198" s="106"/>
      <c r="I198" s="106"/>
      <c r="J198" s="106"/>
      <c r="K198" s="106"/>
      <c r="L198" s="3"/>
    </row>
    <row r="199" spans="1:14" ht="15.75" thickBot="1">
      <c r="A199" s="227" t="s">
        <v>2522</v>
      </c>
      <c r="B199" s="106" t="s">
        <v>2451</v>
      </c>
      <c r="C199" s="106"/>
      <c r="D199" s="106"/>
      <c r="E199" s="106"/>
      <c r="F199" s="106"/>
      <c r="G199" s="106"/>
      <c r="H199" s="106"/>
      <c r="I199" s="106"/>
      <c r="J199" s="106"/>
      <c r="K199" s="106"/>
      <c r="L199" s="3"/>
    </row>
    <row r="200" spans="1:14" ht="15.75" thickBot="1">
      <c r="A200" s="227" t="s">
        <v>2522</v>
      </c>
      <c r="B200" s="106" t="s">
        <v>2452</v>
      </c>
      <c r="C200" s="106"/>
      <c r="D200" s="106"/>
      <c r="E200" s="106"/>
      <c r="F200" s="106"/>
      <c r="G200" s="106"/>
      <c r="H200" s="106"/>
      <c r="I200" s="106"/>
      <c r="J200" s="106"/>
      <c r="K200" s="106"/>
      <c r="L200" s="3"/>
    </row>
    <row r="201" spans="1:14" ht="14.45" customHeight="1" thickBot="1">
      <c r="A201" s="30" t="s">
        <v>1234</v>
      </c>
      <c r="B201" s="106" t="s">
        <v>501</v>
      </c>
      <c r="C201" s="106" t="s">
        <v>777</v>
      </c>
      <c r="D201" s="106"/>
      <c r="E201" s="106" t="s">
        <v>319</v>
      </c>
      <c r="F201" s="106"/>
      <c r="G201" s="106"/>
      <c r="H201" s="106"/>
      <c r="I201" s="106"/>
      <c r="J201" s="106"/>
      <c r="K201" s="106"/>
      <c r="L201" s="3" t="s">
        <v>1024</v>
      </c>
      <c r="M201" t="s">
        <v>1025</v>
      </c>
      <c r="N201" t="s">
        <v>1026</v>
      </c>
    </row>
    <row r="202" spans="1:14" ht="15.75" thickBot="1">
      <c r="A202" s="39" t="s">
        <v>1149</v>
      </c>
      <c r="B202" s="106" t="s">
        <v>500</v>
      </c>
      <c r="C202" s="106" t="s">
        <v>777</v>
      </c>
      <c r="D202" s="106"/>
      <c r="E202" s="106" t="s">
        <v>318</v>
      </c>
      <c r="F202" s="106"/>
      <c r="G202" s="106" t="s">
        <v>1027</v>
      </c>
      <c r="H202" s="106"/>
      <c r="I202" s="106"/>
      <c r="J202" s="106"/>
      <c r="K202" s="106"/>
    </row>
    <row r="203" spans="1:14" ht="15" customHeight="1" thickBot="1">
      <c r="A203" s="39" t="s">
        <v>1149</v>
      </c>
      <c r="B203" s="106" t="s">
        <v>499</v>
      </c>
      <c r="C203" s="106" t="s">
        <v>777</v>
      </c>
      <c r="D203" s="106"/>
      <c r="E203" s="107" t="s">
        <v>317</v>
      </c>
      <c r="F203" s="106"/>
      <c r="G203" s="106"/>
      <c r="H203" s="106"/>
      <c r="I203" s="106"/>
      <c r="J203" s="106"/>
      <c r="K203" s="106"/>
    </row>
    <row r="204" spans="1:14" ht="15.75" thickBot="1">
      <c r="A204" s="39" t="s">
        <v>1149</v>
      </c>
      <c r="B204" s="106" t="s">
        <v>498</v>
      </c>
      <c r="C204" s="106" t="s">
        <v>1028</v>
      </c>
      <c r="D204" s="106"/>
      <c r="E204" s="115" t="s">
        <v>316</v>
      </c>
      <c r="F204" s="106"/>
      <c r="G204" s="106"/>
      <c r="H204" s="106"/>
      <c r="I204" s="106"/>
      <c r="J204" s="106"/>
      <c r="K204" s="106"/>
    </row>
    <row r="205" spans="1:14" ht="15.75" thickBot="1">
      <c r="A205" s="39" t="s">
        <v>1149</v>
      </c>
      <c r="B205" s="106" t="s">
        <v>497</v>
      </c>
      <c r="C205" s="106" t="s">
        <v>1028</v>
      </c>
      <c r="D205" s="106"/>
      <c r="E205" s="115" t="s">
        <v>315</v>
      </c>
      <c r="F205" s="106"/>
      <c r="G205" s="106"/>
      <c r="H205" s="106"/>
      <c r="I205" s="106"/>
      <c r="J205" s="106"/>
      <c r="K205" s="106"/>
    </row>
    <row r="206" spans="1:14" ht="15" customHeight="1" thickBot="1">
      <c r="A206" s="39" t="s">
        <v>1149</v>
      </c>
      <c r="B206" s="106" t="s">
        <v>496</v>
      </c>
      <c r="C206" s="106" t="s">
        <v>1028</v>
      </c>
      <c r="D206" s="106"/>
      <c r="E206" s="107" t="s">
        <v>314</v>
      </c>
      <c r="F206" s="106"/>
      <c r="G206" s="106"/>
      <c r="H206" s="106"/>
      <c r="I206" s="106"/>
      <c r="J206" s="106"/>
      <c r="K206" s="106"/>
    </row>
    <row r="207" spans="1:14" ht="15" customHeight="1" thickBot="1">
      <c r="A207" s="39" t="s">
        <v>1149</v>
      </c>
      <c r="B207" s="106" t="s">
        <v>495</v>
      </c>
      <c r="C207" s="106" t="s">
        <v>1028</v>
      </c>
      <c r="D207" s="106"/>
      <c r="E207" s="107" t="s">
        <v>313</v>
      </c>
      <c r="F207" s="106"/>
      <c r="G207" s="106"/>
      <c r="H207" s="106"/>
      <c r="I207" s="106"/>
      <c r="J207" s="106"/>
      <c r="K207" s="106"/>
    </row>
    <row r="208" spans="1:14" ht="15.75" thickBot="1">
      <c r="A208" s="82" t="s">
        <v>1172</v>
      </c>
      <c r="B208" s="106" t="s">
        <v>1164</v>
      </c>
      <c r="C208" s="106"/>
      <c r="D208" s="106"/>
      <c r="E208" s="107"/>
      <c r="F208" s="106"/>
      <c r="G208" s="106"/>
      <c r="H208" s="106"/>
      <c r="I208" s="106"/>
      <c r="J208" s="106"/>
      <c r="K208" s="106"/>
    </row>
    <row r="209" spans="1:11" ht="15.75" thickBot="1">
      <c r="A209" s="82" t="s">
        <v>1172</v>
      </c>
      <c r="B209" s="106" t="s">
        <v>1165</v>
      </c>
      <c r="C209" s="106"/>
      <c r="D209" s="106"/>
      <c r="E209" s="107"/>
      <c r="F209" s="106"/>
      <c r="G209" s="106"/>
      <c r="H209" s="106"/>
      <c r="I209" s="106"/>
      <c r="J209" s="106"/>
      <c r="K209" s="106"/>
    </row>
    <row r="210" spans="1:11" ht="15.75" thickBot="1">
      <c r="A210" s="82" t="s">
        <v>1172</v>
      </c>
      <c r="B210" s="106" t="s">
        <v>1171</v>
      </c>
      <c r="C210" s="106"/>
      <c r="D210" s="106"/>
      <c r="E210" s="107"/>
      <c r="F210" s="106"/>
      <c r="G210" s="106"/>
      <c r="H210" s="106"/>
      <c r="I210" s="106"/>
      <c r="J210" s="106"/>
      <c r="K210" s="106"/>
    </row>
    <row r="211" spans="1:11" ht="15" customHeight="1" thickBot="1">
      <c r="A211" s="82" t="s">
        <v>1172</v>
      </c>
      <c r="B211" s="106" t="s">
        <v>1166</v>
      </c>
      <c r="C211" s="106"/>
      <c r="D211" s="106"/>
      <c r="E211" s="107"/>
      <c r="F211" s="106"/>
      <c r="G211" s="106"/>
      <c r="H211" s="106"/>
      <c r="I211" s="106"/>
      <c r="J211" s="106"/>
      <c r="K211" s="106"/>
    </row>
    <row r="212" spans="1:11" ht="15.75" thickBot="1">
      <c r="A212" s="82" t="s">
        <v>1172</v>
      </c>
      <c r="B212" s="106" t="s">
        <v>1167</v>
      </c>
      <c r="C212" s="106"/>
      <c r="D212" s="106"/>
      <c r="E212" s="107"/>
      <c r="F212" s="106"/>
      <c r="G212" s="106"/>
      <c r="H212" s="106"/>
      <c r="I212" s="106"/>
      <c r="J212" s="106"/>
      <c r="K212" s="106"/>
    </row>
    <row r="213" spans="1:11" ht="15.75" thickBot="1">
      <c r="A213" s="82" t="s">
        <v>1172</v>
      </c>
      <c r="B213" s="106" t="s">
        <v>1170</v>
      </c>
      <c r="C213" s="106"/>
      <c r="D213" s="106"/>
      <c r="E213" s="107"/>
      <c r="F213" s="106"/>
      <c r="G213" s="106"/>
      <c r="H213" s="106"/>
      <c r="I213" s="106"/>
      <c r="J213" s="106"/>
      <c r="K213" s="106"/>
    </row>
    <row r="214" spans="1:11" ht="15.75" thickBot="1">
      <c r="A214" s="82" t="s">
        <v>1172</v>
      </c>
      <c r="B214" s="106" t="s">
        <v>1168</v>
      </c>
      <c r="C214" s="106"/>
      <c r="D214" s="106"/>
      <c r="E214" s="107"/>
      <c r="F214" s="106"/>
      <c r="G214" s="106"/>
      <c r="H214" s="106"/>
      <c r="I214" s="106"/>
      <c r="J214" s="106"/>
      <c r="K214" s="106"/>
    </row>
    <row r="215" spans="1:11" ht="15.75" thickBot="1">
      <c r="A215" s="29"/>
      <c r="B215" s="116"/>
      <c r="C215" s="106"/>
      <c r="D215" s="106"/>
      <c r="E215" s="107"/>
      <c r="F215" s="106"/>
      <c r="G215" s="106"/>
      <c r="H215" s="106"/>
      <c r="I215" s="106"/>
      <c r="J215" s="106"/>
      <c r="K215" s="106"/>
    </row>
    <row r="216" spans="1:11" ht="15.75" thickBot="1">
      <c r="A216" s="29"/>
      <c r="B216" s="116"/>
      <c r="C216" s="106"/>
      <c r="D216" s="106"/>
      <c r="E216" s="107"/>
      <c r="F216" s="106"/>
      <c r="G216" s="106"/>
      <c r="H216" s="106"/>
      <c r="I216" s="106"/>
      <c r="J216" s="106"/>
      <c r="K216" s="106"/>
    </row>
    <row r="217" spans="1:11" ht="15.75" thickBot="1">
      <c r="A217" s="29"/>
      <c r="B217" s="116"/>
      <c r="C217" s="106"/>
      <c r="D217" s="106"/>
      <c r="E217" s="107"/>
      <c r="F217" s="106"/>
      <c r="G217" s="106"/>
      <c r="H217" s="106"/>
      <c r="I217" s="106"/>
      <c r="J217" s="106"/>
      <c r="K217" s="106"/>
    </row>
    <row r="218" spans="1:11" ht="15.75" thickBot="1">
      <c r="A218" s="29"/>
      <c r="B218" s="116"/>
      <c r="C218" s="106"/>
      <c r="D218" s="106"/>
      <c r="E218" s="107"/>
      <c r="F218" s="106"/>
      <c r="G218" s="106"/>
      <c r="H218" s="106"/>
      <c r="I218" s="106"/>
      <c r="J218" s="106"/>
      <c r="K218" s="106"/>
    </row>
    <row r="219" spans="1:11" ht="15.75" thickBot="1">
      <c r="A219" s="29"/>
      <c r="B219" s="116"/>
      <c r="C219" s="106"/>
      <c r="D219" s="106"/>
      <c r="E219" s="107"/>
      <c r="F219" s="106"/>
      <c r="G219" s="106"/>
      <c r="H219" s="106"/>
      <c r="I219" s="106"/>
      <c r="J219" s="106"/>
      <c r="K219" s="106"/>
    </row>
    <row r="220" spans="1:11" ht="15.75" thickBot="1">
      <c r="A220" s="29"/>
      <c r="B220" s="116"/>
      <c r="C220" s="106"/>
      <c r="D220" s="106"/>
      <c r="E220" s="107"/>
      <c r="F220" s="106"/>
      <c r="G220" s="106"/>
      <c r="H220" s="106"/>
      <c r="I220" s="106"/>
      <c r="J220" s="106"/>
      <c r="K220" s="106"/>
    </row>
    <row r="221" spans="1:11" ht="15.75" thickBot="1">
      <c r="A221" s="29"/>
      <c r="B221" s="116"/>
      <c r="C221" s="106"/>
      <c r="D221" s="106"/>
      <c r="E221" s="107"/>
      <c r="F221" s="106"/>
      <c r="G221" s="106"/>
      <c r="H221" s="106"/>
      <c r="I221" s="106"/>
      <c r="J221" s="106"/>
      <c r="K221" s="106"/>
    </row>
    <row r="222" spans="1:11" ht="15.75" thickBot="1">
      <c r="A222" s="29"/>
      <c r="B222" s="116"/>
      <c r="C222" s="106"/>
      <c r="D222" s="106"/>
      <c r="E222" s="107"/>
      <c r="F222" s="106"/>
      <c r="G222" s="106"/>
      <c r="H222" s="106"/>
      <c r="I222" s="106"/>
      <c r="J222" s="106"/>
      <c r="K222" s="106"/>
    </row>
    <row r="223" spans="1:11" ht="15.75" thickBot="1">
      <c r="A223" s="29"/>
      <c r="B223" s="116"/>
      <c r="C223" s="106"/>
      <c r="D223" s="106"/>
      <c r="E223" s="107"/>
      <c r="F223" s="106"/>
      <c r="G223" s="106"/>
      <c r="H223" s="106"/>
      <c r="I223" s="106"/>
      <c r="J223" s="106"/>
      <c r="K223" s="106"/>
    </row>
    <row r="224" spans="1:11" ht="15.75" thickBot="1">
      <c r="A224" s="29"/>
      <c r="B224" s="116"/>
      <c r="C224" s="106"/>
      <c r="D224" s="106"/>
      <c r="E224" s="107"/>
      <c r="F224" s="106"/>
      <c r="G224" s="106"/>
      <c r="H224" s="106"/>
      <c r="I224" s="106"/>
      <c r="J224" s="106"/>
      <c r="K224" s="106"/>
    </row>
    <row r="225" spans="1:14" ht="15.75" thickBot="1">
      <c r="A225" s="29"/>
      <c r="B225" s="116"/>
      <c r="C225" s="106"/>
      <c r="D225" s="106"/>
      <c r="E225" s="107"/>
      <c r="F225" s="106"/>
      <c r="G225" s="106"/>
      <c r="H225" s="106"/>
      <c r="I225" s="106"/>
      <c r="J225" s="106"/>
      <c r="K225" s="106"/>
    </row>
    <row r="226" spans="1:14" ht="15.75" thickBot="1">
      <c r="A226" s="39" t="s">
        <v>1029</v>
      </c>
      <c r="B226" s="106" t="s">
        <v>1030</v>
      </c>
      <c r="C226" s="106" t="s">
        <v>877</v>
      </c>
      <c r="D226" s="106"/>
      <c r="E226" s="45" t="s">
        <v>1031</v>
      </c>
      <c r="F226" s="106"/>
      <c r="G226" s="106" t="s">
        <v>1032</v>
      </c>
      <c r="H226" s="106" t="s">
        <v>1033</v>
      </c>
      <c r="I226" s="106" t="s">
        <v>805</v>
      </c>
      <c r="J226" s="106" t="s">
        <v>1034</v>
      </c>
      <c r="K226" s="106" t="s">
        <v>1035</v>
      </c>
    </row>
    <row r="227" spans="1:14" ht="15.75" thickBot="1">
      <c r="A227" s="39" t="s">
        <v>1029</v>
      </c>
      <c r="B227" s="106" t="s">
        <v>1036</v>
      </c>
      <c r="C227" s="106" t="s">
        <v>877</v>
      </c>
      <c r="D227" s="106"/>
      <c r="E227" s="45" t="s">
        <v>1037</v>
      </c>
      <c r="F227" s="106"/>
      <c r="G227" s="106" t="s">
        <v>1032</v>
      </c>
      <c r="H227" s="106" t="s">
        <v>1038</v>
      </c>
      <c r="I227" s="106" t="s">
        <v>805</v>
      </c>
      <c r="J227" s="106" t="s">
        <v>1034</v>
      </c>
      <c r="K227" s="106" t="s">
        <v>1035</v>
      </c>
    </row>
    <row r="228" spans="1:14">
      <c r="A228" s="39" t="s">
        <v>1029</v>
      </c>
      <c r="B228" s="107" t="s">
        <v>1039</v>
      </c>
      <c r="C228" s="107" t="s">
        <v>868</v>
      </c>
      <c r="D228" s="107"/>
      <c r="E228" s="45" t="s">
        <v>1040</v>
      </c>
      <c r="F228" s="107"/>
      <c r="G228" s="107" t="s">
        <v>836</v>
      </c>
      <c r="H228" s="107"/>
      <c r="I228" s="107"/>
      <c r="J228" s="107"/>
      <c r="K228" s="107"/>
    </row>
    <row r="229" spans="1:14">
      <c r="A229" s="39" t="s">
        <v>1029</v>
      </c>
      <c r="B229" s="107"/>
      <c r="C229" s="107"/>
      <c r="D229" s="107"/>
      <c r="E229" s="45"/>
      <c r="F229" s="107"/>
      <c r="G229" s="107"/>
      <c r="H229" s="107"/>
      <c r="I229" s="107"/>
      <c r="J229" s="107"/>
      <c r="K229" s="107"/>
    </row>
    <row r="230" spans="1:14">
      <c r="A230" s="39"/>
      <c r="B230" s="107"/>
      <c r="C230" s="107"/>
      <c r="D230" s="107"/>
      <c r="E230" s="45"/>
      <c r="F230" s="107"/>
      <c r="G230" s="107"/>
      <c r="H230" s="107"/>
      <c r="I230" s="107"/>
      <c r="J230" s="107"/>
      <c r="K230" s="107"/>
    </row>
    <row r="231" spans="1:14" ht="14.45" customHeight="1">
      <c r="A231" s="1"/>
      <c r="E231" s="113"/>
      <c r="F231" s="109"/>
      <c r="G231" s="109"/>
      <c r="H231" s="109"/>
      <c r="I231" s="109"/>
      <c r="J231" s="109"/>
      <c r="K231" s="109"/>
      <c r="L231" s="3"/>
    </row>
    <row r="232" spans="1:14" ht="14.45" customHeight="1">
      <c r="A232" s="65" t="s">
        <v>1041</v>
      </c>
      <c r="B232" t="s">
        <v>1042</v>
      </c>
      <c r="E232" s="109"/>
      <c r="F232" s="109"/>
      <c r="G232" s="109"/>
      <c r="H232" s="109"/>
      <c r="I232" s="109"/>
      <c r="J232" s="109"/>
      <c r="K232" s="109"/>
      <c r="L232" s="3"/>
    </row>
    <row r="233" spans="1:14">
      <c r="A233" s="65" t="s">
        <v>1041</v>
      </c>
      <c r="B233" t="s">
        <v>1043</v>
      </c>
      <c r="C233" t="s">
        <v>1044</v>
      </c>
      <c r="D233" t="s">
        <v>997</v>
      </c>
      <c r="E233" t="s">
        <v>1045</v>
      </c>
      <c r="L233" t="s">
        <v>1046</v>
      </c>
      <c r="M233" t="s">
        <v>1047</v>
      </c>
      <c r="N233" t="s">
        <v>1048</v>
      </c>
    </row>
    <row r="234" spans="1:14">
      <c r="A234" s="65" t="s">
        <v>1041</v>
      </c>
      <c r="B234" t="s">
        <v>1049</v>
      </c>
      <c r="C234" t="s">
        <v>772</v>
      </c>
      <c r="D234" t="s">
        <v>56</v>
      </c>
      <c r="E234" t="s">
        <v>1050</v>
      </c>
      <c r="L234" t="s">
        <v>1051</v>
      </c>
      <c r="M234" t="s">
        <v>1052</v>
      </c>
      <c r="N234" t="s">
        <v>1053</v>
      </c>
    </row>
    <row r="235" spans="1:14">
      <c r="A235" s="65" t="s">
        <v>1041</v>
      </c>
      <c r="B235" t="s">
        <v>1054</v>
      </c>
      <c r="C235" t="s">
        <v>1055</v>
      </c>
      <c r="D235" t="s">
        <v>1056</v>
      </c>
      <c r="E235" t="s">
        <v>1057</v>
      </c>
      <c r="G235" t="s">
        <v>1058</v>
      </c>
      <c r="L235" t="s">
        <v>1059</v>
      </c>
      <c r="N235" t="s">
        <v>1060</v>
      </c>
    </row>
    <row r="236" spans="1:14">
      <c r="A236" s="65" t="s">
        <v>1041</v>
      </c>
      <c r="B236" t="s">
        <v>1061</v>
      </c>
      <c r="C236" t="s">
        <v>1055</v>
      </c>
      <c r="D236" t="s">
        <v>1056</v>
      </c>
      <c r="E236" t="s">
        <v>1062</v>
      </c>
      <c r="G236" t="s">
        <v>1058</v>
      </c>
      <c r="L236" t="s">
        <v>1063</v>
      </c>
      <c r="M236" t="s">
        <v>1058</v>
      </c>
      <c r="N236" t="s">
        <v>1064</v>
      </c>
    </row>
    <row r="237" spans="1:14">
      <c r="A237" s="65" t="s">
        <v>1041</v>
      </c>
      <c r="B237" t="s">
        <v>1065</v>
      </c>
      <c r="C237" t="s">
        <v>1055</v>
      </c>
      <c r="E237" t="s">
        <v>1066</v>
      </c>
      <c r="L237" t="s">
        <v>1067</v>
      </c>
      <c r="M237" t="s">
        <v>1068</v>
      </c>
      <c r="N237" t="s">
        <v>1069</v>
      </c>
    </row>
    <row r="238" spans="1:14">
      <c r="A238" s="65" t="s">
        <v>1041</v>
      </c>
      <c r="B238" t="s">
        <v>1070</v>
      </c>
      <c r="C238" t="s">
        <v>1055</v>
      </c>
      <c r="E238" t="s">
        <v>1071</v>
      </c>
      <c r="L238" t="s">
        <v>313</v>
      </c>
      <c r="M238" t="s">
        <v>1068</v>
      </c>
      <c r="N238" t="s">
        <v>1069</v>
      </c>
    </row>
    <row r="248" spans="1:12">
      <c r="A248" t="s">
        <v>1072</v>
      </c>
      <c r="B248" s="117" t="s">
        <v>1073</v>
      </c>
      <c r="C248" t="s">
        <v>772</v>
      </c>
      <c r="L248" t="s">
        <v>1074</v>
      </c>
    </row>
    <row r="249" spans="1:12">
      <c r="A249" s="66"/>
      <c r="B249" s="118" t="s">
        <v>1075</v>
      </c>
      <c r="C249" t="s">
        <v>772</v>
      </c>
    </row>
    <row r="250" spans="1:12">
      <c r="A250" s="1" t="s">
        <v>1072</v>
      </c>
      <c r="B250" s="117" t="s">
        <v>0</v>
      </c>
      <c r="C250" t="s">
        <v>777</v>
      </c>
      <c r="L250" t="s">
        <v>1076</v>
      </c>
    </row>
    <row r="251" spans="1:12">
      <c r="A251" s="1" t="s">
        <v>1072</v>
      </c>
      <c r="B251" s="117" t="s">
        <v>1077</v>
      </c>
      <c r="C251" t="s">
        <v>777</v>
      </c>
      <c r="L251" t="s">
        <v>1078</v>
      </c>
    </row>
    <row r="252" spans="1:12">
      <c r="A252" s="1" t="s">
        <v>1072</v>
      </c>
      <c r="B252" s="117" t="s">
        <v>1079</v>
      </c>
      <c r="C252" t="s">
        <v>777</v>
      </c>
      <c r="L252" t="s">
        <v>1080</v>
      </c>
    </row>
    <row r="253" spans="1:12">
      <c r="A253" s="1" t="s">
        <v>1072</v>
      </c>
      <c r="B253" s="117" t="s">
        <v>1081</v>
      </c>
      <c r="C253" t="s">
        <v>777</v>
      </c>
      <c r="L253" t="s">
        <v>1082</v>
      </c>
    </row>
    <row r="254" spans="1:12">
      <c r="A254" s="1" t="s">
        <v>1072</v>
      </c>
      <c r="B254" s="117" t="s">
        <v>1083</v>
      </c>
      <c r="C254" t="s">
        <v>777</v>
      </c>
      <c r="L254" t="s">
        <v>1084</v>
      </c>
    </row>
    <row r="255" spans="1:12">
      <c r="A255" s="1" t="s">
        <v>1072</v>
      </c>
      <c r="B255" s="117" t="s">
        <v>1085</v>
      </c>
      <c r="C255" t="s">
        <v>777</v>
      </c>
      <c r="L255" t="s">
        <v>1086</v>
      </c>
    </row>
    <row r="256" spans="1:12">
      <c r="A256" s="1" t="s">
        <v>1072</v>
      </c>
      <c r="B256" s="117" t="s">
        <v>1087</v>
      </c>
      <c r="C256" t="s">
        <v>777</v>
      </c>
      <c r="L256" t="s">
        <v>1088</v>
      </c>
    </row>
  </sheetData>
  <autoFilter ref="A7:O207" xr:uid="{E2E14D23-A897-46A4-9AB6-9676AB69F3D4}"/>
  <hyperlinks>
    <hyperlink ref="K109" r:id="rId1" display="http://aims.fao.org/aos/agrovoc/c_5192" xr:uid="{C318C2F7-6A0A-4683-92C1-E176DEF58B77}"/>
    <hyperlink ref="K110" r:id="rId2" display="http://aims.fao.org/aos/agrovoc/c_5192" xr:uid="{78C24D50-6813-4561-9C76-00092E4C29D8}"/>
    <hyperlink ref="K111" r:id="rId3" display="http://aims.fao.org/aos/agrovoc/c_5192" xr:uid="{9E1D53FB-37F8-44D7-B534-4B0946A297A3}"/>
    <hyperlink ref="K99" r:id="rId4" display="http://aims.fao.org/aos/agrovoc/c_5192" xr:uid="{B539B4EB-630E-46BA-B80E-70255BB932DF}"/>
    <hyperlink ref="K100" r:id="rId5" display="http://aims.fao.org/aos/agrovoc/c_5192" xr:uid="{0C936927-ADD1-46A1-AF76-918187415CA8}"/>
    <hyperlink ref="K101" r:id="rId6" display="http://aims.fao.org/aos/agrovoc/c_5192" xr:uid="{9C918B3E-3AAE-4ACC-8E5F-237E9CA07743}"/>
    <hyperlink ref="K102" r:id="rId7" display="http://aims.fao.org/aos/agrovoc/c_5192" xr:uid="{8F22EC66-E1E2-422E-886A-05F39585221B}"/>
    <hyperlink ref="K94" r:id="rId8" xr:uid="{8FC73C81-F58C-4562-B6BF-C2E5A7C0FB49}"/>
    <hyperlink ref="K95" r:id="rId9" xr:uid="{44569A2D-9354-4C70-8400-4754A4255405}"/>
    <hyperlink ref="K104" r:id="rId10" xr:uid="{AF1ECD75-E31B-4F6D-AED6-8AB7546F58A5}"/>
    <hyperlink ref="K105" r:id="rId11" xr:uid="{480852CC-DDD8-4B08-B0EC-BA6B5A53BBA0}"/>
    <hyperlink ref="K118" r:id="rId12" xr:uid="{8C540B06-3D52-422B-802D-99F541CB68A2}"/>
    <hyperlink ref="K119" r:id="rId13" xr:uid="{79FFCA59-972F-42AF-A4B7-CA79B52689E8}"/>
    <hyperlink ref="K121" r:id="rId14" xr:uid="{96AEB875-2C69-4B70-AA66-9E365CA800E2}"/>
    <hyperlink ref="K114" r:id="rId15" xr:uid="{33C63C6D-018D-45DC-B1D0-BC28FD8ABBCE}"/>
    <hyperlink ref="K123" r:id="rId16" xr:uid="{958252B9-2324-4FC8-A90D-C657083878EB}"/>
    <hyperlink ref="K129" r:id="rId17" xr:uid="{33484DCD-A8F2-4493-A9AF-F5468ECF92EB}"/>
    <hyperlink ref="K131" r:id="rId18" xr:uid="{28EC02FB-94A9-4DFA-A338-51F35BFD7662}"/>
    <hyperlink ref="K132" r:id="rId19" xr:uid="{327AB2DF-A713-4F89-9017-54AEDD5BFAC1}"/>
    <hyperlink ref="K133" r:id="rId20" xr:uid="{2DE36102-B339-4D90-8C2C-FE7C647EE49C}"/>
    <hyperlink ref="K47" r:id="rId21" xr:uid="{3C976F28-B5A0-4087-A0DE-09562439E595}"/>
    <hyperlink ref="K169" r:id="rId22" xr:uid="{DDAFA047-5A01-450B-B777-401321406858}"/>
    <hyperlink ref="K139" r:id="rId23" xr:uid="{1EE3B3A6-93B7-4447-A2E9-94AD4476C70E}"/>
    <hyperlink ref="K140" r:id="rId24" xr:uid="{007D1FBA-566F-4F56-975F-F0BF7FCB56E1}"/>
    <hyperlink ref="K150" r:id="rId25" xr:uid="{AE1B2CC6-C61E-4B6B-B050-0705BE69F26E}"/>
    <hyperlink ref="K152" r:id="rId26" xr:uid="{7635AC75-AFA0-4825-8423-CA633F9DA3CE}"/>
    <hyperlink ref="K79" r:id="rId27" xr:uid="{2A383A37-D4D7-4C62-A1B4-C9BF43BC5BB2}"/>
    <hyperlink ref="K36" r:id="rId28" xr:uid="{BE6D69D9-E596-4810-BB9C-E7719166B3B1}"/>
    <hyperlink ref="K19" r:id="rId29" xr:uid="{113D70CD-69BA-428B-A237-07A7094D66D7}"/>
    <hyperlink ref="K185" r:id="rId30" xr:uid="{2AA3725F-CB1C-4C00-8D7F-E058DD93740B}"/>
    <hyperlink ref="K186" r:id="rId31" display="http://aims.fao.org/aos/agrovoc/c_2412" xr:uid="{B8234355-4737-4B58-8866-E953B72575A6}"/>
    <hyperlink ref="K226" r:id="rId32" xr:uid="{5087118C-75E4-437E-B5B0-AEC16EF481D2}"/>
    <hyperlink ref="K227" r:id="rId33" xr:uid="{D65C49C8-CBBB-46CC-9942-489712003C4D}"/>
  </hyperlinks>
  <pageMargins left="0.7" right="0.7" top="0.75" bottom="0.75" header="0.3" footer="0.3"/>
  <legacyDrawing r:id="rId3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73B012-950E-4062-B8C3-F9A6507E39C8}">
  <dimension ref="A1:OW166"/>
  <sheetViews>
    <sheetView topLeftCell="A141" workbookViewId="0">
      <selection activeCell="Q149" sqref="Q149"/>
    </sheetView>
  </sheetViews>
  <sheetFormatPr defaultRowHeight="15"/>
  <sheetData>
    <row r="1" spans="1:410" s="48" customFormat="1" ht="75.75" thickBot="1">
      <c r="A1" s="86" t="s">
        <v>1402</v>
      </c>
      <c r="B1" s="48" t="s">
        <v>652</v>
      </c>
      <c r="C1" s="49" t="s">
        <v>672</v>
      </c>
      <c r="D1" s="49" t="s">
        <v>651</v>
      </c>
      <c r="E1" s="49" t="s">
        <v>650</v>
      </c>
      <c r="F1" s="49" t="s">
        <v>649</v>
      </c>
      <c r="G1" s="49" t="s">
        <v>682</v>
      </c>
      <c r="H1" s="49" t="s">
        <v>648</v>
      </c>
      <c r="I1" s="49" t="s">
        <v>647</v>
      </c>
      <c r="J1" s="49" t="s">
        <v>646</v>
      </c>
      <c r="K1" s="49" t="s">
        <v>645</v>
      </c>
      <c r="L1" s="49" t="s">
        <v>674</v>
      </c>
      <c r="M1" s="49" t="s">
        <v>675</v>
      </c>
      <c r="N1" s="49" t="s">
        <v>676</v>
      </c>
      <c r="O1" s="49" t="s">
        <v>677</v>
      </c>
      <c r="P1" s="49" t="s">
        <v>678</v>
      </c>
      <c r="Q1" s="49" t="s">
        <v>679</v>
      </c>
      <c r="R1" s="49" t="s">
        <v>680</v>
      </c>
      <c r="S1" s="49" t="s">
        <v>681</v>
      </c>
      <c r="T1" s="49" t="s">
        <v>673</v>
      </c>
      <c r="U1" s="49" t="s">
        <v>1311</v>
      </c>
      <c r="V1" s="49" t="s">
        <v>1312</v>
      </c>
      <c r="W1" s="49" t="s">
        <v>1313</v>
      </c>
      <c r="X1" s="49" t="s">
        <v>1314</v>
      </c>
      <c r="Y1" s="49" t="s">
        <v>1315</v>
      </c>
      <c r="Z1" s="49" t="s">
        <v>1316</v>
      </c>
      <c r="AA1" s="49" t="s">
        <v>1317</v>
      </c>
      <c r="AB1" s="49" t="s">
        <v>1318</v>
      </c>
      <c r="AC1" s="49" t="s">
        <v>1308</v>
      </c>
      <c r="AD1" s="49" t="s">
        <v>1319</v>
      </c>
      <c r="AE1" s="49" t="s">
        <v>1320</v>
      </c>
      <c r="AF1" s="49" t="s">
        <v>1321</v>
      </c>
      <c r="AG1" s="49" t="s">
        <v>1322</v>
      </c>
      <c r="AH1" s="49" t="s">
        <v>1323</v>
      </c>
      <c r="AI1" s="49" t="s">
        <v>1324</v>
      </c>
      <c r="AJ1" s="49" t="s">
        <v>1325</v>
      </c>
      <c r="AK1" s="49" t="s">
        <v>1326</v>
      </c>
      <c r="AL1" s="49" t="s">
        <v>1309</v>
      </c>
      <c r="AM1" s="49" t="s">
        <v>1327</v>
      </c>
      <c r="AN1" s="49" t="s">
        <v>1328</v>
      </c>
      <c r="AO1" s="49" t="s">
        <v>1329</v>
      </c>
      <c r="AP1" s="49" t="s">
        <v>1330</v>
      </c>
      <c r="AQ1" s="49" t="s">
        <v>1331</v>
      </c>
      <c r="AR1" s="49" t="s">
        <v>1332</v>
      </c>
      <c r="AS1" s="49" t="s">
        <v>1333</v>
      </c>
      <c r="AT1" s="49" t="s">
        <v>1334</v>
      </c>
      <c r="AU1" s="49" t="s">
        <v>1310</v>
      </c>
      <c r="AV1" s="50" t="s">
        <v>644</v>
      </c>
      <c r="AW1" s="50" t="s">
        <v>643</v>
      </c>
      <c r="AX1" s="50" t="s">
        <v>642</v>
      </c>
      <c r="AY1" s="50" t="s">
        <v>641</v>
      </c>
      <c r="AZ1" s="43" t="s">
        <v>640</v>
      </c>
      <c r="BA1" s="43" t="s">
        <v>639</v>
      </c>
      <c r="BB1" s="43" t="s">
        <v>638</v>
      </c>
      <c r="BC1" s="43" t="s">
        <v>637</v>
      </c>
      <c r="BD1" s="42" t="s">
        <v>636</v>
      </c>
      <c r="BE1" s="42" t="s">
        <v>635</v>
      </c>
      <c r="BF1" s="42" t="s">
        <v>717</v>
      </c>
      <c r="BG1" s="44" t="s">
        <v>1232</v>
      </c>
      <c r="BH1" s="1" t="s">
        <v>634</v>
      </c>
      <c r="BI1" s="1" t="s">
        <v>633</v>
      </c>
      <c r="BJ1" s="1" t="s">
        <v>632</v>
      </c>
      <c r="BK1" s="1" t="s">
        <v>631</v>
      </c>
      <c r="BL1" s="1" t="s">
        <v>630</v>
      </c>
      <c r="BM1" s="1" t="s">
        <v>629</v>
      </c>
      <c r="BN1" s="1" t="s">
        <v>628</v>
      </c>
      <c r="BO1" s="1" t="s">
        <v>627</v>
      </c>
      <c r="BP1" s="1" t="s">
        <v>626</v>
      </c>
      <c r="BQ1" s="1" t="s">
        <v>625</v>
      </c>
      <c r="BR1" s="1" t="s">
        <v>624</v>
      </c>
      <c r="BS1" s="1" t="s">
        <v>623</v>
      </c>
      <c r="BT1" s="1" t="s">
        <v>622</v>
      </c>
      <c r="BU1" s="1" t="s">
        <v>621</v>
      </c>
      <c r="BV1" s="1" t="s">
        <v>620</v>
      </c>
      <c r="BW1" s="1" t="s">
        <v>1244</v>
      </c>
      <c r="BX1" s="1" t="s">
        <v>1245</v>
      </c>
      <c r="BY1" s="1" t="s">
        <v>1246</v>
      </c>
      <c r="BZ1" s="1" t="s">
        <v>1247</v>
      </c>
      <c r="CA1" s="1" t="s">
        <v>1239</v>
      </c>
      <c r="CB1" s="1" t="s">
        <v>1249</v>
      </c>
      <c r="CC1" s="1" t="s">
        <v>1250</v>
      </c>
      <c r="CD1" s="1" t="s">
        <v>1251</v>
      </c>
      <c r="CE1" s="1" t="s">
        <v>1252</v>
      </c>
      <c r="CF1" s="1" t="s">
        <v>1240</v>
      </c>
      <c r="CG1" s="1" t="s">
        <v>1253</v>
      </c>
      <c r="CH1" s="1" t="s">
        <v>1254</v>
      </c>
      <c r="CI1" s="1" t="s">
        <v>1255</v>
      </c>
      <c r="CJ1" s="1" t="s">
        <v>1256</v>
      </c>
      <c r="CK1" s="1" t="s">
        <v>1241</v>
      </c>
      <c r="CL1" s="1" t="s">
        <v>1257</v>
      </c>
      <c r="CM1" s="1" t="s">
        <v>1258</v>
      </c>
      <c r="CN1" s="1" t="s">
        <v>1259</v>
      </c>
      <c r="CO1" s="1" t="s">
        <v>1260</v>
      </c>
      <c r="CP1" s="1" t="s">
        <v>1242</v>
      </c>
      <c r="CQ1" s="1" t="s">
        <v>1261</v>
      </c>
      <c r="CR1" s="1" t="s">
        <v>1262</v>
      </c>
      <c r="CS1" s="1" t="s">
        <v>1263</v>
      </c>
      <c r="CT1" s="1" t="s">
        <v>1264</v>
      </c>
      <c r="CU1" s="1" t="s">
        <v>1243</v>
      </c>
      <c r="CV1" s="1" t="s">
        <v>1265</v>
      </c>
      <c r="CW1" s="1" t="s">
        <v>1266</v>
      </c>
      <c r="CX1" s="1" t="s">
        <v>1267</v>
      </c>
      <c r="CY1" s="1" t="s">
        <v>1268</v>
      </c>
      <c r="CZ1" s="1" t="s">
        <v>1248</v>
      </c>
      <c r="DA1" s="1" t="s">
        <v>1275</v>
      </c>
      <c r="DB1" s="1" t="s">
        <v>1276</v>
      </c>
      <c r="DC1" s="1" t="s">
        <v>1277</v>
      </c>
      <c r="DD1" s="1" t="s">
        <v>1278</v>
      </c>
      <c r="DE1" s="1" t="s">
        <v>1269</v>
      </c>
      <c r="DF1" s="1" t="s">
        <v>1279</v>
      </c>
      <c r="DG1" s="1" t="s">
        <v>1280</v>
      </c>
      <c r="DH1" s="1" t="s">
        <v>1281</v>
      </c>
      <c r="DI1" s="1" t="s">
        <v>1282</v>
      </c>
      <c r="DJ1" s="1" t="s">
        <v>1270</v>
      </c>
      <c r="DK1" s="1" t="s">
        <v>1283</v>
      </c>
      <c r="DL1" s="1" t="s">
        <v>1284</v>
      </c>
      <c r="DM1" s="1" t="s">
        <v>1285</v>
      </c>
      <c r="DN1" s="1" t="s">
        <v>1286</v>
      </c>
      <c r="DO1" s="1" t="s">
        <v>1271</v>
      </c>
      <c r="DP1" s="1" t="s">
        <v>1287</v>
      </c>
      <c r="DQ1" s="1" t="s">
        <v>1288</v>
      </c>
      <c r="DR1" s="1" t="s">
        <v>1289</v>
      </c>
      <c r="DS1" s="1" t="s">
        <v>1290</v>
      </c>
      <c r="DT1" s="1" t="s">
        <v>1272</v>
      </c>
      <c r="DU1" s="1" t="s">
        <v>1291</v>
      </c>
      <c r="DV1" s="1" t="s">
        <v>1292</v>
      </c>
      <c r="DW1" s="1" t="s">
        <v>1293</v>
      </c>
      <c r="DX1" s="1" t="s">
        <v>1294</v>
      </c>
      <c r="DY1" s="1" t="s">
        <v>1273</v>
      </c>
      <c r="DZ1" s="1" t="s">
        <v>1295</v>
      </c>
      <c r="EA1" s="1" t="s">
        <v>1296</v>
      </c>
      <c r="EB1" s="1" t="s">
        <v>1297</v>
      </c>
      <c r="EC1" s="1" t="s">
        <v>1298</v>
      </c>
      <c r="ED1" s="1" t="s">
        <v>1274</v>
      </c>
      <c r="EE1" s="42" t="s">
        <v>619</v>
      </c>
      <c r="EF1" s="42" t="s">
        <v>618</v>
      </c>
      <c r="EG1" s="42" t="s">
        <v>617</v>
      </c>
      <c r="EH1" s="42" t="s">
        <v>684</v>
      </c>
      <c r="EI1" s="42" t="s">
        <v>685</v>
      </c>
      <c r="EJ1" s="42" t="s">
        <v>686</v>
      </c>
      <c r="EK1" s="42" t="s">
        <v>687</v>
      </c>
      <c r="EL1" s="42" t="s">
        <v>688</v>
      </c>
      <c r="EM1" s="42" t="s">
        <v>1345</v>
      </c>
      <c r="EN1" s="42" t="s">
        <v>1346</v>
      </c>
      <c r="EO1" s="42" t="s">
        <v>1347</v>
      </c>
      <c r="EP1" s="42" t="s">
        <v>1335</v>
      </c>
      <c r="EQ1" s="42" t="s">
        <v>1348</v>
      </c>
      <c r="ER1" s="42" t="s">
        <v>1349</v>
      </c>
      <c r="ES1" s="42" t="s">
        <v>1350</v>
      </c>
      <c r="ET1" s="42" t="s">
        <v>1336</v>
      </c>
      <c r="EU1" s="42" t="s">
        <v>1351</v>
      </c>
      <c r="EV1" s="42" t="s">
        <v>1352</v>
      </c>
      <c r="EW1" s="42" t="s">
        <v>1353</v>
      </c>
      <c r="EX1" s="42" t="s">
        <v>1337</v>
      </c>
      <c r="EY1" s="42" t="s">
        <v>1357</v>
      </c>
      <c r="EZ1" s="42" t="s">
        <v>1358</v>
      </c>
      <c r="FA1" s="42" t="s">
        <v>1359</v>
      </c>
      <c r="FB1" s="42" t="s">
        <v>1338</v>
      </c>
      <c r="FC1" s="42" t="s">
        <v>1360</v>
      </c>
      <c r="FD1" s="42" t="s">
        <v>1361</v>
      </c>
      <c r="FE1" s="42" t="s">
        <v>1362</v>
      </c>
      <c r="FF1" s="42" t="s">
        <v>1339</v>
      </c>
      <c r="FG1" s="42" t="s">
        <v>1363</v>
      </c>
      <c r="FH1" s="42" t="s">
        <v>1364</v>
      </c>
      <c r="FI1" s="42" t="s">
        <v>1365</v>
      </c>
      <c r="FJ1" s="42" t="s">
        <v>1340</v>
      </c>
      <c r="FK1" s="42" t="s">
        <v>1366</v>
      </c>
      <c r="FL1" s="42" t="s">
        <v>1367</v>
      </c>
      <c r="FM1" s="42" t="s">
        <v>1368</v>
      </c>
      <c r="FN1" s="42" t="s">
        <v>1341</v>
      </c>
      <c r="FO1" s="42" t="s">
        <v>1369</v>
      </c>
      <c r="FP1" s="42" t="s">
        <v>1370</v>
      </c>
      <c r="FQ1" s="42" t="s">
        <v>1371</v>
      </c>
      <c r="FR1" s="42" t="s">
        <v>1342</v>
      </c>
      <c r="FS1" s="42" t="s">
        <v>1372</v>
      </c>
      <c r="FT1" s="42" t="s">
        <v>1373</v>
      </c>
      <c r="FU1" s="42" t="s">
        <v>1374</v>
      </c>
      <c r="FV1" s="42" t="s">
        <v>1343</v>
      </c>
      <c r="FW1" s="42" t="s">
        <v>1375</v>
      </c>
      <c r="FX1" s="42" t="s">
        <v>1376</v>
      </c>
      <c r="FY1" s="42" t="s">
        <v>1377</v>
      </c>
      <c r="FZ1" s="42" t="s">
        <v>1344</v>
      </c>
      <c r="GA1" s="42" t="s">
        <v>1378</v>
      </c>
      <c r="GB1" s="42" t="s">
        <v>1379</v>
      </c>
      <c r="GC1" s="42" t="s">
        <v>1380</v>
      </c>
      <c r="GD1" s="42" t="s">
        <v>1354</v>
      </c>
      <c r="GE1" s="42" t="s">
        <v>1381</v>
      </c>
      <c r="GF1" s="42" t="s">
        <v>1382</v>
      </c>
      <c r="GG1" s="42" t="s">
        <v>1383</v>
      </c>
      <c r="GH1" s="42" t="s">
        <v>1355</v>
      </c>
      <c r="GI1" s="42" t="s">
        <v>1384</v>
      </c>
      <c r="GJ1" s="42" t="s">
        <v>1385</v>
      </c>
      <c r="GK1" s="42" t="s">
        <v>1386</v>
      </c>
      <c r="GL1" s="42" t="s">
        <v>1356</v>
      </c>
      <c r="GM1" s="42" t="s">
        <v>691</v>
      </c>
      <c r="GN1" s="42" t="s">
        <v>700</v>
      </c>
      <c r="GO1" s="42" t="s">
        <v>689</v>
      </c>
      <c r="GP1" s="42" t="s">
        <v>690</v>
      </c>
      <c r="GQ1" s="42" t="s">
        <v>1097</v>
      </c>
      <c r="GR1" s="42" t="s">
        <v>693</v>
      </c>
      <c r="GS1" s="42" t="s">
        <v>699</v>
      </c>
      <c r="GT1" s="42" t="s">
        <v>694</v>
      </c>
      <c r="GU1" s="42" t="s">
        <v>692</v>
      </c>
      <c r="GV1" s="42" t="s">
        <v>1098</v>
      </c>
      <c r="GW1" s="42" t="s">
        <v>1390</v>
      </c>
      <c r="GX1" s="42" t="s">
        <v>1391</v>
      </c>
      <c r="GY1" s="42" t="s">
        <v>1392</v>
      </c>
      <c r="GZ1" s="42" t="s">
        <v>1393</v>
      </c>
      <c r="HA1" s="42" t="s">
        <v>1387</v>
      </c>
      <c r="HB1" s="42" t="s">
        <v>1394</v>
      </c>
      <c r="HC1" s="42" t="s">
        <v>1395</v>
      </c>
      <c r="HD1" s="42" t="s">
        <v>1396</v>
      </c>
      <c r="HE1" s="42" t="s">
        <v>1397</v>
      </c>
      <c r="HF1" s="42" t="s">
        <v>1388</v>
      </c>
      <c r="HG1" s="42" t="s">
        <v>1398</v>
      </c>
      <c r="HH1" s="42" t="s">
        <v>1399</v>
      </c>
      <c r="HI1" s="42" t="s">
        <v>1400</v>
      </c>
      <c r="HJ1" s="42" t="s">
        <v>1401</v>
      </c>
      <c r="HK1" s="42" t="s">
        <v>1389</v>
      </c>
      <c r="HL1" s="34" t="s">
        <v>616</v>
      </c>
      <c r="HM1" s="34" t="s">
        <v>615</v>
      </c>
      <c r="HN1" s="34" t="s">
        <v>614</v>
      </c>
      <c r="HO1" s="34" t="s">
        <v>613</v>
      </c>
      <c r="HP1" s="34" t="s">
        <v>612</v>
      </c>
      <c r="HQ1" s="34" t="s">
        <v>611</v>
      </c>
      <c r="HR1" s="42" t="s">
        <v>610</v>
      </c>
      <c r="HS1" s="42" t="s">
        <v>609</v>
      </c>
      <c r="HT1" s="42" t="s">
        <v>608</v>
      </c>
      <c r="HU1" s="42" t="s">
        <v>607</v>
      </c>
      <c r="HV1" s="42" t="s">
        <v>606</v>
      </c>
      <c r="HW1" s="42" t="s">
        <v>1223</v>
      </c>
      <c r="HX1" s="42" t="s">
        <v>695</v>
      </c>
      <c r="HY1" s="42" t="s">
        <v>696</v>
      </c>
      <c r="HZ1" s="42" t="s">
        <v>697</v>
      </c>
      <c r="IA1" s="42" t="s">
        <v>698</v>
      </c>
      <c r="IB1" s="18" t="s">
        <v>725</v>
      </c>
      <c r="IC1" s="18" t="s">
        <v>701</v>
      </c>
      <c r="ID1" s="18" t="s">
        <v>702</v>
      </c>
      <c r="IE1" s="18" t="s">
        <v>703</v>
      </c>
      <c r="IF1" s="42" t="s">
        <v>605</v>
      </c>
      <c r="IG1" s="42" t="s">
        <v>604</v>
      </c>
      <c r="IH1" s="42" t="s">
        <v>656</v>
      </c>
      <c r="II1" s="42" t="s">
        <v>657</v>
      </c>
      <c r="IJ1" s="42" t="s">
        <v>603</v>
      </c>
      <c r="IK1" s="42" t="s">
        <v>602</v>
      </c>
      <c r="IL1" s="42" t="s">
        <v>601</v>
      </c>
      <c r="IM1" s="42" t="s">
        <v>600</v>
      </c>
      <c r="IN1" s="42" t="s">
        <v>599</v>
      </c>
      <c r="IO1" s="42" t="s">
        <v>598</v>
      </c>
      <c r="IP1" s="42" t="s">
        <v>597</v>
      </c>
      <c r="IQ1" s="42" t="s">
        <v>596</v>
      </c>
      <c r="IR1" s="42" t="s">
        <v>595</v>
      </c>
      <c r="IS1" s="42" t="s">
        <v>594</v>
      </c>
      <c r="IT1" s="50" t="s">
        <v>729</v>
      </c>
      <c r="IU1" s="50" t="s">
        <v>593</v>
      </c>
      <c r="IV1" s="50" t="s">
        <v>592</v>
      </c>
      <c r="IW1" s="50" t="s">
        <v>591</v>
      </c>
      <c r="IX1" s="50" t="s">
        <v>715</v>
      </c>
      <c r="IY1" s="50" t="s">
        <v>590</v>
      </c>
      <c r="IZ1" s="50" t="s">
        <v>589</v>
      </c>
      <c r="JA1" s="50" t="s">
        <v>588</v>
      </c>
      <c r="JB1" s="50" t="s">
        <v>587</v>
      </c>
      <c r="JC1" s="50" t="s">
        <v>586</v>
      </c>
      <c r="JD1" s="50" t="s">
        <v>716</v>
      </c>
      <c r="JE1" s="50" t="s">
        <v>585</v>
      </c>
      <c r="JF1" s="50" t="s">
        <v>584</v>
      </c>
      <c r="JG1" s="50" t="s">
        <v>583</v>
      </c>
      <c r="JH1" s="44" t="s">
        <v>582</v>
      </c>
      <c r="JI1" s="44" t="s">
        <v>581</v>
      </c>
      <c r="JJ1" s="44" t="s">
        <v>580</v>
      </c>
      <c r="JK1" s="42" t="s">
        <v>579</v>
      </c>
      <c r="JL1" s="42" t="s">
        <v>1102</v>
      </c>
      <c r="JM1" s="42" t="s">
        <v>1103</v>
      </c>
      <c r="JN1" s="42" t="s">
        <v>578</v>
      </c>
      <c r="JO1" s="42" t="s">
        <v>577</v>
      </c>
      <c r="JP1" s="42" t="s">
        <v>576</v>
      </c>
      <c r="JQ1" s="42" t="s">
        <v>575</v>
      </c>
      <c r="JR1" s="42" t="s">
        <v>574</v>
      </c>
      <c r="JS1" s="42" t="s">
        <v>573</v>
      </c>
      <c r="JT1" s="42" t="s">
        <v>572</v>
      </c>
      <c r="JU1" s="42" t="s">
        <v>571</v>
      </c>
      <c r="JV1" s="42" t="s">
        <v>570</v>
      </c>
      <c r="JW1" s="42" t="s">
        <v>569</v>
      </c>
      <c r="JX1" s="42" t="s">
        <v>568</v>
      </c>
      <c r="JY1" s="42" t="s">
        <v>567</v>
      </c>
      <c r="JZ1" s="42" t="s">
        <v>566</v>
      </c>
      <c r="KA1" s="42" t="s">
        <v>565</v>
      </c>
      <c r="KB1" s="42" t="s">
        <v>564</v>
      </c>
      <c r="KC1" s="42" t="s">
        <v>748</v>
      </c>
      <c r="KD1" s="42" t="s">
        <v>749</v>
      </c>
      <c r="KE1" s="42" t="s">
        <v>563</v>
      </c>
      <c r="KF1" s="42" t="s">
        <v>562</v>
      </c>
      <c r="KG1" s="42" t="s">
        <v>561</v>
      </c>
      <c r="KH1" s="42" t="s">
        <v>560</v>
      </c>
      <c r="KI1" s="42" t="s">
        <v>559</v>
      </c>
      <c r="KJ1" s="42" t="s">
        <v>558</v>
      </c>
      <c r="KK1" s="42" t="s">
        <v>557</v>
      </c>
      <c r="KL1" s="42" t="s">
        <v>556</v>
      </c>
      <c r="KM1" s="42" t="s">
        <v>555</v>
      </c>
      <c r="KN1" s="42" t="s">
        <v>554</v>
      </c>
      <c r="KO1" s="42" t="s">
        <v>553</v>
      </c>
      <c r="KP1" s="42" t="s">
        <v>552</v>
      </c>
      <c r="KQ1" s="42" t="s">
        <v>551</v>
      </c>
      <c r="KR1" s="42" t="s">
        <v>550</v>
      </c>
      <c r="KS1" s="42" t="s">
        <v>549</v>
      </c>
      <c r="KT1" s="42" t="s">
        <v>548</v>
      </c>
      <c r="KU1" s="42" t="s">
        <v>1113</v>
      </c>
      <c r="KV1" s="42" t="s">
        <v>1110</v>
      </c>
      <c r="KW1" s="42" t="s">
        <v>1111</v>
      </c>
      <c r="KX1" s="42" t="s">
        <v>1112</v>
      </c>
      <c r="KY1" s="42" t="s">
        <v>546</v>
      </c>
      <c r="KZ1" s="42" t="s">
        <v>545</v>
      </c>
      <c r="LA1" s="42" t="s">
        <v>544</v>
      </c>
      <c r="LB1" s="42" t="s">
        <v>543</v>
      </c>
      <c r="LC1" s="42" t="s">
        <v>542</v>
      </c>
      <c r="LD1" s="42" t="s">
        <v>541</v>
      </c>
      <c r="LE1" s="42" t="s">
        <v>540</v>
      </c>
      <c r="LF1" s="42" t="s">
        <v>539</v>
      </c>
      <c r="LG1" s="42" t="s">
        <v>538</v>
      </c>
      <c r="LH1" s="42" t="s">
        <v>537</v>
      </c>
      <c r="LI1" s="42" t="s">
        <v>536</v>
      </c>
      <c r="LJ1" s="42" t="s">
        <v>535</v>
      </c>
      <c r="LK1" s="42" t="s">
        <v>534</v>
      </c>
      <c r="LL1" s="42" t="s">
        <v>1118</v>
      </c>
      <c r="LM1" s="42" t="s">
        <v>1119</v>
      </c>
      <c r="LN1" s="42" t="s">
        <v>533</v>
      </c>
      <c r="LO1" s="42" t="s">
        <v>532</v>
      </c>
      <c r="LP1" s="44" t="s">
        <v>531</v>
      </c>
      <c r="LQ1" s="44" t="s">
        <v>530</v>
      </c>
      <c r="LR1" s="44" t="s">
        <v>529</v>
      </c>
      <c r="LS1" s="44" t="s">
        <v>528</v>
      </c>
      <c r="LT1" s="44" t="s">
        <v>527</v>
      </c>
      <c r="LU1" s="44" t="s">
        <v>526</v>
      </c>
      <c r="LV1" s="44" t="s">
        <v>1092</v>
      </c>
      <c r="LW1" s="44" t="s">
        <v>1089</v>
      </c>
      <c r="LX1" s="44" t="s">
        <v>1090</v>
      </c>
      <c r="LY1" s="44" t="s">
        <v>1091</v>
      </c>
      <c r="LZ1" s="42" t="s">
        <v>524</v>
      </c>
      <c r="MA1" s="42" t="s">
        <v>523</v>
      </c>
      <c r="MB1" s="44" t="s">
        <v>522</v>
      </c>
      <c r="MC1" s="44" t="s">
        <v>521</v>
      </c>
      <c r="MD1" s="44" t="s">
        <v>520</v>
      </c>
      <c r="ME1" s="44" t="s">
        <v>1134</v>
      </c>
      <c r="MF1" s="44" t="s">
        <v>1142</v>
      </c>
      <c r="MG1" s="44" t="s">
        <v>1141</v>
      </c>
      <c r="MH1" s="44" t="s">
        <v>1140</v>
      </c>
      <c r="MI1" s="44" t="s">
        <v>1139</v>
      </c>
      <c r="MJ1" s="44" t="s">
        <v>1136</v>
      </c>
      <c r="MK1" s="44" t="s">
        <v>1137</v>
      </c>
      <c r="ML1" s="44" t="s">
        <v>1138</v>
      </c>
      <c r="MM1" s="42" t="s">
        <v>519</v>
      </c>
      <c r="MN1" s="43" t="s">
        <v>518</v>
      </c>
      <c r="MO1" s="51" t="s">
        <v>517</v>
      </c>
      <c r="MP1" s="51" t="s">
        <v>1211</v>
      </c>
      <c r="MQ1" s="51" t="s">
        <v>516</v>
      </c>
      <c r="MR1" s="51" t="s">
        <v>515</v>
      </c>
      <c r="MS1" s="51" t="s">
        <v>514</v>
      </c>
      <c r="MT1" s="51" t="s">
        <v>513</v>
      </c>
      <c r="MU1" s="51" t="s">
        <v>512</v>
      </c>
      <c r="MV1" s="51" t="s">
        <v>714</v>
      </c>
      <c r="MW1" s="51" t="s">
        <v>708</v>
      </c>
      <c r="MX1" s="42" t="s">
        <v>713</v>
      </c>
      <c r="MY1" s="42" t="s">
        <v>704</v>
      </c>
      <c r="MZ1" s="42" t="s">
        <v>705</v>
      </c>
      <c r="NA1" s="42" t="s">
        <v>706</v>
      </c>
      <c r="NB1" s="42" t="s">
        <v>707</v>
      </c>
      <c r="NC1" s="42" t="s">
        <v>511</v>
      </c>
      <c r="ND1" s="42" t="s">
        <v>510</v>
      </c>
      <c r="NE1" s="42" t="s">
        <v>509</v>
      </c>
      <c r="NF1" s="42" t="s">
        <v>508</v>
      </c>
      <c r="NG1" s="42" t="s">
        <v>507</v>
      </c>
      <c r="NH1" s="42" t="s">
        <v>506</v>
      </c>
      <c r="NI1" s="42" t="s">
        <v>505</v>
      </c>
      <c r="NJ1" s="42" t="s">
        <v>504</v>
      </c>
      <c r="NK1" s="42" t="s">
        <v>503</v>
      </c>
      <c r="NL1" s="42" t="s">
        <v>502</v>
      </c>
      <c r="NM1" s="42" t="s">
        <v>1182</v>
      </c>
      <c r="NN1" s="42" t="s">
        <v>1183</v>
      </c>
      <c r="NO1" s="42" t="s">
        <v>1184</v>
      </c>
      <c r="NP1" s="42" t="s">
        <v>1185</v>
      </c>
      <c r="NQ1" s="42" t="s">
        <v>718</v>
      </c>
      <c r="NR1" s="42" t="s">
        <v>1212</v>
      </c>
      <c r="NS1" s="42" t="s">
        <v>1213</v>
      </c>
      <c r="NT1" s="42" t="s">
        <v>1214</v>
      </c>
      <c r="NU1" s="42" t="s">
        <v>1215</v>
      </c>
      <c r="NV1" s="42" t="s">
        <v>1216</v>
      </c>
      <c r="NW1" s="42" t="s">
        <v>1217</v>
      </c>
      <c r="NX1" s="42" t="s">
        <v>1218</v>
      </c>
      <c r="NY1" s="42" t="s">
        <v>1219</v>
      </c>
      <c r="NZ1" s="42" t="s">
        <v>1220</v>
      </c>
      <c r="OA1" s="42" t="s">
        <v>1221</v>
      </c>
      <c r="OB1" s="42" t="s">
        <v>501</v>
      </c>
      <c r="OC1" s="42" t="s">
        <v>500</v>
      </c>
      <c r="OD1" s="42" t="s">
        <v>499</v>
      </c>
      <c r="OE1" s="42" t="s">
        <v>498</v>
      </c>
      <c r="OF1" s="42" t="s">
        <v>497</v>
      </c>
      <c r="OG1" s="42" t="s">
        <v>496</v>
      </c>
      <c r="OH1" s="42" t="s">
        <v>495</v>
      </c>
      <c r="OI1" s="80" t="s">
        <v>1164</v>
      </c>
      <c r="OJ1" s="80" t="s">
        <v>1165</v>
      </c>
      <c r="OK1" s="81" t="s">
        <v>1171</v>
      </c>
      <c r="OL1" s="81" t="s">
        <v>1166</v>
      </c>
      <c r="OM1" s="81" t="s">
        <v>1167</v>
      </c>
      <c r="ON1" s="81" t="s">
        <v>1170</v>
      </c>
      <c r="OO1" s="79" t="s">
        <v>1168</v>
      </c>
    </row>
    <row r="2" spans="1:410" ht="15.75" thickBot="1">
      <c r="A2" t="s">
        <v>248</v>
      </c>
      <c r="B2" t="s">
        <v>1600</v>
      </c>
      <c r="C2" t="s">
        <v>1173</v>
      </c>
      <c r="D2" s="100" t="s">
        <v>31</v>
      </c>
      <c r="E2" s="90" t="s">
        <v>1614</v>
      </c>
      <c r="F2" s="100" t="s">
        <v>31</v>
      </c>
      <c r="G2" s="87" t="s">
        <v>2</v>
      </c>
      <c r="H2" s="87" t="s">
        <v>30</v>
      </c>
      <c r="I2">
        <v>7.3666666669999996</v>
      </c>
      <c r="J2">
        <v>3.8333333330000001</v>
      </c>
      <c r="K2" s="87" t="s">
        <v>29</v>
      </c>
      <c r="AV2" t="s">
        <v>1616</v>
      </c>
      <c r="AW2" t="s">
        <v>836</v>
      </c>
      <c r="AX2" t="s">
        <v>1601</v>
      </c>
      <c r="AY2" t="s">
        <v>836</v>
      </c>
      <c r="AZ2" t="s">
        <v>836</v>
      </c>
      <c r="BA2">
        <v>2003</v>
      </c>
      <c r="BB2">
        <v>2004</v>
      </c>
      <c r="BD2" t="s">
        <v>238</v>
      </c>
      <c r="BE2" t="s">
        <v>1610</v>
      </c>
      <c r="BF2" t="s">
        <v>64</v>
      </c>
      <c r="BG2" s="78" t="s">
        <v>1233</v>
      </c>
      <c r="BH2" t="s">
        <v>23</v>
      </c>
      <c r="BI2" t="s">
        <v>1618</v>
      </c>
      <c r="BJ2" t="s">
        <v>836</v>
      </c>
      <c r="BK2" t="s">
        <v>836</v>
      </c>
      <c r="BL2" t="s">
        <v>56</v>
      </c>
      <c r="BM2" t="s">
        <v>1608</v>
      </c>
      <c r="BN2" t="s">
        <v>1617</v>
      </c>
      <c r="BO2" t="s">
        <v>836</v>
      </c>
      <c r="BP2" t="s">
        <v>836</v>
      </c>
      <c r="BQ2" t="s">
        <v>56</v>
      </c>
      <c r="BR2" t="s">
        <v>1615</v>
      </c>
      <c r="BS2" t="s">
        <v>234</v>
      </c>
      <c r="BT2" t="s">
        <v>836</v>
      </c>
      <c r="BU2" t="s">
        <v>836</v>
      </c>
      <c r="BV2" t="s">
        <v>836</v>
      </c>
      <c r="HR2" t="s">
        <v>836</v>
      </c>
      <c r="HS2" t="s">
        <v>836</v>
      </c>
      <c r="HT2" t="s">
        <v>836</v>
      </c>
      <c r="HU2" t="s">
        <v>836</v>
      </c>
      <c r="HV2" t="s">
        <v>836</v>
      </c>
      <c r="HW2" t="s">
        <v>836</v>
      </c>
      <c r="HX2" t="s">
        <v>836</v>
      </c>
      <c r="HY2" t="s">
        <v>836</v>
      </c>
      <c r="HZ2" t="s">
        <v>836</v>
      </c>
      <c r="IA2" t="s">
        <v>836</v>
      </c>
      <c r="IB2" t="s">
        <v>836</v>
      </c>
      <c r="IC2" t="s">
        <v>836</v>
      </c>
      <c r="ID2" t="s">
        <v>836</v>
      </c>
      <c r="IE2" t="s">
        <v>836</v>
      </c>
      <c r="IF2" t="s">
        <v>1610</v>
      </c>
      <c r="IG2" t="s">
        <v>836</v>
      </c>
      <c r="IH2" t="s">
        <v>836</v>
      </c>
      <c r="II2" t="s">
        <v>836</v>
      </c>
      <c r="IJ2" t="s">
        <v>836</v>
      </c>
      <c r="IK2" t="s">
        <v>836</v>
      </c>
      <c r="IL2" t="s">
        <v>836</v>
      </c>
      <c r="JH2" t="s">
        <v>1621</v>
      </c>
      <c r="JI2" s="84" t="s">
        <v>15</v>
      </c>
      <c r="JJ2" t="s">
        <v>14</v>
      </c>
      <c r="JK2" t="s">
        <v>1627</v>
      </c>
      <c r="JL2" t="s">
        <v>13</v>
      </c>
      <c r="JM2" t="s">
        <v>1623</v>
      </c>
      <c r="KH2" s="54" t="s">
        <v>722</v>
      </c>
      <c r="MM2" t="s">
        <v>1603</v>
      </c>
      <c r="MN2" t="s">
        <v>836</v>
      </c>
      <c r="MO2" t="s">
        <v>1632</v>
      </c>
      <c r="MQ2" t="s">
        <v>23</v>
      </c>
      <c r="MR2" t="s">
        <v>1608</v>
      </c>
      <c r="MS2" t="s">
        <v>1615</v>
      </c>
      <c r="MY2" t="s">
        <v>1631</v>
      </c>
      <c r="MZ2" t="s">
        <v>1604</v>
      </c>
      <c r="NA2" t="s">
        <v>1518</v>
      </c>
      <c r="NB2" t="s">
        <v>1605</v>
      </c>
      <c r="NK2" t="s">
        <v>6</v>
      </c>
      <c r="NM2" t="s">
        <v>1606</v>
      </c>
      <c r="NQ2">
        <v>2</v>
      </c>
      <c r="OB2" t="s">
        <v>1576</v>
      </c>
      <c r="OC2" s="87" t="s">
        <v>2</v>
      </c>
      <c r="OD2">
        <v>2003</v>
      </c>
      <c r="OI2" t="s">
        <v>1169</v>
      </c>
      <c r="OJ2" s="58">
        <v>46105</v>
      </c>
    </row>
    <row r="3" spans="1:410" ht="15.75" thickBot="1">
      <c r="A3" t="s">
        <v>248</v>
      </c>
      <c r="B3" t="s">
        <v>1600</v>
      </c>
      <c r="C3" t="s">
        <v>1173</v>
      </c>
      <c r="D3" s="100" t="s">
        <v>31</v>
      </c>
      <c r="E3" s="90" t="s">
        <v>1614</v>
      </c>
      <c r="F3" s="100" t="s">
        <v>31</v>
      </c>
      <c r="G3" s="87" t="s">
        <v>2</v>
      </c>
      <c r="H3" s="87" t="s">
        <v>30</v>
      </c>
      <c r="I3">
        <v>7.3666666669999996</v>
      </c>
      <c r="J3">
        <v>3.8333333330000001</v>
      </c>
      <c r="K3" s="87" t="s">
        <v>29</v>
      </c>
      <c r="AV3" t="s">
        <v>836</v>
      </c>
      <c r="AW3" t="s">
        <v>836</v>
      </c>
      <c r="AX3" t="s">
        <v>1601</v>
      </c>
      <c r="AY3" t="s">
        <v>836</v>
      </c>
      <c r="AZ3" t="s">
        <v>836</v>
      </c>
      <c r="BA3">
        <v>2003</v>
      </c>
      <c r="BB3">
        <v>2004</v>
      </c>
      <c r="BD3" t="s">
        <v>238</v>
      </c>
      <c r="BE3" t="s">
        <v>1611</v>
      </c>
      <c r="BF3" t="s">
        <v>57</v>
      </c>
      <c r="BG3" s="78" t="s">
        <v>1233</v>
      </c>
      <c r="BH3" t="s">
        <v>23</v>
      </c>
      <c r="BI3" t="s">
        <v>1618</v>
      </c>
      <c r="BJ3" t="s">
        <v>836</v>
      </c>
      <c r="BK3" t="s">
        <v>836</v>
      </c>
      <c r="BL3" t="s">
        <v>56</v>
      </c>
      <c r="BM3" t="s">
        <v>1608</v>
      </c>
      <c r="BN3" t="s">
        <v>1619</v>
      </c>
      <c r="BO3" t="s">
        <v>836</v>
      </c>
      <c r="BP3" t="s">
        <v>836</v>
      </c>
      <c r="HR3" t="s">
        <v>836</v>
      </c>
      <c r="HS3" t="s">
        <v>836</v>
      </c>
      <c r="HT3" t="s">
        <v>836</v>
      </c>
      <c r="HU3" t="s">
        <v>836</v>
      </c>
      <c r="HV3" t="s">
        <v>836</v>
      </c>
      <c r="HW3" t="s">
        <v>836</v>
      </c>
      <c r="HX3" t="s">
        <v>836</v>
      </c>
      <c r="HY3" t="s">
        <v>836</v>
      </c>
      <c r="HZ3" t="s">
        <v>836</v>
      </c>
      <c r="IA3" t="s">
        <v>836</v>
      </c>
      <c r="IB3" t="s">
        <v>836</v>
      </c>
      <c r="IC3" t="s">
        <v>836</v>
      </c>
      <c r="ID3" t="s">
        <v>836</v>
      </c>
      <c r="IE3" t="s">
        <v>836</v>
      </c>
      <c r="IF3" t="s">
        <v>1611</v>
      </c>
      <c r="IG3" t="s">
        <v>836</v>
      </c>
      <c r="IH3" t="s">
        <v>836</v>
      </c>
      <c r="II3" t="s">
        <v>836</v>
      </c>
      <c r="IJ3" t="s">
        <v>836</v>
      </c>
      <c r="IK3" t="s">
        <v>836</v>
      </c>
      <c r="IL3" t="s">
        <v>836</v>
      </c>
      <c r="JH3" t="s">
        <v>1622</v>
      </c>
      <c r="JI3" s="84" t="s">
        <v>15</v>
      </c>
      <c r="JJ3" t="s">
        <v>14</v>
      </c>
      <c r="JK3" t="s">
        <v>1627</v>
      </c>
      <c r="JL3" t="s">
        <v>13</v>
      </c>
      <c r="JM3" t="s">
        <v>1624</v>
      </c>
      <c r="KH3" s="54" t="s">
        <v>722</v>
      </c>
      <c r="MM3" t="s">
        <v>1603</v>
      </c>
      <c r="MN3" t="s">
        <v>836</v>
      </c>
      <c r="MO3" t="s">
        <v>1633</v>
      </c>
      <c r="MQ3" t="s">
        <v>23</v>
      </c>
      <c r="MR3" t="s">
        <v>1608</v>
      </c>
      <c r="MY3" t="s">
        <v>1631</v>
      </c>
      <c r="MZ3" t="s">
        <v>1604</v>
      </c>
      <c r="NA3" t="s">
        <v>1518</v>
      </c>
      <c r="NB3" t="s">
        <v>1605</v>
      </c>
      <c r="NK3" t="s">
        <v>6</v>
      </c>
      <c r="NM3" t="s">
        <v>1606</v>
      </c>
      <c r="NQ3">
        <v>2</v>
      </c>
      <c r="OB3" t="s">
        <v>1576</v>
      </c>
      <c r="OC3" s="87" t="s">
        <v>2</v>
      </c>
      <c r="OD3">
        <v>2003</v>
      </c>
      <c r="OI3" t="s">
        <v>1169</v>
      </c>
      <c r="OJ3" s="58">
        <v>46105</v>
      </c>
    </row>
    <row r="4" spans="1:410" ht="15.75" thickBot="1">
      <c r="A4" t="s">
        <v>248</v>
      </c>
      <c r="B4" t="s">
        <v>1600</v>
      </c>
      <c r="C4" t="s">
        <v>1173</v>
      </c>
      <c r="D4" s="100" t="s">
        <v>31</v>
      </c>
      <c r="E4" s="90" t="s">
        <v>1614</v>
      </c>
      <c r="F4" s="100" t="s">
        <v>31</v>
      </c>
      <c r="G4" s="87" t="s">
        <v>2</v>
      </c>
      <c r="H4" s="87" t="s">
        <v>30</v>
      </c>
      <c r="I4">
        <v>7.3666666669999996</v>
      </c>
      <c r="J4">
        <v>3.8333333330000001</v>
      </c>
      <c r="K4" s="87" t="s">
        <v>29</v>
      </c>
      <c r="AV4" t="s">
        <v>836</v>
      </c>
      <c r="AW4" t="s">
        <v>836</v>
      </c>
      <c r="AX4" t="s">
        <v>1601</v>
      </c>
      <c r="AY4" t="s">
        <v>836</v>
      </c>
      <c r="AZ4" t="s">
        <v>836</v>
      </c>
      <c r="BA4">
        <v>2003</v>
      </c>
      <c r="BB4">
        <v>2004</v>
      </c>
      <c r="BD4" t="s">
        <v>238</v>
      </c>
      <c r="BE4" t="s">
        <v>1612</v>
      </c>
      <c r="BF4" t="s">
        <v>48</v>
      </c>
      <c r="BG4" s="78" t="s">
        <v>1233</v>
      </c>
      <c r="BH4" t="s">
        <v>23</v>
      </c>
      <c r="BI4" t="s">
        <v>1618</v>
      </c>
      <c r="BJ4" t="s">
        <v>836</v>
      </c>
      <c r="BK4" t="s">
        <v>836</v>
      </c>
      <c r="BL4" t="s">
        <v>56</v>
      </c>
      <c r="BM4" t="s">
        <v>1615</v>
      </c>
      <c r="BN4" t="s">
        <v>234</v>
      </c>
      <c r="BO4" t="s">
        <v>836</v>
      </c>
      <c r="BP4" t="s">
        <v>836</v>
      </c>
      <c r="HR4" t="s">
        <v>836</v>
      </c>
      <c r="HS4" t="s">
        <v>836</v>
      </c>
      <c r="HT4" t="s">
        <v>836</v>
      </c>
      <c r="HU4" t="s">
        <v>836</v>
      </c>
      <c r="HV4" t="s">
        <v>836</v>
      </c>
      <c r="HW4" t="s">
        <v>836</v>
      </c>
      <c r="HX4" t="s">
        <v>836</v>
      </c>
      <c r="HY4" t="s">
        <v>836</v>
      </c>
      <c r="HZ4" t="s">
        <v>836</v>
      </c>
      <c r="IA4" t="s">
        <v>836</v>
      </c>
      <c r="IB4" t="s">
        <v>836</v>
      </c>
      <c r="IC4" t="s">
        <v>836</v>
      </c>
      <c r="ID4" t="s">
        <v>836</v>
      </c>
      <c r="IE4" t="s">
        <v>836</v>
      </c>
      <c r="IF4" t="s">
        <v>1612</v>
      </c>
      <c r="IG4" t="s">
        <v>836</v>
      </c>
      <c r="IH4" t="s">
        <v>836</v>
      </c>
      <c r="II4" t="s">
        <v>836</v>
      </c>
      <c r="IJ4" t="s">
        <v>836</v>
      </c>
      <c r="IK4" t="s">
        <v>836</v>
      </c>
      <c r="IL4" t="s">
        <v>836</v>
      </c>
      <c r="JH4" t="s">
        <v>1620</v>
      </c>
      <c r="JI4" s="84" t="s">
        <v>15</v>
      </c>
      <c r="JJ4" t="s">
        <v>14</v>
      </c>
      <c r="JK4" t="s">
        <v>1627</v>
      </c>
      <c r="JL4" t="s">
        <v>13</v>
      </c>
      <c r="JM4" t="s">
        <v>1625</v>
      </c>
      <c r="KH4" s="54" t="s">
        <v>722</v>
      </c>
      <c r="MM4" t="s">
        <v>1603</v>
      </c>
      <c r="MN4" t="s">
        <v>836</v>
      </c>
      <c r="MO4" t="s">
        <v>1634</v>
      </c>
      <c r="MQ4" t="s">
        <v>23</v>
      </c>
      <c r="MR4" t="s">
        <v>1615</v>
      </c>
      <c r="MY4" t="s">
        <v>1631</v>
      </c>
      <c r="MZ4" t="s">
        <v>1604</v>
      </c>
      <c r="NA4" t="s">
        <v>1518</v>
      </c>
      <c r="NB4" t="s">
        <v>1605</v>
      </c>
      <c r="NK4" t="s">
        <v>6</v>
      </c>
      <c r="NM4" t="s">
        <v>1606</v>
      </c>
      <c r="NQ4">
        <v>2</v>
      </c>
      <c r="OB4" t="s">
        <v>1576</v>
      </c>
      <c r="OC4" s="87" t="s">
        <v>2</v>
      </c>
      <c r="OD4">
        <v>2003</v>
      </c>
      <c r="OI4" t="s">
        <v>1169</v>
      </c>
      <c r="OJ4" s="58">
        <v>46105</v>
      </c>
    </row>
    <row r="5" spans="1:410" ht="15.75" thickBot="1">
      <c r="A5" t="s">
        <v>248</v>
      </c>
      <c r="B5" t="s">
        <v>1600</v>
      </c>
      <c r="C5" t="s">
        <v>1173</v>
      </c>
      <c r="D5" s="100" t="s">
        <v>31</v>
      </c>
      <c r="E5" s="90" t="s">
        <v>1614</v>
      </c>
      <c r="F5" s="100" t="s">
        <v>31</v>
      </c>
      <c r="G5" s="87" t="s">
        <v>2</v>
      </c>
      <c r="H5" s="87" t="s">
        <v>30</v>
      </c>
      <c r="I5">
        <v>7.3666666669999996</v>
      </c>
      <c r="J5">
        <v>3.8333333330000001</v>
      </c>
      <c r="K5" s="87" t="s">
        <v>29</v>
      </c>
      <c r="AV5" t="s">
        <v>836</v>
      </c>
      <c r="AW5" t="s">
        <v>836</v>
      </c>
      <c r="AX5" t="s">
        <v>1601</v>
      </c>
      <c r="AY5" t="s">
        <v>836</v>
      </c>
      <c r="AZ5" t="s">
        <v>836</v>
      </c>
      <c r="BA5">
        <v>2003</v>
      </c>
      <c r="BB5">
        <v>2004</v>
      </c>
      <c r="BD5" t="s">
        <v>19</v>
      </c>
      <c r="BE5" t="s">
        <v>1602</v>
      </c>
      <c r="BF5" t="s">
        <v>39</v>
      </c>
      <c r="BG5" s="78" t="s">
        <v>1233</v>
      </c>
      <c r="BH5" t="s">
        <v>23</v>
      </c>
      <c r="BI5" t="s">
        <v>1618</v>
      </c>
      <c r="BJ5" t="s">
        <v>836</v>
      </c>
      <c r="BK5" t="s">
        <v>836</v>
      </c>
      <c r="HR5" t="s">
        <v>836</v>
      </c>
      <c r="HS5" t="s">
        <v>836</v>
      </c>
      <c r="HT5" t="s">
        <v>836</v>
      </c>
      <c r="HU5" t="s">
        <v>836</v>
      </c>
      <c r="HV5" t="s">
        <v>836</v>
      </c>
      <c r="HW5" t="s">
        <v>836</v>
      </c>
      <c r="HX5" t="s">
        <v>836</v>
      </c>
      <c r="HY5" t="s">
        <v>836</v>
      </c>
      <c r="HZ5" t="s">
        <v>836</v>
      </c>
      <c r="IA5" t="s">
        <v>836</v>
      </c>
      <c r="IB5" t="s">
        <v>836</v>
      </c>
      <c r="IC5" t="s">
        <v>836</v>
      </c>
      <c r="ID5" t="s">
        <v>836</v>
      </c>
      <c r="IE5" t="s">
        <v>836</v>
      </c>
      <c r="IF5" t="s">
        <v>1602</v>
      </c>
      <c r="IG5" t="s">
        <v>19</v>
      </c>
      <c r="IH5" t="s">
        <v>836</v>
      </c>
      <c r="II5" t="s">
        <v>836</v>
      </c>
      <c r="IJ5" t="s">
        <v>836</v>
      </c>
      <c r="IK5" t="s">
        <v>836</v>
      </c>
      <c r="IL5" t="s">
        <v>836</v>
      </c>
      <c r="JH5" t="s">
        <v>1620</v>
      </c>
      <c r="JI5" s="84" t="s">
        <v>15</v>
      </c>
      <c r="JJ5" t="s">
        <v>14</v>
      </c>
      <c r="JK5" t="s">
        <v>1627</v>
      </c>
      <c r="JL5" t="s">
        <v>13</v>
      </c>
      <c r="JM5" t="s">
        <v>1626</v>
      </c>
      <c r="KH5" s="54" t="s">
        <v>722</v>
      </c>
      <c r="MM5" t="s">
        <v>1603</v>
      </c>
      <c r="MN5" t="s">
        <v>836</v>
      </c>
      <c r="MO5" t="s">
        <v>1635</v>
      </c>
      <c r="MQ5" t="s">
        <v>23</v>
      </c>
      <c r="MY5" t="s">
        <v>1631</v>
      </c>
      <c r="MZ5" t="s">
        <v>1604</v>
      </c>
      <c r="NA5" t="s">
        <v>1518</v>
      </c>
      <c r="NB5" t="s">
        <v>1605</v>
      </c>
      <c r="NK5" t="s">
        <v>6</v>
      </c>
      <c r="NM5" t="s">
        <v>1606</v>
      </c>
      <c r="NQ5">
        <v>2</v>
      </c>
      <c r="OB5" t="s">
        <v>1576</v>
      </c>
      <c r="OC5" s="87" t="s">
        <v>2</v>
      </c>
      <c r="OD5">
        <v>2003</v>
      </c>
      <c r="OI5" t="s">
        <v>1169</v>
      </c>
      <c r="OJ5" s="58">
        <v>46105</v>
      </c>
    </row>
    <row r="6" spans="1:410" ht="15.75" thickBot="1">
      <c r="A6" t="s">
        <v>248</v>
      </c>
      <c r="B6" t="s">
        <v>1600</v>
      </c>
      <c r="C6" t="s">
        <v>1173</v>
      </c>
      <c r="D6" s="100" t="s">
        <v>31</v>
      </c>
      <c r="E6" s="90" t="s">
        <v>1614</v>
      </c>
      <c r="F6" s="100" t="s">
        <v>31</v>
      </c>
      <c r="G6" s="87" t="s">
        <v>2</v>
      </c>
      <c r="H6" s="87" t="s">
        <v>30</v>
      </c>
      <c r="I6">
        <v>7.3666666669999996</v>
      </c>
      <c r="J6">
        <v>3.8333333330000001</v>
      </c>
      <c r="K6" s="87" t="s">
        <v>29</v>
      </c>
      <c r="AV6" t="s">
        <v>836</v>
      </c>
      <c r="AW6" t="s">
        <v>836</v>
      </c>
      <c r="AX6" t="s">
        <v>1601</v>
      </c>
      <c r="AY6" t="s">
        <v>836</v>
      </c>
      <c r="AZ6" t="s">
        <v>836</v>
      </c>
      <c r="BA6">
        <v>2003</v>
      </c>
      <c r="BB6">
        <v>2004</v>
      </c>
      <c r="BD6" t="s">
        <v>238</v>
      </c>
      <c r="BE6" t="s">
        <v>1613</v>
      </c>
      <c r="BF6" t="s">
        <v>43</v>
      </c>
      <c r="BG6" s="78" t="s">
        <v>1233</v>
      </c>
      <c r="BH6" t="s">
        <v>1608</v>
      </c>
      <c r="BI6" t="s">
        <v>1617</v>
      </c>
      <c r="BJ6" t="s">
        <v>836</v>
      </c>
      <c r="BK6" t="s">
        <v>836</v>
      </c>
      <c r="BL6" t="s">
        <v>56</v>
      </c>
      <c r="BM6" t="s">
        <v>1615</v>
      </c>
      <c r="BN6" t="s">
        <v>234</v>
      </c>
      <c r="BO6" t="s">
        <v>836</v>
      </c>
      <c r="BP6" t="s">
        <v>836</v>
      </c>
      <c r="HR6" t="s">
        <v>836</v>
      </c>
      <c r="HS6" t="s">
        <v>836</v>
      </c>
      <c r="HT6" t="s">
        <v>836</v>
      </c>
      <c r="HU6" t="s">
        <v>836</v>
      </c>
      <c r="HV6" t="s">
        <v>836</v>
      </c>
      <c r="HW6" t="s">
        <v>836</v>
      </c>
      <c r="HX6" t="s">
        <v>836</v>
      </c>
      <c r="HY6" t="s">
        <v>836</v>
      </c>
      <c r="HZ6" t="s">
        <v>836</v>
      </c>
      <c r="IA6" t="s">
        <v>836</v>
      </c>
      <c r="IB6" t="s">
        <v>836</v>
      </c>
      <c r="IC6" t="s">
        <v>836</v>
      </c>
      <c r="ID6" t="s">
        <v>836</v>
      </c>
      <c r="IE6" t="s">
        <v>836</v>
      </c>
      <c r="IF6" t="s">
        <v>1613</v>
      </c>
      <c r="IG6" t="s">
        <v>836</v>
      </c>
      <c r="IH6" t="s">
        <v>836</v>
      </c>
      <c r="II6" t="s">
        <v>836</v>
      </c>
      <c r="IJ6" t="s">
        <v>836</v>
      </c>
      <c r="IK6" t="s">
        <v>836</v>
      </c>
      <c r="IL6" t="s">
        <v>836</v>
      </c>
      <c r="JH6" t="s">
        <v>1620</v>
      </c>
      <c r="JI6" s="84" t="s">
        <v>15</v>
      </c>
      <c r="JJ6" t="s">
        <v>14</v>
      </c>
      <c r="JK6" t="s">
        <v>1628</v>
      </c>
      <c r="JL6" t="s">
        <v>13</v>
      </c>
      <c r="JM6">
        <v>120</v>
      </c>
      <c r="KH6" s="54" t="s">
        <v>722</v>
      </c>
      <c r="MM6" t="s">
        <v>1603</v>
      </c>
      <c r="MN6" t="s">
        <v>836</v>
      </c>
      <c r="MO6" t="s">
        <v>1636</v>
      </c>
      <c r="MQ6" t="s">
        <v>1608</v>
      </c>
      <c r="MR6" t="s">
        <v>1615</v>
      </c>
      <c r="MY6" t="s">
        <v>1631</v>
      </c>
      <c r="MZ6" t="s">
        <v>1604</v>
      </c>
      <c r="NA6" t="s">
        <v>1518</v>
      </c>
      <c r="NB6" t="s">
        <v>1605</v>
      </c>
      <c r="NK6" t="s">
        <v>6</v>
      </c>
      <c r="NM6" t="s">
        <v>1606</v>
      </c>
      <c r="NQ6">
        <v>2</v>
      </c>
      <c r="OB6" t="s">
        <v>1576</v>
      </c>
      <c r="OC6" s="87" t="s">
        <v>2</v>
      </c>
      <c r="OD6">
        <v>2003</v>
      </c>
      <c r="OI6" t="s">
        <v>1169</v>
      </c>
      <c r="OJ6" s="58">
        <v>46105</v>
      </c>
    </row>
    <row r="7" spans="1:410" ht="15.75" thickBot="1">
      <c r="A7" t="s">
        <v>248</v>
      </c>
      <c r="B7" t="s">
        <v>1600</v>
      </c>
      <c r="C7" t="s">
        <v>1173</v>
      </c>
      <c r="D7" s="100" t="s">
        <v>31</v>
      </c>
      <c r="E7" s="90" t="s">
        <v>1614</v>
      </c>
      <c r="F7" s="100" t="s">
        <v>31</v>
      </c>
      <c r="G7" s="87" t="s">
        <v>2</v>
      </c>
      <c r="H7" s="87" t="s">
        <v>30</v>
      </c>
      <c r="I7">
        <v>7.3666666669999996</v>
      </c>
      <c r="J7">
        <v>3.8333333330000001</v>
      </c>
      <c r="K7" s="87" t="s">
        <v>29</v>
      </c>
      <c r="AV7" t="s">
        <v>836</v>
      </c>
      <c r="AW7" t="s">
        <v>836</v>
      </c>
      <c r="AX7" t="s">
        <v>1601</v>
      </c>
      <c r="AY7" t="s">
        <v>836</v>
      </c>
      <c r="AZ7" t="s">
        <v>836</v>
      </c>
      <c r="BA7">
        <v>2003</v>
      </c>
      <c r="BB7">
        <v>2004</v>
      </c>
      <c r="BD7" t="s">
        <v>19</v>
      </c>
      <c r="BE7" t="s">
        <v>1607</v>
      </c>
      <c r="BF7" t="s">
        <v>24</v>
      </c>
      <c r="BG7" s="78" t="s">
        <v>1233</v>
      </c>
      <c r="BH7" t="s">
        <v>1608</v>
      </c>
      <c r="BI7" t="s">
        <v>1617</v>
      </c>
      <c r="BJ7" t="s">
        <v>836</v>
      </c>
      <c r="BK7" t="s">
        <v>836</v>
      </c>
      <c r="HR7" t="s">
        <v>836</v>
      </c>
      <c r="HS7" t="s">
        <v>836</v>
      </c>
      <c r="HT7" t="s">
        <v>836</v>
      </c>
      <c r="HU7" t="s">
        <v>836</v>
      </c>
      <c r="HV7" t="s">
        <v>836</v>
      </c>
      <c r="HW7" t="s">
        <v>836</v>
      </c>
      <c r="HX7" t="s">
        <v>836</v>
      </c>
      <c r="HY7" t="s">
        <v>836</v>
      </c>
      <c r="HZ7" t="s">
        <v>836</v>
      </c>
      <c r="IA7" t="s">
        <v>836</v>
      </c>
      <c r="IB7" t="s">
        <v>836</v>
      </c>
      <c r="IC7" t="s">
        <v>836</v>
      </c>
      <c r="ID7" t="s">
        <v>836</v>
      </c>
      <c r="IE7" t="s">
        <v>836</v>
      </c>
      <c r="IF7" t="s">
        <v>1607</v>
      </c>
      <c r="IG7" t="s">
        <v>19</v>
      </c>
      <c r="IH7" t="s">
        <v>836</v>
      </c>
      <c r="II7" t="s">
        <v>836</v>
      </c>
      <c r="IJ7" t="s">
        <v>836</v>
      </c>
      <c r="IK7" t="s">
        <v>836</v>
      </c>
      <c r="IL7" t="s">
        <v>836</v>
      </c>
      <c r="JH7" t="s">
        <v>1620</v>
      </c>
      <c r="JI7" s="84" t="s">
        <v>15</v>
      </c>
      <c r="JJ7" t="s">
        <v>14</v>
      </c>
      <c r="JK7" t="s">
        <v>1628</v>
      </c>
      <c r="JL7" t="s">
        <v>13</v>
      </c>
      <c r="JM7">
        <v>120</v>
      </c>
      <c r="KH7" s="54" t="s">
        <v>722</v>
      </c>
      <c r="MM7" t="s">
        <v>1603</v>
      </c>
      <c r="MN7" t="s">
        <v>836</v>
      </c>
      <c r="MO7" t="s">
        <v>1637</v>
      </c>
      <c r="MQ7" t="s">
        <v>1608</v>
      </c>
      <c r="MY7" t="s">
        <v>1631</v>
      </c>
      <c r="MZ7" t="s">
        <v>1604</v>
      </c>
      <c r="NA7" t="s">
        <v>1518</v>
      </c>
      <c r="NB7" t="s">
        <v>1605</v>
      </c>
      <c r="NK7" t="s">
        <v>6</v>
      </c>
      <c r="NM7" t="s">
        <v>1606</v>
      </c>
      <c r="NQ7">
        <v>2</v>
      </c>
      <c r="OB7" t="s">
        <v>1576</v>
      </c>
      <c r="OC7" s="87" t="s">
        <v>2</v>
      </c>
      <c r="OD7">
        <v>2003</v>
      </c>
      <c r="OI7" t="s">
        <v>1169</v>
      </c>
      <c r="OJ7" s="58">
        <v>46105</v>
      </c>
    </row>
    <row r="8" spans="1:410" ht="15.75" thickBot="1">
      <c r="A8" t="s">
        <v>248</v>
      </c>
      <c r="B8" t="s">
        <v>1600</v>
      </c>
      <c r="C8" t="s">
        <v>1173</v>
      </c>
      <c r="D8" s="100" t="s">
        <v>31</v>
      </c>
      <c r="E8" s="90" t="s">
        <v>1614</v>
      </c>
      <c r="F8" s="100" t="s">
        <v>31</v>
      </c>
      <c r="G8" s="87" t="s">
        <v>2</v>
      </c>
      <c r="H8" s="87" t="s">
        <v>30</v>
      </c>
      <c r="I8">
        <v>7.3666666669999996</v>
      </c>
      <c r="J8">
        <v>3.8333333330000001</v>
      </c>
      <c r="K8" s="87" t="s">
        <v>29</v>
      </c>
      <c r="AV8" t="s">
        <v>836</v>
      </c>
      <c r="AW8" t="s">
        <v>836</v>
      </c>
      <c r="AX8" t="s">
        <v>1601</v>
      </c>
      <c r="AY8" t="s">
        <v>836</v>
      </c>
      <c r="AZ8" t="s">
        <v>836</v>
      </c>
      <c r="BA8">
        <v>2003</v>
      </c>
      <c r="BB8">
        <v>2004</v>
      </c>
      <c r="BD8" t="s">
        <v>19</v>
      </c>
      <c r="BE8" t="s">
        <v>1609</v>
      </c>
      <c r="BF8" t="s">
        <v>252</v>
      </c>
      <c r="BG8" s="78" t="s">
        <v>1233</v>
      </c>
      <c r="BH8" t="s">
        <v>1615</v>
      </c>
      <c r="BI8" t="s">
        <v>234</v>
      </c>
      <c r="BJ8" t="s">
        <v>836</v>
      </c>
      <c r="BK8" t="s">
        <v>836</v>
      </c>
      <c r="HR8" t="s">
        <v>836</v>
      </c>
      <c r="HS8" t="s">
        <v>836</v>
      </c>
      <c r="HT8" t="s">
        <v>836</v>
      </c>
      <c r="HU8" t="s">
        <v>836</v>
      </c>
      <c r="HV8" t="s">
        <v>836</v>
      </c>
      <c r="HW8" t="s">
        <v>836</v>
      </c>
      <c r="HX8" t="s">
        <v>836</v>
      </c>
      <c r="HY8" t="s">
        <v>836</v>
      </c>
      <c r="HZ8" t="s">
        <v>836</v>
      </c>
      <c r="IA8" t="s">
        <v>836</v>
      </c>
      <c r="IB8" t="s">
        <v>836</v>
      </c>
      <c r="IC8" t="s">
        <v>836</v>
      </c>
      <c r="ID8" t="s">
        <v>836</v>
      </c>
      <c r="IE8" t="s">
        <v>836</v>
      </c>
      <c r="IF8" t="s">
        <v>1609</v>
      </c>
      <c r="IG8" t="s">
        <v>19</v>
      </c>
      <c r="IH8" t="s">
        <v>836</v>
      </c>
      <c r="II8" t="s">
        <v>836</v>
      </c>
      <c r="IJ8" t="s">
        <v>836</v>
      </c>
      <c r="IK8" t="s">
        <v>836</v>
      </c>
      <c r="IL8" t="s">
        <v>836</v>
      </c>
      <c r="JH8" t="s">
        <v>1629</v>
      </c>
      <c r="JI8" s="84" t="s">
        <v>721</v>
      </c>
      <c r="JJ8" t="s">
        <v>1630</v>
      </c>
      <c r="KH8" s="54" t="s">
        <v>722</v>
      </c>
      <c r="MM8" t="s">
        <v>1603</v>
      </c>
      <c r="MN8" t="s">
        <v>836</v>
      </c>
      <c r="MO8" t="s">
        <v>1638</v>
      </c>
      <c r="MQ8" t="s">
        <v>1615</v>
      </c>
      <c r="MY8" t="s">
        <v>1631</v>
      </c>
      <c r="MZ8" t="s">
        <v>1604</v>
      </c>
      <c r="NA8" t="s">
        <v>1518</v>
      </c>
      <c r="NB8" t="s">
        <v>1605</v>
      </c>
      <c r="NK8" t="s">
        <v>6</v>
      </c>
      <c r="NM8" t="s">
        <v>1606</v>
      </c>
      <c r="NQ8">
        <v>2</v>
      </c>
      <c r="OB8" t="s">
        <v>1576</v>
      </c>
      <c r="OC8" s="87" t="s">
        <v>2</v>
      </c>
      <c r="OD8">
        <v>2003</v>
      </c>
      <c r="OI8" t="s">
        <v>1169</v>
      </c>
      <c r="OJ8" s="58">
        <v>46105</v>
      </c>
    </row>
    <row r="9" spans="1:410" ht="15.75" thickBot="1"/>
    <row r="10" spans="1:410" s="48" customFormat="1" ht="75.75" thickBot="1">
      <c r="A10" s="86" t="s">
        <v>1402</v>
      </c>
      <c r="B10" s="48" t="s">
        <v>652</v>
      </c>
      <c r="C10" s="49" t="s">
        <v>672</v>
      </c>
      <c r="D10" s="49" t="s">
        <v>651</v>
      </c>
      <c r="E10" s="49" t="s">
        <v>650</v>
      </c>
      <c r="F10" s="49" t="s">
        <v>649</v>
      </c>
      <c r="G10" s="49" t="s">
        <v>682</v>
      </c>
      <c r="H10" s="49" t="s">
        <v>648</v>
      </c>
      <c r="I10" s="49" t="s">
        <v>647</v>
      </c>
      <c r="J10" s="49" t="s">
        <v>646</v>
      </c>
      <c r="K10" s="49" t="s">
        <v>645</v>
      </c>
      <c r="L10" s="49" t="s">
        <v>674</v>
      </c>
      <c r="M10" s="49" t="s">
        <v>675</v>
      </c>
      <c r="N10" s="49" t="s">
        <v>676</v>
      </c>
      <c r="O10" s="49" t="s">
        <v>677</v>
      </c>
      <c r="P10" s="49" t="s">
        <v>678</v>
      </c>
      <c r="Q10" s="49" t="s">
        <v>679</v>
      </c>
      <c r="R10" s="49" t="s">
        <v>680</v>
      </c>
      <c r="S10" s="49" t="s">
        <v>681</v>
      </c>
      <c r="T10" s="49" t="s">
        <v>673</v>
      </c>
      <c r="U10" s="49" t="s">
        <v>1311</v>
      </c>
      <c r="V10" s="49" t="s">
        <v>1312</v>
      </c>
      <c r="W10" s="49" t="s">
        <v>1313</v>
      </c>
      <c r="X10" s="49" t="s">
        <v>1314</v>
      </c>
      <c r="Y10" s="49" t="s">
        <v>1315</v>
      </c>
      <c r="Z10" s="49" t="s">
        <v>1316</v>
      </c>
      <c r="AA10" s="49" t="s">
        <v>1317</v>
      </c>
      <c r="AB10" s="49" t="s">
        <v>1318</v>
      </c>
      <c r="AC10" s="49" t="s">
        <v>1308</v>
      </c>
      <c r="AD10" s="49" t="s">
        <v>1319</v>
      </c>
      <c r="AE10" s="49" t="s">
        <v>1320</v>
      </c>
      <c r="AF10" s="49" t="s">
        <v>1321</v>
      </c>
      <c r="AG10" s="49" t="s">
        <v>1322</v>
      </c>
      <c r="AH10" s="49" t="s">
        <v>1323</v>
      </c>
      <c r="AI10" s="49" t="s">
        <v>1324</v>
      </c>
      <c r="AJ10" s="49" t="s">
        <v>1325</v>
      </c>
      <c r="AK10" s="49" t="s">
        <v>1326</v>
      </c>
      <c r="AL10" s="49" t="s">
        <v>1309</v>
      </c>
      <c r="AM10" s="49" t="s">
        <v>1327</v>
      </c>
      <c r="AN10" s="49" t="s">
        <v>1328</v>
      </c>
      <c r="AO10" s="49" t="s">
        <v>1329</v>
      </c>
      <c r="AP10" s="49" t="s">
        <v>1330</v>
      </c>
      <c r="AQ10" s="49" t="s">
        <v>1331</v>
      </c>
      <c r="AR10" s="49" t="s">
        <v>1332</v>
      </c>
      <c r="AS10" s="49" t="s">
        <v>1333</v>
      </c>
      <c r="AT10" s="49" t="s">
        <v>1334</v>
      </c>
      <c r="AU10" s="49" t="s">
        <v>1310</v>
      </c>
      <c r="AV10" s="50" t="s">
        <v>644</v>
      </c>
      <c r="AW10" s="50" t="s">
        <v>643</v>
      </c>
      <c r="AX10" s="50" t="s">
        <v>642</v>
      </c>
      <c r="AY10" s="50" t="s">
        <v>641</v>
      </c>
      <c r="AZ10" s="43" t="s">
        <v>640</v>
      </c>
      <c r="BA10" s="43" t="s">
        <v>639</v>
      </c>
      <c r="BB10" s="43" t="s">
        <v>638</v>
      </c>
      <c r="BC10" s="43" t="s">
        <v>637</v>
      </c>
      <c r="BD10" s="42" t="s">
        <v>636</v>
      </c>
      <c r="BE10" s="42" t="s">
        <v>635</v>
      </c>
      <c r="BF10" s="42" t="s">
        <v>717</v>
      </c>
      <c r="BG10" s="44" t="s">
        <v>1727</v>
      </c>
      <c r="BH10" s="1" t="s">
        <v>634</v>
      </c>
      <c r="BI10" s="1" t="s">
        <v>633</v>
      </c>
      <c r="BJ10" s="1" t="s">
        <v>632</v>
      </c>
      <c r="BK10" s="1" t="s">
        <v>631</v>
      </c>
      <c r="BL10" s="1" t="s">
        <v>630</v>
      </c>
      <c r="BM10" s="1" t="s">
        <v>629</v>
      </c>
      <c r="BN10" s="1" t="s">
        <v>628</v>
      </c>
      <c r="BO10" s="1" t="s">
        <v>627</v>
      </c>
      <c r="BP10" s="1" t="s">
        <v>626</v>
      </c>
      <c r="BQ10" s="1" t="s">
        <v>625</v>
      </c>
      <c r="BR10" s="1" t="s">
        <v>624</v>
      </c>
      <c r="BS10" s="1" t="s">
        <v>623</v>
      </c>
      <c r="BT10" s="1" t="s">
        <v>622</v>
      </c>
      <c r="BU10" s="1" t="s">
        <v>621</v>
      </c>
      <c r="BV10" s="1" t="s">
        <v>620</v>
      </c>
      <c r="BW10" s="1" t="s">
        <v>1244</v>
      </c>
      <c r="BX10" s="1" t="s">
        <v>1245</v>
      </c>
      <c r="BY10" s="1" t="s">
        <v>1246</v>
      </c>
      <c r="BZ10" s="1" t="s">
        <v>1247</v>
      </c>
      <c r="CA10" s="1" t="s">
        <v>1239</v>
      </c>
      <c r="CB10" s="1" t="s">
        <v>1249</v>
      </c>
      <c r="CC10" s="1" t="s">
        <v>1250</v>
      </c>
      <c r="CD10" s="1" t="s">
        <v>1251</v>
      </c>
      <c r="CE10" s="1" t="s">
        <v>1252</v>
      </c>
      <c r="CF10" s="1" t="s">
        <v>1240</v>
      </c>
      <c r="CG10" s="1" t="s">
        <v>1253</v>
      </c>
      <c r="CH10" s="1" t="s">
        <v>1254</v>
      </c>
      <c r="CI10" s="1" t="s">
        <v>1255</v>
      </c>
      <c r="CJ10" s="1" t="s">
        <v>1256</v>
      </c>
      <c r="CK10" s="1" t="s">
        <v>1241</v>
      </c>
      <c r="CL10" s="1" t="s">
        <v>1257</v>
      </c>
      <c r="CM10" s="1" t="s">
        <v>1258</v>
      </c>
      <c r="CN10" s="1" t="s">
        <v>1259</v>
      </c>
      <c r="CO10" s="1" t="s">
        <v>1260</v>
      </c>
      <c r="CP10" s="1" t="s">
        <v>1242</v>
      </c>
      <c r="CQ10" s="1" t="s">
        <v>1261</v>
      </c>
      <c r="CR10" s="1" t="s">
        <v>1262</v>
      </c>
      <c r="CS10" s="1" t="s">
        <v>1263</v>
      </c>
      <c r="CT10" s="1" t="s">
        <v>1264</v>
      </c>
      <c r="CU10" s="1" t="s">
        <v>1243</v>
      </c>
      <c r="CV10" s="1" t="s">
        <v>1265</v>
      </c>
      <c r="CW10" s="1" t="s">
        <v>1266</v>
      </c>
      <c r="CX10" s="1" t="s">
        <v>1267</v>
      </c>
      <c r="CY10" s="1" t="s">
        <v>1268</v>
      </c>
      <c r="CZ10" s="1" t="s">
        <v>1248</v>
      </c>
      <c r="DA10" s="1" t="s">
        <v>1275</v>
      </c>
      <c r="DB10" s="1" t="s">
        <v>1276</v>
      </c>
      <c r="DC10" s="1" t="s">
        <v>1277</v>
      </c>
      <c r="DD10" s="1" t="s">
        <v>1278</v>
      </c>
      <c r="DE10" s="1" t="s">
        <v>1269</v>
      </c>
      <c r="DF10" s="1" t="s">
        <v>1279</v>
      </c>
      <c r="DG10" s="1" t="s">
        <v>1280</v>
      </c>
      <c r="DH10" s="1" t="s">
        <v>1281</v>
      </c>
      <c r="DI10" s="1" t="s">
        <v>1282</v>
      </c>
      <c r="DJ10" s="1" t="s">
        <v>1270</v>
      </c>
      <c r="DK10" s="1" t="s">
        <v>1283</v>
      </c>
      <c r="DL10" s="1" t="s">
        <v>1284</v>
      </c>
      <c r="DM10" s="1" t="s">
        <v>1285</v>
      </c>
      <c r="DN10" s="1" t="s">
        <v>1286</v>
      </c>
      <c r="DO10" s="1" t="s">
        <v>1271</v>
      </c>
      <c r="DP10" s="1" t="s">
        <v>1287</v>
      </c>
      <c r="DQ10" s="1" t="s">
        <v>1288</v>
      </c>
      <c r="DR10" s="1" t="s">
        <v>1289</v>
      </c>
      <c r="DS10" s="1" t="s">
        <v>1290</v>
      </c>
      <c r="DT10" s="1" t="s">
        <v>1272</v>
      </c>
      <c r="DU10" s="1" t="s">
        <v>1291</v>
      </c>
      <c r="DV10" s="1" t="s">
        <v>1292</v>
      </c>
      <c r="DW10" s="1" t="s">
        <v>1293</v>
      </c>
      <c r="DX10" s="1" t="s">
        <v>1294</v>
      </c>
      <c r="DY10" s="1" t="s">
        <v>1273</v>
      </c>
      <c r="DZ10" s="1" t="s">
        <v>1295</v>
      </c>
      <c r="EA10" s="1" t="s">
        <v>1296</v>
      </c>
      <c r="EB10" s="1" t="s">
        <v>1297</v>
      </c>
      <c r="EC10" s="1" t="s">
        <v>1298</v>
      </c>
      <c r="ED10" s="1" t="s">
        <v>1274</v>
      </c>
      <c r="EE10" s="42" t="s">
        <v>619</v>
      </c>
      <c r="EF10" s="42" t="s">
        <v>618</v>
      </c>
      <c r="EG10" s="42" t="s">
        <v>617</v>
      </c>
      <c r="EH10" s="42" t="s">
        <v>684</v>
      </c>
      <c r="EI10" s="42" t="s">
        <v>685</v>
      </c>
      <c r="EJ10" s="42" t="s">
        <v>686</v>
      </c>
      <c r="EK10" s="42" t="s">
        <v>687</v>
      </c>
      <c r="EL10" s="42" t="s">
        <v>688</v>
      </c>
      <c r="EM10" s="42" t="s">
        <v>1345</v>
      </c>
      <c r="EN10" s="42" t="s">
        <v>1346</v>
      </c>
      <c r="EO10" s="42" t="s">
        <v>1347</v>
      </c>
      <c r="EP10" s="42" t="s">
        <v>1335</v>
      </c>
      <c r="EQ10" s="42" t="s">
        <v>1348</v>
      </c>
      <c r="ER10" s="42" t="s">
        <v>1349</v>
      </c>
      <c r="ES10" s="42" t="s">
        <v>1350</v>
      </c>
      <c r="ET10" s="42" t="s">
        <v>1336</v>
      </c>
      <c r="EU10" s="42" t="s">
        <v>1351</v>
      </c>
      <c r="EV10" s="42" t="s">
        <v>1352</v>
      </c>
      <c r="EW10" s="42" t="s">
        <v>1353</v>
      </c>
      <c r="EX10" s="42" t="s">
        <v>1337</v>
      </c>
      <c r="EY10" s="42" t="s">
        <v>1357</v>
      </c>
      <c r="EZ10" s="42" t="s">
        <v>1358</v>
      </c>
      <c r="FA10" s="42" t="s">
        <v>1359</v>
      </c>
      <c r="FB10" s="42" t="s">
        <v>1338</v>
      </c>
      <c r="FC10" s="42" t="s">
        <v>1360</v>
      </c>
      <c r="FD10" s="42" t="s">
        <v>1361</v>
      </c>
      <c r="FE10" s="42" t="s">
        <v>1362</v>
      </c>
      <c r="FF10" s="42" t="s">
        <v>1339</v>
      </c>
      <c r="FG10" s="42" t="s">
        <v>1363</v>
      </c>
      <c r="FH10" s="42" t="s">
        <v>1364</v>
      </c>
      <c r="FI10" s="42" t="s">
        <v>1365</v>
      </c>
      <c r="FJ10" s="42" t="s">
        <v>1340</v>
      </c>
      <c r="FK10" s="42" t="s">
        <v>1366</v>
      </c>
      <c r="FL10" s="42" t="s">
        <v>1367</v>
      </c>
      <c r="FM10" s="42" t="s">
        <v>1368</v>
      </c>
      <c r="FN10" s="42" t="s">
        <v>1341</v>
      </c>
      <c r="FO10" s="42" t="s">
        <v>1369</v>
      </c>
      <c r="FP10" s="42" t="s">
        <v>1370</v>
      </c>
      <c r="FQ10" s="42" t="s">
        <v>1371</v>
      </c>
      <c r="FR10" s="42" t="s">
        <v>1342</v>
      </c>
      <c r="FS10" s="42" t="s">
        <v>1372</v>
      </c>
      <c r="FT10" s="42" t="s">
        <v>1373</v>
      </c>
      <c r="FU10" s="42" t="s">
        <v>1374</v>
      </c>
      <c r="FV10" s="42" t="s">
        <v>1343</v>
      </c>
      <c r="FW10" s="42" t="s">
        <v>1375</v>
      </c>
      <c r="FX10" s="42" t="s">
        <v>1376</v>
      </c>
      <c r="FY10" s="42" t="s">
        <v>1377</v>
      </c>
      <c r="FZ10" s="42" t="s">
        <v>1344</v>
      </c>
      <c r="GA10" s="42" t="s">
        <v>1378</v>
      </c>
      <c r="GB10" s="42" t="s">
        <v>1379</v>
      </c>
      <c r="GC10" s="42" t="s">
        <v>1380</v>
      </c>
      <c r="GD10" s="42" t="s">
        <v>1354</v>
      </c>
      <c r="GE10" s="42" t="s">
        <v>1381</v>
      </c>
      <c r="GF10" s="42" t="s">
        <v>1382</v>
      </c>
      <c r="GG10" s="42" t="s">
        <v>1383</v>
      </c>
      <c r="GH10" s="42" t="s">
        <v>1355</v>
      </c>
      <c r="GI10" s="42" t="s">
        <v>1384</v>
      </c>
      <c r="GJ10" s="42" t="s">
        <v>1385</v>
      </c>
      <c r="GK10" s="42" t="s">
        <v>1386</v>
      </c>
      <c r="GL10" s="42" t="s">
        <v>1356</v>
      </c>
      <c r="GM10" s="42" t="s">
        <v>691</v>
      </c>
      <c r="GN10" s="42" t="s">
        <v>700</v>
      </c>
      <c r="GO10" s="42" t="s">
        <v>689</v>
      </c>
      <c r="GP10" s="42" t="s">
        <v>690</v>
      </c>
      <c r="GQ10" s="42" t="s">
        <v>1097</v>
      </c>
      <c r="GR10" s="42" t="s">
        <v>693</v>
      </c>
      <c r="GS10" s="42" t="s">
        <v>699</v>
      </c>
      <c r="GT10" s="42" t="s">
        <v>694</v>
      </c>
      <c r="GU10" s="42" t="s">
        <v>692</v>
      </c>
      <c r="GV10" s="42" t="s">
        <v>1098</v>
      </c>
      <c r="GW10" s="42" t="s">
        <v>1390</v>
      </c>
      <c r="GX10" s="42" t="s">
        <v>1391</v>
      </c>
      <c r="GY10" s="42" t="s">
        <v>1392</v>
      </c>
      <c r="GZ10" s="42" t="s">
        <v>1393</v>
      </c>
      <c r="HA10" s="42" t="s">
        <v>1387</v>
      </c>
      <c r="HB10" s="42" t="s">
        <v>1394</v>
      </c>
      <c r="HC10" s="42" t="s">
        <v>1395</v>
      </c>
      <c r="HD10" s="42" t="s">
        <v>1396</v>
      </c>
      <c r="HE10" s="42" t="s">
        <v>1397</v>
      </c>
      <c r="HF10" s="42" t="s">
        <v>1388</v>
      </c>
      <c r="HG10" s="42" t="s">
        <v>1398</v>
      </c>
      <c r="HH10" s="42" t="s">
        <v>1399</v>
      </c>
      <c r="HI10" s="42" t="s">
        <v>1400</v>
      </c>
      <c r="HJ10" s="42" t="s">
        <v>1401</v>
      </c>
      <c r="HK10" s="42" t="s">
        <v>1389</v>
      </c>
      <c r="HL10" s="34" t="s">
        <v>616</v>
      </c>
      <c r="HM10" s="34" t="s">
        <v>615</v>
      </c>
      <c r="HN10" s="34" t="s">
        <v>614</v>
      </c>
      <c r="HO10" s="34" t="s">
        <v>613</v>
      </c>
      <c r="HP10" s="34" t="s">
        <v>612</v>
      </c>
      <c r="HQ10" s="34" t="s">
        <v>611</v>
      </c>
      <c r="HR10" s="42" t="s">
        <v>610</v>
      </c>
      <c r="HS10" s="42" t="s">
        <v>609</v>
      </c>
      <c r="HT10" s="42" t="s">
        <v>608</v>
      </c>
      <c r="HU10" s="42" t="s">
        <v>607</v>
      </c>
      <c r="HV10" s="42" t="s">
        <v>606</v>
      </c>
      <c r="HW10" s="42" t="s">
        <v>1223</v>
      </c>
      <c r="HX10" s="42" t="s">
        <v>695</v>
      </c>
      <c r="HY10" s="42" t="s">
        <v>696</v>
      </c>
      <c r="HZ10" s="42" t="s">
        <v>697</v>
      </c>
      <c r="IA10" s="42" t="s">
        <v>698</v>
      </c>
      <c r="IB10" s="18" t="s">
        <v>725</v>
      </c>
      <c r="IC10" s="18" t="s">
        <v>701</v>
      </c>
      <c r="ID10" s="18" t="s">
        <v>702</v>
      </c>
      <c r="IE10" s="18" t="s">
        <v>703</v>
      </c>
      <c r="IF10" s="42" t="s">
        <v>605</v>
      </c>
      <c r="IG10" s="42" t="s">
        <v>604</v>
      </c>
      <c r="IH10" s="42" t="s">
        <v>656</v>
      </c>
      <c r="II10" s="42" t="s">
        <v>657</v>
      </c>
      <c r="IJ10" s="42" t="s">
        <v>603</v>
      </c>
      <c r="IK10" s="42" t="s">
        <v>602</v>
      </c>
      <c r="IL10" s="42" t="s">
        <v>601</v>
      </c>
      <c r="IM10" s="42" t="s">
        <v>600</v>
      </c>
      <c r="IN10" s="42" t="s">
        <v>599</v>
      </c>
      <c r="IO10" s="42" t="s">
        <v>598</v>
      </c>
      <c r="IP10" s="42" t="s">
        <v>597</v>
      </c>
      <c r="IQ10" s="42" t="s">
        <v>596</v>
      </c>
      <c r="IR10" s="42" t="s">
        <v>595</v>
      </c>
      <c r="IS10" s="42" t="s">
        <v>594</v>
      </c>
      <c r="IT10" s="50" t="s">
        <v>729</v>
      </c>
      <c r="IU10" s="50" t="s">
        <v>593</v>
      </c>
      <c r="IV10" s="50" t="s">
        <v>592</v>
      </c>
      <c r="IW10" s="50" t="s">
        <v>715</v>
      </c>
      <c r="IX10" s="50" t="s">
        <v>1720</v>
      </c>
      <c r="IY10" s="50" t="s">
        <v>590</v>
      </c>
      <c r="IZ10" s="50" t="s">
        <v>589</v>
      </c>
      <c r="JA10" s="50" t="s">
        <v>588</v>
      </c>
      <c r="JB10" s="50" t="s">
        <v>587</v>
      </c>
      <c r="JC10" s="50" t="s">
        <v>586</v>
      </c>
      <c r="JD10" s="50" t="s">
        <v>716</v>
      </c>
      <c r="JE10" s="50" t="s">
        <v>585</v>
      </c>
      <c r="JF10" s="50" t="s">
        <v>584</v>
      </c>
      <c r="JG10" s="50" t="s">
        <v>583</v>
      </c>
      <c r="JH10" s="44" t="s">
        <v>582</v>
      </c>
      <c r="JI10" s="44" t="s">
        <v>581</v>
      </c>
      <c r="JJ10" s="44" t="s">
        <v>580</v>
      </c>
      <c r="JK10" s="42" t="s">
        <v>579</v>
      </c>
      <c r="JL10" s="42" t="s">
        <v>1102</v>
      </c>
      <c r="JM10" s="42" t="s">
        <v>1103</v>
      </c>
      <c r="JN10" s="42" t="s">
        <v>578</v>
      </c>
      <c r="JO10" s="42" t="s">
        <v>577</v>
      </c>
      <c r="JP10" s="42" t="s">
        <v>576</v>
      </c>
      <c r="JQ10" s="42" t="s">
        <v>575</v>
      </c>
      <c r="JR10" s="42" t="s">
        <v>574</v>
      </c>
      <c r="JS10" s="42" t="s">
        <v>573</v>
      </c>
      <c r="JT10" s="42" t="s">
        <v>572</v>
      </c>
      <c r="JU10" s="42" t="s">
        <v>571</v>
      </c>
      <c r="JV10" s="42" t="s">
        <v>570</v>
      </c>
      <c r="JW10" s="42" t="s">
        <v>569</v>
      </c>
      <c r="JX10" s="42" t="s">
        <v>568</v>
      </c>
      <c r="JY10" s="42" t="s">
        <v>567</v>
      </c>
      <c r="JZ10" s="42" t="s">
        <v>566</v>
      </c>
      <c r="KA10" s="42" t="s">
        <v>565</v>
      </c>
      <c r="KB10" s="42" t="s">
        <v>564</v>
      </c>
      <c r="KC10" s="42" t="s">
        <v>748</v>
      </c>
      <c r="KD10" s="42" t="s">
        <v>749</v>
      </c>
      <c r="KE10" s="42" t="s">
        <v>563</v>
      </c>
      <c r="KF10" s="42" t="s">
        <v>562</v>
      </c>
      <c r="KG10" s="42" t="s">
        <v>561</v>
      </c>
      <c r="KH10" s="42" t="s">
        <v>560</v>
      </c>
      <c r="KI10" s="42" t="s">
        <v>559</v>
      </c>
      <c r="KJ10" s="42" t="s">
        <v>558</v>
      </c>
      <c r="KK10" s="42" t="s">
        <v>557</v>
      </c>
      <c r="KL10" s="42" t="s">
        <v>556</v>
      </c>
      <c r="KM10" s="42" t="s">
        <v>555</v>
      </c>
      <c r="KN10" s="42" t="s">
        <v>554</v>
      </c>
      <c r="KO10" s="42" t="s">
        <v>553</v>
      </c>
      <c r="KP10" s="42" t="s">
        <v>552</v>
      </c>
      <c r="KQ10" s="42" t="s">
        <v>551</v>
      </c>
      <c r="KR10" s="42" t="s">
        <v>550</v>
      </c>
      <c r="KS10" s="42" t="s">
        <v>549</v>
      </c>
      <c r="KT10" s="42" t="s">
        <v>548</v>
      </c>
      <c r="KU10" s="42" t="s">
        <v>1113</v>
      </c>
      <c r="KV10" s="42" t="s">
        <v>1110</v>
      </c>
      <c r="KW10" s="42" t="s">
        <v>1111</v>
      </c>
      <c r="KX10" s="42" t="s">
        <v>1112</v>
      </c>
      <c r="KY10" s="42" t="s">
        <v>546</v>
      </c>
      <c r="KZ10" s="42" t="s">
        <v>545</v>
      </c>
      <c r="LA10" s="42" t="s">
        <v>544</v>
      </c>
      <c r="LB10" s="42" t="s">
        <v>543</v>
      </c>
      <c r="LC10" s="42" t="s">
        <v>542</v>
      </c>
      <c r="LD10" s="42" t="s">
        <v>541</v>
      </c>
      <c r="LE10" s="42" t="s">
        <v>540</v>
      </c>
      <c r="LF10" s="42" t="s">
        <v>539</v>
      </c>
      <c r="LG10" s="42" t="s">
        <v>538</v>
      </c>
      <c r="LH10" s="42" t="s">
        <v>537</v>
      </c>
      <c r="LI10" s="42" t="s">
        <v>536</v>
      </c>
      <c r="LJ10" s="42" t="s">
        <v>535</v>
      </c>
      <c r="LK10" s="42" t="s">
        <v>534</v>
      </c>
      <c r="LL10" s="42" t="s">
        <v>1118</v>
      </c>
      <c r="LM10" s="42" t="s">
        <v>1119</v>
      </c>
      <c r="LN10" s="42" t="s">
        <v>533</v>
      </c>
      <c r="LO10" s="42" t="s">
        <v>532</v>
      </c>
      <c r="LP10" s="44" t="s">
        <v>531</v>
      </c>
      <c r="LQ10" s="44" t="s">
        <v>530</v>
      </c>
      <c r="LR10" s="44" t="s">
        <v>529</v>
      </c>
      <c r="LS10" s="44" t="s">
        <v>528</v>
      </c>
      <c r="LT10" s="44" t="s">
        <v>527</v>
      </c>
      <c r="LU10" s="44" t="s">
        <v>526</v>
      </c>
      <c r="LV10" s="44" t="s">
        <v>1092</v>
      </c>
      <c r="LW10" s="44" t="s">
        <v>1089</v>
      </c>
      <c r="LX10" s="44" t="s">
        <v>1090</v>
      </c>
      <c r="LY10" s="44" t="s">
        <v>1091</v>
      </c>
      <c r="LZ10" s="119" t="s">
        <v>524</v>
      </c>
      <c r="MA10" s="119" t="s">
        <v>523</v>
      </c>
      <c r="MB10" s="119" t="s">
        <v>522</v>
      </c>
      <c r="MC10" s="119" t="s">
        <v>521</v>
      </c>
      <c r="MD10" s="119" t="s">
        <v>520</v>
      </c>
      <c r="ME10" s="120" t="s">
        <v>1134</v>
      </c>
      <c r="MF10" s="120" t="s">
        <v>1142</v>
      </c>
      <c r="MG10" s="120" t="s">
        <v>1141</v>
      </c>
      <c r="MH10" s="120" t="s">
        <v>1140</v>
      </c>
      <c r="MI10" s="120" t="s">
        <v>1139</v>
      </c>
      <c r="MJ10" s="120" t="s">
        <v>1136</v>
      </c>
      <c r="MK10" s="120" t="s">
        <v>1137</v>
      </c>
      <c r="ML10" s="120" t="s">
        <v>1138</v>
      </c>
      <c r="MM10" s="107" t="s">
        <v>1708</v>
      </c>
      <c r="MN10" s="107" t="s">
        <v>1709</v>
      </c>
      <c r="MO10" s="107" t="s">
        <v>1710</v>
      </c>
      <c r="MP10" s="107" t="s">
        <v>1711</v>
      </c>
      <c r="MQ10" s="107" t="s">
        <v>1712</v>
      </c>
      <c r="MR10" s="42" t="s">
        <v>519</v>
      </c>
      <c r="MS10" s="43" t="s">
        <v>518</v>
      </c>
      <c r="MT10" s="51" t="s">
        <v>517</v>
      </c>
      <c r="MU10" s="51" t="s">
        <v>1211</v>
      </c>
      <c r="MV10" s="51" t="s">
        <v>516</v>
      </c>
      <c r="MW10" s="51" t="s">
        <v>515</v>
      </c>
      <c r="MX10" s="51" t="s">
        <v>514</v>
      </c>
      <c r="MY10" s="51" t="s">
        <v>513</v>
      </c>
      <c r="MZ10" s="51" t="s">
        <v>512</v>
      </c>
      <c r="NA10" s="51" t="s">
        <v>714</v>
      </c>
      <c r="NB10" s="51" t="s">
        <v>708</v>
      </c>
      <c r="NC10" s="42" t="s">
        <v>713</v>
      </c>
      <c r="ND10" s="42" t="s">
        <v>704</v>
      </c>
      <c r="NE10" s="42" t="s">
        <v>705</v>
      </c>
      <c r="NF10" s="42" t="s">
        <v>706</v>
      </c>
      <c r="NG10" s="42" t="s">
        <v>707</v>
      </c>
      <c r="NH10" s="42" t="s">
        <v>511</v>
      </c>
      <c r="NI10" s="42" t="s">
        <v>510</v>
      </c>
      <c r="NJ10" s="42" t="s">
        <v>509</v>
      </c>
      <c r="NK10" s="42" t="s">
        <v>508</v>
      </c>
      <c r="NL10" s="42" t="s">
        <v>507</v>
      </c>
      <c r="NM10" s="42" t="s">
        <v>506</v>
      </c>
      <c r="NN10" s="42" t="s">
        <v>505</v>
      </c>
      <c r="NO10" s="42" t="s">
        <v>504</v>
      </c>
      <c r="NP10" s="42" t="s">
        <v>503</v>
      </c>
      <c r="NQ10" s="42" t="s">
        <v>502</v>
      </c>
      <c r="NR10" s="42" t="s">
        <v>1182</v>
      </c>
      <c r="NS10" s="42" t="s">
        <v>1183</v>
      </c>
      <c r="NT10" s="42" t="s">
        <v>1184</v>
      </c>
      <c r="NU10" s="42" t="s">
        <v>1185</v>
      </c>
      <c r="NV10" s="42" t="s">
        <v>718</v>
      </c>
      <c r="NW10" s="42" t="s">
        <v>1212</v>
      </c>
      <c r="NX10" s="42" t="s">
        <v>1213</v>
      </c>
      <c r="NY10" s="42" t="s">
        <v>1214</v>
      </c>
      <c r="NZ10" s="42" t="s">
        <v>1215</v>
      </c>
      <c r="OA10" s="42" t="s">
        <v>1216</v>
      </c>
      <c r="OB10" s="42" t="s">
        <v>1217</v>
      </c>
      <c r="OC10" s="42" t="s">
        <v>1218</v>
      </c>
      <c r="OD10" s="42" t="s">
        <v>1219</v>
      </c>
      <c r="OE10" s="42" t="s">
        <v>1220</v>
      </c>
      <c r="OF10" s="42" t="s">
        <v>1221</v>
      </c>
      <c r="OG10" s="42" t="s">
        <v>501</v>
      </c>
      <c r="OH10" s="42" t="s">
        <v>500</v>
      </c>
      <c r="OI10" s="42" t="s">
        <v>499</v>
      </c>
      <c r="OJ10" s="42" t="s">
        <v>498</v>
      </c>
      <c r="OK10" s="42" t="s">
        <v>497</v>
      </c>
      <c r="OL10" s="42" t="s">
        <v>496</v>
      </c>
      <c r="OM10" s="42" t="s">
        <v>495</v>
      </c>
      <c r="ON10" s="80" t="s">
        <v>1164</v>
      </c>
      <c r="OO10" s="80" t="s">
        <v>1165</v>
      </c>
      <c r="OP10" s="81" t="s">
        <v>1171</v>
      </c>
      <c r="OQ10" s="81" t="s">
        <v>1166</v>
      </c>
      <c r="OR10" s="81" t="s">
        <v>1167</v>
      </c>
      <c r="OS10" s="81" t="s">
        <v>1170</v>
      </c>
      <c r="OT10" s="79" t="s">
        <v>1168</v>
      </c>
    </row>
    <row r="11" spans="1:410" ht="15.75" thickBot="1">
      <c r="A11" t="s">
        <v>248</v>
      </c>
      <c r="B11" t="s">
        <v>1870</v>
      </c>
      <c r="C11" t="s">
        <v>34</v>
      </c>
      <c r="D11" s="100" t="s">
        <v>31</v>
      </c>
      <c r="E11" s="90" t="s">
        <v>1658</v>
      </c>
      <c r="F11" s="100" t="s">
        <v>31</v>
      </c>
      <c r="G11" s="87" t="s">
        <v>2</v>
      </c>
      <c r="H11" s="87" t="s">
        <v>30</v>
      </c>
      <c r="I11">
        <v>-0.41666666699999999</v>
      </c>
      <c r="J11">
        <v>34.200000000000003</v>
      </c>
      <c r="K11" s="87" t="s">
        <v>29</v>
      </c>
      <c r="AV11" t="s">
        <v>1661</v>
      </c>
      <c r="AW11">
        <v>36</v>
      </c>
      <c r="AX11" t="s">
        <v>234</v>
      </c>
      <c r="AY11">
        <v>1</v>
      </c>
      <c r="AZ11" t="s">
        <v>1667</v>
      </c>
      <c r="BA11">
        <v>2007</v>
      </c>
      <c r="BB11">
        <v>2008</v>
      </c>
      <c r="BD11" t="s">
        <v>19</v>
      </c>
      <c r="BE11" t="s">
        <v>1639</v>
      </c>
      <c r="BF11" t="s">
        <v>39</v>
      </c>
      <c r="BH11" t="s">
        <v>23</v>
      </c>
      <c r="BI11" t="s">
        <v>1662</v>
      </c>
      <c r="BJ11" s="87" t="s">
        <v>22</v>
      </c>
      <c r="BK11">
        <v>44444</v>
      </c>
      <c r="IF11" t="s">
        <v>1639</v>
      </c>
      <c r="IG11" t="s">
        <v>19</v>
      </c>
      <c r="JH11" t="s">
        <v>1663</v>
      </c>
      <c r="JI11" t="s">
        <v>15</v>
      </c>
      <c r="JJ11" t="s">
        <v>14</v>
      </c>
      <c r="JK11" s="8" t="s">
        <v>1664</v>
      </c>
      <c r="JN11" t="s">
        <v>13</v>
      </c>
      <c r="JO11">
        <v>40</v>
      </c>
      <c r="JP11">
        <v>50</v>
      </c>
      <c r="KD11" t="s">
        <v>12</v>
      </c>
      <c r="MR11" t="s">
        <v>1640</v>
      </c>
      <c r="MS11">
        <v>36</v>
      </c>
      <c r="MT11" t="s">
        <v>1641</v>
      </c>
      <c r="MV11" t="s">
        <v>168</v>
      </c>
      <c r="NC11" t="s">
        <v>1677</v>
      </c>
      <c r="ND11" t="s">
        <v>1642</v>
      </c>
      <c r="NE11" t="s">
        <v>1670</v>
      </c>
      <c r="NF11" s="4" t="s">
        <v>266</v>
      </c>
      <c r="NG11" t="s">
        <v>265</v>
      </c>
      <c r="NO11" s="78" t="s">
        <v>735</v>
      </c>
      <c r="NP11" t="s">
        <v>6</v>
      </c>
      <c r="NQ11">
        <v>-126.7</v>
      </c>
      <c r="NR11" s="4" t="s">
        <v>4</v>
      </c>
      <c r="NS11">
        <v>19</v>
      </c>
      <c r="NV11">
        <v>4</v>
      </c>
      <c r="OG11" t="s">
        <v>1657</v>
      </c>
      <c r="OH11" s="87" t="s">
        <v>2</v>
      </c>
      <c r="OI11">
        <v>2007</v>
      </c>
      <c r="OL11" t="s">
        <v>1656</v>
      </c>
      <c r="ON11" t="s">
        <v>1169</v>
      </c>
      <c r="OO11" s="58">
        <v>46105</v>
      </c>
    </row>
    <row r="12" spans="1:410" ht="15.75" thickBot="1">
      <c r="A12" t="s">
        <v>248</v>
      </c>
      <c r="B12" t="s">
        <v>1870</v>
      </c>
      <c r="C12" t="s">
        <v>34</v>
      </c>
      <c r="D12" s="100" t="s">
        <v>31</v>
      </c>
      <c r="E12" s="90" t="s">
        <v>1658</v>
      </c>
      <c r="F12" s="100" t="s">
        <v>31</v>
      </c>
      <c r="G12" s="87" t="s">
        <v>2</v>
      </c>
      <c r="H12" s="87" t="s">
        <v>30</v>
      </c>
      <c r="I12">
        <v>-0.41666666699999999</v>
      </c>
      <c r="J12">
        <v>34.200000000000003</v>
      </c>
      <c r="K12" s="87" t="s">
        <v>29</v>
      </c>
      <c r="AV12" t="s">
        <v>1661</v>
      </c>
      <c r="AW12">
        <v>37</v>
      </c>
      <c r="AX12" t="s">
        <v>234</v>
      </c>
      <c r="AY12">
        <v>1</v>
      </c>
      <c r="AZ12" t="s">
        <v>1667</v>
      </c>
      <c r="BA12">
        <v>2007</v>
      </c>
      <c r="BB12">
        <v>2008</v>
      </c>
      <c r="BD12" t="s">
        <v>238</v>
      </c>
      <c r="BE12" t="s">
        <v>1643</v>
      </c>
      <c r="BF12" t="s">
        <v>64</v>
      </c>
      <c r="BH12" t="s">
        <v>23</v>
      </c>
      <c r="BI12" t="s">
        <v>1662</v>
      </c>
      <c r="BJ12" s="87" t="s">
        <v>22</v>
      </c>
      <c r="BK12">
        <v>44444</v>
      </c>
      <c r="BL12" t="s">
        <v>56</v>
      </c>
      <c r="BM12" t="s">
        <v>1659</v>
      </c>
      <c r="BN12" t="s">
        <v>1660</v>
      </c>
      <c r="BO12" s="87" t="s">
        <v>22</v>
      </c>
      <c r="BP12">
        <v>44444</v>
      </c>
      <c r="IF12" t="s">
        <v>1643</v>
      </c>
      <c r="IG12" s="84" t="s">
        <v>1443</v>
      </c>
      <c r="IH12" t="s">
        <v>660</v>
      </c>
      <c r="II12" t="s">
        <v>661</v>
      </c>
      <c r="IJ12" t="s">
        <v>836</v>
      </c>
      <c r="IK12" t="s">
        <v>836</v>
      </c>
      <c r="IL12" s="87" t="s">
        <v>29</v>
      </c>
      <c r="JH12" t="s">
        <v>1663</v>
      </c>
      <c r="JI12" t="s">
        <v>15</v>
      </c>
      <c r="JJ12" t="s">
        <v>14</v>
      </c>
      <c r="JK12" s="8" t="s">
        <v>1664</v>
      </c>
      <c r="JN12" t="s">
        <v>13</v>
      </c>
      <c r="JO12">
        <v>40</v>
      </c>
      <c r="JP12">
        <v>50</v>
      </c>
      <c r="KD12" t="s">
        <v>12</v>
      </c>
      <c r="MR12" t="s">
        <v>1640</v>
      </c>
      <c r="MS12">
        <v>36</v>
      </c>
      <c r="MT12" t="s">
        <v>1644</v>
      </c>
      <c r="MV12" t="s">
        <v>168</v>
      </c>
      <c r="MW12" t="s">
        <v>1671</v>
      </c>
      <c r="NC12" t="s">
        <v>1678</v>
      </c>
      <c r="ND12" t="s">
        <v>1642</v>
      </c>
      <c r="NE12" t="s">
        <v>1670</v>
      </c>
      <c r="NF12" s="4" t="s">
        <v>266</v>
      </c>
      <c r="NG12" t="s">
        <v>265</v>
      </c>
      <c r="NO12" s="78"/>
      <c r="NP12" t="s">
        <v>6</v>
      </c>
      <c r="NQ12">
        <v>129.30000000000001</v>
      </c>
      <c r="NR12" s="4" t="s">
        <v>4</v>
      </c>
      <c r="NS12">
        <v>49</v>
      </c>
      <c r="NV12">
        <v>4</v>
      </c>
      <c r="OG12" t="s">
        <v>1657</v>
      </c>
      <c r="OH12" s="87" t="s">
        <v>2</v>
      </c>
      <c r="OI12">
        <v>2007</v>
      </c>
      <c r="OL12" t="s">
        <v>1656</v>
      </c>
      <c r="ON12" t="s">
        <v>1169</v>
      </c>
      <c r="OO12" s="58">
        <v>46105</v>
      </c>
    </row>
    <row r="13" spans="1:410" ht="15.75" thickBot="1">
      <c r="A13" t="s">
        <v>248</v>
      </c>
      <c r="B13" t="s">
        <v>1870</v>
      </c>
      <c r="C13" t="s">
        <v>34</v>
      </c>
      <c r="D13" s="100" t="s">
        <v>31</v>
      </c>
      <c r="E13" s="90" t="s">
        <v>1658</v>
      </c>
      <c r="F13" s="100" t="s">
        <v>31</v>
      </c>
      <c r="G13" s="87" t="s">
        <v>2</v>
      </c>
      <c r="H13" s="87" t="s">
        <v>30</v>
      </c>
      <c r="I13">
        <v>-0.41666666699999999</v>
      </c>
      <c r="J13">
        <v>34.200000000000003</v>
      </c>
      <c r="K13" s="87" t="s">
        <v>29</v>
      </c>
      <c r="AV13" t="s">
        <v>1661</v>
      </c>
      <c r="AW13">
        <v>38</v>
      </c>
      <c r="AX13" t="s">
        <v>234</v>
      </c>
      <c r="AY13">
        <v>1</v>
      </c>
      <c r="AZ13" t="s">
        <v>1667</v>
      </c>
      <c r="BA13">
        <v>2007</v>
      </c>
      <c r="BB13">
        <v>2008</v>
      </c>
      <c r="BD13" t="s">
        <v>238</v>
      </c>
      <c r="BE13" t="s">
        <v>1645</v>
      </c>
      <c r="BF13" t="s">
        <v>57</v>
      </c>
      <c r="BH13" t="s">
        <v>23</v>
      </c>
      <c r="BI13" t="s">
        <v>1662</v>
      </c>
      <c r="BJ13" s="87" t="s">
        <v>22</v>
      </c>
      <c r="BK13">
        <v>44444</v>
      </c>
      <c r="BL13" t="s">
        <v>56</v>
      </c>
      <c r="BM13" t="s">
        <v>1646</v>
      </c>
      <c r="BN13" t="s">
        <v>234</v>
      </c>
      <c r="BO13" t="s">
        <v>234</v>
      </c>
      <c r="BP13" t="s">
        <v>234</v>
      </c>
      <c r="IF13" t="s">
        <v>1645</v>
      </c>
      <c r="IG13" s="84" t="s">
        <v>1665</v>
      </c>
      <c r="IH13" t="s">
        <v>660</v>
      </c>
      <c r="II13" t="s">
        <v>661</v>
      </c>
      <c r="IJ13" t="s">
        <v>836</v>
      </c>
      <c r="IK13" t="s">
        <v>836</v>
      </c>
      <c r="IL13" s="87" t="s">
        <v>29</v>
      </c>
      <c r="JH13" t="s">
        <v>1663</v>
      </c>
      <c r="JI13" t="s">
        <v>15</v>
      </c>
      <c r="JJ13" t="s">
        <v>14</v>
      </c>
      <c r="JK13" s="8" t="s">
        <v>1664</v>
      </c>
      <c r="JN13" t="s">
        <v>13</v>
      </c>
      <c r="JO13">
        <v>40</v>
      </c>
      <c r="JP13">
        <v>50</v>
      </c>
      <c r="KD13" t="s">
        <v>12</v>
      </c>
      <c r="MR13" t="s">
        <v>1640</v>
      </c>
      <c r="MS13">
        <v>36</v>
      </c>
      <c r="MT13" t="s">
        <v>1647</v>
      </c>
      <c r="MV13" t="s">
        <v>168</v>
      </c>
      <c r="MW13" t="s">
        <v>1673</v>
      </c>
      <c r="MX13" t="s">
        <v>1674</v>
      </c>
      <c r="NC13" t="s">
        <v>1678</v>
      </c>
      <c r="ND13" t="s">
        <v>1642</v>
      </c>
      <c r="NE13" t="s">
        <v>1670</v>
      </c>
      <c r="NF13" s="4" t="s">
        <v>266</v>
      </c>
      <c r="NG13" t="s">
        <v>265</v>
      </c>
      <c r="NO13" s="78"/>
      <c r="NP13" t="s">
        <v>6</v>
      </c>
      <c r="NQ13">
        <v>730.3</v>
      </c>
      <c r="NR13" s="4" t="s">
        <v>4</v>
      </c>
      <c r="NS13">
        <v>38</v>
      </c>
      <c r="NV13">
        <v>4</v>
      </c>
      <c r="OG13" t="s">
        <v>1657</v>
      </c>
      <c r="OH13" s="87" t="s">
        <v>2</v>
      </c>
      <c r="OI13">
        <v>2007</v>
      </c>
      <c r="OL13" t="s">
        <v>1656</v>
      </c>
      <c r="ON13" t="s">
        <v>1169</v>
      </c>
      <c r="OO13" s="58">
        <v>46105</v>
      </c>
    </row>
    <row r="14" spans="1:410" ht="15.75" thickBot="1">
      <c r="A14" t="s">
        <v>248</v>
      </c>
      <c r="B14" t="s">
        <v>1870</v>
      </c>
      <c r="C14" t="s">
        <v>34</v>
      </c>
      <c r="D14" s="100" t="s">
        <v>31</v>
      </c>
      <c r="E14" s="90" t="s">
        <v>1658</v>
      </c>
      <c r="F14" s="100" t="s">
        <v>31</v>
      </c>
      <c r="G14" s="87" t="s">
        <v>2</v>
      </c>
      <c r="H14" s="87" t="s">
        <v>30</v>
      </c>
      <c r="I14">
        <v>-0.41666666699999999</v>
      </c>
      <c r="J14">
        <v>34.200000000000003</v>
      </c>
      <c r="K14" s="87" t="s">
        <v>29</v>
      </c>
      <c r="AV14" t="s">
        <v>1661</v>
      </c>
      <c r="AW14">
        <v>39</v>
      </c>
      <c r="AX14" t="s">
        <v>234</v>
      </c>
      <c r="AY14">
        <v>1</v>
      </c>
      <c r="AZ14" t="s">
        <v>1667</v>
      </c>
      <c r="BA14">
        <v>2007</v>
      </c>
      <c r="BB14">
        <v>2008</v>
      </c>
      <c r="BD14" t="s">
        <v>238</v>
      </c>
      <c r="BE14" t="s">
        <v>1648</v>
      </c>
      <c r="BF14" t="s">
        <v>48</v>
      </c>
      <c r="BH14" t="s">
        <v>23</v>
      </c>
      <c r="BI14" t="s">
        <v>1662</v>
      </c>
      <c r="BJ14" s="87" t="s">
        <v>22</v>
      </c>
      <c r="BK14">
        <v>44444</v>
      </c>
      <c r="BL14" t="s">
        <v>56</v>
      </c>
      <c r="BM14" t="s">
        <v>1659</v>
      </c>
      <c r="BN14" t="s">
        <v>1660</v>
      </c>
      <c r="BO14" s="87" t="s">
        <v>22</v>
      </c>
      <c r="BP14">
        <v>44444</v>
      </c>
      <c r="BQ14" t="s">
        <v>56</v>
      </c>
      <c r="BR14" t="s">
        <v>1646</v>
      </c>
      <c r="BS14" t="s">
        <v>234</v>
      </c>
      <c r="BT14" t="s">
        <v>234</v>
      </c>
      <c r="BU14" t="s">
        <v>234</v>
      </c>
      <c r="IF14" t="s">
        <v>1648</v>
      </c>
      <c r="IG14" s="84" t="s">
        <v>1665</v>
      </c>
      <c r="IH14" t="s">
        <v>660</v>
      </c>
      <c r="II14" t="s">
        <v>661</v>
      </c>
      <c r="IJ14" t="s">
        <v>836</v>
      </c>
      <c r="IK14" t="s">
        <v>836</v>
      </c>
      <c r="IL14" s="87" t="s">
        <v>29</v>
      </c>
      <c r="JH14" t="s">
        <v>1663</v>
      </c>
      <c r="JI14" t="s">
        <v>15</v>
      </c>
      <c r="JJ14" t="s">
        <v>14</v>
      </c>
      <c r="JK14" s="8" t="s">
        <v>1664</v>
      </c>
      <c r="JN14" t="s">
        <v>13</v>
      </c>
      <c r="JO14">
        <v>40</v>
      </c>
      <c r="JP14">
        <v>50</v>
      </c>
      <c r="KD14" t="s">
        <v>12</v>
      </c>
      <c r="MR14" t="s">
        <v>1640</v>
      </c>
      <c r="MS14">
        <v>36</v>
      </c>
      <c r="MT14" t="s">
        <v>1649</v>
      </c>
      <c r="MV14" t="s">
        <v>168</v>
      </c>
      <c r="MW14" t="s">
        <v>1671</v>
      </c>
      <c r="MX14" t="s">
        <v>1673</v>
      </c>
      <c r="MY14" t="s">
        <v>1674</v>
      </c>
      <c r="NC14" t="s">
        <v>1678</v>
      </c>
      <c r="ND14" t="s">
        <v>1642</v>
      </c>
      <c r="NE14" t="s">
        <v>1670</v>
      </c>
      <c r="NF14" s="4" t="s">
        <v>266</v>
      </c>
      <c r="NG14" t="s">
        <v>265</v>
      </c>
      <c r="NO14" s="78"/>
      <c r="NP14" t="s">
        <v>6</v>
      </c>
      <c r="NQ14">
        <v>629.79999999999995</v>
      </c>
      <c r="NR14" s="4" t="s">
        <v>4</v>
      </c>
      <c r="NS14">
        <v>30</v>
      </c>
      <c r="NV14">
        <v>4</v>
      </c>
      <c r="OG14" t="s">
        <v>1657</v>
      </c>
      <c r="OH14" s="87" t="s">
        <v>2</v>
      </c>
      <c r="OI14">
        <v>2007</v>
      </c>
      <c r="OL14" t="s">
        <v>1656</v>
      </c>
      <c r="ON14" t="s">
        <v>1169</v>
      </c>
      <c r="OO14" s="58">
        <v>46105</v>
      </c>
    </row>
    <row r="15" spans="1:410" ht="15.75" thickBot="1">
      <c r="A15" t="s">
        <v>248</v>
      </c>
      <c r="B15" t="s">
        <v>1870</v>
      </c>
      <c r="C15" t="s">
        <v>34</v>
      </c>
      <c r="D15" s="100" t="s">
        <v>31</v>
      </c>
      <c r="E15" s="90" t="s">
        <v>1658</v>
      </c>
      <c r="F15" s="100" t="s">
        <v>31</v>
      </c>
      <c r="G15" s="87" t="s">
        <v>2</v>
      </c>
      <c r="H15" s="87" t="s">
        <v>30</v>
      </c>
      <c r="I15">
        <v>-0.41666666699999999</v>
      </c>
      <c r="J15">
        <v>34.200000000000003</v>
      </c>
      <c r="K15" s="87" t="s">
        <v>29</v>
      </c>
      <c r="N15" t="s">
        <v>2082</v>
      </c>
      <c r="O15" t="s">
        <v>2083</v>
      </c>
      <c r="P15" t="s">
        <v>2084</v>
      </c>
      <c r="Q15" t="s">
        <v>2085</v>
      </c>
      <c r="R15" t="s">
        <v>2086</v>
      </c>
      <c r="S15" t="s">
        <v>2087</v>
      </c>
      <c r="T15" t="s">
        <v>2088</v>
      </c>
      <c r="U15" t="s">
        <v>2089</v>
      </c>
      <c r="V15" t="s">
        <v>2090</v>
      </c>
      <c r="AV15" t="s">
        <v>1661</v>
      </c>
      <c r="AW15">
        <v>40</v>
      </c>
      <c r="AX15" t="s">
        <v>234</v>
      </c>
      <c r="AY15">
        <v>1</v>
      </c>
      <c r="AZ15" t="s">
        <v>1667</v>
      </c>
      <c r="BA15">
        <v>2007</v>
      </c>
      <c r="BB15">
        <v>2008</v>
      </c>
      <c r="BD15" t="s">
        <v>238</v>
      </c>
      <c r="BE15" t="s">
        <v>1672</v>
      </c>
      <c r="BF15" t="s">
        <v>43</v>
      </c>
      <c r="BH15" t="s">
        <v>23</v>
      </c>
      <c r="BI15" t="s">
        <v>1662</v>
      </c>
      <c r="BJ15" s="87" t="s">
        <v>22</v>
      </c>
      <c r="BK15">
        <v>44444</v>
      </c>
      <c r="BL15" t="s">
        <v>56</v>
      </c>
      <c r="BM15" t="s">
        <v>1659</v>
      </c>
      <c r="BN15" t="s">
        <v>1660</v>
      </c>
      <c r="BO15" s="87" t="s">
        <v>22</v>
      </c>
      <c r="BP15">
        <v>44444</v>
      </c>
      <c r="BQ15" t="s">
        <v>56</v>
      </c>
      <c r="BR15" t="s">
        <v>1646</v>
      </c>
      <c r="BS15" t="s">
        <v>234</v>
      </c>
      <c r="BT15" t="s">
        <v>234</v>
      </c>
      <c r="BU15" t="s">
        <v>234</v>
      </c>
      <c r="IF15" t="s">
        <v>1650</v>
      </c>
      <c r="IG15" s="84" t="s">
        <v>1665</v>
      </c>
      <c r="IH15" t="s">
        <v>660</v>
      </c>
      <c r="II15" t="s">
        <v>661</v>
      </c>
      <c r="IJ15" t="s">
        <v>836</v>
      </c>
      <c r="IK15" t="s">
        <v>836</v>
      </c>
      <c r="IL15" s="87" t="s">
        <v>29</v>
      </c>
      <c r="JH15" t="s">
        <v>1663</v>
      </c>
      <c r="JI15" t="s">
        <v>15</v>
      </c>
      <c r="JJ15" t="s">
        <v>14</v>
      </c>
      <c r="JK15" s="8" t="s">
        <v>1664</v>
      </c>
      <c r="JN15" t="s">
        <v>13</v>
      </c>
      <c r="JO15">
        <v>40</v>
      </c>
      <c r="JP15">
        <v>50</v>
      </c>
      <c r="KD15" t="s">
        <v>12</v>
      </c>
      <c r="MR15" t="s">
        <v>1640</v>
      </c>
      <c r="MS15">
        <v>36</v>
      </c>
      <c r="MT15" t="s">
        <v>1649</v>
      </c>
      <c r="MV15" t="s">
        <v>168</v>
      </c>
      <c r="MW15" t="s">
        <v>1671</v>
      </c>
      <c r="MX15" t="s">
        <v>1673</v>
      </c>
      <c r="MY15" t="s">
        <v>1674</v>
      </c>
      <c r="NC15" t="s">
        <v>1678</v>
      </c>
      <c r="ND15" t="s">
        <v>1642</v>
      </c>
      <c r="NE15" t="s">
        <v>1670</v>
      </c>
      <c r="NF15" s="4" t="s">
        <v>266</v>
      </c>
      <c r="NG15" t="s">
        <v>265</v>
      </c>
      <c r="NO15" s="78"/>
      <c r="NP15" t="s">
        <v>6</v>
      </c>
      <c r="NQ15">
        <v>908</v>
      </c>
      <c r="NR15" s="4" t="s">
        <v>4</v>
      </c>
      <c r="NS15">
        <v>72</v>
      </c>
      <c r="NV15">
        <v>4</v>
      </c>
      <c r="OG15" t="s">
        <v>1657</v>
      </c>
      <c r="OH15" s="87" t="s">
        <v>2</v>
      </c>
      <c r="OI15">
        <v>2007</v>
      </c>
      <c r="OL15" t="s">
        <v>1656</v>
      </c>
      <c r="ON15" t="s">
        <v>1169</v>
      </c>
      <c r="OO15" s="58">
        <v>46105</v>
      </c>
    </row>
    <row r="16" spans="1:410" ht="15.75" thickBot="1">
      <c r="A16" t="s">
        <v>248</v>
      </c>
      <c r="B16" t="s">
        <v>1870</v>
      </c>
      <c r="C16" t="s">
        <v>34</v>
      </c>
      <c r="D16" s="100" t="s">
        <v>31</v>
      </c>
      <c r="E16" s="90" t="s">
        <v>1658</v>
      </c>
      <c r="F16" s="100" t="s">
        <v>31</v>
      </c>
      <c r="G16" s="87" t="s">
        <v>2</v>
      </c>
      <c r="H16" s="87" t="s">
        <v>30</v>
      </c>
      <c r="I16">
        <v>-0.41666666699999999</v>
      </c>
      <c r="J16">
        <v>34.200000000000003</v>
      </c>
      <c r="K16" s="87" t="s">
        <v>29</v>
      </c>
      <c r="N16" t="s">
        <v>2091</v>
      </c>
      <c r="O16" t="s">
        <v>2092</v>
      </c>
      <c r="P16" s="9">
        <v>2600</v>
      </c>
      <c r="Q16" s="9">
        <v>1380</v>
      </c>
      <c r="R16">
        <v>10.3622</v>
      </c>
      <c r="S16">
        <v>76.980199999999996</v>
      </c>
      <c r="T16" s="9">
        <v>3000</v>
      </c>
      <c r="U16" t="s">
        <v>2093</v>
      </c>
      <c r="V16" t="s">
        <v>2094</v>
      </c>
      <c r="AV16" t="s">
        <v>1661</v>
      </c>
      <c r="AW16">
        <v>41</v>
      </c>
      <c r="AX16" t="s">
        <v>234</v>
      </c>
      <c r="AY16">
        <v>1</v>
      </c>
      <c r="AZ16" t="s">
        <v>1668</v>
      </c>
      <c r="BA16">
        <v>2007</v>
      </c>
      <c r="BB16">
        <v>2008</v>
      </c>
      <c r="BD16" t="s">
        <v>19</v>
      </c>
      <c r="BE16" t="s">
        <v>1639</v>
      </c>
      <c r="BF16" t="s">
        <v>39</v>
      </c>
      <c r="BH16" t="s">
        <v>23</v>
      </c>
      <c r="BI16" t="s">
        <v>1662</v>
      </c>
      <c r="BJ16" s="87" t="s">
        <v>22</v>
      </c>
      <c r="BK16">
        <v>44444</v>
      </c>
      <c r="IF16" t="s">
        <v>1639</v>
      </c>
      <c r="IG16" t="s">
        <v>19</v>
      </c>
      <c r="JH16" t="s">
        <v>1663</v>
      </c>
      <c r="JI16" t="s">
        <v>15</v>
      </c>
      <c r="JJ16" t="s">
        <v>14</v>
      </c>
      <c r="JK16" s="8" t="s">
        <v>1664</v>
      </c>
      <c r="JN16" t="s">
        <v>13</v>
      </c>
      <c r="JO16">
        <v>40</v>
      </c>
      <c r="JP16">
        <v>50</v>
      </c>
      <c r="KD16" t="s">
        <v>12</v>
      </c>
      <c r="MR16" t="s">
        <v>1640</v>
      </c>
      <c r="MS16">
        <v>36</v>
      </c>
      <c r="MT16" t="s">
        <v>1641</v>
      </c>
      <c r="MV16" t="s">
        <v>168</v>
      </c>
      <c r="NC16" t="s">
        <v>1677</v>
      </c>
      <c r="ND16" t="s">
        <v>1642</v>
      </c>
      <c r="NE16" t="s">
        <v>1670</v>
      </c>
      <c r="NF16" s="4" t="s">
        <v>266</v>
      </c>
      <c r="NG16" t="s">
        <v>265</v>
      </c>
      <c r="NO16" s="78" t="s">
        <v>735</v>
      </c>
      <c r="NP16" t="s">
        <v>6</v>
      </c>
      <c r="NQ16">
        <v>-176.1</v>
      </c>
      <c r="NR16" s="4" t="s">
        <v>4</v>
      </c>
      <c r="NS16">
        <v>73</v>
      </c>
      <c r="NV16">
        <v>4</v>
      </c>
      <c r="OG16" t="s">
        <v>1657</v>
      </c>
      <c r="OH16" s="87" t="s">
        <v>2</v>
      </c>
      <c r="OI16">
        <v>2008</v>
      </c>
      <c r="OL16" t="s">
        <v>1666</v>
      </c>
      <c r="ON16" t="s">
        <v>1169</v>
      </c>
      <c r="OO16" s="58">
        <v>46105</v>
      </c>
    </row>
    <row r="17" spans="1:405" ht="15.75" thickBot="1">
      <c r="A17" t="s">
        <v>248</v>
      </c>
      <c r="B17" t="s">
        <v>1870</v>
      </c>
      <c r="C17" t="s">
        <v>34</v>
      </c>
      <c r="D17" s="100" t="s">
        <v>31</v>
      </c>
      <c r="E17" s="90" t="s">
        <v>1658</v>
      </c>
      <c r="F17" s="100" t="s">
        <v>31</v>
      </c>
      <c r="G17" s="87" t="s">
        <v>2</v>
      </c>
      <c r="H17" s="87" t="s">
        <v>30</v>
      </c>
      <c r="I17">
        <v>-0.41666666699999999</v>
      </c>
      <c r="J17">
        <v>34.200000000000003</v>
      </c>
      <c r="K17" s="87" t="s">
        <v>29</v>
      </c>
      <c r="N17" t="s">
        <v>2095</v>
      </c>
      <c r="O17" t="s">
        <v>2096</v>
      </c>
      <c r="P17">
        <v>185</v>
      </c>
      <c r="Q17" s="9">
        <v>1270</v>
      </c>
      <c r="R17">
        <v>10.385</v>
      </c>
      <c r="S17">
        <v>76.95</v>
      </c>
      <c r="T17" s="9">
        <v>1000</v>
      </c>
      <c r="U17" t="s">
        <v>2097</v>
      </c>
      <c r="V17" t="s">
        <v>2098</v>
      </c>
      <c r="AV17" t="s">
        <v>1661</v>
      </c>
      <c r="AW17">
        <v>42</v>
      </c>
      <c r="AX17" t="s">
        <v>234</v>
      </c>
      <c r="AY17">
        <v>1</v>
      </c>
      <c r="AZ17" t="s">
        <v>1668</v>
      </c>
      <c r="BA17">
        <v>2007</v>
      </c>
      <c r="BB17">
        <v>2008</v>
      </c>
      <c r="BD17" t="s">
        <v>238</v>
      </c>
      <c r="BE17" t="s">
        <v>1643</v>
      </c>
      <c r="BF17" t="s">
        <v>64</v>
      </c>
      <c r="BH17" t="s">
        <v>23</v>
      </c>
      <c r="BI17" t="s">
        <v>1662</v>
      </c>
      <c r="BJ17" s="87" t="s">
        <v>22</v>
      </c>
      <c r="BK17">
        <v>44444</v>
      </c>
      <c r="BL17" t="s">
        <v>56</v>
      </c>
      <c r="BM17" t="s">
        <v>1659</v>
      </c>
      <c r="BN17" t="s">
        <v>1660</v>
      </c>
      <c r="BO17" s="87" t="s">
        <v>22</v>
      </c>
      <c r="BP17">
        <v>44444</v>
      </c>
      <c r="IF17" t="s">
        <v>1643</v>
      </c>
      <c r="IG17" s="84" t="s">
        <v>1443</v>
      </c>
      <c r="IH17" t="s">
        <v>660</v>
      </c>
      <c r="II17" t="s">
        <v>661</v>
      </c>
      <c r="IJ17" t="s">
        <v>836</v>
      </c>
      <c r="IK17" t="s">
        <v>836</v>
      </c>
      <c r="IL17" s="87" t="s">
        <v>29</v>
      </c>
      <c r="JH17" t="s">
        <v>1663</v>
      </c>
      <c r="JI17" t="s">
        <v>15</v>
      </c>
      <c r="JJ17" t="s">
        <v>14</v>
      </c>
      <c r="JK17" s="8" t="s">
        <v>1664</v>
      </c>
      <c r="JN17" t="s">
        <v>13</v>
      </c>
      <c r="JO17">
        <v>40</v>
      </c>
      <c r="JP17">
        <v>50</v>
      </c>
      <c r="KD17" t="s">
        <v>12</v>
      </c>
      <c r="MR17" t="s">
        <v>1640</v>
      </c>
      <c r="MS17">
        <v>36</v>
      </c>
      <c r="MT17" t="s">
        <v>1644</v>
      </c>
      <c r="MV17" t="s">
        <v>168</v>
      </c>
      <c r="MW17" t="s">
        <v>1671</v>
      </c>
      <c r="NC17" t="s">
        <v>1678</v>
      </c>
      <c r="ND17" t="s">
        <v>1642</v>
      </c>
      <c r="NE17" t="s">
        <v>1670</v>
      </c>
      <c r="NF17" s="4" t="s">
        <v>266</v>
      </c>
      <c r="NG17" t="s">
        <v>265</v>
      </c>
      <c r="NO17" s="78"/>
      <c r="NP17" t="s">
        <v>6</v>
      </c>
      <c r="NQ17">
        <v>45.3</v>
      </c>
      <c r="NR17" s="4" t="s">
        <v>4</v>
      </c>
      <c r="NS17">
        <v>116</v>
      </c>
      <c r="NV17">
        <v>4</v>
      </c>
      <c r="OG17" t="s">
        <v>1657</v>
      </c>
      <c r="OH17" s="87" t="s">
        <v>2</v>
      </c>
      <c r="OI17">
        <v>2008</v>
      </c>
      <c r="OL17" t="s">
        <v>1666</v>
      </c>
      <c r="ON17" t="s">
        <v>1169</v>
      </c>
      <c r="OO17" s="58">
        <v>46105</v>
      </c>
    </row>
    <row r="18" spans="1:405" ht="15.75" thickBot="1">
      <c r="A18" t="s">
        <v>248</v>
      </c>
      <c r="B18" t="s">
        <v>1870</v>
      </c>
      <c r="C18" t="s">
        <v>34</v>
      </c>
      <c r="D18" s="100" t="s">
        <v>31</v>
      </c>
      <c r="E18" s="90" t="s">
        <v>1658</v>
      </c>
      <c r="F18" s="100" t="s">
        <v>31</v>
      </c>
      <c r="G18" s="87" t="s">
        <v>2</v>
      </c>
      <c r="H18" s="87" t="s">
        <v>30</v>
      </c>
      <c r="I18">
        <v>-0.41666666699999999</v>
      </c>
      <c r="J18">
        <v>34.200000000000003</v>
      </c>
      <c r="K18" s="87" t="s">
        <v>29</v>
      </c>
      <c r="N18" t="s">
        <v>2099</v>
      </c>
      <c r="O18" t="s">
        <v>2100</v>
      </c>
      <c r="P18">
        <v>200</v>
      </c>
      <c r="Q18">
        <v>785</v>
      </c>
      <c r="R18">
        <v>10.234999999999999</v>
      </c>
      <c r="S18">
        <v>76.89</v>
      </c>
      <c r="T18" s="9">
        <v>1500</v>
      </c>
      <c r="U18" t="s">
        <v>2101</v>
      </c>
      <c r="V18" t="s">
        <v>2102</v>
      </c>
      <c r="AV18" t="s">
        <v>1661</v>
      </c>
      <c r="AW18">
        <v>43</v>
      </c>
      <c r="AX18" t="s">
        <v>234</v>
      </c>
      <c r="AY18">
        <v>1</v>
      </c>
      <c r="AZ18" t="s">
        <v>1668</v>
      </c>
      <c r="BA18">
        <v>2007</v>
      </c>
      <c r="BB18">
        <v>2008</v>
      </c>
      <c r="BD18" t="s">
        <v>238</v>
      </c>
      <c r="BE18" t="s">
        <v>1645</v>
      </c>
      <c r="BF18" t="s">
        <v>57</v>
      </c>
      <c r="BH18" t="s">
        <v>23</v>
      </c>
      <c r="BI18" t="s">
        <v>1662</v>
      </c>
      <c r="BJ18" s="87" t="s">
        <v>22</v>
      </c>
      <c r="BK18">
        <v>44444</v>
      </c>
      <c r="BL18" t="s">
        <v>56</v>
      </c>
      <c r="BM18" t="s">
        <v>1646</v>
      </c>
      <c r="BN18" t="s">
        <v>234</v>
      </c>
      <c r="BO18" t="s">
        <v>234</v>
      </c>
      <c r="BP18" t="s">
        <v>234</v>
      </c>
      <c r="IF18" t="s">
        <v>1645</v>
      </c>
      <c r="IG18" s="84" t="s">
        <v>1665</v>
      </c>
      <c r="IH18" t="s">
        <v>660</v>
      </c>
      <c r="II18" t="s">
        <v>661</v>
      </c>
      <c r="IJ18" t="s">
        <v>836</v>
      </c>
      <c r="IK18" t="s">
        <v>836</v>
      </c>
      <c r="IL18" s="87" t="s">
        <v>29</v>
      </c>
      <c r="JH18" t="s">
        <v>1663</v>
      </c>
      <c r="JI18" t="s">
        <v>15</v>
      </c>
      <c r="JJ18" t="s">
        <v>14</v>
      </c>
      <c r="JK18" s="8" t="s">
        <v>1664</v>
      </c>
      <c r="JN18" t="s">
        <v>13</v>
      </c>
      <c r="JO18">
        <v>40</v>
      </c>
      <c r="JP18">
        <v>50</v>
      </c>
      <c r="KD18" t="s">
        <v>12</v>
      </c>
      <c r="MR18" t="s">
        <v>1640</v>
      </c>
      <c r="MS18">
        <v>36</v>
      </c>
      <c r="MT18" t="s">
        <v>1647</v>
      </c>
      <c r="MV18" t="s">
        <v>168</v>
      </c>
      <c r="MW18" t="s">
        <v>1673</v>
      </c>
      <c r="MX18" t="s">
        <v>1674</v>
      </c>
      <c r="NC18" t="s">
        <v>1678</v>
      </c>
      <c r="ND18" t="s">
        <v>1642</v>
      </c>
      <c r="NE18" t="s">
        <v>1670</v>
      </c>
      <c r="NF18" s="4" t="s">
        <v>266</v>
      </c>
      <c r="NG18" t="s">
        <v>265</v>
      </c>
      <c r="NO18" s="78"/>
      <c r="NP18" t="s">
        <v>6</v>
      </c>
      <c r="NQ18">
        <v>940.4</v>
      </c>
      <c r="NR18" s="4" t="s">
        <v>4</v>
      </c>
      <c r="NS18">
        <v>56</v>
      </c>
      <c r="NV18">
        <v>4</v>
      </c>
      <c r="OG18" t="s">
        <v>1657</v>
      </c>
      <c r="OH18" s="87" t="s">
        <v>2</v>
      </c>
      <c r="OI18">
        <v>2008</v>
      </c>
      <c r="OL18" t="s">
        <v>1666</v>
      </c>
      <c r="ON18" t="s">
        <v>1169</v>
      </c>
      <c r="OO18" s="58">
        <v>46105</v>
      </c>
    </row>
    <row r="19" spans="1:405" ht="15.75" thickBot="1">
      <c r="A19" t="s">
        <v>248</v>
      </c>
      <c r="B19" t="s">
        <v>1870</v>
      </c>
      <c r="C19" t="s">
        <v>34</v>
      </c>
      <c r="D19" s="100" t="s">
        <v>31</v>
      </c>
      <c r="E19" s="90" t="s">
        <v>1658</v>
      </c>
      <c r="F19" s="100" t="s">
        <v>31</v>
      </c>
      <c r="G19" s="87" t="s">
        <v>2</v>
      </c>
      <c r="H19" s="87" t="s">
        <v>30</v>
      </c>
      <c r="I19">
        <v>-0.41666666699999999</v>
      </c>
      <c r="J19">
        <v>34.200000000000003</v>
      </c>
      <c r="K19" s="87" t="s">
        <v>29</v>
      </c>
      <c r="N19" t="s">
        <v>2103</v>
      </c>
      <c r="O19" t="s">
        <v>2104</v>
      </c>
      <c r="P19">
        <v>100</v>
      </c>
      <c r="Q19" s="9">
        <v>1400</v>
      </c>
      <c r="R19">
        <v>10.37</v>
      </c>
      <c r="S19">
        <v>76.984999999999999</v>
      </c>
      <c r="T19">
        <v>500</v>
      </c>
      <c r="U19" t="s">
        <v>2093</v>
      </c>
      <c r="V19" t="s">
        <v>2105</v>
      </c>
      <c r="AV19" t="s">
        <v>1661</v>
      </c>
      <c r="AW19">
        <v>44</v>
      </c>
      <c r="AX19" t="s">
        <v>234</v>
      </c>
      <c r="AY19">
        <v>1</v>
      </c>
      <c r="AZ19" t="s">
        <v>1668</v>
      </c>
      <c r="BA19">
        <v>2007</v>
      </c>
      <c r="BB19">
        <v>2008</v>
      </c>
      <c r="BD19" t="s">
        <v>238</v>
      </c>
      <c r="BE19" t="s">
        <v>1648</v>
      </c>
      <c r="BF19" t="s">
        <v>48</v>
      </c>
      <c r="BH19" t="s">
        <v>23</v>
      </c>
      <c r="BI19" t="s">
        <v>1662</v>
      </c>
      <c r="BJ19" s="87" t="s">
        <v>22</v>
      </c>
      <c r="BK19">
        <v>44444</v>
      </c>
      <c r="BL19" t="s">
        <v>56</v>
      </c>
      <c r="BM19" t="s">
        <v>1659</v>
      </c>
      <c r="BN19" t="s">
        <v>1660</v>
      </c>
      <c r="BO19" s="87" t="s">
        <v>22</v>
      </c>
      <c r="BP19">
        <v>44444</v>
      </c>
      <c r="BQ19" t="s">
        <v>56</v>
      </c>
      <c r="BR19" t="s">
        <v>1646</v>
      </c>
      <c r="BS19" t="s">
        <v>234</v>
      </c>
      <c r="BT19" t="s">
        <v>234</v>
      </c>
      <c r="BU19" t="s">
        <v>234</v>
      </c>
      <c r="IF19" t="s">
        <v>1648</v>
      </c>
      <c r="IG19" s="84" t="s">
        <v>1665</v>
      </c>
      <c r="IH19" t="s">
        <v>660</v>
      </c>
      <c r="II19" t="s">
        <v>661</v>
      </c>
      <c r="IJ19" t="s">
        <v>836</v>
      </c>
      <c r="IK19" t="s">
        <v>836</v>
      </c>
      <c r="IL19" s="87" t="s">
        <v>29</v>
      </c>
      <c r="JH19" t="s">
        <v>1663</v>
      </c>
      <c r="JI19" t="s">
        <v>15</v>
      </c>
      <c r="JJ19" t="s">
        <v>14</v>
      </c>
      <c r="JK19" s="8" t="s">
        <v>1664</v>
      </c>
      <c r="JN19" t="s">
        <v>13</v>
      </c>
      <c r="JO19">
        <v>40</v>
      </c>
      <c r="JP19">
        <v>50</v>
      </c>
      <c r="KD19" t="s">
        <v>12</v>
      </c>
      <c r="MR19" t="s">
        <v>1640</v>
      </c>
      <c r="MS19">
        <v>36</v>
      </c>
      <c r="MT19" t="s">
        <v>1649</v>
      </c>
      <c r="MV19" t="s">
        <v>168</v>
      </c>
      <c r="MW19" t="s">
        <v>1671</v>
      </c>
      <c r="MX19" t="s">
        <v>1673</v>
      </c>
      <c r="MY19" t="s">
        <v>1674</v>
      </c>
      <c r="NC19" t="s">
        <v>1678</v>
      </c>
      <c r="ND19" t="s">
        <v>1642</v>
      </c>
      <c r="NE19" t="s">
        <v>1670</v>
      </c>
      <c r="NF19" s="4" t="s">
        <v>266</v>
      </c>
      <c r="NG19" t="s">
        <v>265</v>
      </c>
      <c r="NO19" s="78"/>
      <c r="NP19" t="s">
        <v>6</v>
      </c>
      <c r="NQ19">
        <v>934.9</v>
      </c>
      <c r="NR19" s="4" t="s">
        <v>4</v>
      </c>
      <c r="NS19">
        <v>58</v>
      </c>
      <c r="NV19">
        <v>4</v>
      </c>
      <c r="OG19" t="s">
        <v>1657</v>
      </c>
      <c r="OH19" s="87" t="s">
        <v>2</v>
      </c>
      <c r="OI19">
        <v>2008</v>
      </c>
      <c r="OL19" t="s">
        <v>1666</v>
      </c>
      <c r="ON19" t="s">
        <v>1169</v>
      </c>
      <c r="OO19" s="58">
        <v>46105</v>
      </c>
    </row>
    <row r="20" spans="1:405" ht="15.75" thickBot="1">
      <c r="A20" t="s">
        <v>248</v>
      </c>
      <c r="B20" t="s">
        <v>1870</v>
      </c>
      <c r="C20" t="s">
        <v>34</v>
      </c>
      <c r="D20" s="100" t="s">
        <v>31</v>
      </c>
      <c r="E20" s="90" t="s">
        <v>1658</v>
      </c>
      <c r="F20" s="100" t="s">
        <v>31</v>
      </c>
      <c r="G20" s="87" t="s">
        <v>2</v>
      </c>
      <c r="H20" s="87" t="s">
        <v>30</v>
      </c>
      <c r="I20">
        <v>-0.41666666699999999</v>
      </c>
      <c r="J20">
        <v>34.200000000000003</v>
      </c>
      <c r="K20" s="87" t="s">
        <v>29</v>
      </c>
      <c r="N20" t="s">
        <v>2106</v>
      </c>
      <c r="O20" t="s">
        <v>2107</v>
      </c>
      <c r="P20">
        <v>92</v>
      </c>
      <c r="Q20" s="9">
        <v>1120</v>
      </c>
      <c r="R20">
        <v>10.33</v>
      </c>
      <c r="S20">
        <v>76.965000000000003</v>
      </c>
      <c r="T20">
        <v>500</v>
      </c>
      <c r="U20" t="s">
        <v>2093</v>
      </c>
      <c r="V20" t="s">
        <v>2108</v>
      </c>
      <c r="AV20" t="s">
        <v>1661</v>
      </c>
      <c r="AW20">
        <v>45</v>
      </c>
      <c r="AX20" t="s">
        <v>234</v>
      </c>
      <c r="AY20">
        <v>1</v>
      </c>
      <c r="AZ20" t="s">
        <v>1668</v>
      </c>
      <c r="BA20">
        <v>2007</v>
      </c>
      <c r="BB20">
        <v>2008</v>
      </c>
      <c r="BD20" t="s">
        <v>238</v>
      </c>
      <c r="BE20" t="s">
        <v>1650</v>
      </c>
      <c r="BF20" t="s">
        <v>43</v>
      </c>
      <c r="BH20" t="s">
        <v>23</v>
      </c>
      <c r="BI20" t="s">
        <v>1662</v>
      </c>
      <c r="BJ20" s="87" t="s">
        <v>22</v>
      </c>
      <c r="BK20">
        <v>44444</v>
      </c>
      <c r="BL20" t="s">
        <v>56</v>
      </c>
      <c r="BM20" t="s">
        <v>1659</v>
      </c>
      <c r="BN20" t="s">
        <v>1660</v>
      </c>
      <c r="BO20" s="87" t="s">
        <v>22</v>
      </c>
      <c r="BP20">
        <v>44444</v>
      </c>
      <c r="BQ20" t="s">
        <v>56</v>
      </c>
      <c r="BR20" t="s">
        <v>1646</v>
      </c>
      <c r="BS20" t="s">
        <v>234</v>
      </c>
      <c r="BT20" t="s">
        <v>234</v>
      </c>
      <c r="BU20" t="s">
        <v>234</v>
      </c>
      <c r="IF20" t="s">
        <v>1650</v>
      </c>
      <c r="IG20" s="84" t="s">
        <v>1665</v>
      </c>
      <c r="IH20" t="s">
        <v>660</v>
      </c>
      <c r="II20" t="s">
        <v>661</v>
      </c>
      <c r="IJ20" t="s">
        <v>836</v>
      </c>
      <c r="IK20" t="s">
        <v>836</v>
      </c>
      <c r="IL20" s="87" t="s">
        <v>29</v>
      </c>
      <c r="JH20" t="s">
        <v>1663</v>
      </c>
      <c r="JI20" t="s">
        <v>15</v>
      </c>
      <c r="JJ20" t="s">
        <v>14</v>
      </c>
      <c r="JK20" s="8" t="s">
        <v>1664</v>
      </c>
      <c r="JN20" t="s">
        <v>13</v>
      </c>
      <c r="JO20">
        <v>40</v>
      </c>
      <c r="JP20">
        <v>50</v>
      </c>
      <c r="KD20" t="s">
        <v>12</v>
      </c>
      <c r="MR20" t="s">
        <v>1640</v>
      </c>
      <c r="MS20">
        <v>36</v>
      </c>
      <c r="MT20" t="s">
        <v>1649</v>
      </c>
      <c r="MV20" t="s">
        <v>168</v>
      </c>
      <c r="MW20" t="s">
        <v>1671</v>
      </c>
      <c r="MX20" t="s">
        <v>1673</v>
      </c>
      <c r="MY20" t="s">
        <v>1674</v>
      </c>
      <c r="NC20" t="s">
        <v>1678</v>
      </c>
      <c r="ND20" t="s">
        <v>1642</v>
      </c>
      <c r="NE20" t="s">
        <v>1670</v>
      </c>
      <c r="NF20" s="4" t="s">
        <v>266</v>
      </c>
      <c r="NG20" t="s">
        <v>265</v>
      </c>
      <c r="NO20" s="78"/>
      <c r="NP20" t="s">
        <v>6</v>
      </c>
      <c r="NQ20">
        <v>1032</v>
      </c>
      <c r="NR20" s="4" t="s">
        <v>4</v>
      </c>
      <c r="NS20">
        <v>109</v>
      </c>
      <c r="NV20">
        <v>4</v>
      </c>
      <c r="OG20" t="s">
        <v>1657</v>
      </c>
      <c r="OH20" s="87" t="s">
        <v>2</v>
      </c>
      <c r="OI20">
        <v>2008</v>
      </c>
      <c r="OL20" t="s">
        <v>1666</v>
      </c>
      <c r="ON20" t="s">
        <v>1169</v>
      </c>
      <c r="OO20" s="58">
        <v>46105</v>
      </c>
    </row>
    <row r="21" spans="1:405" ht="15.75" thickBot="1">
      <c r="A21" t="s">
        <v>248</v>
      </c>
      <c r="B21" t="s">
        <v>1870</v>
      </c>
      <c r="C21" t="s">
        <v>34</v>
      </c>
      <c r="D21" s="100" t="s">
        <v>31</v>
      </c>
      <c r="E21" s="90" t="s">
        <v>1658</v>
      </c>
      <c r="F21" s="100" t="s">
        <v>31</v>
      </c>
      <c r="G21" s="87" t="s">
        <v>2</v>
      </c>
      <c r="H21" s="87" t="s">
        <v>30</v>
      </c>
      <c r="I21">
        <v>-0.41666666699999999</v>
      </c>
      <c r="J21">
        <v>34.200000000000003</v>
      </c>
      <c r="K21" s="87" t="s">
        <v>29</v>
      </c>
      <c r="N21" t="s">
        <v>2109</v>
      </c>
      <c r="O21" t="s">
        <v>2110</v>
      </c>
      <c r="P21">
        <v>56</v>
      </c>
      <c r="Q21">
        <v>995</v>
      </c>
      <c r="R21">
        <v>10.308299999999999</v>
      </c>
      <c r="S21">
        <v>76.899900000000002</v>
      </c>
      <c r="T21">
        <v>500</v>
      </c>
      <c r="U21" t="s">
        <v>2093</v>
      </c>
      <c r="V21" t="s">
        <v>2111</v>
      </c>
      <c r="AV21" t="s">
        <v>1661</v>
      </c>
      <c r="AW21">
        <v>46</v>
      </c>
      <c r="AX21" t="s">
        <v>234</v>
      </c>
      <c r="AY21">
        <v>1</v>
      </c>
      <c r="AZ21" t="s">
        <v>1669</v>
      </c>
      <c r="BA21">
        <v>2007</v>
      </c>
      <c r="BB21">
        <v>2008</v>
      </c>
      <c r="BD21" t="s">
        <v>19</v>
      </c>
      <c r="BE21" t="s">
        <v>1651</v>
      </c>
      <c r="BF21" t="s">
        <v>24</v>
      </c>
      <c r="BH21" t="s">
        <v>23</v>
      </c>
      <c r="BI21" t="s">
        <v>1662</v>
      </c>
      <c r="BJ21" s="87" t="s">
        <v>22</v>
      </c>
      <c r="BK21">
        <v>44444</v>
      </c>
      <c r="IF21" t="s">
        <v>1651</v>
      </c>
      <c r="IG21" t="s">
        <v>19</v>
      </c>
      <c r="JH21" t="s">
        <v>1663</v>
      </c>
      <c r="JI21" t="s">
        <v>15</v>
      </c>
      <c r="JJ21" t="s">
        <v>14</v>
      </c>
      <c r="JK21" s="8" t="s">
        <v>1664</v>
      </c>
      <c r="JN21" t="s">
        <v>13</v>
      </c>
      <c r="JO21">
        <v>40</v>
      </c>
      <c r="JP21">
        <v>50</v>
      </c>
      <c r="KD21" t="s">
        <v>12</v>
      </c>
      <c r="MR21" t="s">
        <v>1640</v>
      </c>
      <c r="MS21">
        <v>36</v>
      </c>
      <c r="MT21" t="s">
        <v>1641</v>
      </c>
      <c r="MV21" t="s">
        <v>168</v>
      </c>
      <c r="NC21" t="s">
        <v>1677</v>
      </c>
      <c r="ND21" t="s">
        <v>1642</v>
      </c>
      <c r="NE21" t="s">
        <v>1670</v>
      </c>
      <c r="NF21" s="4" t="s">
        <v>266</v>
      </c>
      <c r="NG21" t="s">
        <v>265</v>
      </c>
      <c r="NO21" s="78" t="s">
        <v>743</v>
      </c>
      <c r="NP21" t="s">
        <v>6</v>
      </c>
      <c r="NQ21">
        <v>91.2</v>
      </c>
      <c r="NR21" s="4" t="s">
        <v>4</v>
      </c>
      <c r="NS21">
        <v>19</v>
      </c>
      <c r="NV21">
        <v>4</v>
      </c>
      <c r="OG21" t="s">
        <v>1683</v>
      </c>
      <c r="OH21" s="87" t="s">
        <v>2</v>
      </c>
      <c r="OI21">
        <v>2007</v>
      </c>
      <c r="OL21" t="s">
        <v>1666</v>
      </c>
      <c r="ON21" t="s">
        <v>1169</v>
      </c>
      <c r="OO21" s="58">
        <v>46105</v>
      </c>
    </row>
    <row r="22" spans="1:405" ht="15.75" thickBot="1">
      <c r="A22" t="s">
        <v>248</v>
      </c>
      <c r="B22" t="s">
        <v>1870</v>
      </c>
      <c r="C22" t="s">
        <v>34</v>
      </c>
      <c r="D22" s="100" t="s">
        <v>31</v>
      </c>
      <c r="E22" s="90" t="s">
        <v>1658</v>
      </c>
      <c r="F22" s="100" t="s">
        <v>31</v>
      </c>
      <c r="G22" s="87" t="s">
        <v>2</v>
      </c>
      <c r="H22" s="87" t="s">
        <v>30</v>
      </c>
      <c r="I22">
        <v>-0.41666666699999999</v>
      </c>
      <c r="J22">
        <v>34.200000000000003</v>
      </c>
      <c r="K22" s="87" t="s">
        <v>29</v>
      </c>
      <c r="N22" t="s">
        <v>2112</v>
      </c>
      <c r="O22" t="s">
        <v>2113</v>
      </c>
      <c r="P22">
        <v>19.100000000000001</v>
      </c>
      <c r="Q22">
        <v>992</v>
      </c>
      <c r="R22">
        <v>10.31</v>
      </c>
      <c r="S22">
        <v>76.94</v>
      </c>
      <c r="T22">
        <v>300</v>
      </c>
      <c r="U22" t="s">
        <v>2097</v>
      </c>
      <c r="V22" t="s">
        <v>2114</v>
      </c>
      <c r="AV22" t="s">
        <v>1661</v>
      </c>
      <c r="AW22">
        <v>47</v>
      </c>
      <c r="AX22" t="s">
        <v>234</v>
      </c>
      <c r="AY22">
        <v>1</v>
      </c>
      <c r="AZ22" t="s">
        <v>1669</v>
      </c>
      <c r="BA22">
        <v>2007</v>
      </c>
      <c r="BB22">
        <v>2008</v>
      </c>
      <c r="BD22" t="s">
        <v>238</v>
      </c>
      <c r="BE22" t="s">
        <v>1652</v>
      </c>
      <c r="BF22" t="s">
        <v>252</v>
      </c>
      <c r="BH22" t="s">
        <v>23</v>
      </c>
      <c r="BI22" t="s">
        <v>1662</v>
      </c>
      <c r="BJ22" s="87" t="s">
        <v>22</v>
      </c>
      <c r="BK22">
        <v>44444</v>
      </c>
      <c r="BL22" t="s">
        <v>56</v>
      </c>
      <c r="BM22" t="s">
        <v>1659</v>
      </c>
      <c r="BN22" t="s">
        <v>1660</v>
      </c>
      <c r="BO22" s="87" t="s">
        <v>22</v>
      </c>
      <c r="BP22">
        <v>44444</v>
      </c>
      <c r="IF22" t="s">
        <v>1652</v>
      </c>
      <c r="IG22" s="84" t="s">
        <v>1443</v>
      </c>
      <c r="IH22" t="s">
        <v>660</v>
      </c>
      <c r="II22" t="s">
        <v>661</v>
      </c>
      <c r="IJ22" t="s">
        <v>836</v>
      </c>
      <c r="IK22" t="s">
        <v>836</v>
      </c>
      <c r="IL22" s="87" t="s">
        <v>29</v>
      </c>
      <c r="JH22" t="s">
        <v>1663</v>
      </c>
      <c r="JI22" t="s">
        <v>15</v>
      </c>
      <c r="JJ22" t="s">
        <v>14</v>
      </c>
      <c r="JK22" s="8" t="s">
        <v>1664</v>
      </c>
      <c r="JN22" t="s">
        <v>13</v>
      </c>
      <c r="JO22">
        <v>40</v>
      </c>
      <c r="JP22">
        <v>50</v>
      </c>
      <c r="KD22" t="s">
        <v>12</v>
      </c>
      <c r="MR22" t="s">
        <v>1640</v>
      </c>
      <c r="MS22">
        <v>36</v>
      </c>
      <c r="MT22" t="s">
        <v>1644</v>
      </c>
      <c r="MV22" t="s">
        <v>168</v>
      </c>
      <c r="MW22" t="s">
        <v>1671</v>
      </c>
      <c r="NC22" t="s">
        <v>1678</v>
      </c>
      <c r="ND22" t="s">
        <v>1642</v>
      </c>
      <c r="NE22" t="s">
        <v>1670</v>
      </c>
      <c r="NF22" s="4" t="s">
        <v>266</v>
      </c>
      <c r="NG22" t="s">
        <v>265</v>
      </c>
      <c r="NO22" s="78"/>
      <c r="NP22" t="s">
        <v>6</v>
      </c>
      <c r="NQ22">
        <v>123.4</v>
      </c>
      <c r="NR22" s="4" t="s">
        <v>4</v>
      </c>
      <c r="NS22">
        <v>49</v>
      </c>
      <c r="NV22">
        <v>4</v>
      </c>
      <c r="OG22" t="s">
        <v>1683</v>
      </c>
      <c r="OH22" s="87" t="s">
        <v>2</v>
      </c>
      <c r="OI22">
        <v>2007</v>
      </c>
      <c r="OL22" t="s">
        <v>1666</v>
      </c>
      <c r="ON22" t="s">
        <v>1169</v>
      </c>
      <c r="OO22" s="58">
        <v>46105</v>
      </c>
    </row>
    <row r="23" spans="1:405" ht="15.75" thickBot="1">
      <c r="A23" t="s">
        <v>248</v>
      </c>
      <c r="B23" t="s">
        <v>1870</v>
      </c>
      <c r="C23" t="s">
        <v>34</v>
      </c>
      <c r="D23" s="100" t="s">
        <v>31</v>
      </c>
      <c r="E23" s="90" t="s">
        <v>1658</v>
      </c>
      <c r="F23" s="100" t="s">
        <v>31</v>
      </c>
      <c r="G23" s="87" t="s">
        <v>2</v>
      </c>
      <c r="H23" s="87" t="s">
        <v>30</v>
      </c>
      <c r="I23">
        <v>-0.41666666699999999</v>
      </c>
      <c r="J23">
        <v>34.200000000000003</v>
      </c>
      <c r="K23" s="87" t="s">
        <v>29</v>
      </c>
      <c r="N23" t="s">
        <v>2115</v>
      </c>
      <c r="O23" t="s">
        <v>2116</v>
      </c>
      <c r="P23">
        <v>32.6</v>
      </c>
      <c r="Q23">
        <v>980</v>
      </c>
      <c r="R23">
        <v>10.3512</v>
      </c>
      <c r="S23">
        <v>76.938400000000001</v>
      </c>
      <c r="T23">
        <v>400</v>
      </c>
      <c r="U23" t="s">
        <v>2093</v>
      </c>
      <c r="V23" t="s">
        <v>2117</v>
      </c>
      <c r="AV23" t="s">
        <v>1661</v>
      </c>
      <c r="AW23">
        <v>48</v>
      </c>
      <c r="AX23" t="s">
        <v>234</v>
      </c>
      <c r="AY23">
        <v>1</v>
      </c>
      <c r="AZ23" t="s">
        <v>1669</v>
      </c>
      <c r="BA23">
        <v>2007</v>
      </c>
      <c r="BB23">
        <v>2008</v>
      </c>
      <c r="BD23" t="s">
        <v>238</v>
      </c>
      <c r="BE23" t="s">
        <v>1653</v>
      </c>
      <c r="BF23" t="s">
        <v>236</v>
      </c>
      <c r="BH23" t="s">
        <v>23</v>
      </c>
      <c r="BI23" t="s">
        <v>1662</v>
      </c>
      <c r="BJ23" s="87" t="s">
        <v>22</v>
      </c>
      <c r="BK23">
        <v>44444</v>
      </c>
      <c r="BL23" t="s">
        <v>56</v>
      </c>
      <c r="BM23" t="s">
        <v>1646</v>
      </c>
      <c r="BN23" t="s">
        <v>234</v>
      </c>
      <c r="BO23" t="s">
        <v>234</v>
      </c>
      <c r="BP23" t="s">
        <v>234</v>
      </c>
      <c r="IF23" t="s">
        <v>1653</v>
      </c>
      <c r="IG23" s="84" t="s">
        <v>1665</v>
      </c>
      <c r="IH23" t="s">
        <v>660</v>
      </c>
      <c r="II23" t="s">
        <v>661</v>
      </c>
      <c r="IJ23" t="s">
        <v>836</v>
      </c>
      <c r="IK23" t="s">
        <v>836</v>
      </c>
      <c r="IL23" s="87" t="s">
        <v>29</v>
      </c>
      <c r="JH23" t="s">
        <v>1663</v>
      </c>
      <c r="JI23" t="s">
        <v>15</v>
      </c>
      <c r="JJ23" t="s">
        <v>14</v>
      </c>
      <c r="JK23" s="8" t="s">
        <v>1664</v>
      </c>
      <c r="JN23" t="s">
        <v>13</v>
      </c>
      <c r="JO23">
        <v>40</v>
      </c>
      <c r="JP23">
        <v>50</v>
      </c>
      <c r="KD23" t="s">
        <v>12</v>
      </c>
      <c r="MR23" t="s">
        <v>1640</v>
      </c>
      <c r="MS23">
        <v>36</v>
      </c>
      <c r="MT23" t="s">
        <v>1647</v>
      </c>
      <c r="MV23" t="s">
        <v>168</v>
      </c>
      <c r="MW23" t="s">
        <v>1673</v>
      </c>
      <c r="MX23" t="s">
        <v>1674</v>
      </c>
      <c r="NC23" t="s">
        <v>1678</v>
      </c>
      <c r="ND23" t="s">
        <v>1642</v>
      </c>
      <c r="NE23" t="s">
        <v>1670</v>
      </c>
      <c r="NF23" s="4" t="s">
        <v>266</v>
      </c>
      <c r="NG23" t="s">
        <v>265</v>
      </c>
      <c r="NO23" s="78"/>
      <c r="NP23" t="s">
        <v>6</v>
      </c>
      <c r="NQ23">
        <v>1272.8</v>
      </c>
      <c r="NR23" s="4" t="s">
        <v>4</v>
      </c>
      <c r="NS23">
        <v>58</v>
      </c>
      <c r="NV23">
        <v>4</v>
      </c>
      <c r="OG23" t="s">
        <v>1683</v>
      </c>
      <c r="OH23" s="87" t="s">
        <v>2</v>
      </c>
      <c r="OI23">
        <v>2007</v>
      </c>
      <c r="OL23" t="s">
        <v>1666</v>
      </c>
      <c r="ON23" t="s">
        <v>1169</v>
      </c>
      <c r="OO23" s="58">
        <v>46105</v>
      </c>
    </row>
    <row r="24" spans="1:405" ht="15.75" thickBot="1">
      <c r="A24" t="s">
        <v>248</v>
      </c>
      <c r="B24" t="s">
        <v>1870</v>
      </c>
      <c r="C24" t="s">
        <v>34</v>
      </c>
      <c r="D24" s="100" t="s">
        <v>31</v>
      </c>
      <c r="E24" s="90" t="s">
        <v>1658</v>
      </c>
      <c r="F24" s="100" t="s">
        <v>31</v>
      </c>
      <c r="G24" s="87" t="s">
        <v>2</v>
      </c>
      <c r="H24" s="87" t="s">
        <v>30</v>
      </c>
      <c r="I24">
        <v>-0.41666666699999999</v>
      </c>
      <c r="J24">
        <v>34.200000000000003</v>
      </c>
      <c r="K24" s="87" t="s">
        <v>29</v>
      </c>
      <c r="N24" t="s">
        <v>2118</v>
      </c>
      <c r="O24" t="s">
        <v>2119</v>
      </c>
      <c r="P24">
        <v>88</v>
      </c>
      <c r="Q24" s="9">
        <v>1032</v>
      </c>
      <c r="R24">
        <v>10.279</v>
      </c>
      <c r="S24">
        <v>76.8874</v>
      </c>
      <c r="T24">
        <v>500</v>
      </c>
      <c r="U24" t="s">
        <v>2093</v>
      </c>
      <c r="V24" t="s">
        <v>2120</v>
      </c>
      <c r="AV24" t="s">
        <v>1661</v>
      </c>
      <c r="AW24">
        <v>49</v>
      </c>
      <c r="AX24" t="s">
        <v>234</v>
      </c>
      <c r="AY24">
        <v>1</v>
      </c>
      <c r="AZ24" t="s">
        <v>1669</v>
      </c>
      <c r="BA24">
        <v>2007</v>
      </c>
      <c r="BB24">
        <v>2008</v>
      </c>
      <c r="BD24" t="s">
        <v>238</v>
      </c>
      <c r="BE24" t="s">
        <v>1654</v>
      </c>
      <c r="BF24" t="s">
        <v>284</v>
      </c>
      <c r="BH24" t="s">
        <v>23</v>
      </c>
      <c r="BI24" t="s">
        <v>1662</v>
      </c>
      <c r="BJ24" s="87" t="s">
        <v>22</v>
      </c>
      <c r="BK24">
        <v>44444</v>
      </c>
      <c r="BL24" t="s">
        <v>56</v>
      </c>
      <c r="BM24" t="s">
        <v>1659</v>
      </c>
      <c r="BN24" t="s">
        <v>1660</v>
      </c>
      <c r="BO24" s="87" t="s">
        <v>22</v>
      </c>
      <c r="BP24">
        <v>44444</v>
      </c>
      <c r="BQ24" t="s">
        <v>56</v>
      </c>
      <c r="BR24" t="s">
        <v>1646</v>
      </c>
      <c r="BS24" t="s">
        <v>234</v>
      </c>
      <c r="BT24" t="s">
        <v>234</v>
      </c>
      <c r="BU24" t="s">
        <v>234</v>
      </c>
      <c r="IF24" t="s">
        <v>1654</v>
      </c>
      <c r="IG24" s="84" t="s">
        <v>1665</v>
      </c>
      <c r="IH24" t="s">
        <v>660</v>
      </c>
      <c r="II24" t="s">
        <v>661</v>
      </c>
      <c r="IJ24" t="s">
        <v>836</v>
      </c>
      <c r="IK24" t="s">
        <v>836</v>
      </c>
      <c r="IL24" s="87" t="s">
        <v>29</v>
      </c>
      <c r="JH24" t="s">
        <v>1663</v>
      </c>
      <c r="JI24" t="s">
        <v>15</v>
      </c>
      <c r="JJ24" t="s">
        <v>14</v>
      </c>
      <c r="JK24" s="8" t="s">
        <v>1664</v>
      </c>
      <c r="JN24" t="s">
        <v>13</v>
      </c>
      <c r="JO24">
        <v>40</v>
      </c>
      <c r="JP24">
        <v>50</v>
      </c>
      <c r="KD24" t="s">
        <v>12</v>
      </c>
      <c r="MR24" t="s">
        <v>1640</v>
      </c>
      <c r="MS24">
        <v>36</v>
      </c>
      <c r="MT24" t="s">
        <v>1649</v>
      </c>
      <c r="MV24" t="s">
        <v>168</v>
      </c>
      <c r="MW24" t="s">
        <v>1671</v>
      </c>
      <c r="MX24" t="s">
        <v>1673</v>
      </c>
      <c r="MY24" t="s">
        <v>1674</v>
      </c>
      <c r="NC24" t="s">
        <v>1678</v>
      </c>
      <c r="ND24" t="s">
        <v>1642</v>
      </c>
      <c r="NE24" t="s">
        <v>1670</v>
      </c>
      <c r="NF24" s="4" t="s">
        <v>266</v>
      </c>
      <c r="NG24" t="s">
        <v>265</v>
      </c>
      <c r="NO24" s="78"/>
      <c r="NP24" t="s">
        <v>6</v>
      </c>
      <c r="NQ24">
        <v>1265.2</v>
      </c>
      <c r="NR24" s="4" t="s">
        <v>4</v>
      </c>
      <c r="NS24">
        <v>14</v>
      </c>
      <c r="NV24">
        <v>4</v>
      </c>
      <c r="OG24" t="s">
        <v>1683</v>
      </c>
      <c r="OH24" s="87" t="s">
        <v>2</v>
      </c>
      <c r="OI24">
        <v>2007</v>
      </c>
      <c r="OL24" t="s">
        <v>1666</v>
      </c>
      <c r="ON24" t="s">
        <v>1169</v>
      </c>
      <c r="OO24" s="58">
        <v>46105</v>
      </c>
    </row>
    <row r="25" spans="1:405" ht="15.75" thickBot="1">
      <c r="A25" t="s">
        <v>248</v>
      </c>
      <c r="B25" t="s">
        <v>1870</v>
      </c>
      <c r="C25" t="s">
        <v>34</v>
      </c>
      <c r="D25" s="100" t="s">
        <v>31</v>
      </c>
      <c r="E25" s="90" t="s">
        <v>1658</v>
      </c>
      <c r="F25" s="100" t="s">
        <v>31</v>
      </c>
      <c r="G25" s="87" t="s">
        <v>2</v>
      </c>
      <c r="H25" s="87" t="s">
        <v>30</v>
      </c>
      <c r="I25">
        <v>-0.41666666699999999</v>
      </c>
      <c r="J25">
        <v>34.200000000000003</v>
      </c>
      <c r="K25" s="87" t="s">
        <v>29</v>
      </c>
      <c r="N25" t="s">
        <v>2121</v>
      </c>
      <c r="O25" t="s">
        <v>2122</v>
      </c>
      <c r="P25">
        <v>11</v>
      </c>
      <c r="Q25">
        <v>975</v>
      </c>
      <c r="R25">
        <v>10.345000000000001</v>
      </c>
      <c r="S25">
        <v>76.924999999999997</v>
      </c>
      <c r="T25">
        <v>300</v>
      </c>
      <c r="U25" t="s">
        <v>2097</v>
      </c>
      <c r="V25" t="s">
        <v>2123</v>
      </c>
      <c r="AV25" t="s">
        <v>1661</v>
      </c>
      <c r="AW25">
        <v>50</v>
      </c>
      <c r="AX25" t="s">
        <v>234</v>
      </c>
      <c r="AY25">
        <v>1</v>
      </c>
      <c r="AZ25" t="s">
        <v>1669</v>
      </c>
      <c r="BA25">
        <v>2007</v>
      </c>
      <c r="BB25">
        <v>2008</v>
      </c>
      <c r="BD25" t="s">
        <v>238</v>
      </c>
      <c r="BE25" t="s">
        <v>1655</v>
      </c>
      <c r="BF25" t="s">
        <v>277</v>
      </c>
      <c r="BH25" t="s">
        <v>23</v>
      </c>
      <c r="BI25" t="s">
        <v>1662</v>
      </c>
      <c r="BJ25" s="87" t="s">
        <v>22</v>
      </c>
      <c r="BK25">
        <v>44444</v>
      </c>
      <c r="BL25" t="s">
        <v>56</v>
      </c>
      <c r="BM25" t="s">
        <v>1659</v>
      </c>
      <c r="BN25" t="s">
        <v>1660</v>
      </c>
      <c r="BO25" s="87" t="s">
        <v>22</v>
      </c>
      <c r="BP25">
        <v>44444</v>
      </c>
      <c r="BQ25" t="s">
        <v>56</v>
      </c>
      <c r="BR25" t="s">
        <v>1646</v>
      </c>
      <c r="BS25" t="s">
        <v>234</v>
      </c>
      <c r="BT25" t="s">
        <v>234</v>
      </c>
      <c r="BU25" t="s">
        <v>234</v>
      </c>
      <c r="IF25" t="s">
        <v>1655</v>
      </c>
      <c r="IG25" s="84" t="s">
        <v>1665</v>
      </c>
      <c r="IH25" t="s">
        <v>660</v>
      </c>
      <c r="II25" t="s">
        <v>661</v>
      </c>
      <c r="IJ25" t="s">
        <v>836</v>
      </c>
      <c r="IK25" t="s">
        <v>836</v>
      </c>
      <c r="IL25" s="87" t="s">
        <v>29</v>
      </c>
      <c r="JH25" t="s">
        <v>1663</v>
      </c>
      <c r="JI25" t="s">
        <v>15</v>
      </c>
      <c r="JJ25" t="s">
        <v>14</v>
      </c>
      <c r="JK25" s="8" t="s">
        <v>1664</v>
      </c>
      <c r="JN25" t="s">
        <v>13</v>
      </c>
      <c r="JO25">
        <v>40</v>
      </c>
      <c r="JP25">
        <v>50</v>
      </c>
      <c r="KD25" t="s">
        <v>12</v>
      </c>
      <c r="MR25" t="s">
        <v>1640</v>
      </c>
      <c r="MS25">
        <v>36</v>
      </c>
      <c r="MT25" t="s">
        <v>1649</v>
      </c>
      <c r="MV25" t="s">
        <v>168</v>
      </c>
      <c r="MW25" t="s">
        <v>1671</v>
      </c>
      <c r="MX25" t="s">
        <v>1673</v>
      </c>
      <c r="MY25" t="s">
        <v>1674</v>
      </c>
      <c r="NC25" t="s">
        <v>1678</v>
      </c>
      <c r="ND25" t="s">
        <v>1642</v>
      </c>
      <c r="NE25" t="s">
        <v>1670</v>
      </c>
      <c r="NF25" s="4" t="s">
        <v>266</v>
      </c>
      <c r="NG25" t="s">
        <v>265</v>
      </c>
      <c r="NO25" s="78"/>
      <c r="NP25" t="s">
        <v>6</v>
      </c>
      <c r="NQ25">
        <v>1212.3</v>
      </c>
      <c r="NR25" s="4" t="s">
        <v>4</v>
      </c>
      <c r="NS25">
        <v>31</v>
      </c>
      <c r="NV25">
        <v>4</v>
      </c>
      <c r="OG25" t="s">
        <v>1683</v>
      </c>
      <c r="OH25" s="87" t="s">
        <v>2</v>
      </c>
      <c r="OI25">
        <v>2007</v>
      </c>
      <c r="OL25" t="s">
        <v>1666</v>
      </c>
      <c r="ON25" t="s">
        <v>1169</v>
      </c>
      <c r="OO25" s="58">
        <v>46105</v>
      </c>
    </row>
    <row r="26" spans="1:405" ht="15.75" thickBot="1">
      <c r="A26" t="s">
        <v>248</v>
      </c>
      <c r="B26" t="s">
        <v>1870</v>
      </c>
      <c r="C26" t="s">
        <v>34</v>
      </c>
      <c r="D26" s="100" t="s">
        <v>31</v>
      </c>
      <c r="E26" s="90" t="s">
        <v>1658</v>
      </c>
      <c r="F26" s="100" t="s">
        <v>31</v>
      </c>
      <c r="G26" s="87" t="s">
        <v>2</v>
      </c>
      <c r="H26" s="87" t="s">
        <v>30</v>
      </c>
      <c r="I26">
        <v>-0.41666666699999999</v>
      </c>
      <c r="J26">
        <v>34.200000000000003</v>
      </c>
      <c r="K26" s="87" t="s">
        <v>29</v>
      </c>
      <c r="N26" t="s">
        <v>2124</v>
      </c>
      <c r="O26" t="s">
        <v>2125</v>
      </c>
      <c r="P26">
        <v>83.8</v>
      </c>
      <c r="Q26" s="9">
        <v>1000</v>
      </c>
      <c r="R26">
        <v>10.29</v>
      </c>
      <c r="S26">
        <v>76.875</v>
      </c>
      <c r="T26">
        <v>600</v>
      </c>
      <c r="U26" t="s">
        <v>2097</v>
      </c>
      <c r="V26" t="s">
        <v>2126</v>
      </c>
      <c r="AV26" t="s">
        <v>1661</v>
      </c>
      <c r="AW26">
        <v>51</v>
      </c>
      <c r="AX26" t="s">
        <v>234</v>
      </c>
      <c r="AY26">
        <v>1</v>
      </c>
      <c r="AZ26" t="s">
        <v>1667</v>
      </c>
      <c r="BA26">
        <v>2007</v>
      </c>
      <c r="BB26">
        <v>2008</v>
      </c>
      <c r="BD26" t="s">
        <v>19</v>
      </c>
      <c r="BE26" t="s">
        <v>1651</v>
      </c>
      <c r="BF26" t="s">
        <v>24</v>
      </c>
      <c r="BH26" t="s">
        <v>23</v>
      </c>
      <c r="BI26" t="s">
        <v>1662</v>
      </c>
      <c r="BJ26" s="87" t="s">
        <v>22</v>
      </c>
      <c r="BK26">
        <v>44444</v>
      </c>
      <c r="IF26" t="s">
        <v>1651</v>
      </c>
      <c r="IG26" t="s">
        <v>19</v>
      </c>
      <c r="JH26" t="s">
        <v>1663</v>
      </c>
      <c r="JI26" t="s">
        <v>15</v>
      </c>
      <c r="JJ26" t="s">
        <v>14</v>
      </c>
      <c r="JK26" s="8" t="s">
        <v>1664</v>
      </c>
      <c r="JN26" t="s">
        <v>13</v>
      </c>
      <c r="JO26">
        <v>40</v>
      </c>
      <c r="JP26">
        <v>50</v>
      </c>
      <c r="KD26" t="s">
        <v>12</v>
      </c>
      <c r="MR26" t="s">
        <v>1640</v>
      </c>
      <c r="MS26">
        <v>36</v>
      </c>
      <c r="MT26" t="s">
        <v>1641</v>
      </c>
      <c r="MV26" t="s">
        <v>168</v>
      </c>
      <c r="NC26" t="s">
        <v>1677</v>
      </c>
      <c r="ND26" t="s">
        <v>1642</v>
      </c>
      <c r="NE26" t="s">
        <v>1670</v>
      </c>
      <c r="NF26" s="4" t="s">
        <v>266</v>
      </c>
      <c r="NG26" t="s">
        <v>265</v>
      </c>
      <c r="NO26" s="78" t="s">
        <v>743</v>
      </c>
      <c r="NP26" t="s">
        <v>6</v>
      </c>
      <c r="NQ26">
        <v>49.9</v>
      </c>
      <c r="NR26" s="4" t="s">
        <v>4</v>
      </c>
      <c r="NS26">
        <v>20</v>
      </c>
      <c r="NV26">
        <v>4</v>
      </c>
      <c r="OG26" t="s">
        <v>1682</v>
      </c>
      <c r="OH26" s="87" t="s">
        <v>2</v>
      </c>
      <c r="OI26">
        <v>2007</v>
      </c>
      <c r="OL26" t="s">
        <v>1656</v>
      </c>
      <c r="ON26" t="s">
        <v>1169</v>
      </c>
      <c r="OO26" s="58">
        <v>46105</v>
      </c>
    </row>
    <row r="27" spans="1:405" ht="15.75" thickBot="1">
      <c r="A27" t="s">
        <v>248</v>
      </c>
      <c r="B27" t="s">
        <v>1870</v>
      </c>
      <c r="C27" t="s">
        <v>34</v>
      </c>
      <c r="D27" s="100" t="s">
        <v>31</v>
      </c>
      <c r="E27" s="90" t="s">
        <v>1658</v>
      </c>
      <c r="F27" s="100" t="s">
        <v>31</v>
      </c>
      <c r="G27" s="87" t="s">
        <v>2</v>
      </c>
      <c r="H27" s="87" t="s">
        <v>30</v>
      </c>
      <c r="I27">
        <v>-0.41666666699999999</v>
      </c>
      <c r="J27">
        <v>34.200000000000003</v>
      </c>
      <c r="K27" s="87" t="s">
        <v>29</v>
      </c>
      <c r="N27" t="s">
        <v>2127</v>
      </c>
      <c r="O27" t="s">
        <v>2128</v>
      </c>
      <c r="P27">
        <v>100</v>
      </c>
      <c r="Q27">
        <v>980</v>
      </c>
      <c r="R27">
        <v>10.348000000000001</v>
      </c>
      <c r="S27">
        <v>76.935000000000002</v>
      </c>
      <c r="T27">
        <v>600</v>
      </c>
      <c r="U27" t="s">
        <v>2101</v>
      </c>
      <c r="V27" t="s">
        <v>2129</v>
      </c>
      <c r="AV27" t="s">
        <v>1661</v>
      </c>
      <c r="AW27">
        <v>52</v>
      </c>
      <c r="AX27" t="s">
        <v>234</v>
      </c>
      <c r="AY27">
        <v>1</v>
      </c>
      <c r="AZ27" t="s">
        <v>1667</v>
      </c>
      <c r="BA27">
        <v>2007</v>
      </c>
      <c r="BB27">
        <v>2008</v>
      </c>
      <c r="BD27" t="s">
        <v>238</v>
      </c>
      <c r="BE27" t="s">
        <v>1652</v>
      </c>
      <c r="BF27" t="s">
        <v>252</v>
      </c>
      <c r="BH27" t="s">
        <v>23</v>
      </c>
      <c r="BI27" t="s">
        <v>1662</v>
      </c>
      <c r="BJ27" s="87" t="s">
        <v>22</v>
      </c>
      <c r="BK27">
        <v>44444</v>
      </c>
      <c r="BL27" t="s">
        <v>56</v>
      </c>
      <c r="BM27" t="s">
        <v>1659</v>
      </c>
      <c r="BN27" t="s">
        <v>1660</v>
      </c>
      <c r="BO27" s="87" t="s">
        <v>22</v>
      </c>
      <c r="BP27">
        <v>44444</v>
      </c>
      <c r="EH27" s="9"/>
      <c r="EI27" s="9"/>
      <c r="EJ27" s="9"/>
      <c r="EK27" s="9"/>
      <c r="EL27" s="9"/>
      <c r="EM27" s="9"/>
      <c r="EN27" s="9"/>
      <c r="EO27" s="9"/>
      <c r="EP27" s="9"/>
      <c r="EQ27" s="9"/>
      <c r="ER27" s="9"/>
      <c r="ES27" s="9"/>
      <c r="ET27" s="9"/>
      <c r="EU27" s="9"/>
      <c r="EV27" s="9"/>
      <c r="EW27" s="9"/>
      <c r="EX27" s="9"/>
      <c r="EY27" s="9"/>
      <c r="EZ27" s="9"/>
      <c r="FA27" s="9"/>
      <c r="FB27" s="9"/>
      <c r="FC27" s="9"/>
      <c r="FD27" s="9"/>
      <c r="FE27" s="9"/>
      <c r="FF27" s="9"/>
      <c r="FG27" s="9"/>
      <c r="FH27" s="9"/>
      <c r="FI27" s="9"/>
      <c r="FJ27" s="9"/>
      <c r="FK27" s="9"/>
      <c r="FL27" s="9"/>
      <c r="FM27" s="9"/>
      <c r="FN27" s="9"/>
      <c r="FO27" s="9"/>
      <c r="FP27" s="9"/>
      <c r="FQ27" s="9"/>
      <c r="FR27" s="9"/>
      <c r="FS27" s="9"/>
      <c r="FT27" s="9"/>
      <c r="FU27" s="9"/>
      <c r="FV27" s="9"/>
      <c r="FW27" s="9"/>
      <c r="FX27" s="9"/>
      <c r="FY27" s="9"/>
      <c r="FZ27" s="9"/>
      <c r="GA27" s="9"/>
      <c r="GB27" s="9"/>
      <c r="GC27" s="9"/>
      <c r="GD27" s="9"/>
      <c r="GE27" s="9"/>
      <c r="GF27" s="9"/>
      <c r="GG27" s="9"/>
      <c r="GH27" s="9"/>
      <c r="GI27" s="9"/>
      <c r="GJ27" s="9"/>
      <c r="GK27" s="9"/>
      <c r="GL27" s="9"/>
      <c r="GM27" s="9"/>
      <c r="GN27" s="9"/>
      <c r="GO27" s="9"/>
      <c r="GP27" s="9"/>
      <c r="GQ27" s="9"/>
      <c r="GR27" s="9"/>
      <c r="GS27" s="9"/>
      <c r="GT27" s="9"/>
      <c r="GU27" s="9"/>
      <c r="GV27" s="9"/>
      <c r="GW27" s="9"/>
      <c r="GX27" s="9"/>
      <c r="GY27" s="9"/>
      <c r="GZ27" s="9"/>
      <c r="HA27" s="9"/>
      <c r="HB27" s="9"/>
      <c r="HC27" s="9"/>
      <c r="HD27" s="9"/>
      <c r="HE27" s="9"/>
      <c r="HF27" s="9"/>
      <c r="HG27" s="9"/>
      <c r="HH27" s="9"/>
      <c r="HI27" s="9"/>
      <c r="HJ27" s="9"/>
      <c r="HK27" s="9"/>
      <c r="HW27" s="58"/>
      <c r="IF27" t="s">
        <v>1652</v>
      </c>
      <c r="IG27" s="84" t="s">
        <v>1443</v>
      </c>
      <c r="IH27" t="s">
        <v>660</v>
      </c>
      <c r="II27" t="s">
        <v>661</v>
      </c>
      <c r="IJ27" t="s">
        <v>836</v>
      </c>
      <c r="IK27" t="s">
        <v>836</v>
      </c>
      <c r="IL27" s="87" t="s">
        <v>29</v>
      </c>
      <c r="JH27" t="s">
        <v>1663</v>
      </c>
      <c r="JI27" t="s">
        <v>15</v>
      </c>
      <c r="JJ27" t="s">
        <v>14</v>
      </c>
      <c r="JK27" s="8" t="s">
        <v>1664</v>
      </c>
      <c r="JN27" t="s">
        <v>13</v>
      </c>
      <c r="JO27">
        <v>40</v>
      </c>
      <c r="JP27">
        <v>50</v>
      </c>
      <c r="KD27" t="s">
        <v>12</v>
      </c>
      <c r="MR27" t="s">
        <v>1640</v>
      </c>
      <c r="MS27">
        <v>36</v>
      </c>
      <c r="MT27" t="s">
        <v>1644</v>
      </c>
      <c r="MV27" t="s">
        <v>168</v>
      </c>
      <c r="MW27" t="s">
        <v>1671</v>
      </c>
      <c r="NC27" t="s">
        <v>1678</v>
      </c>
      <c r="ND27" t="s">
        <v>1642</v>
      </c>
      <c r="NE27" t="s">
        <v>1670</v>
      </c>
      <c r="NF27" s="4" t="s">
        <v>266</v>
      </c>
      <c r="NG27" t="s">
        <v>265</v>
      </c>
      <c r="NO27" s="78"/>
      <c r="NP27" t="s">
        <v>6</v>
      </c>
      <c r="NQ27">
        <v>75.099999999999994</v>
      </c>
      <c r="NR27" s="4" t="s">
        <v>4</v>
      </c>
      <c r="NS27">
        <v>49</v>
      </c>
      <c r="NV27">
        <v>4</v>
      </c>
      <c r="OG27" t="s">
        <v>1682</v>
      </c>
      <c r="OH27" s="87" t="s">
        <v>2</v>
      </c>
      <c r="OI27">
        <v>2007</v>
      </c>
      <c r="OL27" t="s">
        <v>1656</v>
      </c>
      <c r="ON27" t="s">
        <v>1169</v>
      </c>
      <c r="OO27" s="58">
        <v>46105</v>
      </c>
    </row>
    <row r="28" spans="1:405" ht="15.75" thickBot="1">
      <c r="A28" t="s">
        <v>248</v>
      </c>
      <c r="B28" t="s">
        <v>1870</v>
      </c>
      <c r="C28" t="s">
        <v>34</v>
      </c>
      <c r="D28" s="100" t="s">
        <v>31</v>
      </c>
      <c r="E28" s="90" t="s">
        <v>1658</v>
      </c>
      <c r="F28" s="100" t="s">
        <v>31</v>
      </c>
      <c r="G28" s="87" t="s">
        <v>2</v>
      </c>
      <c r="H28" s="87" t="s">
        <v>30</v>
      </c>
      <c r="I28">
        <v>-0.41666666699999999</v>
      </c>
      <c r="J28">
        <v>34.200000000000003</v>
      </c>
      <c r="K28" s="87" t="s">
        <v>29</v>
      </c>
      <c r="AV28" t="s">
        <v>1661</v>
      </c>
      <c r="AW28">
        <v>53</v>
      </c>
      <c r="AX28" t="s">
        <v>234</v>
      </c>
      <c r="AY28">
        <v>1</v>
      </c>
      <c r="AZ28" t="s">
        <v>1667</v>
      </c>
      <c r="BA28">
        <v>2007</v>
      </c>
      <c r="BB28">
        <v>2008</v>
      </c>
      <c r="BD28" t="s">
        <v>238</v>
      </c>
      <c r="BE28" t="s">
        <v>1653</v>
      </c>
      <c r="BF28" t="s">
        <v>236</v>
      </c>
      <c r="BH28" t="s">
        <v>23</v>
      </c>
      <c r="BI28" t="s">
        <v>1662</v>
      </c>
      <c r="BJ28" s="87" t="s">
        <v>22</v>
      </c>
      <c r="BK28">
        <v>44444</v>
      </c>
      <c r="BL28" t="s">
        <v>56</v>
      </c>
      <c r="BM28" t="s">
        <v>1646</v>
      </c>
      <c r="BN28" t="s">
        <v>234</v>
      </c>
      <c r="BO28" t="s">
        <v>234</v>
      </c>
      <c r="BP28" t="s">
        <v>234</v>
      </c>
      <c r="EH28" s="9"/>
      <c r="EI28" s="9"/>
      <c r="EJ28" s="9"/>
      <c r="EK28" s="9"/>
      <c r="EL28" s="9"/>
      <c r="EM28" s="9"/>
      <c r="EN28" s="9"/>
      <c r="EO28" s="9"/>
      <c r="EP28" s="9"/>
      <c r="EQ28" s="9"/>
      <c r="ER28" s="9"/>
      <c r="ES28" s="9"/>
      <c r="ET28" s="9"/>
      <c r="EU28" s="9"/>
      <c r="EV28" s="9"/>
      <c r="EW28" s="9"/>
      <c r="EX28" s="9"/>
      <c r="EY28" s="9"/>
      <c r="EZ28" s="9"/>
      <c r="FA28" s="9"/>
      <c r="FB28" s="9"/>
      <c r="FC28" s="9"/>
      <c r="FD28" s="9"/>
      <c r="FE28" s="9"/>
      <c r="FF28" s="9"/>
      <c r="FG28" s="9"/>
      <c r="FH28" s="9"/>
      <c r="FI28" s="9"/>
      <c r="FJ28" s="9"/>
      <c r="FK28" s="9"/>
      <c r="FL28" s="9"/>
      <c r="FM28" s="9"/>
      <c r="FN28" s="9"/>
      <c r="FO28" s="9"/>
      <c r="FP28" s="9"/>
      <c r="FQ28" s="9"/>
      <c r="FR28" s="9"/>
      <c r="FS28" s="9"/>
      <c r="FT28" s="9"/>
      <c r="FU28" s="9"/>
      <c r="FV28" s="9"/>
      <c r="FW28" s="9"/>
      <c r="FX28" s="9"/>
      <c r="FY28" s="9"/>
      <c r="FZ28" s="9"/>
      <c r="GA28" s="9"/>
      <c r="GB28" s="9"/>
      <c r="GC28" s="9"/>
      <c r="GD28" s="9"/>
      <c r="GE28" s="9"/>
      <c r="GF28" s="9"/>
      <c r="GG28" s="9"/>
      <c r="GH28" s="9"/>
      <c r="GI28" s="9"/>
      <c r="GJ28" s="9"/>
      <c r="GK28" s="9"/>
      <c r="GL28" s="9"/>
      <c r="GM28" s="9"/>
      <c r="GN28" s="9"/>
      <c r="GO28" s="9"/>
      <c r="GP28" s="9"/>
      <c r="GQ28" s="9"/>
      <c r="GR28" s="9"/>
      <c r="GS28" s="9"/>
      <c r="GT28" s="9"/>
      <c r="GU28" s="9"/>
      <c r="GV28" s="9"/>
      <c r="GW28" s="9"/>
      <c r="GX28" s="9"/>
      <c r="GY28" s="9"/>
      <c r="GZ28" s="9"/>
      <c r="HA28" s="9"/>
      <c r="HB28" s="9"/>
      <c r="HC28" s="9"/>
      <c r="HD28" s="9"/>
      <c r="HE28" s="9"/>
      <c r="HF28" s="9"/>
      <c r="HG28" s="9"/>
      <c r="HH28" s="9"/>
      <c r="HI28" s="9"/>
      <c r="HJ28" s="9"/>
      <c r="HK28" s="9"/>
      <c r="HW28" s="58"/>
      <c r="IF28" t="s">
        <v>1653</v>
      </c>
      <c r="IG28" s="84" t="s">
        <v>1665</v>
      </c>
      <c r="IH28" t="s">
        <v>660</v>
      </c>
      <c r="II28" t="s">
        <v>661</v>
      </c>
      <c r="IJ28" t="s">
        <v>836</v>
      </c>
      <c r="IK28" t="s">
        <v>836</v>
      </c>
      <c r="IL28" s="87" t="s">
        <v>29</v>
      </c>
      <c r="JH28" t="s">
        <v>1663</v>
      </c>
      <c r="JI28" t="s">
        <v>15</v>
      </c>
      <c r="JJ28" t="s">
        <v>14</v>
      </c>
      <c r="JK28" s="8" t="s">
        <v>1664</v>
      </c>
      <c r="JN28" t="s">
        <v>13</v>
      </c>
      <c r="JO28">
        <v>40</v>
      </c>
      <c r="JP28">
        <v>50</v>
      </c>
      <c r="KD28" t="s">
        <v>12</v>
      </c>
      <c r="MR28" t="s">
        <v>1640</v>
      </c>
      <c r="MS28">
        <v>36</v>
      </c>
      <c r="MT28" t="s">
        <v>1647</v>
      </c>
      <c r="MV28" t="s">
        <v>168</v>
      </c>
      <c r="MW28" t="s">
        <v>1673</v>
      </c>
      <c r="MX28" t="s">
        <v>1674</v>
      </c>
      <c r="NC28" t="s">
        <v>1678</v>
      </c>
      <c r="ND28" t="s">
        <v>1642</v>
      </c>
      <c r="NE28" t="s">
        <v>1670</v>
      </c>
      <c r="NF28" s="4" t="s">
        <v>266</v>
      </c>
      <c r="NG28" t="s">
        <v>265</v>
      </c>
      <c r="NO28" s="78"/>
      <c r="NP28" t="s">
        <v>6</v>
      </c>
      <c r="NQ28">
        <v>1431.9</v>
      </c>
      <c r="NR28" s="4" t="s">
        <v>4</v>
      </c>
      <c r="NS28">
        <v>79</v>
      </c>
      <c r="NV28">
        <v>4</v>
      </c>
      <c r="OG28" t="s">
        <v>1682</v>
      </c>
      <c r="OH28" s="87" t="s">
        <v>2</v>
      </c>
      <c r="OI28">
        <v>2007</v>
      </c>
      <c r="OL28" t="s">
        <v>1656</v>
      </c>
      <c r="ON28" t="s">
        <v>1169</v>
      </c>
      <c r="OO28" s="58">
        <v>46105</v>
      </c>
    </row>
    <row r="29" spans="1:405" ht="15.75" thickBot="1">
      <c r="A29" t="s">
        <v>248</v>
      </c>
      <c r="B29" t="s">
        <v>1870</v>
      </c>
      <c r="C29" t="s">
        <v>34</v>
      </c>
      <c r="D29" s="100" t="s">
        <v>31</v>
      </c>
      <c r="E29" s="90" t="s">
        <v>1658</v>
      </c>
      <c r="F29" s="100" t="s">
        <v>31</v>
      </c>
      <c r="G29" s="87" t="s">
        <v>2</v>
      </c>
      <c r="H29" s="87" t="s">
        <v>30</v>
      </c>
      <c r="I29">
        <v>-0.41666666699999999</v>
      </c>
      <c r="J29">
        <v>34.200000000000003</v>
      </c>
      <c r="K29" s="87" t="s">
        <v>29</v>
      </c>
      <c r="AV29" t="s">
        <v>1661</v>
      </c>
      <c r="AW29">
        <v>54</v>
      </c>
      <c r="AX29" t="s">
        <v>234</v>
      </c>
      <c r="AY29">
        <v>1</v>
      </c>
      <c r="AZ29" t="s">
        <v>1667</v>
      </c>
      <c r="BA29">
        <v>2007</v>
      </c>
      <c r="BB29">
        <v>2008</v>
      </c>
      <c r="BD29" t="s">
        <v>238</v>
      </c>
      <c r="BE29" t="s">
        <v>1654</v>
      </c>
      <c r="BF29" t="s">
        <v>284</v>
      </c>
      <c r="BH29" t="s">
        <v>23</v>
      </c>
      <c r="BI29" t="s">
        <v>1662</v>
      </c>
      <c r="BJ29" s="87" t="s">
        <v>22</v>
      </c>
      <c r="BK29">
        <v>44444</v>
      </c>
      <c r="BL29" t="s">
        <v>56</v>
      </c>
      <c r="BM29" t="s">
        <v>1659</v>
      </c>
      <c r="BN29" t="s">
        <v>1660</v>
      </c>
      <c r="BO29" s="87" t="s">
        <v>22</v>
      </c>
      <c r="BP29">
        <v>44444</v>
      </c>
      <c r="BQ29" t="s">
        <v>56</v>
      </c>
      <c r="BR29" t="s">
        <v>1646</v>
      </c>
      <c r="BS29" t="s">
        <v>234</v>
      </c>
      <c r="BT29" t="s">
        <v>234</v>
      </c>
      <c r="BU29" t="s">
        <v>234</v>
      </c>
      <c r="EH29" s="9"/>
      <c r="EI29" s="9"/>
      <c r="EJ29" s="9"/>
      <c r="EK29" s="9"/>
      <c r="EL29" s="9"/>
      <c r="EM29" s="9"/>
      <c r="EN29" s="9"/>
      <c r="EO29" s="9"/>
      <c r="EP29" s="9"/>
      <c r="EQ29" s="9"/>
      <c r="ER29" s="9"/>
      <c r="ES29" s="9"/>
      <c r="ET29" s="9"/>
      <c r="EU29" s="9"/>
      <c r="EV29" s="9"/>
      <c r="EW29" s="9"/>
      <c r="EX29" s="9"/>
      <c r="EY29" s="9"/>
      <c r="EZ29" s="9"/>
      <c r="FA29" s="9"/>
      <c r="FB29" s="9"/>
      <c r="FC29" s="9"/>
      <c r="FD29" s="9"/>
      <c r="FE29" s="9"/>
      <c r="FF29" s="9"/>
      <c r="FG29" s="9"/>
      <c r="FH29" s="9"/>
      <c r="FI29" s="9"/>
      <c r="FJ29" s="9"/>
      <c r="FK29" s="9"/>
      <c r="FL29" s="9"/>
      <c r="FM29" s="9"/>
      <c r="FN29" s="9"/>
      <c r="FO29" s="9"/>
      <c r="FP29" s="9"/>
      <c r="FQ29" s="9"/>
      <c r="FR29" s="9"/>
      <c r="FS29" s="9"/>
      <c r="FT29" s="9"/>
      <c r="FU29" s="9"/>
      <c r="FV29" s="9"/>
      <c r="FW29" s="9"/>
      <c r="FX29" s="9"/>
      <c r="FY29" s="9"/>
      <c r="FZ29" s="9"/>
      <c r="GA29" s="9"/>
      <c r="GB29" s="9"/>
      <c r="GC29" s="9"/>
      <c r="GD29" s="9"/>
      <c r="GE29" s="9"/>
      <c r="GF29" s="9"/>
      <c r="GG29" s="9"/>
      <c r="GH29" s="9"/>
      <c r="GI29" s="9"/>
      <c r="GJ29" s="9"/>
      <c r="GK29" s="9"/>
      <c r="GL29" s="9"/>
      <c r="GM29" s="9"/>
      <c r="GN29" s="9"/>
      <c r="GO29" s="9"/>
      <c r="GP29" s="9"/>
      <c r="GQ29" s="9"/>
      <c r="GR29" s="9"/>
      <c r="GS29" s="9"/>
      <c r="GT29" s="9"/>
      <c r="GU29" s="9"/>
      <c r="GV29" s="9"/>
      <c r="GW29" s="9"/>
      <c r="GX29" s="9"/>
      <c r="GY29" s="9"/>
      <c r="GZ29" s="9"/>
      <c r="HA29" s="9"/>
      <c r="HB29" s="9"/>
      <c r="HC29" s="9"/>
      <c r="HD29" s="9"/>
      <c r="HE29" s="9"/>
      <c r="HF29" s="9"/>
      <c r="HG29" s="9"/>
      <c r="HH29" s="9"/>
      <c r="HI29" s="9"/>
      <c r="HJ29" s="9"/>
      <c r="HK29" s="9"/>
      <c r="HW29" s="58"/>
      <c r="IF29" t="s">
        <v>1654</v>
      </c>
      <c r="IG29" s="84" t="s">
        <v>1665</v>
      </c>
      <c r="IH29" t="s">
        <v>660</v>
      </c>
      <c r="II29" t="s">
        <v>661</v>
      </c>
      <c r="IJ29" t="s">
        <v>836</v>
      </c>
      <c r="IK29" t="s">
        <v>836</v>
      </c>
      <c r="IL29" s="87" t="s">
        <v>29</v>
      </c>
      <c r="JH29" t="s">
        <v>1663</v>
      </c>
      <c r="JI29" t="s">
        <v>15</v>
      </c>
      <c r="JJ29" t="s">
        <v>14</v>
      </c>
      <c r="JK29" s="8" t="s">
        <v>1664</v>
      </c>
      <c r="JN29" t="s">
        <v>13</v>
      </c>
      <c r="JO29">
        <v>40</v>
      </c>
      <c r="JP29">
        <v>50</v>
      </c>
      <c r="KD29" t="s">
        <v>12</v>
      </c>
      <c r="MR29" t="s">
        <v>1640</v>
      </c>
      <c r="MS29">
        <v>36</v>
      </c>
      <c r="MT29" t="s">
        <v>1649</v>
      </c>
      <c r="MV29" t="s">
        <v>168</v>
      </c>
      <c r="MW29" t="s">
        <v>1671</v>
      </c>
      <c r="MX29" t="s">
        <v>1673</v>
      </c>
      <c r="MY29" t="s">
        <v>1674</v>
      </c>
      <c r="NC29" t="s">
        <v>1678</v>
      </c>
      <c r="ND29" t="s">
        <v>1642</v>
      </c>
      <c r="NE29" t="s">
        <v>1670</v>
      </c>
      <c r="NF29" s="4" t="s">
        <v>266</v>
      </c>
      <c r="NG29" t="s">
        <v>265</v>
      </c>
      <c r="NO29" s="78"/>
      <c r="NP29" t="s">
        <v>6</v>
      </c>
      <c r="NQ29">
        <v>1454</v>
      </c>
      <c r="NR29" s="4" t="s">
        <v>4</v>
      </c>
      <c r="NS29">
        <v>59</v>
      </c>
      <c r="NV29">
        <v>4</v>
      </c>
      <c r="OG29" t="s">
        <v>1682</v>
      </c>
      <c r="OH29" s="87" t="s">
        <v>2</v>
      </c>
      <c r="OI29">
        <v>2007</v>
      </c>
      <c r="OL29" t="s">
        <v>1656</v>
      </c>
      <c r="ON29" t="s">
        <v>1169</v>
      </c>
      <c r="OO29" s="58">
        <v>46105</v>
      </c>
    </row>
    <row r="30" spans="1:405" ht="15.75" thickBot="1">
      <c r="A30" t="s">
        <v>248</v>
      </c>
      <c r="B30" t="s">
        <v>1870</v>
      </c>
      <c r="C30" t="s">
        <v>34</v>
      </c>
      <c r="D30" s="100" t="s">
        <v>31</v>
      </c>
      <c r="E30" s="90" t="s">
        <v>1658</v>
      </c>
      <c r="F30" s="100" t="s">
        <v>31</v>
      </c>
      <c r="G30" s="87" t="s">
        <v>2</v>
      </c>
      <c r="H30" s="87" t="s">
        <v>30</v>
      </c>
      <c r="I30">
        <v>-0.41666666699999999</v>
      </c>
      <c r="J30">
        <v>34.200000000000003</v>
      </c>
      <c r="K30" s="87" t="s">
        <v>29</v>
      </c>
      <c r="AV30" t="s">
        <v>1661</v>
      </c>
      <c r="AW30">
        <v>55</v>
      </c>
      <c r="AX30" t="s">
        <v>234</v>
      </c>
      <c r="AY30">
        <v>1</v>
      </c>
      <c r="AZ30" t="s">
        <v>1667</v>
      </c>
      <c r="BA30">
        <v>2007</v>
      </c>
      <c r="BB30">
        <v>2008</v>
      </c>
      <c r="BD30" t="s">
        <v>238</v>
      </c>
      <c r="BE30" t="s">
        <v>1655</v>
      </c>
      <c r="BF30" t="s">
        <v>277</v>
      </c>
      <c r="BH30" t="s">
        <v>23</v>
      </c>
      <c r="BI30" t="s">
        <v>1662</v>
      </c>
      <c r="BJ30" s="87" t="s">
        <v>22</v>
      </c>
      <c r="BK30">
        <v>44444</v>
      </c>
      <c r="BL30" t="s">
        <v>56</v>
      </c>
      <c r="BM30" t="s">
        <v>1659</v>
      </c>
      <c r="BN30" t="s">
        <v>1660</v>
      </c>
      <c r="BO30" s="87" t="s">
        <v>22</v>
      </c>
      <c r="BP30">
        <v>44444</v>
      </c>
      <c r="BQ30" t="s">
        <v>56</v>
      </c>
      <c r="BR30" t="s">
        <v>1646</v>
      </c>
      <c r="BS30" t="s">
        <v>234</v>
      </c>
      <c r="BT30" t="s">
        <v>234</v>
      </c>
      <c r="BU30" t="s">
        <v>234</v>
      </c>
      <c r="EH30" s="9"/>
      <c r="EI30" s="9"/>
      <c r="EJ30" s="9"/>
      <c r="EK30" s="9"/>
      <c r="EL30" s="9"/>
      <c r="EM30" s="9"/>
      <c r="EN30" s="9"/>
      <c r="EO30" s="9"/>
      <c r="EP30" s="9"/>
      <c r="EQ30" s="9"/>
      <c r="ER30" s="9"/>
      <c r="ES30" s="9"/>
      <c r="ET30" s="9"/>
      <c r="EU30" s="9"/>
      <c r="EV30" s="9"/>
      <c r="EW30" s="9"/>
      <c r="EX30" s="9"/>
      <c r="EY30" s="9"/>
      <c r="EZ30" s="9"/>
      <c r="FA30" s="9"/>
      <c r="FB30" s="9"/>
      <c r="FC30" s="9"/>
      <c r="FD30" s="9"/>
      <c r="FE30" s="9"/>
      <c r="FF30" s="9"/>
      <c r="FG30" s="9"/>
      <c r="FH30" s="9"/>
      <c r="FI30" s="9"/>
      <c r="FJ30" s="9"/>
      <c r="FK30" s="9"/>
      <c r="FL30" s="9"/>
      <c r="FM30" s="9"/>
      <c r="FN30" s="9"/>
      <c r="FO30" s="9"/>
      <c r="FP30" s="9"/>
      <c r="FQ30" s="9"/>
      <c r="FR30" s="9"/>
      <c r="FS30" s="9"/>
      <c r="FT30" s="9"/>
      <c r="FU30" s="9"/>
      <c r="FV30" s="9"/>
      <c r="FW30" s="9"/>
      <c r="FX30" s="9"/>
      <c r="FY30" s="9"/>
      <c r="FZ30" s="9"/>
      <c r="GA30" s="9"/>
      <c r="GB30" s="9"/>
      <c r="GC30" s="9"/>
      <c r="GD30" s="9"/>
      <c r="GE30" s="9"/>
      <c r="GF30" s="9"/>
      <c r="GG30" s="9"/>
      <c r="GH30" s="9"/>
      <c r="GI30" s="9"/>
      <c r="GJ30" s="9"/>
      <c r="GK30" s="9"/>
      <c r="GL30" s="9"/>
      <c r="GM30" s="9"/>
      <c r="GN30" s="9"/>
      <c r="GO30" s="9"/>
      <c r="GP30" s="9"/>
      <c r="GQ30" s="9"/>
      <c r="GR30" s="9"/>
      <c r="GS30" s="9"/>
      <c r="GT30" s="9"/>
      <c r="GU30" s="9"/>
      <c r="GV30" s="9"/>
      <c r="GW30" s="9"/>
      <c r="GX30" s="9"/>
      <c r="GY30" s="9"/>
      <c r="GZ30" s="9"/>
      <c r="HA30" s="9"/>
      <c r="HB30" s="9"/>
      <c r="HC30" s="9"/>
      <c r="HD30" s="9"/>
      <c r="HE30" s="9"/>
      <c r="HF30" s="9"/>
      <c r="HG30" s="9"/>
      <c r="HH30" s="9"/>
      <c r="HI30" s="9"/>
      <c r="HJ30" s="9"/>
      <c r="HK30" s="9"/>
      <c r="HW30" s="58"/>
      <c r="IF30" t="s">
        <v>1655</v>
      </c>
      <c r="IG30" s="84" t="s">
        <v>1665</v>
      </c>
      <c r="IH30" t="s">
        <v>660</v>
      </c>
      <c r="II30" t="s">
        <v>661</v>
      </c>
      <c r="IJ30" t="s">
        <v>836</v>
      </c>
      <c r="IK30" t="s">
        <v>836</v>
      </c>
      <c r="IL30" s="87" t="s">
        <v>29</v>
      </c>
      <c r="JH30" t="s">
        <v>1663</v>
      </c>
      <c r="JI30" t="s">
        <v>15</v>
      </c>
      <c r="JJ30" t="s">
        <v>14</v>
      </c>
      <c r="JK30" s="8" t="s">
        <v>1664</v>
      </c>
      <c r="JN30" t="s">
        <v>13</v>
      </c>
      <c r="JO30">
        <v>40</v>
      </c>
      <c r="JP30">
        <v>50</v>
      </c>
      <c r="KD30" t="s">
        <v>12</v>
      </c>
      <c r="MR30" t="s">
        <v>1640</v>
      </c>
      <c r="MS30">
        <v>36</v>
      </c>
      <c r="MT30" t="s">
        <v>1649</v>
      </c>
      <c r="MV30" t="s">
        <v>168</v>
      </c>
      <c r="MW30" t="s">
        <v>1671</v>
      </c>
      <c r="MX30" t="s">
        <v>1673</v>
      </c>
      <c r="MY30" t="s">
        <v>1674</v>
      </c>
      <c r="NC30" t="s">
        <v>1678</v>
      </c>
      <c r="ND30" t="s">
        <v>1642</v>
      </c>
      <c r="NE30" t="s">
        <v>1670</v>
      </c>
      <c r="NF30" s="4" t="s">
        <v>266</v>
      </c>
      <c r="NG30" t="s">
        <v>265</v>
      </c>
      <c r="NO30" s="78"/>
      <c r="NP30" t="s">
        <v>6</v>
      </c>
      <c r="NQ30">
        <v>1532</v>
      </c>
      <c r="NR30" s="4" t="s">
        <v>4</v>
      </c>
      <c r="NS30">
        <v>49</v>
      </c>
      <c r="NV30">
        <v>4</v>
      </c>
      <c r="OG30" t="s">
        <v>1682</v>
      </c>
      <c r="OH30" s="87" t="s">
        <v>2</v>
      </c>
      <c r="OI30">
        <v>2007</v>
      </c>
      <c r="OL30" t="s">
        <v>1656</v>
      </c>
      <c r="ON30" t="s">
        <v>1169</v>
      </c>
      <c r="OO30" s="58">
        <v>46105</v>
      </c>
    </row>
    <row r="31" spans="1:405" ht="15.75" thickBot="1">
      <c r="A31" t="s">
        <v>248</v>
      </c>
      <c r="B31" t="s">
        <v>1870</v>
      </c>
      <c r="C31" t="s">
        <v>34</v>
      </c>
      <c r="D31" s="100" t="s">
        <v>31</v>
      </c>
      <c r="E31" s="90" t="s">
        <v>1658</v>
      </c>
      <c r="F31" s="100" t="s">
        <v>31</v>
      </c>
      <c r="G31" s="87" t="s">
        <v>2</v>
      </c>
      <c r="H31" s="87" t="s">
        <v>30</v>
      </c>
      <c r="I31">
        <v>-0.41666666699999999</v>
      </c>
      <c r="J31">
        <v>34.200000000000003</v>
      </c>
      <c r="K31" s="87" t="s">
        <v>29</v>
      </c>
      <c r="AV31" t="s">
        <v>1661</v>
      </c>
      <c r="AW31">
        <v>36</v>
      </c>
      <c r="AX31" t="s">
        <v>234</v>
      </c>
      <c r="AY31">
        <v>1</v>
      </c>
      <c r="AZ31" t="s">
        <v>1667</v>
      </c>
      <c r="BA31">
        <v>2007</v>
      </c>
      <c r="BB31">
        <v>2008</v>
      </c>
      <c r="BD31" t="s">
        <v>19</v>
      </c>
      <c r="BE31" t="s">
        <v>1639</v>
      </c>
      <c r="BF31" t="s">
        <v>39</v>
      </c>
      <c r="BH31" t="s">
        <v>23</v>
      </c>
      <c r="BI31" t="s">
        <v>1662</v>
      </c>
      <c r="BJ31" s="87" t="s">
        <v>22</v>
      </c>
      <c r="BK31">
        <v>44444</v>
      </c>
      <c r="IF31" t="s">
        <v>1639</v>
      </c>
      <c r="IG31" t="s">
        <v>19</v>
      </c>
      <c r="JH31" t="s">
        <v>1663</v>
      </c>
      <c r="JI31" t="s">
        <v>15</v>
      </c>
      <c r="JJ31" t="s">
        <v>14</v>
      </c>
      <c r="JK31" s="8" t="s">
        <v>1664</v>
      </c>
      <c r="JN31" t="s">
        <v>13</v>
      </c>
      <c r="JO31">
        <v>40</v>
      </c>
      <c r="JP31">
        <v>50</v>
      </c>
      <c r="KD31" t="s">
        <v>12</v>
      </c>
      <c r="MR31" t="s">
        <v>1640</v>
      </c>
      <c r="MS31">
        <v>36</v>
      </c>
      <c r="MT31" t="s">
        <v>1641</v>
      </c>
      <c r="MV31" t="s">
        <v>168</v>
      </c>
      <c r="ND31" t="s">
        <v>1679</v>
      </c>
      <c r="NE31" t="s">
        <v>1680</v>
      </c>
      <c r="NF31" t="s">
        <v>1518</v>
      </c>
      <c r="NG31" t="s">
        <v>265</v>
      </c>
      <c r="NP31" t="s">
        <v>6</v>
      </c>
      <c r="NQ31">
        <v>672.8</v>
      </c>
      <c r="NR31" s="4" t="s">
        <v>4</v>
      </c>
      <c r="NS31">
        <v>11</v>
      </c>
      <c r="NV31">
        <v>4</v>
      </c>
      <c r="OG31" t="s">
        <v>1657</v>
      </c>
      <c r="OH31" s="87" t="s">
        <v>2</v>
      </c>
      <c r="OI31">
        <v>2007</v>
      </c>
      <c r="OL31" t="s">
        <v>1656</v>
      </c>
      <c r="ON31" t="s">
        <v>1169</v>
      </c>
      <c r="OO31" s="58">
        <v>46105</v>
      </c>
    </row>
    <row r="32" spans="1:405" ht="15.75" thickBot="1">
      <c r="A32" t="s">
        <v>248</v>
      </c>
      <c r="B32" t="s">
        <v>1870</v>
      </c>
      <c r="C32" t="s">
        <v>34</v>
      </c>
      <c r="D32" s="100" t="s">
        <v>31</v>
      </c>
      <c r="E32" s="90" t="s">
        <v>1658</v>
      </c>
      <c r="F32" s="100" t="s">
        <v>31</v>
      </c>
      <c r="G32" s="87" t="s">
        <v>2</v>
      </c>
      <c r="H32" s="87" t="s">
        <v>30</v>
      </c>
      <c r="I32">
        <v>-0.41666666699999999</v>
      </c>
      <c r="J32">
        <v>34.200000000000003</v>
      </c>
      <c r="K32" s="87" t="s">
        <v>29</v>
      </c>
      <c r="AV32" t="s">
        <v>1661</v>
      </c>
      <c r="AW32">
        <v>37</v>
      </c>
      <c r="AX32" t="s">
        <v>234</v>
      </c>
      <c r="AY32">
        <v>1</v>
      </c>
      <c r="AZ32" t="s">
        <v>1667</v>
      </c>
      <c r="BA32">
        <v>2007</v>
      </c>
      <c r="BB32">
        <v>2008</v>
      </c>
      <c r="BD32" t="s">
        <v>238</v>
      </c>
      <c r="BE32" t="s">
        <v>1643</v>
      </c>
      <c r="BF32" t="s">
        <v>64</v>
      </c>
      <c r="BH32" t="s">
        <v>23</v>
      </c>
      <c r="BI32" t="s">
        <v>1662</v>
      </c>
      <c r="BJ32" s="87" t="s">
        <v>22</v>
      </c>
      <c r="BK32">
        <v>44444</v>
      </c>
      <c r="BL32" t="s">
        <v>56</v>
      </c>
      <c r="BM32" t="s">
        <v>1659</v>
      </c>
      <c r="BN32" t="s">
        <v>1660</v>
      </c>
      <c r="BO32" s="87" t="s">
        <v>22</v>
      </c>
      <c r="BP32">
        <v>44444</v>
      </c>
      <c r="IF32" t="s">
        <v>1643</v>
      </c>
      <c r="IG32" s="84" t="s">
        <v>1443</v>
      </c>
      <c r="IH32" t="s">
        <v>660</v>
      </c>
      <c r="II32" t="s">
        <v>661</v>
      </c>
      <c r="IJ32" t="s">
        <v>836</v>
      </c>
      <c r="IK32" t="s">
        <v>836</v>
      </c>
      <c r="IL32" s="87" t="s">
        <v>29</v>
      </c>
      <c r="JH32" t="s">
        <v>1663</v>
      </c>
      <c r="JI32" t="s">
        <v>15</v>
      </c>
      <c r="JJ32" t="s">
        <v>14</v>
      </c>
      <c r="JK32" s="8" t="s">
        <v>1664</v>
      </c>
      <c r="JN32" t="s">
        <v>13</v>
      </c>
      <c r="JO32">
        <v>40</v>
      </c>
      <c r="JP32">
        <v>50</v>
      </c>
      <c r="KD32" t="s">
        <v>12</v>
      </c>
      <c r="MR32" t="s">
        <v>1640</v>
      </c>
      <c r="MS32">
        <v>36</v>
      </c>
      <c r="MT32" t="s">
        <v>1644</v>
      </c>
      <c r="MV32" t="s">
        <v>168</v>
      </c>
      <c r="MW32" t="s">
        <v>1671</v>
      </c>
      <c r="ND32" t="s">
        <v>1679</v>
      </c>
      <c r="NE32" t="s">
        <v>1680</v>
      </c>
      <c r="NF32" t="s">
        <v>1518</v>
      </c>
      <c r="NG32" t="s">
        <v>265</v>
      </c>
      <c r="NP32" t="s">
        <v>6</v>
      </c>
      <c r="NQ32">
        <v>1089.3</v>
      </c>
      <c r="NR32" s="4" t="s">
        <v>4</v>
      </c>
      <c r="NS32">
        <v>41</v>
      </c>
      <c r="NV32">
        <v>4</v>
      </c>
      <c r="OG32" t="s">
        <v>1657</v>
      </c>
      <c r="OH32" s="87" t="s">
        <v>2</v>
      </c>
      <c r="OI32">
        <v>2007</v>
      </c>
      <c r="OL32" t="s">
        <v>1656</v>
      </c>
      <c r="ON32" t="s">
        <v>1169</v>
      </c>
      <c r="OO32" s="58">
        <v>46105</v>
      </c>
    </row>
    <row r="33" spans="1:405" ht="15.75" thickBot="1">
      <c r="A33" t="s">
        <v>248</v>
      </c>
      <c r="B33" t="s">
        <v>1870</v>
      </c>
      <c r="C33" t="s">
        <v>34</v>
      </c>
      <c r="D33" s="100" t="s">
        <v>31</v>
      </c>
      <c r="E33" s="90" t="s">
        <v>1658</v>
      </c>
      <c r="F33" s="100" t="s">
        <v>31</v>
      </c>
      <c r="G33" s="87" t="s">
        <v>2</v>
      </c>
      <c r="H33" s="87" t="s">
        <v>30</v>
      </c>
      <c r="I33">
        <v>-0.41666666699999999</v>
      </c>
      <c r="J33">
        <v>34.200000000000003</v>
      </c>
      <c r="K33" s="87" t="s">
        <v>29</v>
      </c>
      <c r="AV33" t="s">
        <v>1661</v>
      </c>
      <c r="AW33">
        <v>38</v>
      </c>
      <c r="AX33" t="s">
        <v>234</v>
      </c>
      <c r="AY33">
        <v>1</v>
      </c>
      <c r="AZ33" t="s">
        <v>1667</v>
      </c>
      <c r="BA33">
        <v>2007</v>
      </c>
      <c r="BB33">
        <v>2008</v>
      </c>
      <c r="BD33" t="s">
        <v>238</v>
      </c>
      <c r="BE33" t="s">
        <v>1645</v>
      </c>
      <c r="BF33" t="s">
        <v>57</v>
      </c>
      <c r="BH33" t="s">
        <v>23</v>
      </c>
      <c r="BI33" t="s">
        <v>1662</v>
      </c>
      <c r="BJ33" s="87" t="s">
        <v>22</v>
      </c>
      <c r="BK33">
        <v>44444</v>
      </c>
      <c r="BL33" t="s">
        <v>56</v>
      </c>
      <c r="BM33" t="s">
        <v>1646</v>
      </c>
      <c r="BN33" t="s">
        <v>234</v>
      </c>
      <c r="BO33" t="s">
        <v>234</v>
      </c>
      <c r="BP33" t="s">
        <v>234</v>
      </c>
      <c r="IF33" t="s">
        <v>1645</v>
      </c>
      <c r="IG33" s="84" t="s">
        <v>1665</v>
      </c>
      <c r="IH33" t="s">
        <v>660</v>
      </c>
      <c r="II33" t="s">
        <v>661</v>
      </c>
      <c r="IJ33" t="s">
        <v>836</v>
      </c>
      <c r="IK33" t="s">
        <v>836</v>
      </c>
      <c r="IL33" s="87" t="s">
        <v>29</v>
      </c>
      <c r="JH33" t="s">
        <v>1663</v>
      </c>
      <c r="JI33" t="s">
        <v>15</v>
      </c>
      <c r="JJ33" t="s">
        <v>14</v>
      </c>
      <c r="JK33" s="8" t="s">
        <v>1664</v>
      </c>
      <c r="JN33" t="s">
        <v>13</v>
      </c>
      <c r="JO33">
        <v>40</v>
      </c>
      <c r="JP33">
        <v>50</v>
      </c>
      <c r="KD33" t="s">
        <v>12</v>
      </c>
      <c r="MR33" t="s">
        <v>1640</v>
      </c>
      <c r="MS33">
        <v>36</v>
      </c>
      <c r="MT33" t="s">
        <v>1647</v>
      </c>
      <c r="MV33" t="s">
        <v>168</v>
      </c>
      <c r="MW33" t="s">
        <v>1673</v>
      </c>
      <c r="MX33" t="s">
        <v>1674</v>
      </c>
      <c r="ND33" t="s">
        <v>1679</v>
      </c>
      <c r="NE33" t="s">
        <v>1680</v>
      </c>
      <c r="NF33" t="s">
        <v>1518</v>
      </c>
      <c r="NG33" t="s">
        <v>265</v>
      </c>
      <c r="NP33" t="s">
        <v>6</v>
      </c>
      <c r="NQ33">
        <v>1736.2</v>
      </c>
      <c r="NR33" s="4" t="s">
        <v>4</v>
      </c>
      <c r="NS33">
        <v>44</v>
      </c>
      <c r="NV33">
        <v>4</v>
      </c>
      <c r="OG33" t="s">
        <v>1657</v>
      </c>
      <c r="OH33" s="87" t="s">
        <v>2</v>
      </c>
      <c r="OI33">
        <v>2007</v>
      </c>
      <c r="OL33" t="s">
        <v>1656</v>
      </c>
      <c r="ON33" t="s">
        <v>1169</v>
      </c>
      <c r="OO33" s="58">
        <v>46105</v>
      </c>
    </row>
    <row r="34" spans="1:405" ht="15.75" thickBot="1">
      <c r="A34" t="s">
        <v>248</v>
      </c>
      <c r="B34" t="s">
        <v>1870</v>
      </c>
      <c r="C34" t="s">
        <v>34</v>
      </c>
      <c r="D34" s="100" t="s">
        <v>31</v>
      </c>
      <c r="E34" s="90" t="s">
        <v>1658</v>
      </c>
      <c r="F34" s="100" t="s">
        <v>31</v>
      </c>
      <c r="G34" s="87" t="s">
        <v>2</v>
      </c>
      <c r="H34" s="87" t="s">
        <v>30</v>
      </c>
      <c r="I34">
        <v>-0.41666666699999999</v>
      </c>
      <c r="J34">
        <v>34.200000000000003</v>
      </c>
      <c r="K34" s="87" t="s">
        <v>29</v>
      </c>
      <c r="AV34" t="s">
        <v>1661</v>
      </c>
      <c r="AW34">
        <v>39</v>
      </c>
      <c r="AX34" t="s">
        <v>234</v>
      </c>
      <c r="AY34">
        <v>1</v>
      </c>
      <c r="AZ34" t="s">
        <v>1667</v>
      </c>
      <c r="BA34">
        <v>2007</v>
      </c>
      <c r="BB34">
        <v>2008</v>
      </c>
      <c r="BD34" t="s">
        <v>238</v>
      </c>
      <c r="BE34" t="s">
        <v>1648</v>
      </c>
      <c r="BF34" t="s">
        <v>48</v>
      </c>
      <c r="BH34" t="s">
        <v>23</v>
      </c>
      <c r="BI34" t="s">
        <v>1662</v>
      </c>
      <c r="BJ34" s="87" t="s">
        <v>22</v>
      </c>
      <c r="BK34">
        <v>44444</v>
      </c>
      <c r="BL34" t="s">
        <v>56</v>
      </c>
      <c r="BM34" t="s">
        <v>1659</v>
      </c>
      <c r="BN34" t="s">
        <v>1660</v>
      </c>
      <c r="BO34" s="87" t="s">
        <v>22</v>
      </c>
      <c r="BP34">
        <v>44444</v>
      </c>
      <c r="BQ34" t="s">
        <v>56</v>
      </c>
      <c r="BR34" t="s">
        <v>1646</v>
      </c>
      <c r="BS34" t="s">
        <v>234</v>
      </c>
      <c r="BT34" t="s">
        <v>234</v>
      </c>
      <c r="BU34" t="s">
        <v>234</v>
      </c>
      <c r="IF34" t="s">
        <v>1648</v>
      </c>
      <c r="IG34" s="84" t="s">
        <v>1665</v>
      </c>
      <c r="IH34" t="s">
        <v>660</v>
      </c>
      <c r="II34" t="s">
        <v>661</v>
      </c>
      <c r="IJ34" t="s">
        <v>836</v>
      </c>
      <c r="IK34" t="s">
        <v>836</v>
      </c>
      <c r="IL34" s="87" t="s">
        <v>29</v>
      </c>
      <c r="JH34" t="s">
        <v>1663</v>
      </c>
      <c r="JI34" t="s">
        <v>15</v>
      </c>
      <c r="JJ34" t="s">
        <v>14</v>
      </c>
      <c r="JK34" s="8" t="s">
        <v>1664</v>
      </c>
      <c r="JN34" t="s">
        <v>13</v>
      </c>
      <c r="JO34">
        <v>40</v>
      </c>
      <c r="JP34">
        <v>50</v>
      </c>
      <c r="KD34" t="s">
        <v>12</v>
      </c>
      <c r="MR34" t="s">
        <v>1640</v>
      </c>
      <c r="MS34">
        <v>36</v>
      </c>
      <c r="MT34" t="s">
        <v>1649</v>
      </c>
      <c r="MV34" t="s">
        <v>168</v>
      </c>
      <c r="MW34" t="s">
        <v>1671</v>
      </c>
      <c r="MX34" t="s">
        <v>1673</v>
      </c>
      <c r="MY34" t="s">
        <v>1674</v>
      </c>
      <c r="ND34" t="s">
        <v>1679</v>
      </c>
      <c r="NE34" t="s">
        <v>1680</v>
      </c>
      <c r="NF34" t="s">
        <v>1518</v>
      </c>
      <c r="NG34" t="s">
        <v>265</v>
      </c>
      <c r="NP34" t="s">
        <v>6</v>
      </c>
      <c r="NQ34">
        <v>1739.7</v>
      </c>
      <c r="NR34" s="4" t="s">
        <v>4</v>
      </c>
      <c r="NS34">
        <v>28</v>
      </c>
      <c r="NV34">
        <v>4</v>
      </c>
      <c r="OG34" t="s">
        <v>1657</v>
      </c>
      <c r="OH34" s="87" t="s">
        <v>2</v>
      </c>
      <c r="OI34">
        <v>2007</v>
      </c>
      <c r="OL34" t="s">
        <v>1656</v>
      </c>
      <c r="ON34" t="s">
        <v>1169</v>
      </c>
      <c r="OO34" s="58">
        <v>46105</v>
      </c>
    </row>
    <row r="35" spans="1:405" ht="15.75" thickBot="1">
      <c r="A35" t="s">
        <v>248</v>
      </c>
      <c r="B35" t="s">
        <v>1870</v>
      </c>
      <c r="C35" t="s">
        <v>34</v>
      </c>
      <c r="D35" s="100" t="s">
        <v>31</v>
      </c>
      <c r="E35" s="90" t="s">
        <v>1658</v>
      </c>
      <c r="F35" s="100" t="s">
        <v>31</v>
      </c>
      <c r="G35" s="87" t="s">
        <v>2</v>
      </c>
      <c r="H35" s="87" t="s">
        <v>30</v>
      </c>
      <c r="I35">
        <v>-0.41666666699999999</v>
      </c>
      <c r="J35">
        <v>34.200000000000003</v>
      </c>
      <c r="K35" s="87" t="s">
        <v>29</v>
      </c>
      <c r="AV35" t="s">
        <v>1661</v>
      </c>
      <c r="AW35">
        <v>40</v>
      </c>
      <c r="AX35" t="s">
        <v>234</v>
      </c>
      <c r="AY35">
        <v>1</v>
      </c>
      <c r="AZ35" t="s">
        <v>1667</v>
      </c>
      <c r="BA35">
        <v>2007</v>
      </c>
      <c r="BB35">
        <v>2008</v>
      </c>
      <c r="BD35" t="s">
        <v>238</v>
      </c>
      <c r="BE35" t="s">
        <v>1672</v>
      </c>
      <c r="BF35" t="s">
        <v>43</v>
      </c>
      <c r="BH35" t="s">
        <v>23</v>
      </c>
      <c r="BI35" t="s">
        <v>1662</v>
      </c>
      <c r="BJ35" s="87" t="s">
        <v>22</v>
      </c>
      <c r="BK35">
        <v>44444</v>
      </c>
      <c r="BL35" t="s">
        <v>56</v>
      </c>
      <c r="BM35" t="s">
        <v>1659</v>
      </c>
      <c r="BN35" t="s">
        <v>1660</v>
      </c>
      <c r="BO35" s="87" t="s">
        <v>22</v>
      </c>
      <c r="BP35">
        <v>44444</v>
      </c>
      <c r="BQ35" t="s">
        <v>56</v>
      </c>
      <c r="BR35" t="s">
        <v>1646</v>
      </c>
      <c r="BS35" t="s">
        <v>234</v>
      </c>
      <c r="BT35" t="s">
        <v>234</v>
      </c>
      <c r="BU35" t="s">
        <v>234</v>
      </c>
      <c r="IF35" t="s">
        <v>1650</v>
      </c>
      <c r="IG35" s="84" t="s">
        <v>1665</v>
      </c>
      <c r="IH35" t="s">
        <v>660</v>
      </c>
      <c r="II35" t="s">
        <v>661</v>
      </c>
      <c r="IJ35" t="s">
        <v>836</v>
      </c>
      <c r="IK35" t="s">
        <v>836</v>
      </c>
      <c r="IL35" s="87" t="s">
        <v>29</v>
      </c>
      <c r="JH35" t="s">
        <v>1663</v>
      </c>
      <c r="JI35" t="s">
        <v>15</v>
      </c>
      <c r="JJ35" t="s">
        <v>14</v>
      </c>
      <c r="JK35" s="8" t="s">
        <v>1664</v>
      </c>
      <c r="JN35" t="s">
        <v>13</v>
      </c>
      <c r="JO35">
        <v>40</v>
      </c>
      <c r="JP35">
        <v>50</v>
      </c>
      <c r="KD35" t="s">
        <v>12</v>
      </c>
      <c r="MR35" t="s">
        <v>1640</v>
      </c>
      <c r="MS35">
        <v>36</v>
      </c>
      <c r="MT35" t="s">
        <v>1649</v>
      </c>
      <c r="MV35" t="s">
        <v>168</v>
      </c>
      <c r="MW35" t="s">
        <v>1671</v>
      </c>
      <c r="MX35" t="s">
        <v>1673</v>
      </c>
      <c r="MY35" t="s">
        <v>1674</v>
      </c>
      <c r="ND35" t="s">
        <v>1679</v>
      </c>
      <c r="NE35" t="s">
        <v>1680</v>
      </c>
      <c r="NF35" t="s">
        <v>1518</v>
      </c>
      <c r="NG35" t="s">
        <v>265</v>
      </c>
      <c r="NP35" t="s">
        <v>6</v>
      </c>
      <c r="NQ35">
        <v>2056.6999999999998</v>
      </c>
      <c r="NR35" s="4" t="s">
        <v>4</v>
      </c>
      <c r="NS35">
        <v>68</v>
      </c>
      <c r="NV35">
        <v>4</v>
      </c>
      <c r="OG35" t="s">
        <v>1657</v>
      </c>
      <c r="OH35" s="87" t="s">
        <v>2</v>
      </c>
      <c r="OI35">
        <v>2007</v>
      </c>
      <c r="OL35" t="s">
        <v>1656</v>
      </c>
      <c r="ON35" t="s">
        <v>1169</v>
      </c>
      <c r="OO35" s="58">
        <v>46105</v>
      </c>
    </row>
    <row r="36" spans="1:405" ht="15.75" thickBot="1">
      <c r="A36" t="s">
        <v>248</v>
      </c>
      <c r="B36" t="s">
        <v>1870</v>
      </c>
      <c r="C36" t="s">
        <v>34</v>
      </c>
      <c r="D36" s="100" t="s">
        <v>31</v>
      </c>
      <c r="E36" s="90" t="s">
        <v>1658</v>
      </c>
      <c r="F36" s="100" t="s">
        <v>31</v>
      </c>
      <c r="G36" s="87" t="s">
        <v>2</v>
      </c>
      <c r="H36" s="87" t="s">
        <v>30</v>
      </c>
      <c r="I36">
        <v>-0.41666666699999999</v>
      </c>
      <c r="J36">
        <v>34.200000000000003</v>
      </c>
      <c r="K36" s="87" t="s">
        <v>29</v>
      </c>
      <c r="AV36" t="s">
        <v>1661</v>
      </c>
      <c r="AW36">
        <v>41</v>
      </c>
      <c r="AX36" t="s">
        <v>234</v>
      </c>
      <c r="AY36">
        <v>1</v>
      </c>
      <c r="AZ36" t="s">
        <v>1668</v>
      </c>
      <c r="BA36">
        <v>2007</v>
      </c>
      <c r="BB36">
        <v>2008</v>
      </c>
      <c r="BD36" t="s">
        <v>19</v>
      </c>
      <c r="BE36" t="s">
        <v>1639</v>
      </c>
      <c r="BF36" t="s">
        <v>39</v>
      </c>
      <c r="BH36" t="s">
        <v>23</v>
      </c>
      <c r="BI36" t="s">
        <v>1662</v>
      </c>
      <c r="BJ36" s="87" t="s">
        <v>22</v>
      </c>
      <c r="BK36">
        <v>44444</v>
      </c>
      <c r="IF36" t="s">
        <v>1639</v>
      </c>
      <c r="IG36" t="s">
        <v>19</v>
      </c>
      <c r="JH36" t="s">
        <v>1663</v>
      </c>
      <c r="JI36" t="s">
        <v>15</v>
      </c>
      <c r="JJ36" t="s">
        <v>14</v>
      </c>
      <c r="JK36" s="8" t="s">
        <v>1664</v>
      </c>
      <c r="JN36" t="s">
        <v>13</v>
      </c>
      <c r="JO36">
        <v>40</v>
      </c>
      <c r="JP36">
        <v>50</v>
      </c>
      <c r="KD36" t="s">
        <v>12</v>
      </c>
      <c r="MR36" t="s">
        <v>1640</v>
      </c>
      <c r="MS36">
        <v>36</v>
      </c>
      <c r="MT36" t="s">
        <v>1641</v>
      </c>
      <c r="MV36" t="s">
        <v>168</v>
      </c>
      <c r="ND36" t="s">
        <v>1679</v>
      </c>
      <c r="NE36" t="s">
        <v>1680</v>
      </c>
      <c r="NF36" t="s">
        <v>1518</v>
      </c>
      <c r="NG36" t="s">
        <v>265</v>
      </c>
      <c r="NP36" t="s">
        <v>6</v>
      </c>
      <c r="NQ36">
        <v>667.7</v>
      </c>
      <c r="NR36" s="4" t="s">
        <v>4</v>
      </c>
      <c r="NS36">
        <v>77</v>
      </c>
      <c r="NV36">
        <v>4</v>
      </c>
      <c r="OG36" t="s">
        <v>1657</v>
      </c>
      <c r="OH36" s="87" t="s">
        <v>2</v>
      </c>
      <c r="OI36">
        <v>2008</v>
      </c>
      <c r="OL36" t="s">
        <v>1666</v>
      </c>
      <c r="ON36" t="s">
        <v>1169</v>
      </c>
      <c r="OO36" s="58">
        <v>46105</v>
      </c>
    </row>
    <row r="37" spans="1:405" ht="15.75" thickBot="1">
      <c r="A37" t="s">
        <v>248</v>
      </c>
      <c r="B37" t="s">
        <v>1870</v>
      </c>
      <c r="C37" t="s">
        <v>34</v>
      </c>
      <c r="D37" s="100" t="s">
        <v>31</v>
      </c>
      <c r="E37" s="90" t="s">
        <v>1658</v>
      </c>
      <c r="F37" s="100" t="s">
        <v>31</v>
      </c>
      <c r="G37" s="87" t="s">
        <v>2</v>
      </c>
      <c r="H37" s="87" t="s">
        <v>30</v>
      </c>
      <c r="I37">
        <v>-0.41666666699999999</v>
      </c>
      <c r="J37">
        <v>34.200000000000003</v>
      </c>
      <c r="K37" s="87" t="s">
        <v>29</v>
      </c>
      <c r="AV37" t="s">
        <v>1661</v>
      </c>
      <c r="AW37">
        <v>42</v>
      </c>
      <c r="AX37" t="s">
        <v>234</v>
      </c>
      <c r="AY37">
        <v>1</v>
      </c>
      <c r="AZ37" t="s">
        <v>1668</v>
      </c>
      <c r="BA37">
        <v>2007</v>
      </c>
      <c r="BB37">
        <v>2008</v>
      </c>
      <c r="BD37" t="s">
        <v>238</v>
      </c>
      <c r="BE37" t="s">
        <v>1643</v>
      </c>
      <c r="BF37" t="s">
        <v>64</v>
      </c>
      <c r="BH37" t="s">
        <v>23</v>
      </c>
      <c r="BI37" t="s">
        <v>1662</v>
      </c>
      <c r="BJ37" s="87" t="s">
        <v>22</v>
      </c>
      <c r="BK37">
        <v>44444</v>
      </c>
      <c r="BL37" t="s">
        <v>56</v>
      </c>
      <c r="BM37" t="s">
        <v>1659</v>
      </c>
      <c r="BN37" t="s">
        <v>1660</v>
      </c>
      <c r="BO37" s="87" t="s">
        <v>22</v>
      </c>
      <c r="BP37">
        <v>44444</v>
      </c>
      <c r="IF37" t="s">
        <v>1643</v>
      </c>
      <c r="IG37" s="84" t="s">
        <v>1443</v>
      </c>
      <c r="IH37" t="s">
        <v>660</v>
      </c>
      <c r="II37" t="s">
        <v>661</v>
      </c>
      <c r="IJ37" t="s">
        <v>836</v>
      </c>
      <c r="IK37" t="s">
        <v>836</v>
      </c>
      <c r="IL37" s="87" t="s">
        <v>29</v>
      </c>
      <c r="JH37" t="s">
        <v>1663</v>
      </c>
      <c r="JI37" t="s">
        <v>15</v>
      </c>
      <c r="JJ37" t="s">
        <v>14</v>
      </c>
      <c r="JK37" s="8" t="s">
        <v>1664</v>
      </c>
      <c r="JN37" t="s">
        <v>13</v>
      </c>
      <c r="JO37">
        <v>40</v>
      </c>
      <c r="JP37">
        <v>50</v>
      </c>
      <c r="KD37" t="s">
        <v>12</v>
      </c>
      <c r="MR37" t="s">
        <v>1640</v>
      </c>
      <c r="MS37">
        <v>36</v>
      </c>
      <c r="MT37" t="s">
        <v>1644</v>
      </c>
      <c r="MV37" t="s">
        <v>168</v>
      </c>
      <c r="MW37" t="s">
        <v>1671</v>
      </c>
      <c r="ND37" t="s">
        <v>1679</v>
      </c>
      <c r="NE37" t="s">
        <v>1680</v>
      </c>
      <c r="NF37" t="s">
        <v>1518</v>
      </c>
      <c r="NG37" t="s">
        <v>265</v>
      </c>
      <c r="NP37" t="s">
        <v>6</v>
      </c>
      <c r="NQ37">
        <v>990.6</v>
      </c>
      <c r="NR37" s="4" t="s">
        <v>4</v>
      </c>
      <c r="NS37">
        <v>103</v>
      </c>
      <c r="NV37">
        <v>4</v>
      </c>
      <c r="OG37" t="s">
        <v>1657</v>
      </c>
      <c r="OH37" s="87" t="s">
        <v>2</v>
      </c>
      <c r="OI37">
        <v>2008</v>
      </c>
      <c r="OL37" t="s">
        <v>1666</v>
      </c>
      <c r="ON37" t="s">
        <v>1169</v>
      </c>
      <c r="OO37" s="58">
        <v>46105</v>
      </c>
    </row>
    <row r="38" spans="1:405" ht="15.75" thickBot="1">
      <c r="A38" t="s">
        <v>248</v>
      </c>
      <c r="B38" t="s">
        <v>1870</v>
      </c>
      <c r="C38" t="s">
        <v>34</v>
      </c>
      <c r="D38" s="100" t="s">
        <v>31</v>
      </c>
      <c r="E38" s="90" t="s">
        <v>1658</v>
      </c>
      <c r="F38" s="100" t="s">
        <v>31</v>
      </c>
      <c r="G38" s="87" t="s">
        <v>2</v>
      </c>
      <c r="H38" s="87" t="s">
        <v>30</v>
      </c>
      <c r="I38">
        <v>-0.41666666699999999</v>
      </c>
      <c r="J38">
        <v>34.200000000000003</v>
      </c>
      <c r="K38" s="87" t="s">
        <v>29</v>
      </c>
      <c r="AV38" t="s">
        <v>1661</v>
      </c>
      <c r="AW38">
        <v>43</v>
      </c>
      <c r="AX38" t="s">
        <v>234</v>
      </c>
      <c r="AY38">
        <v>1</v>
      </c>
      <c r="AZ38" t="s">
        <v>1668</v>
      </c>
      <c r="BA38">
        <v>2007</v>
      </c>
      <c r="BB38">
        <v>2008</v>
      </c>
      <c r="BD38" t="s">
        <v>238</v>
      </c>
      <c r="BE38" t="s">
        <v>1645</v>
      </c>
      <c r="BF38" t="s">
        <v>57</v>
      </c>
      <c r="BH38" t="s">
        <v>23</v>
      </c>
      <c r="BI38" t="s">
        <v>1662</v>
      </c>
      <c r="BJ38" s="87" t="s">
        <v>22</v>
      </c>
      <c r="BK38">
        <v>44444</v>
      </c>
      <c r="BL38" t="s">
        <v>56</v>
      </c>
      <c r="BM38" t="s">
        <v>1646</v>
      </c>
      <c r="BN38" t="s">
        <v>234</v>
      </c>
      <c r="BO38" t="s">
        <v>234</v>
      </c>
      <c r="BP38" t="s">
        <v>234</v>
      </c>
      <c r="IF38" t="s">
        <v>1645</v>
      </c>
      <c r="IG38" s="84" t="s">
        <v>1665</v>
      </c>
      <c r="IH38" t="s">
        <v>660</v>
      </c>
      <c r="II38" t="s">
        <v>661</v>
      </c>
      <c r="IJ38" t="s">
        <v>836</v>
      </c>
      <c r="IK38" t="s">
        <v>836</v>
      </c>
      <c r="IL38" s="87" t="s">
        <v>29</v>
      </c>
      <c r="JH38" t="s">
        <v>1663</v>
      </c>
      <c r="JI38" t="s">
        <v>15</v>
      </c>
      <c r="JJ38" t="s">
        <v>14</v>
      </c>
      <c r="JK38" s="8" t="s">
        <v>1664</v>
      </c>
      <c r="JN38" t="s">
        <v>13</v>
      </c>
      <c r="JO38">
        <v>40</v>
      </c>
      <c r="JP38">
        <v>50</v>
      </c>
      <c r="KD38" t="s">
        <v>12</v>
      </c>
      <c r="MR38" t="s">
        <v>1640</v>
      </c>
      <c r="MS38">
        <v>36</v>
      </c>
      <c r="MT38" t="s">
        <v>1647</v>
      </c>
      <c r="MV38" t="s">
        <v>168</v>
      </c>
      <c r="MW38" t="s">
        <v>1673</v>
      </c>
      <c r="MX38" t="s">
        <v>1674</v>
      </c>
      <c r="ND38" t="s">
        <v>1679</v>
      </c>
      <c r="NE38" t="s">
        <v>1680</v>
      </c>
      <c r="NF38" t="s">
        <v>1518</v>
      </c>
      <c r="NG38" t="s">
        <v>265</v>
      </c>
      <c r="NP38" t="s">
        <v>6</v>
      </c>
      <c r="NQ38">
        <v>1967.3</v>
      </c>
      <c r="NR38" s="4" t="s">
        <v>4</v>
      </c>
      <c r="NS38">
        <v>54</v>
      </c>
      <c r="NV38">
        <v>4</v>
      </c>
      <c r="OG38" t="s">
        <v>1657</v>
      </c>
      <c r="OH38" s="87" t="s">
        <v>2</v>
      </c>
      <c r="OI38">
        <v>2008</v>
      </c>
      <c r="OL38" t="s">
        <v>1666</v>
      </c>
      <c r="ON38" t="s">
        <v>1169</v>
      </c>
      <c r="OO38" s="58">
        <v>46105</v>
      </c>
    </row>
    <row r="39" spans="1:405" ht="15.75" thickBot="1">
      <c r="A39" t="s">
        <v>248</v>
      </c>
      <c r="B39" t="s">
        <v>1870</v>
      </c>
      <c r="C39" t="s">
        <v>34</v>
      </c>
      <c r="D39" s="100" t="s">
        <v>31</v>
      </c>
      <c r="E39" s="90" t="s">
        <v>1658</v>
      </c>
      <c r="F39" s="100" t="s">
        <v>31</v>
      </c>
      <c r="G39" s="87" t="s">
        <v>2</v>
      </c>
      <c r="H39" s="87" t="s">
        <v>30</v>
      </c>
      <c r="I39">
        <v>-0.41666666699999999</v>
      </c>
      <c r="J39">
        <v>34.200000000000003</v>
      </c>
      <c r="K39" s="87" t="s">
        <v>29</v>
      </c>
      <c r="AV39" t="s">
        <v>1661</v>
      </c>
      <c r="AW39">
        <v>44</v>
      </c>
      <c r="AX39" t="s">
        <v>234</v>
      </c>
      <c r="AY39">
        <v>1</v>
      </c>
      <c r="AZ39" t="s">
        <v>1668</v>
      </c>
      <c r="BA39">
        <v>2007</v>
      </c>
      <c r="BB39">
        <v>2008</v>
      </c>
      <c r="BD39" t="s">
        <v>238</v>
      </c>
      <c r="BE39" t="s">
        <v>1648</v>
      </c>
      <c r="BF39" t="s">
        <v>48</v>
      </c>
      <c r="BH39" t="s">
        <v>23</v>
      </c>
      <c r="BI39" t="s">
        <v>1662</v>
      </c>
      <c r="BJ39" s="87" t="s">
        <v>22</v>
      </c>
      <c r="BK39">
        <v>44444</v>
      </c>
      <c r="BL39" t="s">
        <v>56</v>
      </c>
      <c r="BM39" t="s">
        <v>1659</v>
      </c>
      <c r="BN39" t="s">
        <v>1660</v>
      </c>
      <c r="BO39" s="87" t="s">
        <v>22</v>
      </c>
      <c r="BP39">
        <v>44444</v>
      </c>
      <c r="BQ39" t="s">
        <v>56</v>
      </c>
      <c r="BR39" t="s">
        <v>1646</v>
      </c>
      <c r="BS39" t="s">
        <v>234</v>
      </c>
      <c r="BT39" t="s">
        <v>234</v>
      </c>
      <c r="BU39" t="s">
        <v>234</v>
      </c>
      <c r="IF39" t="s">
        <v>1648</v>
      </c>
      <c r="IG39" s="84" t="s">
        <v>1665</v>
      </c>
      <c r="IH39" t="s">
        <v>660</v>
      </c>
      <c r="II39" t="s">
        <v>661</v>
      </c>
      <c r="IJ39" t="s">
        <v>836</v>
      </c>
      <c r="IK39" t="s">
        <v>836</v>
      </c>
      <c r="IL39" s="87" t="s">
        <v>29</v>
      </c>
      <c r="JH39" t="s">
        <v>1663</v>
      </c>
      <c r="JI39" t="s">
        <v>15</v>
      </c>
      <c r="JJ39" t="s">
        <v>14</v>
      </c>
      <c r="JK39" s="8" t="s">
        <v>1664</v>
      </c>
      <c r="JN39" t="s">
        <v>13</v>
      </c>
      <c r="JO39">
        <v>40</v>
      </c>
      <c r="JP39">
        <v>50</v>
      </c>
      <c r="KD39" t="s">
        <v>12</v>
      </c>
      <c r="MR39" t="s">
        <v>1640</v>
      </c>
      <c r="MS39">
        <v>36</v>
      </c>
      <c r="MT39" t="s">
        <v>1649</v>
      </c>
      <c r="MV39" t="s">
        <v>168</v>
      </c>
      <c r="MW39" t="s">
        <v>1671</v>
      </c>
      <c r="MX39" t="s">
        <v>1673</v>
      </c>
      <c r="MY39" t="s">
        <v>1674</v>
      </c>
      <c r="ND39" t="s">
        <v>1679</v>
      </c>
      <c r="NE39" t="s">
        <v>1680</v>
      </c>
      <c r="NF39" t="s">
        <v>1518</v>
      </c>
      <c r="NG39" t="s">
        <v>265</v>
      </c>
      <c r="NP39" t="s">
        <v>6</v>
      </c>
      <c r="NQ39">
        <v>2035.7</v>
      </c>
      <c r="NR39" s="4" t="s">
        <v>4</v>
      </c>
      <c r="NS39">
        <v>53</v>
      </c>
      <c r="NV39">
        <v>4</v>
      </c>
      <c r="OG39" t="s">
        <v>1657</v>
      </c>
      <c r="OH39" s="87" t="s">
        <v>2</v>
      </c>
      <c r="OI39">
        <v>2008</v>
      </c>
      <c r="OL39" t="s">
        <v>1666</v>
      </c>
      <c r="ON39" t="s">
        <v>1169</v>
      </c>
      <c r="OO39" s="58">
        <v>46105</v>
      </c>
    </row>
    <row r="40" spans="1:405" ht="15.75" thickBot="1">
      <c r="A40" t="s">
        <v>248</v>
      </c>
      <c r="B40" t="s">
        <v>1870</v>
      </c>
      <c r="C40" t="s">
        <v>34</v>
      </c>
      <c r="D40" s="100" t="s">
        <v>31</v>
      </c>
      <c r="E40" s="90" t="s">
        <v>1658</v>
      </c>
      <c r="F40" s="100" t="s">
        <v>31</v>
      </c>
      <c r="G40" s="87" t="s">
        <v>2</v>
      </c>
      <c r="H40" s="87" t="s">
        <v>30</v>
      </c>
      <c r="I40">
        <v>-0.41666666699999999</v>
      </c>
      <c r="J40">
        <v>34.200000000000003</v>
      </c>
      <c r="K40" s="87" t="s">
        <v>29</v>
      </c>
      <c r="AV40" t="s">
        <v>1661</v>
      </c>
      <c r="AW40">
        <v>45</v>
      </c>
      <c r="AX40" t="s">
        <v>234</v>
      </c>
      <c r="AY40">
        <v>1</v>
      </c>
      <c r="AZ40" t="s">
        <v>1668</v>
      </c>
      <c r="BA40">
        <v>2007</v>
      </c>
      <c r="BB40">
        <v>2008</v>
      </c>
      <c r="BD40" t="s">
        <v>238</v>
      </c>
      <c r="BE40" t="s">
        <v>1650</v>
      </c>
      <c r="BF40" t="s">
        <v>43</v>
      </c>
      <c r="BH40" t="s">
        <v>23</v>
      </c>
      <c r="BI40" t="s">
        <v>1662</v>
      </c>
      <c r="BJ40" s="87" t="s">
        <v>22</v>
      </c>
      <c r="BK40">
        <v>44444</v>
      </c>
      <c r="BL40" t="s">
        <v>56</v>
      </c>
      <c r="BM40" t="s">
        <v>1659</v>
      </c>
      <c r="BN40" t="s">
        <v>1660</v>
      </c>
      <c r="BO40" s="87" t="s">
        <v>22</v>
      </c>
      <c r="BP40">
        <v>44444</v>
      </c>
      <c r="BQ40" t="s">
        <v>56</v>
      </c>
      <c r="BR40" t="s">
        <v>1646</v>
      </c>
      <c r="BS40" t="s">
        <v>234</v>
      </c>
      <c r="BT40" t="s">
        <v>234</v>
      </c>
      <c r="BU40" t="s">
        <v>234</v>
      </c>
      <c r="IF40" t="s">
        <v>1650</v>
      </c>
      <c r="IG40" s="84" t="s">
        <v>1665</v>
      </c>
      <c r="IH40" t="s">
        <v>660</v>
      </c>
      <c r="II40" t="s">
        <v>661</v>
      </c>
      <c r="IJ40" t="s">
        <v>836</v>
      </c>
      <c r="IK40" t="s">
        <v>836</v>
      </c>
      <c r="IL40" s="87" t="s">
        <v>29</v>
      </c>
      <c r="JH40" t="s">
        <v>1663</v>
      </c>
      <c r="JI40" t="s">
        <v>15</v>
      </c>
      <c r="JJ40" t="s">
        <v>14</v>
      </c>
      <c r="JK40" s="8" t="s">
        <v>1664</v>
      </c>
      <c r="JN40" t="s">
        <v>13</v>
      </c>
      <c r="JO40">
        <v>40</v>
      </c>
      <c r="JP40">
        <v>50</v>
      </c>
      <c r="KD40" t="s">
        <v>12</v>
      </c>
      <c r="MR40" t="s">
        <v>1640</v>
      </c>
      <c r="MS40">
        <v>36</v>
      </c>
      <c r="MT40" t="s">
        <v>1649</v>
      </c>
      <c r="MV40" t="s">
        <v>168</v>
      </c>
      <c r="MW40" t="s">
        <v>1671</v>
      </c>
      <c r="MX40" t="s">
        <v>1673</v>
      </c>
      <c r="MY40" t="s">
        <v>1674</v>
      </c>
      <c r="ND40" t="s">
        <v>1679</v>
      </c>
      <c r="NE40" t="s">
        <v>1680</v>
      </c>
      <c r="NF40" t="s">
        <v>1518</v>
      </c>
      <c r="NG40" t="s">
        <v>265</v>
      </c>
      <c r="NP40" t="s">
        <v>6</v>
      </c>
      <c r="NQ40">
        <v>2193.9</v>
      </c>
      <c r="NR40" s="4" t="s">
        <v>4</v>
      </c>
      <c r="NS40">
        <v>107</v>
      </c>
      <c r="NV40">
        <v>4</v>
      </c>
      <c r="OG40" t="s">
        <v>1657</v>
      </c>
      <c r="OH40" s="87" t="s">
        <v>2</v>
      </c>
      <c r="OI40">
        <v>2008</v>
      </c>
      <c r="OL40" t="s">
        <v>1666</v>
      </c>
      <c r="ON40" t="s">
        <v>1169</v>
      </c>
      <c r="OO40" s="58">
        <v>46105</v>
      </c>
    </row>
    <row r="41" spans="1:405" ht="15.75" thickBot="1">
      <c r="A41" t="s">
        <v>248</v>
      </c>
      <c r="B41" t="s">
        <v>1870</v>
      </c>
      <c r="C41" t="s">
        <v>34</v>
      </c>
      <c r="D41" s="100" t="s">
        <v>31</v>
      </c>
      <c r="E41" s="90" t="s">
        <v>1658</v>
      </c>
      <c r="F41" s="100" t="s">
        <v>31</v>
      </c>
      <c r="G41" s="87" t="s">
        <v>2</v>
      </c>
      <c r="H41" s="87" t="s">
        <v>30</v>
      </c>
      <c r="I41">
        <v>-0.41666666699999999</v>
      </c>
      <c r="J41">
        <v>34.200000000000003</v>
      </c>
      <c r="K41" s="87" t="s">
        <v>29</v>
      </c>
      <c r="AV41" t="s">
        <v>1661</v>
      </c>
      <c r="AW41">
        <v>46</v>
      </c>
      <c r="AX41" t="s">
        <v>234</v>
      </c>
      <c r="AY41">
        <v>1</v>
      </c>
      <c r="AZ41" t="s">
        <v>1669</v>
      </c>
      <c r="BA41">
        <v>2007</v>
      </c>
      <c r="BB41">
        <v>2008</v>
      </c>
      <c r="BD41" t="s">
        <v>19</v>
      </c>
      <c r="BE41" t="s">
        <v>1651</v>
      </c>
      <c r="BF41" t="s">
        <v>24</v>
      </c>
      <c r="BH41" t="s">
        <v>23</v>
      </c>
      <c r="BI41" t="s">
        <v>1662</v>
      </c>
      <c r="BJ41" s="87" t="s">
        <v>22</v>
      </c>
      <c r="BK41">
        <v>44444</v>
      </c>
      <c r="IF41" t="s">
        <v>1651</v>
      </c>
      <c r="IG41" t="s">
        <v>19</v>
      </c>
      <c r="JH41" t="s">
        <v>1663</v>
      </c>
      <c r="JI41" t="s">
        <v>15</v>
      </c>
      <c r="JJ41" t="s">
        <v>14</v>
      </c>
      <c r="JK41" s="8" t="s">
        <v>1664</v>
      </c>
      <c r="JN41" t="s">
        <v>13</v>
      </c>
      <c r="JO41">
        <v>40</v>
      </c>
      <c r="JP41">
        <v>50</v>
      </c>
      <c r="KD41" t="s">
        <v>12</v>
      </c>
      <c r="MR41" t="s">
        <v>1640</v>
      </c>
      <c r="MS41">
        <v>36</v>
      </c>
      <c r="MT41" t="s">
        <v>1641</v>
      </c>
      <c r="MV41" t="s">
        <v>168</v>
      </c>
      <c r="ND41" t="s">
        <v>1679</v>
      </c>
      <c r="NE41" t="s">
        <v>1680</v>
      </c>
      <c r="NF41" t="s">
        <v>1518</v>
      </c>
      <c r="NG41" t="s">
        <v>265</v>
      </c>
      <c r="NP41" t="s">
        <v>6</v>
      </c>
      <c r="NQ41">
        <v>847.2</v>
      </c>
      <c r="NR41" s="4" t="s">
        <v>4</v>
      </c>
      <c r="NS41">
        <v>19</v>
      </c>
      <c r="NV41">
        <v>4</v>
      </c>
      <c r="OG41" t="s">
        <v>1683</v>
      </c>
      <c r="OH41" s="87" t="s">
        <v>2</v>
      </c>
      <c r="OI41">
        <v>2007</v>
      </c>
      <c r="OL41" t="s">
        <v>1666</v>
      </c>
      <c r="ON41" t="s">
        <v>1169</v>
      </c>
      <c r="OO41" s="58">
        <v>46105</v>
      </c>
    </row>
    <row r="42" spans="1:405" ht="15.75" thickBot="1">
      <c r="A42" t="s">
        <v>248</v>
      </c>
      <c r="B42" t="s">
        <v>1870</v>
      </c>
      <c r="C42" t="s">
        <v>34</v>
      </c>
      <c r="D42" s="100" t="s">
        <v>31</v>
      </c>
      <c r="E42" s="90" t="s">
        <v>1658</v>
      </c>
      <c r="F42" s="100" t="s">
        <v>31</v>
      </c>
      <c r="G42" s="87" t="s">
        <v>2</v>
      </c>
      <c r="H42" s="87" t="s">
        <v>30</v>
      </c>
      <c r="I42">
        <v>-0.41666666699999999</v>
      </c>
      <c r="J42">
        <v>34.200000000000003</v>
      </c>
      <c r="K42" s="87" t="s">
        <v>29</v>
      </c>
      <c r="AV42" t="s">
        <v>1661</v>
      </c>
      <c r="AW42">
        <v>47</v>
      </c>
      <c r="AX42" t="s">
        <v>234</v>
      </c>
      <c r="AY42">
        <v>1</v>
      </c>
      <c r="AZ42" t="s">
        <v>1669</v>
      </c>
      <c r="BA42">
        <v>2007</v>
      </c>
      <c r="BB42">
        <v>2008</v>
      </c>
      <c r="BD42" t="s">
        <v>238</v>
      </c>
      <c r="BE42" t="s">
        <v>1652</v>
      </c>
      <c r="BF42" t="s">
        <v>252</v>
      </c>
      <c r="BH42" t="s">
        <v>23</v>
      </c>
      <c r="BI42" t="s">
        <v>1662</v>
      </c>
      <c r="BJ42" s="87" t="s">
        <v>22</v>
      </c>
      <c r="BK42">
        <v>44444</v>
      </c>
      <c r="BL42" t="s">
        <v>56</v>
      </c>
      <c r="BM42" t="s">
        <v>1659</v>
      </c>
      <c r="BN42" t="s">
        <v>1660</v>
      </c>
      <c r="BO42" s="87" t="s">
        <v>22</v>
      </c>
      <c r="BP42">
        <v>44444</v>
      </c>
      <c r="IF42" t="s">
        <v>1652</v>
      </c>
      <c r="IG42" s="84" t="s">
        <v>1443</v>
      </c>
      <c r="IH42" t="s">
        <v>660</v>
      </c>
      <c r="II42" t="s">
        <v>661</v>
      </c>
      <c r="IJ42" t="s">
        <v>836</v>
      </c>
      <c r="IK42" t="s">
        <v>836</v>
      </c>
      <c r="IL42" s="87" t="s">
        <v>29</v>
      </c>
      <c r="JH42" t="s">
        <v>1663</v>
      </c>
      <c r="JI42" t="s">
        <v>15</v>
      </c>
      <c r="JJ42" t="s">
        <v>14</v>
      </c>
      <c r="JK42" s="8" t="s">
        <v>1664</v>
      </c>
      <c r="JN42" t="s">
        <v>13</v>
      </c>
      <c r="JO42">
        <v>40</v>
      </c>
      <c r="JP42">
        <v>50</v>
      </c>
      <c r="KD42" t="s">
        <v>12</v>
      </c>
      <c r="MR42" t="s">
        <v>1640</v>
      </c>
      <c r="MS42">
        <v>36</v>
      </c>
      <c r="MT42" t="s">
        <v>1644</v>
      </c>
      <c r="MV42" t="s">
        <v>168</v>
      </c>
      <c r="MW42" t="s">
        <v>1671</v>
      </c>
      <c r="ND42" t="s">
        <v>1679</v>
      </c>
      <c r="NE42" t="s">
        <v>1680</v>
      </c>
      <c r="NF42" t="s">
        <v>1518</v>
      </c>
      <c r="NG42" t="s">
        <v>265</v>
      </c>
      <c r="NP42" t="s">
        <v>6</v>
      </c>
      <c r="NQ42">
        <v>1047.0999999999999</v>
      </c>
      <c r="NR42" s="4" t="s">
        <v>4</v>
      </c>
      <c r="NS42">
        <v>44</v>
      </c>
      <c r="NV42">
        <v>4</v>
      </c>
      <c r="OG42" t="s">
        <v>1683</v>
      </c>
      <c r="OH42" s="87" t="s">
        <v>2</v>
      </c>
      <c r="OI42">
        <v>2007</v>
      </c>
      <c r="OL42" t="s">
        <v>1666</v>
      </c>
      <c r="ON42" t="s">
        <v>1169</v>
      </c>
      <c r="OO42" s="58">
        <v>46105</v>
      </c>
    </row>
    <row r="43" spans="1:405" ht="15.75" thickBot="1">
      <c r="A43" t="s">
        <v>248</v>
      </c>
      <c r="B43" t="s">
        <v>1870</v>
      </c>
      <c r="C43" t="s">
        <v>34</v>
      </c>
      <c r="D43" s="100" t="s">
        <v>31</v>
      </c>
      <c r="E43" s="90" t="s">
        <v>1658</v>
      </c>
      <c r="F43" s="100" t="s">
        <v>31</v>
      </c>
      <c r="G43" s="87" t="s">
        <v>2</v>
      </c>
      <c r="H43" s="87" t="s">
        <v>30</v>
      </c>
      <c r="I43">
        <v>-0.41666666699999999</v>
      </c>
      <c r="J43">
        <v>34.200000000000003</v>
      </c>
      <c r="K43" s="87" t="s">
        <v>29</v>
      </c>
      <c r="AV43" t="s">
        <v>1661</v>
      </c>
      <c r="AW43">
        <v>48</v>
      </c>
      <c r="AX43" t="s">
        <v>234</v>
      </c>
      <c r="AY43">
        <v>1</v>
      </c>
      <c r="AZ43" t="s">
        <v>1669</v>
      </c>
      <c r="BA43">
        <v>2007</v>
      </c>
      <c r="BB43">
        <v>2008</v>
      </c>
      <c r="BD43" t="s">
        <v>238</v>
      </c>
      <c r="BE43" t="s">
        <v>1653</v>
      </c>
      <c r="BF43" t="s">
        <v>236</v>
      </c>
      <c r="BH43" t="s">
        <v>23</v>
      </c>
      <c r="BI43" t="s">
        <v>1662</v>
      </c>
      <c r="BJ43" s="87" t="s">
        <v>22</v>
      </c>
      <c r="BK43">
        <v>44444</v>
      </c>
      <c r="BL43" t="s">
        <v>56</v>
      </c>
      <c r="BM43" t="s">
        <v>1646</v>
      </c>
      <c r="BN43" t="s">
        <v>234</v>
      </c>
      <c r="BO43" t="s">
        <v>234</v>
      </c>
      <c r="BP43" t="s">
        <v>234</v>
      </c>
      <c r="IF43" t="s">
        <v>1653</v>
      </c>
      <c r="IG43" s="84" t="s">
        <v>1665</v>
      </c>
      <c r="IH43" t="s">
        <v>660</v>
      </c>
      <c r="II43" t="s">
        <v>661</v>
      </c>
      <c r="IJ43" t="s">
        <v>836</v>
      </c>
      <c r="IK43" t="s">
        <v>836</v>
      </c>
      <c r="IL43" s="87" t="s">
        <v>29</v>
      </c>
      <c r="JH43" t="s">
        <v>1663</v>
      </c>
      <c r="JI43" t="s">
        <v>15</v>
      </c>
      <c r="JJ43" t="s">
        <v>14</v>
      </c>
      <c r="JK43" s="8" t="s">
        <v>1664</v>
      </c>
      <c r="JN43" t="s">
        <v>13</v>
      </c>
      <c r="JO43">
        <v>40</v>
      </c>
      <c r="JP43">
        <v>50</v>
      </c>
      <c r="KD43" t="s">
        <v>12</v>
      </c>
      <c r="MR43" t="s">
        <v>1640</v>
      </c>
      <c r="MS43">
        <v>36</v>
      </c>
      <c r="MT43" t="s">
        <v>1647</v>
      </c>
      <c r="MV43" t="s">
        <v>168</v>
      </c>
      <c r="MW43" t="s">
        <v>1673</v>
      </c>
      <c r="MX43" t="s">
        <v>1674</v>
      </c>
      <c r="ND43" t="s">
        <v>1679</v>
      </c>
      <c r="NE43" t="s">
        <v>1680</v>
      </c>
      <c r="NF43" t="s">
        <v>1518</v>
      </c>
      <c r="NG43" t="s">
        <v>265</v>
      </c>
      <c r="NP43" t="s">
        <v>6</v>
      </c>
      <c r="NQ43">
        <v>2296.9</v>
      </c>
      <c r="NR43" s="4" t="s">
        <v>4</v>
      </c>
      <c r="NS43">
        <v>55</v>
      </c>
      <c r="NV43">
        <v>4</v>
      </c>
      <c r="OG43" t="s">
        <v>1683</v>
      </c>
      <c r="OH43" s="87" t="s">
        <v>2</v>
      </c>
      <c r="OI43">
        <v>2007</v>
      </c>
      <c r="OL43" t="s">
        <v>1666</v>
      </c>
      <c r="ON43" t="s">
        <v>1169</v>
      </c>
      <c r="OO43" s="58">
        <v>46105</v>
      </c>
    </row>
    <row r="44" spans="1:405" ht="15.75" thickBot="1">
      <c r="A44" t="s">
        <v>248</v>
      </c>
      <c r="B44" t="s">
        <v>1870</v>
      </c>
      <c r="C44" t="s">
        <v>34</v>
      </c>
      <c r="D44" s="100" t="s">
        <v>31</v>
      </c>
      <c r="E44" s="90" t="s">
        <v>1658</v>
      </c>
      <c r="F44" s="100" t="s">
        <v>31</v>
      </c>
      <c r="G44" s="87" t="s">
        <v>2</v>
      </c>
      <c r="H44" s="87" t="s">
        <v>30</v>
      </c>
      <c r="I44">
        <v>-0.41666666699999999</v>
      </c>
      <c r="J44">
        <v>34.200000000000003</v>
      </c>
      <c r="K44" s="87" t="s">
        <v>29</v>
      </c>
      <c r="AV44" t="s">
        <v>1661</v>
      </c>
      <c r="AW44">
        <v>49</v>
      </c>
      <c r="AX44" t="s">
        <v>234</v>
      </c>
      <c r="AY44">
        <v>1</v>
      </c>
      <c r="AZ44" t="s">
        <v>1669</v>
      </c>
      <c r="BA44">
        <v>2007</v>
      </c>
      <c r="BB44">
        <v>2008</v>
      </c>
      <c r="BD44" t="s">
        <v>238</v>
      </c>
      <c r="BE44" t="s">
        <v>1654</v>
      </c>
      <c r="BF44" t="s">
        <v>284</v>
      </c>
      <c r="BH44" t="s">
        <v>23</v>
      </c>
      <c r="BI44" t="s">
        <v>1662</v>
      </c>
      <c r="BJ44" s="87" t="s">
        <v>22</v>
      </c>
      <c r="BK44">
        <v>44444</v>
      </c>
      <c r="BL44" t="s">
        <v>56</v>
      </c>
      <c r="BM44" t="s">
        <v>1659</v>
      </c>
      <c r="BN44" t="s">
        <v>1660</v>
      </c>
      <c r="BO44" s="87" t="s">
        <v>22</v>
      </c>
      <c r="BP44">
        <v>44444</v>
      </c>
      <c r="BQ44" t="s">
        <v>56</v>
      </c>
      <c r="BR44" t="s">
        <v>1646</v>
      </c>
      <c r="BS44" t="s">
        <v>234</v>
      </c>
      <c r="BT44" t="s">
        <v>234</v>
      </c>
      <c r="BU44" t="s">
        <v>234</v>
      </c>
      <c r="IF44" t="s">
        <v>1654</v>
      </c>
      <c r="IG44" s="84" t="s">
        <v>1665</v>
      </c>
      <c r="IH44" t="s">
        <v>660</v>
      </c>
      <c r="II44" t="s">
        <v>661</v>
      </c>
      <c r="IJ44" t="s">
        <v>836</v>
      </c>
      <c r="IK44" t="s">
        <v>836</v>
      </c>
      <c r="IL44" s="87" t="s">
        <v>29</v>
      </c>
      <c r="JH44" t="s">
        <v>1663</v>
      </c>
      <c r="JI44" t="s">
        <v>15</v>
      </c>
      <c r="JJ44" t="s">
        <v>14</v>
      </c>
      <c r="JK44" s="8" t="s">
        <v>1664</v>
      </c>
      <c r="JN44" t="s">
        <v>13</v>
      </c>
      <c r="JO44">
        <v>40</v>
      </c>
      <c r="JP44">
        <v>50</v>
      </c>
      <c r="KD44" t="s">
        <v>12</v>
      </c>
      <c r="MR44" t="s">
        <v>1640</v>
      </c>
      <c r="MS44">
        <v>36</v>
      </c>
      <c r="MT44" t="s">
        <v>1649</v>
      </c>
      <c r="MV44" t="s">
        <v>168</v>
      </c>
      <c r="MW44" t="s">
        <v>1671</v>
      </c>
      <c r="MX44" t="s">
        <v>1673</v>
      </c>
      <c r="MY44" t="s">
        <v>1674</v>
      </c>
      <c r="ND44" t="s">
        <v>1679</v>
      </c>
      <c r="NE44" t="s">
        <v>1680</v>
      </c>
      <c r="NF44" t="s">
        <v>1518</v>
      </c>
      <c r="NG44" t="s">
        <v>265</v>
      </c>
      <c r="NP44" t="s">
        <v>6</v>
      </c>
      <c r="NQ44">
        <v>2366.5</v>
      </c>
      <c r="NR44" s="4" t="s">
        <v>4</v>
      </c>
      <c r="NS44">
        <v>22</v>
      </c>
      <c r="NV44">
        <v>4</v>
      </c>
      <c r="OG44" t="s">
        <v>1683</v>
      </c>
      <c r="OH44" s="87" t="s">
        <v>2</v>
      </c>
      <c r="OI44">
        <v>2007</v>
      </c>
      <c r="OL44" t="s">
        <v>1666</v>
      </c>
      <c r="ON44" t="s">
        <v>1169</v>
      </c>
      <c r="OO44" s="58">
        <v>46105</v>
      </c>
    </row>
    <row r="45" spans="1:405" ht="15.75" thickBot="1">
      <c r="A45" t="s">
        <v>248</v>
      </c>
      <c r="B45" t="s">
        <v>1870</v>
      </c>
      <c r="C45" t="s">
        <v>34</v>
      </c>
      <c r="D45" s="100" t="s">
        <v>31</v>
      </c>
      <c r="E45" s="90" t="s">
        <v>1658</v>
      </c>
      <c r="F45" s="100" t="s">
        <v>31</v>
      </c>
      <c r="G45" s="87" t="s">
        <v>2</v>
      </c>
      <c r="H45" s="87" t="s">
        <v>30</v>
      </c>
      <c r="I45">
        <v>-0.41666666699999999</v>
      </c>
      <c r="J45">
        <v>34.200000000000003</v>
      </c>
      <c r="K45" s="87" t="s">
        <v>29</v>
      </c>
      <c r="AV45" t="s">
        <v>1661</v>
      </c>
      <c r="AW45">
        <v>50</v>
      </c>
      <c r="AX45" t="s">
        <v>234</v>
      </c>
      <c r="AY45">
        <v>1</v>
      </c>
      <c r="AZ45" t="s">
        <v>1669</v>
      </c>
      <c r="BA45">
        <v>2007</v>
      </c>
      <c r="BB45">
        <v>2008</v>
      </c>
      <c r="BD45" t="s">
        <v>238</v>
      </c>
      <c r="BE45" t="s">
        <v>1655</v>
      </c>
      <c r="BF45" t="s">
        <v>277</v>
      </c>
      <c r="BH45" t="s">
        <v>23</v>
      </c>
      <c r="BI45" t="s">
        <v>1662</v>
      </c>
      <c r="BJ45" s="87" t="s">
        <v>22</v>
      </c>
      <c r="BK45">
        <v>44444</v>
      </c>
      <c r="BL45" t="s">
        <v>56</v>
      </c>
      <c r="BM45" t="s">
        <v>1659</v>
      </c>
      <c r="BN45" t="s">
        <v>1660</v>
      </c>
      <c r="BO45" s="87" t="s">
        <v>22</v>
      </c>
      <c r="BP45">
        <v>44444</v>
      </c>
      <c r="BQ45" t="s">
        <v>56</v>
      </c>
      <c r="BR45" t="s">
        <v>1646</v>
      </c>
      <c r="BS45" t="s">
        <v>234</v>
      </c>
      <c r="BT45" t="s">
        <v>234</v>
      </c>
      <c r="BU45" t="s">
        <v>234</v>
      </c>
      <c r="IF45" t="s">
        <v>1655</v>
      </c>
      <c r="IG45" s="84" t="s">
        <v>1665</v>
      </c>
      <c r="IH45" t="s">
        <v>660</v>
      </c>
      <c r="II45" t="s">
        <v>661</v>
      </c>
      <c r="IJ45" t="s">
        <v>836</v>
      </c>
      <c r="IK45" t="s">
        <v>836</v>
      </c>
      <c r="IL45" s="87" t="s">
        <v>29</v>
      </c>
      <c r="JH45" t="s">
        <v>1663</v>
      </c>
      <c r="JI45" t="s">
        <v>15</v>
      </c>
      <c r="JJ45" t="s">
        <v>14</v>
      </c>
      <c r="JK45" s="8" t="s">
        <v>1664</v>
      </c>
      <c r="JN45" t="s">
        <v>13</v>
      </c>
      <c r="JO45">
        <v>40</v>
      </c>
      <c r="JP45">
        <v>50</v>
      </c>
      <c r="KD45" t="s">
        <v>12</v>
      </c>
      <c r="MR45" t="s">
        <v>1640</v>
      </c>
      <c r="MS45">
        <v>36</v>
      </c>
      <c r="MT45" t="s">
        <v>1649</v>
      </c>
      <c r="MV45" t="s">
        <v>168</v>
      </c>
      <c r="MW45" t="s">
        <v>1671</v>
      </c>
      <c r="MX45" t="s">
        <v>1673</v>
      </c>
      <c r="MY45" t="s">
        <v>1674</v>
      </c>
      <c r="ND45" t="s">
        <v>1679</v>
      </c>
      <c r="NE45" t="s">
        <v>1680</v>
      </c>
      <c r="NF45" t="s">
        <v>1518</v>
      </c>
      <c r="NG45" t="s">
        <v>265</v>
      </c>
      <c r="NP45" t="s">
        <v>6</v>
      </c>
      <c r="NQ45">
        <v>2368.8000000000002</v>
      </c>
      <c r="NR45" s="4" t="s">
        <v>4</v>
      </c>
      <c r="NS45">
        <v>34</v>
      </c>
      <c r="NV45">
        <v>4</v>
      </c>
      <c r="OG45" t="s">
        <v>1683</v>
      </c>
      <c r="OH45" s="87" t="s">
        <v>2</v>
      </c>
      <c r="OI45">
        <v>2007</v>
      </c>
      <c r="OL45" t="s">
        <v>1666</v>
      </c>
      <c r="ON45" t="s">
        <v>1169</v>
      </c>
      <c r="OO45" s="58">
        <v>46105</v>
      </c>
    </row>
    <row r="46" spans="1:405" ht="15.75" thickBot="1">
      <c r="A46" t="s">
        <v>248</v>
      </c>
      <c r="B46" t="s">
        <v>1870</v>
      </c>
      <c r="C46" t="s">
        <v>34</v>
      </c>
      <c r="D46" s="100" t="s">
        <v>31</v>
      </c>
      <c r="E46" s="90" t="s">
        <v>1658</v>
      </c>
      <c r="F46" s="100" t="s">
        <v>31</v>
      </c>
      <c r="G46" s="87" t="s">
        <v>2</v>
      </c>
      <c r="H46" s="87" t="s">
        <v>30</v>
      </c>
      <c r="I46">
        <v>-0.41666666699999999</v>
      </c>
      <c r="J46">
        <v>34.200000000000003</v>
      </c>
      <c r="K46" s="87" t="s">
        <v>29</v>
      </c>
      <c r="AV46" t="s">
        <v>1661</v>
      </c>
      <c r="AW46">
        <v>51</v>
      </c>
      <c r="AX46" t="s">
        <v>234</v>
      </c>
      <c r="AY46">
        <v>1</v>
      </c>
      <c r="AZ46" t="s">
        <v>1667</v>
      </c>
      <c r="BA46">
        <v>2007</v>
      </c>
      <c r="BB46">
        <v>2008</v>
      </c>
      <c r="BD46" t="s">
        <v>19</v>
      </c>
      <c r="BE46" t="s">
        <v>1651</v>
      </c>
      <c r="BF46" t="s">
        <v>24</v>
      </c>
      <c r="BH46" t="s">
        <v>23</v>
      </c>
      <c r="BI46" t="s">
        <v>1662</v>
      </c>
      <c r="BJ46" s="87" t="s">
        <v>22</v>
      </c>
      <c r="BK46">
        <v>44444</v>
      </c>
      <c r="IF46" t="s">
        <v>1651</v>
      </c>
      <c r="IG46" t="s">
        <v>19</v>
      </c>
      <c r="JH46" t="s">
        <v>1663</v>
      </c>
      <c r="JI46" t="s">
        <v>15</v>
      </c>
      <c r="JJ46" t="s">
        <v>14</v>
      </c>
      <c r="JK46" s="8" t="s">
        <v>1664</v>
      </c>
      <c r="JN46" t="s">
        <v>13</v>
      </c>
      <c r="JO46">
        <v>40</v>
      </c>
      <c r="JP46">
        <v>50</v>
      </c>
      <c r="KD46" t="s">
        <v>12</v>
      </c>
      <c r="MR46" t="s">
        <v>1640</v>
      </c>
      <c r="MS46">
        <v>36</v>
      </c>
      <c r="MT46" t="s">
        <v>1641</v>
      </c>
      <c r="MV46" t="s">
        <v>168</v>
      </c>
      <c r="ND46" t="s">
        <v>1679</v>
      </c>
      <c r="NE46" t="s">
        <v>1680</v>
      </c>
      <c r="NF46" t="s">
        <v>1518</v>
      </c>
      <c r="NG46" t="s">
        <v>265</v>
      </c>
      <c r="NP46" t="s">
        <v>6</v>
      </c>
      <c r="NQ46">
        <v>822.4</v>
      </c>
      <c r="NR46" s="4" t="s">
        <v>4</v>
      </c>
      <c r="NS46">
        <v>16</v>
      </c>
      <c r="NV46">
        <v>4</v>
      </c>
      <c r="OG46" t="s">
        <v>1682</v>
      </c>
      <c r="OH46" s="87" t="s">
        <v>2</v>
      </c>
      <c r="OI46">
        <v>2007</v>
      </c>
      <c r="OL46" t="s">
        <v>1656</v>
      </c>
      <c r="ON46" t="s">
        <v>1169</v>
      </c>
      <c r="OO46" s="58">
        <v>46105</v>
      </c>
    </row>
    <row r="47" spans="1:405" ht="15.75" thickBot="1">
      <c r="A47" t="s">
        <v>248</v>
      </c>
      <c r="B47" t="s">
        <v>1870</v>
      </c>
      <c r="C47" t="s">
        <v>34</v>
      </c>
      <c r="D47" s="100" t="s">
        <v>31</v>
      </c>
      <c r="E47" s="90" t="s">
        <v>1658</v>
      </c>
      <c r="F47" s="100" t="s">
        <v>31</v>
      </c>
      <c r="G47" s="87" t="s">
        <v>2</v>
      </c>
      <c r="H47" s="87" t="s">
        <v>30</v>
      </c>
      <c r="I47">
        <v>-0.41666666699999999</v>
      </c>
      <c r="J47">
        <v>34.200000000000003</v>
      </c>
      <c r="K47" s="87" t="s">
        <v>29</v>
      </c>
      <c r="AV47" t="s">
        <v>1661</v>
      </c>
      <c r="AW47">
        <v>52</v>
      </c>
      <c r="AX47" t="s">
        <v>234</v>
      </c>
      <c r="AY47">
        <v>1</v>
      </c>
      <c r="AZ47" t="s">
        <v>1667</v>
      </c>
      <c r="BA47">
        <v>2007</v>
      </c>
      <c r="BB47">
        <v>2008</v>
      </c>
      <c r="BD47" t="s">
        <v>238</v>
      </c>
      <c r="BE47" t="s">
        <v>1652</v>
      </c>
      <c r="BF47" t="s">
        <v>252</v>
      </c>
      <c r="BH47" t="s">
        <v>23</v>
      </c>
      <c r="BI47" t="s">
        <v>1662</v>
      </c>
      <c r="BJ47" s="87" t="s">
        <v>22</v>
      </c>
      <c r="BK47">
        <v>44444</v>
      </c>
      <c r="BL47" t="s">
        <v>56</v>
      </c>
      <c r="BM47" t="s">
        <v>1659</v>
      </c>
      <c r="BN47" t="s">
        <v>1660</v>
      </c>
      <c r="BO47" s="87" t="s">
        <v>22</v>
      </c>
      <c r="BP47">
        <v>44444</v>
      </c>
      <c r="EH47" s="9"/>
      <c r="EI47" s="9"/>
      <c r="EJ47" s="9"/>
      <c r="EK47" s="9"/>
      <c r="EL47" s="9"/>
      <c r="EM47" s="9"/>
      <c r="EN47" s="9"/>
      <c r="EO47" s="9"/>
      <c r="EP47" s="9"/>
      <c r="EQ47" s="9"/>
      <c r="ER47" s="9"/>
      <c r="ES47" s="9"/>
      <c r="ET47" s="9"/>
      <c r="EU47" s="9"/>
      <c r="EV47" s="9"/>
      <c r="EW47" s="9"/>
      <c r="EX47" s="9"/>
      <c r="EY47" s="9"/>
      <c r="EZ47" s="9"/>
      <c r="FA47" s="9"/>
      <c r="FB47" s="9"/>
      <c r="FC47" s="9"/>
      <c r="FD47" s="9"/>
      <c r="FE47" s="9"/>
      <c r="FF47" s="9"/>
      <c r="FG47" s="9"/>
      <c r="FH47" s="9"/>
      <c r="FI47" s="9"/>
      <c r="FJ47" s="9"/>
      <c r="FK47" s="9"/>
      <c r="FL47" s="9"/>
      <c r="FM47" s="9"/>
      <c r="FN47" s="9"/>
      <c r="FO47" s="9"/>
      <c r="FP47" s="9"/>
      <c r="FQ47" s="9"/>
      <c r="FR47" s="9"/>
      <c r="FS47" s="9"/>
      <c r="FT47" s="9"/>
      <c r="FU47" s="9"/>
      <c r="FV47" s="9"/>
      <c r="FW47" s="9"/>
      <c r="FX47" s="9"/>
      <c r="FY47" s="9"/>
      <c r="FZ47" s="9"/>
      <c r="GA47" s="9"/>
      <c r="GB47" s="9"/>
      <c r="GC47" s="9"/>
      <c r="GD47" s="9"/>
      <c r="GE47" s="9"/>
      <c r="GF47" s="9"/>
      <c r="GG47" s="9"/>
      <c r="GH47" s="9"/>
      <c r="GI47" s="9"/>
      <c r="GJ47" s="9"/>
      <c r="GK47" s="9"/>
      <c r="GL47" s="9"/>
      <c r="GM47" s="9"/>
      <c r="GN47" s="9"/>
      <c r="GO47" s="9"/>
      <c r="GP47" s="9"/>
      <c r="GQ47" s="9"/>
      <c r="GR47" s="9"/>
      <c r="GS47" s="9"/>
      <c r="GT47" s="9"/>
      <c r="GU47" s="9"/>
      <c r="GV47" s="9"/>
      <c r="GW47" s="9"/>
      <c r="GX47" s="9"/>
      <c r="GY47" s="9"/>
      <c r="GZ47" s="9"/>
      <c r="HA47" s="9"/>
      <c r="HB47" s="9"/>
      <c r="HC47" s="9"/>
      <c r="HD47" s="9"/>
      <c r="HE47" s="9"/>
      <c r="HF47" s="9"/>
      <c r="HG47" s="9"/>
      <c r="HH47" s="9"/>
      <c r="HI47" s="9"/>
      <c r="HJ47" s="9"/>
      <c r="HK47" s="9"/>
      <c r="HW47" s="58"/>
      <c r="IF47" t="s">
        <v>1652</v>
      </c>
      <c r="IG47" s="84" t="s">
        <v>1443</v>
      </c>
      <c r="IH47" t="s">
        <v>660</v>
      </c>
      <c r="II47" t="s">
        <v>661</v>
      </c>
      <c r="IJ47" t="s">
        <v>836</v>
      </c>
      <c r="IK47" t="s">
        <v>836</v>
      </c>
      <c r="IL47" s="87" t="s">
        <v>29</v>
      </c>
      <c r="JH47" t="s">
        <v>1663</v>
      </c>
      <c r="JI47" t="s">
        <v>15</v>
      </c>
      <c r="JJ47" t="s">
        <v>14</v>
      </c>
      <c r="JK47" s="8" t="s">
        <v>1664</v>
      </c>
      <c r="JN47" t="s">
        <v>13</v>
      </c>
      <c r="JO47">
        <v>40</v>
      </c>
      <c r="JP47">
        <v>50</v>
      </c>
      <c r="KD47" t="s">
        <v>12</v>
      </c>
      <c r="MR47" t="s">
        <v>1640</v>
      </c>
      <c r="MS47">
        <v>36</v>
      </c>
      <c r="MT47" t="s">
        <v>1644</v>
      </c>
      <c r="MV47" t="s">
        <v>168</v>
      </c>
      <c r="MW47" t="s">
        <v>1671</v>
      </c>
      <c r="ND47" t="s">
        <v>1679</v>
      </c>
      <c r="NE47" t="s">
        <v>1680</v>
      </c>
      <c r="NF47" t="s">
        <v>1518</v>
      </c>
      <c r="NG47" t="s">
        <v>265</v>
      </c>
      <c r="NP47" t="s">
        <v>6</v>
      </c>
      <c r="NQ47">
        <v>945.9</v>
      </c>
      <c r="NR47" s="4" t="s">
        <v>4</v>
      </c>
      <c r="NS47">
        <v>53</v>
      </c>
      <c r="NV47">
        <v>4</v>
      </c>
      <c r="OG47" t="s">
        <v>1682</v>
      </c>
      <c r="OH47" s="87" t="s">
        <v>2</v>
      </c>
      <c r="OI47">
        <v>2007</v>
      </c>
      <c r="OL47" t="s">
        <v>1656</v>
      </c>
      <c r="ON47" t="s">
        <v>1169</v>
      </c>
      <c r="OO47" s="58">
        <v>46105</v>
      </c>
    </row>
    <row r="48" spans="1:405" ht="15.75" thickBot="1">
      <c r="A48" t="s">
        <v>248</v>
      </c>
      <c r="B48" t="s">
        <v>1870</v>
      </c>
      <c r="C48" t="s">
        <v>34</v>
      </c>
      <c r="D48" s="100" t="s">
        <v>31</v>
      </c>
      <c r="E48" s="90" t="s">
        <v>1658</v>
      </c>
      <c r="F48" s="100" t="s">
        <v>31</v>
      </c>
      <c r="G48" s="87" t="s">
        <v>2</v>
      </c>
      <c r="H48" s="87" t="s">
        <v>30</v>
      </c>
      <c r="I48">
        <v>-0.41666666699999999</v>
      </c>
      <c r="J48">
        <v>34.200000000000003</v>
      </c>
      <c r="K48" s="87" t="s">
        <v>29</v>
      </c>
      <c r="AV48" t="s">
        <v>1661</v>
      </c>
      <c r="AW48">
        <v>53</v>
      </c>
      <c r="AX48" t="s">
        <v>234</v>
      </c>
      <c r="AY48">
        <v>1</v>
      </c>
      <c r="AZ48" t="s">
        <v>1667</v>
      </c>
      <c r="BA48">
        <v>2007</v>
      </c>
      <c r="BB48">
        <v>2008</v>
      </c>
      <c r="BD48" t="s">
        <v>238</v>
      </c>
      <c r="BE48" t="s">
        <v>1653</v>
      </c>
      <c r="BF48" t="s">
        <v>236</v>
      </c>
      <c r="BH48" t="s">
        <v>23</v>
      </c>
      <c r="BI48" t="s">
        <v>1662</v>
      </c>
      <c r="BJ48" s="87" t="s">
        <v>22</v>
      </c>
      <c r="BK48">
        <v>44444</v>
      </c>
      <c r="BL48" t="s">
        <v>56</v>
      </c>
      <c r="BM48" t="s">
        <v>1646</v>
      </c>
      <c r="BN48" t="s">
        <v>234</v>
      </c>
      <c r="BO48" t="s">
        <v>234</v>
      </c>
      <c r="BP48" t="s">
        <v>234</v>
      </c>
      <c r="EH48" s="9"/>
      <c r="EI48" s="9"/>
      <c r="EJ48" s="9"/>
      <c r="EK48" s="9"/>
      <c r="EL48" s="9"/>
      <c r="EM48" s="9"/>
      <c r="EN48" s="9"/>
      <c r="EO48" s="9"/>
      <c r="EP48" s="9"/>
      <c r="EQ48" s="9"/>
      <c r="ER48" s="9"/>
      <c r="ES48" s="9"/>
      <c r="ET48" s="9"/>
      <c r="EU48" s="9"/>
      <c r="EV48" s="9"/>
      <c r="EW48" s="9"/>
      <c r="EX48" s="9"/>
      <c r="EY48" s="9"/>
      <c r="EZ48" s="9"/>
      <c r="FA48" s="9"/>
      <c r="FB48" s="9"/>
      <c r="FC48" s="9"/>
      <c r="FD48" s="9"/>
      <c r="FE48" s="9"/>
      <c r="FF48" s="9"/>
      <c r="FG48" s="9"/>
      <c r="FH48" s="9"/>
      <c r="FI48" s="9"/>
      <c r="FJ48" s="9"/>
      <c r="FK48" s="9"/>
      <c r="FL48" s="9"/>
      <c r="FM48" s="9"/>
      <c r="FN48" s="9"/>
      <c r="FO48" s="9"/>
      <c r="FP48" s="9"/>
      <c r="FQ48" s="9"/>
      <c r="FR48" s="9"/>
      <c r="FS48" s="9"/>
      <c r="FT48" s="9"/>
      <c r="FU48" s="9"/>
      <c r="FV48" s="9"/>
      <c r="FW48" s="9"/>
      <c r="FX48" s="9"/>
      <c r="FY48" s="9"/>
      <c r="FZ48" s="9"/>
      <c r="GA48" s="9"/>
      <c r="GB48" s="9"/>
      <c r="GC48" s="9"/>
      <c r="GD48" s="9"/>
      <c r="GE48" s="9"/>
      <c r="GF48" s="9"/>
      <c r="GG48" s="9"/>
      <c r="GH48" s="9"/>
      <c r="GI48" s="9"/>
      <c r="GJ48" s="9"/>
      <c r="GK48" s="9"/>
      <c r="GL48" s="9"/>
      <c r="GM48" s="9"/>
      <c r="GN48" s="9"/>
      <c r="GO48" s="9"/>
      <c r="GP48" s="9"/>
      <c r="GQ48" s="9"/>
      <c r="GR48" s="9"/>
      <c r="GS48" s="9"/>
      <c r="GT48" s="9"/>
      <c r="GU48" s="9"/>
      <c r="GV48" s="9"/>
      <c r="GW48" s="9"/>
      <c r="GX48" s="9"/>
      <c r="GY48" s="9"/>
      <c r="GZ48" s="9"/>
      <c r="HA48" s="9"/>
      <c r="HB48" s="9"/>
      <c r="HC48" s="9"/>
      <c r="HD48" s="9"/>
      <c r="HE48" s="9"/>
      <c r="HF48" s="9"/>
      <c r="HG48" s="9"/>
      <c r="HH48" s="9"/>
      <c r="HI48" s="9"/>
      <c r="HJ48" s="9"/>
      <c r="HK48" s="9"/>
      <c r="HW48" s="58"/>
      <c r="IF48" t="s">
        <v>1653</v>
      </c>
      <c r="IG48" s="84" t="s">
        <v>1665</v>
      </c>
      <c r="IH48" t="s">
        <v>660</v>
      </c>
      <c r="II48" t="s">
        <v>661</v>
      </c>
      <c r="IJ48" t="s">
        <v>836</v>
      </c>
      <c r="IK48" t="s">
        <v>836</v>
      </c>
      <c r="IL48" s="87" t="s">
        <v>29</v>
      </c>
      <c r="JH48" t="s">
        <v>1663</v>
      </c>
      <c r="JI48" t="s">
        <v>15</v>
      </c>
      <c r="JJ48" t="s">
        <v>14</v>
      </c>
      <c r="JK48" s="8" t="s">
        <v>1664</v>
      </c>
      <c r="JN48" t="s">
        <v>13</v>
      </c>
      <c r="JO48">
        <v>40</v>
      </c>
      <c r="JP48">
        <v>50</v>
      </c>
      <c r="KD48" t="s">
        <v>12</v>
      </c>
      <c r="MR48" t="s">
        <v>1640</v>
      </c>
      <c r="MS48">
        <v>36</v>
      </c>
      <c r="MT48" t="s">
        <v>1647</v>
      </c>
      <c r="MV48" t="s">
        <v>168</v>
      </c>
      <c r="MW48" t="s">
        <v>1673</v>
      </c>
      <c r="MX48" t="s">
        <v>1674</v>
      </c>
      <c r="ND48" t="s">
        <v>1679</v>
      </c>
      <c r="NE48" t="s">
        <v>1680</v>
      </c>
      <c r="NF48" t="s">
        <v>1518</v>
      </c>
      <c r="NG48" t="s">
        <v>265</v>
      </c>
      <c r="NP48" t="s">
        <v>6</v>
      </c>
      <c r="NQ48">
        <v>2393</v>
      </c>
      <c r="NR48" s="4" t="s">
        <v>4</v>
      </c>
      <c r="NS48">
        <v>51</v>
      </c>
      <c r="NV48">
        <v>4</v>
      </c>
      <c r="OG48" t="s">
        <v>1682</v>
      </c>
      <c r="OH48" s="87" t="s">
        <v>2</v>
      </c>
      <c r="OI48">
        <v>2007</v>
      </c>
      <c r="OL48" t="s">
        <v>1656</v>
      </c>
      <c r="ON48" t="s">
        <v>1169</v>
      </c>
      <c r="OO48" s="58">
        <v>46105</v>
      </c>
    </row>
    <row r="49" spans="1:405" ht="15.75" thickBot="1">
      <c r="A49" t="s">
        <v>248</v>
      </c>
      <c r="B49" t="s">
        <v>1870</v>
      </c>
      <c r="C49" t="s">
        <v>34</v>
      </c>
      <c r="D49" s="100" t="s">
        <v>31</v>
      </c>
      <c r="E49" s="90" t="s">
        <v>1658</v>
      </c>
      <c r="F49" s="100" t="s">
        <v>31</v>
      </c>
      <c r="G49" s="87" t="s">
        <v>2</v>
      </c>
      <c r="H49" s="87" t="s">
        <v>30</v>
      </c>
      <c r="I49">
        <v>-0.41666666699999999</v>
      </c>
      <c r="J49">
        <v>34.200000000000003</v>
      </c>
      <c r="K49" s="87" t="s">
        <v>29</v>
      </c>
      <c r="AV49" t="s">
        <v>1661</v>
      </c>
      <c r="AW49">
        <v>54</v>
      </c>
      <c r="AX49" t="s">
        <v>234</v>
      </c>
      <c r="AY49">
        <v>1</v>
      </c>
      <c r="AZ49" t="s">
        <v>1667</v>
      </c>
      <c r="BA49">
        <v>2007</v>
      </c>
      <c r="BB49">
        <v>2008</v>
      </c>
      <c r="BD49" t="s">
        <v>238</v>
      </c>
      <c r="BE49" t="s">
        <v>1654</v>
      </c>
      <c r="BF49" t="s">
        <v>284</v>
      </c>
      <c r="BH49" t="s">
        <v>23</v>
      </c>
      <c r="BI49" t="s">
        <v>1662</v>
      </c>
      <c r="BJ49" s="87" t="s">
        <v>22</v>
      </c>
      <c r="BK49">
        <v>44444</v>
      </c>
      <c r="BL49" t="s">
        <v>56</v>
      </c>
      <c r="BM49" t="s">
        <v>1659</v>
      </c>
      <c r="BN49" t="s">
        <v>1660</v>
      </c>
      <c r="BO49" s="87" t="s">
        <v>22</v>
      </c>
      <c r="BP49">
        <v>44444</v>
      </c>
      <c r="BQ49" t="s">
        <v>56</v>
      </c>
      <c r="BR49" t="s">
        <v>1646</v>
      </c>
      <c r="BS49" t="s">
        <v>234</v>
      </c>
      <c r="BT49" t="s">
        <v>234</v>
      </c>
      <c r="BU49" t="s">
        <v>234</v>
      </c>
      <c r="EH49" s="9"/>
      <c r="EI49" s="9"/>
      <c r="EJ49" s="9"/>
      <c r="EK49" s="9"/>
      <c r="EL49" s="9"/>
      <c r="EM49" s="9"/>
      <c r="EN49" s="9"/>
      <c r="EO49" s="9"/>
      <c r="EP49" s="9"/>
      <c r="EQ49" s="9"/>
      <c r="ER49" s="9"/>
      <c r="ES49" s="9"/>
      <c r="ET49" s="9"/>
      <c r="EU49" s="9"/>
      <c r="EV49" s="9"/>
      <c r="EW49" s="9"/>
      <c r="EX49" s="9"/>
      <c r="EY49" s="9"/>
      <c r="EZ49" s="9"/>
      <c r="FA49" s="9"/>
      <c r="FB49" s="9"/>
      <c r="FC49" s="9"/>
      <c r="FD49" s="9"/>
      <c r="FE49" s="9"/>
      <c r="FF49" s="9"/>
      <c r="FG49" s="9"/>
      <c r="FH49" s="9"/>
      <c r="FI49" s="9"/>
      <c r="FJ49" s="9"/>
      <c r="FK49" s="9"/>
      <c r="FL49" s="9"/>
      <c r="FM49" s="9"/>
      <c r="FN49" s="9"/>
      <c r="FO49" s="9"/>
      <c r="FP49" s="9"/>
      <c r="FQ49" s="9"/>
      <c r="FR49" s="9"/>
      <c r="FS49" s="9"/>
      <c r="FT49" s="9"/>
      <c r="FU49" s="9"/>
      <c r="FV49" s="9"/>
      <c r="FW49" s="9"/>
      <c r="FX49" s="9"/>
      <c r="FY49" s="9"/>
      <c r="FZ49" s="9"/>
      <c r="GA49" s="9"/>
      <c r="GB49" s="9"/>
      <c r="GC49" s="9"/>
      <c r="GD49" s="9"/>
      <c r="GE49" s="9"/>
      <c r="GF49" s="9"/>
      <c r="GG49" s="9"/>
      <c r="GH49" s="9"/>
      <c r="GI49" s="9"/>
      <c r="GJ49" s="9"/>
      <c r="GK49" s="9"/>
      <c r="GL49" s="9"/>
      <c r="GM49" s="9"/>
      <c r="GN49" s="9"/>
      <c r="GO49" s="9"/>
      <c r="GP49" s="9"/>
      <c r="GQ49" s="9"/>
      <c r="GR49" s="9"/>
      <c r="GS49" s="9"/>
      <c r="GT49" s="9"/>
      <c r="GU49" s="9"/>
      <c r="GV49" s="9"/>
      <c r="GW49" s="9"/>
      <c r="GX49" s="9"/>
      <c r="GY49" s="9"/>
      <c r="GZ49" s="9"/>
      <c r="HA49" s="9"/>
      <c r="HB49" s="9"/>
      <c r="HC49" s="9"/>
      <c r="HD49" s="9"/>
      <c r="HE49" s="9"/>
      <c r="HF49" s="9"/>
      <c r="HG49" s="9"/>
      <c r="HH49" s="9"/>
      <c r="HI49" s="9"/>
      <c r="HJ49" s="9"/>
      <c r="HK49" s="9"/>
      <c r="HW49" s="58"/>
      <c r="IF49" t="s">
        <v>1654</v>
      </c>
      <c r="IG49" s="84" t="s">
        <v>1665</v>
      </c>
      <c r="IH49" t="s">
        <v>660</v>
      </c>
      <c r="II49" t="s">
        <v>661</v>
      </c>
      <c r="IJ49" t="s">
        <v>836</v>
      </c>
      <c r="IK49" t="s">
        <v>836</v>
      </c>
      <c r="IL49" s="87" t="s">
        <v>29</v>
      </c>
      <c r="JH49" t="s">
        <v>1663</v>
      </c>
      <c r="JI49" t="s">
        <v>15</v>
      </c>
      <c r="JJ49" t="s">
        <v>14</v>
      </c>
      <c r="JK49" s="8" t="s">
        <v>1664</v>
      </c>
      <c r="JN49" t="s">
        <v>13</v>
      </c>
      <c r="JO49">
        <v>40</v>
      </c>
      <c r="JP49">
        <v>50</v>
      </c>
      <c r="KD49" t="s">
        <v>12</v>
      </c>
      <c r="MR49" t="s">
        <v>1640</v>
      </c>
      <c r="MS49">
        <v>36</v>
      </c>
      <c r="MT49" t="s">
        <v>1649</v>
      </c>
      <c r="MV49" t="s">
        <v>168</v>
      </c>
      <c r="MW49" t="s">
        <v>1671</v>
      </c>
      <c r="MX49" t="s">
        <v>1673</v>
      </c>
      <c r="MY49" t="s">
        <v>1674</v>
      </c>
      <c r="ND49" t="s">
        <v>1679</v>
      </c>
      <c r="NE49" t="s">
        <v>1680</v>
      </c>
      <c r="NF49" t="s">
        <v>1518</v>
      </c>
      <c r="NG49" t="s">
        <v>265</v>
      </c>
      <c r="NP49" t="s">
        <v>6</v>
      </c>
      <c r="NQ49">
        <v>25041.1</v>
      </c>
      <c r="NR49" s="4" t="s">
        <v>4</v>
      </c>
      <c r="NS49">
        <v>53</v>
      </c>
      <c r="NV49">
        <v>4</v>
      </c>
      <c r="OG49" t="s">
        <v>1682</v>
      </c>
      <c r="OH49" s="87" t="s">
        <v>2</v>
      </c>
      <c r="OI49">
        <v>2007</v>
      </c>
      <c r="OL49" t="s">
        <v>1656</v>
      </c>
      <c r="ON49" t="s">
        <v>1169</v>
      </c>
      <c r="OO49" s="58">
        <v>46105</v>
      </c>
    </row>
    <row r="50" spans="1:405" ht="15.75" thickBot="1">
      <c r="A50" t="s">
        <v>248</v>
      </c>
      <c r="B50" t="s">
        <v>1870</v>
      </c>
      <c r="C50" t="s">
        <v>34</v>
      </c>
      <c r="D50" s="100" t="s">
        <v>31</v>
      </c>
      <c r="E50" s="90" t="s">
        <v>1658</v>
      </c>
      <c r="F50" s="100" t="s">
        <v>31</v>
      </c>
      <c r="G50" s="87" t="s">
        <v>2</v>
      </c>
      <c r="H50" s="87" t="s">
        <v>30</v>
      </c>
      <c r="I50">
        <v>-0.41666666699999999</v>
      </c>
      <c r="J50">
        <v>34.200000000000003</v>
      </c>
      <c r="K50" s="87" t="s">
        <v>29</v>
      </c>
      <c r="AV50" t="s">
        <v>1661</v>
      </c>
      <c r="AW50">
        <v>55</v>
      </c>
      <c r="AX50" t="s">
        <v>234</v>
      </c>
      <c r="AY50">
        <v>1</v>
      </c>
      <c r="AZ50" t="s">
        <v>1667</v>
      </c>
      <c r="BA50">
        <v>2007</v>
      </c>
      <c r="BB50">
        <v>2008</v>
      </c>
      <c r="BD50" t="s">
        <v>238</v>
      </c>
      <c r="BE50" t="s">
        <v>1655</v>
      </c>
      <c r="BF50" t="s">
        <v>277</v>
      </c>
      <c r="BH50" t="s">
        <v>23</v>
      </c>
      <c r="BI50" t="s">
        <v>1662</v>
      </c>
      <c r="BJ50" s="87" t="s">
        <v>22</v>
      </c>
      <c r="BK50">
        <v>44444</v>
      </c>
      <c r="BL50" t="s">
        <v>56</v>
      </c>
      <c r="BM50" t="s">
        <v>1659</v>
      </c>
      <c r="BN50" t="s">
        <v>1660</v>
      </c>
      <c r="BO50" s="87" t="s">
        <v>22</v>
      </c>
      <c r="BP50">
        <v>44444</v>
      </c>
      <c r="BQ50" t="s">
        <v>56</v>
      </c>
      <c r="BR50" t="s">
        <v>1646</v>
      </c>
      <c r="BS50" t="s">
        <v>234</v>
      </c>
      <c r="BT50" t="s">
        <v>234</v>
      </c>
      <c r="BU50" t="s">
        <v>234</v>
      </c>
      <c r="EH50" s="9"/>
      <c r="EI50" s="9"/>
      <c r="EJ50" s="9"/>
      <c r="EK50" s="9"/>
      <c r="EL50" s="9"/>
      <c r="EM50" s="9"/>
      <c r="EN50" s="9"/>
      <c r="EO50" s="9"/>
      <c r="EP50" s="9"/>
      <c r="EQ50" s="9"/>
      <c r="ER50" s="9"/>
      <c r="ES50" s="9"/>
      <c r="ET50" s="9"/>
      <c r="EU50" s="9"/>
      <c r="EV50" s="9"/>
      <c r="EW50" s="9"/>
      <c r="EX50" s="9"/>
      <c r="EY50" s="9"/>
      <c r="EZ50" s="9"/>
      <c r="FA50" s="9"/>
      <c r="FB50" s="9"/>
      <c r="FC50" s="9"/>
      <c r="FD50" s="9"/>
      <c r="FE50" s="9"/>
      <c r="FF50" s="9"/>
      <c r="FG50" s="9"/>
      <c r="FH50" s="9"/>
      <c r="FI50" s="9"/>
      <c r="FJ50" s="9"/>
      <c r="FK50" s="9"/>
      <c r="FL50" s="9"/>
      <c r="FM50" s="9"/>
      <c r="FN50" s="9"/>
      <c r="FO50" s="9"/>
      <c r="FP50" s="9"/>
      <c r="FQ50" s="9"/>
      <c r="FR50" s="9"/>
      <c r="FS50" s="9"/>
      <c r="FT50" s="9"/>
      <c r="FU50" s="9"/>
      <c r="FV50" s="9"/>
      <c r="FW50" s="9"/>
      <c r="FX50" s="9"/>
      <c r="FY50" s="9"/>
      <c r="FZ50" s="9"/>
      <c r="GA50" s="9"/>
      <c r="GB50" s="9"/>
      <c r="GC50" s="9"/>
      <c r="GD50" s="9"/>
      <c r="GE50" s="9"/>
      <c r="GF50" s="9"/>
      <c r="GG50" s="9"/>
      <c r="GH50" s="9"/>
      <c r="GI50" s="9"/>
      <c r="GJ50" s="9"/>
      <c r="GK50" s="9"/>
      <c r="GL50" s="9"/>
      <c r="GM50" s="9"/>
      <c r="GN50" s="9"/>
      <c r="GO50" s="9"/>
      <c r="GP50" s="9"/>
      <c r="GQ50" s="9"/>
      <c r="GR50" s="9"/>
      <c r="GS50" s="9"/>
      <c r="GT50" s="9"/>
      <c r="GU50" s="9"/>
      <c r="GV50" s="9"/>
      <c r="GW50" s="9"/>
      <c r="GX50" s="9"/>
      <c r="GY50" s="9"/>
      <c r="GZ50" s="9"/>
      <c r="HA50" s="9"/>
      <c r="HB50" s="9"/>
      <c r="HC50" s="9"/>
      <c r="HD50" s="9"/>
      <c r="HE50" s="9"/>
      <c r="HF50" s="9"/>
      <c r="HG50" s="9"/>
      <c r="HH50" s="9"/>
      <c r="HI50" s="9"/>
      <c r="HJ50" s="9"/>
      <c r="HK50" s="9"/>
      <c r="HW50" s="58"/>
      <c r="IF50" t="s">
        <v>1655</v>
      </c>
      <c r="IG50" s="84" t="s">
        <v>1665</v>
      </c>
      <c r="IH50" t="s">
        <v>660</v>
      </c>
      <c r="II50" t="s">
        <v>661</v>
      </c>
      <c r="IJ50" t="s">
        <v>836</v>
      </c>
      <c r="IK50" t="s">
        <v>836</v>
      </c>
      <c r="IL50" s="87" t="s">
        <v>29</v>
      </c>
      <c r="JH50" t="s">
        <v>1663</v>
      </c>
      <c r="JI50" t="s">
        <v>15</v>
      </c>
      <c r="JJ50" t="s">
        <v>14</v>
      </c>
      <c r="JK50" s="8" t="s">
        <v>1664</v>
      </c>
      <c r="JN50" t="s">
        <v>13</v>
      </c>
      <c r="JO50">
        <v>40</v>
      </c>
      <c r="JP50">
        <v>50</v>
      </c>
      <c r="KD50" t="s">
        <v>12</v>
      </c>
      <c r="MR50" t="s">
        <v>1640</v>
      </c>
      <c r="MS50">
        <v>36</v>
      </c>
      <c r="MT50" t="s">
        <v>1649</v>
      </c>
      <c r="MV50" t="s">
        <v>168</v>
      </c>
      <c r="MW50" t="s">
        <v>1671</v>
      </c>
      <c r="MX50" t="s">
        <v>1673</v>
      </c>
      <c r="MY50" t="s">
        <v>1674</v>
      </c>
      <c r="ND50" t="s">
        <v>1679</v>
      </c>
      <c r="NE50" t="s">
        <v>1680</v>
      </c>
      <c r="NF50" t="s">
        <v>1518</v>
      </c>
      <c r="NG50" t="s">
        <v>265</v>
      </c>
      <c r="NP50" t="s">
        <v>6</v>
      </c>
      <c r="NQ50">
        <v>2582.5</v>
      </c>
      <c r="NR50" s="4" t="s">
        <v>4</v>
      </c>
      <c r="NS50">
        <v>75</v>
      </c>
      <c r="NV50">
        <v>4</v>
      </c>
      <c r="OG50" t="s">
        <v>1682</v>
      </c>
      <c r="OH50" s="87" t="s">
        <v>2</v>
      </c>
      <c r="OI50">
        <v>2007</v>
      </c>
      <c r="OL50" t="s">
        <v>1656</v>
      </c>
      <c r="ON50" t="s">
        <v>1169</v>
      </c>
      <c r="OO50" s="58">
        <v>46105</v>
      </c>
    </row>
    <row r="51" spans="1:405" ht="15.75" thickBot="1">
      <c r="A51" t="s">
        <v>248</v>
      </c>
      <c r="B51" t="s">
        <v>1870</v>
      </c>
      <c r="C51" t="s">
        <v>34</v>
      </c>
      <c r="D51" s="100" t="s">
        <v>31</v>
      </c>
      <c r="E51" s="90" t="s">
        <v>1658</v>
      </c>
      <c r="F51" s="100" t="s">
        <v>31</v>
      </c>
      <c r="G51" s="87" t="s">
        <v>2</v>
      </c>
      <c r="H51" s="87" t="s">
        <v>30</v>
      </c>
      <c r="I51">
        <v>-0.41666666699999999</v>
      </c>
      <c r="J51">
        <v>34.200000000000003</v>
      </c>
      <c r="K51" s="87" t="s">
        <v>29</v>
      </c>
      <c r="AV51" t="s">
        <v>1661</v>
      </c>
      <c r="AW51">
        <v>36</v>
      </c>
      <c r="AX51" t="s">
        <v>234</v>
      </c>
      <c r="AY51">
        <v>1</v>
      </c>
      <c r="AZ51" t="s">
        <v>1667</v>
      </c>
      <c r="BA51">
        <v>2007</v>
      </c>
      <c r="BB51">
        <v>2008</v>
      </c>
      <c r="BD51" t="s">
        <v>19</v>
      </c>
      <c r="BE51" t="s">
        <v>1639</v>
      </c>
      <c r="BF51" t="s">
        <v>39</v>
      </c>
      <c r="BH51" t="s">
        <v>23</v>
      </c>
      <c r="BI51" t="s">
        <v>1662</v>
      </c>
      <c r="BJ51" s="87" t="s">
        <v>22</v>
      </c>
      <c r="BK51">
        <v>44444</v>
      </c>
      <c r="IF51" t="s">
        <v>1639</v>
      </c>
      <c r="IG51" t="s">
        <v>19</v>
      </c>
      <c r="JH51" t="s">
        <v>1663</v>
      </c>
      <c r="JI51" t="s">
        <v>15</v>
      </c>
      <c r="JJ51" t="s">
        <v>14</v>
      </c>
      <c r="JK51" s="8" t="s">
        <v>1664</v>
      </c>
      <c r="JN51" t="s">
        <v>13</v>
      </c>
      <c r="JO51">
        <v>40</v>
      </c>
      <c r="JP51">
        <v>50</v>
      </c>
      <c r="KD51" t="s">
        <v>12</v>
      </c>
      <c r="MR51" t="s">
        <v>1640</v>
      </c>
      <c r="MS51">
        <v>36</v>
      </c>
      <c r="NC51" t="s">
        <v>1677</v>
      </c>
      <c r="ND51" t="s">
        <v>1413</v>
      </c>
      <c r="NF51" t="s">
        <v>1416</v>
      </c>
      <c r="NG51" t="s">
        <v>265</v>
      </c>
      <c r="NP51" t="s">
        <v>6</v>
      </c>
      <c r="NQ51">
        <v>799.5</v>
      </c>
      <c r="NR51" s="4" t="s">
        <v>4</v>
      </c>
      <c r="NS51">
        <v>8</v>
      </c>
      <c r="NV51">
        <v>4</v>
      </c>
      <c r="OG51" t="s">
        <v>1657</v>
      </c>
      <c r="OH51" s="87" t="s">
        <v>2</v>
      </c>
      <c r="OI51">
        <v>2007</v>
      </c>
      <c r="OL51" t="s">
        <v>1656</v>
      </c>
      <c r="ON51" t="s">
        <v>1169</v>
      </c>
      <c r="OO51" s="58">
        <v>46105</v>
      </c>
    </row>
    <row r="52" spans="1:405" ht="15.75" thickBot="1">
      <c r="A52" t="s">
        <v>248</v>
      </c>
      <c r="B52" t="s">
        <v>1870</v>
      </c>
      <c r="C52" t="s">
        <v>34</v>
      </c>
      <c r="D52" s="100" t="s">
        <v>31</v>
      </c>
      <c r="E52" s="90" t="s">
        <v>1658</v>
      </c>
      <c r="F52" s="100" t="s">
        <v>31</v>
      </c>
      <c r="G52" s="87" t="s">
        <v>2</v>
      </c>
      <c r="H52" s="87" t="s">
        <v>30</v>
      </c>
      <c r="I52">
        <v>-0.41666666699999999</v>
      </c>
      <c r="J52">
        <v>34.200000000000003</v>
      </c>
      <c r="K52" s="87" t="s">
        <v>29</v>
      </c>
      <c r="AV52" t="s">
        <v>1661</v>
      </c>
      <c r="AW52">
        <v>37</v>
      </c>
      <c r="AX52" t="s">
        <v>234</v>
      </c>
      <c r="AY52">
        <v>1</v>
      </c>
      <c r="AZ52" t="s">
        <v>1667</v>
      </c>
      <c r="BA52">
        <v>2007</v>
      </c>
      <c r="BB52">
        <v>2008</v>
      </c>
      <c r="BD52" t="s">
        <v>238</v>
      </c>
      <c r="BE52" t="s">
        <v>1643</v>
      </c>
      <c r="BF52" t="s">
        <v>64</v>
      </c>
      <c r="BH52" t="s">
        <v>23</v>
      </c>
      <c r="BI52" t="s">
        <v>1662</v>
      </c>
      <c r="BJ52" s="87" t="s">
        <v>22</v>
      </c>
      <c r="BK52">
        <v>44444</v>
      </c>
      <c r="BL52" t="s">
        <v>56</v>
      </c>
      <c r="BM52" t="s">
        <v>1659</v>
      </c>
      <c r="BN52" t="s">
        <v>1660</v>
      </c>
      <c r="BO52" s="87" t="s">
        <v>22</v>
      </c>
      <c r="BP52">
        <v>44444</v>
      </c>
      <c r="IF52" t="s">
        <v>1643</v>
      </c>
      <c r="IG52" s="84" t="s">
        <v>1443</v>
      </c>
      <c r="IH52" t="s">
        <v>660</v>
      </c>
      <c r="II52" t="s">
        <v>661</v>
      </c>
      <c r="IJ52" t="s">
        <v>836</v>
      </c>
      <c r="IK52" t="s">
        <v>836</v>
      </c>
      <c r="IL52" s="87" t="s">
        <v>29</v>
      </c>
      <c r="JH52" t="s">
        <v>1663</v>
      </c>
      <c r="JI52" t="s">
        <v>15</v>
      </c>
      <c r="JJ52" t="s">
        <v>14</v>
      </c>
      <c r="JK52" s="8" t="s">
        <v>1664</v>
      </c>
      <c r="JN52" t="s">
        <v>13</v>
      </c>
      <c r="JO52">
        <v>40</v>
      </c>
      <c r="JP52">
        <v>50</v>
      </c>
      <c r="KD52" t="s">
        <v>12</v>
      </c>
      <c r="MR52" t="s">
        <v>1640</v>
      </c>
      <c r="MS52">
        <v>36</v>
      </c>
      <c r="NC52" t="s">
        <v>1678</v>
      </c>
      <c r="ND52" t="s">
        <v>1413</v>
      </c>
      <c r="NF52" t="s">
        <v>1416</v>
      </c>
      <c r="NG52" t="s">
        <v>265</v>
      </c>
      <c r="NP52" t="s">
        <v>6</v>
      </c>
      <c r="NQ52">
        <v>959.9</v>
      </c>
      <c r="NR52" s="4" t="s">
        <v>4</v>
      </c>
      <c r="NS52">
        <v>14</v>
      </c>
      <c r="NV52">
        <v>4</v>
      </c>
      <c r="OG52" t="s">
        <v>1657</v>
      </c>
      <c r="OH52" s="87" t="s">
        <v>2</v>
      </c>
      <c r="OI52">
        <v>2007</v>
      </c>
      <c r="OL52" t="s">
        <v>1656</v>
      </c>
      <c r="ON52" t="s">
        <v>1169</v>
      </c>
      <c r="OO52" s="58">
        <v>46105</v>
      </c>
    </row>
    <row r="53" spans="1:405" ht="15.75" thickBot="1">
      <c r="A53" t="s">
        <v>248</v>
      </c>
      <c r="B53" t="s">
        <v>1870</v>
      </c>
      <c r="C53" t="s">
        <v>34</v>
      </c>
      <c r="D53" s="100" t="s">
        <v>31</v>
      </c>
      <c r="E53" s="90" t="s">
        <v>1658</v>
      </c>
      <c r="F53" s="100" t="s">
        <v>31</v>
      </c>
      <c r="G53" s="87" t="s">
        <v>2</v>
      </c>
      <c r="H53" s="87" t="s">
        <v>30</v>
      </c>
      <c r="I53">
        <v>-0.41666666699999999</v>
      </c>
      <c r="J53">
        <v>34.200000000000003</v>
      </c>
      <c r="K53" s="87" t="s">
        <v>29</v>
      </c>
      <c r="AV53" t="s">
        <v>1661</v>
      </c>
      <c r="AW53">
        <v>38</v>
      </c>
      <c r="AX53" t="s">
        <v>234</v>
      </c>
      <c r="AY53">
        <v>1</v>
      </c>
      <c r="AZ53" t="s">
        <v>1667</v>
      </c>
      <c r="BA53">
        <v>2007</v>
      </c>
      <c r="BB53">
        <v>2008</v>
      </c>
      <c r="BD53" t="s">
        <v>238</v>
      </c>
      <c r="BE53" t="s">
        <v>1645</v>
      </c>
      <c r="BF53" t="s">
        <v>57</v>
      </c>
      <c r="BH53" t="s">
        <v>23</v>
      </c>
      <c r="BI53" t="s">
        <v>1662</v>
      </c>
      <c r="BJ53" s="87" t="s">
        <v>22</v>
      </c>
      <c r="BK53">
        <v>44444</v>
      </c>
      <c r="BL53" t="s">
        <v>56</v>
      </c>
      <c r="BM53" t="s">
        <v>1646</v>
      </c>
      <c r="BN53" t="s">
        <v>234</v>
      </c>
      <c r="BO53" t="s">
        <v>234</v>
      </c>
      <c r="BP53" t="s">
        <v>234</v>
      </c>
      <c r="IF53" t="s">
        <v>1645</v>
      </c>
      <c r="IG53" s="84" t="s">
        <v>1665</v>
      </c>
      <c r="IH53" t="s">
        <v>660</v>
      </c>
      <c r="II53" t="s">
        <v>661</v>
      </c>
      <c r="IJ53" t="s">
        <v>836</v>
      </c>
      <c r="IK53" t="s">
        <v>836</v>
      </c>
      <c r="IL53" s="87" t="s">
        <v>29</v>
      </c>
      <c r="JH53" t="s">
        <v>1663</v>
      </c>
      <c r="JI53" t="s">
        <v>15</v>
      </c>
      <c r="JJ53" t="s">
        <v>14</v>
      </c>
      <c r="JK53" s="8" t="s">
        <v>1664</v>
      </c>
      <c r="JN53" t="s">
        <v>13</v>
      </c>
      <c r="JO53">
        <v>40</v>
      </c>
      <c r="JP53">
        <v>50</v>
      </c>
      <c r="KD53" t="s">
        <v>12</v>
      </c>
      <c r="MR53" t="s">
        <v>1640</v>
      </c>
      <c r="MS53">
        <v>36</v>
      </c>
      <c r="NC53" t="s">
        <v>1678</v>
      </c>
      <c r="ND53" t="s">
        <v>1413</v>
      </c>
      <c r="NF53" t="s">
        <v>1416</v>
      </c>
      <c r="NG53" t="s">
        <v>265</v>
      </c>
      <c r="NP53" t="s">
        <v>6</v>
      </c>
      <c r="NQ53">
        <v>1006</v>
      </c>
      <c r="NR53" s="4" t="s">
        <v>4</v>
      </c>
      <c r="NS53">
        <v>7</v>
      </c>
      <c r="NV53">
        <v>4</v>
      </c>
      <c r="OG53" t="s">
        <v>1657</v>
      </c>
      <c r="OH53" s="87" t="s">
        <v>2</v>
      </c>
      <c r="OI53">
        <v>2007</v>
      </c>
      <c r="OL53" t="s">
        <v>1656</v>
      </c>
      <c r="ON53" t="s">
        <v>1169</v>
      </c>
      <c r="OO53" s="58">
        <v>46105</v>
      </c>
    </row>
    <row r="54" spans="1:405" ht="15.75" thickBot="1">
      <c r="A54" t="s">
        <v>248</v>
      </c>
      <c r="B54" t="s">
        <v>1870</v>
      </c>
      <c r="C54" t="s">
        <v>34</v>
      </c>
      <c r="D54" s="100" t="s">
        <v>31</v>
      </c>
      <c r="E54" s="90" t="s">
        <v>1658</v>
      </c>
      <c r="F54" s="100" t="s">
        <v>31</v>
      </c>
      <c r="G54" s="87" t="s">
        <v>2</v>
      </c>
      <c r="H54" s="87" t="s">
        <v>30</v>
      </c>
      <c r="I54">
        <v>-0.41666666699999999</v>
      </c>
      <c r="J54">
        <v>34.200000000000003</v>
      </c>
      <c r="K54" s="87" t="s">
        <v>29</v>
      </c>
      <c r="AV54" t="s">
        <v>1661</v>
      </c>
      <c r="AW54">
        <v>39</v>
      </c>
      <c r="AX54" t="s">
        <v>234</v>
      </c>
      <c r="AY54">
        <v>1</v>
      </c>
      <c r="AZ54" t="s">
        <v>1667</v>
      </c>
      <c r="BA54">
        <v>2007</v>
      </c>
      <c r="BB54">
        <v>2008</v>
      </c>
      <c r="BD54" t="s">
        <v>238</v>
      </c>
      <c r="BE54" t="s">
        <v>1648</v>
      </c>
      <c r="BF54" t="s">
        <v>48</v>
      </c>
      <c r="BH54" t="s">
        <v>23</v>
      </c>
      <c r="BI54" t="s">
        <v>1662</v>
      </c>
      <c r="BJ54" s="87" t="s">
        <v>22</v>
      </c>
      <c r="BK54">
        <v>44444</v>
      </c>
      <c r="BL54" t="s">
        <v>56</v>
      </c>
      <c r="BM54" t="s">
        <v>1659</v>
      </c>
      <c r="BN54" t="s">
        <v>1660</v>
      </c>
      <c r="BO54" s="87" t="s">
        <v>22</v>
      </c>
      <c r="BP54">
        <v>44444</v>
      </c>
      <c r="BQ54" t="s">
        <v>56</v>
      </c>
      <c r="BR54" t="s">
        <v>1646</v>
      </c>
      <c r="BS54" t="s">
        <v>234</v>
      </c>
      <c r="BT54" t="s">
        <v>234</v>
      </c>
      <c r="BU54" t="s">
        <v>234</v>
      </c>
      <c r="IF54" t="s">
        <v>1648</v>
      </c>
      <c r="IG54" s="84" t="s">
        <v>1665</v>
      </c>
      <c r="IH54" t="s">
        <v>660</v>
      </c>
      <c r="II54" t="s">
        <v>661</v>
      </c>
      <c r="IJ54" t="s">
        <v>836</v>
      </c>
      <c r="IK54" t="s">
        <v>836</v>
      </c>
      <c r="IL54" s="87" t="s">
        <v>29</v>
      </c>
      <c r="JH54" t="s">
        <v>1663</v>
      </c>
      <c r="JI54" t="s">
        <v>15</v>
      </c>
      <c r="JJ54" t="s">
        <v>14</v>
      </c>
      <c r="JK54" s="8" t="s">
        <v>1664</v>
      </c>
      <c r="JN54" t="s">
        <v>13</v>
      </c>
      <c r="JO54">
        <v>40</v>
      </c>
      <c r="JP54">
        <v>50</v>
      </c>
      <c r="KD54" t="s">
        <v>12</v>
      </c>
      <c r="MR54" t="s">
        <v>1640</v>
      </c>
      <c r="MS54">
        <v>36</v>
      </c>
      <c r="NC54" t="s">
        <v>1678</v>
      </c>
      <c r="ND54" t="s">
        <v>1413</v>
      </c>
      <c r="NF54" t="s">
        <v>1416</v>
      </c>
      <c r="NG54" t="s">
        <v>265</v>
      </c>
      <c r="NP54" t="s">
        <v>6</v>
      </c>
      <c r="NQ54">
        <v>1109.9000000000001</v>
      </c>
      <c r="NR54" s="4" t="s">
        <v>4</v>
      </c>
      <c r="NS54">
        <v>2</v>
      </c>
      <c r="NV54">
        <v>4</v>
      </c>
      <c r="OG54" t="s">
        <v>1657</v>
      </c>
      <c r="OH54" s="87" t="s">
        <v>2</v>
      </c>
      <c r="OI54">
        <v>2007</v>
      </c>
      <c r="OL54" t="s">
        <v>1656</v>
      </c>
      <c r="ON54" t="s">
        <v>1169</v>
      </c>
      <c r="OO54" s="58">
        <v>46105</v>
      </c>
    </row>
    <row r="55" spans="1:405" ht="15.75" thickBot="1">
      <c r="A55" t="s">
        <v>248</v>
      </c>
      <c r="B55" t="s">
        <v>1870</v>
      </c>
      <c r="C55" t="s">
        <v>34</v>
      </c>
      <c r="D55" s="100" t="s">
        <v>31</v>
      </c>
      <c r="E55" s="90" t="s">
        <v>1658</v>
      </c>
      <c r="F55" s="100" t="s">
        <v>31</v>
      </c>
      <c r="G55" s="87" t="s">
        <v>2</v>
      </c>
      <c r="H55" s="87" t="s">
        <v>30</v>
      </c>
      <c r="I55">
        <v>-0.41666666699999999</v>
      </c>
      <c r="J55">
        <v>34.200000000000003</v>
      </c>
      <c r="K55" s="87" t="s">
        <v>29</v>
      </c>
      <c r="AV55" t="s">
        <v>1661</v>
      </c>
      <c r="AW55">
        <v>40</v>
      </c>
      <c r="AX55" t="s">
        <v>234</v>
      </c>
      <c r="AY55">
        <v>1</v>
      </c>
      <c r="AZ55" t="s">
        <v>1667</v>
      </c>
      <c r="BA55">
        <v>2007</v>
      </c>
      <c r="BB55">
        <v>2008</v>
      </c>
      <c r="BD55" t="s">
        <v>238</v>
      </c>
      <c r="BE55" t="s">
        <v>1672</v>
      </c>
      <c r="BF55" t="s">
        <v>43</v>
      </c>
      <c r="BH55" t="s">
        <v>23</v>
      </c>
      <c r="BI55" t="s">
        <v>1662</v>
      </c>
      <c r="BJ55" s="87" t="s">
        <v>22</v>
      </c>
      <c r="BK55">
        <v>44444</v>
      </c>
      <c r="BL55" t="s">
        <v>56</v>
      </c>
      <c r="BM55" t="s">
        <v>1659</v>
      </c>
      <c r="BN55" t="s">
        <v>1660</v>
      </c>
      <c r="BO55" s="87" t="s">
        <v>22</v>
      </c>
      <c r="BP55">
        <v>44444</v>
      </c>
      <c r="BQ55" t="s">
        <v>56</v>
      </c>
      <c r="BR55" t="s">
        <v>1646</v>
      </c>
      <c r="BS55" t="s">
        <v>234</v>
      </c>
      <c r="BT55" t="s">
        <v>234</v>
      </c>
      <c r="BU55" t="s">
        <v>234</v>
      </c>
      <c r="IF55" t="s">
        <v>1650</v>
      </c>
      <c r="IG55" s="84" t="s">
        <v>1665</v>
      </c>
      <c r="IH55" t="s">
        <v>660</v>
      </c>
      <c r="II55" t="s">
        <v>661</v>
      </c>
      <c r="IJ55" t="s">
        <v>836</v>
      </c>
      <c r="IK55" t="s">
        <v>836</v>
      </c>
      <c r="IL55" s="87" t="s">
        <v>29</v>
      </c>
      <c r="JH55" t="s">
        <v>1663</v>
      </c>
      <c r="JI55" t="s">
        <v>15</v>
      </c>
      <c r="JJ55" t="s">
        <v>14</v>
      </c>
      <c r="JK55" s="8" t="s">
        <v>1664</v>
      </c>
      <c r="JN55" t="s">
        <v>13</v>
      </c>
      <c r="JO55">
        <v>40</v>
      </c>
      <c r="JP55">
        <v>50</v>
      </c>
      <c r="KD55" t="s">
        <v>12</v>
      </c>
      <c r="MR55" t="s">
        <v>1640</v>
      </c>
      <c r="MS55">
        <v>36</v>
      </c>
      <c r="NC55" t="s">
        <v>1678</v>
      </c>
      <c r="ND55" t="s">
        <v>1413</v>
      </c>
      <c r="NF55" t="s">
        <v>1416</v>
      </c>
      <c r="NG55" t="s">
        <v>265</v>
      </c>
      <c r="NP55" t="s">
        <v>6</v>
      </c>
      <c r="NQ55">
        <v>1148.7</v>
      </c>
      <c r="NR55" s="4" t="s">
        <v>4</v>
      </c>
      <c r="NS55">
        <v>6</v>
      </c>
      <c r="NV55">
        <v>4</v>
      </c>
      <c r="OG55" t="s">
        <v>1657</v>
      </c>
      <c r="OH55" s="87" t="s">
        <v>2</v>
      </c>
      <c r="OI55">
        <v>2007</v>
      </c>
      <c r="OL55" t="s">
        <v>1656</v>
      </c>
      <c r="ON55" t="s">
        <v>1169</v>
      </c>
      <c r="OO55" s="58">
        <v>46105</v>
      </c>
    </row>
    <row r="56" spans="1:405" ht="15.75" thickBot="1">
      <c r="A56" t="s">
        <v>248</v>
      </c>
      <c r="B56" t="s">
        <v>1870</v>
      </c>
      <c r="C56" t="s">
        <v>34</v>
      </c>
      <c r="D56" s="100" t="s">
        <v>31</v>
      </c>
      <c r="E56" s="90" t="s">
        <v>1658</v>
      </c>
      <c r="F56" s="100" t="s">
        <v>31</v>
      </c>
      <c r="G56" s="87" t="s">
        <v>2</v>
      </c>
      <c r="H56" s="87" t="s">
        <v>30</v>
      </c>
      <c r="I56">
        <v>-0.41666666699999999</v>
      </c>
      <c r="J56">
        <v>34.200000000000003</v>
      </c>
      <c r="K56" s="87" t="s">
        <v>29</v>
      </c>
      <c r="AV56" t="s">
        <v>1661</v>
      </c>
      <c r="AW56">
        <v>41</v>
      </c>
      <c r="AX56" t="s">
        <v>234</v>
      </c>
      <c r="AY56">
        <v>1</v>
      </c>
      <c r="AZ56" t="s">
        <v>1668</v>
      </c>
      <c r="BA56">
        <v>2007</v>
      </c>
      <c r="BB56">
        <v>2008</v>
      </c>
      <c r="BD56" t="s">
        <v>19</v>
      </c>
      <c r="BE56" t="s">
        <v>1639</v>
      </c>
      <c r="BF56" t="s">
        <v>39</v>
      </c>
      <c r="BH56" t="s">
        <v>23</v>
      </c>
      <c r="BI56" t="s">
        <v>1662</v>
      </c>
      <c r="BJ56" s="87" t="s">
        <v>22</v>
      </c>
      <c r="BK56">
        <v>44444</v>
      </c>
      <c r="IF56" t="s">
        <v>1639</v>
      </c>
      <c r="IG56" t="s">
        <v>19</v>
      </c>
      <c r="JH56" t="s">
        <v>1663</v>
      </c>
      <c r="JI56" t="s">
        <v>15</v>
      </c>
      <c r="JJ56" t="s">
        <v>14</v>
      </c>
      <c r="JK56" s="8" t="s">
        <v>1664</v>
      </c>
      <c r="JN56" t="s">
        <v>13</v>
      </c>
      <c r="JO56">
        <v>40</v>
      </c>
      <c r="JP56">
        <v>50</v>
      </c>
      <c r="KD56" t="s">
        <v>12</v>
      </c>
      <c r="MR56" t="s">
        <v>1640</v>
      </c>
      <c r="MS56">
        <v>36</v>
      </c>
      <c r="NC56" t="s">
        <v>1677</v>
      </c>
      <c r="ND56" t="s">
        <v>1413</v>
      </c>
      <c r="NF56" t="s">
        <v>1416</v>
      </c>
      <c r="NG56" t="s">
        <v>265</v>
      </c>
      <c r="NP56" t="s">
        <v>6</v>
      </c>
      <c r="NQ56">
        <v>843.7</v>
      </c>
      <c r="NR56" s="4" t="s">
        <v>4</v>
      </c>
      <c r="NS56">
        <v>4</v>
      </c>
      <c r="NV56">
        <v>4</v>
      </c>
      <c r="OG56" t="s">
        <v>1657</v>
      </c>
      <c r="OH56" s="87" t="s">
        <v>2</v>
      </c>
      <c r="OI56">
        <v>2008</v>
      </c>
      <c r="OL56" t="s">
        <v>1666</v>
      </c>
      <c r="ON56" t="s">
        <v>1169</v>
      </c>
      <c r="OO56" s="58">
        <v>46105</v>
      </c>
    </row>
    <row r="57" spans="1:405" ht="15.75" thickBot="1">
      <c r="A57" t="s">
        <v>248</v>
      </c>
      <c r="B57" t="s">
        <v>1870</v>
      </c>
      <c r="C57" t="s">
        <v>34</v>
      </c>
      <c r="D57" s="100" t="s">
        <v>31</v>
      </c>
      <c r="E57" s="90" t="s">
        <v>1658</v>
      </c>
      <c r="F57" s="100" t="s">
        <v>31</v>
      </c>
      <c r="G57" s="87" t="s">
        <v>2</v>
      </c>
      <c r="H57" s="87" t="s">
        <v>30</v>
      </c>
      <c r="I57">
        <v>-0.41666666699999999</v>
      </c>
      <c r="J57">
        <v>34.200000000000003</v>
      </c>
      <c r="K57" s="87" t="s">
        <v>29</v>
      </c>
      <c r="AV57" t="s">
        <v>1661</v>
      </c>
      <c r="AW57">
        <v>42</v>
      </c>
      <c r="AX57" t="s">
        <v>234</v>
      </c>
      <c r="AY57">
        <v>1</v>
      </c>
      <c r="AZ57" t="s">
        <v>1668</v>
      </c>
      <c r="BA57">
        <v>2007</v>
      </c>
      <c r="BB57">
        <v>2008</v>
      </c>
      <c r="BD57" t="s">
        <v>238</v>
      </c>
      <c r="BE57" t="s">
        <v>1643</v>
      </c>
      <c r="BF57" t="s">
        <v>64</v>
      </c>
      <c r="BH57" t="s">
        <v>23</v>
      </c>
      <c r="BI57" t="s">
        <v>1662</v>
      </c>
      <c r="BJ57" s="87" t="s">
        <v>22</v>
      </c>
      <c r="BK57">
        <v>44444</v>
      </c>
      <c r="BL57" t="s">
        <v>56</v>
      </c>
      <c r="BM57" t="s">
        <v>1659</v>
      </c>
      <c r="BN57" t="s">
        <v>1660</v>
      </c>
      <c r="BO57" s="87" t="s">
        <v>22</v>
      </c>
      <c r="BP57">
        <v>44444</v>
      </c>
      <c r="IF57" t="s">
        <v>1643</v>
      </c>
      <c r="IG57" s="84" t="s">
        <v>1443</v>
      </c>
      <c r="IH57" t="s">
        <v>660</v>
      </c>
      <c r="II57" t="s">
        <v>661</v>
      </c>
      <c r="IJ57" t="s">
        <v>836</v>
      </c>
      <c r="IK57" t="s">
        <v>836</v>
      </c>
      <c r="IL57" s="87" t="s">
        <v>29</v>
      </c>
      <c r="JH57" t="s">
        <v>1663</v>
      </c>
      <c r="JI57" t="s">
        <v>15</v>
      </c>
      <c r="JJ57" t="s">
        <v>14</v>
      </c>
      <c r="JK57" s="8" t="s">
        <v>1664</v>
      </c>
      <c r="JN57" t="s">
        <v>13</v>
      </c>
      <c r="JO57">
        <v>40</v>
      </c>
      <c r="JP57">
        <v>50</v>
      </c>
      <c r="KD57" t="s">
        <v>12</v>
      </c>
      <c r="MR57" t="s">
        <v>1640</v>
      </c>
      <c r="MS57">
        <v>36</v>
      </c>
      <c r="NC57" t="s">
        <v>1678</v>
      </c>
      <c r="ND57" t="s">
        <v>1413</v>
      </c>
      <c r="NF57" t="s">
        <v>1416</v>
      </c>
      <c r="NG57" t="s">
        <v>265</v>
      </c>
      <c r="NP57" t="s">
        <v>6</v>
      </c>
      <c r="NQ57">
        <v>945.3</v>
      </c>
      <c r="NR57" s="4" t="s">
        <v>4</v>
      </c>
      <c r="NS57">
        <v>14</v>
      </c>
      <c r="NV57">
        <v>4</v>
      </c>
      <c r="OG57" t="s">
        <v>1657</v>
      </c>
      <c r="OH57" s="87" t="s">
        <v>2</v>
      </c>
      <c r="OI57">
        <v>2008</v>
      </c>
      <c r="OL57" t="s">
        <v>1666</v>
      </c>
      <c r="ON57" t="s">
        <v>1169</v>
      </c>
      <c r="OO57" s="58">
        <v>46105</v>
      </c>
    </row>
    <row r="58" spans="1:405" ht="15.75" thickBot="1">
      <c r="A58" t="s">
        <v>248</v>
      </c>
      <c r="B58" t="s">
        <v>1870</v>
      </c>
      <c r="C58" t="s">
        <v>34</v>
      </c>
      <c r="D58" s="100" t="s">
        <v>31</v>
      </c>
      <c r="E58" s="90" t="s">
        <v>1658</v>
      </c>
      <c r="F58" s="100" t="s">
        <v>31</v>
      </c>
      <c r="G58" s="87" t="s">
        <v>2</v>
      </c>
      <c r="H58" s="87" t="s">
        <v>30</v>
      </c>
      <c r="I58">
        <v>-0.41666666699999999</v>
      </c>
      <c r="J58">
        <v>34.200000000000003</v>
      </c>
      <c r="K58" s="87" t="s">
        <v>29</v>
      </c>
      <c r="AV58" t="s">
        <v>1661</v>
      </c>
      <c r="AW58">
        <v>43</v>
      </c>
      <c r="AX58" t="s">
        <v>234</v>
      </c>
      <c r="AY58">
        <v>1</v>
      </c>
      <c r="AZ58" t="s">
        <v>1668</v>
      </c>
      <c r="BA58">
        <v>2007</v>
      </c>
      <c r="BB58">
        <v>2008</v>
      </c>
      <c r="BD58" t="s">
        <v>238</v>
      </c>
      <c r="BE58" t="s">
        <v>1645</v>
      </c>
      <c r="BF58" t="s">
        <v>57</v>
      </c>
      <c r="BH58" t="s">
        <v>23</v>
      </c>
      <c r="BI58" t="s">
        <v>1662</v>
      </c>
      <c r="BJ58" s="87" t="s">
        <v>22</v>
      </c>
      <c r="BK58">
        <v>44444</v>
      </c>
      <c r="BL58" t="s">
        <v>56</v>
      </c>
      <c r="BM58" t="s">
        <v>1646</v>
      </c>
      <c r="BN58" t="s">
        <v>234</v>
      </c>
      <c r="BO58" t="s">
        <v>234</v>
      </c>
      <c r="BP58" t="s">
        <v>234</v>
      </c>
      <c r="IF58" t="s">
        <v>1645</v>
      </c>
      <c r="IG58" s="84" t="s">
        <v>1665</v>
      </c>
      <c r="IH58" t="s">
        <v>660</v>
      </c>
      <c r="II58" t="s">
        <v>661</v>
      </c>
      <c r="IJ58" t="s">
        <v>836</v>
      </c>
      <c r="IK58" t="s">
        <v>836</v>
      </c>
      <c r="IL58" s="87" t="s">
        <v>29</v>
      </c>
      <c r="JH58" t="s">
        <v>1663</v>
      </c>
      <c r="JI58" t="s">
        <v>15</v>
      </c>
      <c r="JJ58" t="s">
        <v>14</v>
      </c>
      <c r="JK58" s="8" t="s">
        <v>1664</v>
      </c>
      <c r="JN58" t="s">
        <v>13</v>
      </c>
      <c r="JO58">
        <v>40</v>
      </c>
      <c r="JP58">
        <v>50</v>
      </c>
      <c r="KD58" t="s">
        <v>12</v>
      </c>
      <c r="MR58" t="s">
        <v>1640</v>
      </c>
      <c r="MS58">
        <v>36</v>
      </c>
      <c r="NC58" t="s">
        <v>1678</v>
      </c>
      <c r="ND58" t="s">
        <v>1413</v>
      </c>
      <c r="NF58" t="s">
        <v>1416</v>
      </c>
      <c r="NG58" t="s">
        <v>265</v>
      </c>
      <c r="NP58" t="s">
        <v>6</v>
      </c>
      <c r="NQ58">
        <v>1026.9000000000001</v>
      </c>
      <c r="NR58" s="4" t="s">
        <v>4</v>
      </c>
      <c r="NS58">
        <v>6</v>
      </c>
      <c r="NV58">
        <v>4</v>
      </c>
      <c r="OG58" t="s">
        <v>1657</v>
      </c>
      <c r="OH58" s="87" t="s">
        <v>2</v>
      </c>
      <c r="OI58">
        <v>2008</v>
      </c>
      <c r="OL58" t="s">
        <v>1666</v>
      </c>
      <c r="ON58" t="s">
        <v>1169</v>
      </c>
      <c r="OO58" s="58">
        <v>46105</v>
      </c>
    </row>
    <row r="59" spans="1:405" ht="15.75" thickBot="1">
      <c r="A59" t="s">
        <v>248</v>
      </c>
      <c r="B59" t="s">
        <v>1870</v>
      </c>
      <c r="C59" t="s">
        <v>34</v>
      </c>
      <c r="D59" s="100" t="s">
        <v>31</v>
      </c>
      <c r="E59" s="90" t="s">
        <v>1658</v>
      </c>
      <c r="F59" s="100" t="s">
        <v>31</v>
      </c>
      <c r="G59" s="87" t="s">
        <v>2</v>
      </c>
      <c r="H59" s="87" t="s">
        <v>30</v>
      </c>
      <c r="I59">
        <v>-0.41666666699999999</v>
      </c>
      <c r="J59">
        <v>34.200000000000003</v>
      </c>
      <c r="K59" s="87" t="s">
        <v>29</v>
      </c>
      <c r="AV59" t="s">
        <v>1661</v>
      </c>
      <c r="AW59">
        <v>44</v>
      </c>
      <c r="AX59" t="s">
        <v>234</v>
      </c>
      <c r="AY59">
        <v>1</v>
      </c>
      <c r="AZ59" t="s">
        <v>1668</v>
      </c>
      <c r="BA59">
        <v>2007</v>
      </c>
      <c r="BB59">
        <v>2008</v>
      </c>
      <c r="BD59" t="s">
        <v>238</v>
      </c>
      <c r="BE59" t="s">
        <v>1648</v>
      </c>
      <c r="BF59" t="s">
        <v>48</v>
      </c>
      <c r="BH59" t="s">
        <v>23</v>
      </c>
      <c r="BI59" t="s">
        <v>1662</v>
      </c>
      <c r="BJ59" s="87" t="s">
        <v>22</v>
      </c>
      <c r="BK59">
        <v>44444</v>
      </c>
      <c r="BL59" t="s">
        <v>56</v>
      </c>
      <c r="BM59" t="s">
        <v>1659</v>
      </c>
      <c r="BN59" t="s">
        <v>1660</v>
      </c>
      <c r="BO59" s="87" t="s">
        <v>22</v>
      </c>
      <c r="BP59">
        <v>44444</v>
      </c>
      <c r="BQ59" t="s">
        <v>56</v>
      </c>
      <c r="BR59" t="s">
        <v>1646</v>
      </c>
      <c r="BS59" t="s">
        <v>234</v>
      </c>
      <c r="BT59" t="s">
        <v>234</v>
      </c>
      <c r="BU59" t="s">
        <v>234</v>
      </c>
      <c r="IF59" t="s">
        <v>1648</v>
      </c>
      <c r="IG59" s="84" t="s">
        <v>1665</v>
      </c>
      <c r="IH59" t="s">
        <v>660</v>
      </c>
      <c r="II59" t="s">
        <v>661</v>
      </c>
      <c r="IJ59" t="s">
        <v>836</v>
      </c>
      <c r="IK59" t="s">
        <v>836</v>
      </c>
      <c r="IL59" s="87" t="s">
        <v>29</v>
      </c>
      <c r="JH59" t="s">
        <v>1663</v>
      </c>
      <c r="JI59" t="s">
        <v>15</v>
      </c>
      <c r="JJ59" t="s">
        <v>14</v>
      </c>
      <c r="JK59" s="8" t="s">
        <v>1664</v>
      </c>
      <c r="JN59" t="s">
        <v>13</v>
      </c>
      <c r="JO59">
        <v>40</v>
      </c>
      <c r="JP59">
        <v>50</v>
      </c>
      <c r="KD59" t="s">
        <v>12</v>
      </c>
      <c r="MR59" t="s">
        <v>1640</v>
      </c>
      <c r="MS59">
        <v>36</v>
      </c>
      <c r="NC59" t="s">
        <v>1678</v>
      </c>
      <c r="ND59" t="s">
        <v>1413</v>
      </c>
      <c r="NF59" t="s">
        <v>1416</v>
      </c>
      <c r="NG59" t="s">
        <v>265</v>
      </c>
      <c r="NP59" t="s">
        <v>6</v>
      </c>
      <c r="NQ59">
        <v>1100.8</v>
      </c>
      <c r="NR59" s="4" t="s">
        <v>4</v>
      </c>
      <c r="NS59">
        <v>6</v>
      </c>
      <c r="NV59">
        <v>4</v>
      </c>
      <c r="OG59" t="s">
        <v>1657</v>
      </c>
      <c r="OH59" s="87" t="s">
        <v>2</v>
      </c>
      <c r="OI59">
        <v>2008</v>
      </c>
      <c r="OL59" t="s">
        <v>1666</v>
      </c>
      <c r="ON59" t="s">
        <v>1169</v>
      </c>
      <c r="OO59" s="58">
        <v>46105</v>
      </c>
    </row>
    <row r="60" spans="1:405" ht="15.75" thickBot="1">
      <c r="A60" t="s">
        <v>248</v>
      </c>
      <c r="B60" t="s">
        <v>1870</v>
      </c>
      <c r="C60" t="s">
        <v>34</v>
      </c>
      <c r="D60" s="100" t="s">
        <v>31</v>
      </c>
      <c r="E60" s="90" t="s">
        <v>1658</v>
      </c>
      <c r="F60" s="100" t="s">
        <v>31</v>
      </c>
      <c r="G60" s="87" t="s">
        <v>2</v>
      </c>
      <c r="H60" s="87" t="s">
        <v>30</v>
      </c>
      <c r="I60">
        <v>-0.41666666699999999</v>
      </c>
      <c r="J60">
        <v>34.200000000000003</v>
      </c>
      <c r="K60" s="87" t="s">
        <v>29</v>
      </c>
      <c r="AV60" t="s">
        <v>1661</v>
      </c>
      <c r="AW60">
        <v>45</v>
      </c>
      <c r="AX60" t="s">
        <v>234</v>
      </c>
      <c r="AY60">
        <v>1</v>
      </c>
      <c r="AZ60" t="s">
        <v>1668</v>
      </c>
      <c r="BA60">
        <v>2007</v>
      </c>
      <c r="BB60">
        <v>2008</v>
      </c>
      <c r="BD60" t="s">
        <v>238</v>
      </c>
      <c r="BE60" t="s">
        <v>1650</v>
      </c>
      <c r="BF60" t="s">
        <v>43</v>
      </c>
      <c r="BH60" t="s">
        <v>23</v>
      </c>
      <c r="BI60" t="s">
        <v>1662</v>
      </c>
      <c r="BJ60" s="87" t="s">
        <v>22</v>
      </c>
      <c r="BK60">
        <v>44444</v>
      </c>
      <c r="BL60" t="s">
        <v>56</v>
      </c>
      <c r="BM60" t="s">
        <v>1659</v>
      </c>
      <c r="BN60" t="s">
        <v>1660</v>
      </c>
      <c r="BO60" s="87" t="s">
        <v>22</v>
      </c>
      <c r="BP60">
        <v>44444</v>
      </c>
      <c r="BQ60" t="s">
        <v>56</v>
      </c>
      <c r="BR60" t="s">
        <v>1646</v>
      </c>
      <c r="BS60" t="s">
        <v>234</v>
      </c>
      <c r="BT60" t="s">
        <v>234</v>
      </c>
      <c r="BU60" t="s">
        <v>234</v>
      </c>
      <c r="IF60" t="s">
        <v>1650</v>
      </c>
      <c r="IG60" s="84" t="s">
        <v>1665</v>
      </c>
      <c r="IH60" t="s">
        <v>660</v>
      </c>
      <c r="II60" t="s">
        <v>661</v>
      </c>
      <c r="IJ60" t="s">
        <v>836</v>
      </c>
      <c r="IK60" t="s">
        <v>836</v>
      </c>
      <c r="IL60" s="87" t="s">
        <v>29</v>
      </c>
      <c r="JH60" t="s">
        <v>1663</v>
      </c>
      <c r="JI60" t="s">
        <v>15</v>
      </c>
      <c r="JJ60" t="s">
        <v>14</v>
      </c>
      <c r="JK60" s="8" t="s">
        <v>1664</v>
      </c>
      <c r="JN60" t="s">
        <v>13</v>
      </c>
      <c r="JO60">
        <v>40</v>
      </c>
      <c r="JP60">
        <v>50</v>
      </c>
      <c r="KD60" t="s">
        <v>12</v>
      </c>
      <c r="MR60" t="s">
        <v>1640</v>
      </c>
      <c r="MS60">
        <v>36</v>
      </c>
      <c r="NC60" t="s">
        <v>1678</v>
      </c>
      <c r="ND60" t="s">
        <v>1413</v>
      </c>
      <c r="NF60" t="s">
        <v>1416</v>
      </c>
      <c r="NG60" t="s">
        <v>265</v>
      </c>
      <c r="NP60" t="s">
        <v>6</v>
      </c>
      <c r="NQ60">
        <v>1161.8</v>
      </c>
      <c r="NR60" s="4" t="s">
        <v>4</v>
      </c>
      <c r="NS60">
        <v>5</v>
      </c>
      <c r="NV60">
        <v>4</v>
      </c>
      <c r="OG60" t="s">
        <v>1657</v>
      </c>
      <c r="OH60" s="87" t="s">
        <v>2</v>
      </c>
      <c r="OI60">
        <v>2008</v>
      </c>
      <c r="OL60" t="s">
        <v>1666</v>
      </c>
      <c r="ON60" t="s">
        <v>1169</v>
      </c>
      <c r="OO60" s="58">
        <v>46105</v>
      </c>
    </row>
    <row r="61" spans="1:405" ht="15.75" thickBot="1">
      <c r="A61" t="s">
        <v>248</v>
      </c>
      <c r="B61" t="s">
        <v>1870</v>
      </c>
      <c r="C61" t="s">
        <v>34</v>
      </c>
      <c r="D61" s="100" t="s">
        <v>31</v>
      </c>
      <c r="E61" s="90" t="s">
        <v>1658</v>
      </c>
      <c r="F61" s="100" t="s">
        <v>31</v>
      </c>
      <c r="G61" s="87" t="s">
        <v>2</v>
      </c>
      <c r="H61" s="87" t="s">
        <v>30</v>
      </c>
      <c r="I61">
        <v>-0.41666666699999999</v>
      </c>
      <c r="J61">
        <v>34.200000000000003</v>
      </c>
      <c r="K61" s="87" t="s">
        <v>29</v>
      </c>
      <c r="AV61" t="s">
        <v>1661</v>
      </c>
      <c r="AW61">
        <v>46</v>
      </c>
      <c r="AX61" t="s">
        <v>234</v>
      </c>
      <c r="AY61">
        <v>1</v>
      </c>
      <c r="AZ61" t="s">
        <v>1669</v>
      </c>
      <c r="BA61">
        <v>2007</v>
      </c>
      <c r="BB61">
        <v>2008</v>
      </c>
      <c r="BD61" t="s">
        <v>19</v>
      </c>
      <c r="BE61" t="s">
        <v>1651</v>
      </c>
      <c r="BF61" t="s">
        <v>24</v>
      </c>
      <c r="BH61" t="s">
        <v>23</v>
      </c>
      <c r="BI61" t="s">
        <v>1662</v>
      </c>
      <c r="BJ61" s="87" t="s">
        <v>22</v>
      </c>
      <c r="BK61">
        <v>44444</v>
      </c>
      <c r="IF61" t="s">
        <v>1651</v>
      </c>
      <c r="IG61" t="s">
        <v>19</v>
      </c>
      <c r="JH61" t="s">
        <v>1663</v>
      </c>
      <c r="JI61" t="s">
        <v>15</v>
      </c>
      <c r="JJ61" t="s">
        <v>14</v>
      </c>
      <c r="JK61" s="8" t="s">
        <v>1664</v>
      </c>
      <c r="JN61" t="s">
        <v>13</v>
      </c>
      <c r="JO61">
        <v>40</v>
      </c>
      <c r="JP61">
        <v>50</v>
      </c>
      <c r="KD61" t="s">
        <v>12</v>
      </c>
      <c r="MR61" t="s">
        <v>1640</v>
      </c>
      <c r="MS61">
        <v>36</v>
      </c>
      <c r="NC61" t="s">
        <v>1677</v>
      </c>
      <c r="ND61" t="s">
        <v>1413</v>
      </c>
      <c r="NF61" t="s">
        <v>1416</v>
      </c>
      <c r="NG61" t="s">
        <v>265</v>
      </c>
      <c r="NP61" t="s">
        <v>6</v>
      </c>
      <c r="NQ61">
        <v>756</v>
      </c>
      <c r="NR61" s="4" t="s">
        <v>4</v>
      </c>
      <c r="NS61">
        <v>7</v>
      </c>
      <c r="NV61">
        <v>4</v>
      </c>
      <c r="OG61" t="s">
        <v>1683</v>
      </c>
      <c r="OH61" s="87" t="s">
        <v>2</v>
      </c>
      <c r="OI61">
        <v>2007</v>
      </c>
      <c r="OL61" t="s">
        <v>1666</v>
      </c>
      <c r="ON61" t="s">
        <v>1169</v>
      </c>
      <c r="OO61" s="58">
        <v>46105</v>
      </c>
    </row>
    <row r="62" spans="1:405" ht="15.75" thickBot="1">
      <c r="A62" t="s">
        <v>248</v>
      </c>
      <c r="B62" t="s">
        <v>1870</v>
      </c>
      <c r="C62" t="s">
        <v>34</v>
      </c>
      <c r="D62" s="100" t="s">
        <v>31</v>
      </c>
      <c r="E62" s="90" t="s">
        <v>1658</v>
      </c>
      <c r="F62" s="100" t="s">
        <v>31</v>
      </c>
      <c r="G62" s="87" t="s">
        <v>2</v>
      </c>
      <c r="H62" s="87" t="s">
        <v>30</v>
      </c>
      <c r="I62">
        <v>-0.41666666699999999</v>
      </c>
      <c r="J62">
        <v>34.200000000000003</v>
      </c>
      <c r="K62" s="87" t="s">
        <v>29</v>
      </c>
      <c r="AV62" t="s">
        <v>1661</v>
      </c>
      <c r="AW62">
        <v>47</v>
      </c>
      <c r="AX62" t="s">
        <v>234</v>
      </c>
      <c r="AY62">
        <v>1</v>
      </c>
      <c r="AZ62" t="s">
        <v>1669</v>
      </c>
      <c r="BA62">
        <v>2007</v>
      </c>
      <c r="BB62">
        <v>2008</v>
      </c>
      <c r="BD62" t="s">
        <v>238</v>
      </c>
      <c r="BE62" t="s">
        <v>1652</v>
      </c>
      <c r="BF62" t="s">
        <v>252</v>
      </c>
      <c r="BH62" t="s">
        <v>23</v>
      </c>
      <c r="BI62" t="s">
        <v>1662</v>
      </c>
      <c r="BJ62" s="87" t="s">
        <v>22</v>
      </c>
      <c r="BK62">
        <v>44444</v>
      </c>
      <c r="BL62" t="s">
        <v>56</v>
      </c>
      <c r="BM62" t="s">
        <v>1659</v>
      </c>
      <c r="BN62" t="s">
        <v>1660</v>
      </c>
      <c r="BO62" s="87" t="s">
        <v>22</v>
      </c>
      <c r="BP62">
        <v>44444</v>
      </c>
      <c r="IF62" t="s">
        <v>1652</v>
      </c>
      <c r="IG62" s="84" t="s">
        <v>1443</v>
      </c>
      <c r="IH62" t="s">
        <v>660</v>
      </c>
      <c r="II62" t="s">
        <v>661</v>
      </c>
      <c r="IJ62" t="s">
        <v>836</v>
      </c>
      <c r="IK62" t="s">
        <v>836</v>
      </c>
      <c r="IL62" s="87" t="s">
        <v>29</v>
      </c>
      <c r="JH62" t="s">
        <v>1663</v>
      </c>
      <c r="JI62" t="s">
        <v>15</v>
      </c>
      <c r="JJ62" t="s">
        <v>14</v>
      </c>
      <c r="JK62" s="8" t="s">
        <v>1664</v>
      </c>
      <c r="JN62" t="s">
        <v>13</v>
      </c>
      <c r="JO62">
        <v>40</v>
      </c>
      <c r="JP62">
        <v>50</v>
      </c>
      <c r="KD62" t="s">
        <v>12</v>
      </c>
      <c r="MR62" t="s">
        <v>1640</v>
      </c>
      <c r="MS62">
        <v>36</v>
      </c>
      <c r="NC62" t="s">
        <v>1678</v>
      </c>
      <c r="ND62" t="s">
        <v>1413</v>
      </c>
      <c r="NF62" t="s">
        <v>1416</v>
      </c>
      <c r="NG62" t="s">
        <v>265</v>
      </c>
      <c r="NP62" t="s">
        <v>6</v>
      </c>
      <c r="NQ62">
        <v>923.7</v>
      </c>
      <c r="NR62" s="4" t="s">
        <v>4</v>
      </c>
      <c r="NS62">
        <v>7</v>
      </c>
      <c r="NV62">
        <v>4</v>
      </c>
      <c r="OG62" t="s">
        <v>1683</v>
      </c>
      <c r="OH62" s="87" t="s">
        <v>2</v>
      </c>
      <c r="OI62">
        <v>2007</v>
      </c>
      <c r="OL62" t="s">
        <v>1666</v>
      </c>
      <c r="ON62" t="s">
        <v>1169</v>
      </c>
      <c r="OO62" s="58">
        <v>46105</v>
      </c>
    </row>
    <row r="63" spans="1:405" ht="15.75" thickBot="1">
      <c r="A63" t="s">
        <v>248</v>
      </c>
      <c r="B63" t="s">
        <v>1870</v>
      </c>
      <c r="C63" t="s">
        <v>34</v>
      </c>
      <c r="D63" s="100" t="s">
        <v>31</v>
      </c>
      <c r="E63" s="90" t="s">
        <v>1658</v>
      </c>
      <c r="F63" s="100" t="s">
        <v>31</v>
      </c>
      <c r="G63" s="87" t="s">
        <v>2</v>
      </c>
      <c r="H63" s="87" t="s">
        <v>30</v>
      </c>
      <c r="I63">
        <v>-0.41666666699999999</v>
      </c>
      <c r="J63">
        <v>34.200000000000003</v>
      </c>
      <c r="K63" s="87" t="s">
        <v>29</v>
      </c>
      <c r="AV63" t="s">
        <v>1661</v>
      </c>
      <c r="AW63">
        <v>48</v>
      </c>
      <c r="AX63" t="s">
        <v>234</v>
      </c>
      <c r="AY63">
        <v>1</v>
      </c>
      <c r="AZ63" t="s">
        <v>1669</v>
      </c>
      <c r="BA63">
        <v>2007</v>
      </c>
      <c r="BB63">
        <v>2008</v>
      </c>
      <c r="BD63" t="s">
        <v>238</v>
      </c>
      <c r="BE63" t="s">
        <v>1653</v>
      </c>
      <c r="BF63" t="s">
        <v>236</v>
      </c>
      <c r="BH63" t="s">
        <v>23</v>
      </c>
      <c r="BI63" t="s">
        <v>1662</v>
      </c>
      <c r="BJ63" s="87" t="s">
        <v>22</v>
      </c>
      <c r="BK63">
        <v>44444</v>
      </c>
      <c r="BL63" t="s">
        <v>56</v>
      </c>
      <c r="BM63" t="s">
        <v>1646</v>
      </c>
      <c r="BN63" t="s">
        <v>234</v>
      </c>
      <c r="BO63" t="s">
        <v>234</v>
      </c>
      <c r="BP63" t="s">
        <v>234</v>
      </c>
      <c r="IF63" t="s">
        <v>1653</v>
      </c>
      <c r="IG63" s="84" t="s">
        <v>1665</v>
      </c>
      <c r="IH63" t="s">
        <v>660</v>
      </c>
      <c r="II63" t="s">
        <v>661</v>
      </c>
      <c r="IJ63" t="s">
        <v>836</v>
      </c>
      <c r="IK63" t="s">
        <v>836</v>
      </c>
      <c r="IL63" s="87" t="s">
        <v>29</v>
      </c>
      <c r="JH63" t="s">
        <v>1663</v>
      </c>
      <c r="JI63" t="s">
        <v>15</v>
      </c>
      <c r="JJ63" t="s">
        <v>14</v>
      </c>
      <c r="JK63" s="8" t="s">
        <v>1664</v>
      </c>
      <c r="JN63" t="s">
        <v>13</v>
      </c>
      <c r="JO63">
        <v>40</v>
      </c>
      <c r="JP63">
        <v>50</v>
      </c>
      <c r="KD63" t="s">
        <v>12</v>
      </c>
      <c r="MR63" t="s">
        <v>1640</v>
      </c>
      <c r="MS63">
        <v>36</v>
      </c>
      <c r="NC63" t="s">
        <v>1678</v>
      </c>
      <c r="ND63" t="s">
        <v>1413</v>
      </c>
      <c r="NF63" t="s">
        <v>1416</v>
      </c>
      <c r="NG63" t="s">
        <v>265</v>
      </c>
      <c r="NP63" t="s">
        <v>6</v>
      </c>
      <c r="NQ63">
        <v>1024</v>
      </c>
      <c r="NR63" s="4" t="s">
        <v>4</v>
      </c>
      <c r="NS63">
        <v>7</v>
      </c>
      <c r="NV63">
        <v>4</v>
      </c>
      <c r="OG63" t="s">
        <v>1683</v>
      </c>
      <c r="OH63" s="87" t="s">
        <v>2</v>
      </c>
      <c r="OI63">
        <v>2007</v>
      </c>
      <c r="OL63" t="s">
        <v>1666</v>
      </c>
      <c r="ON63" t="s">
        <v>1169</v>
      </c>
      <c r="OO63" s="58">
        <v>46105</v>
      </c>
    </row>
    <row r="64" spans="1:405" ht="15.75" thickBot="1">
      <c r="A64" t="s">
        <v>248</v>
      </c>
      <c r="B64" t="s">
        <v>1870</v>
      </c>
      <c r="C64" t="s">
        <v>34</v>
      </c>
      <c r="D64" s="100" t="s">
        <v>31</v>
      </c>
      <c r="E64" s="90" t="s">
        <v>1658</v>
      </c>
      <c r="F64" s="100" t="s">
        <v>31</v>
      </c>
      <c r="G64" s="87" t="s">
        <v>2</v>
      </c>
      <c r="H64" s="87" t="s">
        <v>30</v>
      </c>
      <c r="I64">
        <v>-0.41666666699999999</v>
      </c>
      <c r="J64">
        <v>34.200000000000003</v>
      </c>
      <c r="K64" s="87" t="s">
        <v>29</v>
      </c>
      <c r="AV64" t="s">
        <v>1661</v>
      </c>
      <c r="AW64">
        <v>49</v>
      </c>
      <c r="AX64" t="s">
        <v>234</v>
      </c>
      <c r="AY64">
        <v>1</v>
      </c>
      <c r="AZ64" t="s">
        <v>1669</v>
      </c>
      <c r="BA64">
        <v>2007</v>
      </c>
      <c r="BB64">
        <v>2008</v>
      </c>
      <c r="BD64" t="s">
        <v>238</v>
      </c>
      <c r="BE64" t="s">
        <v>1654</v>
      </c>
      <c r="BF64" t="s">
        <v>284</v>
      </c>
      <c r="BH64" t="s">
        <v>23</v>
      </c>
      <c r="BI64" t="s">
        <v>1662</v>
      </c>
      <c r="BJ64" s="87" t="s">
        <v>22</v>
      </c>
      <c r="BK64">
        <v>44444</v>
      </c>
      <c r="BL64" t="s">
        <v>56</v>
      </c>
      <c r="BM64" t="s">
        <v>1659</v>
      </c>
      <c r="BN64" t="s">
        <v>1660</v>
      </c>
      <c r="BO64" s="87" t="s">
        <v>22</v>
      </c>
      <c r="BP64">
        <v>44444</v>
      </c>
      <c r="BQ64" t="s">
        <v>56</v>
      </c>
      <c r="BR64" t="s">
        <v>1646</v>
      </c>
      <c r="BS64" t="s">
        <v>234</v>
      </c>
      <c r="BT64" t="s">
        <v>234</v>
      </c>
      <c r="BU64" t="s">
        <v>234</v>
      </c>
      <c r="IF64" t="s">
        <v>1654</v>
      </c>
      <c r="IG64" s="84" t="s">
        <v>1665</v>
      </c>
      <c r="IH64" t="s">
        <v>660</v>
      </c>
      <c r="II64" t="s">
        <v>661</v>
      </c>
      <c r="IJ64" t="s">
        <v>836</v>
      </c>
      <c r="IK64" t="s">
        <v>836</v>
      </c>
      <c r="IL64" s="87" t="s">
        <v>29</v>
      </c>
      <c r="JH64" t="s">
        <v>1663</v>
      </c>
      <c r="JI64" t="s">
        <v>15</v>
      </c>
      <c r="JJ64" t="s">
        <v>14</v>
      </c>
      <c r="JK64" s="8" t="s">
        <v>1664</v>
      </c>
      <c r="JN64" t="s">
        <v>13</v>
      </c>
      <c r="JO64">
        <v>40</v>
      </c>
      <c r="JP64">
        <v>50</v>
      </c>
      <c r="KD64" t="s">
        <v>12</v>
      </c>
      <c r="MR64" t="s">
        <v>1640</v>
      </c>
      <c r="MS64">
        <v>36</v>
      </c>
      <c r="NC64" t="s">
        <v>1678</v>
      </c>
      <c r="ND64" t="s">
        <v>1413</v>
      </c>
      <c r="NF64" t="s">
        <v>1416</v>
      </c>
      <c r="NG64" t="s">
        <v>265</v>
      </c>
      <c r="NP64" t="s">
        <v>6</v>
      </c>
      <c r="NQ64">
        <v>1101.3</v>
      </c>
      <c r="NR64" s="4" t="s">
        <v>4</v>
      </c>
      <c r="NS64">
        <v>9</v>
      </c>
      <c r="NV64">
        <v>4</v>
      </c>
      <c r="OG64" t="s">
        <v>1683</v>
      </c>
      <c r="OH64" s="87" t="s">
        <v>2</v>
      </c>
      <c r="OI64">
        <v>2007</v>
      </c>
      <c r="OL64" t="s">
        <v>1666</v>
      </c>
      <c r="ON64" t="s">
        <v>1169</v>
      </c>
      <c r="OO64" s="58">
        <v>46105</v>
      </c>
    </row>
    <row r="65" spans="1:405" ht="15.75" thickBot="1">
      <c r="A65" t="s">
        <v>248</v>
      </c>
      <c r="B65" t="s">
        <v>1870</v>
      </c>
      <c r="C65" t="s">
        <v>34</v>
      </c>
      <c r="D65" s="100" t="s">
        <v>31</v>
      </c>
      <c r="E65" s="90" t="s">
        <v>1658</v>
      </c>
      <c r="F65" s="100" t="s">
        <v>31</v>
      </c>
      <c r="G65" s="87" t="s">
        <v>2</v>
      </c>
      <c r="H65" s="87" t="s">
        <v>30</v>
      </c>
      <c r="I65">
        <v>-0.41666666699999999</v>
      </c>
      <c r="J65">
        <v>34.200000000000003</v>
      </c>
      <c r="K65" s="87" t="s">
        <v>29</v>
      </c>
      <c r="AV65" t="s">
        <v>1661</v>
      </c>
      <c r="AW65">
        <v>50</v>
      </c>
      <c r="AX65" t="s">
        <v>234</v>
      </c>
      <c r="AY65">
        <v>1</v>
      </c>
      <c r="AZ65" t="s">
        <v>1669</v>
      </c>
      <c r="BA65">
        <v>2007</v>
      </c>
      <c r="BB65">
        <v>2008</v>
      </c>
      <c r="BD65" t="s">
        <v>238</v>
      </c>
      <c r="BE65" t="s">
        <v>1655</v>
      </c>
      <c r="BF65" t="s">
        <v>277</v>
      </c>
      <c r="BH65" t="s">
        <v>23</v>
      </c>
      <c r="BI65" t="s">
        <v>1662</v>
      </c>
      <c r="BJ65" s="87" t="s">
        <v>22</v>
      </c>
      <c r="BK65">
        <v>44444</v>
      </c>
      <c r="BL65" t="s">
        <v>56</v>
      </c>
      <c r="BM65" t="s">
        <v>1659</v>
      </c>
      <c r="BN65" t="s">
        <v>1660</v>
      </c>
      <c r="BO65" s="87" t="s">
        <v>22</v>
      </c>
      <c r="BP65">
        <v>44444</v>
      </c>
      <c r="BQ65" t="s">
        <v>56</v>
      </c>
      <c r="BR65" t="s">
        <v>1646</v>
      </c>
      <c r="BS65" t="s">
        <v>234</v>
      </c>
      <c r="BT65" t="s">
        <v>234</v>
      </c>
      <c r="BU65" t="s">
        <v>234</v>
      </c>
      <c r="IF65" t="s">
        <v>1655</v>
      </c>
      <c r="IG65" s="84" t="s">
        <v>1665</v>
      </c>
      <c r="IH65" t="s">
        <v>660</v>
      </c>
      <c r="II65" t="s">
        <v>661</v>
      </c>
      <c r="IJ65" t="s">
        <v>836</v>
      </c>
      <c r="IK65" t="s">
        <v>836</v>
      </c>
      <c r="IL65" s="87" t="s">
        <v>29</v>
      </c>
      <c r="JH65" t="s">
        <v>1663</v>
      </c>
      <c r="JI65" t="s">
        <v>15</v>
      </c>
      <c r="JJ65" t="s">
        <v>14</v>
      </c>
      <c r="JK65" s="8" t="s">
        <v>1664</v>
      </c>
      <c r="JN65" t="s">
        <v>13</v>
      </c>
      <c r="JO65">
        <v>40</v>
      </c>
      <c r="JP65">
        <v>50</v>
      </c>
      <c r="KD65" t="s">
        <v>12</v>
      </c>
      <c r="MR65" t="s">
        <v>1640</v>
      </c>
      <c r="MS65">
        <v>36</v>
      </c>
      <c r="NC65" t="s">
        <v>1678</v>
      </c>
      <c r="ND65" t="s">
        <v>1413</v>
      </c>
      <c r="NF65" t="s">
        <v>1416</v>
      </c>
      <c r="NG65" t="s">
        <v>265</v>
      </c>
      <c r="NP65" t="s">
        <v>6</v>
      </c>
      <c r="NQ65">
        <v>1156.5</v>
      </c>
      <c r="NR65" s="4" t="s">
        <v>4</v>
      </c>
      <c r="NS65">
        <v>6</v>
      </c>
      <c r="NV65">
        <v>4</v>
      </c>
      <c r="OG65" t="s">
        <v>1683</v>
      </c>
      <c r="OH65" s="87" t="s">
        <v>2</v>
      </c>
      <c r="OI65">
        <v>2007</v>
      </c>
      <c r="OL65" t="s">
        <v>1666</v>
      </c>
      <c r="ON65" t="s">
        <v>1169</v>
      </c>
      <c r="OO65" s="58">
        <v>46105</v>
      </c>
    </row>
    <row r="66" spans="1:405" ht="15.75" thickBot="1">
      <c r="A66" t="s">
        <v>248</v>
      </c>
      <c r="B66" t="s">
        <v>1870</v>
      </c>
      <c r="C66" t="s">
        <v>34</v>
      </c>
      <c r="D66" s="100" t="s">
        <v>31</v>
      </c>
      <c r="E66" s="90" t="s">
        <v>1658</v>
      </c>
      <c r="F66" s="100" t="s">
        <v>31</v>
      </c>
      <c r="G66" s="87" t="s">
        <v>2</v>
      </c>
      <c r="H66" s="87" t="s">
        <v>30</v>
      </c>
      <c r="I66">
        <v>-0.41666666699999999</v>
      </c>
      <c r="J66">
        <v>34.200000000000003</v>
      </c>
      <c r="K66" s="87" t="s">
        <v>29</v>
      </c>
      <c r="AV66" t="s">
        <v>1661</v>
      </c>
      <c r="AW66">
        <v>51</v>
      </c>
      <c r="AX66" t="s">
        <v>234</v>
      </c>
      <c r="AY66">
        <v>1</v>
      </c>
      <c r="AZ66" t="s">
        <v>1667</v>
      </c>
      <c r="BA66">
        <v>2007</v>
      </c>
      <c r="BB66">
        <v>2008</v>
      </c>
      <c r="BD66" t="s">
        <v>19</v>
      </c>
      <c r="BE66" t="s">
        <v>1651</v>
      </c>
      <c r="BF66" t="s">
        <v>24</v>
      </c>
      <c r="BH66" t="s">
        <v>23</v>
      </c>
      <c r="BI66" t="s">
        <v>1662</v>
      </c>
      <c r="BJ66" s="87" t="s">
        <v>22</v>
      </c>
      <c r="BK66">
        <v>44444</v>
      </c>
      <c r="IF66" t="s">
        <v>1651</v>
      </c>
      <c r="IG66" t="s">
        <v>19</v>
      </c>
      <c r="JH66" t="s">
        <v>1663</v>
      </c>
      <c r="JI66" t="s">
        <v>15</v>
      </c>
      <c r="JJ66" t="s">
        <v>14</v>
      </c>
      <c r="JK66" s="8" t="s">
        <v>1664</v>
      </c>
      <c r="JN66" t="s">
        <v>13</v>
      </c>
      <c r="JO66">
        <v>40</v>
      </c>
      <c r="JP66">
        <v>50</v>
      </c>
      <c r="KD66" t="s">
        <v>12</v>
      </c>
      <c r="MR66" t="s">
        <v>1640</v>
      </c>
      <c r="MS66">
        <v>36</v>
      </c>
      <c r="NC66" t="s">
        <v>1677</v>
      </c>
      <c r="ND66" t="s">
        <v>1413</v>
      </c>
      <c r="NF66" t="s">
        <v>1416</v>
      </c>
      <c r="NG66" t="s">
        <v>265</v>
      </c>
      <c r="NP66" t="s">
        <v>6</v>
      </c>
      <c r="NQ66">
        <v>772.4</v>
      </c>
      <c r="NR66" s="4" t="s">
        <v>4</v>
      </c>
      <c r="NS66">
        <v>6</v>
      </c>
      <c r="NV66">
        <v>4</v>
      </c>
      <c r="OG66" t="s">
        <v>1682</v>
      </c>
      <c r="OH66" s="87" t="s">
        <v>2</v>
      </c>
      <c r="OI66">
        <v>2007</v>
      </c>
      <c r="OL66" t="s">
        <v>1656</v>
      </c>
      <c r="ON66" t="s">
        <v>1169</v>
      </c>
      <c r="OO66" s="58">
        <v>46105</v>
      </c>
    </row>
    <row r="67" spans="1:405" ht="15.75" thickBot="1">
      <c r="A67" t="s">
        <v>248</v>
      </c>
      <c r="B67" t="s">
        <v>1870</v>
      </c>
      <c r="C67" t="s">
        <v>34</v>
      </c>
      <c r="D67" s="100" t="s">
        <v>31</v>
      </c>
      <c r="E67" s="90" t="s">
        <v>1658</v>
      </c>
      <c r="F67" s="100" t="s">
        <v>31</v>
      </c>
      <c r="G67" s="87" t="s">
        <v>2</v>
      </c>
      <c r="H67" s="87" t="s">
        <v>30</v>
      </c>
      <c r="I67">
        <v>-0.41666666699999999</v>
      </c>
      <c r="J67">
        <v>34.200000000000003</v>
      </c>
      <c r="K67" s="87" t="s">
        <v>29</v>
      </c>
      <c r="AV67" t="s">
        <v>1661</v>
      </c>
      <c r="AW67">
        <v>52</v>
      </c>
      <c r="AX67" t="s">
        <v>234</v>
      </c>
      <c r="AY67">
        <v>1</v>
      </c>
      <c r="AZ67" t="s">
        <v>1667</v>
      </c>
      <c r="BA67">
        <v>2007</v>
      </c>
      <c r="BB67">
        <v>2008</v>
      </c>
      <c r="BD67" t="s">
        <v>238</v>
      </c>
      <c r="BE67" t="s">
        <v>1652</v>
      </c>
      <c r="BF67" t="s">
        <v>252</v>
      </c>
      <c r="BH67" t="s">
        <v>23</v>
      </c>
      <c r="BI67" t="s">
        <v>1662</v>
      </c>
      <c r="BJ67" s="87" t="s">
        <v>22</v>
      </c>
      <c r="BK67">
        <v>44444</v>
      </c>
      <c r="BL67" t="s">
        <v>56</v>
      </c>
      <c r="BM67" t="s">
        <v>1659</v>
      </c>
      <c r="BN67" t="s">
        <v>1660</v>
      </c>
      <c r="BO67" s="87" t="s">
        <v>22</v>
      </c>
      <c r="BP67">
        <v>44444</v>
      </c>
      <c r="EH67" s="9"/>
      <c r="EI67" s="9"/>
      <c r="EJ67" s="9"/>
      <c r="EK67" s="9"/>
      <c r="EL67" s="9"/>
      <c r="EM67" s="9"/>
      <c r="EN67" s="9"/>
      <c r="EO67" s="9"/>
      <c r="EP67" s="9"/>
      <c r="EQ67" s="9"/>
      <c r="ER67" s="9"/>
      <c r="ES67" s="9"/>
      <c r="ET67" s="9"/>
      <c r="EU67" s="9"/>
      <c r="EV67" s="9"/>
      <c r="EW67" s="9"/>
      <c r="EX67" s="9"/>
      <c r="EY67" s="9"/>
      <c r="EZ67" s="9"/>
      <c r="FA67" s="9"/>
      <c r="FB67" s="9"/>
      <c r="FC67" s="9"/>
      <c r="FD67" s="9"/>
      <c r="FE67" s="9"/>
      <c r="FF67" s="9"/>
      <c r="FG67" s="9"/>
      <c r="FH67" s="9"/>
      <c r="FI67" s="9"/>
      <c r="FJ67" s="9"/>
      <c r="FK67" s="9"/>
      <c r="FL67" s="9"/>
      <c r="FM67" s="9"/>
      <c r="FN67" s="9"/>
      <c r="FO67" s="9"/>
      <c r="FP67" s="9"/>
      <c r="FQ67" s="9"/>
      <c r="FR67" s="9"/>
      <c r="FS67" s="9"/>
      <c r="FT67" s="9"/>
      <c r="FU67" s="9"/>
      <c r="FV67" s="9"/>
      <c r="FW67" s="9"/>
      <c r="FX67" s="9"/>
      <c r="FY67" s="9"/>
      <c r="FZ67" s="9"/>
      <c r="GA67" s="9"/>
      <c r="GB67" s="9"/>
      <c r="GC67" s="9"/>
      <c r="GD67" s="9"/>
      <c r="GE67" s="9"/>
      <c r="GF67" s="9"/>
      <c r="GG67" s="9"/>
      <c r="GH67" s="9"/>
      <c r="GI67" s="9"/>
      <c r="GJ67" s="9"/>
      <c r="GK67" s="9"/>
      <c r="GL67" s="9"/>
      <c r="GM67" s="9"/>
      <c r="GN67" s="9"/>
      <c r="GO67" s="9"/>
      <c r="GP67" s="9"/>
      <c r="GQ67" s="9"/>
      <c r="GR67" s="9"/>
      <c r="GS67" s="9"/>
      <c r="GT67" s="9"/>
      <c r="GU67" s="9"/>
      <c r="GV67" s="9"/>
      <c r="GW67" s="9"/>
      <c r="GX67" s="9"/>
      <c r="GY67" s="9"/>
      <c r="GZ67" s="9"/>
      <c r="HA67" s="9"/>
      <c r="HB67" s="9"/>
      <c r="HC67" s="9"/>
      <c r="HD67" s="9"/>
      <c r="HE67" s="9"/>
      <c r="HF67" s="9"/>
      <c r="HG67" s="9"/>
      <c r="HH67" s="9"/>
      <c r="HI67" s="9"/>
      <c r="HJ67" s="9"/>
      <c r="HK67" s="9"/>
      <c r="HW67" s="58"/>
      <c r="IF67" t="s">
        <v>1652</v>
      </c>
      <c r="IG67" s="84" t="s">
        <v>1443</v>
      </c>
      <c r="IH67" t="s">
        <v>660</v>
      </c>
      <c r="II67" t="s">
        <v>661</v>
      </c>
      <c r="IJ67" t="s">
        <v>836</v>
      </c>
      <c r="IK67" t="s">
        <v>836</v>
      </c>
      <c r="IL67" s="87" t="s">
        <v>29</v>
      </c>
      <c r="JH67" t="s">
        <v>1663</v>
      </c>
      <c r="JI67" t="s">
        <v>15</v>
      </c>
      <c r="JJ67" t="s">
        <v>14</v>
      </c>
      <c r="JK67" s="8" t="s">
        <v>1664</v>
      </c>
      <c r="JN67" t="s">
        <v>13</v>
      </c>
      <c r="JO67">
        <v>40</v>
      </c>
      <c r="JP67">
        <v>50</v>
      </c>
      <c r="KD67" t="s">
        <v>12</v>
      </c>
      <c r="MR67" t="s">
        <v>1640</v>
      </c>
      <c r="MS67">
        <v>36</v>
      </c>
      <c r="NC67" t="s">
        <v>1678</v>
      </c>
      <c r="ND67" t="s">
        <v>1413</v>
      </c>
      <c r="NF67" t="s">
        <v>1416</v>
      </c>
      <c r="NG67" t="s">
        <v>265</v>
      </c>
      <c r="NP67" t="s">
        <v>6</v>
      </c>
      <c r="NQ67">
        <v>870.8</v>
      </c>
      <c r="NR67" s="4" t="s">
        <v>4</v>
      </c>
      <c r="NS67">
        <v>6</v>
      </c>
      <c r="NV67">
        <v>4</v>
      </c>
      <c r="OG67" t="s">
        <v>1682</v>
      </c>
      <c r="OH67" s="87" t="s">
        <v>2</v>
      </c>
      <c r="OI67">
        <v>2007</v>
      </c>
      <c r="OL67" t="s">
        <v>1656</v>
      </c>
      <c r="ON67" t="s">
        <v>1169</v>
      </c>
      <c r="OO67" s="58">
        <v>46105</v>
      </c>
    </row>
    <row r="68" spans="1:405" ht="15.75" thickBot="1">
      <c r="A68" t="s">
        <v>248</v>
      </c>
      <c r="B68" t="s">
        <v>1870</v>
      </c>
      <c r="C68" t="s">
        <v>34</v>
      </c>
      <c r="D68" s="100" t="s">
        <v>31</v>
      </c>
      <c r="E68" s="90" t="s">
        <v>1658</v>
      </c>
      <c r="F68" s="100" t="s">
        <v>31</v>
      </c>
      <c r="G68" s="87" t="s">
        <v>2</v>
      </c>
      <c r="H68" s="87" t="s">
        <v>30</v>
      </c>
      <c r="I68">
        <v>-0.41666666699999999</v>
      </c>
      <c r="J68">
        <v>34.200000000000003</v>
      </c>
      <c r="K68" s="87" t="s">
        <v>29</v>
      </c>
      <c r="AV68" t="s">
        <v>1661</v>
      </c>
      <c r="AW68">
        <v>53</v>
      </c>
      <c r="AX68" t="s">
        <v>234</v>
      </c>
      <c r="AY68">
        <v>1</v>
      </c>
      <c r="AZ68" t="s">
        <v>1667</v>
      </c>
      <c r="BA68">
        <v>2007</v>
      </c>
      <c r="BB68">
        <v>2008</v>
      </c>
      <c r="BD68" t="s">
        <v>238</v>
      </c>
      <c r="BE68" t="s">
        <v>1653</v>
      </c>
      <c r="BF68" t="s">
        <v>236</v>
      </c>
      <c r="BH68" t="s">
        <v>23</v>
      </c>
      <c r="BI68" t="s">
        <v>1662</v>
      </c>
      <c r="BJ68" s="87" t="s">
        <v>22</v>
      </c>
      <c r="BK68">
        <v>44444</v>
      </c>
      <c r="BL68" t="s">
        <v>56</v>
      </c>
      <c r="BM68" t="s">
        <v>1646</v>
      </c>
      <c r="BN68" t="s">
        <v>234</v>
      </c>
      <c r="BO68" t="s">
        <v>234</v>
      </c>
      <c r="BP68" t="s">
        <v>234</v>
      </c>
      <c r="EH68" s="9"/>
      <c r="EI68" s="9"/>
      <c r="EJ68" s="9"/>
      <c r="EK68" s="9"/>
      <c r="EL68" s="9"/>
      <c r="EM68" s="9"/>
      <c r="EN68" s="9"/>
      <c r="EO68" s="9"/>
      <c r="EP68" s="9"/>
      <c r="EQ68" s="9"/>
      <c r="ER68" s="9"/>
      <c r="ES68" s="9"/>
      <c r="ET68" s="9"/>
      <c r="EU68" s="9"/>
      <c r="EV68" s="9"/>
      <c r="EW68" s="9"/>
      <c r="EX68" s="9"/>
      <c r="EY68" s="9"/>
      <c r="EZ68" s="9"/>
      <c r="FA68" s="9"/>
      <c r="FB68" s="9"/>
      <c r="FC68" s="9"/>
      <c r="FD68" s="9"/>
      <c r="FE68" s="9"/>
      <c r="FF68" s="9"/>
      <c r="FG68" s="9"/>
      <c r="FH68" s="9"/>
      <c r="FI68" s="9"/>
      <c r="FJ68" s="9"/>
      <c r="FK68" s="9"/>
      <c r="FL68" s="9"/>
      <c r="FM68" s="9"/>
      <c r="FN68" s="9"/>
      <c r="FO68" s="9"/>
      <c r="FP68" s="9"/>
      <c r="FQ68" s="9"/>
      <c r="FR68" s="9"/>
      <c r="FS68" s="9"/>
      <c r="FT68" s="9"/>
      <c r="FU68" s="9"/>
      <c r="FV68" s="9"/>
      <c r="FW68" s="9"/>
      <c r="FX68" s="9"/>
      <c r="FY68" s="9"/>
      <c r="FZ68" s="9"/>
      <c r="GA68" s="9"/>
      <c r="GB68" s="9"/>
      <c r="GC68" s="9"/>
      <c r="GD68" s="9"/>
      <c r="GE68" s="9"/>
      <c r="GF68" s="9"/>
      <c r="GG68" s="9"/>
      <c r="GH68" s="9"/>
      <c r="GI68" s="9"/>
      <c r="GJ68" s="9"/>
      <c r="GK68" s="9"/>
      <c r="GL68" s="9"/>
      <c r="GM68" s="9"/>
      <c r="GN68" s="9"/>
      <c r="GO68" s="9"/>
      <c r="GP68" s="9"/>
      <c r="GQ68" s="9"/>
      <c r="GR68" s="9"/>
      <c r="GS68" s="9"/>
      <c r="GT68" s="9"/>
      <c r="GU68" s="9"/>
      <c r="GV68" s="9"/>
      <c r="GW68" s="9"/>
      <c r="GX68" s="9"/>
      <c r="GY68" s="9"/>
      <c r="GZ68" s="9"/>
      <c r="HA68" s="9"/>
      <c r="HB68" s="9"/>
      <c r="HC68" s="9"/>
      <c r="HD68" s="9"/>
      <c r="HE68" s="9"/>
      <c r="HF68" s="9"/>
      <c r="HG68" s="9"/>
      <c r="HH68" s="9"/>
      <c r="HI68" s="9"/>
      <c r="HJ68" s="9"/>
      <c r="HK68" s="9"/>
      <c r="HW68" s="58"/>
      <c r="IF68" t="s">
        <v>1653</v>
      </c>
      <c r="IG68" s="84" t="s">
        <v>1665</v>
      </c>
      <c r="IH68" t="s">
        <v>660</v>
      </c>
      <c r="II68" t="s">
        <v>661</v>
      </c>
      <c r="IJ68" t="s">
        <v>836</v>
      </c>
      <c r="IK68" t="s">
        <v>836</v>
      </c>
      <c r="IL68" s="87" t="s">
        <v>29</v>
      </c>
      <c r="JH68" t="s">
        <v>1663</v>
      </c>
      <c r="JI68" t="s">
        <v>15</v>
      </c>
      <c r="JJ68" t="s">
        <v>14</v>
      </c>
      <c r="JK68" s="8" t="s">
        <v>1664</v>
      </c>
      <c r="JN68" t="s">
        <v>13</v>
      </c>
      <c r="JO68">
        <v>40</v>
      </c>
      <c r="JP68">
        <v>50</v>
      </c>
      <c r="KD68" t="s">
        <v>12</v>
      </c>
      <c r="MR68" t="s">
        <v>1640</v>
      </c>
      <c r="MS68">
        <v>36</v>
      </c>
      <c r="NC68" t="s">
        <v>1678</v>
      </c>
      <c r="ND68" t="s">
        <v>1413</v>
      </c>
      <c r="NF68" t="s">
        <v>1416</v>
      </c>
      <c r="NG68" t="s">
        <v>265</v>
      </c>
      <c r="NP68" t="s">
        <v>6</v>
      </c>
      <c r="NQ68">
        <v>961.6</v>
      </c>
      <c r="NR68" s="4" t="s">
        <v>4</v>
      </c>
      <c r="NS68">
        <v>8</v>
      </c>
      <c r="NV68">
        <v>4</v>
      </c>
      <c r="OG68" t="s">
        <v>1682</v>
      </c>
      <c r="OH68" s="87" t="s">
        <v>2</v>
      </c>
      <c r="OI68">
        <v>2007</v>
      </c>
      <c r="OL68" t="s">
        <v>1656</v>
      </c>
      <c r="ON68" t="s">
        <v>1169</v>
      </c>
      <c r="OO68" s="58">
        <v>46105</v>
      </c>
    </row>
    <row r="69" spans="1:405" ht="15.75" thickBot="1">
      <c r="A69" t="s">
        <v>248</v>
      </c>
      <c r="B69" t="s">
        <v>1870</v>
      </c>
      <c r="C69" t="s">
        <v>34</v>
      </c>
      <c r="D69" s="100" t="s">
        <v>31</v>
      </c>
      <c r="E69" s="90" t="s">
        <v>1658</v>
      </c>
      <c r="F69" s="100" t="s">
        <v>31</v>
      </c>
      <c r="G69" s="87" t="s">
        <v>2</v>
      </c>
      <c r="H69" s="87" t="s">
        <v>30</v>
      </c>
      <c r="I69">
        <v>-0.41666666699999999</v>
      </c>
      <c r="J69">
        <v>34.200000000000003</v>
      </c>
      <c r="K69" s="87" t="s">
        <v>29</v>
      </c>
      <c r="AV69" t="s">
        <v>1661</v>
      </c>
      <c r="AW69">
        <v>54</v>
      </c>
      <c r="AX69" t="s">
        <v>234</v>
      </c>
      <c r="AY69">
        <v>1</v>
      </c>
      <c r="AZ69" t="s">
        <v>1667</v>
      </c>
      <c r="BA69">
        <v>2007</v>
      </c>
      <c r="BB69">
        <v>2008</v>
      </c>
      <c r="BD69" t="s">
        <v>238</v>
      </c>
      <c r="BE69" t="s">
        <v>1654</v>
      </c>
      <c r="BF69" t="s">
        <v>284</v>
      </c>
      <c r="BH69" t="s">
        <v>23</v>
      </c>
      <c r="BI69" t="s">
        <v>1662</v>
      </c>
      <c r="BJ69" s="87" t="s">
        <v>22</v>
      </c>
      <c r="BK69">
        <v>44444</v>
      </c>
      <c r="BL69" t="s">
        <v>56</v>
      </c>
      <c r="BM69" t="s">
        <v>1659</v>
      </c>
      <c r="BN69" t="s">
        <v>1660</v>
      </c>
      <c r="BO69" s="87" t="s">
        <v>22</v>
      </c>
      <c r="BP69">
        <v>44444</v>
      </c>
      <c r="BQ69" t="s">
        <v>56</v>
      </c>
      <c r="BR69" t="s">
        <v>1646</v>
      </c>
      <c r="BS69" t="s">
        <v>234</v>
      </c>
      <c r="BT69" t="s">
        <v>234</v>
      </c>
      <c r="BU69" t="s">
        <v>234</v>
      </c>
      <c r="EH69" s="9"/>
      <c r="EI69" s="9"/>
      <c r="EJ69" s="9"/>
      <c r="EK69" s="9"/>
      <c r="EL69" s="9"/>
      <c r="EM69" s="9"/>
      <c r="EN69" s="9"/>
      <c r="EO69" s="9"/>
      <c r="EP69" s="9"/>
      <c r="EQ69" s="9"/>
      <c r="ER69" s="9"/>
      <c r="ES69" s="9"/>
      <c r="ET69" s="9"/>
      <c r="EU69" s="9"/>
      <c r="EV69" s="9"/>
      <c r="EW69" s="9"/>
      <c r="EX69" s="9"/>
      <c r="EY69" s="9"/>
      <c r="EZ69" s="9"/>
      <c r="FA69" s="9"/>
      <c r="FB69" s="9"/>
      <c r="FC69" s="9"/>
      <c r="FD69" s="9"/>
      <c r="FE69" s="9"/>
      <c r="FF69" s="9"/>
      <c r="FG69" s="9"/>
      <c r="FH69" s="9"/>
      <c r="FI69" s="9"/>
      <c r="FJ69" s="9"/>
      <c r="FK69" s="9"/>
      <c r="FL69" s="9"/>
      <c r="FM69" s="9"/>
      <c r="FN69" s="9"/>
      <c r="FO69" s="9"/>
      <c r="FP69" s="9"/>
      <c r="FQ69" s="9"/>
      <c r="FR69" s="9"/>
      <c r="FS69" s="9"/>
      <c r="FT69" s="9"/>
      <c r="FU69" s="9"/>
      <c r="FV69" s="9"/>
      <c r="FW69" s="9"/>
      <c r="FX69" s="9"/>
      <c r="FY69" s="9"/>
      <c r="FZ69" s="9"/>
      <c r="GA69" s="9"/>
      <c r="GB69" s="9"/>
      <c r="GC69" s="9"/>
      <c r="GD69" s="9"/>
      <c r="GE69" s="9"/>
      <c r="GF69" s="9"/>
      <c r="GG69" s="9"/>
      <c r="GH69" s="9"/>
      <c r="GI69" s="9"/>
      <c r="GJ69" s="9"/>
      <c r="GK69" s="9"/>
      <c r="GL69" s="9"/>
      <c r="GM69" s="9"/>
      <c r="GN69" s="9"/>
      <c r="GO69" s="9"/>
      <c r="GP69" s="9"/>
      <c r="GQ69" s="9"/>
      <c r="GR69" s="9"/>
      <c r="GS69" s="9"/>
      <c r="GT69" s="9"/>
      <c r="GU69" s="9"/>
      <c r="GV69" s="9"/>
      <c r="GW69" s="9"/>
      <c r="GX69" s="9"/>
      <c r="GY69" s="9"/>
      <c r="GZ69" s="9"/>
      <c r="HA69" s="9"/>
      <c r="HB69" s="9"/>
      <c r="HC69" s="9"/>
      <c r="HD69" s="9"/>
      <c r="HE69" s="9"/>
      <c r="HF69" s="9"/>
      <c r="HG69" s="9"/>
      <c r="HH69" s="9"/>
      <c r="HI69" s="9"/>
      <c r="HJ69" s="9"/>
      <c r="HK69" s="9"/>
      <c r="HW69" s="58"/>
      <c r="IF69" t="s">
        <v>1654</v>
      </c>
      <c r="IG69" s="84" t="s">
        <v>1665</v>
      </c>
      <c r="IH69" t="s">
        <v>660</v>
      </c>
      <c r="II69" t="s">
        <v>661</v>
      </c>
      <c r="IJ69" t="s">
        <v>836</v>
      </c>
      <c r="IK69" t="s">
        <v>836</v>
      </c>
      <c r="IL69" s="87" t="s">
        <v>29</v>
      </c>
      <c r="JH69" t="s">
        <v>1663</v>
      </c>
      <c r="JI69" t="s">
        <v>15</v>
      </c>
      <c r="JJ69" t="s">
        <v>14</v>
      </c>
      <c r="JK69" s="8" t="s">
        <v>1664</v>
      </c>
      <c r="JN69" t="s">
        <v>13</v>
      </c>
      <c r="JO69">
        <v>40</v>
      </c>
      <c r="JP69">
        <v>50</v>
      </c>
      <c r="KD69" t="s">
        <v>12</v>
      </c>
      <c r="MR69" t="s">
        <v>1640</v>
      </c>
      <c r="MS69">
        <v>36</v>
      </c>
      <c r="NC69" t="s">
        <v>1678</v>
      </c>
      <c r="ND69" t="s">
        <v>1413</v>
      </c>
      <c r="NF69" t="s">
        <v>1416</v>
      </c>
      <c r="NG69" t="s">
        <v>265</v>
      </c>
      <c r="NP69" t="s">
        <v>6</v>
      </c>
      <c r="NQ69">
        <v>1050.9000000000001</v>
      </c>
      <c r="NR69" s="4" t="s">
        <v>4</v>
      </c>
      <c r="NS69">
        <v>10</v>
      </c>
      <c r="NV69">
        <v>4</v>
      </c>
      <c r="OG69" t="s">
        <v>1682</v>
      </c>
      <c r="OH69" s="87" t="s">
        <v>2</v>
      </c>
      <c r="OI69">
        <v>2007</v>
      </c>
      <c r="OL69" t="s">
        <v>1656</v>
      </c>
      <c r="ON69" t="s">
        <v>1169</v>
      </c>
      <c r="OO69" s="58">
        <v>46105</v>
      </c>
    </row>
    <row r="70" spans="1:405" ht="15.75" thickBot="1">
      <c r="A70" t="s">
        <v>248</v>
      </c>
      <c r="B70" t="s">
        <v>1870</v>
      </c>
      <c r="C70" t="s">
        <v>34</v>
      </c>
      <c r="D70" s="100" t="s">
        <v>31</v>
      </c>
      <c r="E70" s="90" t="s">
        <v>1658</v>
      </c>
      <c r="F70" s="100" t="s">
        <v>31</v>
      </c>
      <c r="G70" s="87" t="s">
        <v>2</v>
      </c>
      <c r="H70" s="87" t="s">
        <v>30</v>
      </c>
      <c r="I70">
        <v>-0.41666666699999999</v>
      </c>
      <c r="J70">
        <v>34.200000000000003</v>
      </c>
      <c r="K70" s="87" t="s">
        <v>29</v>
      </c>
      <c r="AV70" t="s">
        <v>1661</v>
      </c>
      <c r="AW70">
        <v>55</v>
      </c>
      <c r="AX70" t="s">
        <v>234</v>
      </c>
      <c r="AY70">
        <v>1</v>
      </c>
      <c r="AZ70" t="s">
        <v>1667</v>
      </c>
      <c r="BA70">
        <v>2007</v>
      </c>
      <c r="BB70">
        <v>2008</v>
      </c>
      <c r="BD70" t="s">
        <v>238</v>
      </c>
      <c r="BE70" t="s">
        <v>1655</v>
      </c>
      <c r="BF70" t="s">
        <v>277</v>
      </c>
      <c r="BH70" t="s">
        <v>23</v>
      </c>
      <c r="BI70" t="s">
        <v>1662</v>
      </c>
      <c r="BJ70" s="87" t="s">
        <v>22</v>
      </c>
      <c r="BK70">
        <v>44444</v>
      </c>
      <c r="BL70" t="s">
        <v>56</v>
      </c>
      <c r="BM70" t="s">
        <v>1659</v>
      </c>
      <c r="BN70" t="s">
        <v>1660</v>
      </c>
      <c r="BO70" s="87" t="s">
        <v>22</v>
      </c>
      <c r="BP70">
        <v>44444</v>
      </c>
      <c r="BQ70" t="s">
        <v>56</v>
      </c>
      <c r="BR70" t="s">
        <v>1646</v>
      </c>
      <c r="BS70" t="s">
        <v>234</v>
      </c>
      <c r="BT70" t="s">
        <v>234</v>
      </c>
      <c r="BU70" t="s">
        <v>234</v>
      </c>
      <c r="EH70" s="9"/>
      <c r="EI70" s="9"/>
      <c r="EJ70" s="9"/>
      <c r="EK70" s="9"/>
      <c r="EL70" s="9"/>
      <c r="EM70" s="9"/>
      <c r="EN70" s="9"/>
      <c r="EO70" s="9"/>
      <c r="EP70" s="9"/>
      <c r="EQ70" s="9"/>
      <c r="ER70" s="9"/>
      <c r="ES70" s="9"/>
      <c r="ET70" s="9"/>
      <c r="EU70" s="9"/>
      <c r="EV70" s="9"/>
      <c r="EW70" s="9"/>
      <c r="EX70" s="9"/>
      <c r="EY70" s="9"/>
      <c r="EZ70" s="9"/>
      <c r="FA70" s="9"/>
      <c r="FB70" s="9"/>
      <c r="FC70" s="9"/>
      <c r="FD70" s="9"/>
      <c r="FE70" s="9"/>
      <c r="FF70" s="9"/>
      <c r="FG70" s="9"/>
      <c r="FH70" s="9"/>
      <c r="FI70" s="9"/>
      <c r="FJ70" s="9"/>
      <c r="FK70" s="9"/>
      <c r="FL70" s="9"/>
      <c r="FM70" s="9"/>
      <c r="FN70" s="9"/>
      <c r="FO70" s="9"/>
      <c r="FP70" s="9"/>
      <c r="FQ70" s="9"/>
      <c r="FR70" s="9"/>
      <c r="FS70" s="9"/>
      <c r="FT70" s="9"/>
      <c r="FU70" s="9"/>
      <c r="FV70" s="9"/>
      <c r="FW70" s="9"/>
      <c r="FX70" s="9"/>
      <c r="FY70" s="9"/>
      <c r="FZ70" s="9"/>
      <c r="GA70" s="9"/>
      <c r="GB70" s="9"/>
      <c r="GC70" s="9"/>
      <c r="GD70" s="9"/>
      <c r="GE70" s="9"/>
      <c r="GF70" s="9"/>
      <c r="GG70" s="9"/>
      <c r="GH70" s="9"/>
      <c r="GI70" s="9"/>
      <c r="GJ70" s="9"/>
      <c r="GK70" s="9"/>
      <c r="GL70" s="9"/>
      <c r="GM70" s="9"/>
      <c r="GN70" s="9"/>
      <c r="GO70" s="9"/>
      <c r="GP70" s="9"/>
      <c r="GQ70" s="9"/>
      <c r="GR70" s="9"/>
      <c r="GS70" s="9"/>
      <c r="GT70" s="9"/>
      <c r="GU70" s="9"/>
      <c r="GV70" s="9"/>
      <c r="GW70" s="9"/>
      <c r="GX70" s="9"/>
      <c r="GY70" s="9"/>
      <c r="GZ70" s="9"/>
      <c r="HA70" s="9"/>
      <c r="HB70" s="9"/>
      <c r="HC70" s="9"/>
      <c r="HD70" s="9"/>
      <c r="HE70" s="9"/>
      <c r="HF70" s="9"/>
      <c r="HG70" s="9"/>
      <c r="HH70" s="9"/>
      <c r="HI70" s="9"/>
      <c r="HJ70" s="9"/>
      <c r="HK70" s="9"/>
      <c r="HW70" s="58"/>
      <c r="IF70" t="s">
        <v>1655</v>
      </c>
      <c r="IG70" s="84" t="s">
        <v>1665</v>
      </c>
      <c r="IH70" t="s">
        <v>660</v>
      </c>
      <c r="II70" t="s">
        <v>661</v>
      </c>
      <c r="IJ70" t="s">
        <v>836</v>
      </c>
      <c r="IK70" t="s">
        <v>836</v>
      </c>
      <c r="IL70" s="87" t="s">
        <v>29</v>
      </c>
      <c r="JH70" t="s">
        <v>1663</v>
      </c>
      <c r="JI70" t="s">
        <v>15</v>
      </c>
      <c r="JJ70" t="s">
        <v>14</v>
      </c>
      <c r="JK70" s="8" t="s">
        <v>1664</v>
      </c>
      <c r="JN70" t="s">
        <v>13</v>
      </c>
      <c r="JO70">
        <v>40</v>
      </c>
      <c r="JP70">
        <v>50</v>
      </c>
      <c r="KD70" t="s">
        <v>12</v>
      </c>
      <c r="MR70" t="s">
        <v>1640</v>
      </c>
      <c r="MS70">
        <v>36</v>
      </c>
      <c r="NC70" t="s">
        <v>1678</v>
      </c>
      <c r="ND70" t="s">
        <v>1413</v>
      </c>
      <c r="NF70" t="s">
        <v>1416</v>
      </c>
      <c r="NG70" t="s">
        <v>265</v>
      </c>
      <c r="NP70" t="s">
        <v>6</v>
      </c>
      <c r="NQ70">
        <v>1062.4000000000001</v>
      </c>
      <c r="NR70" s="4" t="s">
        <v>4</v>
      </c>
      <c r="NS70">
        <v>10</v>
      </c>
      <c r="NV70">
        <v>4</v>
      </c>
      <c r="OG70" t="s">
        <v>1682</v>
      </c>
      <c r="OH70" s="87" t="s">
        <v>2</v>
      </c>
      <c r="OI70">
        <v>2007</v>
      </c>
      <c r="OL70" t="s">
        <v>1656</v>
      </c>
      <c r="ON70" t="s">
        <v>1169</v>
      </c>
      <c r="OO70" s="58">
        <v>46105</v>
      </c>
    </row>
    <row r="71" spans="1:405" ht="15.75" thickBot="1">
      <c r="A71" t="s">
        <v>248</v>
      </c>
      <c r="B71" t="s">
        <v>1870</v>
      </c>
      <c r="C71" t="s">
        <v>34</v>
      </c>
      <c r="D71" s="100" t="s">
        <v>31</v>
      </c>
      <c r="E71" s="90" t="s">
        <v>1658</v>
      </c>
      <c r="F71" s="100" t="s">
        <v>31</v>
      </c>
      <c r="G71" s="87" t="s">
        <v>2</v>
      </c>
      <c r="H71" s="87" t="s">
        <v>30</v>
      </c>
      <c r="I71">
        <v>-0.41666666699999999</v>
      </c>
      <c r="J71">
        <v>34.200000000000003</v>
      </c>
      <c r="K71" s="87" t="s">
        <v>29</v>
      </c>
      <c r="AV71" t="s">
        <v>1661</v>
      </c>
      <c r="AW71">
        <v>36</v>
      </c>
      <c r="AX71" t="s">
        <v>234</v>
      </c>
      <c r="AY71">
        <v>1</v>
      </c>
      <c r="AZ71" t="s">
        <v>1667</v>
      </c>
      <c r="BA71">
        <v>2007</v>
      </c>
      <c r="BB71">
        <v>2008</v>
      </c>
      <c r="BD71" t="s">
        <v>19</v>
      </c>
      <c r="BE71" t="s">
        <v>1639</v>
      </c>
      <c r="BF71" t="s">
        <v>39</v>
      </c>
      <c r="BH71" t="s">
        <v>23</v>
      </c>
      <c r="BI71" t="s">
        <v>1662</v>
      </c>
      <c r="BJ71" s="87" t="s">
        <v>22</v>
      </c>
      <c r="BK71">
        <v>44444</v>
      </c>
      <c r="IF71" t="s">
        <v>1639</v>
      </c>
      <c r="IG71" t="s">
        <v>19</v>
      </c>
      <c r="JH71" t="s">
        <v>1663</v>
      </c>
      <c r="JI71" t="s">
        <v>15</v>
      </c>
      <c r="JJ71" t="s">
        <v>14</v>
      </c>
      <c r="JK71" s="8" t="s">
        <v>1664</v>
      </c>
      <c r="JN71" t="s">
        <v>13</v>
      </c>
      <c r="JO71">
        <v>40</v>
      </c>
      <c r="JP71">
        <v>50</v>
      </c>
      <c r="KD71" t="s">
        <v>12</v>
      </c>
      <c r="MR71" t="s">
        <v>1640</v>
      </c>
      <c r="MS71">
        <v>36</v>
      </c>
      <c r="NC71" t="s">
        <v>1675</v>
      </c>
      <c r="ND71" t="s">
        <v>1589</v>
      </c>
      <c r="NF71" t="s">
        <v>671</v>
      </c>
      <c r="NG71" t="s">
        <v>265</v>
      </c>
      <c r="NP71" t="s">
        <v>6</v>
      </c>
      <c r="NQ71">
        <v>307.3</v>
      </c>
      <c r="NR71" s="4" t="s">
        <v>4</v>
      </c>
      <c r="NS71">
        <v>8</v>
      </c>
      <c r="NV71">
        <v>4</v>
      </c>
      <c r="OG71" t="s">
        <v>1657</v>
      </c>
      <c r="OH71" s="87" t="s">
        <v>2</v>
      </c>
      <c r="OI71">
        <v>2007</v>
      </c>
      <c r="OL71" t="s">
        <v>1656</v>
      </c>
      <c r="ON71" t="s">
        <v>1169</v>
      </c>
      <c r="OO71" s="58">
        <v>46105</v>
      </c>
    </row>
    <row r="72" spans="1:405" ht="15.75" thickBot="1">
      <c r="A72" t="s">
        <v>248</v>
      </c>
      <c r="B72" t="s">
        <v>1870</v>
      </c>
      <c r="C72" t="s">
        <v>34</v>
      </c>
      <c r="D72" s="100" t="s">
        <v>31</v>
      </c>
      <c r="E72" s="90" t="s">
        <v>1658</v>
      </c>
      <c r="F72" s="100" t="s">
        <v>31</v>
      </c>
      <c r="G72" s="87" t="s">
        <v>2</v>
      </c>
      <c r="H72" s="87" t="s">
        <v>30</v>
      </c>
      <c r="I72">
        <v>-0.41666666699999999</v>
      </c>
      <c r="J72">
        <v>34.200000000000003</v>
      </c>
      <c r="K72" s="87" t="s">
        <v>29</v>
      </c>
      <c r="AV72" t="s">
        <v>1661</v>
      </c>
      <c r="AW72">
        <v>37</v>
      </c>
      <c r="AX72" t="s">
        <v>234</v>
      </c>
      <c r="AY72">
        <v>1</v>
      </c>
      <c r="AZ72" t="s">
        <v>1667</v>
      </c>
      <c r="BA72">
        <v>2007</v>
      </c>
      <c r="BB72">
        <v>2008</v>
      </c>
      <c r="BD72" t="s">
        <v>238</v>
      </c>
      <c r="BE72" t="s">
        <v>1643</v>
      </c>
      <c r="BF72" t="s">
        <v>64</v>
      </c>
      <c r="BH72" t="s">
        <v>23</v>
      </c>
      <c r="BI72" t="s">
        <v>1662</v>
      </c>
      <c r="BJ72" s="87" t="s">
        <v>22</v>
      </c>
      <c r="BK72">
        <v>44444</v>
      </c>
      <c r="BL72" t="s">
        <v>56</v>
      </c>
      <c r="BM72" t="s">
        <v>1659</v>
      </c>
      <c r="BN72" t="s">
        <v>1660</v>
      </c>
      <c r="BO72" s="87" t="s">
        <v>22</v>
      </c>
      <c r="BP72">
        <v>44444</v>
      </c>
      <c r="IF72" t="s">
        <v>1643</v>
      </c>
      <c r="IG72" s="84" t="s">
        <v>1443</v>
      </c>
      <c r="IH72" t="s">
        <v>660</v>
      </c>
      <c r="II72" t="s">
        <v>661</v>
      </c>
      <c r="IJ72" t="s">
        <v>836</v>
      </c>
      <c r="IK72" t="s">
        <v>836</v>
      </c>
      <c r="IL72" s="87" t="s">
        <v>29</v>
      </c>
      <c r="JH72" t="s">
        <v>1663</v>
      </c>
      <c r="JI72" t="s">
        <v>15</v>
      </c>
      <c r="JJ72" t="s">
        <v>14</v>
      </c>
      <c r="JK72" s="8" t="s">
        <v>1664</v>
      </c>
      <c r="JN72" t="s">
        <v>13</v>
      </c>
      <c r="JO72">
        <v>40</v>
      </c>
      <c r="JP72">
        <v>50</v>
      </c>
      <c r="KD72" t="s">
        <v>12</v>
      </c>
      <c r="MR72" t="s">
        <v>1640</v>
      </c>
      <c r="MS72">
        <v>36</v>
      </c>
      <c r="NC72" t="s">
        <v>1676</v>
      </c>
      <c r="ND72" t="s">
        <v>1589</v>
      </c>
      <c r="NF72" t="s">
        <v>671</v>
      </c>
      <c r="NG72" t="s">
        <v>265</v>
      </c>
      <c r="NP72" t="s">
        <v>6</v>
      </c>
      <c r="NQ72">
        <v>427.4</v>
      </c>
      <c r="NR72" s="4" t="s">
        <v>4</v>
      </c>
      <c r="NS72">
        <v>14</v>
      </c>
      <c r="NV72">
        <v>4</v>
      </c>
      <c r="OG72" t="s">
        <v>1657</v>
      </c>
      <c r="OH72" s="87" t="s">
        <v>2</v>
      </c>
      <c r="OI72">
        <v>2007</v>
      </c>
      <c r="OL72" t="s">
        <v>1656</v>
      </c>
      <c r="ON72" t="s">
        <v>1169</v>
      </c>
      <c r="OO72" s="58">
        <v>46105</v>
      </c>
    </row>
    <row r="73" spans="1:405" ht="15.75" thickBot="1">
      <c r="A73" t="s">
        <v>248</v>
      </c>
      <c r="B73" t="s">
        <v>1870</v>
      </c>
      <c r="C73" t="s">
        <v>34</v>
      </c>
      <c r="D73" s="100" t="s">
        <v>31</v>
      </c>
      <c r="E73" s="90" t="s">
        <v>1658</v>
      </c>
      <c r="F73" s="100" t="s">
        <v>31</v>
      </c>
      <c r="G73" s="87" t="s">
        <v>2</v>
      </c>
      <c r="H73" s="87" t="s">
        <v>30</v>
      </c>
      <c r="I73">
        <v>-0.41666666699999999</v>
      </c>
      <c r="J73">
        <v>34.200000000000003</v>
      </c>
      <c r="K73" s="87" t="s">
        <v>29</v>
      </c>
      <c r="AV73" t="s">
        <v>1661</v>
      </c>
      <c r="AW73">
        <v>38</v>
      </c>
      <c r="AX73" t="s">
        <v>234</v>
      </c>
      <c r="AY73">
        <v>1</v>
      </c>
      <c r="AZ73" t="s">
        <v>1667</v>
      </c>
      <c r="BA73">
        <v>2007</v>
      </c>
      <c r="BB73">
        <v>2008</v>
      </c>
      <c r="BD73" t="s">
        <v>238</v>
      </c>
      <c r="BE73" t="s">
        <v>1645</v>
      </c>
      <c r="BF73" t="s">
        <v>57</v>
      </c>
      <c r="BH73" t="s">
        <v>23</v>
      </c>
      <c r="BI73" t="s">
        <v>1662</v>
      </c>
      <c r="BJ73" s="87" t="s">
        <v>22</v>
      </c>
      <c r="BK73">
        <v>44444</v>
      </c>
      <c r="BL73" t="s">
        <v>56</v>
      </c>
      <c r="BM73" t="s">
        <v>1646</v>
      </c>
      <c r="BN73" t="s">
        <v>234</v>
      </c>
      <c r="BO73" t="s">
        <v>234</v>
      </c>
      <c r="BP73" t="s">
        <v>234</v>
      </c>
      <c r="IF73" t="s">
        <v>1645</v>
      </c>
      <c r="IG73" s="84" t="s">
        <v>1665</v>
      </c>
      <c r="IH73" t="s">
        <v>660</v>
      </c>
      <c r="II73" t="s">
        <v>661</v>
      </c>
      <c r="IJ73" t="s">
        <v>836</v>
      </c>
      <c r="IK73" t="s">
        <v>836</v>
      </c>
      <c r="IL73" s="87" t="s">
        <v>29</v>
      </c>
      <c r="JH73" t="s">
        <v>1663</v>
      </c>
      <c r="JI73" t="s">
        <v>15</v>
      </c>
      <c r="JJ73" t="s">
        <v>14</v>
      </c>
      <c r="JK73" s="8" t="s">
        <v>1664</v>
      </c>
      <c r="JN73" t="s">
        <v>13</v>
      </c>
      <c r="JO73">
        <v>40</v>
      </c>
      <c r="JP73">
        <v>50</v>
      </c>
      <c r="KD73" t="s">
        <v>12</v>
      </c>
      <c r="MR73" t="s">
        <v>1640</v>
      </c>
      <c r="MS73">
        <v>36</v>
      </c>
      <c r="NC73" t="s">
        <v>1676</v>
      </c>
      <c r="ND73" t="s">
        <v>1589</v>
      </c>
      <c r="NF73" t="s">
        <v>671</v>
      </c>
      <c r="NG73" t="s">
        <v>265</v>
      </c>
      <c r="NP73" t="s">
        <v>6</v>
      </c>
      <c r="NQ73">
        <v>513.5</v>
      </c>
      <c r="NR73" s="4" t="s">
        <v>4</v>
      </c>
      <c r="NS73">
        <v>7</v>
      </c>
      <c r="NV73">
        <v>4</v>
      </c>
      <c r="OG73" t="s">
        <v>1657</v>
      </c>
      <c r="OH73" s="87" t="s">
        <v>2</v>
      </c>
      <c r="OI73">
        <v>2007</v>
      </c>
      <c r="OL73" t="s">
        <v>1656</v>
      </c>
      <c r="ON73" t="s">
        <v>1169</v>
      </c>
      <c r="OO73" s="58">
        <v>46105</v>
      </c>
    </row>
    <row r="74" spans="1:405" ht="15.75" thickBot="1">
      <c r="A74" t="s">
        <v>248</v>
      </c>
      <c r="B74" t="s">
        <v>1870</v>
      </c>
      <c r="C74" t="s">
        <v>34</v>
      </c>
      <c r="D74" s="100" t="s">
        <v>31</v>
      </c>
      <c r="E74" s="90" t="s">
        <v>1658</v>
      </c>
      <c r="F74" s="100" t="s">
        <v>31</v>
      </c>
      <c r="G74" s="87" t="s">
        <v>2</v>
      </c>
      <c r="H74" s="87" t="s">
        <v>30</v>
      </c>
      <c r="I74">
        <v>-0.41666666699999999</v>
      </c>
      <c r="J74">
        <v>34.200000000000003</v>
      </c>
      <c r="K74" s="87" t="s">
        <v>29</v>
      </c>
      <c r="AV74" t="s">
        <v>1661</v>
      </c>
      <c r="AW74">
        <v>39</v>
      </c>
      <c r="AX74" t="s">
        <v>234</v>
      </c>
      <c r="AY74">
        <v>1</v>
      </c>
      <c r="AZ74" t="s">
        <v>1667</v>
      </c>
      <c r="BA74">
        <v>2007</v>
      </c>
      <c r="BB74">
        <v>2008</v>
      </c>
      <c r="BD74" t="s">
        <v>238</v>
      </c>
      <c r="BE74" t="s">
        <v>1648</v>
      </c>
      <c r="BF74" t="s">
        <v>48</v>
      </c>
      <c r="BH74" t="s">
        <v>23</v>
      </c>
      <c r="BI74" t="s">
        <v>1662</v>
      </c>
      <c r="BJ74" s="87" t="s">
        <v>22</v>
      </c>
      <c r="BK74">
        <v>44444</v>
      </c>
      <c r="BL74" t="s">
        <v>56</v>
      </c>
      <c r="BM74" t="s">
        <v>1659</v>
      </c>
      <c r="BN74" t="s">
        <v>1660</v>
      </c>
      <c r="BO74" s="87" t="s">
        <v>22</v>
      </c>
      <c r="BP74">
        <v>44444</v>
      </c>
      <c r="BQ74" t="s">
        <v>56</v>
      </c>
      <c r="BR74" t="s">
        <v>1646</v>
      </c>
      <c r="BS74" t="s">
        <v>234</v>
      </c>
      <c r="BT74" t="s">
        <v>234</v>
      </c>
      <c r="BU74" t="s">
        <v>234</v>
      </c>
      <c r="IF74" t="s">
        <v>1648</v>
      </c>
      <c r="IG74" s="84" t="s">
        <v>1665</v>
      </c>
      <c r="IH74" t="s">
        <v>660</v>
      </c>
      <c r="II74" t="s">
        <v>661</v>
      </c>
      <c r="IJ74" t="s">
        <v>836</v>
      </c>
      <c r="IK74" t="s">
        <v>836</v>
      </c>
      <c r="IL74" s="87" t="s">
        <v>29</v>
      </c>
      <c r="JH74" t="s">
        <v>1663</v>
      </c>
      <c r="JI74" t="s">
        <v>15</v>
      </c>
      <c r="JJ74" t="s">
        <v>14</v>
      </c>
      <c r="JK74" s="8" t="s">
        <v>1664</v>
      </c>
      <c r="JN74" t="s">
        <v>13</v>
      </c>
      <c r="JO74">
        <v>40</v>
      </c>
      <c r="JP74">
        <v>50</v>
      </c>
      <c r="KD74" t="s">
        <v>12</v>
      </c>
      <c r="MR74" t="s">
        <v>1640</v>
      </c>
      <c r="MS74">
        <v>36</v>
      </c>
      <c r="NC74" t="s">
        <v>1676</v>
      </c>
      <c r="ND74" t="s">
        <v>1589</v>
      </c>
      <c r="NF74" t="s">
        <v>671</v>
      </c>
      <c r="NG74" t="s">
        <v>265</v>
      </c>
      <c r="NP74" t="s">
        <v>6</v>
      </c>
      <c r="NQ74">
        <v>577.20000000000005</v>
      </c>
      <c r="NR74" s="4" t="s">
        <v>4</v>
      </c>
      <c r="NS74">
        <v>2</v>
      </c>
      <c r="NV74">
        <v>4</v>
      </c>
      <c r="OG74" t="s">
        <v>1657</v>
      </c>
      <c r="OH74" s="87" t="s">
        <v>2</v>
      </c>
      <c r="OI74">
        <v>2007</v>
      </c>
      <c r="OL74" t="s">
        <v>1656</v>
      </c>
      <c r="ON74" t="s">
        <v>1169</v>
      </c>
      <c r="OO74" s="58">
        <v>46105</v>
      </c>
    </row>
    <row r="75" spans="1:405" ht="15.75" thickBot="1">
      <c r="A75" t="s">
        <v>248</v>
      </c>
      <c r="B75" t="s">
        <v>1870</v>
      </c>
      <c r="C75" t="s">
        <v>34</v>
      </c>
      <c r="D75" s="100" t="s">
        <v>31</v>
      </c>
      <c r="E75" s="90" t="s">
        <v>1658</v>
      </c>
      <c r="F75" s="100" t="s">
        <v>31</v>
      </c>
      <c r="G75" s="87" t="s">
        <v>2</v>
      </c>
      <c r="H75" s="87" t="s">
        <v>30</v>
      </c>
      <c r="I75">
        <v>-0.41666666699999999</v>
      </c>
      <c r="J75">
        <v>34.200000000000003</v>
      </c>
      <c r="K75" s="87" t="s">
        <v>29</v>
      </c>
      <c r="AV75" t="s">
        <v>1661</v>
      </c>
      <c r="AW75">
        <v>40</v>
      </c>
      <c r="AX75" t="s">
        <v>234</v>
      </c>
      <c r="AY75">
        <v>1</v>
      </c>
      <c r="AZ75" t="s">
        <v>1667</v>
      </c>
      <c r="BA75">
        <v>2007</v>
      </c>
      <c r="BB75">
        <v>2008</v>
      </c>
      <c r="BD75" t="s">
        <v>238</v>
      </c>
      <c r="BE75" t="s">
        <v>1672</v>
      </c>
      <c r="BF75" t="s">
        <v>43</v>
      </c>
      <c r="BH75" t="s">
        <v>23</v>
      </c>
      <c r="BI75" t="s">
        <v>1662</v>
      </c>
      <c r="BJ75" s="87" t="s">
        <v>22</v>
      </c>
      <c r="BK75">
        <v>44444</v>
      </c>
      <c r="BL75" t="s">
        <v>56</v>
      </c>
      <c r="BM75" t="s">
        <v>1659</v>
      </c>
      <c r="BN75" t="s">
        <v>1660</v>
      </c>
      <c r="BO75" s="87" t="s">
        <v>22</v>
      </c>
      <c r="BP75">
        <v>44444</v>
      </c>
      <c r="BQ75" t="s">
        <v>56</v>
      </c>
      <c r="BR75" t="s">
        <v>1646</v>
      </c>
      <c r="BS75" t="s">
        <v>234</v>
      </c>
      <c r="BT75" t="s">
        <v>234</v>
      </c>
      <c r="BU75" t="s">
        <v>234</v>
      </c>
      <c r="IF75" t="s">
        <v>1650</v>
      </c>
      <c r="IG75" s="84" t="s">
        <v>1665</v>
      </c>
      <c r="IH75" t="s">
        <v>660</v>
      </c>
      <c r="II75" t="s">
        <v>661</v>
      </c>
      <c r="IJ75" t="s">
        <v>836</v>
      </c>
      <c r="IK75" t="s">
        <v>836</v>
      </c>
      <c r="IL75" s="87" t="s">
        <v>29</v>
      </c>
      <c r="JH75" t="s">
        <v>1663</v>
      </c>
      <c r="JI75" t="s">
        <v>15</v>
      </c>
      <c r="JJ75" t="s">
        <v>14</v>
      </c>
      <c r="JK75" s="8" t="s">
        <v>1664</v>
      </c>
      <c r="JN75" t="s">
        <v>13</v>
      </c>
      <c r="JO75">
        <v>40</v>
      </c>
      <c r="JP75">
        <v>50</v>
      </c>
      <c r="KD75" t="s">
        <v>12</v>
      </c>
      <c r="MR75" t="s">
        <v>1640</v>
      </c>
      <c r="MS75">
        <v>36</v>
      </c>
      <c r="NC75" t="s">
        <v>1676</v>
      </c>
      <c r="ND75" t="s">
        <v>1589</v>
      </c>
      <c r="NF75" t="s">
        <v>671</v>
      </c>
      <c r="NG75" t="s">
        <v>265</v>
      </c>
      <c r="NP75" t="s">
        <v>6</v>
      </c>
      <c r="NQ75">
        <v>615.9</v>
      </c>
      <c r="NR75" s="4" t="s">
        <v>4</v>
      </c>
      <c r="NS75">
        <v>6</v>
      </c>
      <c r="NV75">
        <v>4</v>
      </c>
      <c r="OG75" t="s">
        <v>1657</v>
      </c>
      <c r="OH75" s="87" t="s">
        <v>2</v>
      </c>
      <c r="OI75">
        <v>2007</v>
      </c>
      <c r="OL75" t="s">
        <v>1656</v>
      </c>
      <c r="ON75" t="s">
        <v>1169</v>
      </c>
      <c r="OO75" s="58">
        <v>46105</v>
      </c>
    </row>
    <row r="76" spans="1:405" ht="15.75" thickBot="1">
      <c r="A76" t="s">
        <v>248</v>
      </c>
      <c r="B76" t="s">
        <v>1870</v>
      </c>
      <c r="C76" t="s">
        <v>34</v>
      </c>
      <c r="D76" s="100" t="s">
        <v>31</v>
      </c>
      <c r="E76" s="90" t="s">
        <v>1658</v>
      </c>
      <c r="F76" s="100" t="s">
        <v>31</v>
      </c>
      <c r="G76" s="87" t="s">
        <v>2</v>
      </c>
      <c r="H76" s="87" t="s">
        <v>30</v>
      </c>
      <c r="I76">
        <v>-0.41666666699999999</v>
      </c>
      <c r="J76">
        <v>34.200000000000003</v>
      </c>
      <c r="K76" s="87" t="s">
        <v>29</v>
      </c>
      <c r="AV76" t="s">
        <v>1661</v>
      </c>
      <c r="AW76">
        <v>41</v>
      </c>
      <c r="AX76" t="s">
        <v>234</v>
      </c>
      <c r="AY76">
        <v>1</v>
      </c>
      <c r="AZ76" t="s">
        <v>1668</v>
      </c>
      <c r="BA76">
        <v>2007</v>
      </c>
      <c r="BB76">
        <v>2008</v>
      </c>
      <c r="BD76" t="s">
        <v>19</v>
      </c>
      <c r="BE76" t="s">
        <v>1639</v>
      </c>
      <c r="BF76" t="s">
        <v>39</v>
      </c>
      <c r="BH76" t="s">
        <v>23</v>
      </c>
      <c r="BI76" t="s">
        <v>1662</v>
      </c>
      <c r="BJ76" s="87" t="s">
        <v>22</v>
      </c>
      <c r="BK76">
        <v>44444</v>
      </c>
      <c r="IF76" t="s">
        <v>1639</v>
      </c>
      <c r="IG76" t="s">
        <v>19</v>
      </c>
      <c r="JH76" t="s">
        <v>1663</v>
      </c>
      <c r="JI76" t="s">
        <v>15</v>
      </c>
      <c r="JJ76" t="s">
        <v>14</v>
      </c>
      <c r="JK76" s="8" t="s">
        <v>1664</v>
      </c>
      <c r="JN76" t="s">
        <v>13</v>
      </c>
      <c r="JO76">
        <v>40</v>
      </c>
      <c r="JP76">
        <v>50</v>
      </c>
      <c r="KD76" t="s">
        <v>12</v>
      </c>
      <c r="MR76" t="s">
        <v>1640</v>
      </c>
      <c r="MS76">
        <v>36</v>
      </c>
      <c r="NC76" t="s">
        <v>1675</v>
      </c>
      <c r="ND76" t="s">
        <v>1589</v>
      </c>
      <c r="NF76" t="s">
        <v>671</v>
      </c>
      <c r="NG76" t="s">
        <v>265</v>
      </c>
      <c r="NP76" t="s">
        <v>6</v>
      </c>
      <c r="NQ76">
        <v>311.2</v>
      </c>
      <c r="NR76" s="4" t="s">
        <v>4</v>
      </c>
      <c r="NS76">
        <v>4</v>
      </c>
      <c r="NV76">
        <v>4</v>
      </c>
      <c r="OG76" t="s">
        <v>1657</v>
      </c>
      <c r="OH76" s="87" t="s">
        <v>2</v>
      </c>
      <c r="OI76">
        <v>2008</v>
      </c>
      <c r="OL76" t="s">
        <v>1666</v>
      </c>
      <c r="ON76" t="s">
        <v>1169</v>
      </c>
      <c r="OO76" s="58">
        <v>46105</v>
      </c>
    </row>
    <row r="77" spans="1:405" ht="15.75" thickBot="1">
      <c r="A77" t="s">
        <v>248</v>
      </c>
      <c r="B77" t="s">
        <v>1870</v>
      </c>
      <c r="C77" t="s">
        <v>34</v>
      </c>
      <c r="D77" s="100" t="s">
        <v>31</v>
      </c>
      <c r="E77" s="90" t="s">
        <v>1658</v>
      </c>
      <c r="F77" s="100" t="s">
        <v>31</v>
      </c>
      <c r="G77" s="87" t="s">
        <v>2</v>
      </c>
      <c r="H77" s="87" t="s">
        <v>30</v>
      </c>
      <c r="I77">
        <v>-0.41666666699999999</v>
      </c>
      <c r="J77">
        <v>34.200000000000003</v>
      </c>
      <c r="K77" s="87" t="s">
        <v>29</v>
      </c>
      <c r="AV77" t="s">
        <v>1661</v>
      </c>
      <c r="AW77">
        <v>42</v>
      </c>
      <c r="AX77" t="s">
        <v>234</v>
      </c>
      <c r="AY77">
        <v>1</v>
      </c>
      <c r="AZ77" t="s">
        <v>1668</v>
      </c>
      <c r="BA77">
        <v>2007</v>
      </c>
      <c r="BB77">
        <v>2008</v>
      </c>
      <c r="BD77" t="s">
        <v>238</v>
      </c>
      <c r="BE77" t="s">
        <v>1643</v>
      </c>
      <c r="BF77" t="s">
        <v>64</v>
      </c>
      <c r="BH77" t="s">
        <v>23</v>
      </c>
      <c r="BI77" t="s">
        <v>1662</v>
      </c>
      <c r="BJ77" s="87" t="s">
        <v>22</v>
      </c>
      <c r="BK77">
        <v>44444</v>
      </c>
      <c r="BL77" t="s">
        <v>56</v>
      </c>
      <c r="BM77" t="s">
        <v>1659</v>
      </c>
      <c r="BN77" t="s">
        <v>1660</v>
      </c>
      <c r="BO77" s="87" t="s">
        <v>22</v>
      </c>
      <c r="BP77">
        <v>44444</v>
      </c>
      <c r="IF77" t="s">
        <v>1643</v>
      </c>
      <c r="IG77" s="84" t="s">
        <v>1443</v>
      </c>
      <c r="IH77" t="s">
        <v>660</v>
      </c>
      <c r="II77" t="s">
        <v>661</v>
      </c>
      <c r="IJ77" t="s">
        <v>836</v>
      </c>
      <c r="IK77" t="s">
        <v>836</v>
      </c>
      <c r="IL77" s="87" t="s">
        <v>29</v>
      </c>
      <c r="JH77" t="s">
        <v>1663</v>
      </c>
      <c r="JI77" t="s">
        <v>15</v>
      </c>
      <c r="JJ77" t="s">
        <v>14</v>
      </c>
      <c r="JK77" s="8" t="s">
        <v>1664</v>
      </c>
      <c r="JN77" t="s">
        <v>13</v>
      </c>
      <c r="JO77">
        <v>40</v>
      </c>
      <c r="JP77">
        <v>50</v>
      </c>
      <c r="KD77" t="s">
        <v>12</v>
      </c>
      <c r="MR77" t="s">
        <v>1640</v>
      </c>
      <c r="MS77">
        <v>36</v>
      </c>
      <c r="NC77" t="s">
        <v>1676</v>
      </c>
      <c r="ND77" t="s">
        <v>1589</v>
      </c>
      <c r="NF77" t="s">
        <v>671</v>
      </c>
      <c r="NG77" t="s">
        <v>265</v>
      </c>
      <c r="NP77" t="s">
        <v>6</v>
      </c>
      <c r="NQ77">
        <v>412.8</v>
      </c>
      <c r="NR77" s="4" t="s">
        <v>4</v>
      </c>
      <c r="NS77">
        <v>14</v>
      </c>
      <c r="NV77">
        <v>4</v>
      </c>
      <c r="OG77" t="s">
        <v>1657</v>
      </c>
      <c r="OH77" s="87" t="s">
        <v>2</v>
      </c>
      <c r="OI77">
        <v>2008</v>
      </c>
      <c r="OL77" t="s">
        <v>1666</v>
      </c>
      <c r="ON77" t="s">
        <v>1169</v>
      </c>
      <c r="OO77" s="58">
        <v>46105</v>
      </c>
    </row>
    <row r="78" spans="1:405" ht="15.75" thickBot="1">
      <c r="A78" t="s">
        <v>248</v>
      </c>
      <c r="B78" t="s">
        <v>1870</v>
      </c>
      <c r="C78" t="s">
        <v>34</v>
      </c>
      <c r="D78" s="100" t="s">
        <v>31</v>
      </c>
      <c r="E78" s="90" t="s">
        <v>1658</v>
      </c>
      <c r="F78" s="100" t="s">
        <v>31</v>
      </c>
      <c r="G78" s="87" t="s">
        <v>2</v>
      </c>
      <c r="H78" s="87" t="s">
        <v>30</v>
      </c>
      <c r="I78">
        <v>-0.41666666699999999</v>
      </c>
      <c r="J78">
        <v>34.200000000000003</v>
      </c>
      <c r="K78" s="87" t="s">
        <v>29</v>
      </c>
      <c r="AV78" t="s">
        <v>1661</v>
      </c>
      <c r="AW78">
        <v>43</v>
      </c>
      <c r="AX78" t="s">
        <v>234</v>
      </c>
      <c r="AY78">
        <v>1</v>
      </c>
      <c r="AZ78" t="s">
        <v>1668</v>
      </c>
      <c r="BA78">
        <v>2007</v>
      </c>
      <c r="BB78">
        <v>2008</v>
      </c>
      <c r="BD78" t="s">
        <v>238</v>
      </c>
      <c r="BE78" t="s">
        <v>1645</v>
      </c>
      <c r="BF78" t="s">
        <v>57</v>
      </c>
      <c r="BH78" t="s">
        <v>23</v>
      </c>
      <c r="BI78" t="s">
        <v>1662</v>
      </c>
      <c r="BJ78" s="87" t="s">
        <v>22</v>
      </c>
      <c r="BK78">
        <v>44444</v>
      </c>
      <c r="BL78" t="s">
        <v>56</v>
      </c>
      <c r="BM78" t="s">
        <v>1646</v>
      </c>
      <c r="BN78" t="s">
        <v>234</v>
      </c>
      <c r="BO78" t="s">
        <v>234</v>
      </c>
      <c r="BP78" t="s">
        <v>234</v>
      </c>
      <c r="IF78" t="s">
        <v>1645</v>
      </c>
      <c r="IG78" s="84" t="s">
        <v>1665</v>
      </c>
      <c r="IH78" t="s">
        <v>660</v>
      </c>
      <c r="II78" t="s">
        <v>661</v>
      </c>
      <c r="IJ78" t="s">
        <v>836</v>
      </c>
      <c r="IK78" t="s">
        <v>836</v>
      </c>
      <c r="IL78" s="87" t="s">
        <v>29</v>
      </c>
      <c r="JH78" t="s">
        <v>1663</v>
      </c>
      <c r="JI78" t="s">
        <v>15</v>
      </c>
      <c r="JJ78" t="s">
        <v>14</v>
      </c>
      <c r="JK78" s="8" t="s">
        <v>1664</v>
      </c>
      <c r="JN78" t="s">
        <v>13</v>
      </c>
      <c r="JO78">
        <v>40</v>
      </c>
      <c r="JP78">
        <v>50</v>
      </c>
      <c r="KD78" t="s">
        <v>12</v>
      </c>
      <c r="MR78" t="s">
        <v>1640</v>
      </c>
      <c r="MS78">
        <v>36</v>
      </c>
      <c r="NC78" t="s">
        <v>1676</v>
      </c>
      <c r="ND78" t="s">
        <v>1589</v>
      </c>
      <c r="NF78" t="s">
        <v>671</v>
      </c>
      <c r="NG78" t="s">
        <v>265</v>
      </c>
      <c r="NP78" t="s">
        <v>6</v>
      </c>
      <c r="NQ78">
        <v>494.4</v>
      </c>
      <c r="NR78" s="4" t="s">
        <v>4</v>
      </c>
      <c r="NS78">
        <v>6</v>
      </c>
      <c r="NV78">
        <v>4</v>
      </c>
      <c r="OG78" t="s">
        <v>1657</v>
      </c>
      <c r="OH78" s="87" t="s">
        <v>2</v>
      </c>
      <c r="OI78">
        <v>2008</v>
      </c>
      <c r="OL78" t="s">
        <v>1666</v>
      </c>
      <c r="ON78" t="s">
        <v>1169</v>
      </c>
      <c r="OO78" s="58">
        <v>46105</v>
      </c>
    </row>
    <row r="79" spans="1:405" ht="15.75" thickBot="1">
      <c r="A79" t="s">
        <v>248</v>
      </c>
      <c r="B79" t="s">
        <v>1870</v>
      </c>
      <c r="C79" t="s">
        <v>34</v>
      </c>
      <c r="D79" s="100" t="s">
        <v>31</v>
      </c>
      <c r="E79" s="90" t="s">
        <v>1658</v>
      </c>
      <c r="F79" s="100" t="s">
        <v>31</v>
      </c>
      <c r="G79" s="87" t="s">
        <v>2</v>
      </c>
      <c r="H79" s="87" t="s">
        <v>30</v>
      </c>
      <c r="I79">
        <v>-0.41666666699999999</v>
      </c>
      <c r="J79">
        <v>34.200000000000003</v>
      </c>
      <c r="K79" s="87" t="s">
        <v>29</v>
      </c>
      <c r="AV79" t="s">
        <v>1661</v>
      </c>
      <c r="AW79">
        <v>44</v>
      </c>
      <c r="AX79" t="s">
        <v>234</v>
      </c>
      <c r="AY79">
        <v>1</v>
      </c>
      <c r="AZ79" t="s">
        <v>1668</v>
      </c>
      <c r="BA79">
        <v>2007</v>
      </c>
      <c r="BB79">
        <v>2008</v>
      </c>
      <c r="BD79" t="s">
        <v>238</v>
      </c>
      <c r="BE79" t="s">
        <v>1648</v>
      </c>
      <c r="BF79" t="s">
        <v>48</v>
      </c>
      <c r="BH79" t="s">
        <v>23</v>
      </c>
      <c r="BI79" t="s">
        <v>1662</v>
      </c>
      <c r="BJ79" s="87" t="s">
        <v>22</v>
      </c>
      <c r="BK79">
        <v>44444</v>
      </c>
      <c r="BL79" t="s">
        <v>56</v>
      </c>
      <c r="BM79" t="s">
        <v>1659</v>
      </c>
      <c r="BN79" t="s">
        <v>1660</v>
      </c>
      <c r="BO79" s="87" t="s">
        <v>22</v>
      </c>
      <c r="BP79">
        <v>44444</v>
      </c>
      <c r="BQ79" t="s">
        <v>56</v>
      </c>
      <c r="BR79" t="s">
        <v>1646</v>
      </c>
      <c r="BS79" t="s">
        <v>234</v>
      </c>
      <c r="BT79" t="s">
        <v>234</v>
      </c>
      <c r="BU79" t="s">
        <v>234</v>
      </c>
      <c r="IF79" t="s">
        <v>1648</v>
      </c>
      <c r="IG79" s="84" t="s">
        <v>1665</v>
      </c>
      <c r="IH79" t="s">
        <v>660</v>
      </c>
      <c r="II79" t="s">
        <v>661</v>
      </c>
      <c r="IJ79" t="s">
        <v>836</v>
      </c>
      <c r="IK79" t="s">
        <v>836</v>
      </c>
      <c r="IL79" s="87" t="s">
        <v>29</v>
      </c>
      <c r="JH79" t="s">
        <v>1663</v>
      </c>
      <c r="JI79" t="s">
        <v>15</v>
      </c>
      <c r="JJ79" t="s">
        <v>14</v>
      </c>
      <c r="JK79" s="8" t="s">
        <v>1664</v>
      </c>
      <c r="JN79" t="s">
        <v>13</v>
      </c>
      <c r="JO79">
        <v>40</v>
      </c>
      <c r="JP79">
        <v>50</v>
      </c>
      <c r="KD79" t="s">
        <v>12</v>
      </c>
      <c r="MR79" t="s">
        <v>1640</v>
      </c>
      <c r="MS79">
        <v>36</v>
      </c>
      <c r="NC79" t="s">
        <v>1676</v>
      </c>
      <c r="ND79" t="s">
        <v>1589</v>
      </c>
      <c r="NF79" t="s">
        <v>671</v>
      </c>
      <c r="NG79" t="s">
        <v>265</v>
      </c>
      <c r="NP79" t="s">
        <v>6</v>
      </c>
      <c r="NQ79">
        <v>568.29999999999995</v>
      </c>
      <c r="NR79" s="4" t="s">
        <v>4</v>
      </c>
      <c r="NS79">
        <v>6</v>
      </c>
      <c r="NV79">
        <v>4</v>
      </c>
      <c r="OG79" t="s">
        <v>1657</v>
      </c>
      <c r="OH79" s="87" t="s">
        <v>2</v>
      </c>
      <c r="OI79">
        <v>2008</v>
      </c>
      <c r="OL79" t="s">
        <v>1666</v>
      </c>
      <c r="ON79" t="s">
        <v>1169</v>
      </c>
      <c r="OO79" s="58">
        <v>46105</v>
      </c>
    </row>
    <row r="80" spans="1:405" ht="15.75" thickBot="1">
      <c r="A80" t="s">
        <v>248</v>
      </c>
      <c r="B80" t="s">
        <v>1870</v>
      </c>
      <c r="C80" t="s">
        <v>34</v>
      </c>
      <c r="D80" s="100" t="s">
        <v>31</v>
      </c>
      <c r="E80" s="90" t="s">
        <v>1658</v>
      </c>
      <c r="F80" s="100" t="s">
        <v>31</v>
      </c>
      <c r="G80" s="87" t="s">
        <v>2</v>
      </c>
      <c r="H80" s="87" t="s">
        <v>30</v>
      </c>
      <c r="I80">
        <v>-0.41666666699999999</v>
      </c>
      <c r="J80">
        <v>34.200000000000003</v>
      </c>
      <c r="K80" s="87" t="s">
        <v>29</v>
      </c>
      <c r="AV80" t="s">
        <v>1661</v>
      </c>
      <c r="AW80">
        <v>45</v>
      </c>
      <c r="AX80" t="s">
        <v>234</v>
      </c>
      <c r="AY80">
        <v>1</v>
      </c>
      <c r="AZ80" t="s">
        <v>1668</v>
      </c>
      <c r="BA80">
        <v>2007</v>
      </c>
      <c r="BB80">
        <v>2008</v>
      </c>
      <c r="BD80" t="s">
        <v>238</v>
      </c>
      <c r="BE80" t="s">
        <v>1650</v>
      </c>
      <c r="BF80" t="s">
        <v>43</v>
      </c>
      <c r="BH80" t="s">
        <v>23</v>
      </c>
      <c r="BI80" t="s">
        <v>1662</v>
      </c>
      <c r="BJ80" s="87" t="s">
        <v>22</v>
      </c>
      <c r="BK80">
        <v>44444</v>
      </c>
      <c r="BL80" t="s">
        <v>56</v>
      </c>
      <c r="BM80" t="s">
        <v>1659</v>
      </c>
      <c r="BN80" t="s">
        <v>1660</v>
      </c>
      <c r="BO80" s="87" t="s">
        <v>22</v>
      </c>
      <c r="BP80">
        <v>44444</v>
      </c>
      <c r="BQ80" t="s">
        <v>56</v>
      </c>
      <c r="BR80" t="s">
        <v>1646</v>
      </c>
      <c r="BS80" t="s">
        <v>234</v>
      </c>
      <c r="BT80" t="s">
        <v>234</v>
      </c>
      <c r="BU80" t="s">
        <v>234</v>
      </c>
      <c r="IF80" t="s">
        <v>1650</v>
      </c>
      <c r="IG80" s="84" t="s">
        <v>1665</v>
      </c>
      <c r="IH80" t="s">
        <v>660</v>
      </c>
      <c r="II80" t="s">
        <v>661</v>
      </c>
      <c r="IJ80" t="s">
        <v>836</v>
      </c>
      <c r="IK80" t="s">
        <v>836</v>
      </c>
      <c r="IL80" s="87" t="s">
        <v>29</v>
      </c>
      <c r="JH80" t="s">
        <v>1663</v>
      </c>
      <c r="JI80" t="s">
        <v>15</v>
      </c>
      <c r="JJ80" t="s">
        <v>14</v>
      </c>
      <c r="JK80" s="8" t="s">
        <v>1664</v>
      </c>
      <c r="JN80" t="s">
        <v>13</v>
      </c>
      <c r="JO80">
        <v>40</v>
      </c>
      <c r="JP80">
        <v>50</v>
      </c>
      <c r="KD80" t="s">
        <v>12</v>
      </c>
      <c r="MR80" t="s">
        <v>1640</v>
      </c>
      <c r="MS80">
        <v>36</v>
      </c>
      <c r="NC80" t="s">
        <v>1676</v>
      </c>
      <c r="ND80" t="s">
        <v>1589</v>
      </c>
      <c r="NF80" t="s">
        <v>671</v>
      </c>
      <c r="NG80" t="s">
        <v>265</v>
      </c>
      <c r="NP80" t="s">
        <v>6</v>
      </c>
      <c r="NQ80">
        <v>629.29999999999995</v>
      </c>
      <c r="NR80" s="4" t="s">
        <v>4</v>
      </c>
      <c r="NS80">
        <v>5</v>
      </c>
      <c r="NV80">
        <v>4</v>
      </c>
      <c r="OG80" t="s">
        <v>1657</v>
      </c>
      <c r="OH80" s="87" t="s">
        <v>2</v>
      </c>
      <c r="OI80">
        <v>2008</v>
      </c>
      <c r="OL80" t="s">
        <v>1666</v>
      </c>
      <c r="ON80" t="s">
        <v>1169</v>
      </c>
      <c r="OO80" s="58">
        <v>46105</v>
      </c>
    </row>
    <row r="81" spans="1:405" ht="15.75" thickBot="1">
      <c r="A81" t="s">
        <v>248</v>
      </c>
      <c r="B81" t="s">
        <v>1870</v>
      </c>
      <c r="C81" t="s">
        <v>34</v>
      </c>
      <c r="D81" s="100" t="s">
        <v>31</v>
      </c>
      <c r="E81" s="90" t="s">
        <v>1658</v>
      </c>
      <c r="F81" s="100" t="s">
        <v>31</v>
      </c>
      <c r="G81" s="87" t="s">
        <v>2</v>
      </c>
      <c r="H81" s="87" t="s">
        <v>30</v>
      </c>
      <c r="I81">
        <v>-0.41666666699999999</v>
      </c>
      <c r="J81">
        <v>34.200000000000003</v>
      </c>
      <c r="K81" s="87" t="s">
        <v>29</v>
      </c>
      <c r="AV81" t="s">
        <v>1661</v>
      </c>
      <c r="AW81">
        <v>46</v>
      </c>
      <c r="AX81" t="s">
        <v>234</v>
      </c>
      <c r="AY81">
        <v>1</v>
      </c>
      <c r="AZ81" t="s">
        <v>1669</v>
      </c>
      <c r="BA81">
        <v>2007</v>
      </c>
      <c r="BB81">
        <v>2008</v>
      </c>
      <c r="BD81" t="s">
        <v>19</v>
      </c>
      <c r="BE81" t="s">
        <v>1651</v>
      </c>
      <c r="BF81" t="s">
        <v>24</v>
      </c>
      <c r="BH81" t="s">
        <v>23</v>
      </c>
      <c r="BI81" t="s">
        <v>1662</v>
      </c>
      <c r="BJ81" s="87" t="s">
        <v>22</v>
      </c>
      <c r="BK81">
        <v>44444</v>
      </c>
      <c r="IF81" t="s">
        <v>1651</v>
      </c>
      <c r="IG81" t="s">
        <v>19</v>
      </c>
      <c r="JH81" t="s">
        <v>1663</v>
      </c>
      <c r="JI81" t="s">
        <v>15</v>
      </c>
      <c r="JJ81" t="s">
        <v>14</v>
      </c>
      <c r="JK81" s="8" t="s">
        <v>1664</v>
      </c>
      <c r="JN81" t="s">
        <v>13</v>
      </c>
      <c r="JO81">
        <v>40</v>
      </c>
      <c r="JP81">
        <v>50</v>
      </c>
      <c r="KD81" t="s">
        <v>12</v>
      </c>
      <c r="MR81" t="s">
        <v>1640</v>
      </c>
      <c r="MS81">
        <v>36</v>
      </c>
      <c r="NC81" t="s">
        <v>1675</v>
      </c>
      <c r="ND81" t="s">
        <v>1589</v>
      </c>
      <c r="NF81" t="s">
        <v>671</v>
      </c>
      <c r="NG81" t="s">
        <v>265</v>
      </c>
      <c r="NP81" t="s">
        <v>6</v>
      </c>
      <c r="NQ81">
        <v>263.2</v>
      </c>
      <c r="NR81" s="4" t="s">
        <v>4</v>
      </c>
      <c r="NS81">
        <v>7</v>
      </c>
      <c r="NV81">
        <v>4</v>
      </c>
      <c r="OG81" t="s">
        <v>1683</v>
      </c>
      <c r="OH81" s="87" t="s">
        <v>2</v>
      </c>
      <c r="OI81">
        <v>2007</v>
      </c>
      <c r="OL81" t="s">
        <v>1666</v>
      </c>
      <c r="ON81" t="s">
        <v>1169</v>
      </c>
      <c r="OO81" s="58">
        <v>46105</v>
      </c>
    </row>
    <row r="82" spans="1:405" ht="15.75" thickBot="1">
      <c r="A82" t="s">
        <v>248</v>
      </c>
      <c r="B82" t="s">
        <v>1870</v>
      </c>
      <c r="C82" t="s">
        <v>34</v>
      </c>
      <c r="D82" s="100" t="s">
        <v>31</v>
      </c>
      <c r="E82" s="90" t="s">
        <v>1658</v>
      </c>
      <c r="F82" s="100" t="s">
        <v>31</v>
      </c>
      <c r="G82" s="87" t="s">
        <v>2</v>
      </c>
      <c r="H82" s="87" t="s">
        <v>30</v>
      </c>
      <c r="I82">
        <v>-0.41666666699999999</v>
      </c>
      <c r="J82">
        <v>34.200000000000003</v>
      </c>
      <c r="K82" s="87" t="s">
        <v>29</v>
      </c>
      <c r="AV82" t="s">
        <v>1661</v>
      </c>
      <c r="AW82">
        <v>47</v>
      </c>
      <c r="AX82" t="s">
        <v>234</v>
      </c>
      <c r="AY82">
        <v>1</v>
      </c>
      <c r="AZ82" t="s">
        <v>1669</v>
      </c>
      <c r="BA82">
        <v>2007</v>
      </c>
      <c r="BB82">
        <v>2008</v>
      </c>
      <c r="BD82" t="s">
        <v>238</v>
      </c>
      <c r="BE82" t="s">
        <v>1652</v>
      </c>
      <c r="BF82" t="s">
        <v>252</v>
      </c>
      <c r="BH82" t="s">
        <v>23</v>
      </c>
      <c r="BI82" t="s">
        <v>1662</v>
      </c>
      <c r="BJ82" s="87" t="s">
        <v>22</v>
      </c>
      <c r="BK82">
        <v>44444</v>
      </c>
      <c r="BL82" t="s">
        <v>56</v>
      </c>
      <c r="BM82" t="s">
        <v>1659</v>
      </c>
      <c r="BN82" t="s">
        <v>1660</v>
      </c>
      <c r="BO82" s="87" t="s">
        <v>22</v>
      </c>
      <c r="BP82">
        <v>44444</v>
      </c>
      <c r="IF82" t="s">
        <v>1652</v>
      </c>
      <c r="IG82" s="84" t="s">
        <v>1443</v>
      </c>
      <c r="IH82" t="s">
        <v>660</v>
      </c>
      <c r="II82" t="s">
        <v>661</v>
      </c>
      <c r="IJ82" t="s">
        <v>836</v>
      </c>
      <c r="IK82" t="s">
        <v>836</v>
      </c>
      <c r="IL82" s="87" t="s">
        <v>29</v>
      </c>
      <c r="JH82" t="s">
        <v>1663</v>
      </c>
      <c r="JI82" t="s">
        <v>15</v>
      </c>
      <c r="JJ82" t="s">
        <v>14</v>
      </c>
      <c r="JK82" s="8" t="s">
        <v>1664</v>
      </c>
      <c r="JN82" t="s">
        <v>13</v>
      </c>
      <c r="JO82">
        <v>40</v>
      </c>
      <c r="JP82">
        <v>50</v>
      </c>
      <c r="KD82" t="s">
        <v>12</v>
      </c>
      <c r="MR82" t="s">
        <v>1640</v>
      </c>
      <c r="MS82">
        <v>36</v>
      </c>
      <c r="NC82" t="s">
        <v>1676</v>
      </c>
      <c r="ND82" t="s">
        <v>1589</v>
      </c>
      <c r="NF82" t="s">
        <v>671</v>
      </c>
      <c r="NG82" t="s">
        <v>265</v>
      </c>
      <c r="NP82" t="s">
        <v>6</v>
      </c>
      <c r="NQ82">
        <v>390.3</v>
      </c>
      <c r="NR82" s="4" t="s">
        <v>4</v>
      </c>
      <c r="NS82">
        <v>7</v>
      </c>
      <c r="NV82">
        <v>4</v>
      </c>
      <c r="OG82" t="s">
        <v>1683</v>
      </c>
      <c r="OH82" s="87" t="s">
        <v>2</v>
      </c>
      <c r="OI82">
        <v>2007</v>
      </c>
      <c r="OL82" t="s">
        <v>1666</v>
      </c>
      <c r="ON82" t="s">
        <v>1169</v>
      </c>
      <c r="OO82" s="58">
        <v>46105</v>
      </c>
    </row>
    <row r="83" spans="1:405" ht="15.75" thickBot="1">
      <c r="A83" t="s">
        <v>248</v>
      </c>
      <c r="B83" t="s">
        <v>1870</v>
      </c>
      <c r="C83" t="s">
        <v>34</v>
      </c>
      <c r="D83" s="100" t="s">
        <v>31</v>
      </c>
      <c r="E83" s="90" t="s">
        <v>1658</v>
      </c>
      <c r="F83" s="100" t="s">
        <v>31</v>
      </c>
      <c r="G83" s="87" t="s">
        <v>2</v>
      </c>
      <c r="H83" s="87" t="s">
        <v>30</v>
      </c>
      <c r="I83">
        <v>-0.41666666699999999</v>
      </c>
      <c r="J83">
        <v>34.200000000000003</v>
      </c>
      <c r="K83" s="87" t="s">
        <v>29</v>
      </c>
      <c r="AV83" t="s">
        <v>1661</v>
      </c>
      <c r="AW83">
        <v>48</v>
      </c>
      <c r="AX83" t="s">
        <v>234</v>
      </c>
      <c r="AY83">
        <v>1</v>
      </c>
      <c r="AZ83" t="s">
        <v>1669</v>
      </c>
      <c r="BA83">
        <v>2007</v>
      </c>
      <c r="BB83">
        <v>2008</v>
      </c>
      <c r="BD83" t="s">
        <v>238</v>
      </c>
      <c r="BE83" t="s">
        <v>1653</v>
      </c>
      <c r="BF83" t="s">
        <v>236</v>
      </c>
      <c r="BH83" t="s">
        <v>23</v>
      </c>
      <c r="BI83" t="s">
        <v>1662</v>
      </c>
      <c r="BJ83" s="87" t="s">
        <v>22</v>
      </c>
      <c r="BK83">
        <v>44444</v>
      </c>
      <c r="BL83" t="s">
        <v>56</v>
      </c>
      <c r="BM83" t="s">
        <v>1646</v>
      </c>
      <c r="BN83" t="s">
        <v>234</v>
      </c>
      <c r="BO83" t="s">
        <v>234</v>
      </c>
      <c r="BP83" t="s">
        <v>234</v>
      </c>
      <c r="IF83" t="s">
        <v>1653</v>
      </c>
      <c r="IG83" s="84" t="s">
        <v>1665</v>
      </c>
      <c r="IH83" t="s">
        <v>660</v>
      </c>
      <c r="II83" t="s">
        <v>661</v>
      </c>
      <c r="IJ83" t="s">
        <v>836</v>
      </c>
      <c r="IK83" t="s">
        <v>836</v>
      </c>
      <c r="IL83" s="87" t="s">
        <v>29</v>
      </c>
      <c r="JH83" t="s">
        <v>1663</v>
      </c>
      <c r="JI83" t="s">
        <v>15</v>
      </c>
      <c r="JJ83" t="s">
        <v>14</v>
      </c>
      <c r="JK83" s="8" t="s">
        <v>1664</v>
      </c>
      <c r="JN83" t="s">
        <v>13</v>
      </c>
      <c r="JO83">
        <v>40</v>
      </c>
      <c r="JP83">
        <v>50</v>
      </c>
      <c r="KD83" t="s">
        <v>12</v>
      </c>
      <c r="MR83" t="s">
        <v>1640</v>
      </c>
      <c r="MS83">
        <v>36</v>
      </c>
      <c r="NC83" t="s">
        <v>1676</v>
      </c>
      <c r="ND83" t="s">
        <v>1589</v>
      </c>
      <c r="NF83" t="s">
        <v>671</v>
      </c>
      <c r="NG83" t="s">
        <v>265</v>
      </c>
      <c r="NP83" t="s">
        <v>6</v>
      </c>
      <c r="NQ83">
        <v>488.4</v>
      </c>
      <c r="NR83" s="4" t="s">
        <v>4</v>
      </c>
      <c r="NS83">
        <v>7</v>
      </c>
      <c r="NV83">
        <v>4</v>
      </c>
      <c r="OG83" t="s">
        <v>1683</v>
      </c>
      <c r="OH83" s="87" t="s">
        <v>2</v>
      </c>
      <c r="OI83">
        <v>2007</v>
      </c>
      <c r="OL83" t="s">
        <v>1666</v>
      </c>
      <c r="ON83" t="s">
        <v>1169</v>
      </c>
      <c r="OO83" s="58">
        <v>46105</v>
      </c>
    </row>
    <row r="84" spans="1:405" ht="15.75" thickBot="1">
      <c r="A84" t="s">
        <v>248</v>
      </c>
      <c r="B84" t="s">
        <v>1870</v>
      </c>
      <c r="C84" t="s">
        <v>34</v>
      </c>
      <c r="D84" s="100" t="s">
        <v>31</v>
      </c>
      <c r="E84" s="90" t="s">
        <v>1658</v>
      </c>
      <c r="F84" s="100" t="s">
        <v>31</v>
      </c>
      <c r="G84" s="87" t="s">
        <v>2</v>
      </c>
      <c r="H84" s="87" t="s">
        <v>30</v>
      </c>
      <c r="I84">
        <v>-0.41666666699999999</v>
      </c>
      <c r="J84">
        <v>34.200000000000003</v>
      </c>
      <c r="K84" s="87" t="s">
        <v>29</v>
      </c>
      <c r="AV84" t="s">
        <v>1661</v>
      </c>
      <c r="AW84">
        <v>49</v>
      </c>
      <c r="AX84" t="s">
        <v>234</v>
      </c>
      <c r="AY84">
        <v>1</v>
      </c>
      <c r="AZ84" t="s">
        <v>1669</v>
      </c>
      <c r="BA84">
        <v>2007</v>
      </c>
      <c r="BB84">
        <v>2008</v>
      </c>
      <c r="BD84" t="s">
        <v>238</v>
      </c>
      <c r="BE84" t="s">
        <v>1654</v>
      </c>
      <c r="BF84" t="s">
        <v>284</v>
      </c>
      <c r="BH84" t="s">
        <v>23</v>
      </c>
      <c r="BI84" t="s">
        <v>1662</v>
      </c>
      <c r="BJ84" s="87" t="s">
        <v>22</v>
      </c>
      <c r="BK84">
        <v>44444</v>
      </c>
      <c r="BL84" t="s">
        <v>56</v>
      </c>
      <c r="BM84" t="s">
        <v>1659</v>
      </c>
      <c r="BN84" t="s">
        <v>1660</v>
      </c>
      <c r="BO84" s="87" t="s">
        <v>22</v>
      </c>
      <c r="BP84">
        <v>44444</v>
      </c>
      <c r="BQ84" t="s">
        <v>56</v>
      </c>
      <c r="BR84" t="s">
        <v>1646</v>
      </c>
      <c r="BS84" t="s">
        <v>234</v>
      </c>
      <c r="BT84" t="s">
        <v>234</v>
      </c>
      <c r="BU84" t="s">
        <v>234</v>
      </c>
      <c r="IF84" t="s">
        <v>1654</v>
      </c>
      <c r="IG84" s="84" t="s">
        <v>1665</v>
      </c>
      <c r="IH84" t="s">
        <v>660</v>
      </c>
      <c r="II84" t="s">
        <v>661</v>
      </c>
      <c r="IJ84" t="s">
        <v>836</v>
      </c>
      <c r="IK84" t="s">
        <v>836</v>
      </c>
      <c r="IL84" s="87" t="s">
        <v>29</v>
      </c>
      <c r="JH84" t="s">
        <v>1663</v>
      </c>
      <c r="JI84" t="s">
        <v>15</v>
      </c>
      <c r="JJ84" t="s">
        <v>14</v>
      </c>
      <c r="JK84" s="8" t="s">
        <v>1664</v>
      </c>
      <c r="JN84" t="s">
        <v>13</v>
      </c>
      <c r="JO84">
        <v>40</v>
      </c>
      <c r="JP84">
        <v>50</v>
      </c>
      <c r="KD84" t="s">
        <v>12</v>
      </c>
      <c r="MR84" t="s">
        <v>1640</v>
      </c>
      <c r="MS84">
        <v>36</v>
      </c>
      <c r="NC84" t="s">
        <v>1676</v>
      </c>
      <c r="ND84" t="s">
        <v>1589</v>
      </c>
      <c r="NF84" t="s">
        <v>671</v>
      </c>
      <c r="NG84" t="s">
        <v>265</v>
      </c>
      <c r="NP84" t="s">
        <v>6</v>
      </c>
      <c r="NQ84">
        <v>525</v>
      </c>
      <c r="NR84" s="4" t="s">
        <v>4</v>
      </c>
      <c r="NS84">
        <v>9</v>
      </c>
      <c r="NV84">
        <v>4</v>
      </c>
      <c r="OG84" t="s">
        <v>1683</v>
      </c>
      <c r="OH84" s="87" t="s">
        <v>2</v>
      </c>
      <c r="OI84">
        <v>2007</v>
      </c>
      <c r="OL84" t="s">
        <v>1666</v>
      </c>
      <c r="ON84" t="s">
        <v>1169</v>
      </c>
      <c r="OO84" s="58">
        <v>46105</v>
      </c>
    </row>
    <row r="85" spans="1:405" ht="15.75" thickBot="1">
      <c r="A85" t="s">
        <v>248</v>
      </c>
      <c r="B85" t="s">
        <v>1870</v>
      </c>
      <c r="C85" t="s">
        <v>34</v>
      </c>
      <c r="D85" s="100" t="s">
        <v>31</v>
      </c>
      <c r="E85" s="90" t="s">
        <v>1658</v>
      </c>
      <c r="F85" s="100" t="s">
        <v>31</v>
      </c>
      <c r="G85" s="87" t="s">
        <v>2</v>
      </c>
      <c r="H85" s="87" t="s">
        <v>30</v>
      </c>
      <c r="I85">
        <v>-0.41666666699999999</v>
      </c>
      <c r="J85">
        <v>34.200000000000003</v>
      </c>
      <c r="K85" s="87" t="s">
        <v>29</v>
      </c>
      <c r="AV85" t="s">
        <v>1661</v>
      </c>
      <c r="AW85">
        <v>50</v>
      </c>
      <c r="AX85" t="s">
        <v>234</v>
      </c>
      <c r="AY85">
        <v>1</v>
      </c>
      <c r="AZ85" t="s">
        <v>1669</v>
      </c>
      <c r="BA85">
        <v>2007</v>
      </c>
      <c r="BB85">
        <v>2008</v>
      </c>
      <c r="BD85" t="s">
        <v>238</v>
      </c>
      <c r="BE85" t="s">
        <v>1655</v>
      </c>
      <c r="BF85" t="s">
        <v>277</v>
      </c>
      <c r="BH85" t="s">
        <v>23</v>
      </c>
      <c r="BI85" t="s">
        <v>1662</v>
      </c>
      <c r="BJ85" s="87" t="s">
        <v>22</v>
      </c>
      <c r="BK85">
        <v>44444</v>
      </c>
      <c r="BL85" t="s">
        <v>56</v>
      </c>
      <c r="BM85" t="s">
        <v>1659</v>
      </c>
      <c r="BN85" t="s">
        <v>1660</v>
      </c>
      <c r="BO85" s="87" t="s">
        <v>22</v>
      </c>
      <c r="BP85">
        <v>44444</v>
      </c>
      <c r="BQ85" t="s">
        <v>56</v>
      </c>
      <c r="BR85" t="s">
        <v>1646</v>
      </c>
      <c r="BS85" t="s">
        <v>234</v>
      </c>
      <c r="BT85" t="s">
        <v>234</v>
      </c>
      <c r="BU85" t="s">
        <v>234</v>
      </c>
      <c r="IF85" t="s">
        <v>1655</v>
      </c>
      <c r="IG85" s="84" t="s">
        <v>1665</v>
      </c>
      <c r="IH85" t="s">
        <v>660</v>
      </c>
      <c r="II85" t="s">
        <v>661</v>
      </c>
      <c r="IJ85" t="s">
        <v>836</v>
      </c>
      <c r="IK85" t="s">
        <v>836</v>
      </c>
      <c r="IL85" s="87" t="s">
        <v>29</v>
      </c>
      <c r="JH85" t="s">
        <v>1663</v>
      </c>
      <c r="JI85" t="s">
        <v>15</v>
      </c>
      <c r="JJ85" t="s">
        <v>14</v>
      </c>
      <c r="JK85" s="8" t="s">
        <v>1664</v>
      </c>
      <c r="JN85" t="s">
        <v>13</v>
      </c>
      <c r="JO85">
        <v>40</v>
      </c>
      <c r="JP85">
        <v>50</v>
      </c>
      <c r="KD85" t="s">
        <v>12</v>
      </c>
      <c r="MR85" t="s">
        <v>1640</v>
      </c>
      <c r="MS85">
        <v>36</v>
      </c>
      <c r="NC85" t="s">
        <v>1676</v>
      </c>
      <c r="ND85" t="s">
        <v>1589</v>
      </c>
      <c r="NF85" t="s">
        <v>671</v>
      </c>
      <c r="NG85" t="s">
        <v>265</v>
      </c>
      <c r="NP85" t="s">
        <v>6</v>
      </c>
      <c r="NQ85">
        <v>580.29999999999995</v>
      </c>
      <c r="NR85" s="4" t="s">
        <v>4</v>
      </c>
      <c r="NS85">
        <v>6</v>
      </c>
      <c r="NV85">
        <v>4</v>
      </c>
      <c r="OG85" t="s">
        <v>1683</v>
      </c>
      <c r="OH85" s="87" t="s">
        <v>2</v>
      </c>
      <c r="OI85">
        <v>2007</v>
      </c>
      <c r="OL85" t="s">
        <v>1666</v>
      </c>
      <c r="ON85" t="s">
        <v>1169</v>
      </c>
      <c r="OO85" s="58">
        <v>46105</v>
      </c>
    </row>
    <row r="86" spans="1:405" ht="15.75" thickBot="1">
      <c r="A86" t="s">
        <v>248</v>
      </c>
      <c r="B86" t="s">
        <v>1870</v>
      </c>
      <c r="C86" t="s">
        <v>34</v>
      </c>
      <c r="D86" s="100" t="s">
        <v>31</v>
      </c>
      <c r="E86" s="90" t="s">
        <v>1658</v>
      </c>
      <c r="F86" s="100" t="s">
        <v>31</v>
      </c>
      <c r="G86" s="87" t="s">
        <v>2</v>
      </c>
      <c r="H86" s="87" t="s">
        <v>30</v>
      </c>
      <c r="I86">
        <v>-0.41666666699999999</v>
      </c>
      <c r="J86">
        <v>34.200000000000003</v>
      </c>
      <c r="K86" s="87" t="s">
        <v>29</v>
      </c>
      <c r="AV86" t="s">
        <v>1661</v>
      </c>
      <c r="AW86">
        <v>51</v>
      </c>
      <c r="AX86" t="s">
        <v>234</v>
      </c>
      <c r="AY86">
        <v>1</v>
      </c>
      <c r="AZ86" t="s">
        <v>1667</v>
      </c>
      <c r="BA86">
        <v>2007</v>
      </c>
      <c r="BB86">
        <v>2008</v>
      </c>
      <c r="BD86" t="s">
        <v>19</v>
      </c>
      <c r="BE86" t="s">
        <v>1651</v>
      </c>
      <c r="BF86" t="s">
        <v>24</v>
      </c>
      <c r="BH86" t="s">
        <v>23</v>
      </c>
      <c r="BI86" t="s">
        <v>1662</v>
      </c>
      <c r="BJ86" s="87" t="s">
        <v>22</v>
      </c>
      <c r="BK86">
        <v>44444</v>
      </c>
      <c r="IF86" t="s">
        <v>1651</v>
      </c>
      <c r="IG86" t="s">
        <v>19</v>
      </c>
      <c r="JH86" t="s">
        <v>1663</v>
      </c>
      <c r="JI86" t="s">
        <v>15</v>
      </c>
      <c r="JJ86" t="s">
        <v>14</v>
      </c>
      <c r="JK86" s="8" t="s">
        <v>1664</v>
      </c>
      <c r="JN86" t="s">
        <v>13</v>
      </c>
      <c r="JO86">
        <v>40</v>
      </c>
      <c r="JP86">
        <v>50</v>
      </c>
      <c r="KD86" t="s">
        <v>12</v>
      </c>
      <c r="MR86" t="s">
        <v>1640</v>
      </c>
      <c r="MS86">
        <v>36</v>
      </c>
      <c r="NC86" t="s">
        <v>1675</v>
      </c>
      <c r="ND86" t="s">
        <v>1589</v>
      </c>
      <c r="NF86" t="s">
        <v>671</v>
      </c>
      <c r="NG86" t="s">
        <v>265</v>
      </c>
      <c r="NP86" t="s">
        <v>6</v>
      </c>
      <c r="NQ86">
        <v>239</v>
      </c>
      <c r="NR86" s="4" t="s">
        <v>4</v>
      </c>
      <c r="NS86">
        <v>6</v>
      </c>
      <c r="NV86">
        <v>4</v>
      </c>
      <c r="OG86" t="s">
        <v>1682</v>
      </c>
      <c r="OH86" s="87" t="s">
        <v>2</v>
      </c>
      <c r="OI86">
        <v>2007</v>
      </c>
      <c r="OL86" t="s">
        <v>1656</v>
      </c>
      <c r="ON86" t="s">
        <v>1169</v>
      </c>
      <c r="OO86" s="58">
        <v>46105</v>
      </c>
    </row>
    <row r="87" spans="1:405" ht="15.75" thickBot="1">
      <c r="A87" t="s">
        <v>248</v>
      </c>
      <c r="B87" t="s">
        <v>1870</v>
      </c>
      <c r="C87" t="s">
        <v>34</v>
      </c>
      <c r="D87" s="100" t="s">
        <v>31</v>
      </c>
      <c r="E87" s="90" t="s">
        <v>1658</v>
      </c>
      <c r="F87" s="100" t="s">
        <v>31</v>
      </c>
      <c r="G87" s="87" t="s">
        <v>2</v>
      </c>
      <c r="H87" s="87" t="s">
        <v>30</v>
      </c>
      <c r="I87">
        <v>-0.41666666699999999</v>
      </c>
      <c r="J87">
        <v>34.200000000000003</v>
      </c>
      <c r="K87" s="87" t="s">
        <v>29</v>
      </c>
      <c r="AV87" t="s">
        <v>1661</v>
      </c>
      <c r="AW87">
        <v>52</v>
      </c>
      <c r="AX87" t="s">
        <v>234</v>
      </c>
      <c r="AY87">
        <v>1</v>
      </c>
      <c r="AZ87" t="s">
        <v>1667</v>
      </c>
      <c r="BA87">
        <v>2007</v>
      </c>
      <c r="BB87">
        <v>2008</v>
      </c>
      <c r="BD87" t="s">
        <v>238</v>
      </c>
      <c r="BE87" t="s">
        <v>1652</v>
      </c>
      <c r="BF87" t="s">
        <v>252</v>
      </c>
      <c r="BH87" t="s">
        <v>23</v>
      </c>
      <c r="BI87" t="s">
        <v>1662</v>
      </c>
      <c r="BJ87" s="87" t="s">
        <v>22</v>
      </c>
      <c r="BK87">
        <v>44444</v>
      </c>
      <c r="BL87" t="s">
        <v>56</v>
      </c>
      <c r="BM87" t="s">
        <v>1659</v>
      </c>
      <c r="BN87" t="s">
        <v>1660</v>
      </c>
      <c r="BO87" s="87" t="s">
        <v>22</v>
      </c>
      <c r="BP87">
        <v>44444</v>
      </c>
      <c r="EH87" s="9"/>
      <c r="EI87" s="9"/>
      <c r="EJ87" s="9"/>
      <c r="EK87" s="9"/>
      <c r="EL87" s="9"/>
      <c r="EM87" s="9"/>
      <c r="EN87" s="9"/>
      <c r="EO87" s="9"/>
      <c r="EP87" s="9"/>
      <c r="EQ87" s="9"/>
      <c r="ER87" s="9"/>
      <c r="ES87" s="9"/>
      <c r="ET87" s="9"/>
      <c r="EU87" s="9"/>
      <c r="EV87" s="9"/>
      <c r="EW87" s="9"/>
      <c r="EX87" s="9"/>
      <c r="EY87" s="9"/>
      <c r="EZ87" s="9"/>
      <c r="FA87" s="9"/>
      <c r="FB87" s="9"/>
      <c r="FC87" s="9"/>
      <c r="FD87" s="9"/>
      <c r="FE87" s="9"/>
      <c r="FF87" s="9"/>
      <c r="FG87" s="9"/>
      <c r="FH87" s="9"/>
      <c r="FI87" s="9"/>
      <c r="FJ87" s="9"/>
      <c r="FK87" s="9"/>
      <c r="FL87" s="9"/>
      <c r="FM87" s="9"/>
      <c r="FN87" s="9"/>
      <c r="FO87" s="9"/>
      <c r="FP87" s="9"/>
      <c r="FQ87" s="9"/>
      <c r="FR87" s="9"/>
      <c r="FS87" s="9"/>
      <c r="FT87" s="9"/>
      <c r="FU87" s="9"/>
      <c r="FV87" s="9"/>
      <c r="FW87" s="9"/>
      <c r="FX87" s="9"/>
      <c r="FY87" s="9"/>
      <c r="FZ87" s="9"/>
      <c r="GA87" s="9"/>
      <c r="GB87" s="9"/>
      <c r="GC87" s="9"/>
      <c r="GD87" s="9"/>
      <c r="GE87" s="9"/>
      <c r="GF87" s="9"/>
      <c r="GG87" s="9"/>
      <c r="GH87" s="9"/>
      <c r="GI87" s="9"/>
      <c r="GJ87" s="9"/>
      <c r="GK87" s="9"/>
      <c r="GL87" s="9"/>
      <c r="GM87" s="9"/>
      <c r="GN87" s="9"/>
      <c r="GO87" s="9"/>
      <c r="GP87" s="9"/>
      <c r="GQ87" s="9"/>
      <c r="GR87" s="9"/>
      <c r="GS87" s="9"/>
      <c r="GT87" s="9"/>
      <c r="GU87" s="9"/>
      <c r="GV87" s="9"/>
      <c r="GW87" s="9"/>
      <c r="GX87" s="9"/>
      <c r="GY87" s="9"/>
      <c r="GZ87" s="9"/>
      <c r="HA87" s="9"/>
      <c r="HB87" s="9"/>
      <c r="HC87" s="9"/>
      <c r="HD87" s="9"/>
      <c r="HE87" s="9"/>
      <c r="HF87" s="9"/>
      <c r="HG87" s="9"/>
      <c r="HH87" s="9"/>
      <c r="HI87" s="9"/>
      <c r="HJ87" s="9"/>
      <c r="HK87" s="9"/>
      <c r="HW87" s="58"/>
      <c r="IF87" t="s">
        <v>1652</v>
      </c>
      <c r="IG87" s="84" t="s">
        <v>1443</v>
      </c>
      <c r="IH87" t="s">
        <v>660</v>
      </c>
      <c r="II87" t="s">
        <v>661</v>
      </c>
      <c r="IJ87" t="s">
        <v>836</v>
      </c>
      <c r="IK87" t="s">
        <v>836</v>
      </c>
      <c r="IL87" s="87" t="s">
        <v>29</v>
      </c>
      <c r="JH87" t="s">
        <v>1663</v>
      </c>
      <c r="JI87" t="s">
        <v>15</v>
      </c>
      <c r="JJ87" t="s">
        <v>14</v>
      </c>
      <c r="JK87" s="8" t="s">
        <v>1664</v>
      </c>
      <c r="JN87" t="s">
        <v>13</v>
      </c>
      <c r="JO87">
        <v>40</v>
      </c>
      <c r="JP87">
        <v>50</v>
      </c>
      <c r="KD87" t="s">
        <v>12</v>
      </c>
      <c r="MR87" t="s">
        <v>1640</v>
      </c>
      <c r="MS87">
        <v>36</v>
      </c>
      <c r="NC87" t="s">
        <v>1676</v>
      </c>
      <c r="ND87" t="s">
        <v>1589</v>
      </c>
      <c r="NF87" t="s">
        <v>671</v>
      </c>
      <c r="NG87" t="s">
        <v>265</v>
      </c>
      <c r="NP87" t="s">
        <v>6</v>
      </c>
      <c r="NQ87">
        <v>337.4</v>
      </c>
      <c r="NR87" s="4" t="s">
        <v>4</v>
      </c>
      <c r="NS87">
        <v>6</v>
      </c>
      <c r="NV87">
        <v>4</v>
      </c>
      <c r="OG87" t="s">
        <v>1682</v>
      </c>
      <c r="OH87" s="87" t="s">
        <v>2</v>
      </c>
      <c r="OI87">
        <v>2007</v>
      </c>
      <c r="OL87" t="s">
        <v>1656</v>
      </c>
      <c r="ON87" t="s">
        <v>1169</v>
      </c>
      <c r="OO87" s="58">
        <v>46105</v>
      </c>
    </row>
    <row r="88" spans="1:405" ht="15.75" thickBot="1">
      <c r="A88" t="s">
        <v>248</v>
      </c>
      <c r="B88" t="s">
        <v>1870</v>
      </c>
      <c r="C88" t="s">
        <v>34</v>
      </c>
      <c r="D88" s="100" t="s">
        <v>31</v>
      </c>
      <c r="E88" s="90" t="s">
        <v>1658</v>
      </c>
      <c r="F88" s="100" t="s">
        <v>31</v>
      </c>
      <c r="G88" s="87" t="s">
        <v>2</v>
      </c>
      <c r="H88" s="87" t="s">
        <v>30</v>
      </c>
      <c r="I88">
        <v>-0.41666666699999999</v>
      </c>
      <c r="J88">
        <v>34.200000000000003</v>
      </c>
      <c r="K88" s="87" t="s">
        <v>29</v>
      </c>
      <c r="AV88" t="s">
        <v>1661</v>
      </c>
      <c r="AW88">
        <v>53</v>
      </c>
      <c r="AX88" t="s">
        <v>234</v>
      </c>
      <c r="AY88">
        <v>1</v>
      </c>
      <c r="AZ88" t="s">
        <v>1667</v>
      </c>
      <c r="BA88">
        <v>2007</v>
      </c>
      <c r="BB88">
        <v>2008</v>
      </c>
      <c r="BD88" t="s">
        <v>238</v>
      </c>
      <c r="BE88" t="s">
        <v>1653</v>
      </c>
      <c r="BF88" t="s">
        <v>236</v>
      </c>
      <c r="BH88" t="s">
        <v>23</v>
      </c>
      <c r="BI88" t="s">
        <v>1662</v>
      </c>
      <c r="BJ88" s="87" t="s">
        <v>22</v>
      </c>
      <c r="BK88">
        <v>44444</v>
      </c>
      <c r="BL88" t="s">
        <v>56</v>
      </c>
      <c r="BM88" t="s">
        <v>1646</v>
      </c>
      <c r="BN88" t="s">
        <v>234</v>
      </c>
      <c r="BO88" t="s">
        <v>234</v>
      </c>
      <c r="BP88" t="s">
        <v>234</v>
      </c>
      <c r="EH88" s="9"/>
      <c r="EI88" s="9"/>
      <c r="EJ88" s="9"/>
      <c r="EK88" s="9"/>
      <c r="EL88" s="9"/>
      <c r="EM88" s="9"/>
      <c r="EN88" s="9"/>
      <c r="EO88" s="9"/>
      <c r="EP88" s="9"/>
      <c r="EQ88" s="9"/>
      <c r="ER88" s="9"/>
      <c r="ES88" s="9"/>
      <c r="ET88" s="9"/>
      <c r="EU88" s="9"/>
      <c r="EV88" s="9"/>
      <c r="EW88" s="9"/>
      <c r="EX88" s="9"/>
      <c r="EY88" s="9"/>
      <c r="EZ88" s="9"/>
      <c r="FA88" s="9"/>
      <c r="FB88" s="9"/>
      <c r="FC88" s="9"/>
      <c r="FD88" s="9"/>
      <c r="FE88" s="9"/>
      <c r="FF88" s="9"/>
      <c r="FG88" s="9"/>
      <c r="FH88" s="9"/>
      <c r="FI88" s="9"/>
      <c r="FJ88" s="9"/>
      <c r="FK88" s="9"/>
      <c r="FL88" s="9"/>
      <c r="FM88" s="9"/>
      <c r="FN88" s="9"/>
      <c r="FO88" s="9"/>
      <c r="FP88" s="9"/>
      <c r="FQ88" s="9"/>
      <c r="FR88" s="9"/>
      <c r="FS88" s="9"/>
      <c r="FT88" s="9"/>
      <c r="FU88" s="9"/>
      <c r="FV88" s="9"/>
      <c r="FW88" s="9"/>
      <c r="FX88" s="9"/>
      <c r="FY88" s="9"/>
      <c r="FZ88" s="9"/>
      <c r="GA88" s="9"/>
      <c r="GB88" s="9"/>
      <c r="GC88" s="9"/>
      <c r="GD88" s="9"/>
      <c r="GE88" s="9"/>
      <c r="GF88" s="9"/>
      <c r="GG88" s="9"/>
      <c r="GH88" s="9"/>
      <c r="GI88" s="9"/>
      <c r="GJ88" s="9"/>
      <c r="GK88" s="9"/>
      <c r="GL88" s="9"/>
      <c r="GM88" s="9"/>
      <c r="GN88" s="9"/>
      <c r="GO88" s="9"/>
      <c r="GP88" s="9"/>
      <c r="GQ88" s="9"/>
      <c r="GR88" s="9"/>
      <c r="GS88" s="9"/>
      <c r="GT88" s="9"/>
      <c r="GU88" s="9"/>
      <c r="GV88" s="9"/>
      <c r="GW88" s="9"/>
      <c r="GX88" s="9"/>
      <c r="GY88" s="9"/>
      <c r="GZ88" s="9"/>
      <c r="HA88" s="9"/>
      <c r="HB88" s="9"/>
      <c r="HC88" s="9"/>
      <c r="HD88" s="9"/>
      <c r="HE88" s="9"/>
      <c r="HF88" s="9"/>
      <c r="HG88" s="9"/>
      <c r="HH88" s="9"/>
      <c r="HI88" s="9"/>
      <c r="HJ88" s="9"/>
      <c r="HK88" s="9"/>
      <c r="HW88" s="58"/>
      <c r="IF88" t="s">
        <v>1653</v>
      </c>
      <c r="IG88" s="84" t="s">
        <v>1665</v>
      </c>
      <c r="IH88" t="s">
        <v>660</v>
      </c>
      <c r="II88" t="s">
        <v>661</v>
      </c>
      <c r="IJ88" t="s">
        <v>836</v>
      </c>
      <c r="IK88" t="s">
        <v>836</v>
      </c>
      <c r="IL88" s="87" t="s">
        <v>29</v>
      </c>
      <c r="JH88" t="s">
        <v>1663</v>
      </c>
      <c r="JI88" t="s">
        <v>15</v>
      </c>
      <c r="JJ88" t="s">
        <v>14</v>
      </c>
      <c r="JK88" s="8" t="s">
        <v>1664</v>
      </c>
      <c r="JN88" t="s">
        <v>13</v>
      </c>
      <c r="JO88">
        <v>40</v>
      </c>
      <c r="JP88">
        <v>50</v>
      </c>
      <c r="KD88" t="s">
        <v>12</v>
      </c>
      <c r="MR88" t="s">
        <v>1640</v>
      </c>
      <c r="MS88">
        <v>36</v>
      </c>
      <c r="NC88" t="s">
        <v>1676</v>
      </c>
      <c r="ND88" t="s">
        <v>1589</v>
      </c>
      <c r="NF88" t="s">
        <v>671</v>
      </c>
      <c r="NG88" t="s">
        <v>265</v>
      </c>
      <c r="NP88" t="s">
        <v>6</v>
      </c>
      <c r="NQ88">
        <v>428.2</v>
      </c>
      <c r="NR88" s="4" t="s">
        <v>4</v>
      </c>
      <c r="NS88">
        <v>8</v>
      </c>
      <c r="NV88">
        <v>4</v>
      </c>
      <c r="OG88" t="s">
        <v>1682</v>
      </c>
      <c r="OH88" s="87" t="s">
        <v>2</v>
      </c>
      <c r="OI88">
        <v>2007</v>
      </c>
      <c r="OL88" t="s">
        <v>1656</v>
      </c>
      <c r="ON88" t="s">
        <v>1169</v>
      </c>
      <c r="OO88" s="58">
        <v>46105</v>
      </c>
    </row>
    <row r="89" spans="1:405" ht="15.75" thickBot="1">
      <c r="A89" t="s">
        <v>248</v>
      </c>
      <c r="B89" t="s">
        <v>1870</v>
      </c>
      <c r="C89" t="s">
        <v>34</v>
      </c>
      <c r="D89" s="100" t="s">
        <v>31</v>
      </c>
      <c r="E89" s="90" t="s">
        <v>1658</v>
      </c>
      <c r="F89" s="100" t="s">
        <v>31</v>
      </c>
      <c r="G89" s="87" t="s">
        <v>2</v>
      </c>
      <c r="H89" s="87" t="s">
        <v>30</v>
      </c>
      <c r="I89">
        <v>-0.41666666699999999</v>
      </c>
      <c r="J89">
        <v>34.200000000000003</v>
      </c>
      <c r="K89" s="87" t="s">
        <v>29</v>
      </c>
      <c r="AV89" t="s">
        <v>1661</v>
      </c>
      <c r="AW89">
        <v>54</v>
      </c>
      <c r="AX89" t="s">
        <v>234</v>
      </c>
      <c r="AY89">
        <v>1</v>
      </c>
      <c r="AZ89" t="s">
        <v>1667</v>
      </c>
      <c r="BA89">
        <v>2007</v>
      </c>
      <c r="BB89">
        <v>2008</v>
      </c>
      <c r="BD89" t="s">
        <v>238</v>
      </c>
      <c r="BE89" t="s">
        <v>1654</v>
      </c>
      <c r="BF89" t="s">
        <v>284</v>
      </c>
      <c r="BH89" t="s">
        <v>23</v>
      </c>
      <c r="BI89" t="s">
        <v>1662</v>
      </c>
      <c r="BJ89" s="87" t="s">
        <v>22</v>
      </c>
      <c r="BK89">
        <v>44444</v>
      </c>
      <c r="BL89" t="s">
        <v>56</v>
      </c>
      <c r="BM89" t="s">
        <v>1659</v>
      </c>
      <c r="BN89" t="s">
        <v>1660</v>
      </c>
      <c r="BO89" s="87" t="s">
        <v>22</v>
      </c>
      <c r="BP89">
        <v>44444</v>
      </c>
      <c r="BQ89" t="s">
        <v>56</v>
      </c>
      <c r="BR89" t="s">
        <v>1646</v>
      </c>
      <c r="BS89" t="s">
        <v>234</v>
      </c>
      <c r="BT89" t="s">
        <v>234</v>
      </c>
      <c r="BU89" t="s">
        <v>234</v>
      </c>
      <c r="EH89" s="9"/>
      <c r="EI89" s="9"/>
      <c r="EJ89" s="9"/>
      <c r="EK89" s="9"/>
      <c r="EL89" s="9"/>
      <c r="EM89" s="9"/>
      <c r="EN89" s="9"/>
      <c r="EO89" s="9"/>
      <c r="EP89" s="9"/>
      <c r="EQ89" s="9"/>
      <c r="ER89" s="9"/>
      <c r="ES89" s="9"/>
      <c r="ET89" s="9"/>
      <c r="EU89" s="9"/>
      <c r="EV89" s="9"/>
      <c r="EW89" s="9"/>
      <c r="EX89" s="9"/>
      <c r="EY89" s="9"/>
      <c r="EZ89" s="9"/>
      <c r="FA89" s="9"/>
      <c r="FB89" s="9"/>
      <c r="FC89" s="9"/>
      <c r="FD89" s="9"/>
      <c r="FE89" s="9"/>
      <c r="FF89" s="9"/>
      <c r="FG89" s="9"/>
      <c r="FH89" s="9"/>
      <c r="FI89" s="9"/>
      <c r="FJ89" s="9"/>
      <c r="FK89" s="9"/>
      <c r="FL89" s="9"/>
      <c r="FM89" s="9"/>
      <c r="FN89" s="9"/>
      <c r="FO89" s="9"/>
      <c r="FP89" s="9"/>
      <c r="FQ89" s="9"/>
      <c r="FR89" s="9"/>
      <c r="FS89" s="9"/>
      <c r="FT89" s="9"/>
      <c r="FU89" s="9"/>
      <c r="FV89" s="9"/>
      <c r="FW89" s="9"/>
      <c r="FX89" s="9"/>
      <c r="FY89" s="9"/>
      <c r="FZ89" s="9"/>
      <c r="GA89" s="9"/>
      <c r="GB89" s="9"/>
      <c r="GC89" s="9"/>
      <c r="GD89" s="9"/>
      <c r="GE89" s="9"/>
      <c r="GF89" s="9"/>
      <c r="GG89" s="9"/>
      <c r="GH89" s="9"/>
      <c r="GI89" s="9"/>
      <c r="GJ89" s="9"/>
      <c r="GK89" s="9"/>
      <c r="GL89" s="9"/>
      <c r="GM89" s="9"/>
      <c r="GN89" s="9"/>
      <c r="GO89" s="9"/>
      <c r="GP89" s="9"/>
      <c r="GQ89" s="9"/>
      <c r="GR89" s="9"/>
      <c r="GS89" s="9"/>
      <c r="GT89" s="9"/>
      <c r="GU89" s="9"/>
      <c r="GV89" s="9"/>
      <c r="GW89" s="9"/>
      <c r="GX89" s="9"/>
      <c r="GY89" s="9"/>
      <c r="GZ89" s="9"/>
      <c r="HA89" s="9"/>
      <c r="HB89" s="9"/>
      <c r="HC89" s="9"/>
      <c r="HD89" s="9"/>
      <c r="HE89" s="9"/>
      <c r="HF89" s="9"/>
      <c r="HG89" s="9"/>
      <c r="HH89" s="9"/>
      <c r="HI89" s="9"/>
      <c r="HJ89" s="9"/>
      <c r="HK89" s="9"/>
      <c r="HW89" s="58"/>
      <c r="IF89" t="s">
        <v>1654</v>
      </c>
      <c r="IG89" s="84" t="s">
        <v>1665</v>
      </c>
      <c r="IH89" t="s">
        <v>660</v>
      </c>
      <c r="II89" t="s">
        <v>661</v>
      </c>
      <c r="IJ89" t="s">
        <v>836</v>
      </c>
      <c r="IK89" t="s">
        <v>836</v>
      </c>
      <c r="IL89" s="87" t="s">
        <v>29</v>
      </c>
      <c r="JH89" t="s">
        <v>1663</v>
      </c>
      <c r="JI89" t="s">
        <v>15</v>
      </c>
      <c r="JJ89" t="s">
        <v>14</v>
      </c>
      <c r="JK89" s="8" t="s">
        <v>1664</v>
      </c>
      <c r="JN89" t="s">
        <v>13</v>
      </c>
      <c r="JO89">
        <v>40</v>
      </c>
      <c r="JP89">
        <v>50</v>
      </c>
      <c r="KD89" t="s">
        <v>12</v>
      </c>
      <c r="MR89" t="s">
        <v>1640</v>
      </c>
      <c r="MS89">
        <v>36</v>
      </c>
      <c r="NC89" t="s">
        <v>1676</v>
      </c>
      <c r="ND89" t="s">
        <v>1589</v>
      </c>
      <c r="NF89" t="s">
        <v>671</v>
      </c>
      <c r="NG89" t="s">
        <v>265</v>
      </c>
      <c r="NP89" t="s">
        <v>6</v>
      </c>
      <c r="NQ89">
        <v>517.5</v>
      </c>
      <c r="NR89" s="4" t="s">
        <v>4</v>
      </c>
      <c r="NS89">
        <v>10</v>
      </c>
      <c r="NV89">
        <v>4</v>
      </c>
      <c r="OG89" t="s">
        <v>1682</v>
      </c>
      <c r="OH89" s="87" t="s">
        <v>2</v>
      </c>
      <c r="OI89">
        <v>2007</v>
      </c>
      <c r="OL89" t="s">
        <v>1656</v>
      </c>
      <c r="ON89" t="s">
        <v>1169</v>
      </c>
      <c r="OO89" s="58">
        <v>46105</v>
      </c>
    </row>
    <row r="90" spans="1:405" ht="15.75" thickBot="1">
      <c r="A90" t="s">
        <v>248</v>
      </c>
      <c r="B90" t="s">
        <v>1870</v>
      </c>
      <c r="C90" t="s">
        <v>34</v>
      </c>
      <c r="D90" s="100" t="s">
        <v>31</v>
      </c>
      <c r="E90" s="90" t="s">
        <v>1658</v>
      </c>
      <c r="F90" s="100" t="s">
        <v>31</v>
      </c>
      <c r="G90" s="87" t="s">
        <v>2</v>
      </c>
      <c r="H90" s="87" t="s">
        <v>30</v>
      </c>
      <c r="I90">
        <v>-0.41666666699999999</v>
      </c>
      <c r="J90">
        <v>34.200000000000003</v>
      </c>
      <c r="K90" s="87" t="s">
        <v>29</v>
      </c>
      <c r="AV90" t="s">
        <v>1661</v>
      </c>
      <c r="AW90">
        <v>55</v>
      </c>
      <c r="AX90" t="s">
        <v>234</v>
      </c>
      <c r="AY90">
        <v>1</v>
      </c>
      <c r="AZ90" t="s">
        <v>1667</v>
      </c>
      <c r="BA90">
        <v>2007</v>
      </c>
      <c r="BB90">
        <v>2008</v>
      </c>
      <c r="BD90" t="s">
        <v>238</v>
      </c>
      <c r="BE90" t="s">
        <v>1655</v>
      </c>
      <c r="BF90" t="s">
        <v>277</v>
      </c>
      <c r="BH90" t="s">
        <v>23</v>
      </c>
      <c r="BI90" t="s">
        <v>1662</v>
      </c>
      <c r="BJ90" s="87" t="s">
        <v>22</v>
      </c>
      <c r="BK90">
        <v>44444</v>
      </c>
      <c r="BL90" t="s">
        <v>56</v>
      </c>
      <c r="BM90" t="s">
        <v>1659</v>
      </c>
      <c r="BN90" t="s">
        <v>1660</v>
      </c>
      <c r="BO90" s="87" t="s">
        <v>22</v>
      </c>
      <c r="BP90">
        <v>44444</v>
      </c>
      <c r="BQ90" t="s">
        <v>56</v>
      </c>
      <c r="BR90" t="s">
        <v>1646</v>
      </c>
      <c r="BS90" t="s">
        <v>234</v>
      </c>
      <c r="BT90" t="s">
        <v>234</v>
      </c>
      <c r="BU90" t="s">
        <v>234</v>
      </c>
      <c r="EH90" s="9"/>
      <c r="EI90" s="9"/>
      <c r="EJ90" s="9"/>
      <c r="EK90" s="9"/>
      <c r="EL90" s="9"/>
      <c r="EM90" s="9"/>
      <c r="EN90" s="9"/>
      <c r="EO90" s="9"/>
      <c r="EP90" s="9"/>
      <c r="EQ90" s="9"/>
      <c r="ER90" s="9"/>
      <c r="ES90" s="9"/>
      <c r="ET90" s="9"/>
      <c r="EU90" s="9"/>
      <c r="EV90" s="9"/>
      <c r="EW90" s="9"/>
      <c r="EX90" s="9"/>
      <c r="EY90" s="9"/>
      <c r="EZ90" s="9"/>
      <c r="FA90" s="9"/>
      <c r="FB90" s="9"/>
      <c r="FC90" s="9"/>
      <c r="FD90" s="9"/>
      <c r="FE90" s="9"/>
      <c r="FF90" s="9"/>
      <c r="FG90" s="9"/>
      <c r="FH90" s="9"/>
      <c r="FI90" s="9"/>
      <c r="FJ90" s="9"/>
      <c r="FK90" s="9"/>
      <c r="FL90" s="9"/>
      <c r="FM90" s="9"/>
      <c r="FN90" s="9"/>
      <c r="FO90" s="9"/>
      <c r="FP90" s="9"/>
      <c r="FQ90" s="9"/>
      <c r="FR90" s="9"/>
      <c r="FS90" s="9"/>
      <c r="FT90" s="9"/>
      <c r="FU90" s="9"/>
      <c r="FV90" s="9"/>
      <c r="FW90" s="9"/>
      <c r="FX90" s="9"/>
      <c r="FY90" s="9"/>
      <c r="FZ90" s="9"/>
      <c r="GA90" s="9"/>
      <c r="GB90" s="9"/>
      <c r="GC90" s="9"/>
      <c r="GD90" s="9"/>
      <c r="GE90" s="9"/>
      <c r="GF90" s="9"/>
      <c r="GG90" s="9"/>
      <c r="GH90" s="9"/>
      <c r="GI90" s="9"/>
      <c r="GJ90" s="9"/>
      <c r="GK90" s="9"/>
      <c r="GL90" s="9"/>
      <c r="GM90" s="9"/>
      <c r="GN90" s="9"/>
      <c r="GO90" s="9"/>
      <c r="GP90" s="9"/>
      <c r="GQ90" s="9"/>
      <c r="GR90" s="9"/>
      <c r="GS90" s="9"/>
      <c r="GT90" s="9"/>
      <c r="GU90" s="9"/>
      <c r="GV90" s="9"/>
      <c r="GW90" s="9"/>
      <c r="GX90" s="9"/>
      <c r="GY90" s="9"/>
      <c r="GZ90" s="9"/>
      <c r="HA90" s="9"/>
      <c r="HB90" s="9"/>
      <c r="HC90" s="9"/>
      <c r="HD90" s="9"/>
      <c r="HE90" s="9"/>
      <c r="HF90" s="9"/>
      <c r="HG90" s="9"/>
      <c r="HH90" s="9"/>
      <c r="HI90" s="9"/>
      <c r="HJ90" s="9"/>
      <c r="HK90" s="9"/>
      <c r="HW90" s="58"/>
      <c r="IF90" t="s">
        <v>1655</v>
      </c>
      <c r="IG90" s="84" t="s">
        <v>1665</v>
      </c>
      <c r="IH90" t="s">
        <v>660</v>
      </c>
      <c r="II90" t="s">
        <v>661</v>
      </c>
      <c r="IJ90" t="s">
        <v>836</v>
      </c>
      <c r="IK90" t="s">
        <v>836</v>
      </c>
      <c r="IL90" s="87" t="s">
        <v>29</v>
      </c>
      <c r="JH90" t="s">
        <v>1663</v>
      </c>
      <c r="JI90" t="s">
        <v>15</v>
      </c>
      <c r="JJ90" t="s">
        <v>14</v>
      </c>
      <c r="JK90" s="8" t="s">
        <v>1664</v>
      </c>
      <c r="JN90" t="s">
        <v>13</v>
      </c>
      <c r="JO90">
        <v>40</v>
      </c>
      <c r="JP90">
        <v>50</v>
      </c>
      <c r="KD90" t="s">
        <v>12</v>
      </c>
      <c r="MR90" t="s">
        <v>1640</v>
      </c>
      <c r="MS90">
        <v>36</v>
      </c>
      <c r="NC90" t="s">
        <v>1676</v>
      </c>
      <c r="ND90" t="s">
        <v>1589</v>
      </c>
      <c r="NF90" t="s">
        <v>671</v>
      </c>
      <c r="NG90" t="s">
        <v>265</v>
      </c>
      <c r="NP90" t="s">
        <v>6</v>
      </c>
      <c r="NQ90">
        <v>529</v>
      </c>
      <c r="NR90" s="4" t="s">
        <v>4</v>
      </c>
      <c r="NS90">
        <v>10</v>
      </c>
      <c r="NV90">
        <v>4</v>
      </c>
      <c r="OG90" t="s">
        <v>1682</v>
      </c>
      <c r="OH90" s="87" t="s">
        <v>2</v>
      </c>
      <c r="OI90">
        <v>2007</v>
      </c>
      <c r="OL90" t="s">
        <v>1656</v>
      </c>
      <c r="ON90" t="s">
        <v>1169</v>
      </c>
      <c r="OO90" s="58">
        <v>46105</v>
      </c>
    </row>
    <row r="91" spans="1:405" ht="15.75" thickBot="1">
      <c r="A91" t="s">
        <v>248</v>
      </c>
      <c r="B91" t="s">
        <v>1870</v>
      </c>
      <c r="C91" t="s">
        <v>34</v>
      </c>
      <c r="D91" s="100" t="s">
        <v>31</v>
      </c>
      <c r="E91" s="90" t="s">
        <v>1658</v>
      </c>
      <c r="F91" s="100" t="s">
        <v>31</v>
      </c>
      <c r="G91" s="87" t="s">
        <v>2</v>
      </c>
      <c r="H91" s="87" t="s">
        <v>30</v>
      </c>
      <c r="I91">
        <v>-0.41666666699999999</v>
      </c>
      <c r="J91">
        <v>34.200000000000003</v>
      </c>
      <c r="K91" s="87" t="s">
        <v>29</v>
      </c>
      <c r="AV91" t="s">
        <v>1661</v>
      </c>
      <c r="AW91">
        <v>36</v>
      </c>
      <c r="AX91" t="s">
        <v>234</v>
      </c>
      <c r="AY91">
        <v>1</v>
      </c>
      <c r="AZ91" t="s">
        <v>1667</v>
      </c>
      <c r="BA91">
        <v>2007</v>
      </c>
      <c r="BB91">
        <v>2008</v>
      </c>
      <c r="BD91" t="s">
        <v>19</v>
      </c>
      <c r="BE91" t="s">
        <v>1639</v>
      </c>
      <c r="BF91" t="s">
        <v>39</v>
      </c>
      <c r="BH91" t="s">
        <v>23</v>
      </c>
      <c r="BI91" t="s">
        <v>1662</v>
      </c>
      <c r="BJ91" s="87" t="s">
        <v>22</v>
      </c>
      <c r="BK91">
        <v>44444</v>
      </c>
      <c r="IF91" t="s">
        <v>1639</v>
      </c>
      <c r="IG91" t="s">
        <v>19</v>
      </c>
      <c r="JH91" t="s">
        <v>1663</v>
      </c>
      <c r="JI91" t="s">
        <v>15</v>
      </c>
      <c r="JJ91" t="s">
        <v>14</v>
      </c>
      <c r="JK91" s="8" t="s">
        <v>1664</v>
      </c>
      <c r="JN91" t="s">
        <v>13</v>
      </c>
      <c r="JO91">
        <v>40</v>
      </c>
      <c r="JP91">
        <v>50</v>
      </c>
      <c r="KD91" t="s">
        <v>12</v>
      </c>
      <c r="MR91" t="s">
        <v>1640</v>
      </c>
      <c r="MS91">
        <v>36</v>
      </c>
      <c r="MT91" t="s">
        <v>1641</v>
      </c>
      <c r="MV91" t="s">
        <v>168</v>
      </c>
      <c r="NC91" t="s">
        <v>1677</v>
      </c>
      <c r="ND91" t="s">
        <v>1597</v>
      </c>
      <c r="NE91" t="s">
        <v>1670</v>
      </c>
      <c r="NF91" s="4" t="s">
        <v>1598</v>
      </c>
      <c r="NO91" s="78" t="s">
        <v>735</v>
      </c>
      <c r="NP91" t="s">
        <v>6</v>
      </c>
      <c r="NQ91">
        <v>0.8</v>
      </c>
      <c r="NR91" s="4" t="s">
        <v>234</v>
      </c>
      <c r="NS91" s="4" t="s">
        <v>234</v>
      </c>
      <c r="NV91">
        <v>4</v>
      </c>
      <c r="OG91" t="s">
        <v>1657</v>
      </c>
      <c r="OH91" s="87" t="s">
        <v>2</v>
      </c>
      <c r="OI91">
        <v>2007</v>
      </c>
      <c r="OL91" t="s">
        <v>1656</v>
      </c>
      <c r="ON91" t="s">
        <v>1169</v>
      </c>
      <c r="OO91" s="58">
        <v>46105</v>
      </c>
    </row>
    <row r="92" spans="1:405" ht="15.75" thickBot="1">
      <c r="A92" t="s">
        <v>248</v>
      </c>
      <c r="B92" t="s">
        <v>1870</v>
      </c>
      <c r="C92" t="s">
        <v>34</v>
      </c>
      <c r="D92" s="100" t="s">
        <v>31</v>
      </c>
      <c r="E92" s="90" t="s">
        <v>1658</v>
      </c>
      <c r="F92" s="100" t="s">
        <v>31</v>
      </c>
      <c r="G92" s="87" t="s">
        <v>2</v>
      </c>
      <c r="H92" s="87" t="s">
        <v>30</v>
      </c>
      <c r="I92">
        <v>-0.41666666699999999</v>
      </c>
      <c r="J92">
        <v>34.200000000000003</v>
      </c>
      <c r="K92" s="87" t="s">
        <v>29</v>
      </c>
      <c r="AV92" t="s">
        <v>1661</v>
      </c>
      <c r="AW92">
        <v>37</v>
      </c>
      <c r="AX92" t="s">
        <v>234</v>
      </c>
      <c r="AY92">
        <v>1</v>
      </c>
      <c r="AZ92" t="s">
        <v>1667</v>
      </c>
      <c r="BA92">
        <v>2007</v>
      </c>
      <c r="BB92">
        <v>2008</v>
      </c>
      <c r="BD92" t="s">
        <v>238</v>
      </c>
      <c r="BE92" t="s">
        <v>1643</v>
      </c>
      <c r="BF92" t="s">
        <v>64</v>
      </c>
      <c r="BH92" t="s">
        <v>23</v>
      </c>
      <c r="BI92" t="s">
        <v>1662</v>
      </c>
      <c r="BJ92" s="87" t="s">
        <v>22</v>
      </c>
      <c r="BK92">
        <v>44444</v>
      </c>
      <c r="BL92" t="s">
        <v>56</v>
      </c>
      <c r="BM92" t="s">
        <v>1659</v>
      </c>
      <c r="BN92" t="s">
        <v>1660</v>
      </c>
      <c r="BO92" s="87" t="s">
        <v>22</v>
      </c>
      <c r="BP92">
        <v>44444</v>
      </c>
      <c r="IF92" t="s">
        <v>1643</v>
      </c>
      <c r="IG92" s="84" t="s">
        <v>1443</v>
      </c>
      <c r="IH92" t="s">
        <v>660</v>
      </c>
      <c r="II92" t="s">
        <v>661</v>
      </c>
      <c r="IJ92" t="s">
        <v>836</v>
      </c>
      <c r="IK92" t="s">
        <v>836</v>
      </c>
      <c r="IL92" s="87" t="s">
        <v>29</v>
      </c>
      <c r="JH92" t="s">
        <v>1663</v>
      </c>
      <c r="JI92" t="s">
        <v>15</v>
      </c>
      <c r="JJ92" t="s">
        <v>14</v>
      </c>
      <c r="JK92" s="8" t="s">
        <v>1664</v>
      </c>
      <c r="JN92" t="s">
        <v>13</v>
      </c>
      <c r="JO92">
        <v>40</v>
      </c>
      <c r="JP92">
        <v>50</v>
      </c>
      <c r="KD92" t="s">
        <v>12</v>
      </c>
      <c r="MR92" t="s">
        <v>1640</v>
      </c>
      <c r="MS92">
        <v>36</v>
      </c>
      <c r="MT92" t="s">
        <v>1644</v>
      </c>
      <c r="MV92" t="s">
        <v>168</v>
      </c>
      <c r="MW92" t="s">
        <v>1671</v>
      </c>
      <c r="NC92" t="s">
        <v>1678</v>
      </c>
      <c r="ND92" t="s">
        <v>1597</v>
      </c>
      <c r="NE92" t="s">
        <v>1670</v>
      </c>
      <c r="NF92" s="4" t="s">
        <v>1598</v>
      </c>
      <c r="NO92" s="78"/>
      <c r="NP92" t="s">
        <v>6</v>
      </c>
      <c r="NQ92">
        <v>1.1000000000000001</v>
      </c>
      <c r="NR92" s="4" t="s">
        <v>234</v>
      </c>
      <c r="NS92" s="4" t="s">
        <v>234</v>
      </c>
      <c r="NV92">
        <v>4</v>
      </c>
      <c r="OG92" t="s">
        <v>1657</v>
      </c>
      <c r="OH92" s="87" t="s">
        <v>2</v>
      </c>
      <c r="OI92">
        <v>2007</v>
      </c>
      <c r="OL92" t="s">
        <v>1656</v>
      </c>
      <c r="ON92" t="s">
        <v>1169</v>
      </c>
      <c r="OO92" s="58">
        <v>46105</v>
      </c>
    </row>
    <row r="93" spans="1:405" ht="15.75" thickBot="1">
      <c r="A93" t="s">
        <v>248</v>
      </c>
      <c r="B93" t="s">
        <v>1870</v>
      </c>
      <c r="C93" t="s">
        <v>34</v>
      </c>
      <c r="D93" s="100" t="s">
        <v>31</v>
      </c>
      <c r="E93" s="90" t="s">
        <v>1658</v>
      </c>
      <c r="F93" s="100" t="s">
        <v>31</v>
      </c>
      <c r="G93" s="87" t="s">
        <v>2</v>
      </c>
      <c r="H93" s="87" t="s">
        <v>30</v>
      </c>
      <c r="I93">
        <v>-0.41666666699999999</v>
      </c>
      <c r="J93">
        <v>34.200000000000003</v>
      </c>
      <c r="K93" s="87" t="s">
        <v>29</v>
      </c>
      <c r="AV93" t="s">
        <v>1661</v>
      </c>
      <c r="AW93">
        <v>38</v>
      </c>
      <c r="AX93" t="s">
        <v>234</v>
      </c>
      <c r="AY93">
        <v>1</v>
      </c>
      <c r="AZ93" t="s">
        <v>1667</v>
      </c>
      <c r="BA93">
        <v>2007</v>
      </c>
      <c r="BB93">
        <v>2008</v>
      </c>
      <c r="BD93" t="s">
        <v>238</v>
      </c>
      <c r="BE93" t="s">
        <v>1645</v>
      </c>
      <c r="BF93" t="s">
        <v>57</v>
      </c>
      <c r="BH93" t="s">
        <v>23</v>
      </c>
      <c r="BI93" t="s">
        <v>1662</v>
      </c>
      <c r="BJ93" s="87" t="s">
        <v>22</v>
      </c>
      <c r="BK93">
        <v>44444</v>
      </c>
      <c r="BL93" t="s">
        <v>56</v>
      </c>
      <c r="BM93" t="s">
        <v>1646</v>
      </c>
      <c r="BN93" t="s">
        <v>234</v>
      </c>
      <c r="BO93" t="s">
        <v>234</v>
      </c>
      <c r="BP93" t="s">
        <v>234</v>
      </c>
      <c r="IF93" t="s">
        <v>1645</v>
      </c>
      <c r="IG93" s="84" t="s">
        <v>1665</v>
      </c>
      <c r="IH93" t="s">
        <v>660</v>
      </c>
      <c r="II93" t="s">
        <v>661</v>
      </c>
      <c r="IJ93" t="s">
        <v>836</v>
      </c>
      <c r="IK93" t="s">
        <v>836</v>
      </c>
      <c r="IL93" s="87" t="s">
        <v>29</v>
      </c>
      <c r="JH93" t="s">
        <v>1663</v>
      </c>
      <c r="JI93" t="s">
        <v>15</v>
      </c>
      <c r="JJ93" t="s">
        <v>14</v>
      </c>
      <c r="JK93" s="8" t="s">
        <v>1664</v>
      </c>
      <c r="JN93" t="s">
        <v>13</v>
      </c>
      <c r="JO93">
        <v>40</v>
      </c>
      <c r="JP93">
        <v>50</v>
      </c>
      <c r="KD93" t="s">
        <v>12</v>
      </c>
      <c r="MR93" t="s">
        <v>1640</v>
      </c>
      <c r="MS93">
        <v>36</v>
      </c>
      <c r="MT93" t="s">
        <v>1647</v>
      </c>
      <c r="MV93" t="s">
        <v>168</v>
      </c>
      <c r="MW93" t="s">
        <v>1673</v>
      </c>
      <c r="MX93" t="s">
        <v>1674</v>
      </c>
      <c r="NC93" t="s">
        <v>1678</v>
      </c>
      <c r="ND93" t="s">
        <v>1597</v>
      </c>
      <c r="NE93" t="s">
        <v>1670</v>
      </c>
      <c r="NF93" s="4" t="s">
        <v>1598</v>
      </c>
      <c r="NO93" s="78"/>
      <c r="NP93" t="s">
        <v>6</v>
      </c>
      <c r="NQ93">
        <v>1.7</v>
      </c>
      <c r="NR93" s="4" t="s">
        <v>234</v>
      </c>
      <c r="NS93" s="4" t="s">
        <v>234</v>
      </c>
      <c r="NV93">
        <v>4</v>
      </c>
      <c r="OG93" t="s">
        <v>1657</v>
      </c>
      <c r="OH93" s="87" t="s">
        <v>2</v>
      </c>
      <c r="OI93">
        <v>2007</v>
      </c>
      <c r="OL93" t="s">
        <v>1656</v>
      </c>
      <c r="ON93" t="s">
        <v>1169</v>
      </c>
      <c r="OO93" s="58">
        <v>46105</v>
      </c>
    </row>
    <row r="94" spans="1:405" ht="15.75" thickBot="1">
      <c r="A94" t="s">
        <v>248</v>
      </c>
      <c r="B94" t="s">
        <v>1870</v>
      </c>
      <c r="C94" t="s">
        <v>34</v>
      </c>
      <c r="D94" s="100" t="s">
        <v>31</v>
      </c>
      <c r="E94" s="90" t="s">
        <v>1658</v>
      </c>
      <c r="F94" s="100" t="s">
        <v>31</v>
      </c>
      <c r="G94" s="87" t="s">
        <v>2</v>
      </c>
      <c r="H94" s="87" t="s">
        <v>30</v>
      </c>
      <c r="I94">
        <v>-0.41666666699999999</v>
      </c>
      <c r="J94">
        <v>34.200000000000003</v>
      </c>
      <c r="K94" s="87" t="s">
        <v>29</v>
      </c>
      <c r="AV94" t="s">
        <v>1661</v>
      </c>
      <c r="AW94">
        <v>39</v>
      </c>
      <c r="AX94" t="s">
        <v>234</v>
      </c>
      <c r="AY94">
        <v>1</v>
      </c>
      <c r="AZ94" t="s">
        <v>1667</v>
      </c>
      <c r="BA94">
        <v>2007</v>
      </c>
      <c r="BB94">
        <v>2008</v>
      </c>
      <c r="BD94" t="s">
        <v>238</v>
      </c>
      <c r="BE94" t="s">
        <v>1648</v>
      </c>
      <c r="BF94" t="s">
        <v>48</v>
      </c>
      <c r="BH94" t="s">
        <v>23</v>
      </c>
      <c r="BI94" t="s">
        <v>1662</v>
      </c>
      <c r="BJ94" s="87" t="s">
        <v>22</v>
      </c>
      <c r="BK94">
        <v>44444</v>
      </c>
      <c r="BL94" t="s">
        <v>56</v>
      </c>
      <c r="BM94" t="s">
        <v>1659</v>
      </c>
      <c r="BN94" t="s">
        <v>1660</v>
      </c>
      <c r="BO94" s="87" t="s">
        <v>22</v>
      </c>
      <c r="BP94">
        <v>44444</v>
      </c>
      <c r="BQ94" t="s">
        <v>56</v>
      </c>
      <c r="BR94" t="s">
        <v>1646</v>
      </c>
      <c r="BS94" t="s">
        <v>234</v>
      </c>
      <c r="BT94" t="s">
        <v>234</v>
      </c>
      <c r="BU94" t="s">
        <v>234</v>
      </c>
      <c r="IF94" t="s">
        <v>1648</v>
      </c>
      <c r="IG94" s="84" t="s">
        <v>1665</v>
      </c>
      <c r="IH94" t="s">
        <v>660</v>
      </c>
      <c r="II94" t="s">
        <v>661</v>
      </c>
      <c r="IJ94" t="s">
        <v>836</v>
      </c>
      <c r="IK94" t="s">
        <v>836</v>
      </c>
      <c r="IL94" s="87" t="s">
        <v>29</v>
      </c>
      <c r="JH94" t="s">
        <v>1663</v>
      </c>
      <c r="JI94" t="s">
        <v>15</v>
      </c>
      <c r="JJ94" t="s">
        <v>14</v>
      </c>
      <c r="JK94" s="8" t="s">
        <v>1664</v>
      </c>
      <c r="JN94" t="s">
        <v>13</v>
      </c>
      <c r="JO94">
        <v>40</v>
      </c>
      <c r="JP94">
        <v>50</v>
      </c>
      <c r="KD94" t="s">
        <v>12</v>
      </c>
      <c r="MR94" t="s">
        <v>1640</v>
      </c>
      <c r="MS94">
        <v>36</v>
      </c>
      <c r="MT94" t="s">
        <v>1649</v>
      </c>
      <c r="MV94" t="s">
        <v>168</v>
      </c>
      <c r="MW94" t="s">
        <v>1671</v>
      </c>
      <c r="MX94" t="s">
        <v>1673</v>
      </c>
      <c r="MY94" t="s">
        <v>1674</v>
      </c>
      <c r="NC94" t="s">
        <v>1678</v>
      </c>
      <c r="ND94" t="s">
        <v>1597</v>
      </c>
      <c r="NE94" t="s">
        <v>1670</v>
      </c>
      <c r="NF94" s="4" t="s">
        <v>1598</v>
      </c>
      <c r="NO94" s="78"/>
      <c r="NP94" t="s">
        <v>6</v>
      </c>
      <c r="NQ94">
        <v>1.5</v>
      </c>
      <c r="NR94" s="4" t="s">
        <v>234</v>
      </c>
      <c r="NS94" s="4" t="s">
        <v>234</v>
      </c>
      <c r="NV94">
        <v>4</v>
      </c>
      <c r="OG94" t="s">
        <v>1657</v>
      </c>
      <c r="OH94" s="87" t="s">
        <v>2</v>
      </c>
      <c r="OI94">
        <v>2007</v>
      </c>
      <c r="OL94" t="s">
        <v>1656</v>
      </c>
      <c r="ON94" t="s">
        <v>1169</v>
      </c>
      <c r="OO94" s="58">
        <v>46105</v>
      </c>
    </row>
    <row r="95" spans="1:405" ht="15.75" thickBot="1">
      <c r="A95" t="s">
        <v>248</v>
      </c>
      <c r="B95" t="s">
        <v>1870</v>
      </c>
      <c r="C95" t="s">
        <v>34</v>
      </c>
      <c r="D95" s="100" t="s">
        <v>31</v>
      </c>
      <c r="E95" s="90" t="s">
        <v>1658</v>
      </c>
      <c r="F95" s="100" t="s">
        <v>31</v>
      </c>
      <c r="G95" s="87" t="s">
        <v>2</v>
      </c>
      <c r="H95" s="87" t="s">
        <v>30</v>
      </c>
      <c r="I95">
        <v>-0.41666666699999999</v>
      </c>
      <c r="J95">
        <v>34.200000000000003</v>
      </c>
      <c r="K95" s="87" t="s">
        <v>29</v>
      </c>
      <c r="AV95" t="s">
        <v>1661</v>
      </c>
      <c r="AW95">
        <v>40</v>
      </c>
      <c r="AX95" t="s">
        <v>234</v>
      </c>
      <c r="AY95">
        <v>1</v>
      </c>
      <c r="AZ95" t="s">
        <v>1667</v>
      </c>
      <c r="BA95">
        <v>2007</v>
      </c>
      <c r="BB95">
        <v>2008</v>
      </c>
      <c r="BD95" t="s">
        <v>238</v>
      </c>
      <c r="BE95" t="s">
        <v>1672</v>
      </c>
      <c r="BF95" t="s">
        <v>43</v>
      </c>
      <c r="BH95" t="s">
        <v>23</v>
      </c>
      <c r="BI95" t="s">
        <v>1662</v>
      </c>
      <c r="BJ95" s="87" t="s">
        <v>22</v>
      </c>
      <c r="BK95">
        <v>44444</v>
      </c>
      <c r="BL95" t="s">
        <v>56</v>
      </c>
      <c r="BM95" t="s">
        <v>1659</v>
      </c>
      <c r="BN95" t="s">
        <v>1660</v>
      </c>
      <c r="BO95" s="87" t="s">
        <v>22</v>
      </c>
      <c r="BP95">
        <v>44444</v>
      </c>
      <c r="BQ95" t="s">
        <v>56</v>
      </c>
      <c r="BR95" t="s">
        <v>1646</v>
      </c>
      <c r="BS95" t="s">
        <v>234</v>
      </c>
      <c r="BT95" t="s">
        <v>234</v>
      </c>
      <c r="BU95" t="s">
        <v>234</v>
      </c>
      <c r="IF95" t="s">
        <v>1650</v>
      </c>
      <c r="IG95" s="84" t="s">
        <v>1665</v>
      </c>
      <c r="IH95" t="s">
        <v>660</v>
      </c>
      <c r="II95" t="s">
        <v>661</v>
      </c>
      <c r="IJ95" t="s">
        <v>836</v>
      </c>
      <c r="IK95" t="s">
        <v>836</v>
      </c>
      <c r="IL95" s="87" t="s">
        <v>29</v>
      </c>
      <c r="JH95" t="s">
        <v>1663</v>
      </c>
      <c r="JI95" t="s">
        <v>15</v>
      </c>
      <c r="JJ95" t="s">
        <v>14</v>
      </c>
      <c r="JK95" s="8" t="s">
        <v>1664</v>
      </c>
      <c r="JN95" t="s">
        <v>13</v>
      </c>
      <c r="JO95">
        <v>40</v>
      </c>
      <c r="JP95">
        <v>50</v>
      </c>
      <c r="KD95" t="s">
        <v>12</v>
      </c>
      <c r="MR95" t="s">
        <v>1640</v>
      </c>
      <c r="MS95">
        <v>36</v>
      </c>
      <c r="MT95" t="s">
        <v>1649</v>
      </c>
      <c r="MV95" t="s">
        <v>168</v>
      </c>
      <c r="MW95" t="s">
        <v>1671</v>
      </c>
      <c r="MX95" t="s">
        <v>1673</v>
      </c>
      <c r="MY95" t="s">
        <v>1674</v>
      </c>
      <c r="NC95" t="s">
        <v>1678</v>
      </c>
      <c r="ND95" t="s">
        <v>1597</v>
      </c>
      <c r="NE95" t="s">
        <v>1670</v>
      </c>
      <c r="NF95" s="4" t="s">
        <v>1598</v>
      </c>
      <c r="NO95" s="78"/>
      <c r="NP95" t="s">
        <v>6</v>
      </c>
      <c r="NQ95">
        <v>1.8</v>
      </c>
      <c r="NR95" s="4" t="s">
        <v>234</v>
      </c>
      <c r="NS95" s="4" t="s">
        <v>234</v>
      </c>
      <c r="NV95">
        <v>4</v>
      </c>
      <c r="OG95" t="s">
        <v>1657</v>
      </c>
      <c r="OH95" s="87" t="s">
        <v>2</v>
      </c>
      <c r="OI95">
        <v>2007</v>
      </c>
      <c r="OL95" t="s">
        <v>1656</v>
      </c>
      <c r="ON95" t="s">
        <v>1169</v>
      </c>
      <c r="OO95" s="58">
        <v>46105</v>
      </c>
    </row>
    <row r="96" spans="1:405" ht="15.75" thickBot="1">
      <c r="A96" t="s">
        <v>248</v>
      </c>
      <c r="B96" t="s">
        <v>1870</v>
      </c>
      <c r="C96" t="s">
        <v>34</v>
      </c>
      <c r="D96" s="100" t="s">
        <v>31</v>
      </c>
      <c r="E96" s="90" t="s">
        <v>1658</v>
      </c>
      <c r="F96" s="100" t="s">
        <v>31</v>
      </c>
      <c r="G96" s="87" t="s">
        <v>2</v>
      </c>
      <c r="H96" s="87" t="s">
        <v>30</v>
      </c>
      <c r="I96">
        <v>-0.41666666699999999</v>
      </c>
      <c r="J96">
        <v>34.200000000000003</v>
      </c>
      <c r="K96" s="87" t="s">
        <v>29</v>
      </c>
      <c r="AV96" t="s">
        <v>1661</v>
      </c>
      <c r="AW96">
        <v>41</v>
      </c>
      <c r="AX96" t="s">
        <v>234</v>
      </c>
      <c r="AY96">
        <v>1</v>
      </c>
      <c r="AZ96" t="s">
        <v>1668</v>
      </c>
      <c r="BA96">
        <v>2007</v>
      </c>
      <c r="BB96">
        <v>2008</v>
      </c>
      <c r="BD96" t="s">
        <v>19</v>
      </c>
      <c r="BE96" t="s">
        <v>1639</v>
      </c>
      <c r="BF96" t="s">
        <v>39</v>
      </c>
      <c r="BH96" t="s">
        <v>23</v>
      </c>
      <c r="BI96" t="s">
        <v>1662</v>
      </c>
      <c r="BJ96" s="87" t="s">
        <v>22</v>
      </c>
      <c r="BK96">
        <v>44444</v>
      </c>
      <c r="IF96" t="s">
        <v>1639</v>
      </c>
      <c r="IG96" t="s">
        <v>19</v>
      </c>
      <c r="JH96" t="s">
        <v>1663</v>
      </c>
      <c r="JI96" t="s">
        <v>15</v>
      </c>
      <c r="JJ96" t="s">
        <v>14</v>
      </c>
      <c r="JK96" s="8" t="s">
        <v>1664</v>
      </c>
      <c r="JN96" t="s">
        <v>13</v>
      </c>
      <c r="JO96">
        <v>40</v>
      </c>
      <c r="JP96">
        <v>50</v>
      </c>
      <c r="KD96" t="s">
        <v>12</v>
      </c>
      <c r="MR96" t="s">
        <v>1640</v>
      </c>
      <c r="MS96">
        <v>36</v>
      </c>
      <c r="MT96" t="s">
        <v>1641</v>
      </c>
      <c r="MV96" t="s">
        <v>168</v>
      </c>
      <c r="NC96" t="s">
        <v>1677</v>
      </c>
      <c r="ND96" t="s">
        <v>1597</v>
      </c>
      <c r="NE96" t="s">
        <v>1670</v>
      </c>
      <c r="NF96" s="4" t="s">
        <v>1598</v>
      </c>
      <c r="NO96" s="78" t="s">
        <v>735</v>
      </c>
      <c r="NP96" t="s">
        <v>6</v>
      </c>
      <c r="NQ96">
        <v>0.8</v>
      </c>
      <c r="NR96" s="4" t="s">
        <v>234</v>
      </c>
      <c r="NS96" s="4" t="s">
        <v>234</v>
      </c>
      <c r="NV96">
        <v>4</v>
      </c>
      <c r="OG96" t="s">
        <v>1657</v>
      </c>
      <c r="OH96" s="87" t="s">
        <v>2</v>
      </c>
      <c r="OI96">
        <v>2008</v>
      </c>
      <c r="OL96" t="s">
        <v>1666</v>
      </c>
      <c r="ON96" t="s">
        <v>1169</v>
      </c>
      <c r="OO96" s="58">
        <v>46105</v>
      </c>
    </row>
    <row r="97" spans="1:405" ht="15.75" thickBot="1">
      <c r="A97" t="s">
        <v>248</v>
      </c>
      <c r="B97" t="s">
        <v>1870</v>
      </c>
      <c r="C97" t="s">
        <v>34</v>
      </c>
      <c r="D97" s="100" t="s">
        <v>31</v>
      </c>
      <c r="E97" s="90" t="s">
        <v>1658</v>
      </c>
      <c r="F97" s="100" t="s">
        <v>31</v>
      </c>
      <c r="G97" s="87" t="s">
        <v>2</v>
      </c>
      <c r="H97" s="87" t="s">
        <v>30</v>
      </c>
      <c r="I97">
        <v>-0.41666666699999999</v>
      </c>
      <c r="J97">
        <v>34.200000000000003</v>
      </c>
      <c r="K97" s="87" t="s">
        <v>29</v>
      </c>
      <c r="AV97" t="s">
        <v>1661</v>
      </c>
      <c r="AW97">
        <v>42</v>
      </c>
      <c r="AX97" t="s">
        <v>234</v>
      </c>
      <c r="AY97">
        <v>1</v>
      </c>
      <c r="AZ97" t="s">
        <v>1668</v>
      </c>
      <c r="BA97">
        <v>2007</v>
      </c>
      <c r="BB97">
        <v>2008</v>
      </c>
      <c r="BD97" t="s">
        <v>238</v>
      </c>
      <c r="BE97" t="s">
        <v>1643</v>
      </c>
      <c r="BF97" t="s">
        <v>64</v>
      </c>
      <c r="BH97" t="s">
        <v>23</v>
      </c>
      <c r="BI97" t="s">
        <v>1662</v>
      </c>
      <c r="BJ97" s="87" t="s">
        <v>22</v>
      </c>
      <c r="BK97">
        <v>44444</v>
      </c>
      <c r="BL97" t="s">
        <v>56</v>
      </c>
      <c r="BM97" t="s">
        <v>1659</v>
      </c>
      <c r="BN97" t="s">
        <v>1660</v>
      </c>
      <c r="BO97" s="87" t="s">
        <v>22</v>
      </c>
      <c r="BP97">
        <v>44444</v>
      </c>
      <c r="IF97" t="s">
        <v>1643</v>
      </c>
      <c r="IG97" s="84" t="s">
        <v>1443</v>
      </c>
      <c r="IH97" t="s">
        <v>660</v>
      </c>
      <c r="II97" t="s">
        <v>661</v>
      </c>
      <c r="IJ97" t="s">
        <v>836</v>
      </c>
      <c r="IK97" t="s">
        <v>836</v>
      </c>
      <c r="IL97" s="87" t="s">
        <v>29</v>
      </c>
      <c r="JH97" t="s">
        <v>1663</v>
      </c>
      <c r="JI97" t="s">
        <v>15</v>
      </c>
      <c r="JJ97" t="s">
        <v>14</v>
      </c>
      <c r="JK97" s="8" t="s">
        <v>1664</v>
      </c>
      <c r="JN97" t="s">
        <v>13</v>
      </c>
      <c r="JO97">
        <v>40</v>
      </c>
      <c r="JP97">
        <v>50</v>
      </c>
      <c r="KD97" t="s">
        <v>12</v>
      </c>
      <c r="MR97" t="s">
        <v>1640</v>
      </c>
      <c r="MS97">
        <v>36</v>
      </c>
      <c r="MT97" t="s">
        <v>1644</v>
      </c>
      <c r="MV97" t="s">
        <v>168</v>
      </c>
      <c r="MW97" t="s">
        <v>1671</v>
      </c>
      <c r="NC97" t="s">
        <v>1678</v>
      </c>
      <c r="ND97" t="s">
        <v>1597</v>
      </c>
      <c r="NE97" t="s">
        <v>1670</v>
      </c>
      <c r="NF97" s="4" t="s">
        <v>1598</v>
      </c>
      <c r="NO97" s="78"/>
      <c r="NP97" t="s">
        <v>6</v>
      </c>
      <c r="NQ97">
        <v>1</v>
      </c>
      <c r="NR97" s="4" t="s">
        <v>234</v>
      </c>
      <c r="NS97" s="4" t="s">
        <v>234</v>
      </c>
      <c r="NV97">
        <v>4</v>
      </c>
      <c r="OG97" t="s">
        <v>1657</v>
      </c>
      <c r="OH97" s="87" t="s">
        <v>2</v>
      </c>
      <c r="OI97">
        <v>2008</v>
      </c>
      <c r="OL97" t="s">
        <v>1666</v>
      </c>
      <c r="ON97" t="s">
        <v>1169</v>
      </c>
      <c r="OO97" s="58">
        <v>46105</v>
      </c>
    </row>
    <row r="98" spans="1:405" ht="15.75" thickBot="1">
      <c r="A98" t="s">
        <v>248</v>
      </c>
      <c r="B98" t="s">
        <v>1870</v>
      </c>
      <c r="C98" t="s">
        <v>34</v>
      </c>
      <c r="D98" s="100" t="s">
        <v>31</v>
      </c>
      <c r="E98" s="90" t="s">
        <v>1658</v>
      </c>
      <c r="F98" s="100" t="s">
        <v>31</v>
      </c>
      <c r="G98" s="87" t="s">
        <v>2</v>
      </c>
      <c r="H98" s="87" t="s">
        <v>30</v>
      </c>
      <c r="I98">
        <v>-0.41666666699999999</v>
      </c>
      <c r="J98">
        <v>34.200000000000003</v>
      </c>
      <c r="K98" s="87" t="s">
        <v>29</v>
      </c>
      <c r="AV98" t="s">
        <v>1661</v>
      </c>
      <c r="AW98">
        <v>43</v>
      </c>
      <c r="AX98" t="s">
        <v>234</v>
      </c>
      <c r="AY98">
        <v>1</v>
      </c>
      <c r="AZ98" t="s">
        <v>1668</v>
      </c>
      <c r="BA98">
        <v>2007</v>
      </c>
      <c r="BB98">
        <v>2008</v>
      </c>
      <c r="BD98" t="s">
        <v>238</v>
      </c>
      <c r="BE98" t="s">
        <v>1645</v>
      </c>
      <c r="BF98" t="s">
        <v>57</v>
      </c>
      <c r="BH98" t="s">
        <v>23</v>
      </c>
      <c r="BI98" t="s">
        <v>1662</v>
      </c>
      <c r="BJ98" s="87" t="s">
        <v>22</v>
      </c>
      <c r="BK98">
        <v>44444</v>
      </c>
      <c r="BL98" t="s">
        <v>56</v>
      </c>
      <c r="BM98" t="s">
        <v>1646</v>
      </c>
      <c r="BN98" t="s">
        <v>234</v>
      </c>
      <c r="BO98" t="s">
        <v>234</v>
      </c>
      <c r="BP98" t="s">
        <v>234</v>
      </c>
      <c r="IF98" t="s">
        <v>1645</v>
      </c>
      <c r="IG98" s="84" t="s">
        <v>1665</v>
      </c>
      <c r="IH98" t="s">
        <v>660</v>
      </c>
      <c r="II98" t="s">
        <v>661</v>
      </c>
      <c r="IJ98" t="s">
        <v>836</v>
      </c>
      <c r="IK98" t="s">
        <v>836</v>
      </c>
      <c r="IL98" s="87" t="s">
        <v>29</v>
      </c>
      <c r="JH98" t="s">
        <v>1663</v>
      </c>
      <c r="JI98" t="s">
        <v>15</v>
      </c>
      <c r="JJ98" t="s">
        <v>14</v>
      </c>
      <c r="JK98" s="8" t="s">
        <v>1664</v>
      </c>
      <c r="JN98" t="s">
        <v>13</v>
      </c>
      <c r="JO98">
        <v>40</v>
      </c>
      <c r="JP98">
        <v>50</v>
      </c>
      <c r="KD98" t="s">
        <v>12</v>
      </c>
      <c r="MR98" t="s">
        <v>1640</v>
      </c>
      <c r="MS98">
        <v>36</v>
      </c>
      <c r="MT98" t="s">
        <v>1647</v>
      </c>
      <c r="MV98" t="s">
        <v>168</v>
      </c>
      <c r="MW98" t="s">
        <v>1673</v>
      </c>
      <c r="MX98" t="s">
        <v>1674</v>
      </c>
      <c r="NC98" t="s">
        <v>1678</v>
      </c>
      <c r="ND98" t="s">
        <v>1597</v>
      </c>
      <c r="NE98" t="s">
        <v>1670</v>
      </c>
      <c r="NF98" s="4" t="s">
        <v>1598</v>
      </c>
      <c r="NO98" s="78"/>
      <c r="NP98" t="s">
        <v>6</v>
      </c>
      <c r="NQ98">
        <v>1.9</v>
      </c>
      <c r="NR98" s="4" t="s">
        <v>234</v>
      </c>
      <c r="NS98" s="4" t="s">
        <v>234</v>
      </c>
      <c r="NV98">
        <v>4</v>
      </c>
      <c r="OG98" t="s">
        <v>1657</v>
      </c>
      <c r="OH98" s="87" t="s">
        <v>2</v>
      </c>
      <c r="OI98">
        <v>2008</v>
      </c>
      <c r="OL98" t="s">
        <v>1666</v>
      </c>
      <c r="ON98" t="s">
        <v>1169</v>
      </c>
      <c r="OO98" s="58">
        <v>46105</v>
      </c>
    </row>
    <row r="99" spans="1:405" ht="15.75" thickBot="1">
      <c r="A99" t="s">
        <v>248</v>
      </c>
      <c r="B99" t="s">
        <v>1870</v>
      </c>
      <c r="C99" t="s">
        <v>34</v>
      </c>
      <c r="D99" s="100" t="s">
        <v>31</v>
      </c>
      <c r="E99" s="90" t="s">
        <v>1658</v>
      </c>
      <c r="F99" s="100" t="s">
        <v>31</v>
      </c>
      <c r="G99" s="87" t="s">
        <v>2</v>
      </c>
      <c r="H99" s="87" t="s">
        <v>30</v>
      </c>
      <c r="I99">
        <v>-0.41666666699999999</v>
      </c>
      <c r="J99">
        <v>34.200000000000003</v>
      </c>
      <c r="K99" s="87" t="s">
        <v>29</v>
      </c>
      <c r="AV99" t="s">
        <v>1661</v>
      </c>
      <c r="AW99">
        <v>44</v>
      </c>
      <c r="AX99" t="s">
        <v>234</v>
      </c>
      <c r="AY99">
        <v>1</v>
      </c>
      <c r="AZ99" t="s">
        <v>1668</v>
      </c>
      <c r="BA99">
        <v>2007</v>
      </c>
      <c r="BB99">
        <v>2008</v>
      </c>
      <c r="BD99" t="s">
        <v>238</v>
      </c>
      <c r="BE99" t="s">
        <v>1648</v>
      </c>
      <c r="BF99" t="s">
        <v>48</v>
      </c>
      <c r="BH99" t="s">
        <v>23</v>
      </c>
      <c r="BI99" t="s">
        <v>1662</v>
      </c>
      <c r="BJ99" s="87" t="s">
        <v>22</v>
      </c>
      <c r="BK99">
        <v>44444</v>
      </c>
      <c r="BL99" t="s">
        <v>56</v>
      </c>
      <c r="BM99" t="s">
        <v>1659</v>
      </c>
      <c r="BN99" t="s">
        <v>1660</v>
      </c>
      <c r="BO99" s="87" t="s">
        <v>22</v>
      </c>
      <c r="BP99">
        <v>44444</v>
      </c>
      <c r="BQ99" t="s">
        <v>56</v>
      </c>
      <c r="BR99" t="s">
        <v>1646</v>
      </c>
      <c r="BS99" t="s">
        <v>234</v>
      </c>
      <c r="BT99" t="s">
        <v>234</v>
      </c>
      <c r="BU99" t="s">
        <v>234</v>
      </c>
      <c r="IF99" t="s">
        <v>1648</v>
      </c>
      <c r="IG99" s="84" t="s">
        <v>1665</v>
      </c>
      <c r="IH99" t="s">
        <v>660</v>
      </c>
      <c r="II99" t="s">
        <v>661</v>
      </c>
      <c r="IJ99" t="s">
        <v>836</v>
      </c>
      <c r="IK99" t="s">
        <v>836</v>
      </c>
      <c r="IL99" s="87" t="s">
        <v>29</v>
      </c>
      <c r="JH99" t="s">
        <v>1663</v>
      </c>
      <c r="JI99" t="s">
        <v>15</v>
      </c>
      <c r="JJ99" t="s">
        <v>14</v>
      </c>
      <c r="JK99" s="8" t="s">
        <v>1664</v>
      </c>
      <c r="JN99" t="s">
        <v>13</v>
      </c>
      <c r="JO99">
        <v>40</v>
      </c>
      <c r="JP99">
        <v>50</v>
      </c>
      <c r="KD99" t="s">
        <v>12</v>
      </c>
      <c r="MR99" t="s">
        <v>1640</v>
      </c>
      <c r="MS99">
        <v>36</v>
      </c>
      <c r="MT99" t="s">
        <v>1649</v>
      </c>
      <c r="MV99" t="s">
        <v>168</v>
      </c>
      <c r="MW99" t="s">
        <v>1671</v>
      </c>
      <c r="MX99" t="s">
        <v>1673</v>
      </c>
      <c r="MY99" t="s">
        <v>1674</v>
      </c>
      <c r="NC99" t="s">
        <v>1678</v>
      </c>
      <c r="ND99" t="s">
        <v>1597</v>
      </c>
      <c r="NE99" t="s">
        <v>1670</v>
      </c>
      <c r="NF99" s="4" t="s">
        <v>1598</v>
      </c>
      <c r="NO99" s="78"/>
      <c r="NP99" t="s">
        <v>6</v>
      </c>
      <c r="NQ99">
        <v>1.8</v>
      </c>
      <c r="NR99" s="4" t="s">
        <v>234</v>
      </c>
      <c r="NS99" s="4" t="s">
        <v>234</v>
      </c>
      <c r="NV99">
        <v>4</v>
      </c>
      <c r="OG99" t="s">
        <v>1657</v>
      </c>
      <c r="OH99" s="87" t="s">
        <v>2</v>
      </c>
      <c r="OI99">
        <v>2008</v>
      </c>
      <c r="OL99" t="s">
        <v>1666</v>
      </c>
      <c r="ON99" t="s">
        <v>1169</v>
      </c>
      <c r="OO99" s="58">
        <v>46105</v>
      </c>
    </row>
    <row r="100" spans="1:405" ht="15.75" thickBot="1">
      <c r="A100" t="s">
        <v>248</v>
      </c>
      <c r="B100" t="s">
        <v>1870</v>
      </c>
      <c r="C100" t="s">
        <v>34</v>
      </c>
      <c r="D100" s="100" t="s">
        <v>31</v>
      </c>
      <c r="E100" s="90" t="s">
        <v>1658</v>
      </c>
      <c r="F100" s="100" t="s">
        <v>31</v>
      </c>
      <c r="G100" s="87" t="s">
        <v>2</v>
      </c>
      <c r="H100" s="87" t="s">
        <v>30</v>
      </c>
      <c r="I100">
        <v>-0.41666666699999999</v>
      </c>
      <c r="J100">
        <v>34.200000000000003</v>
      </c>
      <c r="K100" s="87" t="s">
        <v>29</v>
      </c>
      <c r="AV100" t="s">
        <v>1661</v>
      </c>
      <c r="AW100">
        <v>45</v>
      </c>
      <c r="AX100" t="s">
        <v>234</v>
      </c>
      <c r="AY100">
        <v>1</v>
      </c>
      <c r="AZ100" t="s">
        <v>1668</v>
      </c>
      <c r="BA100">
        <v>2007</v>
      </c>
      <c r="BB100">
        <v>2008</v>
      </c>
      <c r="BD100" t="s">
        <v>238</v>
      </c>
      <c r="BE100" t="s">
        <v>1650</v>
      </c>
      <c r="BF100" t="s">
        <v>43</v>
      </c>
      <c r="BH100" t="s">
        <v>23</v>
      </c>
      <c r="BI100" t="s">
        <v>1662</v>
      </c>
      <c r="BJ100" s="87" t="s">
        <v>22</v>
      </c>
      <c r="BK100">
        <v>44444</v>
      </c>
      <c r="BL100" t="s">
        <v>56</v>
      </c>
      <c r="BM100" t="s">
        <v>1659</v>
      </c>
      <c r="BN100" t="s">
        <v>1660</v>
      </c>
      <c r="BO100" s="87" t="s">
        <v>22</v>
      </c>
      <c r="BP100">
        <v>44444</v>
      </c>
      <c r="BQ100" t="s">
        <v>56</v>
      </c>
      <c r="BR100" t="s">
        <v>1646</v>
      </c>
      <c r="BS100" t="s">
        <v>234</v>
      </c>
      <c r="BT100" t="s">
        <v>234</v>
      </c>
      <c r="BU100" t="s">
        <v>234</v>
      </c>
      <c r="IF100" t="s">
        <v>1650</v>
      </c>
      <c r="IG100" s="84" t="s">
        <v>1665</v>
      </c>
      <c r="IH100" t="s">
        <v>660</v>
      </c>
      <c r="II100" t="s">
        <v>661</v>
      </c>
      <c r="IJ100" t="s">
        <v>836</v>
      </c>
      <c r="IK100" t="s">
        <v>836</v>
      </c>
      <c r="IL100" s="87" t="s">
        <v>29</v>
      </c>
      <c r="JH100" t="s">
        <v>1663</v>
      </c>
      <c r="JI100" t="s">
        <v>15</v>
      </c>
      <c r="JJ100" t="s">
        <v>14</v>
      </c>
      <c r="JK100" s="8" t="s">
        <v>1664</v>
      </c>
      <c r="JN100" t="s">
        <v>13</v>
      </c>
      <c r="JO100">
        <v>40</v>
      </c>
      <c r="JP100">
        <v>50</v>
      </c>
      <c r="KD100" t="s">
        <v>12</v>
      </c>
      <c r="MR100" t="s">
        <v>1640</v>
      </c>
      <c r="MS100">
        <v>36</v>
      </c>
      <c r="MT100" t="s">
        <v>1649</v>
      </c>
      <c r="MV100" t="s">
        <v>168</v>
      </c>
      <c r="MW100" t="s">
        <v>1671</v>
      </c>
      <c r="MX100" t="s">
        <v>1673</v>
      </c>
      <c r="MY100" t="s">
        <v>1674</v>
      </c>
      <c r="NC100" t="s">
        <v>1678</v>
      </c>
      <c r="ND100" t="s">
        <v>1597</v>
      </c>
      <c r="NE100" t="s">
        <v>1670</v>
      </c>
      <c r="NF100" s="4" t="s">
        <v>1598</v>
      </c>
      <c r="NO100" s="78"/>
      <c r="NP100" t="s">
        <v>6</v>
      </c>
      <c r="NQ100">
        <v>1.9</v>
      </c>
      <c r="NR100" s="4" t="s">
        <v>234</v>
      </c>
      <c r="NS100" s="4" t="s">
        <v>234</v>
      </c>
      <c r="NV100">
        <v>4</v>
      </c>
      <c r="OG100" t="s">
        <v>1657</v>
      </c>
      <c r="OH100" s="87" t="s">
        <v>2</v>
      </c>
      <c r="OI100">
        <v>2008</v>
      </c>
      <c r="OL100" t="s">
        <v>1666</v>
      </c>
      <c r="ON100" t="s">
        <v>1169</v>
      </c>
      <c r="OO100" s="58">
        <v>46105</v>
      </c>
    </row>
    <row r="101" spans="1:405" ht="15.75" thickBot="1">
      <c r="A101" t="s">
        <v>248</v>
      </c>
      <c r="B101" t="s">
        <v>1870</v>
      </c>
      <c r="C101" t="s">
        <v>34</v>
      </c>
      <c r="D101" s="100" t="s">
        <v>31</v>
      </c>
      <c r="E101" s="90" t="s">
        <v>1658</v>
      </c>
      <c r="F101" s="100" t="s">
        <v>31</v>
      </c>
      <c r="G101" s="87" t="s">
        <v>2</v>
      </c>
      <c r="H101" s="87" t="s">
        <v>30</v>
      </c>
      <c r="I101">
        <v>-0.41666666699999999</v>
      </c>
      <c r="J101">
        <v>34.200000000000003</v>
      </c>
      <c r="K101" s="87" t="s">
        <v>29</v>
      </c>
      <c r="AV101" t="s">
        <v>1661</v>
      </c>
      <c r="AW101">
        <v>46</v>
      </c>
      <c r="AX101" t="s">
        <v>234</v>
      </c>
      <c r="AY101">
        <v>1</v>
      </c>
      <c r="AZ101" t="s">
        <v>1669</v>
      </c>
      <c r="BA101">
        <v>2007</v>
      </c>
      <c r="BB101">
        <v>2008</v>
      </c>
      <c r="BD101" t="s">
        <v>19</v>
      </c>
      <c r="BE101" t="s">
        <v>1651</v>
      </c>
      <c r="BF101" t="s">
        <v>24</v>
      </c>
      <c r="BH101" t="s">
        <v>23</v>
      </c>
      <c r="BI101" t="s">
        <v>1662</v>
      </c>
      <c r="BJ101" s="87" t="s">
        <v>22</v>
      </c>
      <c r="BK101">
        <v>44444</v>
      </c>
      <c r="IF101" t="s">
        <v>1651</v>
      </c>
      <c r="IG101" t="s">
        <v>19</v>
      </c>
      <c r="JH101" t="s">
        <v>1663</v>
      </c>
      <c r="JI101" t="s">
        <v>15</v>
      </c>
      <c r="JJ101" t="s">
        <v>14</v>
      </c>
      <c r="JK101" s="8" t="s">
        <v>1664</v>
      </c>
      <c r="JN101" t="s">
        <v>13</v>
      </c>
      <c r="JO101">
        <v>40</v>
      </c>
      <c r="JP101">
        <v>50</v>
      </c>
      <c r="KD101" t="s">
        <v>12</v>
      </c>
      <c r="MR101" t="s">
        <v>1640</v>
      </c>
      <c r="MS101">
        <v>36</v>
      </c>
      <c r="MT101" t="s">
        <v>1641</v>
      </c>
      <c r="MV101" t="s">
        <v>168</v>
      </c>
      <c r="NC101" t="s">
        <v>1677</v>
      </c>
      <c r="ND101" t="s">
        <v>1597</v>
      </c>
      <c r="NE101" t="s">
        <v>1670</v>
      </c>
      <c r="NF101" s="4" t="s">
        <v>1598</v>
      </c>
      <c r="NO101" s="78" t="s">
        <v>743</v>
      </c>
      <c r="NP101" t="s">
        <v>6</v>
      </c>
      <c r="NQ101">
        <v>1.1000000000000001</v>
      </c>
      <c r="NR101" s="4" t="s">
        <v>234</v>
      </c>
      <c r="NS101" s="4" t="s">
        <v>234</v>
      </c>
      <c r="NV101">
        <v>4</v>
      </c>
      <c r="OG101" t="s">
        <v>1683</v>
      </c>
      <c r="OH101" s="87" t="s">
        <v>2</v>
      </c>
      <c r="OI101">
        <v>2007</v>
      </c>
      <c r="OL101" t="s">
        <v>1666</v>
      </c>
      <c r="ON101" t="s">
        <v>1169</v>
      </c>
      <c r="OO101" s="58">
        <v>46105</v>
      </c>
    </row>
    <row r="102" spans="1:405" ht="15.75" thickBot="1">
      <c r="A102" t="s">
        <v>248</v>
      </c>
      <c r="B102" t="s">
        <v>1870</v>
      </c>
      <c r="C102" t="s">
        <v>34</v>
      </c>
      <c r="D102" s="100" t="s">
        <v>31</v>
      </c>
      <c r="E102" s="90" t="s">
        <v>1658</v>
      </c>
      <c r="F102" s="100" t="s">
        <v>31</v>
      </c>
      <c r="G102" s="87" t="s">
        <v>2</v>
      </c>
      <c r="H102" s="87" t="s">
        <v>30</v>
      </c>
      <c r="I102">
        <v>-0.41666666699999999</v>
      </c>
      <c r="J102">
        <v>34.200000000000003</v>
      </c>
      <c r="K102" s="87" t="s">
        <v>29</v>
      </c>
      <c r="AV102" t="s">
        <v>1661</v>
      </c>
      <c r="AW102">
        <v>47</v>
      </c>
      <c r="AX102" t="s">
        <v>234</v>
      </c>
      <c r="AY102">
        <v>1</v>
      </c>
      <c r="AZ102" t="s">
        <v>1669</v>
      </c>
      <c r="BA102">
        <v>2007</v>
      </c>
      <c r="BB102">
        <v>2008</v>
      </c>
      <c r="BD102" t="s">
        <v>238</v>
      </c>
      <c r="BE102" t="s">
        <v>1652</v>
      </c>
      <c r="BF102" t="s">
        <v>252</v>
      </c>
      <c r="BH102" t="s">
        <v>23</v>
      </c>
      <c r="BI102" t="s">
        <v>1662</v>
      </c>
      <c r="BJ102" s="87" t="s">
        <v>22</v>
      </c>
      <c r="BK102">
        <v>44444</v>
      </c>
      <c r="BL102" t="s">
        <v>56</v>
      </c>
      <c r="BM102" t="s">
        <v>1659</v>
      </c>
      <c r="BN102" t="s">
        <v>1660</v>
      </c>
      <c r="BO102" s="87" t="s">
        <v>22</v>
      </c>
      <c r="BP102">
        <v>44444</v>
      </c>
      <c r="IF102" t="s">
        <v>1652</v>
      </c>
      <c r="IG102" s="84" t="s">
        <v>1443</v>
      </c>
      <c r="IH102" t="s">
        <v>660</v>
      </c>
      <c r="II102" t="s">
        <v>661</v>
      </c>
      <c r="IJ102" t="s">
        <v>836</v>
      </c>
      <c r="IK102" t="s">
        <v>836</v>
      </c>
      <c r="IL102" s="87" t="s">
        <v>29</v>
      </c>
      <c r="JH102" t="s">
        <v>1663</v>
      </c>
      <c r="JI102" t="s">
        <v>15</v>
      </c>
      <c r="JJ102" t="s">
        <v>14</v>
      </c>
      <c r="JK102" s="8" t="s">
        <v>1664</v>
      </c>
      <c r="JN102" t="s">
        <v>13</v>
      </c>
      <c r="JO102">
        <v>40</v>
      </c>
      <c r="JP102">
        <v>50</v>
      </c>
      <c r="KD102" t="s">
        <v>12</v>
      </c>
      <c r="MR102" t="s">
        <v>1640</v>
      </c>
      <c r="MS102">
        <v>36</v>
      </c>
      <c r="MT102" t="s">
        <v>1644</v>
      </c>
      <c r="MV102" t="s">
        <v>168</v>
      </c>
      <c r="MW102" t="s">
        <v>1671</v>
      </c>
      <c r="NC102" t="s">
        <v>1678</v>
      </c>
      <c r="ND102" t="s">
        <v>1597</v>
      </c>
      <c r="NE102" t="s">
        <v>1670</v>
      </c>
      <c r="NF102" s="4" t="s">
        <v>1598</v>
      </c>
      <c r="NO102" s="78"/>
      <c r="NP102" t="s">
        <v>6</v>
      </c>
      <c r="NQ102">
        <v>1.1000000000000001</v>
      </c>
      <c r="NR102" s="4" t="s">
        <v>234</v>
      </c>
      <c r="NS102" s="4" t="s">
        <v>234</v>
      </c>
      <c r="NV102">
        <v>4</v>
      </c>
      <c r="OG102" t="s">
        <v>1683</v>
      </c>
      <c r="OH102" s="87" t="s">
        <v>2</v>
      </c>
      <c r="OI102">
        <v>2007</v>
      </c>
      <c r="OL102" t="s">
        <v>1666</v>
      </c>
      <c r="ON102" t="s">
        <v>1169</v>
      </c>
      <c r="OO102" s="58">
        <v>46105</v>
      </c>
    </row>
    <row r="103" spans="1:405" ht="15.75" thickBot="1">
      <c r="A103" t="s">
        <v>248</v>
      </c>
      <c r="B103" t="s">
        <v>1870</v>
      </c>
      <c r="C103" t="s">
        <v>34</v>
      </c>
      <c r="D103" s="100" t="s">
        <v>31</v>
      </c>
      <c r="E103" s="90" t="s">
        <v>1658</v>
      </c>
      <c r="F103" s="100" t="s">
        <v>31</v>
      </c>
      <c r="G103" s="87" t="s">
        <v>2</v>
      </c>
      <c r="H103" s="87" t="s">
        <v>30</v>
      </c>
      <c r="I103">
        <v>-0.41666666699999999</v>
      </c>
      <c r="J103">
        <v>34.200000000000003</v>
      </c>
      <c r="K103" s="87" t="s">
        <v>29</v>
      </c>
      <c r="AV103" t="s">
        <v>1661</v>
      </c>
      <c r="AW103">
        <v>48</v>
      </c>
      <c r="AX103" t="s">
        <v>234</v>
      </c>
      <c r="AY103">
        <v>1</v>
      </c>
      <c r="AZ103" t="s">
        <v>1669</v>
      </c>
      <c r="BA103">
        <v>2007</v>
      </c>
      <c r="BB103">
        <v>2008</v>
      </c>
      <c r="BD103" t="s">
        <v>238</v>
      </c>
      <c r="BE103" t="s">
        <v>1653</v>
      </c>
      <c r="BF103" t="s">
        <v>236</v>
      </c>
      <c r="BH103" t="s">
        <v>23</v>
      </c>
      <c r="BI103" t="s">
        <v>1662</v>
      </c>
      <c r="BJ103" s="87" t="s">
        <v>22</v>
      </c>
      <c r="BK103">
        <v>44444</v>
      </c>
      <c r="BL103" t="s">
        <v>56</v>
      </c>
      <c r="BM103" t="s">
        <v>1646</v>
      </c>
      <c r="BN103" t="s">
        <v>234</v>
      </c>
      <c r="BO103" t="s">
        <v>234</v>
      </c>
      <c r="BP103" t="s">
        <v>234</v>
      </c>
      <c r="IF103" t="s">
        <v>1653</v>
      </c>
      <c r="IG103" s="84" t="s">
        <v>1665</v>
      </c>
      <c r="IH103" t="s">
        <v>660</v>
      </c>
      <c r="II103" t="s">
        <v>661</v>
      </c>
      <c r="IJ103" t="s">
        <v>836</v>
      </c>
      <c r="IK103" t="s">
        <v>836</v>
      </c>
      <c r="IL103" s="87" t="s">
        <v>29</v>
      </c>
      <c r="JH103" t="s">
        <v>1663</v>
      </c>
      <c r="JI103" t="s">
        <v>15</v>
      </c>
      <c r="JJ103" t="s">
        <v>14</v>
      </c>
      <c r="JK103" s="8" t="s">
        <v>1664</v>
      </c>
      <c r="JN103" t="s">
        <v>13</v>
      </c>
      <c r="JO103">
        <v>40</v>
      </c>
      <c r="JP103">
        <v>50</v>
      </c>
      <c r="KD103" t="s">
        <v>12</v>
      </c>
      <c r="MR103" t="s">
        <v>1640</v>
      </c>
      <c r="MS103">
        <v>36</v>
      </c>
      <c r="MT103" t="s">
        <v>1647</v>
      </c>
      <c r="MV103" t="s">
        <v>168</v>
      </c>
      <c r="MW103" t="s">
        <v>1673</v>
      </c>
      <c r="MX103" t="s">
        <v>1674</v>
      </c>
      <c r="NC103" t="s">
        <v>1678</v>
      </c>
      <c r="ND103" t="s">
        <v>1597</v>
      </c>
      <c r="NE103" t="s">
        <v>1670</v>
      </c>
      <c r="NF103" s="4" t="s">
        <v>1598</v>
      </c>
      <c r="NO103" s="78"/>
      <c r="NP103" t="s">
        <v>6</v>
      </c>
      <c r="NQ103">
        <v>2.2000000000000002</v>
      </c>
      <c r="NR103" s="4" t="s">
        <v>234</v>
      </c>
      <c r="NS103" s="4" t="s">
        <v>234</v>
      </c>
      <c r="NV103">
        <v>4</v>
      </c>
      <c r="OG103" t="s">
        <v>1683</v>
      </c>
      <c r="OH103" s="87" t="s">
        <v>2</v>
      </c>
      <c r="OI103">
        <v>2007</v>
      </c>
      <c r="OL103" t="s">
        <v>1666</v>
      </c>
      <c r="ON103" t="s">
        <v>1169</v>
      </c>
      <c r="OO103" s="58">
        <v>46105</v>
      </c>
    </row>
    <row r="104" spans="1:405" ht="15.75" thickBot="1">
      <c r="A104" t="s">
        <v>248</v>
      </c>
      <c r="B104" t="s">
        <v>1870</v>
      </c>
      <c r="C104" t="s">
        <v>34</v>
      </c>
      <c r="D104" s="100" t="s">
        <v>31</v>
      </c>
      <c r="E104" s="90" t="s">
        <v>1658</v>
      </c>
      <c r="F104" s="100" t="s">
        <v>31</v>
      </c>
      <c r="G104" s="87" t="s">
        <v>2</v>
      </c>
      <c r="H104" s="87" t="s">
        <v>30</v>
      </c>
      <c r="I104">
        <v>-0.41666666699999999</v>
      </c>
      <c r="J104">
        <v>34.200000000000003</v>
      </c>
      <c r="K104" s="87" t="s">
        <v>29</v>
      </c>
      <c r="AV104" t="s">
        <v>1661</v>
      </c>
      <c r="AW104">
        <v>49</v>
      </c>
      <c r="AX104" t="s">
        <v>234</v>
      </c>
      <c r="AY104">
        <v>1</v>
      </c>
      <c r="AZ104" t="s">
        <v>1669</v>
      </c>
      <c r="BA104">
        <v>2007</v>
      </c>
      <c r="BB104">
        <v>2008</v>
      </c>
      <c r="BD104" t="s">
        <v>238</v>
      </c>
      <c r="BE104" t="s">
        <v>1654</v>
      </c>
      <c r="BF104" t="s">
        <v>284</v>
      </c>
      <c r="BH104" t="s">
        <v>23</v>
      </c>
      <c r="BI104" t="s">
        <v>1662</v>
      </c>
      <c r="BJ104" s="87" t="s">
        <v>22</v>
      </c>
      <c r="BK104">
        <v>44444</v>
      </c>
      <c r="BL104" t="s">
        <v>56</v>
      </c>
      <c r="BM104" t="s">
        <v>1659</v>
      </c>
      <c r="BN104" t="s">
        <v>1660</v>
      </c>
      <c r="BO104" s="87" t="s">
        <v>22</v>
      </c>
      <c r="BP104">
        <v>44444</v>
      </c>
      <c r="BQ104" t="s">
        <v>56</v>
      </c>
      <c r="BR104" t="s">
        <v>1646</v>
      </c>
      <c r="BS104" t="s">
        <v>234</v>
      </c>
      <c r="BT104" t="s">
        <v>234</v>
      </c>
      <c r="BU104" t="s">
        <v>234</v>
      </c>
      <c r="IF104" t="s">
        <v>1654</v>
      </c>
      <c r="IG104" s="84" t="s">
        <v>1665</v>
      </c>
      <c r="IH104" t="s">
        <v>660</v>
      </c>
      <c r="II104" t="s">
        <v>661</v>
      </c>
      <c r="IJ104" t="s">
        <v>836</v>
      </c>
      <c r="IK104" t="s">
        <v>836</v>
      </c>
      <c r="IL104" s="87" t="s">
        <v>29</v>
      </c>
      <c r="JH104" t="s">
        <v>1663</v>
      </c>
      <c r="JI104" t="s">
        <v>15</v>
      </c>
      <c r="JJ104" t="s">
        <v>14</v>
      </c>
      <c r="JK104" s="8" t="s">
        <v>1664</v>
      </c>
      <c r="JN104" t="s">
        <v>13</v>
      </c>
      <c r="JO104">
        <v>40</v>
      </c>
      <c r="JP104">
        <v>50</v>
      </c>
      <c r="KD104" t="s">
        <v>12</v>
      </c>
      <c r="MR104" t="s">
        <v>1640</v>
      </c>
      <c r="MS104">
        <v>36</v>
      </c>
      <c r="MT104" t="s">
        <v>1649</v>
      </c>
      <c r="MV104" t="s">
        <v>168</v>
      </c>
      <c r="MW104" t="s">
        <v>1671</v>
      </c>
      <c r="MX104" t="s">
        <v>1673</v>
      </c>
      <c r="MY104" t="s">
        <v>1674</v>
      </c>
      <c r="NC104" t="s">
        <v>1678</v>
      </c>
      <c r="ND104" t="s">
        <v>1597</v>
      </c>
      <c r="NE104" t="s">
        <v>1670</v>
      </c>
      <c r="NF104" s="4" t="s">
        <v>1598</v>
      </c>
      <c r="NO104" s="78"/>
      <c r="NP104" t="s">
        <v>6</v>
      </c>
      <c r="NQ104">
        <v>2.1</v>
      </c>
      <c r="NR104" s="4" t="s">
        <v>234</v>
      </c>
      <c r="NS104" s="4" t="s">
        <v>234</v>
      </c>
      <c r="NV104">
        <v>4</v>
      </c>
      <c r="OG104" t="s">
        <v>1683</v>
      </c>
      <c r="OH104" s="87" t="s">
        <v>2</v>
      </c>
      <c r="OI104">
        <v>2007</v>
      </c>
      <c r="OL104" t="s">
        <v>1666</v>
      </c>
      <c r="ON104" t="s">
        <v>1169</v>
      </c>
      <c r="OO104" s="58">
        <v>46105</v>
      </c>
    </row>
    <row r="105" spans="1:405" ht="15.75" thickBot="1">
      <c r="A105" t="s">
        <v>248</v>
      </c>
      <c r="B105" t="s">
        <v>1870</v>
      </c>
      <c r="C105" t="s">
        <v>34</v>
      </c>
      <c r="D105" s="100" t="s">
        <v>31</v>
      </c>
      <c r="E105" s="90" t="s">
        <v>1658</v>
      </c>
      <c r="F105" s="100" t="s">
        <v>31</v>
      </c>
      <c r="G105" s="87" t="s">
        <v>2</v>
      </c>
      <c r="H105" s="87" t="s">
        <v>30</v>
      </c>
      <c r="I105">
        <v>-0.41666666699999999</v>
      </c>
      <c r="J105">
        <v>34.200000000000003</v>
      </c>
      <c r="K105" s="87" t="s">
        <v>29</v>
      </c>
      <c r="AV105" t="s">
        <v>1661</v>
      </c>
      <c r="AW105">
        <v>50</v>
      </c>
      <c r="AX105" t="s">
        <v>234</v>
      </c>
      <c r="AY105">
        <v>1</v>
      </c>
      <c r="AZ105" t="s">
        <v>1669</v>
      </c>
      <c r="BA105">
        <v>2007</v>
      </c>
      <c r="BB105">
        <v>2008</v>
      </c>
      <c r="BD105" t="s">
        <v>238</v>
      </c>
      <c r="BE105" t="s">
        <v>1655</v>
      </c>
      <c r="BF105" t="s">
        <v>277</v>
      </c>
      <c r="BH105" t="s">
        <v>23</v>
      </c>
      <c r="BI105" t="s">
        <v>1662</v>
      </c>
      <c r="BJ105" s="87" t="s">
        <v>22</v>
      </c>
      <c r="BK105">
        <v>44444</v>
      </c>
      <c r="BL105" t="s">
        <v>56</v>
      </c>
      <c r="BM105" t="s">
        <v>1659</v>
      </c>
      <c r="BN105" t="s">
        <v>1660</v>
      </c>
      <c r="BO105" s="87" t="s">
        <v>22</v>
      </c>
      <c r="BP105">
        <v>44444</v>
      </c>
      <c r="BQ105" t="s">
        <v>56</v>
      </c>
      <c r="BR105" t="s">
        <v>1646</v>
      </c>
      <c r="BS105" t="s">
        <v>234</v>
      </c>
      <c r="BT105" t="s">
        <v>234</v>
      </c>
      <c r="BU105" t="s">
        <v>234</v>
      </c>
      <c r="IF105" t="s">
        <v>1655</v>
      </c>
      <c r="IG105" s="84" t="s">
        <v>1665</v>
      </c>
      <c r="IH105" t="s">
        <v>660</v>
      </c>
      <c r="II105" t="s">
        <v>661</v>
      </c>
      <c r="IJ105" t="s">
        <v>836</v>
      </c>
      <c r="IK105" t="s">
        <v>836</v>
      </c>
      <c r="IL105" s="87" t="s">
        <v>29</v>
      </c>
      <c r="JH105" t="s">
        <v>1663</v>
      </c>
      <c r="JI105" t="s">
        <v>15</v>
      </c>
      <c r="JJ105" t="s">
        <v>14</v>
      </c>
      <c r="JK105" s="8" t="s">
        <v>1664</v>
      </c>
      <c r="JN105" t="s">
        <v>13</v>
      </c>
      <c r="JO105">
        <v>40</v>
      </c>
      <c r="JP105">
        <v>50</v>
      </c>
      <c r="KD105" t="s">
        <v>12</v>
      </c>
      <c r="MR105" t="s">
        <v>1640</v>
      </c>
      <c r="MS105">
        <v>36</v>
      </c>
      <c r="MT105" t="s">
        <v>1649</v>
      </c>
      <c r="MV105" t="s">
        <v>168</v>
      </c>
      <c r="MW105" t="s">
        <v>1671</v>
      </c>
      <c r="MX105" t="s">
        <v>1673</v>
      </c>
      <c r="MY105" t="s">
        <v>1674</v>
      </c>
      <c r="NC105" t="s">
        <v>1678</v>
      </c>
      <c r="ND105" t="s">
        <v>1597</v>
      </c>
      <c r="NE105" t="s">
        <v>1670</v>
      </c>
      <c r="NF105" s="4" t="s">
        <v>1598</v>
      </c>
      <c r="NO105" s="78"/>
      <c r="NP105" t="s">
        <v>6</v>
      </c>
      <c r="NQ105">
        <v>2</v>
      </c>
      <c r="NR105" s="4" t="s">
        <v>234</v>
      </c>
      <c r="NS105" s="4" t="s">
        <v>234</v>
      </c>
      <c r="NV105">
        <v>4</v>
      </c>
      <c r="OG105" t="s">
        <v>1683</v>
      </c>
      <c r="OH105" s="87" t="s">
        <v>2</v>
      </c>
      <c r="OI105">
        <v>2007</v>
      </c>
      <c r="OL105" t="s">
        <v>1666</v>
      </c>
      <c r="ON105" t="s">
        <v>1169</v>
      </c>
      <c r="OO105" s="58">
        <v>46105</v>
      </c>
    </row>
    <row r="106" spans="1:405" ht="15.75" thickBot="1">
      <c r="A106" t="s">
        <v>248</v>
      </c>
      <c r="B106" t="s">
        <v>1870</v>
      </c>
      <c r="C106" t="s">
        <v>34</v>
      </c>
      <c r="D106" s="100" t="s">
        <v>31</v>
      </c>
      <c r="E106" s="90" t="s">
        <v>1658</v>
      </c>
      <c r="F106" s="100" t="s">
        <v>31</v>
      </c>
      <c r="G106" s="87" t="s">
        <v>2</v>
      </c>
      <c r="H106" s="87" t="s">
        <v>30</v>
      </c>
      <c r="I106">
        <v>-0.41666666699999999</v>
      </c>
      <c r="J106">
        <v>34.200000000000003</v>
      </c>
      <c r="K106" s="87" t="s">
        <v>29</v>
      </c>
      <c r="AV106" t="s">
        <v>1661</v>
      </c>
      <c r="AW106">
        <v>51</v>
      </c>
      <c r="AX106" t="s">
        <v>234</v>
      </c>
      <c r="AY106">
        <v>1</v>
      </c>
      <c r="AZ106" t="s">
        <v>1667</v>
      </c>
      <c r="BA106">
        <v>2007</v>
      </c>
      <c r="BB106">
        <v>2008</v>
      </c>
      <c r="BD106" t="s">
        <v>19</v>
      </c>
      <c r="BE106" t="s">
        <v>1651</v>
      </c>
      <c r="BF106" t="s">
        <v>24</v>
      </c>
      <c r="BH106" t="s">
        <v>23</v>
      </c>
      <c r="BI106" t="s">
        <v>1662</v>
      </c>
      <c r="BJ106" s="87" t="s">
        <v>22</v>
      </c>
      <c r="BK106">
        <v>44444</v>
      </c>
      <c r="IF106" t="s">
        <v>1651</v>
      </c>
      <c r="IG106" t="s">
        <v>19</v>
      </c>
      <c r="JH106" t="s">
        <v>1663</v>
      </c>
      <c r="JI106" t="s">
        <v>15</v>
      </c>
      <c r="JJ106" t="s">
        <v>14</v>
      </c>
      <c r="JK106" s="8" t="s">
        <v>1664</v>
      </c>
      <c r="JN106" t="s">
        <v>13</v>
      </c>
      <c r="JO106">
        <v>40</v>
      </c>
      <c r="JP106">
        <v>50</v>
      </c>
      <c r="KD106" t="s">
        <v>12</v>
      </c>
      <c r="MR106" t="s">
        <v>1640</v>
      </c>
      <c r="MS106">
        <v>36</v>
      </c>
      <c r="MT106" t="s">
        <v>1641</v>
      </c>
      <c r="MV106" t="s">
        <v>168</v>
      </c>
      <c r="NC106" t="s">
        <v>1677</v>
      </c>
      <c r="ND106" t="s">
        <v>1597</v>
      </c>
      <c r="NE106" t="s">
        <v>1670</v>
      </c>
      <c r="NF106" s="4" t="s">
        <v>1598</v>
      </c>
      <c r="NO106" s="78" t="s">
        <v>743</v>
      </c>
      <c r="NP106" t="s">
        <v>6</v>
      </c>
      <c r="NQ106">
        <v>1.1000000000000001</v>
      </c>
      <c r="NR106" s="4" t="s">
        <v>234</v>
      </c>
      <c r="NS106" s="4" t="s">
        <v>234</v>
      </c>
      <c r="NV106">
        <v>4</v>
      </c>
      <c r="OG106" t="s">
        <v>1682</v>
      </c>
      <c r="OH106" s="87" t="s">
        <v>2</v>
      </c>
      <c r="OI106">
        <v>2007</v>
      </c>
      <c r="OL106" t="s">
        <v>1656</v>
      </c>
      <c r="ON106" t="s">
        <v>1169</v>
      </c>
      <c r="OO106" s="58">
        <v>46105</v>
      </c>
    </row>
    <row r="107" spans="1:405" ht="15.75" thickBot="1">
      <c r="A107" t="s">
        <v>248</v>
      </c>
      <c r="B107" t="s">
        <v>1870</v>
      </c>
      <c r="C107" t="s">
        <v>34</v>
      </c>
      <c r="D107" s="100" t="s">
        <v>31</v>
      </c>
      <c r="E107" s="90" t="s">
        <v>1658</v>
      </c>
      <c r="F107" s="100" t="s">
        <v>31</v>
      </c>
      <c r="G107" s="87" t="s">
        <v>2</v>
      </c>
      <c r="H107" s="87" t="s">
        <v>30</v>
      </c>
      <c r="I107">
        <v>-0.41666666699999999</v>
      </c>
      <c r="J107">
        <v>34.200000000000003</v>
      </c>
      <c r="K107" s="87" t="s">
        <v>29</v>
      </c>
      <c r="AV107" t="s">
        <v>1661</v>
      </c>
      <c r="AW107">
        <v>52</v>
      </c>
      <c r="AX107" t="s">
        <v>234</v>
      </c>
      <c r="AY107">
        <v>1</v>
      </c>
      <c r="AZ107" t="s">
        <v>1667</v>
      </c>
      <c r="BA107">
        <v>2007</v>
      </c>
      <c r="BB107">
        <v>2008</v>
      </c>
      <c r="BD107" t="s">
        <v>238</v>
      </c>
      <c r="BE107" t="s">
        <v>1652</v>
      </c>
      <c r="BF107" t="s">
        <v>252</v>
      </c>
      <c r="BH107" t="s">
        <v>23</v>
      </c>
      <c r="BI107" t="s">
        <v>1662</v>
      </c>
      <c r="BJ107" s="87" t="s">
        <v>22</v>
      </c>
      <c r="BK107">
        <v>44444</v>
      </c>
      <c r="BL107" t="s">
        <v>56</v>
      </c>
      <c r="BM107" t="s">
        <v>1659</v>
      </c>
      <c r="BN107" t="s">
        <v>1660</v>
      </c>
      <c r="BO107" s="87" t="s">
        <v>22</v>
      </c>
      <c r="BP107">
        <v>44444</v>
      </c>
      <c r="EH107" s="9"/>
      <c r="EI107" s="9"/>
      <c r="EJ107" s="9"/>
      <c r="EK107" s="9"/>
      <c r="EL107" s="9"/>
      <c r="EM107" s="9"/>
      <c r="EN107" s="9"/>
      <c r="EO107" s="9"/>
      <c r="EP107" s="9"/>
      <c r="EQ107" s="9"/>
      <c r="ER107" s="9"/>
      <c r="ES107" s="9"/>
      <c r="ET107" s="9"/>
      <c r="EU107" s="9"/>
      <c r="EV107" s="9"/>
      <c r="EW107" s="9"/>
      <c r="EX107" s="9"/>
      <c r="EY107" s="9"/>
      <c r="EZ107" s="9"/>
      <c r="FA107" s="9"/>
      <c r="FB107" s="9"/>
      <c r="FC107" s="9"/>
      <c r="FD107" s="9"/>
      <c r="FE107" s="9"/>
      <c r="FF107" s="9"/>
      <c r="FG107" s="9"/>
      <c r="FH107" s="9"/>
      <c r="FI107" s="9"/>
      <c r="FJ107" s="9"/>
      <c r="FK107" s="9"/>
      <c r="FL107" s="9"/>
      <c r="FM107" s="9"/>
      <c r="FN107" s="9"/>
      <c r="FO107" s="9"/>
      <c r="FP107" s="9"/>
      <c r="FQ107" s="9"/>
      <c r="FR107" s="9"/>
      <c r="FS107" s="9"/>
      <c r="FT107" s="9"/>
      <c r="FU107" s="9"/>
      <c r="FV107" s="9"/>
      <c r="FW107" s="9"/>
      <c r="FX107" s="9"/>
      <c r="FY107" s="9"/>
      <c r="FZ107" s="9"/>
      <c r="GA107" s="9"/>
      <c r="GB107" s="9"/>
      <c r="GC107" s="9"/>
      <c r="GD107" s="9"/>
      <c r="GE107" s="9"/>
      <c r="GF107" s="9"/>
      <c r="GG107" s="9"/>
      <c r="GH107" s="9"/>
      <c r="GI107" s="9"/>
      <c r="GJ107" s="9"/>
      <c r="GK107" s="9"/>
      <c r="GL107" s="9"/>
      <c r="GM107" s="9"/>
      <c r="GN107" s="9"/>
      <c r="GO107" s="9"/>
      <c r="GP107" s="9"/>
      <c r="GQ107" s="9"/>
      <c r="GR107" s="9"/>
      <c r="GS107" s="9"/>
      <c r="GT107" s="9"/>
      <c r="GU107" s="9"/>
      <c r="GV107" s="9"/>
      <c r="GW107" s="9"/>
      <c r="GX107" s="9"/>
      <c r="GY107" s="9"/>
      <c r="GZ107" s="9"/>
      <c r="HA107" s="9"/>
      <c r="HB107" s="9"/>
      <c r="HC107" s="9"/>
      <c r="HD107" s="9"/>
      <c r="HE107" s="9"/>
      <c r="HF107" s="9"/>
      <c r="HG107" s="9"/>
      <c r="HH107" s="9"/>
      <c r="HI107" s="9"/>
      <c r="HJ107" s="9"/>
      <c r="HK107" s="9"/>
      <c r="HW107" s="58"/>
      <c r="IF107" t="s">
        <v>1652</v>
      </c>
      <c r="IG107" s="84" t="s">
        <v>1443</v>
      </c>
      <c r="IH107" t="s">
        <v>660</v>
      </c>
      <c r="II107" t="s">
        <v>661</v>
      </c>
      <c r="IJ107" t="s">
        <v>836</v>
      </c>
      <c r="IK107" t="s">
        <v>836</v>
      </c>
      <c r="IL107" s="87" t="s">
        <v>29</v>
      </c>
      <c r="JH107" t="s">
        <v>1663</v>
      </c>
      <c r="JI107" t="s">
        <v>15</v>
      </c>
      <c r="JJ107" t="s">
        <v>14</v>
      </c>
      <c r="JK107" s="8" t="s">
        <v>1664</v>
      </c>
      <c r="JN107" t="s">
        <v>13</v>
      </c>
      <c r="JO107">
        <v>40</v>
      </c>
      <c r="JP107">
        <v>50</v>
      </c>
      <c r="KD107" t="s">
        <v>12</v>
      </c>
      <c r="MR107" t="s">
        <v>1640</v>
      </c>
      <c r="MS107">
        <v>36</v>
      </c>
      <c r="MT107" t="s">
        <v>1644</v>
      </c>
      <c r="MV107" t="s">
        <v>168</v>
      </c>
      <c r="MW107" t="s">
        <v>1671</v>
      </c>
      <c r="NC107" t="s">
        <v>1678</v>
      </c>
      <c r="ND107" t="s">
        <v>1597</v>
      </c>
      <c r="NE107" t="s">
        <v>1670</v>
      </c>
      <c r="NF107" s="4" t="s">
        <v>1598</v>
      </c>
      <c r="NO107" s="78"/>
      <c r="NP107" t="s">
        <v>6</v>
      </c>
      <c r="NQ107">
        <v>1.1000000000000001</v>
      </c>
      <c r="NR107" s="4" t="s">
        <v>234</v>
      </c>
      <c r="NS107" s="4" t="s">
        <v>234</v>
      </c>
      <c r="NV107">
        <v>4</v>
      </c>
      <c r="OG107" t="s">
        <v>1682</v>
      </c>
      <c r="OH107" s="87" t="s">
        <v>2</v>
      </c>
      <c r="OI107">
        <v>2007</v>
      </c>
      <c r="OL107" t="s">
        <v>1656</v>
      </c>
      <c r="ON107" t="s">
        <v>1169</v>
      </c>
      <c r="OO107" s="58">
        <v>46105</v>
      </c>
    </row>
    <row r="108" spans="1:405" ht="15.75" thickBot="1">
      <c r="A108" t="s">
        <v>248</v>
      </c>
      <c r="B108" t="s">
        <v>1870</v>
      </c>
      <c r="C108" t="s">
        <v>34</v>
      </c>
      <c r="D108" s="100" t="s">
        <v>31</v>
      </c>
      <c r="E108" s="90" t="s">
        <v>1658</v>
      </c>
      <c r="F108" s="100" t="s">
        <v>31</v>
      </c>
      <c r="G108" s="87" t="s">
        <v>2</v>
      </c>
      <c r="H108" s="87" t="s">
        <v>30</v>
      </c>
      <c r="I108">
        <v>-0.41666666699999999</v>
      </c>
      <c r="J108">
        <v>34.200000000000003</v>
      </c>
      <c r="K108" s="87" t="s">
        <v>29</v>
      </c>
      <c r="AV108" t="s">
        <v>1661</v>
      </c>
      <c r="AW108">
        <v>53</v>
      </c>
      <c r="AX108" t="s">
        <v>234</v>
      </c>
      <c r="AY108">
        <v>1</v>
      </c>
      <c r="AZ108" t="s">
        <v>1667</v>
      </c>
      <c r="BA108">
        <v>2007</v>
      </c>
      <c r="BB108">
        <v>2008</v>
      </c>
      <c r="BD108" t="s">
        <v>238</v>
      </c>
      <c r="BE108" t="s">
        <v>1653</v>
      </c>
      <c r="BF108" t="s">
        <v>236</v>
      </c>
      <c r="BH108" t="s">
        <v>23</v>
      </c>
      <c r="BI108" t="s">
        <v>1662</v>
      </c>
      <c r="BJ108" s="87" t="s">
        <v>22</v>
      </c>
      <c r="BK108">
        <v>44444</v>
      </c>
      <c r="BL108" t="s">
        <v>56</v>
      </c>
      <c r="BM108" t="s">
        <v>1646</v>
      </c>
      <c r="BN108" t="s">
        <v>234</v>
      </c>
      <c r="BO108" t="s">
        <v>234</v>
      </c>
      <c r="BP108" t="s">
        <v>234</v>
      </c>
      <c r="EH108" s="9"/>
      <c r="EI108" s="9"/>
      <c r="EJ108" s="9"/>
      <c r="EK108" s="9"/>
      <c r="EL108" s="9"/>
      <c r="EM108" s="9"/>
      <c r="EN108" s="9"/>
      <c r="EO108" s="9"/>
      <c r="EP108" s="9"/>
      <c r="EQ108" s="9"/>
      <c r="ER108" s="9"/>
      <c r="ES108" s="9"/>
      <c r="ET108" s="9"/>
      <c r="EU108" s="9"/>
      <c r="EV108" s="9"/>
      <c r="EW108" s="9"/>
      <c r="EX108" s="9"/>
      <c r="EY108" s="9"/>
      <c r="EZ108" s="9"/>
      <c r="FA108" s="9"/>
      <c r="FB108" s="9"/>
      <c r="FC108" s="9"/>
      <c r="FD108" s="9"/>
      <c r="FE108" s="9"/>
      <c r="FF108" s="9"/>
      <c r="FG108" s="9"/>
      <c r="FH108" s="9"/>
      <c r="FI108" s="9"/>
      <c r="FJ108" s="9"/>
      <c r="FK108" s="9"/>
      <c r="FL108" s="9"/>
      <c r="FM108" s="9"/>
      <c r="FN108" s="9"/>
      <c r="FO108" s="9"/>
      <c r="FP108" s="9"/>
      <c r="FQ108" s="9"/>
      <c r="FR108" s="9"/>
      <c r="FS108" s="9"/>
      <c r="FT108" s="9"/>
      <c r="FU108" s="9"/>
      <c r="FV108" s="9"/>
      <c r="FW108" s="9"/>
      <c r="FX108" s="9"/>
      <c r="FY108" s="9"/>
      <c r="FZ108" s="9"/>
      <c r="GA108" s="9"/>
      <c r="GB108" s="9"/>
      <c r="GC108" s="9"/>
      <c r="GD108" s="9"/>
      <c r="GE108" s="9"/>
      <c r="GF108" s="9"/>
      <c r="GG108" s="9"/>
      <c r="GH108" s="9"/>
      <c r="GI108" s="9"/>
      <c r="GJ108" s="9"/>
      <c r="GK108" s="9"/>
      <c r="GL108" s="9"/>
      <c r="GM108" s="9"/>
      <c r="GN108" s="9"/>
      <c r="GO108" s="9"/>
      <c r="GP108" s="9"/>
      <c r="GQ108" s="9"/>
      <c r="GR108" s="9"/>
      <c r="GS108" s="9"/>
      <c r="GT108" s="9"/>
      <c r="GU108" s="9"/>
      <c r="GV108" s="9"/>
      <c r="GW108" s="9"/>
      <c r="GX108" s="9"/>
      <c r="GY108" s="9"/>
      <c r="GZ108" s="9"/>
      <c r="HA108" s="9"/>
      <c r="HB108" s="9"/>
      <c r="HC108" s="9"/>
      <c r="HD108" s="9"/>
      <c r="HE108" s="9"/>
      <c r="HF108" s="9"/>
      <c r="HG108" s="9"/>
      <c r="HH108" s="9"/>
      <c r="HI108" s="9"/>
      <c r="HJ108" s="9"/>
      <c r="HK108" s="9"/>
      <c r="HW108" s="58"/>
      <c r="IF108" t="s">
        <v>1653</v>
      </c>
      <c r="IG108" s="84" t="s">
        <v>1665</v>
      </c>
      <c r="IH108" t="s">
        <v>660</v>
      </c>
      <c r="II108" t="s">
        <v>661</v>
      </c>
      <c r="IJ108" t="s">
        <v>836</v>
      </c>
      <c r="IK108" t="s">
        <v>836</v>
      </c>
      <c r="IL108" s="87" t="s">
        <v>29</v>
      </c>
      <c r="JH108" t="s">
        <v>1663</v>
      </c>
      <c r="JI108" t="s">
        <v>15</v>
      </c>
      <c r="JJ108" t="s">
        <v>14</v>
      </c>
      <c r="JK108" s="8" t="s">
        <v>1664</v>
      </c>
      <c r="JN108" t="s">
        <v>13</v>
      </c>
      <c r="JO108">
        <v>40</v>
      </c>
      <c r="JP108">
        <v>50</v>
      </c>
      <c r="KD108" t="s">
        <v>12</v>
      </c>
      <c r="MR108" t="s">
        <v>1640</v>
      </c>
      <c r="MS108">
        <v>36</v>
      </c>
      <c r="MT108" t="s">
        <v>1647</v>
      </c>
      <c r="MV108" t="s">
        <v>168</v>
      </c>
      <c r="MW108" t="s">
        <v>1673</v>
      </c>
      <c r="MX108" t="s">
        <v>1674</v>
      </c>
      <c r="NC108" t="s">
        <v>1678</v>
      </c>
      <c r="ND108" t="s">
        <v>1597</v>
      </c>
      <c r="NE108" t="s">
        <v>1670</v>
      </c>
      <c r="NF108" s="4" t="s">
        <v>1598</v>
      </c>
      <c r="NO108" s="78"/>
      <c r="NP108" t="s">
        <v>6</v>
      </c>
      <c r="NQ108">
        <v>2.5</v>
      </c>
      <c r="NR108" s="4" t="s">
        <v>234</v>
      </c>
      <c r="NS108" s="4" t="s">
        <v>234</v>
      </c>
      <c r="NV108">
        <v>4</v>
      </c>
      <c r="OG108" t="s">
        <v>1682</v>
      </c>
      <c r="OH108" s="87" t="s">
        <v>2</v>
      </c>
      <c r="OI108">
        <v>2007</v>
      </c>
      <c r="OL108" t="s">
        <v>1656</v>
      </c>
      <c r="ON108" t="s">
        <v>1169</v>
      </c>
      <c r="OO108" s="58">
        <v>46105</v>
      </c>
    </row>
    <row r="109" spans="1:405" ht="15.75" thickBot="1">
      <c r="A109" t="s">
        <v>248</v>
      </c>
      <c r="B109" t="s">
        <v>1870</v>
      </c>
      <c r="C109" t="s">
        <v>34</v>
      </c>
      <c r="D109" s="100" t="s">
        <v>31</v>
      </c>
      <c r="E109" s="90" t="s">
        <v>1658</v>
      </c>
      <c r="F109" s="100" t="s">
        <v>31</v>
      </c>
      <c r="G109" s="87" t="s">
        <v>2</v>
      </c>
      <c r="H109" s="87" t="s">
        <v>30</v>
      </c>
      <c r="I109">
        <v>-0.41666666699999999</v>
      </c>
      <c r="J109">
        <v>34.200000000000003</v>
      </c>
      <c r="K109" s="87" t="s">
        <v>29</v>
      </c>
      <c r="AV109" t="s">
        <v>1661</v>
      </c>
      <c r="AW109">
        <v>54</v>
      </c>
      <c r="AX109" t="s">
        <v>234</v>
      </c>
      <c r="AY109">
        <v>1</v>
      </c>
      <c r="AZ109" t="s">
        <v>1667</v>
      </c>
      <c r="BA109">
        <v>2007</v>
      </c>
      <c r="BB109">
        <v>2008</v>
      </c>
      <c r="BD109" t="s">
        <v>238</v>
      </c>
      <c r="BE109" t="s">
        <v>1654</v>
      </c>
      <c r="BF109" t="s">
        <v>284</v>
      </c>
      <c r="BH109" t="s">
        <v>23</v>
      </c>
      <c r="BI109" t="s">
        <v>1662</v>
      </c>
      <c r="BJ109" s="87" t="s">
        <v>22</v>
      </c>
      <c r="BK109">
        <v>44444</v>
      </c>
      <c r="BL109" t="s">
        <v>56</v>
      </c>
      <c r="BM109" t="s">
        <v>1659</v>
      </c>
      <c r="BN109" t="s">
        <v>1660</v>
      </c>
      <c r="BO109" s="87" t="s">
        <v>22</v>
      </c>
      <c r="BP109">
        <v>44444</v>
      </c>
      <c r="BQ109" t="s">
        <v>56</v>
      </c>
      <c r="BR109" t="s">
        <v>1646</v>
      </c>
      <c r="BS109" t="s">
        <v>234</v>
      </c>
      <c r="BT109" t="s">
        <v>234</v>
      </c>
      <c r="BU109" t="s">
        <v>234</v>
      </c>
      <c r="EH109" s="9"/>
      <c r="EI109" s="9"/>
      <c r="EJ109" s="9"/>
      <c r="EK109" s="9"/>
      <c r="EL109" s="9"/>
      <c r="EM109" s="9"/>
      <c r="EN109" s="9"/>
      <c r="EO109" s="9"/>
      <c r="EP109" s="9"/>
      <c r="EQ109" s="9"/>
      <c r="ER109" s="9"/>
      <c r="ES109" s="9"/>
      <c r="ET109" s="9"/>
      <c r="EU109" s="9"/>
      <c r="EV109" s="9"/>
      <c r="EW109" s="9"/>
      <c r="EX109" s="9"/>
      <c r="EY109" s="9"/>
      <c r="EZ109" s="9"/>
      <c r="FA109" s="9"/>
      <c r="FB109" s="9"/>
      <c r="FC109" s="9"/>
      <c r="FD109" s="9"/>
      <c r="FE109" s="9"/>
      <c r="FF109" s="9"/>
      <c r="FG109" s="9"/>
      <c r="FH109" s="9"/>
      <c r="FI109" s="9"/>
      <c r="FJ109" s="9"/>
      <c r="FK109" s="9"/>
      <c r="FL109" s="9"/>
      <c r="FM109" s="9"/>
      <c r="FN109" s="9"/>
      <c r="FO109" s="9"/>
      <c r="FP109" s="9"/>
      <c r="FQ109" s="9"/>
      <c r="FR109" s="9"/>
      <c r="FS109" s="9"/>
      <c r="FT109" s="9"/>
      <c r="FU109" s="9"/>
      <c r="FV109" s="9"/>
      <c r="FW109" s="9"/>
      <c r="FX109" s="9"/>
      <c r="FY109" s="9"/>
      <c r="FZ109" s="9"/>
      <c r="GA109" s="9"/>
      <c r="GB109" s="9"/>
      <c r="GC109" s="9"/>
      <c r="GD109" s="9"/>
      <c r="GE109" s="9"/>
      <c r="GF109" s="9"/>
      <c r="GG109" s="9"/>
      <c r="GH109" s="9"/>
      <c r="GI109" s="9"/>
      <c r="GJ109" s="9"/>
      <c r="GK109" s="9"/>
      <c r="GL109" s="9"/>
      <c r="GM109" s="9"/>
      <c r="GN109" s="9"/>
      <c r="GO109" s="9"/>
      <c r="GP109" s="9"/>
      <c r="GQ109" s="9"/>
      <c r="GR109" s="9"/>
      <c r="GS109" s="9"/>
      <c r="GT109" s="9"/>
      <c r="GU109" s="9"/>
      <c r="GV109" s="9"/>
      <c r="GW109" s="9"/>
      <c r="GX109" s="9"/>
      <c r="GY109" s="9"/>
      <c r="GZ109" s="9"/>
      <c r="HA109" s="9"/>
      <c r="HB109" s="9"/>
      <c r="HC109" s="9"/>
      <c r="HD109" s="9"/>
      <c r="HE109" s="9"/>
      <c r="HF109" s="9"/>
      <c r="HG109" s="9"/>
      <c r="HH109" s="9"/>
      <c r="HI109" s="9"/>
      <c r="HJ109" s="9"/>
      <c r="HK109" s="9"/>
      <c r="HW109" s="58"/>
      <c r="IF109" t="s">
        <v>1654</v>
      </c>
      <c r="IG109" s="84" t="s">
        <v>1665</v>
      </c>
      <c r="IH109" t="s">
        <v>660</v>
      </c>
      <c r="II109" t="s">
        <v>661</v>
      </c>
      <c r="IJ109" t="s">
        <v>836</v>
      </c>
      <c r="IK109" t="s">
        <v>836</v>
      </c>
      <c r="IL109" s="87" t="s">
        <v>29</v>
      </c>
      <c r="JH109" t="s">
        <v>1663</v>
      </c>
      <c r="JI109" t="s">
        <v>15</v>
      </c>
      <c r="JJ109" t="s">
        <v>14</v>
      </c>
      <c r="JK109" s="8" t="s">
        <v>1664</v>
      </c>
      <c r="JN109" t="s">
        <v>13</v>
      </c>
      <c r="JO109">
        <v>40</v>
      </c>
      <c r="JP109">
        <v>50</v>
      </c>
      <c r="KD109" t="s">
        <v>12</v>
      </c>
      <c r="MR109" t="s">
        <v>1640</v>
      </c>
      <c r="MS109">
        <v>36</v>
      </c>
      <c r="MT109" t="s">
        <v>1649</v>
      </c>
      <c r="MV109" t="s">
        <v>168</v>
      </c>
      <c r="MW109" t="s">
        <v>1671</v>
      </c>
      <c r="MX109" t="s">
        <v>1673</v>
      </c>
      <c r="MY109" t="s">
        <v>1674</v>
      </c>
      <c r="NC109" t="s">
        <v>1678</v>
      </c>
      <c r="ND109" t="s">
        <v>1597</v>
      </c>
      <c r="NE109" t="s">
        <v>1670</v>
      </c>
      <c r="NF109" s="4" t="s">
        <v>1598</v>
      </c>
      <c r="NO109" s="78"/>
      <c r="NP109" t="s">
        <v>6</v>
      </c>
      <c r="NQ109">
        <v>2.2999999999999998</v>
      </c>
      <c r="NR109" s="4" t="s">
        <v>234</v>
      </c>
      <c r="NS109" s="4" t="s">
        <v>234</v>
      </c>
      <c r="NV109">
        <v>4</v>
      </c>
      <c r="OG109" t="s">
        <v>1682</v>
      </c>
      <c r="OH109" s="87" t="s">
        <v>2</v>
      </c>
      <c r="OI109">
        <v>2007</v>
      </c>
      <c r="OL109" t="s">
        <v>1656</v>
      </c>
      <c r="ON109" t="s">
        <v>1169</v>
      </c>
      <c r="OO109" s="58">
        <v>46105</v>
      </c>
    </row>
    <row r="110" spans="1:405" ht="15.75" thickBot="1">
      <c r="A110" t="s">
        <v>248</v>
      </c>
      <c r="B110" t="s">
        <v>1870</v>
      </c>
      <c r="C110" t="s">
        <v>34</v>
      </c>
      <c r="D110" s="100" t="s">
        <v>31</v>
      </c>
      <c r="E110" s="90" t="s">
        <v>1658</v>
      </c>
      <c r="F110" s="100" t="s">
        <v>31</v>
      </c>
      <c r="G110" s="87" t="s">
        <v>2</v>
      </c>
      <c r="H110" s="87" t="s">
        <v>30</v>
      </c>
      <c r="I110">
        <v>-0.41666666699999999</v>
      </c>
      <c r="J110">
        <v>34.200000000000003</v>
      </c>
      <c r="K110" s="87" t="s">
        <v>29</v>
      </c>
      <c r="AV110" t="s">
        <v>1661</v>
      </c>
      <c r="AW110">
        <v>55</v>
      </c>
      <c r="AX110" t="s">
        <v>234</v>
      </c>
      <c r="AY110">
        <v>1</v>
      </c>
      <c r="AZ110" t="s">
        <v>1667</v>
      </c>
      <c r="BA110">
        <v>2007</v>
      </c>
      <c r="BB110">
        <v>2008</v>
      </c>
      <c r="BD110" t="s">
        <v>238</v>
      </c>
      <c r="BE110" t="s">
        <v>1655</v>
      </c>
      <c r="BF110" t="s">
        <v>277</v>
      </c>
      <c r="BH110" t="s">
        <v>23</v>
      </c>
      <c r="BI110" t="s">
        <v>1662</v>
      </c>
      <c r="BJ110" s="87" t="s">
        <v>22</v>
      </c>
      <c r="BK110">
        <v>44444</v>
      </c>
      <c r="BL110" t="s">
        <v>56</v>
      </c>
      <c r="BM110" t="s">
        <v>1659</v>
      </c>
      <c r="BN110" t="s">
        <v>1660</v>
      </c>
      <c r="BO110" s="87" t="s">
        <v>22</v>
      </c>
      <c r="BP110">
        <v>44444</v>
      </c>
      <c r="BQ110" t="s">
        <v>56</v>
      </c>
      <c r="BR110" t="s">
        <v>1646</v>
      </c>
      <c r="BS110" t="s">
        <v>234</v>
      </c>
      <c r="BT110" t="s">
        <v>234</v>
      </c>
      <c r="BU110" t="s">
        <v>234</v>
      </c>
      <c r="EH110" s="9"/>
      <c r="EI110" s="9"/>
      <c r="EJ110" s="9"/>
      <c r="EK110" s="9"/>
      <c r="EL110" s="9"/>
      <c r="EM110" s="9"/>
      <c r="EN110" s="9"/>
      <c r="EO110" s="9"/>
      <c r="EP110" s="9"/>
      <c r="EQ110" s="9"/>
      <c r="ER110" s="9"/>
      <c r="ES110" s="9"/>
      <c r="ET110" s="9"/>
      <c r="EU110" s="9"/>
      <c r="EV110" s="9"/>
      <c r="EW110" s="9"/>
      <c r="EX110" s="9"/>
      <c r="EY110" s="9"/>
      <c r="EZ110" s="9"/>
      <c r="FA110" s="9"/>
      <c r="FB110" s="9"/>
      <c r="FC110" s="9"/>
      <c r="FD110" s="9"/>
      <c r="FE110" s="9"/>
      <c r="FF110" s="9"/>
      <c r="FG110" s="9"/>
      <c r="FH110" s="9"/>
      <c r="FI110" s="9"/>
      <c r="FJ110" s="9"/>
      <c r="FK110" s="9"/>
      <c r="FL110" s="9"/>
      <c r="FM110" s="9"/>
      <c r="FN110" s="9"/>
      <c r="FO110" s="9"/>
      <c r="FP110" s="9"/>
      <c r="FQ110" s="9"/>
      <c r="FR110" s="9"/>
      <c r="FS110" s="9"/>
      <c r="FT110" s="9"/>
      <c r="FU110" s="9"/>
      <c r="FV110" s="9"/>
      <c r="FW110" s="9"/>
      <c r="FX110" s="9"/>
      <c r="FY110" s="9"/>
      <c r="FZ110" s="9"/>
      <c r="GA110" s="9"/>
      <c r="GB110" s="9"/>
      <c r="GC110" s="9"/>
      <c r="GD110" s="9"/>
      <c r="GE110" s="9"/>
      <c r="GF110" s="9"/>
      <c r="GG110" s="9"/>
      <c r="GH110" s="9"/>
      <c r="GI110" s="9"/>
      <c r="GJ110" s="9"/>
      <c r="GK110" s="9"/>
      <c r="GL110" s="9"/>
      <c r="GM110" s="9"/>
      <c r="GN110" s="9"/>
      <c r="GO110" s="9"/>
      <c r="GP110" s="9"/>
      <c r="GQ110" s="9"/>
      <c r="GR110" s="9"/>
      <c r="GS110" s="9"/>
      <c r="GT110" s="9"/>
      <c r="GU110" s="9"/>
      <c r="GV110" s="9"/>
      <c r="GW110" s="9"/>
      <c r="GX110" s="9"/>
      <c r="GY110" s="9"/>
      <c r="GZ110" s="9"/>
      <c r="HA110" s="9"/>
      <c r="HB110" s="9"/>
      <c r="HC110" s="9"/>
      <c r="HD110" s="9"/>
      <c r="HE110" s="9"/>
      <c r="HF110" s="9"/>
      <c r="HG110" s="9"/>
      <c r="HH110" s="9"/>
      <c r="HI110" s="9"/>
      <c r="HJ110" s="9"/>
      <c r="HK110" s="9"/>
      <c r="HW110" s="58"/>
      <c r="IF110" t="s">
        <v>1655</v>
      </c>
      <c r="IG110" s="84" t="s">
        <v>1665</v>
      </c>
      <c r="IH110" t="s">
        <v>660</v>
      </c>
      <c r="II110" t="s">
        <v>661</v>
      </c>
      <c r="IJ110" t="s">
        <v>836</v>
      </c>
      <c r="IK110" t="s">
        <v>836</v>
      </c>
      <c r="IL110" s="87" t="s">
        <v>29</v>
      </c>
      <c r="JH110" t="s">
        <v>1663</v>
      </c>
      <c r="JI110" t="s">
        <v>15</v>
      </c>
      <c r="JJ110" t="s">
        <v>14</v>
      </c>
      <c r="JK110" s="8" t="s">
        <v>1664</v>
      </c>
      <c r="JN110" t="s">
        <v>13</v>
      </c>
      <c r="JO110">
        <v>40</v>
      </c>
      <c r="JP110">
        <v>50</v>
      </c>
      <c r="KD110" t="s">
        <v>12</v>
      </c>
      <c r="MR110" t="s">
        <v>1640</v>
      </c>
      <c r="MS110">
        <v>36</v>
      </c>
      <c r="MT110" t="s">
        <v>1649</v>
      </c>
      <c r="MV110" t="s">
        <v>168</v>
      </c>
      <c r="MW110" t="s">
        <v>1671</v>
      </c>
      <c r="MX110" t="s">
        <v>1673</v>
      </c>
      <c r="MY110" t="s">
        <v>1674</v>
      </c>
      <c r="NC110" t="s">
        <v>1678</v>
      </c>
      <c r="ND110" t="s">
        <v>1597</v>
      </c>
      <c r="NE110" t="s">
        <v>1670</v>
      </c>
      <c r="NF110" s="4" t="s">
        <v>1598</v>
      </c>
      <c r="NO110" s="78"/>
      <c r="NP110" t="s">
        <v>6</v>
      </c>
      <c r="NQ110">
        <v>2.2999999999999998</v>
      </c>
      <c r="NR110" s="4" t="s">
        <v>234</v>
      </c>
      <c r="NS110" s="4" t="s">
        <v>234</v>
      </c>
      <c r="NV110">
        <v>4</v>
      </c>
      <c r="OG110" t="s">
        <v>1682</v>
      </c>
      <c r="OH110" s="87" t="s">
        <v>2</v>
      </c>
      <c r="OI110">
        <v>2007</v>
      </c>
      <c r="OL110" t="s">
        <v>1656</v>
      </c>
      <c r="ON110" t="s">
        <v>1169</v>
      </c>
      <c r="OO110" s="58">
        <v>46105</v>
      </c>
    </row>
    <row r="111" spans="1:405" ht="15.75" thickBot="1">
      <c r="A111" t="s">
        <v>248</v>
      </c>
      <c r="B111" t="s">
        <v>1870</v>
      </c>
      <c r="C111" t="s">
        <v>34</v>
      </c>
      <c r="D111" s="100" t="s">
        <v>31</v>
      </c>
      <c r="E111" s="90" t="s">
        <v>1658</v>
      </c>
      <c r="F111" s="100" t="s">
        <v>31</v>
      </c>
      <c r="G111" s="87" t="s">
        <v>2</v>
      </c>
      <c r="H111" s="87" t="s">
        <v>30</v>
      </c>
      <c r="I111">
        <v>-0.41666666699999999</v>
      </c>
      <c r="J111">
        <v>34.200000000000003</v>
      </c>
      <c r="K111" s="87" t="s">
        <v>29</v>
      </c>
      <c r="AV111" t="s">
        <v>1661</v>
      </c>
      <c r="AW111">
        <v>36</v>
      </c>
      <c r="AX111" t="s">
        <v>234</v>
      </c>
      <c r="AY111">
        <v>1</v>
      </c>
      <c r="AZ111" t="s">
        <v>1667</v>
      </c>
      <c r="BA111">
        <v>2007</v>
      </c>
      <c r="BB111">
        <v>2008</v>
      </c>
      <c r="BD111" t="s">
        <v>19</v>
      </c>
      <c r="BE111" t="s">
        <v>1639</v>
      </c>
      <c r="BF111" t="s">
        <v>39</v>
      </c>
      <c r="BH111" t="s">
        <v>23</v>
      </c>
      <c r="BI111" t="s">
        <v>1662</v>
      </c>
      <c r="BJ111" s="87" t="s">
        <v>22</v>
      </c>
      <c r="BK111">
        <v>44444</v>
      </c>
      <c r="IF111" t="s">
        <v>1639</v>
      </c>
      <c r="IG111" t="s">
        <v>19</v>
      </c>
      <c r="JH111" t="s">
        <v>1663</v>
      </c>
      <c r="JI111" t="s">
        <v>15</v>
      </c>
      <c r="JJ111" t="s">
        <v>14</v>
      </c>
      <c r="JK111" s="8" t="s">
        <v>1664</v>
      </c>
      <c r="JN111" t="s">
        <v>13</v>
      </c>
      <c r="JO111">
        <v>40</v>
      </c>
      <c r="JP111">
        <v>50</v>
      </c>
      <c r="KD111" t="s">
        <v>12</v>
      </c>
      <c r="MR111" t="s">
        <v>1640</v>
      </c>
      <c r="MS111">
        <v>36</v>
      </c>
      <c r="MT111" t="s">
        <v>1641</v>
      </c>
      <c r="MV111" t="s">
        <v>168</v>
      </c>
      <c r="ND111" t="s">
        <v>1686</v>
      </c>
      <c r="NF111" s="4" t="s">
        <v>8</v>
      </c>
      <c r="NG111" t="s">
        <v>7</v>
      </c>
      <c r="NO111" s="78" t="s">
        <v>735</v>
      </c>
      <c r="NP111" t="s">
        <v>6</v>
      </c>
      <c r="NQ111">
        <v>2.8</v>
      </c>
      <c r="NR111" s="4" t="s">
        <v>4</v>
      </c>
      <c r="NS111" s="4">
        <v>0.1</v>
      </c>
      <c r="NV111">
        <v>4</v>
      </c>
      <c r="OG111" t="s">
        <v>1681</v>
      </c>
      <c r="OH111" s="87" t="s">
        <v>2</v>
      </c>
      <c r="OI111">
        <v>2007</v>
      </c>
      <c r="OL111" t="s">
        <v>1656</v>
      </c>
      <c r="ON111" t="s">
        <v>1169</v>
      </c>
      <c r="OO111" s="58">
        <v>46105</v>
      </c>
    </row>
    <row r="112" spans="1:405" ht="15.75" thickBot="1">
      <c r="A112" t="s">
        <v>248</v>
      </c>
      <c r="B112" t="s">
        <v>1870</v>
      </c>
      <c r="C112" t="s">
        <v>34</v>
      </c>
      <c r="D112" s="100" t="s">
        <v>31</v>
      </c>
      <c r="E112" s="90" t="s">
        <v>1658</v>
      </c>
      <c r="F112" s="100" t="s">
        <v>31</v>
      </c>
      <c r="G112" s="87" t="s">
        <v>2</v>
      </c>
      <c r="H112" s="87" t="s">
        <v>30</v>
      </c>
      <c r="I112">
        <v>-0.41666666699999999</v>
      </c>
      <c r="J112">
        <v>34.200000000000003</v>
      </c>
      <c r="K112" s="87" t="s">
        <v>29</v>
      </c>
      <c r="AV112" t="s">
        <v>1661</v>
      </c>
      <c r="AW112">
        <v>37</v>
      </c>
      <c r="AX112" t="s">
        <v>234</v>
      </c>
      <c r="AY112">
        <v>1</v>
      </c>
      <c r="AZ112" t="s">
        <v>1667</v>
      </c>
      <c r="BA112">
        <v>2007</v>
      </c>
      <c r="BB112">
        <v>2008</v>
      </c>
      <c r="BD112" t="s">
        <v>238</v>
      </c>
      <c r="BE112" t="s">
        <v>1643</v>
      </c>
      <c r="BF112" t="s">
        <v>64</v>
      </c>
      <c r="BH112" t="s">
        <v>23</v>
      </c>
      <c r="BI112" t="s">
        <v>1662</v>
      </c>
      <c r="BJ112" s="87" t="s">
        <v>22</v>
      </c>
      <c r="BK112">
        <v>44444</v>
      </c>
      <c r="BL112" t="s">
        <v>56</v>
      </c>
      <c r="BM112" t="s">
        <v>1659</v>
      </c>
      <c r="BN112" t="s">
        <v>1660</v>
      </c>
      <c r="BO112" s="87" t="s">
        <v>22</v>
      </c>
      <c r="BP112">
        <v>44444</v>
      </c>
      <c r="IF112" t="s">
        <v>1643</v>
      </c>
      <c r="IG112" s="84" t="s">
        <v>1443</v>
      </c>
      <c r="IH112" t="s">
        <v>660</v>
      </c>
      <c r="II112" t="s">
        <v>661</v>
      </c>
      <c r="IJ112" t="s">
        <v>836</v>
      </c>
      <c r="IK112" t="s">
        <v>836</v>
      </c>
      <c r="IL112" s="87" t="s">
        <v>29</v>
      </c>
      <c r="JH112" t="s">
        <v>1663</v>
      </c>
      <c r="JI112" t="s">
        <v>15</v>
      </c>
      <c r="JJ112" t="s">
        <v>14</v>
      </c>
      <c r="JK112" s="8" t="s">
        <v>1664</v>
      </c>
      <c r="JN112" t="s">
        <v>13</v>
      </c>
      <c r="JO112">
        <v>40</v>
      </c>
      <c r="JP112">
        <v>50</v>
      </c>
      <c r="KD112" t="s">
        <v>12</v>
      </c>
      <c r="MR112" t="s">
        <v>1640</v>
      </c>
      <c r="MS112">
        <v>36</v>
      </c>
      <c r="MT112" t="s">
        <v>1644</v>
      </c>
      <c r="MV112" t="s">
        <v>168</v>
      </c>
      <c r="ND112" t="s">
        <v>1686</v>
      </c>
      <c r="NF112" s="4" t="s">
        <v>8</v>
      </c>
      <c r="NG112" t="s">
        <v>7</v>
      </c>
      <c r="NO112" s="78"/>
      <c r="NP112" t="s">
        <v>6</v>
      </c>
      <c r="NQ112">
        <v>3.1</v>
      </c>
      <c r="NR112" s="4" t="s">
        <v>4</v>
      </c>
      <c r="NS112" s="4">
        <v>0.2</v>
      </c>
      <c r="NV112">
        <v>4</v>
      </c>
      <c r="OG112" t="s">
        <v>1681</v>
      </c>
      <c r="OH112" s="87" t="s">
        <v>2</v>
      </c>
      <c r="OI112">
        <v>2007</v>
      </c>
      <c r="OL112" t="s">
        <v>1656</v>
      </c>
      <c r="ON112" t="s">
        <v>1169</v>
      </c>
      <c r="OO112" s="58">
        <v>46105</v>
      </c>
    </row>
    <row r="113" spans="1:405" ht="15.75" thickBot="1">
      <c r="A113" t="s">
        <v>248</v>
      </c>
      <c r="B113" t="s">
        <v>1870</v>
      </c>
      <c r="C113" t="s">
        <v>34</v>
      </c>
      <c r="D113" s="100" t="s">
        <v>31</v>
      </c>
      <c r="E113" s="90" t="s">
        <v>1658</v>
      </c>
      <c r="F113" s="100" t="s">
        <v>31</v>
      </c>
      <c r="G113" s="87" t="s">
        <v>2</v>
      </c>
      <c r="H113" s="87" t="s">
        <v>30</v>
      </c>
      <c r="I113">
        <v>-0.41666666699999999</v>
      </c>
      <c r="J113">
        <v>34.200000000000003</v>
      </c>
      <c r="K113" s="87" t="s">
        <v>29</v>
      </c>
      <c r="AV113" t="s">
        <v>1661</v>
      </c>
      <c r="AW113">
        <v>38</v>
      </c>
      <c r="AX113" t="s">
        <v>234</v>
      </c>
      <c r="AY113">
        <v>1</v>
      </c>
      <c r="AZ113" t="s">
        <v>1667</v>
      </c>
      <c r="BA113">
        <v>2007</v>
      </c>
      <c r="BB113">
        <v>2008</v>
      </c>
      <c r="BD113" t="s">
        <v>238</v>
      </c>
      <c r="BE113" t="s">
        <v>1645</v>
      </c>
      <c r="BF113" t="s">
        <v>57</v>
      </c>
      <c r="BH113" t="s">
        <v>23</v>
      </c>
      <c r="BI113" t="s">
        <v>1662</v>
      </c>
      <c r="BJ113" s="87" t="s">
        <v>22</v>
      </c>
      <c r="BK113">
        <v>44444</v>
      </c>
      <c r="BL113" t="s">
        <v>56</v>
      </c>
      <c r="BM113" t="s">
        <v>1646</v>
      </c>
      <c r="BN113" t="s">
        <v>234</v>
      </c>
      <c r="BO113" t="s">
        <v>234</v>
      </c>
      <c r="BP113" t="s">
        <v>234</v>
      </c>
      <c r="IF113" t="s">
        <v>1645</v>
      </c>
      <c r="IG113" s="84" t="s">
        <v>1665</v>
      </c>
      <c r="IH113" t="s">
        <v>660</v>
      </c>
      <c r="II113" t="s">
        <v>661</v>
      </c>
      <c r="IJ113" t="s">
        <v>836</v>
      </c>
      <c r="IK113" t="s">
        <v>836</v>
      </c>
      <c r="IL113" s="87" t="s">
        <v>29</v>
      </c>
      <c r="JH113" t="s">
        <v>1663</v>
      </c>
      <c r="JI113" t="s">
        <v>15</v>
      </c>
      <c r="JJ113" t="s">
        <v>14</v>
      </c>
      <c r="JK113" s="8" t="s">
        <v>1664</v>
      </c>
      <c r="JN113" t="s">
        <v>13</v>
      </c>
      <c r="JO113">
        <v>40</v>
      </c>
      <c r="JP113">
        <v>50</v>
      </c>
      <c r="KD113" t="s">
        <v>12</v>
      </c>
      <c r="MR113" t="s">
        <v>1640</v>
      </c>
      <c r="MS113">
        <v>36</v>
      </c>
      <c r="MT113" t="s">
        <v>1647</v>
      </c>
      <c r="MV113" t="s">
        <v>168</v>
      </c>
      <c r="ND113" t="s">
        <v>1686</v>
      </c>
      <c r="NF113" s="4" t="s">
        <v>8</v>
      </c>
      <c r="NG113" t="s">
        <v>7</v>
      </c>
      <c r="NO113" s="78"/>
      <c r="NP113" t="s">
        <v>6</v>
      </c>
      <c r="NQ113">
        <v>4.9000000000000004</v>
      </c>
      <c r="NR113" s="4" t="s">
        <v>4</v>
      </c>
      <c r="NS113" s="4">
        <v>0.2</v>
      </c>
      <c r="NV113">
        <v>4</v>
      </c>
      <c r="OG113" t="s">
        <v>1681</v>
      </c>
      <c r="OH113" s="87" t="s">
        <v>2</v>
      </c>
      <c r="OI113">
        <v>2007</v>
      </c>
      <c r="OL113" t="s">
        <v>1656</v>
      </c>
      <c r="ON113" t="s">
        <v>1169</v>
      </c>
      <c r="OO113" s="58">
        <v>46105</v>
      </c>
    </row>
    <row r="114" spans="1:405" ht="15.75" thickBot="1">
      <c r="A114" t="s">
        <v>248</v>
      </c>
      <c r="B114" t="s">
        <v>1870</v>
      </c>
      <c r="C114" t="s">
        <v>34</v>
      </c>
      <c r="D114" s="100" t="s">
        <v>31</v>
      </c>
      <c r="E114" s="90" t="s">
        <v>1658</v>
      </c>
      <c r="F114" s="100" t="s">
        <v>31</v>
      </c>
      <c r="G114" s="87" t="s">
        <v>2</v>
      </c>
      <c r="H114" s="87" t="s">
        <v>30</v>
      </c>
      <c r="I114">
        <v>-0.41666666699999999</v>
      </c>
      <c r="J114">
        <v>34.200000000000003</v>
      </c>
      <c r="K114" s="87" t="s">
        <v>29</v>
      </c>
      <c r="AV114" t="s">
        <v>1661</v>
      </c>
      <c r="AW114">
        <v>39</v>
      </c>
      <c r="AX114" t="s">
        <v>234</v>
      </c>
      <c r="AY114">
        <v>1</v>
      </c>
      <c r="AZ114" t="s">
        <v>1667</v>
      </c>
      <c r="BA114">
        <v>2007</v>
      </c>
      <c r="BB114">
        <v>2008</v>
      </c>
      <c r="BD114" t="s">
        <v>238</v>
      </c>
      <c r="BE114" t="s">
        <v>1648</v>
      </c>
      <c r="BF114" t="s">
        <v>48</v>
      </c>
      <c r="BH114" t="s">
        <v>23</v>
      </c>
      <c r="BI114" t="s">
        <v>1662</v>
      </c>
      <c r="BJ114" s="87" t="s">
        <v>22</v>
      </c>
      <c r="BK114">
        <v>44444</v>
      </c>
      <c r="BL114" t="s">
        <v>56</v>
      </c>
      <c r="BM114" t="s">
        <v>1659</v>
      </c>
      <c r="BN114" t="s">
        <v>1660</v>
      </c>
      <c r="BO114" s="87" t="s">
        <v>22</v>
      </c>
      <c r="BP114">
        <v>44444</v>
      </c>
      <c r="BQ114" t="s">
        <v>56</v>
      </c>
      <c r="BR114" t="s">
        <v>1646</v>
      </c>
      <c r="BS114" t="s">
        <v>234</v>
      </c>
      <c r="BT114" t="s">
        <v>234</v>
      </c>
      <c r="BU114" t="s">
        <v>234</v>
      </c>
      <c r="IF114" t="s">
        <v>1648</v>
      </c>
      <c r="IG114" s="84" t="s">
        <v>1665</v>
      </c>
      <c r="IH114" t="s">
        <v>660</v>
      </c>
      <c r="II114" t="s">
        <v>661</v>
      </c>
      <c r="IJ114" t="s">
        <v>836</v>
      </c>
      <c r="IK114" t="s">
        <v>836</v>
      </c>
      <c r="IL114" s="87" t="s">
        <v>29</v>
      </c>
      <c r="JH114" t="s">
        <v>1663</v>
      </c>
      <c r="JI114" t="s">
        <v>15</v>
      </c>
      <c r="JJ114" t="s">
        <v>14</v>
      </c>
      <c r="JK114" s="8" t="s">
        <v>1664</v>
      </c>
      <c r="JN114" t="s">
        <v>13</v>
      </c>
      <c r="JO114">
        <v>40</v>
      </c>
      <c r="JP114">
        <v>50</v>
      </c>
      <c r="KD114" t="s">
        <v>12</v>
      </c>
      <c r="MR114" t="s">
        <v>1640</v>
      </c>
      <c r="MS114">
        <v>36</v>
      </c>
      <c r="MT114" t="s">
        <v>1649</v>
      </c>
      <c r="MV114" t="s">
        <v>168</v>
      </c>
      <c r="ND114" t="s">
        <v>1686</v>
      </c>
      <c r="NF114" s="4" t="s">
        <v>8</v>
      </c>
      <c r="NG114" t="s">
        <v>7</v>
      </c>
      <c r="NO114" s="78"/>
      <c r="NP114" t="s">
        <v>6</v>
      </c>
      <c r="NQ114">
        <v>4.5999999999999996</v>
      </c>
      <c r="NR114" s="4" t="s">
        <v>4</v>
      </c>
      <c r="NS114" s="4">
        <v>0.1</v>
      </c>
      <c r="NV114">
        <v>4</v>
      </c>
      <c r="OG114" t="s">
        <v>1681</v>
      </c>
      <c r="OH114" s="87" t="s">
        <v>2</v>
      </c>
      <c r="OI114">
        <v>2007</v>
      </c>
      <c r="OL114" t="s">
        <v>1656</v>
      </c>
      <c r="ON114" t="s">
        <v>1169</v>
      </c>
      <c r="OO114" s="58">
        <v>46105</v>
      </c>
    </row>
    <row r="115" spans="1:405" ht="15.75" thickBot="1">
      <c r="A115" t="s">
        <v>248</v>
      </c>
      <c r="B115" t="s">
        <v>1870</v>
      </c>
      <c r="C115" t="s">
        <v>34</v>
      </c>
      <c r="D115" s="100" t="s">
        <v>31</v>
      </c>
      <c r="E115" s="90" t="s">
        <v>1658</v>
      </c>
      <c r="F115" s="100" t="s">
        <v>31</v>
      </c>
      <c r="G115" s="87" t="s">
        <v>2</v>
      </c>
      <c r="H115" s="87" t="s">
        <v>30</v>
      </c>
      <c r="I115">
        <v>-0.41666666699999999</v>
      </c>
      <c r="J115">
        <v>34.200000000000003</v>
      </c>
      <c r="K115" s="87" t="s">
        <v>29</v>
      </c>
      <c r="AV115" t="s">
        <v>1661</v>
      </c>
      <c r="AW115">
        <v>40</v>
      </c>
      <c r="AX115" t="s">
        <v>234</v>
      </c>
      <c r="AY115">
        <v>1</v>
      </c>
      <c r="AZ115" t="s">
        <v>1667</v>
      </c>
      <c r="BA115">
        <v>2007</v>
      </c>
      <c r="BB115">
        <v>2008</v>
      </c>
      <c r="BD115" t="s">
        <v>238</v>
      </c>
      <c r="BE115" t="s">
        <v>1672</v>
      </c>
      <c r="BF115" t="s">
        <v>43</v>
      </c>
      <c r="BH115" t="s">
        <v>23</v>
      </c>
      <c r="BI115" t="s">
        <v>1662</v>
      </c>
      <c r="BJ115" s="87" t="s">
        <v>22</v>
      </c>
      <c r="BK115">
        <v>44444</v>
      </c>
      <c r="BL115" t="s">
        <v>56</v>
      </c>
      <c r="BM115" t="s">
        <v>1659</v>
      </c>
      <c r="BN115" t="s">
        <v>1660</v>
      </c>
      <c r="BO115" s="87" t="s">
        <v>22</v>
      </c>
      <c r="BP115">
        <v>44444</v>
      </c>
      <c r="BQ115" t="s">
        <v>56</v>
      </c>
      <c r="BR115" t="s">
        <v>1646</v>
      </c>
      <c r="BS115" t="s">
        <v>234</v>
      </c>
      <c r="BT115" t="s">
        <v>234</v>
      </c>
      <c r="BU115" t="s">
        <v>234</v>
      </c>
      <c r="IF115" t="s">
        <v>1650</v>
      </c>
      <c r="IG115" s="84" t="s">
        <v>1665</v>
      </c>
      <c r="IH115" t="s">
        <v>660</v>
      </c>
      <c r="II115" t="s">
        <v>661</v>
      </c>
      <c r="IJ115" t="s">
        <v>836</v>
      </c>
      <c r="IK115" t="s">
        <v>836</v>
      </c>
      <c r="IL115" s="87" t="s">
        <v>29</v>
      </c>
      <c r="JH115" t="s">
        <v>1663</v>
      </c>
      <c r="JI115" t="s">
        <v>15</v>
      </c>
      <c r="JJ115" t="s">
        <v>14</v>
      </c>
      <c r="JK115" s="8" t="s">
        <v>1664</v>
      </c>
      <c r="JN115" t="s">
        <v>13</v>
      </c>
      <c r="JO115">
        <v>40</v>
      </c>
      <c r="JP115">
        <v>50</v>
      </c>
      <c r="KD115" t="s">
        <v>12</v>
      </c>
      <c r="MR115" t="s">
        <v>1640</v>
      </c>
      <c r="MS115">
        <v>36</v>
      </c>
      <c r="MT115" t="s">
        <v>1649</v>
      </c>
      <c r="MV115" t="s">
        <v>168</v>
      </c>
      <c r="ND115" t="s">
        <v>1686</v>
      </c>
      <c r="NF115" s="4" t="s">
        <v>8</v>
      </c>
      <c r="NG115" t="s">
        <v>7</v>
      </c>
      <c r="NO115" s="78"/>
      <c r="NP115" t="s">
        <v>6</v>
      </c>
      <c r="NQ115">
        <v>5.2</v>
      </c>
      <c r="NR115" s="4" t="s">
        <v>4</v>
      </c>
      <c r="NS115" s="4">
        <v>0.2</v>
      </c>
      <c r="NV115">
        <v>4</v>
      </c>
      <c r="OG115" t="s">
        <v>1681</v>
      </c>
      <c r="OH115" s="87" t="s">
        <v>2</v>
      </c>
      <c r="OI115">
        <v>2007</v>
      </c>
      <c r="OL115" t="s">
        <v>1656</v>
      </c>
      <c r="ON115" t="s">
        <v>1169</v>
      </c>
      <c r="OO115" s="58">
        <v>46105</v>
      </c>
    </row>
    <row r="116" spans="1:405" ht="15.75" thickBot="1">
      <c r="A116" t="s">
        <v>248</v>
      </c>
      <c r="B116" t="s">
        <v>1870</v>
      </c>
      <c r="C116" t="s">
        <v>34</v>
      </c>
      <c r="D116" s="100" t="s">
        <v>31</v>
      </c>
      <c r="E116" s="90" t="s">
        <v>1658</v>
      </c>
      <c r="F116" s="100" t="s">
        <v>31</v>
      </c>
      <c r="G116" s="87" t="s">
        <v>2</v>
      </c>
      <c r="H116" s="87" t="s">
        <v>30</v>
      </c>
      <c r="I116">
        <v>-0.41666666699999999</v>
      </c>
      <c r="J116">
        <v>34.200000000000003</v>
      </c>
      <c r="K116" s="87" t="s">
        <v>29</v>
      </c>
      <c r="AV116" t="s">
        <v>1661</v>
      </c>
      <c r="AW116">
        <v>41</v>
      </c>
      <c r="AX116" t="s">
        <v>234</v>
      </c>
      <c r="AY116">
        <v>1</v>
      </c>
      <c r="AZ116" t="s">
        <v>1668</v>
      </c>
      <c r="BA116">
        <v>2007</v>
      </c>
      <c r="BB116">
        <v>2008</v>
      </c>
      <c r="BD116" t="s">
        <v>19</v>
      </c>
      <c r="BE116" t="s">
        <v>1639</v>
      </c>
      <c r="BF116" t="s">
        <v>39</v>
      </c>
      <c r="BH116" t="s">
        <v>23</v>
      </c>
      <c r="BI116" t="s">
        <v>1662</v>
      </c>
      <c r="BJ116" s="87" t="s">
        <v>22</v>
      </c>
      <c r="BK116">
        <v>44444</v>
      </c>
      <c r="IF116" t="s">
        <v>1639</v>
      </c>
      <c r="IG116" t="s">
        <v>19</v>
      </c>
      <c r="JH116" t="s">
        <v>1663</v>
      </c>
      <c r="JI116" t="s">
        <v>15</v>
      </c>
      <c r="JJ116" t="s">
        <v>14</v>
      </c>
      <c r="JK116" s="8" t="s">
        <v>1664</v>
      </c>
      <c r="JN116" t="s">
        <v>13</v>
      </c>
      <c r="JO116">
        <v>40</v>
      </c>
      <c r="JP116">
        <v>50</v>
      </c>
      <c r="KD116" t="s">
        <v>12</v>
      </c>
      <c r="MR116" t="s">
        <v>1640</v>
      </c>
      <c r="MS116">
        <v>36</v>
      </c>
      <c r="MT116" t="s">
        <v>1641</v>
      </c>
      <c r="MV116" t="s">
        <v>168</v>
      </c>
      <c r="ND116" t="s">
        <v>1686</v>
      </c>
      <c r="NF116" s="4" t="s">
        <v>8</v>
      </c>
      <c r="NG116" t="s">
        <v>7</v>
      </c>
      <c r="NO116" s="78" t="s">
        <v>735</v>
      </c>
      <c r="NP116" t="s">
        <v>6</v>
      </c>
      <c r="NQ116">
        <v>2.9</v>
      </c>
      <c r="NR116" s="4" t="s">
        <v>4</v>
      </c>
      <c r="NS116" s="4">
        <v>0.4</v>
      </c>
      <c r="NV116">
        <v>4</v>
      </c>
      <c r="OG116" t="s">
        <v>1681</v>
      </c>
      <c r="OH116" s="87" t="s">
        <v>2</v>
      </c>
      <c r="OI116">
        <v>2008</v>
      </c>
      <c r="OL116" t="s">
        <v>1666</v>
      </c>
      <c r="ON116" t="s">
        <v>1169</v>
      </c>
      <c r="OO116" s="58">
        <v>46105</v>
      </c>
    </row>
    <row r="117" spans="1:405" ht="15.75" thickBot="1">
      <c r="A117" t="s">
        <v>248</v>
      </c>
      <c r="B117" t="s">
        <v>1870</v>
      </c>
      <c r="C117" t="s">
        <v>34</v>
      </c>
      <c r="D117" s="100" t="s">
        <v>31</v>
      </c>
      <c r="E117" s="90" t="s">
        <v>1658</v>
      </c>
      <c r="F117" s="100" t="s">
        <v>31</v>
      </c>
      <c r="G117" s="87" t="s">
        <v>2</v>
      </c>
      <c r="H117" s="87" t="s">
        <v>30</v>
      </c>
      <c r="I117">
        <v>-0.41666666699999999</v>
      </c>
      <c r="J117">
        <v>34.200000000000003</v>
      </c>
      <c r="K117" s="87" t="s">
        <v>29</v>
      </c>
      <c r="AV117" t="s">
        <v>1661</v>
      </c>
      <c r="AW117">
        <v>42</v>
      </c>
      <c r="AX117" t="s">
        <v>234</v>
      </c>
      <c r="AY117">
        <v>1</v>
      </c>
      <c r="AZ117" t="s">
        <v>1668</v>
      </c>
      <c r="BA117">
        <v>2007</v>
      </c>
      <c r="BB117">
        <v>2008</v>
      </c>
      <c r="BD117" t="s">
        <v>238</v>
      </c>
      <c r="BE117" t="s">
        <v>1643</v>
      </c>
      <c r="BF117" t="s">
        <v>64</v>
      </c>
      <c r="BH117" t="s">
        <v>23</v>
      </c>
      <c r="BI117" t="s">
        <v>1662</v>
      </c>
      <c r="BJ117" s="87" t="s">
        <v>22</v>
      </c>
      <c r="BK117">
        <v>44444</v>
      </c>
      <c r="BL117" t="s">
        <v>56</v>
      </c>
      <c r="BM117" t="s">
        <v>1659</v>
      </c>
      <c r="BN117" t="s">
        <v>1660</v>
      </c>
      <c r="BO117" s="87" t="s">
        <v>22</v>
      </c>
      <c r="BP117">
        <v>44444</v>
      </c>
      <c r="IF117" t="s">
        <v>1643</v>
      </c>
      <c r="IG117" s="84" t="s">
        <v>1443</v>
      </c>
      <c r="IH117" t="s">
        <v>660</v>
      </c>
      <c r="II117" t="s">
        <v>661</v>
      </c>
      <c r="IJ117" t="s">
        <v>836</v>
      </c>
      <c r="IK117" t="s">
        <v>836</v>
      </c>
      <c r="IL117" s="87" t="s">
        <v>29</v>
      </c>
      <c r="JH117" t="s">
        <v>1663</v>
      </c>
      <c r="JI117" t="s">
        <v>15</v>
      </c>
      <c r="JJ117" t="s">
        <v>14</v>
      </c>
      <c r="JK117" s="8" t="s">
        <v>1664</v>
      </c>
      <c r="JN117" t="s">
        <v>13</v>
      </c>
      <c r="JO117">
        <v>40</v>
      </c>
      <c r="JP117">
        <v>50</v>
      </c>
      <c r="KD117" t="s">
        <v>12</v>
      </c>
      <c r="MR117" t="s">
        <v>1640</v>
      </c>
      <c r="MS117">
        <v>36</v>
      </c>
      <c r="MT117" t="s">
        <v>1644</v>
      </c>
      <c r="MV117" t="s">
        <v>168</v>
      </c>
      <c r="ND117" t="s">
        <v>1686</v>
      </c>
      <c r="NF117" s="4" t="s">
        <v>8</v>
      </c>
      <c r="NG117" t="s">
        <v>7</v>
      </c>
      <c r="NO117" s="78"/>
      <c r="NP117" t="s">
        <v>6</v>
      </c>
      <c r="NQ117">
        <v>2.6</v>
      </c>
      <c r="NR117" s="4" t="s">
        <v>4</v>
      </c>
      <c r="NS117" s="4">
        <v>0.4</v>
      </c>
      <c r="NV117">
        <v>4</v>
      </c>
      <c r="OG117" t="s">
        <v>1681</v>
      </c>
      <c r="OH117" s="87" t="s">
        <v>2</v>
      </c>
      <c r="OI117">
        <v>2008</v>
      </c>
      <c r="OL117" t="s">
        <v>1666</v>
      </c>
      <c r="ON117" t="s">
        <v>1169</v>
      </c>
      <c r="OO117" s="58">
        <v>46105</v>
      </c>
    </row>
    <row r="118" spans="1:405" ht="15.75" thickBot="1">
      <c r="A118" t="s">
        <v>248</v>
      </c>
      <c r="B118" t="s">
        <v>1870</v>
      </c>
      <c r="C118" t="s">
        <v>34</v>
      </c>
      <c r="D118" s="100" t="s">
        <v>31</v>
      </c>
      <c r="E118" s="90" t="s">
        <v>1658</v>
      </c>
      <c r="F118" s="100" t="s">
        <v>31</v>
      </c>
      <c r="G118" s="87" t="s">
        <v>2</v>
      </c>
      <c r="H118" s="87" t="s">
        <v>30</v>
      </c>
      <c r="I118">
        <v>-0.41666666699999999</v>
      </c>
      <c r="J118">
        <v>34.200000000000003</v>
      </c>
      <c r="K118" s="87" t="s">
        <v>29</v>
      </c>
      <c r="AV118" t="s">
        <v>1661</v>
      </c>
      <c r="AW118">
        <v>43</v>
      </c>
      <c r="AX118" t="s">
        <v>234</v>
      </c>
      <c r="AY118">
        <v>1</v>
      </c>
      <c r="AZ118" t="s">
        <v>1668</v>
      </c>
      <c r="BA118">
        <v>2007</v>
      </c>
      <c r="BB118">
        <v>2008</v>
      </c>
      <c r="BD118" t="s">
        <v>238</v>
      </c>
      <c r="BE118" t="s">
        <v>1645</v>
      </c>
      <c r="BF118" t="s">
        <v>57</v>
      </c>
      <c r="BH118" t="s">
        <v>23</v>
      </c>
      <c r="BI118" t="s">
        <v>1662</v>
      </c>
      <c r="BJ118" s="87" t="s">
        <v>22</v>
      </c>
      <c r="BK118">
        <v>44444</v>
      </c>
      <c r="BL118" t="s">
        <v>56</v>
      </c>
      <c r="BM118" t="s">
        <v>1646</v>
      </c>
      <c r="BN118" t="s">
        <v>234</v>
      </c>
      <c r="BO118" t="s">
        <v>234</v>
      </c>
      <c r="BP118" t="s">
        <v>234</v>
      </c>
      <c r="IF118" t="s">
        <v>1645</v>
      </c>
      <c r="IG118" s="84" t="s">
        <v>1665</v>
      </c>
      <c r="IH118" t="s">
        <v>660</v>
      </c>
      <c r="II118" t="s">
        <v>661</v>
      </c>
      <c r="IJ118" t="s">
        <v>836</v>
      </c>
      <c r="IK118" t="s">
        <v>836</v>
      </c>
      <c r="IL118" s="87" t="s">
        <v>29</v>
      </c>
      <c r="JH118" t="s">
        <v>1663</v>
      </c>
      <c r="JI118" t="s">
        <v>15</v>
      </c>
      <c r="JJ118" t="s">
        <v>14</v>
      </c>
      <c r="JK118" s="8" t="s">
        <v>1664</v>
      </c>
      <c r="JN118" t="s">
        <v>13</v>
      </c>
      <c r="JO118">
        <v>40</v>
      </c>
      <c r="JP118">
        <v>50</v>
      </c>
      <c r="KD118" t="s">
        <v>12</v>
      </c>
      <c r="MR118" t="s">
        <v>1640</v>
      </c>
      <c r="MS118">
        <v>36</v>
      </c>
      <c r="MT118" t="s">
        <v>1647</v>
      </c>
      <c r="MV118" t="s">
        <v>168</v>
      </c>
      <c r="ND118" t="s">
        <v>1686</v>
      </c>
      <c r="NF118" s="4" t="s">
        <v>8</v>
      </c>
      <c r="NG118" t="s">
        <v>7</v>
      </c>
      <c r="NO118" s="78"/>
      <c r="NP118" t="s">
        <v>6</v>
      </c>
      <c r="NQ118">
        <v>5</v>
      </c>
      <c r="NR118" s="4" t="s">
        <v>4</v>
      </c>
      <c r="NS118" s="4">
        <v>0.1</v>
      </c>
      <c r="NV118">
        <v>4</v>
      </c>
      <c r="OG118" t="s">
        <v>1681</v>
      </c>
      <c r="OH118" s="87" t="s">
        <v>2</v>
      </c>
      <c r="OI118">
        <v>2008</v>
      </c>
      <c r="OL118" t="s">
        <v>1666</v>
      </c>
      <c r="ON118" t="s">
        <v>1169</v>
      </c>
      <c r="OO118" s="58">
        <v>46105</v>
      </c>
    </row>
    <row r="119" spans="1:405" ht="15.75" thickBot="1">
      <c r="A119" t="s">
        <v>248</v>
      </c>
      <c r="B119" t="s">
        <v>1870</v>
      </c>
      <c r="C119" t="s">
        <v>34</v>
      </c>
      <c r="D119" s="100" t="s">
        <v>31</v>
      </c>
      <c r="E119" s="90" t="s">
        <v>1658</v>
      </c>
      <c r="F119" s="100" t="s">
        <v>31</v>
      </c>
      <c r="G119" s="87" t="s">
        <v>2</v>
      </c>
      <c r="H119" s="87" t="s">
        <v>30</v>
      </c>
      <c r="I119">
        <v>-0.41666666699999999</v>
      </c>
      <c r="J119">
        <v>34.200000000000003</v>
      </c>
      <c r="K119" s="87" t="s">
        <v>29</v>
      </c>
      <c r="AV119" t="s">
        <v>1661</v>
      </c>
      <c r="AW119">
        <v>44</v>
      </c>
      <c r="AX119" t="s">
        <v>234</v>
      </c>
      <c r="AY119">
        <v>1</v>
      </c>
      <c r="AZ119" t="s">
        <v>1668</v>
      </c>
      <c r="BA119">
        <v>2007</v>
      </c>
      <c r="BB119">
        <v>2008</v>
      </c>
      <c r="BD119" t="s">
        <v>238</v>
      </c>
      <c r="BE119" t="s">
        <v>1648</v>
      </c>
      <c r="BF119" t="s">
        <v>48</v>
      </c>
      <c r="BH119" t="s">
        <v>23</v>
      </c>
      <c r="BI119" t="s">
        <v>1662</v>
      </c>
      <c r="BJ119" s="87" t="s">
        <v>22</v>
      </c>
      <c r="BK119">
        <v>44444</v>
      </c>
      <c r="BL119" t="s">
        <v>56</v>
      </c>
      <c r="BM119" t="s">
        <v>1659</v>
      </c>
      <c r="BN119" t="s">
        <v>1660</v>
      </c>
      <c r="BO119" s="87" t="s">
        <v>22</v>
      </c>
      <c r="BP119">
        <v>44444</v>
      </c>
      <c r="BQ119" t="s">
        <v>56</v>
      </c>
      <c r="BR119" t="s">
        <v>1646</v>
      </c>
      <c r="BS119" t="s">
        <v>234</v>
      </c>
      <c r="BT119" t="s">
        <v>234</v>
      </c>
      <c r="BU119" t="s">
        <v>234</v>
      </c>
      <c r="IF119" t="s">
        <v>1648</v>
      </c>
      <c r="IG119" s="84" t="s">
        <v>1665</v>
      </c>
      <c r="IH119" t="s">
        <v>660</v>
      </c>
      <c r="II119" t="s">
        <v>661</v>
      </c>
      <c r="IJ119" t="s">
        <v>836</v>
      </c>
      <c r="IK119" t="s">
        <v>836</v>
      </c>
      <c r="IL119" s="87" t="s">
        <v>29</v>
      </c>
      <c r="JH119" t="s">
        <v>1663</v>
      </c>
      <c r="JI119" t="s">
        <v>15</v>
      </c>
      <c r="JJ119" t="s">
        <v>14</v>
      </c>
      <c r="JK119" s="8" t="s">
        <v>1664</v>
      </c>
      <c r="JN119" t="s">
        <v>13</v>
      </c>
      <c r="JO119">
        <v>40</v>
      </c>
      <c r="JP119">
        <v>50</v>
      </c>
      <c r="KD119" t="s">
        <v>12</v>
      </c>
      <c r="MR119" t="s">
        <v>1640</v>
      </c>
      <c r="MS119">
        <v>36</v>
      </c>
      <c r="MT119" t="s">
        <v>1649</v>
      </c>
      <c r="MV119" t="s">
        <v>168</v>
      </c>
      <c r="ND119" t="s">
        <v>1686</v>
      </c>
      <c r="NF119" s="4" t="s">
        <v>8</v>
      </c>
      <c r="NG119" t="s">
        <v>7</v>
      </c>
      <c r="NO119" s="78"/>
      <c r="NP119" t="s">
        <v>6</v>
      </c>
      <c r="NQ119">
        <v>5.6</v>
      </c>
      <c r="NR119" s="4" t="s">
        <v>4</v>
      </c>
      <c r="NS119" s="4">
        <v>0.1</v>
      </c>
      <c r="NV119">
        <v>4</v>
      </c>
      <c r="OG119" t="s">
        <v>1681</v>
      </c>
      <c r="OH119" s="87" t="s">
        <v>2</v>
      </c>
      <c r="OI119">
        <v>2008</v>
      </c>
      <c r="OL119" t="s">
        <v>1666</v>
      </c>
      <c r="ON119" t="s">
        <v>1169</v>
      </c>
      <c r="OO119" s="58">
        <v>46105</v>
      </c>
    </row>
    <row r="120" spans="1:405" ht="15.75" thickBot="1">
      <c r="A120" t="s">
        <v>248</v>
      </c>
      <c r="B120" t="s">
        <v>1870</v>
      </c>
      <c r="C120" t="s">
        <v>34</v>
      </c>
      <c r="D120" s="100" t="s">
        <v>31</v>
      </c>
      <c r="E120" s="90" t="s">
        <v>1658</v>
      </c>
      <c r="F120" s="100" t="s">
        <v>31</v>
      </c>
      <c r="G120" s="87" t="s">
        <v>2</v>
      </c>
      <c r="H120" s="87" t="s">
        <v>30</v>
      </c>
      <c r="I120">
        <v>-0.41666666699999999</v>
      </c>
      <c r="J120">
        <v>34.200000000000003</v>
      </c>
      <c r="K120" s="87" t="s">
        <v>29</v>
      </c>
      <c r="AV120" t="s">
        <v>1661</v>
      </c>
      <c r="AW120">
        <v>45</v>
      </c>
      <c r="AX120" t="s">
        <v>234</v>
      </c>
      <c r="AY120">
        <v>1</v>
      </c>
      <c r="AZ120" t="s">
        <v>1668</v>
      </c>
      <c r="BA120">
        <v>2007</v>
      </c>
      <c r="BB120">
        <v>2008</v>
      </c>
      <c r="BD120" t="s">
        <v>238</v>
      </c>
      <c r="BE120" t="s">
        <v>1650</v>
      </c>
      <c r="BF120" t="s">
        <v>43</v>
      </c>
      <c r="BH120" t="s">
        <v>23</v>
      </c>
      <c r="BI120" t="s">
        <v>1662</v>
      </c>
      <c r="BJ120" s="87" t="s">
        <v>22</v>
      </c>
      <c r="BK120">
        <v>44444</v>
      </c>
      <c r="BL120" t="s">
        <v>56</v>
      </c>
      <c r="BM120" t="s">
        <v>1659</v>
      </c>
      <c r="BN120" t="s">
        <v>1660</v>
      </c>
      <c r="BO120" s="87" t="s">
        <v>22</v>
      </c>
      <c r="BP120">
        <v>44444</v>
      </c>
      <c r="BQ120" t="s">
        <v>56</v>
      </c>
      <c r="BR120" t="s">
        <v>1646</v>
      </c>
      <c r="BS120" t="s">
        <v>234</v>
      </c>
      <c r="BT120" t="s">
        <v>234</v>
      </c>
      <c r="BU120" t="s">
        <v>234</v>
      </c>
      <c r="IF120" t="s">
        <v>1650</v>
      </c>
      <c r="IG120" s="84" t="s">
        <v>1665</v>
      </c>
      <c r="IH120" t="s">
        <v>660</v>
      </c>
      <c r="II120" t="s">
        <v>661</v>
      </c>
      <c r="IJ120" t="s">
        <v>836</v>
      </c>
      <c r="IK120" t="s">
        <v>836</v>
      </c>
      <c r="IL120" s="87" t="s">
        <v>29</v>
      </c>
      <c r="JH120" t="s">
        <v>1663</v>
      </c>
      <c r="JI120" t="s">
        <v>15</v>
      </c>
      <c r="JJ120" t="s">
        <v>14</v>
      </c>
      <c r="JK120" s="8" t="s">
        <v>1664</v>
      </c>
      <c r="JN120" t="s">
        <v>13</v>
      </c>
      <c r="JO120">
        <v>40</v>
      </c>
      <c r="JP120">
        <v>50</v>
      </c>
      <c r="KD120" t="s">
        <v>12</v>
      </c>
      <c r="MR120" t="s">
        <v>1640</v>
      </c>
      <c r="MS120">
        <v>36</v>
      </c>
      <c r="MT120" t="s">
        <v>1649</v>
      </c>
      <c r="MV120" t="s">
        <v>168</v>
      </c>
      <c r="ND120" t="s">
        <v>1686</v>
      </c>
      <c r="NF120" s="4" t="s">
        <v>8</v>
      </c>
      <c r="NG120" t="s">
        <v>7</v>
      </c>
      <c r="NO120" s="78"/>
      <c r="NP120" t="s">
        <v>6</v>
      </c>
      <c r="NQ120">
        <v>4.9000000000000004</v>
      </c>
      <c r="NR120" s="4" t="s">
        <v>4</v>
      </c>
      <c r="NS120" s="4">
        <v>0.1</v>
      </c>
      <c r="NV120">
        <v>4</v>
      </c>
      <c r="OG120" t="s">
        <v>1681</v>
      </c>
      <c r="OH120" s="87" t="s">
        <v>2</v>
      </c>
      <c r="OI120">
        <v>2008</v>
      </c>
      <c r="OL120" t="s">
        <v>1666</v>
      </c>
      <c r="ON120" t="s">
        <v>1169</v>
      </c>
      <c r="OO120" s="58">
        <v>46105</v>
      </c>
    </row>
    <row r="121" spans="1:405" ht="15.75" thickBot="1">
      <c r="A121" t="s">
        <v>248</v>
      </c>
      <c r="B121" t="s">
        <v>1870</v>
      </c>
      <c r="C121" t="s">
        <v>34</v>
      </c>
      <c r="D121" s="100" t="s">
        <v>31</v>
      </c>
      <c r="E121" s="90" t="s">
        <v>1658</v>
      </c>
      <c r="F121" s="100" t="s">
        <v>31</v>
      </c>
      <c r="G121" s="87" t="s">
        <v>2</v>
      </c>
      <c r="H121" s="87" t="s">
        <v>30</v>
      </c>
      <c r="I121">
        <v>-0.41666666699999999</v>
      </c>
      <c r="J121">
        <v>34.200000000000003</v>
      </c>
      <c r="K121" s="87" t="s">
        <v>29</v>
      </c>
      <c r="AV121" t="s">
        <v>1661</v>
      </c>
      <c r="AW121">
        <v>46</v>
      </c>
      <c r="AX121" t="s">
        <v>234</v>
      </c>
      <c r="AY121">
        <v>1</v>
      </c>
      <c r="AZ121" t="s">
        <v>1669</v>
      </c>
      <c r="BA121">
        <v>2007</v>
      </c>
      <c r="BB121">
        <v>2008</v>
      </c>
      <c r="BD121" t="s">
        <v>19</v>
      </c>
      <c r="BE121" t="s">
        <v>1651</v>
      </c>
      <c r="BF121" t="s">
        <v>24</v>
      </c>
      <c r="BH121" t="s">
        <v>23</v>
      </c>
      <c r="BI121" t="s">
        <v>1662</v>
      </c>
      <c r="BJ121" s="87" t="s">
        <v>22</v>
      </c>
      <c r="BK121">
        <v>44444</v>
      </c>
      <c r="IF121" t="s">
        <v>1651</v>
      </c>
      <c r="IG121" t="s">
        <v>19</v>
      </c>
      <c r="JH121" t="s">
        <v>1663</v>
      </c>
      <c r="JI121" t="s">
        <v>15</v>
      </c>
      <c r="JJ121" t="s">
        <v>14</v>
      </c>
      <c r="JK121" s="8" t="s">
        <v>1664</v>
      </c>
      <c r="JN121" t="s">
        <v>13</v>
      </c>
      <c r="JO121">
        <v>40</v>
      </c>
      <c r="JP121">
        <v>50</v>
      </c>
      <c r="KD121" t="s">
        <v>12</v>
      </c>
      <c r="MR121" t="s">
        <v>1640</v>
      </c>
      <c r="MS121">
        <v>36</v>
      </c>
      <c r="MT121" t="s">
        <v>1641</v>
      </c>
      <c r="MV121" t="s">
        <v>168</v>
      </c>
      <c r="ND121" t="s">
        <v>1686</v>
      </c>
      <c r="NF121" s="4" t="s">
        <v>8</v>
      </c>
      <c r="NG121" t="s">
        <v>7</v>
      </c>
      <c r="NO121" s="78" t="s">
        <v>743</v>
      </c>
      <c r="NP121" t="s">
        <v>6</v>
      </c>
      <c r="NQ121">
        <v>3.5</v>
      </c>
      <c r="NR121" s="4" t="s">
        <v>4</v>
      </c>
      <c r="NS121" s="4">
        <v>0.1</v>
      </c>
      <c r="NV121">
        <v>4</v>
      </c>
      <c r="OG121" t="s">
        <v>1684</v>
      </c>
      <c r="OH121" s="87" t="s">
        <v>2</v>
      </c>
      <c r="OI121">
        <v>2007</v>
      </c>
      <c r="OL121" t="s">
        <v>1666</v>
      </c>
      <c r="ON121" t="s">
        <v>1169</v>
      </c>
      <c r="OO121" s="58">
        <v>46105</v>
      </c>
    </row>
    <row r="122" spans="1:405" ht="15.75" thickBot="1">
      <c r="A122" t="s">
        <v>248</v>
      </c>
      <c r="B122" t="s">
        <v>1870</v>
      </c>
      <c r="C122" t="s">
        <v>34</v>
      </c>
      <c r="D122" s="100" t="s">
        <v>31</v>
      </c>
      <c r="E122" s="90" t="s">
        <v>1658</v>
      </c>
      <c r="F122" s="100" t="s">
        <v>31</v>
      </c>
      <c r="G122" s="87" t="s">
        <v>2</v>
      </c>
      <c r="H122" s="87" t="s">
        <v>30</v>
      </c>
      <c r="I122">
        <v>-0.41666666699999999</v>
      </c>
      <c r="J122">
        <v>34.200000000000003</v>
      </c>
      <c r="K122" s="87" t="s">
        <v>29</v>
      </c>
      <c r="AV122" t="s">
        <v>1661</v>
      </c>
      <c r="AW122">
        <v>47</v>
      </c>
      <c r="AX122" t="s">
        <v>234</v>
      </c>
      <c r="AY122">
        <v>1</v>
      </c>
      <c r="AZ122" t="s">
        <v>1669</v>
      </c>
      <c r="BA122">
        <v>2007</v>
      </c>
      <c r="BB122">
        <v>2008</v>
      </c>
      <c r="BD122" t="s">
        <v>238</v>
      </c>
      <c r="BE122" t="s">
        <v>1652</v>
      </c>
      <c r="BF122" t="s">
        <v>252</v>
      </c>
      <c r="BH122" t="s">
        <v>23</v>
      </c>
      <c r="BI122" t="s">
        <v>1662</v>
      </c>
      <c r="BJ122" s="87" t="s">
        <v>22</v>
      </c>
      <c r="BK122">
        <v>44444</v>
      </c>
      <c r="BL122" t="s">
        <v>56</v>
      </c>
      <c r="BM122" t="s">
        <v>1659</v>
      </c>
      <c r="BN122" t="s">
        <v>1660</v>
      </c>
      <c r="BO122" s="87" t="s">
        <v>22</v>
      </c>
      <c r="BP122">
        <v>44444</v>
      </c>
      <c r="IF122" t="s">
        <v>1652</v>
      </c>
      <c r="IG122" s="84" t="s">
        <v>1443</v>
      </c>
      <c r="IH122" t="s">
        <v>660</v>
      </c>
      <c r="II122" t="s">
        <v>661</v>
      </c>
      <c r="IJ122" t="s">
        <v>836</v>
      </c>
      <c r="IK122" t="s">
        <v>836</v>
      </c>
      <c r="IL122" s="87" t="s">
        <v>29</v>
      </c>
      <c r="JH122" t="s">
        <v>1663</v>
      </c>
      <c r="JI122" t="s">
        <v>15</v>
      </c>
      <c r="JJ122" t="s">
        <v>14</v>
      </c>
      <c r="JK122" s="8" t="s">
        <v>1664</v>
      </c>
      <c r="JN122" t="s">
        <v>13</v>
      </c>
      <c r="JO122">
        <v>40</v>
      </c>
      <c r="JP122">
        <v>50</v>
      </c>
      <c r="KD122" t="s">
        <v>12</v>
      </c>
      <c r="MR122" t="s">
        <v>1640</v>
      </c>
      <c r="MS122">
        <v>36</v>
      </c>
      <c r="MT122" t="s">
        <v>1644</v>
      </c>
      <c r="MV122" t="s">
        <v>168</v>
      </c>
      <c r="ND122" t="s">
        <v>1686</v>
      </c>
      <c r="NF122" s="4" t="s">
        <v>8</v>
      </c>
      <c r="NG122" t="s">
        <v>7</v>
      </c>
      <c r="NO122" s="78"/>
      <c r="NP122" t="s">
        <v>6</v>
      </c>
      <c r="NQ122">
        <v>3.2</v>
      </c>
      <c r="NR122" s="4" t="s">
        <v>4</v>
      </c>
      <c r="NS122" s="4">
        <v>0.2</v>
      </c>
      <c r="NV122">
        <v>4</v>
      </c>
      <c r="OG122" t="s">
        <v>1684</v>
      </c>
      <c r="OH122" s="87" t="s">
        <v>2</v>
      </c>
      <c r="OI122">
        <v>2007</v>
      </c>
      <c r="OL122" t="s">
        <v>1666</v>
      </c>
      <c r="ON122" t="s">
        <v>1169</v>
      </c>
      <c r="OO122" s="58">
        <v>46105</v>
      </c>
    </row>
    <row r="123" spans="1:405" ht="15.75" thickBot="1">
      <c r="A123" t="s">
        <v>248</v>
      </c>
      <c r="B123" t="s">
        <v>1870</v>
      </c>
      <c r="C123" t="s">
        <v>34</v>
      </c>
      <c r="D123" s="100" t="s">
        <v>31</v>
      </c>
      <c r="E123" s="90" t="s">
        <v>1658</v>
      </c>
      <c r="F123" s="100" t="s">
        <v>31</v>
      </c>
      <c r="G123" s="87" t="s">
        <v>2</v>
      </c>
      <c r="H123" s="87" t="s">
        <v>30</v>
      </c>
      <c r="I123">
        <v>-0.41666666699999999</v>
      </c>
      <c r="J123">
        <v>34.200000000000003</v>
      </c>
      <c r="K123" s="87" t="s">
        <v>29</v>
      </c>
      <c r="AV123" t="s">
        <v>1661</v>
      </c>
      <c r="AW123">
        <v>48</v>
      </c>
      <c r="AX123" t="s">
        <v>234</v>
      </c>
      <c r="AY123">
        <v>1</v>
      </c>
      <c r="AZ123" t="s">
        <v>1669</v>
      </c>
      <c r="BA123">
        <v>2007</v>
      </c>
      <c r="BB123">
        <v>2008</v>
      </c>
      <c r="BD123" t="s">
        <v>238</v>
      </c>
      <c r="BE123" t="s">
        <v>1653</v>
      </c>
      <c r="BF123" t="s">
        <v>236</v>
      </c>
      <c r="BH123" t="s">
        <v>23</v>
      </c>
      <c r="BI123" t="s">
        <v>1662</v>
      </c>
      <c r="BJ123" s="87" t="s">
        <v>22</v>
      </c>
      <c r="BK123">
        <v>44444</v>
      </c>
      <c r="BL123" t="s">
        <v>56</v>
      </c>
      <c r="BM123" t="s">
        <v>1646</v>
      </c>
      <c r="BN123" t="s">
        <v>234</v>
      </c>
      <c r="BO123" t="s">
        <v>234</v>
      </c>
      <c r="BP123" t="s">
        <v>234</v>
      </c>
      <c r="IF123" t="s">
        <v>1653</v>
      </c>
      <c r="IG123" s="84" t="s">
        <v>1665</v>
      </c>
      <c r="IH123" t="s">
        <v>660</v>
      </c>
      <c r="II123" t="s">
        <v>661</v>
      </c>
      <c r="IJ123" t="s">
        <v>836</v>
      </c>
      <c r="IK123" t="s">
        <v>836</v>
      </c>
      <c r="IL123" s="87" t="s">
        <v>29</v>
      </c>
      <c r="JH123" t="s">
        <v>1663</v>
      </c>
      <c r="JI123" t="s">
        <v>15</v>
      </c>
      <c r="JJ123" t="s">
        <v>14</v>
      </c>
      <c r="JK123" s="8" t="s">
        <v>1664</v>
      </c>
      <c r="JN123" t="s">
        <v>13</v>
      </c>
      <c r="JO123">
        <v>40</v>
      </c>
      <c r="JP123">
        <v>50</v>
      </c>
      <c r="KD123" t="s">
        <v>12</v>
      </c>
      <c r="MR123" t="s">
        <v>1640</v>
      </c>
      <c r="MS123">
        <v>36</v>
      </c>
      <c r="MT123" t="s">
        <v>1647</v>
      </c>
      <c r="MV123" t="s">
        <v>168</v>
      </c>
      <c r="ND123" t="s">
        <v>1686</v>
      </c>
      <c r="NF123" s="4" t="s">
        <v>8</v>
      </c>
      <c r="NG123" t="s">
        <v>7</v>
      </c>
      <c r="NO123" s="78"/>
      <c r="NP123" t="s">
        <v>6</v>
      </c>
      <c r="NQ123">
        <v>5.4</v>
      </c>
      <c r="NR123" s="4" t="s">
        <v>4</v>
      </c>
      <c r="NS123" s="4">
        <v>0.1</v>
      </c>
      <c r="NV123">
        <v>4</v>
      </c>
      <c r="OG123" t="s">
        <v>1684</v>
      </c>
      <c r="OH123" s="87" t="s">
        <v>2</v>
      </c>
      <c r="OI123">
        <v>2007</v>
      </c>
      <c r="OL123" t="s">
        <v>1666</v>
      </c>
      <c r="ON123" t="s">
        <v>1169</v>
      </c>
      <c r="OO123" s="58">
        <v>46105</v>
      </c>
    </row>
    <row r="124" spans="1:405" ht="15.75" thickBot="1">
      <c r="A124" t="s">
        <v>248</v>
      </c>
      <c r="B124" t="s">
        <v>1870</v>
      </c>
      <c r="C124" t="s">
        <v>34</v>
      </c>
      <c r="D124" s="100" t="s">
        <v>31</v>
      </c>
      <c r="E124" s="90" t="s">
        <v>1658</v>
      </c>
      <c r="F124" s="100" t="s">
        <v>31</v>
      </c>
      <c r="G124" s="87" t="s">
        <v>2</v>
      </c>
      <c r="H124" s="87" t="s">
        <v>30</v>
      </c>
      <c r="I124">
        <v>-0.41666666699999999</v>
      </c>
      <c r="J124">
        <v>34.200000000000003</v>
      </c>
      <c r="K124" s="87" t="s">
        <v>29</v>
      </c>
      <c r="AV124" t="s">
        <v>1661</v>
      </c>
      <c r="AW124">
        <v>49</v>
      </c>
      <c r="AX124" t="s">
        <v>234</v>
      </c>
      <c r="AY124">
        <v>1</v>
      </c>
      <c r="AZ124" t="s">
        <v>1669</v>
      </c>
      <c r="BA124">
        <v>2007</v>
      </c>
      <c r="BB124">
        <v>2008</v>
      </c>
      <c r="BD124" t="s">
        <v>238</v>
      </c>
      <c r="BE124" t="s">
        <v>1654</v>
      </c>
      <c r="BF124" t="s">
        <v>284</v>
      </c>
      <c r="BH124" t="s">
        <v>23</v>
      </c>
      <c r="BI124" t="s">
        <v>1662</v>
      </c>
      <c r="BJ124" s="87" t="s">
        <v>22</v>
      </c>
      <c r="BK124">
        <v>44444</v>
      </c>
      <c r="BL124" t="s">
        <v>56</v>
      </c>
      <c r="BM124" t="s">
        <v>1659</v>
      </c>
      <c r="BN124" t="s">
        <v>1660</v>
      </c>
      <c r="BO124" s="87" t="s">
        <v>22</v>
      </c>
      <c r="BP124">
        <v>44444</v>
      </c>
      <c r="BQ124" t="s">
        <v>56</v>
      </c>
      <c r="BR124" t="s">
        <v>1646</v>
      </c>
      <c r="BS124" t="s">
        <v>234</v>
      </c>
      <c r="BT124" t="s">
        <v>234</v>
      </c>
      <c r="BU124" t="s">
        <v>234</v>
      </c>
      <c r="IF124" t="s">
        <v>1654</v>
      </c>
      <c r="IG124" s="84" t="s">
        <v>1665</v>
      </c>
      <c r="IH124" t="s">
        <v>660</v>
      </c>
      <c r="II124" t="s">
        <v>661</v>
      </c>
      <c r="IJ124" t="s">
        <v>836</v>
      </c>
      <c r="IK124" t="s">
        <v>836</v>
      </c>
      <c r="IL124" s="87" t="s">
        <v>29</v>
      </c>
      <c r="JH124" t="s">
        <v>1663</v>
      </c>
      <c r="JI124" t="s">
        <v>15</v>
      </c>
      <c r="JJ124" t="s">
        <v>14</v>
      </c>
      <c r="JK124" s="8" t="s">
        <v>1664</v>
      </c>
      <c r="JN124" t="s">
        <v>13</v>
      </c>
      <c r="JO124">
        <v>40</v>
      </c>
      <c r="JP124">
        <v>50</v>
      </c>
      <c r="KD124" t="s">
        <v>12</v>
      </c>
      <c r="MR124" t="s">
        <v>1640</v>
      </c>
      <c r="MS124">
        <v>36</v>
      </c>
      <c r="MT124" t="s">
        <v>1649</v>
      </c>
      <c r="MV124" t="s">
        <v>168</v>
      </c>
      <c r="ND124" t="s">
        <v>1686</v>
      </c>
      <c r="NF124" s="4" t="s">
        <v>8</v>
      </c>
      <c r="NG124" t="s">
        <v>7</v>
      </c>
      <c r="NO124" s="78"/>
      <c r="NP124" t="s">
        <v>6</v>
      </c>
      <c r="NQ124">
        <v>5.2</v>
      </c>
      <c r="NR124" s="4" t="s">
        <v>4</v>
      </c>
      <c r="NS124" s="4">
        <v>0.1</v>
      </c>
      <c r="NV124">
        <v>4</v>
      </c>
      <c r="OG124" t="s">
        <v>1684</v>
      </c>
      <c r="OH124" s="87" t="s">
        <v>2</v>
      </c>
      <c r="OI124">
        <v>2007</v>
      </c>
      <c r="OL124" t="s">
        <v>1666</v>
      </c>
      <c r="ON124" t="s">
        <v>1169</v>
      </c>
      <c r="OO124" s="58">
        <v>46105</v>
      </c>
    </row>
    <row r="125" spans="1:405" ht="15.75" thickBot="1">
      <c r="A125" t="s">
        <v>248</v>
      </c>
      <c r="B125" t="s">
        <v>1870</v>
      </c>
      <c r="C125" t="s">
        <v>34</v>
      </c>
      <c r="D125" s="100" t="s">
        <v>31</v>
      </c>
      <c r="E125" s="90" t="s">
        <v>1658</v>
      </c>
      <c r="F125" s="100" t="s">
        <v>31</v>
      </c>
      <c r="G125" s="87" t="s">
        <v>2</v>
      </c>
      <c r="H125" s="87" t="s">
        <v>30</v>
      </c>
      <c r="I125">
        <v>-0.41666666699999999</v>
      </c>
      <c r="J125">
        <v>34.200000000000003</v>
      </c>
      <c r="K125" s="87" t="s">
        <v>29</v>
      </c>
      <c r="AV125" t="s">
        <v>1661</v>
      </c>
      <c r="AW125">
        <v>50</v>
      </c>
      <c r="AX125" t="s">
        <v>234</v>
      </c>
      <c r="AY125">
        <v>1</v>
      </c>
      <c r="AZ125" t="s">
        <v>1669</v>
      </c>
      <c r="BA125">
        <v>2007</v>
      </c>
      <c r="BB125">
        <v>2008</v>
      </c>
      <c r="BD125" t="s">
        <v>238</v>
      </c>
      <c r="BE125" t="s">
        <v>1655</v>
      </c>
      <c r="BF125" t="s">
        <v>277</v>
      </c>
      <c r="BH125" t="s">
        <v>23</v>
      </c>
      <c r="BI125" t="s">
        <v>1662</v>
      </c>
      <c r="BJ125" s="87" t="s">
        <v>22</v>
      </c>
      <c r="BK125">
        <v>44444</v>
      </c>
      <c r="BL125" t="s">
        <v>56</v>
      </c>
      <c r="BM125" t="s">
        <v>1659</v>
      </c>
      <c r="BN125" t="s">
        <v>1660</v>
      </c>
      <c r="BO125" s="87" t="s">
        <v>22</v>
      </c>
      <c r="BP125">
        <v>44444</v>
      </c>
      <c r="BQ125" t="s">
        <v>56</v>
      </c>
      <c r="BR125" t="s">
        <v>1646</v>
      </c>
      <c r="BS125" t="s">
        <v>234</v>
      </c>
      <c r="BT125" t="s">
        <v>234</v>
      </c>
      <c r="BU125" t="s">
        <v>234</v>
      </c>
      <c r="IF125" t="s">
        <v>1655</v>
      </c>
      <c r="IG125" s="84" t="s">
        <v>1665</v>
      </c>
      <c r="IH125" t="s">
        <v>660</v>
      </c>
      <c r="II125" t="s">
        <v>661</v>
      </c>
      <c r="IJ125" t="s">
        <v>836</v>
      </c>
      <c r="IK125" t="s">
        <v>836</v>
      </c>
      <c r="IL125" s="87" t="s">
        <v>29</v>
      </c>
      <c r="JH125" t="s">
        <v>1663</v>
      </c>
      <c r="JI125" t="s">
        <v>15</v>
      </c>
      <c r="JJ125" t="s">
        <v>14</v>
      </c>
      <c r="JK125" s="8" t="s">
        <v>1664</v>
      </c>
      <c r="JN125" t="s">
        <v>13</v>
      </c>
      <c r="JO125">
        <v>40</v>
      </c>
      <c r="JP125">
        <v>50</v>
      </c>
      <c r="KD125" t="s">
        <v>12</v>
      </c>
      <c r="MR125" t="s">
        <v>1640</v>
      </c>
      <c r="MS125">
        <v>36</v>
      </c>
      <c r="MT125" t="s">
        <v>1649</v>
      </c>
      <c r="MV125" t="s">
        <v>168</v>
      </c>
      <c r="ND125" t="s">
        <v>1686</v>
      </c>
      <c r="NF125" s="4" t="s">
        <v>8</v>
      </c>
      <c r="NG125" t="s">
        <v>7</v>
      </c>
      <c r="NO125" s="78"/>
      <c r="NP125" t="s">
        <v>6</v>
      </c>
      <c r="NQ125">
        <v>5.5</v>
      </c>
      <c r="NR125" s="4" t="s">
        <v>4</v>
      </c>
      <c r="NS125" s="4">
        <v>0.1</v>
      </c>
      <c r="NV125">
        <v>4</v>
      </c>
      <c r="OG125" t="s">
        <v>1684</v>
      </c>
      <c r="OH125" s="87" t="s">
        <v>2</v>
      </c>
      <c r="OI125">
        <v>2007</v>
      </c>
      <c r="OL125" t="s">
        <v>1666</v>
      </c>
      <c r="ON125" t="s">
        <v>1169</v>
      </c>
      <c r="OO125" s="58">
        <v>46105</v>
      </c>
    </row>
    <row r="126" spans="1:405" ht="15.75" thickBot="1">
      <c r="A126" t="s">
        <v>248</v>
      </c>
      <c r="B126" t="s">
        <v>1870</v>
      </c>
      <c r="C126" t="s">
        <v>34</v>
      </c>
      <c r="D126" s="100" t="s">
        <v>31</v>
      </c>
      <c r="E126" s="90" t="s">
        <v>1658</v>
      </c>
      <c r="F126" s="100" t="s">
        <v>31</v>
      </c>
      <c r="G126" s="87" t="s">
        <v>2</v>
      </c>
      <c r="H126" s="87" t="s">
        <v>30</v>
      </c>
      <c r="I126">
        <v>-0.41666666699999999</v>
      </c>
      <c r="J126">
        <v>34.200000000000003</v>
      </c>
      <c r="K126" s="87" t="s">
        <v>29</v>
      </c>
      <c r="AV126" t="s">
        <v>1661</v>
      </c>
      <c r="AW126">
        <v>51</v>
      </c>
      <c r="AX126" t="s">
        <v>234</v>
      </c>
      <c r="AY126">
        <v>1</v>
      </c>
      <c r="AZ126" t="s">
        <v>1667</v>
      </c>
      <c r="BA126">
        <v>2007</v>
      </c>
      <c r="BB126">
        <v>2008</v>
      </c>
      <c r="BD126" t="s">
        <v>19</v>
      </c>
      <c r="BE126" t="s">
        <v>1651</v>
      </c>
      <c r="BF126" t="s">
        <v>24</v>
      </c>
      <c r="BH126" t="s">
        <v>23</v>
      </c>
      <c r="BI126" t="s">
        <v>1662</v>
      </c>
      <c r="BJ126" s="87" t="s">
        <v>22</v>
      </c>
      <c r="BK126">
        <v>44444</v>
      </c>
      <c r="IF126" t="s">
        <v>1651</v>
      </c>
      <c r="IG126" t="s">
        <v>19</v>
      </c>
      <c r="JH126" t="s">
        <v>1663</v>
      </c>
      <c r="JI126" t="s">
        <v>15</v>
      </c>
      <c r="JJ126" t="s">
        <v>14</v>
      </c>
      <c r="JK126" s="8" t="s">
        <v>1664</v>
      </c>
      <c r="JN126" t="s">
        <v>13</v>
      </c>
      <c r="JO126">
        <v>40</v>
      </c>
      <c r="JP126">
        <v>50</v>
      </c>
      <c r="KD126" t="s">
        <v>12</v>
      </c>
      <c r="MR126" t="s">
        <v>1640</v>
      </c>
      <c r="MS126">
        <v>36</v>
      </c>
      <c r="MT126" t="s">
        <v>1641</v>
      </c>
      <c r="MV126" t="s">
        <v>168</v>
      </c>
      <c r="ND126" t="s">
        <v>1686</v>
      </c>
      <c r="NF126" s="4" t="s">
        <v>8</v>
      </c>
      <c r="NG126" t="s">
        <v>7</v>
      </c>
      <c r="NO126" s="78" t="s">
        <v>743</v>
      </c>
      <c r="NP126" t="s">
        <v>6</v>
      </c>
      <c r="NQ126">
        <v>3.5</v>
      </c>
      <c r="NR126" s="4" t="s">
        <v>4</v>
      </c>
      <c r="NS126" s="4">
        <v>0.1</v>
      </c>
      <c r="NV126">
        <v>4</v>
      </c>
      <c r="OG126" t="s">
        <v>1685</v>
      </c>
      <c r="OH126" s="87" t="s">
        <v>2</v>
      </c>
      <c r="OI126">
        <v>2007</v>
      </c>
      <c r="OL126" t="s">
        <v>1656</v>
      </c>
      <c r="ON126" t="s">
        <v>1169</v>
      </c>
      <c r="OO126" s="58">
        <v>46105</v>
      </c>
    </row>
    <row r="127" spans="1:405" ht="15.75" thickBot="1">
      <c r="A127" t="s">
        <v>248</v>
      </c>
      <c r="B127" t="s">
        <v>1870</v>
      </c>
      <c r="C127" t="s">
        <v>34</v>
      </c>
      <c r="D127" s="100" t="s">
        <v>31</v>
      </c>
      <c r="E127" s="90" t="s">
        <v>1658</v>
      </c>
      <c r="F127" s="100" t="s">
        <v>31</v>
      </c>
      <c r="G127" s="87" t="s">
        <v>2</v>
      </c>
      <c r="H127" s="87" t="s">
        <v>30</v>
      </c>
      <c r="I127">
        <v>-0.41666666699999999</v>
      </c>
      <c r="J127">
        <v>34.200000000000003</v>
      </c>
      <c r="K127" s="87" t="s">
        <v>29</v>
      </c>
      <c r="AV127" t="s">
        <v>1661</v>
      </c>
      <c r="AW127">
        <v>52</v>
      </c>
      <c r="AX127" t="s">
        <v>234</v>
      </c>
      <c r="AY127">
        <v>1</v>
      </c>
      <c r="AZ127" t="s">
        <v>1667</v>
      </c>
      <c r="BA127">
        <v>2007</v>
      </c>
      <c r="BB127">
        <v>2008</v>
      </c>
      <c r="BD127" t="s">
        <v>238</v>
      </c>
      <c r="BE127" t="s">
        <v>1652</v>
      </c>
      <c r="BF127" t="s">
        <v>252</v>
      </c>
      <c r="BH127" t="s">
        <v>23</v>
      </c>
      <c r="BI127" t="s">
        <v>1662</v>
      </c>
      <c r="BJ127" s="87" t="s">
        <v>22</v>
      </c>
      <c r="BK127">
        <v>44444</v>
      </c>
      <c r="BL127" t="s">
        <v>56</v>
      </c>
      <c r="BM127" t="s">
        <v>1659</v>
      </c>
      <c r="BN127" t="s">
        <v>1660</v>
      </c>
      <c r="BO127" s="87" t="s">
        <v>22</v>
      </c>
      <c r="BP127">
        <v>44444</v>
      </c>
      <c r="EH127" s="9"/>
      <c r="EI127" s="9"/>
      <c r="EJ127" s="9"/>
      <c r="EK127" s="9"/>
      <c r="EL127" s="9"/>
      <c r="EM127" s="9"/>
      <c r="EN127" s="9"/>
      <c r="EO127" s="9"/>
      <c r="EP127" s="9"/>
      <c r="EQ127" s="9"/>
      <c r="ER127" s="9"/>
      <c r="ES127" s="9"/>
      <c r="ET127" s="9"/>
      <c r="EU127" s="9"/>
      <c r="EV127" s="9"/>
      <c r="EW127" s="9"/>
      <c r="EX127" s="9"/>
      <c r="EY127" s="9"/>
      <c r="EZ127" s="9"/>
      <c r="FA127" s="9"/>
      <c r="FB127" s="9"/>
      <c r="FC127" s="9"/>
      <c r="FD127" s="9"/>
      <c r="FE127" s="9"/>
      <c r="FF127" s="9"/>
      <c r="FG127" s="9"/>
      <c r="FH127" s="9"/>
      <c r="FI127" s="9"/>
      <c r="FJ127" s="9"/>
      <c r="FK127" s="9"/>
      <c r="FL127" s="9"/>
      <c r="FM127" s="9"/>
      <c r="FN127" s="9"/>
      <c r="FO127" s="9"/>
      <c r="FP127" s="9"/>
      <c r="FQ127" s="9"/>
      <c r="FR127" s="9"/>
      <c r="FS127" s="9"/>
      <c r="FT127" s="9"/>
      <c r="FU127" s="9"/>
      <c r="FV127" s="9"/>
      <c r="FW127" s="9"/>
      <c r="FX127" s="9"/>
      <c r="FY127" s="9"/>
      <c r="FZ127" s="9"/>
      <c r="GA127" s="9"/>
      <c r="GB127" s="9"/>
      <c r="GC127" s="9"/>
      <c r="GD127" s="9"/>
      <c r="GE127" s="9"/>
      <c r="GF127" s="9"/>
      <c r="GG127" s="9"/>
      <c r="GH127" s="9"/>
      <c r="GI127" s="9"/>
      <c r="GJ127" s="9"/>
      <c r="GK127" s="9"/>
      <c r="GL127" s="9"/>
      <c r="GM127" s="9"/>
      <c r="GN127" s="9"/>
      <c r="GO127" s="9"/>
      <c r="GP127" s="9"/>
      <c r="GQ127" s="9"/>
      <c r="GR127" s="9"/>
      <c r="GS127" s="9"/>
      <c r="GT127" s="9"/>
      <c r="GU127" s="9"/>
      <c r="GV127" s="9"/>
      <c r="GW127" s="9"/>
      <c r="GX127" s="9"/>
      <c r="GY127" s="9"/>
      <c r="GZ127" s="9"/>
      <c r="HA127" s="9"/>
      <c r="HB127" s="9"/>
      <c r="HC127" s="9"/>
      <c r="HD127" s="9"/>
      <c r="HE127" s="9"/>
      <c r="HF127" s="9"/>
      <c r="HG127" s="9"/>
      <c r="HH127" s="9"/>
      <c r="HI127" s="9"/>
      <c r="HJ127" s="9"/>
      <c r="HK127" s="9"/>
      <c r="HW127" s="58"/>
      <c r="IF127" t="s">
        <v>1652</v>
      </c>
      <c r="IG127" s="84" t="s">
        <v>1443</v>
      </c>
      <c r="IH127" t="s">
        <v>660</v>
      </c>
      <c r="II127" t="s">
        <v>661</v>
      </c>
      <c r="IJ127" t="s">
        <v>836</v>
      </c>
      <c r="IK127" t="s">
        <v>836</v>
      </c>
      <c r="IL127" s="87" t="s">
        <v>29</v>
      </c>
      <c r="JH127" t="s">
        <v>1663</v>
      </c>
      <c r="JI127" t="s">
        <v>15</v>
      </c>
      <c r="JJ127" t="s">
        <v>14</v>
      </c>
      <c r="JK127" s="8" t="s">
        <v>1664</v>
      </c>
      <c r="JN127" t="s">
        <v>13</v>
      </c>
      <c r="JO127">
        <v>40</v>
      </c>
      <c r="JP127">
        <v>50</v>
      </c>
      <c r="KD127" t="s">
        <v>12</v>
      </c>
      <c r="MR127" t="s">
        <v>1640</v>
      </c>
      <c r="MS127">
        <v>36</v>
      </c>
      <c r="MT127" t="s">
        <v>1644</v>
      </c>
      <c r="MV127" t="s">
        <v>168</v>
      </c>
      <c r="ND127" t="s">
        <v>1686</v>
      </c>
      <c r="NF127" s="4" t="s">
        <v>8</v>
      </c>
      <c r="NG127" t="s">
        <v>7</v>
      </c>
      <c r="NO127" s="78"/>
      <c r="NP127" t="s">
        <v>6</v>
      </c>
      <c r="NQ127">
        <v>3.1</v>
      </c>
      <c r="NR127" s="4" t="s">
        <v>4</v>
      </c>
      <c r="NS127" s="4">
        <v>0.2</v>
      </c>
      <c r="NV127">
        <v>4</v>
      </c>
      <c r="OG127" t="s">
        <v>1685</v>
      </c>
      <c r="OH127" s="87" t="s">
        <v>2</v>
      </c>
      <c r="OI127">
        <v>2007</v>
      </c>
      <c r="OL127" t="s">
        <v>1656</v>
      </c>
      <c r="ON127" t="s">
        <v>1169</v>
      </c>
      <c r="OO127" s="58">
        <v>46105</v>
      </c>
    </row>
    <row r="128" spans="1:405" ht="15.75" thickBot="1">
      <c r="A128" t="s">
        <v>248</v>
      </c>
      <c r="B128" t="s">
        <v>1870</v>
      </c>
      <c r="C128" t="s">
        <v>34</v>
      </c>
      <c r="D128" s="100" t="s">
        <v>31</v>
      </c>
      <c r="E128" s="90" t="s">
        <v>1658</v>
      </c>
      <c r="F128" s="100" t="s">
        <v>31</v>
      </c>
      <c r="G128" s="87" t="s">
        <v>2</v>
      </c>
      <c r="H128" s="87" t="s">
        <v>30</v>
      </c>
      <c r="I128">
        <v>-0.41666666699999999</v>
      </c>
      <c r="J128">
        <v>34.200000000000003</v>
      </c>
      <c r="K128" s="87" t="s">
        <v>29</v>
      </c>
      <c r="AV128" t="s">
        <v>1661</v>
      </c>
      <c r="AW128">
        <v>53</v>
      </c>
      <c r="AX128" t="s">
        <v>234</v>
      </c>
      <c r="AY128">
        <v>1</v>
      </c>
      <c r="AZ128" t="s">
        <v>1667</v>
      </c>
      <c r="BA128">
        <v>2007</v>
      </c>
      <c r="BB128">
        <v>2008</v>
      </c>
      <c r="BD128" t="s">
        <v>238</v>
      </c>
      <c r="BE128" t="s">
        <v>1653</v>
      </c>
      <c r="BF128" t="s">
        <v>236</v>
      </c>
      <c r="BH128" t="s">
        <v>23</v>
      </c>
      <c r="BI128" t="s">
        <v>1662</v>
      </c>
      <c r="BJ128" s="87" t="s">
        <v>22</v>
      </c>
      <c r="BK128">
        <v>44444</v>
      </c>
      <c r="BL128" t="s">
        <v>56</v>
      </c>
      <c r="BM128" t="s">
        <v>1646</v>
      </c>
      <c r="BN128" t="s">
        <v>234</v>
      </c>
      <c r="BO128" t="s">
        <v>234</v>
      </c>
      <c r="BP128" t="s">
        <v>234</v>
      </c>
      <c r="EH128" s="9"/>
      <c r="EI128" s="9"/>
      <c r="EJ128" s="9"/>
      <c r="EK128" s="9"/>
      <c r="EL128" s="9"/>
      <c r="EM128" s="9"/>
      <c r="EN128" s="9"/>
      <c r="EO128" s="9"/>
      <c r="EP128" s="9"/>
      <c r="EQ128" s="9"/>
      <c r="ER128" s="9"/>
      <c r="ES128" s="9"/>
      <c r="ET128" s="9"/>
      <c r="EU128" s="9"/>
      <c r="EV128" s="9"/>
      <c r="EW128" s="9"/>
      <c r="EX128" s="9"/>
      <c r="EY128" s="9"/>
      <c r="EZ128" s="9"/>
      <c r="FA128" s="9"/>
      <c r="FB128" s="9"/>
      <c r="FC128" s="9"/>
      <c r="FD128" s="9"/>
      <c r="FE128" s="9"/>
      <c r="FF128" s="9"/>
      <c r="FG128" s="9"/>
      <c r="FH128" s="9"/>
      <c r="FI128" s="9"/>
      <c r="FJ128" s="9"/>
      <c r="FK128" s="9"/>
      <c r="FL128" s="9"/>
      <c r="FM128" s="9"/>
      <c r="FN128" s="9"/>
      <c r="FO128" s="9"/>
      <c r="FP128" s="9"/>
      <c r="FQ128" s="9"/>
      <c r="FR128" s="9"/>
      <c r="FS128" s="9"/>
      <c r="FT128" s="9"/>
      <c r="FU128" s="9"/>
      <c r="FV128" s="9"/>
      <c r="FW128" s="9"/>
      <c r="FX128" s="9"/>
      <c r="FY128" s="9"/>
      <c r="FZ128" s="9"/>
      <c r="GA128" s="9"/>
      <c r="GB128" s="9"/>
      <c r="GC128" s="9"/>
      <c r="GD128" s="9"/>
      <c r="GE128" s="9"/>
      <c r="GF128" s="9"/>
      <c r="GG128" s="9"/>
      <c r="GH128" s="9"/>
      <c r="GI128" s="9"/>
      <c r="GJ128" s="9"/>
      <c r="GK128" s="9"/>
      <c r="GL128" s="9"/>
      <c r="GM128" s="9"/>
      <c r="GN128" s="9"/>
      <c r="GO128" s="9"/>
      <c r="GP128" s="9"/>
      <c r="GQ128" s="9"/>
      <c r="GR128" s="9"/>
      <c r="GS128" s="9"/>
      <c r="GT128" s="9"/>
      <c r="GU128" s="9"/>
      <c r="GV128" s="9"/>
      <c r="GW128" s="9"/>
      <c r="GX128" s="9"/>
      <c r="GY128" s="9"/>
      <c r="GZ128" s="9"/>
      <c r="HA128" s="9"/>
      <c r="HB128" s="9"/>
      <c r="HC128" s="9"/>
      <c r="HD128" s="9"/>
      <c r="HE128" s="9"/>
      <c r="HF128" s="9"/>
      <c r="HG128" s="9"/>
      <c r="HH128" s="9"/>
      <c r="HI128" s="9"/>
      <c r="HJ128" s="9"/>
      <c r="HK128" s="9"/>
      <c r="HW128" s="58"/>
      <c r="IF128" t="s">
        <v>1653</v>
      </c>
      <c r="IG128" s="84" t="s">
        <v>1665</v>
      </c>
      <c r="IH128" t="s">
        <v>660</v>
      </c>
      <c r="II128" t="s">
        <v>661</v>
      </c>
      <c r="IJ128" t="s">
        <v>836</v>
      </c>
      <c r="IK128" t="s">
        <v>836</v>
      </c>
      <c r="IL128" s="87" t="s">
        <v>29</v>
      </c>
      <c r="JH128" t="s">
        <v>1663</v>
      </c>
      <c r="JI128" t="s">
        <v>15</v>
      </c>
      <c r="JJ128" t="s">
        <v>14</v>
      </c>
      <c r="JK128" s="8" t="s">
        <v>1664</v>
      </c>
      <c r="JN128" t="s">
        <v>13</v>
      </c>
      <c r="JO128">
        <v>40</v>
      </c>
      <c r="JP128">
        <v>50</v>
      </c>
      <c r="KD128" t="s">
        <v>12</v>
      </c>
      <c r="MR128" t="s">
        <v>1640</v>
      </c>
      <c r="MS128">
        <v>36</v>
      </c>
      <c r="MT128" t="s">
        <v>1647</v>
      </c>
      <c r="MV128" t="s">
        <v>168</v>
      </c>
      <c r="ND128" t="s">
        <v>1686</v>
      </c>
      <c r="NF128" s="4" t="s">
        <v>8</v>
      </c>
      <c r="NG128" t="s">
        <v>7</v>
      </c>
      <c r="NO128" s="78"/>
      <c r="NP128" t="s">
        <v>6</v>
      </c>
      <c r="NQ128">
        <v>5.6</v>
      </c>
      <c r="NR128" s="4" t="s">
        <v>4</v>
      </c>
      <c r="NS128" s="4">
        <v>0.1</v>
      </c>
      <c r="NV128">
        <v>4</v>
      </c>
      <c r="OG128" t="s">
        <v>1685</v>
      </c>
      <c r="OH128" s="87" t="s">
        <v>2</v>
      </c>
      <c r="OI128">
        <v>2007</v>
      </c>
      <c r="OL128" t="s">
        <v>1656</v>
      </c>
      <c r="ON128" t="s">
        <v>1169</v>
      </c>
      <c r="OO128" s="58">
        <v>46105</v>
      </c>
    </row>
    <row r="129" spans="1:405" ht="15.75" thickBot="1">
      <c r="A129" t="s">
        <v>248</v>
      </c>
      <c r="B129" t="s">
        <v>1870</v>
      </c>
      <c r="C129" t="s">
        <v>34</v>
      </c>
      <c r="D129" s="100" t="s">
        <v>31</v>
      </c>
      <c r="E129" s="90" t="s">
        <v>1658</v>
      </c>
      <c r="F129" s="100" t="s">
        <v>31</v>
      </c>
      <c r="G129" s="87" t="s">
        <v>2</v>
      </c>
      <c r="H129" s="87" t="s">
        <v>30</v>
      </c>
      <c r="I129">
        <v>-0.41666666699999999</v>
      </c>
      <c r="J129">
        <v>34.200000000000003</v>
      </c>
      <c r="K129" s="87" t="s">
        <v>29</v>
      </c>
      <c r="AV129" t="s">
        <v>1661</v>
      </c>
      <c r="AW129">
        <v>54</v>
      </c>
      <c r="AX129" t="s">
        <v>234</v>
      </c>
      <c r="AY129">
        <v>1</v>
      </c>
      <c r="AZ129" t="s">
        <v>1667</v>
      </c>
      <c r="BA129">
        <v>2007</v>
      </c>
      <c r="BB129">
        <v>2008</v>
      </c>
      <c r="BD129" t="s">
        <v>238</v>
      </c>
      <c r="BE129" t="s">
        <v>1654</v>
      </c>
      <c r="BF129" t="s">
        <v>284</v>
      </c>
      <c r="BH129" t="s">
        <v>23</v>
      </c>
      <c r="BI129" t="s">
        <v>1662</v>
      </c>
      <c r="BJ129" s="87" t="s">
        <v>22</v>
      </c>
      <c r="BK129">
        <v>44444</v>
      </c>
      <c r="BL129" t="s">
        <v>56</v>
      </c>
      <c r="BM129" t="s">
        <v>1659</v>
      </c>
      <c r="BN129" t="s">
        <v>1660</v>
      </c>
      <c r="BO129" s="87" t="s">
        <v>22</v>
      </c>
      <c r="BP129">
        <v>44444</v>
      </c>
      <c r="BQ129" t="s">
        <v>56</v>
      </c>
      <c r="BR129" t="s">
        <v>1646</v>
      </c>
      <c r="BS129" t="s">
        <v>234</v>
      </c>
      <c r="BT129" t="s">
        <v>234</v>
      </c>
      <c r="BU129" t="s">
        <v>234</v>
      </c>
      <c r="EH129" s="9"/>
      <c r="EI129" s="9"/>
      <c r="EJ129" s="9"/>
      <c r="EK129" s="9"/>
      <c r="EL129" s="9"/>
      <c r="EM129" s="9"/>
      <c r="EN129" s="9"/>
      <c r="EO129" s="9"/>
      <c r="EP129" s="9"/>
      <c r="EQ129" s="9"/>
      <c r="ER129" s="9"/>
      <c r="ES129" s="9"/>
      <c r="ET129" s="9"/>
      <c r="EU129" s="9"/>
      <c r="EV129" s="9"/>
      <c r="EW129" s="9"/>
      <c r="EX129" s="9"/>
      <c r="EY129" s="9"/>
      <c r="EZ129" s="9"/>
      <c r="FA129" s="9"/>
      <c r="FB129" s="9"/>
      <c r="FC129" s="9"/>
      <c r="FD129" s="9"/>
      <c r="FE129" s="9"/>
      <c r="FF129" s="9"/>
      <c r="FG129" s="9"/>
      <c r="FH129" s="9"/>
      <c r="FI129" s="9"/>
      <c r="FJ129" s="9"/>
      <c r="FK129" s="9"/>
      <c r="FL129" s="9"/>
      <c r="FM129" s="9"/>
      <c r="FN129" s="9"/>
      <c r="FO129" s="9"/>
      <c r="FP129" s="9"/>
      <c r="FQ129" s="9"/>
      <c r="FR129" s="9"/>
      <c r="FS129" s="9"/>
      <c r="FT129" s="9"/>
      <c r="FU129" s="9"/>
      <c r="FV129" s="9"/>
      <c r="FW129" s="9"/>
      <c r="FX129" s="9"/>
      <c r="FY129" s="9"/>
      <c r="FZ129" s="9"/>
      <c r="GA129" s="9"/>
      <c r="GB129" s="9"/>
      <c r="GC129" s="9"/>
      <c r="GD129" s="9"/>
      <c r="GE129" s="9"/>
      <c r="GF129" s="9"/>
      <c r="GG129" s="9"/>
      <c r="GH129" s="9"/>
      <c r="GI129" s="9"/>
      <c r="GJ129" s="9"/>
      <c r="GK129" s="9"/>
      <c r="GL129" s="9"/>
      <c r="GM129" s="9"/>
      <c r="GN129" s="9"/>
      <c r="GO129" s="9"/>
      <c r="GP129" s="9"/>
      <c r="GQ129" s="9"/>
      <c r="GR129" s="9"/>
      <c r="GS129" s="9"/>
      <c r="GT129" s="9"/>
      <c r="GU129" s="9"/>
      <c r="GV129" s="9"/>
      <c r="GW129" s="9"/>
      <c r="GX129" s="9"/>
      <c r="GY129" s="9"/>
      <c r="GZ129" s="9"/>
      <c r="HA129" s="9"/>
      <c r="HB129" s="9"/>
      <c r="HC129" s="9"/>
      <c r="HD129" s="9"/>
      <c r="HE129" s="9"/>
      <c r="HF129" s="9"/>
      <c r="HG129" s="9"/>
      <c r="HH129" s="9"/>
      <c r="HI129" s="9"/>
      <c r="HJ129" s="9"/>
      <c r="HK129" s="9"/>
      <c r="HW129" s="58"/>
      <c r="IF129" t="s">
        <v>1654</v>
      </c>
      <c r="IG129" s="84" t="s">
        <v>1665</v>
      </c>
      <c r="IH129" t="s">
        <v>660</v>
      </c>
      <c r="II129" t="s">
        <v>661</v>
      </c>
      <c r="IJ129" t="s">
        <v>836</v>
      </c>
      <c r="IK129" t="s">
        <v>836</v>
      </c>
      <c r="IL129" s="87" t="s">
        <v>29</v>
      </c>
      <c r="JH129" t="s">
        <v>1663</v>
      </c>
      <c r="JI129" t="s">
        <v>15</v>
      </c>
      <c r="JJ129" t="s">
        <v>14</v>
      </c>
      <c r="JK129" s="8" t="s">
        <v>1664</v>
      </c>
      <c r="JN129" t="s">
        <v>13</v>
      </c>
      <c r="JO129">
        <v>40</v>
      </c>
      <c r="JP129">
        <v>50</v>
      </c>
      <c r="KD129" t="s">
        <v>12</v>
      </c>
      <c r="MR129" t="s">
        <v>1640</v>
      </c>
      <c r="MS129">
        <v>36</v>
      </c>
      <c r="MT129" t="s">
        <v>1649</v>
      </c>
      <c r="MV129" t="s">
        <v>168</v>
      </c>
      <c r="ND129" t="s">
        <v>1686</v>
      </c>
      <c r="NF129" s="4" t="s">
        <v>8</v>
      </c>
      <c r="NG129" t="s">
        <v>7</v>
      </c>
      <c r="NO129" s="78"/>
      <c r="NP129" t="s">
        <v>6</v>
      </c>
      <c r="NQ129">
        <v>5</v>
      </c>
      <c r="NR129" s="4" t="s">
        <v>4</v>
      </c>
      <c r="NS129" s="4">
        <v>0.1</v>
      </c>
      <c r="NV129">
        <v>4</v>
      </c>
      <c r="OG129" t="s">
        <v>1685</v>
      </c>
      <c r="OH129" s="87" t="s">
        <v>2</v>
      </c>
      <c r="OI129">
        <v>2007</v>
      </c>
      <c r="OL129" t="s">
        <v>1656</v>
      </c>
      <c r="ON129" t="s">
        <v>1169</v>
      </c>
      <c r="OO129" s="58">
        <v>46105</v>
      </c>
    </row>
    <row r="130" spans="1:405" ht="15.75" thickBot="1">
      <c r="A130" t="s">
        <v>248</v>
      </c>
      <c r="B130" t="s">
        <v>1870</v>
      </c>
      <c r="C130" t="s">
        <v>34</v>
      </c>
      <c r="D130" s="100" t="s">
        <v>31</v>
      </c>
      <c r="E130" s="90" t="s">
        <v>1658</v>
      </c>
      <c r="F130" s="100" t="s">
        <v>31</v>
      </c>
      <c r="G130" s="87" t="s">
        <v>2</v>
      </c>
      <c r="H130" s="87" t="s">
        <v>30</v>
      </c>
      <c r="I130">
        <v>-0.41666666699999999</v>
      </c>
      <c r="J130">
        <v>34.200000000000003</v>
      </c>
      <c r="K130" s="87" t="s">
        <v>29</v>
      </c>
      <c r="AV130" t="s">
        <v>1661</v>
      </c>
      <c r="AW130">
        <v>55</v>
      </c>
      <c r="AX130" t="s">
        <v>234</v>
      </c>
      <c r="AY130">
        <v>1</v>
      </c>
      <c r="AZ130" t="s">
        <v>1667</v>
      </c>
      <c r="BA130">
        <v>2007</v>
      </c>
      <c r="BB130">
        <v>2008</v>
      </c>
      <c r="BD130" t="s">
        <v>238</v>
      </c>
      <c r="BE130" t="s">
        <v>1655</v>
      </c>
      <c r="BF130" t="s">
        <v>277</v>
      </c>
      <c r="BH130" t="s">
        <v>23</v>
      </c>
      <c r="BI130" t="s">
        <v>1662</v>
      </c>
      <c r="BJ130" s="87" t="s">
        <v>22</v>
      </c>
      <c r="BK130">
        <v>44444</v>
      </c>
      <c r="BL130" t="s">
        <v>56</v>
      </c>
      <c r="BM130" t="s">
        <v>1659</v>
      </c>
      <c r="BN130" t="s">
        <v>1660</v>
      </c>
      <c r="BO130" s="87" t="s">
        <v>22</v>
      </c>
      <c r="BP130">
        <v>44444</v>
      </c>
      <c r="BQ130" t="s">
        <v>56</v>
      </c>
      <c r="BR130" t="s">
        <v>1646</v>
      </c>
      <c r="BS130" t="s">
        <v>234</v>
      </c>
      <c r="BT130" t="s">
        <v>234</v>
      </c>
      <c r="BU130" t="s">
        <v>234</v>
      </c>
      <c r="EH130" s="9"/>
      <c r="EI130" s="9"/>
      <c r="EJ130" s="9"/>
      <c r="EK130" s="9"/>
      <c r="EL130" s="9"/>
      <c r="EM130" s="9"/>
      <c r="EN130" s="9"/>
      <c r="EO130" s="9"/>
      <c r="EP130" s="9"/>
      <c r="EQ130" s="9"/>
      <c r="ER130" s="9"/>
      <c r="ES130" s="9"/>
      <c r="ET130" s="9"/>
      <c r="EU130" s="9"/>
      <c r="EV130" s="9"/>
      <c r="EW130" s="9"/>
      <c r="EX130" s="9"/>
      <c r="EY130" s="9"/>
      <c r="EZ130" s="9"/>
      <c r="FA130" s="9"/>
      <c r="FB130" s="9"/>
      <c r="FC130" s="9"/>
      <c r="FD130" s="9"/>
      <c r="FE130" s="9"/>
      <c r="FF130" s="9"/>
      <c r="FG130" s="9"/>
      <c r="FH130" s="9"/>
      <c r="FI130" s="9"/>
      <c r="FJ130" s="9"/>
      <c r="FK130" s="9"/>
      <c r="FL130" s="9"/>
      <c r="FM130" s="9"/>
      <c r="FN130" s="9"/>
      <c r="FO130" s="9"/>
      <c r="FP130" s="9"/>
      <c r="FQ130" s="9"/>
      <c r="FR130" s="9"/>
      <c r="FS130" s="9"/>
      <c r="FT130" s="9"/>
      <c r="FU130" s="9"/>
      <c r="FV130" s="9"/>
      <c r="FW130" s="9"/>
      <c r="FX130" s="9"/>
      <c r="FY130" s="9"/>
      <c r="FZ130" s="9"/>
      <c r="GA130" s="9"/>
      <c r="GB130" s="9"/>
      <c r="GC130" s="9"/>
      <c r="GD130" s="9"/>
      <c r="GE130" s="9"/>
      <c r="GF130" s="9"/>
      <c r="GG130" s="9"/>
      <c r="GH130" s="9"/>
      <c r="GI130" s="9"/>
      <c r="GJ130" s="9"/>
      <c r="GK130" s="9"/>
      <c r="GL130" s="9"/>
      <c r="GM130" s="9"/>
      <c r="GN130" s="9"/>
      <c r="GO130" s="9"/>
      <c r="GP130" s="9"/>
      <c r="GQ130" s="9"/>
      <c r="GR130" s="9"/>
      <c r="GS130" s="9"/>
      <c r="GT130" s="9"/>
      <c r="GU130" s="9"/>
      <c r="GV130" s="9"/>
      <c r="GW130" s="9"/>
      <c r="GX130" s="9"/>
      <c r="GY130" s="9"/>
      <c r="GZ130" s="9"/>
      <c r="HA130" s="9"/>
      <c r="HB130" s="9"/>
      <c r="HC130" s="9"/>
      <c r="HD130" s="9"/>
      <c r="HE130" s="9"/>
      <c r="HF130" s="9"/>
      <c r="HG130" s="9"/>
      <c r="HH130" s="9"/>
      <c r="HI130" s="9"/>
      <c r="HJ130" s="9"/>
      <c r="HK130" s="9"/>
      <c r="HW130" s="58"/>
      <c r="IF130" t="s">
        <v>1655</v>
      </c>
      <c r="IG130" s="84" t="s">
        <v>1665</v>
      </c>
      <c r="IH130" t="s">
        <v>660</v>
      </c>
      <c r="II130" t="s">
        <v>661</v>
      </c>
      <c r="IJ130" t="s">
        <v>836</v>
      </c>
      <c r="IK130" t="s">
        <v>836</v>
      </c>
      <c r="IL130" s="87" t="s">
        <v>29</v>
      </c>
      <c r="JH130" t="s">
        <v>1663</v>
      </c>
      <c r="JI130" t="s">
        <v>15</v>
      </c>
      <c r="JJ130" t="s">
        <v>14</v>
      </c>
      <c r="JK130" s="8" t="s">
        <v>1664</v>
      </c>
      <c r="JN130" t="s">
        <v>13</v>
      </c>
      <c r="JO130">
        <v>40</v>
      </c>
      <c r="JP130">
        <v>50</v>
      </c>
      <c r="KD130" t="s">
        <v>12</v>
      </c>
      <c r="MR130" t="s">
        <v>1640</v>
      </c>
      <c r="MS130">
        <v>36</v>
      </c>
      <c r="MT130" t="s">
        <v>1649</v>
      </c>
      <c r="MV130" t="s">
        <v>168</v>
      </c>
      <c r="ND130" t="s">
        <v>1686</v>
      </c>
      <c r="NF130" s="4" t="s">
        <v>8</v>
      </c>
      <c r="NG130" t="s">
        <v>7</v>
      </c>
      <c r="NO130" s="78"/>
      <c r="NP130" t="s">
        <v>6</v>
      </c>
      <c r="NQ130">
        <v>5.4</v>
      </c>
      <c r="NR130" s="4" t="s">
        <v>4</v>
      </c>
      <c r="NS130" s="4">
        <v>0.1</v>
      </c>
      <c r="NV130">
        <v>4</v>
      </c>
      <c r="OG130" t="s">
        <v>1685</v>
      </c>
      <c r="OH130" s="87" t="s">
        <v>2</v>
      </c>
      <c r="OI130">
        <v>2007</v>
      </c>
      <c r="OL130" t="s">
        <v>1656</v>
      </c>
      <c r="ON130" t="s">
        <v>1169</v>
      </c>
      <c r="OO130" s="58">
        <v>46105</v>
      </c>
    </row>
    <row r="131" spans="1:405" ht="15.75" thickBot="1">
      <c r="A131" t="s">
        <v>248</v>
      </c>
      <c r="B131" t="s">
        <v>1870</v>
      </c>
      <c r="C131" t="s">
        <v>34</v>
      </c>
      <c r="D131" s="100" t="s">
        <v>31</v>
      </c>
      <c r="E131" s="90" t="s">
        <v>1658</v>
      </c>
      <c r="F131" s="100" t="s">
        <v>31</v>
      </c>
      <c r="G131" s="87" t="s">
        <v>2</v>
      </c>
      <c r="H131" s="87" t="s">
        <v>30</v>
      </c>
      <c r="I131">
        <v>-0.41666666699999999</v>
      </c>
      <c r="J131">
        <v>34.200000000000003</v>
      </c>
      <c r="K131" s="87" t="s">
        <v>29</v>
      </c>
      <c r="AV131" t="s">
        <v>1661</v>
      </c>
      <c r="AW131">
        <v>36</v>
      </c>
      <c r="AX131" t="s">
        <v>234</v>
      </c>
      <c r="AY131">
        <v>1</v>
      </c>
      <c r="AZ131" t="s">
        <v>1667</v>
      </c>
      <c r="BA131">
        <v>2007</v>
      </c>
      <c r="BB131">
        <v>2008</v>
      </c>
      <c r="BD131" t="s">
        <v>19</v>
      </c>
      <c r="BE131" t="s">
        <v>1639</v>
      </c>
      <c r="BF131" t="s">
        <v>39</v>
      </c>
      <c r="BH131" t="s">
        <v>23</v>
      </c>
      <c r="BI131" t="s">
        <v>1662</v>
      </c>
      <c r="BJ131" s="87" t="s">
        <v>22</v>
      </c>
      <c r="BK131">
        <v>44444</v>
      </c>
      <c r="IF131" t="s">
        <v>1639</v>
      </c>
      <c r="IG131" t="s">
        <v>19</v>
      </c>
      <c r="JH131" t="s">
        <v>1663</v>
      </c>
      <c r="JI131" t="s">
        <v>15</v>
      </c>
      <c r="JJ131" t="s">
        <v>14</v>
      </c>
      <c r="JK131" s="8" t="s">
        <v>1664</v>
      </c>
      <c r="JN131" t="s">
        <v>13</v>
      </c>
      <c r="JO131">
        <v>40</v>
      </c>
      <c r="JP131">
        <v>50</v>
      </c>
      <c r="KD131" t="s">
        <v>12</v>
      </c>
      <c r="MR131" t="s">
        <v>1640</v>
      </c>
      <c r="MS131">
        <v>36</v>
      </c>
      <c r="MT131" t="s">
        <v>709</v>
      </c>
      <c r="MV131" t="s">
        <v>709</v>
      </c>
      <c r="NA131" t="s">
        <v>205</v>
      </c>
      <c r="NB131" t="s">
        <v>711</v>
      </c>
      <c r="ND131" t="s">
        <v>1696</v>
      </c>
      <c r="NF131" s="4" t="s">
        <v>203</v>
      </c>
      <c r="NG131" t="s">
        <v>1695</v>
      </c>
      <c r="NO131" s="78" t="s">
        <v>735</v>
      </c>
      <c r="NP131" t="s">
        <v>6</v>
      </c>
      <c r="NQ131">
        <v>148.5</v>
      </c>
      <c r="NR131" s="4" t="s">
        <v>4</v>
      </c>
      <c r="NS131" s="4">
        <v>44.8</v>
      </c>
      <c r="NV131">
        <v>4</v>
      </c>
      <c r="OG131" t="s">
        <v>1687</v>
      </c>
      <c r="OH131" s="87" t="s">
        <v>2</v>
      </c>
      <c r="OI131">
        <v>2007</v>
      </c>
      <c r="OL131" t="s">
        <v>1688</v>
      </c>
      <c r="ON131" t="s">
        <v>1169</v>
      </c>
      <c r="OO131" s="58">
        <v>46105</v>
      </c>
    </row>
    <row r="132" spans="1:405" ht="15.75" thickBot="1">
      <c r="A132" t="s">
        <v>248</v>
      </c>
      <c r="B132" t="s">
        <v>1870</v>
      </c>
      <c r="C132" t="s">
        <v>34</v>
      </c>
      <c r="D132" s="100" t="s">
        <v>31</v>
      </c>
      <c r="E132" s="90" t="s">
        <v>1658</v>
      </c>
      <c r="F132" s="100" t="s">
        <v>31</v>
      </c>
      <c r="G132" s="87" t="s">
        <v>2</v>
      </c>
      <c r="H132" s="87" t="s">
        <v>30</v>
      </c>
      <c r="I132">
        <v>-0.41666666699999999</v>
      </c>
      <c r="J132">
        <v>34.200000000000003</v>
      </c>
      <c r="K132" s="87" t="s">
        <v>29</v>
      </c>
      <c r="AV132" t="s">
        <v>1661</v>
      </c>
      <c r="AW132">
        <v>37</v>
      </c>
      <c r="AX132" t="s">
        <v>234</v>
      </c>
      <c r="AY132">
        <v>1</v>
      </c>
      <c r="AZ132" t="s">
        <v>1667</v>
      </c>
      <c r="BA132">
        <v>2007</v>
      </c>
      <c r="BB132">
        <v>2008</v>
      </c>
      <c r="BD132" t="s">
        <v>238</v>
      </c>
      <c r="BE132" t="s">
        <v>1643</v>
      </c>
      <c r="BF132" t="s">
        <v>64</v>
      </c>
      <c r="BH132" t="s">
        <v>23</v>
      </c>
      <c r="BI132" t="s">
        <v>1662</v>
      </c>
      <c r="BJ132" s="87" t="s">
        <v>22</v>
      </c>
      <c r="BK132">
        <v>44444</v>
      </c>
      <c r="BL132" t="s">
        <v>56</v>
      </c>
      <c r="BM132" t="s">
        <v>1659</v>
      </c>
      <c r="BN132" t="s">
        <v>1660</v>
      </c>
      <c r="BO132" s="87" t="s">
        <v>22</v>
      </c>
      <c r="BP132">
        <v>44444</v>
      </c>
      <c r="IF132" t="s">
        <v>1643</v>
      </c>
      <c r="IG132" s="84" t="s">
        <v>1443</v>
      </c>
      <c r="IH132" t="s">
        <v>660</v>
      </c>
      <c r="II132" t="s">
        <v>661</v>
      </c>
      <c r="IJ132" t="s">
        <v>836</v>
      </c>
      <c r="IK132" t="s">
        <v>836</v>
      </c>
      <c r="IL132" s="87" t="s">
        <v>29</v>
      </c>
      <c r="JH132" t="s">
        <v>1663</v>
      </c>
      <c r="JI132" t="s">
        <v>15</v>
      </c>
      <c r="JJ132" t="s">
        <v>14</v>
      </c>
      <c r="JK132" s="8" t="s">
        <v>1664</v>
      </c>
      <c r="JN132" t="s">
        <v>13</v>
      </c>
      <c r="JO132">
        <v>40</v>
      </c>
      <c r="JP132">
        <v>50</v>
      </c>
      <c r="KD132" t="s">
        <v>12</v>
      </c>
      <c r="MR132" t="s">
        <v>1640</v>
      </c>
      <c r="MS132">
        <v>36</v>
      </c>
      <c r="MT132" t="s">
        <v>709</v>
      </c>
      <c r="MV132" t="s">
        <v>709</v>
      </c>
      <c r="NA132" t="s">
        <v>205</v>
      </c>
      <c r="NB132" t="s">
        <v>711</v>
      </c>
      <c r="ND132" t="s">
        <v>1696</v>
      </c>
      <c r="NF132" s="4" t="s">
        <v>203</v>
      </c>
      <c r="NG132" t="s">
        <v>1695</v>
      </c>
      <c r="NO132" s="78"/>
      <c r="NP132" t="s">
        <v>6</v>
      </c>
      <c r="NQ132">
        <v>76</v>
      </c>
      <c r="NR132" s="4" t="s">
        <v>4</v>
      </c>
      <c r="NS132" s="4">
        <v>22</v>
      </c>
      <c r="NV132">
        <v>4</v>
      </c>
      <c r="OG132" t="s">
        <v>1687</v>
      </c>
      <c r="OH132" s="87" t="s">
        <v>2</v>
      </c>
      <c r="OI132">
        <v>2007</v>
      </c>
      <c r="OL132" t="s">
        <v>1688</v>
      </c>
      <c r="ON132" t="s">
        <v>1169</v>
      </c>
      <c r="OO132" s="58">
        <v>46105</v>
      </c>
    </row>
    <row r="133" spans="1:405" ht="15.75" thickBot="1">
      <c r="A133" t="s">
        <v>248</v>
      </c>
      <c r="B133" t="s">
        <v>1870</v>
      </c>
      <c r="C133" t="s">
        <v>34</v>
      </c>
      <c r="D133" s="100" t="s">
        <v>31</v>
      </c>
      <c r="E133" s="90" t="s">
        <v>1658</v>
      </c>
      <c r="F133" s="100" t="s">
        <v>31</v>
      </c>
      <c r="G133" s="87" t="s">
        <v>2</v>
      </c>
      <c r="H133" s="87" t="s">
        <v>30</v>
      </c>
      <c r="I133">
        <v>-0.41666666699999999</v>
      </c>
      <c r="J133">
        <v>34.200000000000003</v>
      </c>
      <c r="K133" s="87" t="s">
        <v>29</v>
      </c>
      <c r="AV133" t="s">
        <v>1661</v>
      </c>
      <c r="AW133">
        <v>38</v>
      </c>
      <c r="AX133" t="s">
        <v>234</v>
      </c>
      <c r="AY133">
        <v>1</v>
      </c>
      <c r="AZ133" t="s">
        <v>1667</v>
      </c>
      <c r="BA133">
        <v>2007</v>
      </c>
      <c r="BB133">
        <v>2008</v>
      </c>
      <c r="BD133" t="s">
        <v>238</v>
      </c>
      <c r="BE133" t="s">
        <v>1645</v>
      </c>
      <c r="BF133" t="s">
        <v>57</v>
      </c>
      <c r="BH133" t="s">
        <v>23</v>
      </c>
      <c r="BI133" t="s">
        <v>1662</v>
      </c>
      <c r="BJ133" s="87" t="s">
        <v>22</v>
      </c>
      <c r="BK133">
        <v>44444</v>
      </c>
      <c r="BL133" t="s">
        <v>56</v>
      </c>
      <c r="BM133" t="s">
        <v>1646</v>
      </c>
      <c r="BN133" t="s">
        <v>234</v>
      </c>
      <c r="BO133" t="s">
        <v>234</v>
      </c>
      <c r="BP133" t="s">
        <v>234</v>
      </c>
      <c r="IF133" t="s">
        <v>1645</v>
      </c>
      <c r="IG133" s="84" t="s">
        <v>1665</v>
      </c>
      <c r="IH133" t="s">
        <v>660</v>
      </c>
      <c r="II133" t="s">
        <v>661</v>
      </c>
      <c r="IJ133" t="s">
        <v>836</v>
      </c>
      <c r="IK133" t="s">
        <v>836</v>
      </c>
      <c r="IL133" s="87" t="s">
        <v>29</v>
      </c>
      <c r="JH133" t="s">
        <v>1663</v>
      </c>
      <c r="JI133" t="s">
        <v>15</v>
      </c>
      <c r="JJ133" t="s">
        <v>14</v>
      </c>
      <c r="JK133" s="8" t="s">
        <v>1664</v>
      </c>
      <c r="JN133" t="s">
        <v>13</v>
      </c>
      <c r="JO133">
        <v>40</v>
      </c>
      <c r="JP133">
        <v>50</v>
      </c>
      <c r="KD133" t="s">
        <v>12</v>
      </c>
      <c r="MR133" t="s">
        <v>1640</v>
      </c>
      <c r="MS133">
        <v>36</v>
      </c>
      <c r="MT133" t="s">
        <v>709</v>
      </c>
      <c r="MV133" t="s">
        <v>709</v>
      </c>
      <c r="NA133" t="s">
        <v>205</v>
      </c>
      <c r="NB133" t="s">
        <v>711</v>
      </c>
      <c r="ND133" t="s">
        <v>1696</v>
      </c>
      <c r="NF133" s="4" t="s">
        <v>203</v>
      </c>
      <c r="NG133" t="s">
        <v>1695</v>
      </c>
      <c r="NO133" s="78"/>
      <c r="NP133" t="s">
        <v>6</v>
      </c>
      <c r="NQ133">
        <v>15.5</v>
      </c>
      <c r="NR133" s="4" t="s">
        <v>4</v>
      </c>
      <c r="NS133" s="4">
        <v>2.8</v>
      </c>
      <c r="NV133">
        <v>4</v>
      </c>
      <c r="OG133" t="s">
        <v>1687</v>
      </c>
      <c r="OH133" s="87" t="s">
        <v>2</v>
      </c>
      <c r="OI133">
        <v>2007</v>
      </c>
      <c r="OL133" t="s">
        <v>1688</v>
      </c>
      <c r="ON133" t="s">
        <v>1169</v>
      </c>
      <c r="OO133" s="58">
        <v>46105</v>
      </c>
    </row>
    <row r="134" spans="1:405" ht="15.75" thickBot="1">
      <c r="A134" t="s">
        <v>248</v>
      </c>
      <c r="B134" t="s">
        <v>1870</v>
      </c>
      <c r="C134" t="s">
        <v>34</v>
      </c>
      <c r="D134" s="100" t="s">
        <v>31</v>
      </c>
      <c r="E134" s="90" t="s">
        <v>1658</v>
      </c>
      <c r="F134" s="100" t="s">
        <v>31</v>
      </c>
      <c r="G134" s="87" t="s">
        <v>2</v>
      </c>
      <c r="H134" s="87" t="s">
        <v>30</v>
      </c>
      <c r="I134">
        <v>-0.41666666699999999</v>
      </c>
      <c r="J134">
        <v>34.200000000000003</v>
      </c>
      <c r="K134" s="87" t="s">
        <v>29</v>
      </c>
      <c r="AV134" t="s">
        <v>1661</v>
      </c>
      <c r="AW134">
        <v>39</v>
      </c>
      <c r="AX134" t="s">
        <v>234</v>
      </c>
      <c r="AY134">
        <v>1</v>
      </c>
      <c r="AZ134" t="s">
        <v>1667</v>
      </c>
      <c r="BA134">
        <v>2007</v>
      </c>
      <c r="BB134">
        <v>2008</v>
      </c>
      <c r="BD134" t="s">
        <v>238</v>
      </c>
      <c r="BE134" t="s">
        <v>1648</v>
      </c>
      <c r="BF134" t="s">
        <v>48</v>
      </c>
      <c r="BH134" t="s">
        <v>23</v>
      </c>
      <c r="BI134" t="s">
        <v>1662</v>
      </c>
      <c r="BJ134" s="87" t="s">
        <v>22</v>
      </c>
      <c r="BK134">
        <v>44444</v>
      </c>
      <c r="BL134" t="s">
        <v>56</v>
      </c>
      <c r="BM134" t="s">
        <v>1659</v>
      </c>
      <c r="BN134" t="s">
        <v>1660</v>
      </c>
      <c r="BO134" s="87" t="s">
        <v>22</v>
      </c>
      <c r="BP134">
        <v>44444</v>
      </c>
      <c r="BQ134" t="s">
        <v>56</v>
      </c>
      <c r="BR134" t="s">
        <v>1646</v>
      </c>
      <c r="BS134" t="s">
        <v>234</v>
      </c>
      <c r="BT134" t="s">
        <v>234</v>
      </c>
      <c r="BU134" t="s">
        <v>234</v>
      </c>
      <c r="IF134" t="s">
        <v>1648</v>
      </c>
      <c r="IG134" s="84" t="s">
        <v>1665</v>
      </c>
      <c r="IH134" t="s">
        <v>660</v>
      </c>
      <c r="II134" t="s">
        <v>661</v>
      </c>
      <c r="IJ134" t="s">
        <v>836</v>
      </c>
      <c r="IK134" t="s">
        <v>836</v>
      </c>
      <c r="IL134" s="87" t="s">
        <v>29</v>
      </c>
      <c r="JH134" t="s">
        <v>1663</v>
      </c>
      <c r="JI134" t="s">
        <v>15</v>
      </c>
      <c r="JJ134" t="s">
        <v>14</v>
      </c>
      <c r="JK134" s="8" t="s">
        <v>1664</v>
      </c>
      <c r="JN134" t="s">
        <v>13</v>
      </c>
      <c r="JO134">
        <v>40</v>
      </c>
      <c r="JP134">
        <v>50</v>
      </c>
      <c r="KD134" t="s">
        <v>12</v>
      </c>
      <c r="MR134" t="s">
        <v>1640</v>
      </c>
      <c r="MS134">
        <v>36</v>
      </c>
      <c r="MT134" t="s">
        <v>709</v>
      </c>
      <c r="MV134" t="s">
        <v>709</v>
      </c>
      <c r="NA134" t="s">
        <v>205</v>
      </c>
      <c r="NB134" t="s">
        <v>711</v>
      </c>
      <c r="ND134" t="s">
        <v>1696</v>
      </c>
      <c r="NF134" s="4" t="s">
        <v>203</v>
      </c>
      <c r="NG134" t="s">
        <v>1695</v>
      </c>
      <c r="NO134" s="78"/>
      <c r="NP134" t="s">
        <v>6</v>
      </c>
      <c r="NQ134">
        <v>25.7</v>
      </c>
      <c r="NR134" s="4" t="s">
        <v>4</v>
      </c>
      <c r="NS134" s="4">
        <v>2.9</v>
      </c>
      <c r="NV134">
        <v>4</v>
      </c>
      <c r="OG134" t="s">
        <v>1687</v>
      </c>
      <c r="OH134" s="87" t="s">
        <v>2</v>
      </c>
      <c r="OI134">
        <v>2007</v>
      </c>
      <c r="OL134" t="s">
        <v>1688</v>
      </c>
      <c r="ON134" t="s">
        <v>1169</v>
      </c>
      <c r="OO134" s="58">
        <v>46105</v>
      </c>
    </row>
    <row r="135" spans="1:405" ht="15.75" thickBot="1">
      <c r="A135" t="s">
        <v>248</v>
      </c>
      <c r="B135" t="s">
        <v>1870</v>
      </c>
      <c r="C135" t="s">
        <v>34</v>
      </c>
      <c r="D135" s="100" t="s">
        <v>31</v>
      </c>
      <c r="E135" s="90" t="s">
        <v>1658</v>
      </c>
      <c r="F135" s="100" t="s">
        <v>31</v>
      </c>
      <c r="G135" s="87" t="s">
        <v>2</v>
      </c>
      <c r="H135" s="87" t="s">
        <v>30</v>
      </c>
      <c r="I135">
        <v>-0.41666666699999999</v>
      </c>
      <c r="J135">
        <v>34.200000000000003</v>
      </c>
      <c r="K135" s="87" t="s">
        <v>29</v>
      </c>
      <c r="AV135" t="s">
        <v>1661</v>
      </c>
      <c r="AW135">
        <v>40</v>
      </c>
      <c r="AX135" t="s">
        <v>234</v>
      </c>
      <c r="AY135">
        <v>1</v>
      </c>
      <c r="AZ135" t="s">
        <v>1667</v>
      </c>
      <c r="BA135">
        <v>2007</v>
      </c>
      <c r="BB135">
        <v>2008</v>
      </c>
      <c r="BD135" t="s">
        <v>238</v>
      </c>
      <c r="BE135" t="s">
        <v>1672</v>
      </c>
      <c r="BF135" t="s">
        <v>43</v>
      </c>
      <c r="BH135" t="s">
        <v>23</v>
      </c>
      <c r="BI135" t="s">
        <v>1662</v>
      </c>
      <c r="BJ135" s="87" t="s">
        <v>22</v>
      </c>
      <c r="BK135">
        <v>44444</v>
      </c>
      <c r="BL135" t="s">
        <v>56</v>
      </c>
      <c r="BM135" t="s">
        <v>1659</v>
      </c>
      <c r="BN135" t="s">
        <v>1660</v>
      </c>
      <c r="BO135" s="87" t="s">
        <v>22</v>
      </c>
      <c r="BP135">
        <v>44444</v>
      </c>
      <c r="BQ135" t="s">
        <v>56</v>
      </c>
      <c r="BR135" t="s">
        <v>1646</v>
      </c>
      <c r="BS135" t="s">
        <v>234</v>
      </c>
      <c r="BT135" t="s">
        <v>234</v>
      </c>
      <c r="BU135" t="s">
        <v>234</v>
      </c>
      <c r="IF135" t="s">
        <v>1650</v>
      </c>
      <c r="IG135" s="84" t="s">
        <v>1665</v>
      </c>
      <c r="IH135" t="s">
        <v>660</v>
      </c>
      <c r="II135" t="s">
        <v>661</v>
      </c>
      <c r="IJ135" t="s">
        <v>836</v>
      </c>
      <c r="IK135" t="s">
        <v>836</v>
      </c>
      <c r="IL135" s="87" t="s">
        <v>29</v>
      </c>
      <c r="JH135" t="s">
        <v>1663</v>
      </c>
      <c r="JI135" t="s">
        <v>15</v>
      </c>
      <c r="JJ135" t="s">
        <v>14</v>
      </c>
      <c r="JK135" s="8" t="s">
        <v>1664</v>
      </c>
      <c r="JN135" t="s">
        <v>13</v>
      </c>
      <c r="JO135">
        <v>40</v>
      </c>
      <c r="JP135">
        <v>50</v>
      </c>
      <c r="KD135" t="s">
        <v>12</v>
      </c>
      <c r="MR135" t="s">
        <v>1640</v>
      </c>
      <c r="MS135">
        <v>36</v>
      </c>
      <c r="MT135" t="s">
        <v>709</v>
      </c>
      <c r="MV135" t="s">
        <v>709</v>
      </c>
      <c r="NA135" t="s">
        <v>205</v>
      </c>
      <c r="NB135" t="s">
        <v>711</v>
      </c>
      <c r="ND135" t="s">
        <v>1696</v>
      </c>
      <c r="NF135" s="4" t="s">
        <v>203</v>
      </c>
      <c r="NG135" t="s">
        <v>1695</v>
      </c>
      <c r="NO135" s="78"/>
      <c r="NP135" t="s">
        <v>6</v>
      </c>
      <c r="NQ135">
        <v>22</v>
      </c>
      <c r="NR135" s="4" t="s">
        <v>4</v>
      </c>
      <c r="NS135" s="4">
        <v>7.8</v>
      </c>
      <c r="NV135">
        <v>4</v>
      </c>
      <c r="OG135" t="s">
        <v>1687</v>
      </c>
      <c r="OH135" s="87" t="s">
        <v>2</v>
      </c>
      <c r="OI135">
        <v>2007</v>
      </c>
      <c r="OL135" t="s">
        <v>1688</v>
      </c>
      <c r="ON135" t="s">
        <v>1169</v>
      </c>
      <c r="OO135" s="58">
        <v>46105</v>
      </c>
    </row>
    <row r="136" spans="1:405" ht="15.75" thickBot="1">
      <c r="A136" t="s">
        <v>248</v>
      </c>
      <c r="B136" t="s">
        <v>1870</v>
      </c>
      <c r="C136" t="s">
        <v>34</v>
      </c>
      <c r="D136" s="100" t="s">
        <v>31</v>
      </c>
      <c r="E136" s="90" t="s">
        <v>1658</v>
      </c>
      <c r="F136" s="100" t="s">
        <v>31</v>
      </c>
      <c r="G136" s="87" t="s">
        <v>2</v>
      </c>
      <c r="H136" s="87" t="s">
        <v>30</v>
      </c>
      <c r="I136">
        <v>-0.41666666699999999</v>
      </c>
      <c r="J136">
        <v>34.200000000000003</v>
      </c>
      <c r="K136" s="87" t="s">
        <v>29</v>
      </c>
      <c r="AV136" t="s">
        <v>1661</v>
      </c>
      <c r="AW136">
        <v>41</v>
      </c>
      <c r="AX136" t="s">
        <v>234</v>
      </c>
      <c r="AY136">
        <v>1</v>
      </c>
      <c r="AZ136" t="s">
        <v>1668</v>
      </c>
      <c r="BA136">
        <v>2007</v>
      </c>
      <c r="BB136">
        <v>2008</v>
      </c>
      <c r="BD136" t="s">
        <v>19</v>
      </c>
      <c r="BE136" t="s">
        <v>1639</v>
      </c>
      <c r="BF136" t="s">
        <v>39</v>
      </c>
      <c r="BH136" t="s">
        <v>23</v>
      </c>
      <c r="BI136" t="s">
        <v>1662</v>
      </c>
      <c r="BJ136" s="87" t="s">
        <v>22</v>
      </c>
      <c r="BK136">
        <v>44444</v>
      </c>
      <c r="IF136" t="s">
        <v>1639</v>
      </c>
      <c r="IG136" t="s">
        <v>19</v>
      </c>
      <c r="JH136" t="s">
        <v>1663</v>
      </c>
      <c r="JI136" t="s">
        <v>15</v>
      </c>
      <c r="JJ136" t="s">
        <v>14</v>
      </c>
      <c r="JK136" s="8" t="s">
        <v>1664</v>
      </c>
      <c r="JN136" t="s">
        <v>13</v>
      </c>
      <c r="JO136">
        <v>40</v>
      </c>
      <c r="JP136">
        <v>50</v>
      </c>
      <c r="KD136" t="s">
        <v>12</v>
      </c>
      <c r="MR136" t="s">
        <v>1640</v>
      </c>
      <c r="MS136">
        <v>36</v>
      </c>
      <c r="MT136" t="s">
        <v>709</v>
      </c>
      <c r="MV136" t="s">
        <v>709</v>
      </c>
      <c r="NA136" t="s">
        <v>205</v>
      </c>
      <c r="NB136" t="s">
        <v>711</v>
      </c>
      <c r="ND136" t="s">
        <v>1696</v>
      </c>
      <c r="NF136" s="4" t="s">
        <v>203</v>
      </c>
      <c r="NG136" t="s">
        <v>1695</v>
      </c>
      <c r="NO136" s="78" t="s">
        <v>735</v>
      </c>
      <c r="NP136" t="s">
        <v>6</v>
      </c>
      <c r="NQ136">
        <v>259.2</v>
      </c>
      <c r="NR136" s="4" t="s">
        <v>4</v>
      </c>
      <c r="NS136" s="4">
        <v>86.8</v>
      </c>
      <c r="NV136">
        <v>4</v>
      </c>
      <c r="OG136" t="s">
        <v>1689</v>
      </c>
      <c r="OH136" s="87" t="s">
        <v>2</v>
      </c>
      <c r="OI136">
        <v>2007</v>
      </c>
      <c r="OL136" t="s">
        <v>1690</v>
      </c>
      <c r="ON136" t="s">
        <v>1169</v>
      </c>
      <c r="OO136" s="58">
        <v>46105</v>
      </c>
    </row>
    <row r="137" spans="1:405" ht="15.75" thickBot="1">
      <c r="A137" t="s">
        <v>248</v>
      </c>
      <c r="B137" t="s">
        <v>1870</v>
      </c>
      <c r="C137" t="s">
        <v>34</v>
      </c>
      <c r="D137" s="100" t="s">
        <v>31</v>
      </c>
      <c r="E137" s="90" t="s">
        <v>1658</v>
      </c>
      <c r="F137" s="100" t="s">
        <v>31</v>
      </c>
      <c r="G137" s="87" t="s">
        <v>2</v>
      </c>
      <c r="H137" s="87" t="s">
        <v>30</v>
      </c>
      <c r="I137">
        <v>-0.41666666699999999</v>
      </c>
      <c r="J137">
        <v>34.200000000000003</v>
      </c>
      <c r="K137" s="87" t="s">
        <v>29</v>
      </c>
      <c r="AV137" t="s">
        <v>1661</v>
      </c>
      <c r="AW137">
        <v>42</v>
      </c>
      <c r="AX137" t="s">
        <v>234</v>
      </c>
      <c r="AY137">
        <v>1</v>
      </c>
      <c r="AZ137" t="s">
        <v>1668</v>
      </c>
      <c r="BA137">
        <v>2007</v>
      </c>
      <c r="BB137">
        <v>2008</v>
      </c>
      <c r="BD137" t="s">
        <v>238</v>
      </c>
      <c r="BE137" t="s">
        <v>1643</v>
      </c>
      <c r="BF137" t="s">
        <v>64</v>
      </c>
      <c r="BH137" t="s">
        <v>23</v>
      </c>
      <c r="BI137" t="s">
        <v>1662</v>
      </c>
      <c r="BJ137" s="87" t="s">
        <v>22</v>
      </c>
      <c r="BK137">
        <v>44444</v>
      </c>
      <c r="BL137" t="s">
        <v>56</v>
      </c>
      <c r="BM137" t="s">
        <v>1659</v>
      </c>
      <c r="BN137" t="s">
        <v>1660</v>
      </c>
      <c r="BO137" s="87" t="s">
        <v>22</v>
      </c>
      <c r="BP137">
        <v>44444</v>
      </c>
      <c r="IF137" t="s">
        <v>1643</v>
      </c>
      <c r="IG137" s="84" t="s">
        <v>1443</v>
      </c>
      <c r="IH137" t="s">
        <v>660</v>
      </c>
      <c r="II137" t="s">
        <v>661</v>
      </c>
      <c r="IJ137" t="s">
        <v>836</v>
      </c>
      <c r="IK137" t="s">
        <v>836</v>
      </c>
      <c r="IL137" s="87" t="s">
        <v>29</v>
      </c>
      <c r="JH137" t="s">
        <v>1663</v>
      </c>
      <c r="JI137" t="s">
        <v>15</v>
      </c>
      <c r="JJ137" t="s">
        <v>14</v>
      </c>
      <c r="JK137" s="8" t="s">
        <v>1664</v>
      </c>
      <c r="JN137" t="s">
        <v>13</v>
      </c>
      <c r="JO137">
        <v>40</v>
      </c>
      <c r="JP137">
        <v>50</v>
      </c>
      <c r="KD137" t="s">
        <v>12</v>
      </c>
      <c r="MR137" t="s">
        <v>1640</v>
      </c>
      <c r="MS137">
        <v>36</v>
      </c>
      <c r="MT137" t="s">
        <v>709</v>
      </c>
      <c r="MV137" t="s">
        <v>709</v>
      </c>
      <c r="NA137" t="s">
        <v>205</v>
      </c>
      <c r="NB137" t="s">
        <v>711</v>
      </c>
      <c r="ND137" t="s">
        <v>1696</v>
      </c>
      <c r="NF137" s="4" t="s">
        <v>203</v>
      </c>
      <c r="NG137" t="s">
        <v>1695</v>
      </c>
      <c r="NO137" s="78"/>
      <c r="NP137" t="s">
        <v>6</v>
      </c>
      <c r="NQ137">
        <v>139.19999999999999</v>
      </c>
      <c r="NR137" s="4" t="s">
        <v>4</v>
      </c>
      <c r="NS137" s="4">
        <v>55.7</v>
      </c>
      <c r="NV137">
        <v>4</v>
      </c>
      <c r="OG137" t="s">
        <v>1689</v>
      </c>
      <c r="OH137" s="87" t="s">
        <v>2</v>
      </c>
      <c r="OI137">
        <v>2007</v>
      </c>
      <c r="OL137" t="s">
        <v>1690</v>
      </c>
      <c r="ON137" t="s">
        <v>1169</v>
      </c>
      <c r="OO137" s="58">
        <v>46105</v>
      </c>
    </row>
    <row r="138" spans="1:405" ht="15.75" thickBot="1">
      <c r="A138" t="s">
        <v>248</v>
      </c>
      <c r="B138" t="s">
        <v>1870</v>
      </c>
      <c r="C138" t="s">
        <v>34</v>
      </c>
      <c r="D138" s="100" t="s">
        <v>31</v>
      </c>
      <c r="E138" s="90" t="s">
        <v>1658</v>
      </c>
      <c r="F138" s="100" t="s">
        <v>31</v>
      </c>
      <c r="G138" s="87" t="s">
        <v>2</v>
      </c>
      <c r="H138" s="87" t="s">
        <v>30</v>
      </c>
      <c r="I138">
        <v>-0.41666666699999999</v>
      </c>
      <c r="J138">
        <v>34.200000000000003</v>
      </c>
      <c r="K138" s="87" t="s">
        <v>29</v>
      </c>
      <c r="AV138" t="s">
        <v>1661</v>
      </c>
      <c r="AW138">
        <v>43</v>
      </c>
      <c r="AX138" t="s">
        <v>234</v>
      </c>
      <c r="AY138">
        <v>1</v>
      </c>
      <c r="AZ138" t="s">
        <v>1668</v>
      </c>
      <c r="BA138">
        <v>2007</v>
      </c>
      <c r="BB138">
        <v>2008</v>
      </c>
      <c r="BD138" t="s">
        <v>238</v>
      </c>
      <c r="BE138" t="s">
        <v>1645</v>
      </c>
      <c r="BF138" t="s">
        <v>57</v>
      </c>
      <c r="BH138" t="s">
        <v>23</v>
      </c>
      <c r="BI138" t="s">
        <v>1662</v>
      </c>
      <c r="BJ138" s="87" t="s">
        <v>22</v>
      </c>
      <c r="BK138">
        <v>44444</v>
      </c>
      <c r="BL138" t="s">
        <v>56</v>
      </c>
      <c r="BM138" t="s">
        <v>1646</v>
      </c>
      <c r="BN138" t="s">
        <v>234</v>
      </c>
      <c r="BO138" t="s">
        <v>234</v>
      </c>
      <c r="BP138" t="s">
        <v>234</v>
      </c>
      <c r="IF138" t="s">
        <v>1645</v>
      </c>
      <c r="IG138" s="84" t="s">
        <v>1665</v>
      </c>
      <c r="IH138" t="s">
        <v>660</v>
      </c>
      <c r="II138" t="s">
        <v>661</v>
      </c>
      <c r="IJ138" t="s">
        <v>836</v>
      </c>
      <c r="IK138" t="s">
        <v>836</v>
      </c>
      <c r="IL138" s="87" t="s">
        <v>29</v>
      </c>
      <c r="JH138" t="s">
        <v>1663</v>
      </c>
      <c r="JI138" t="s">
        <v>15</v>
      </c>
      <c r="JJ138" t="s">
        <v>14</v>
      </c>
      <c r="JK138" s="8" t="s">
        <v>1664</v>
      </c>
      <c r="JN138" t="s">
        <v>13</v>
      </c>
      <c r="JO138">
        <v>40</v>
      </c>
      <c r="JP138">
        <v>50</v>
      </c>
      <c r="KD138" t="s">
        <v>12</v>
      </c>
      <c r="MR138" t="s">
        <v>1640</v>
      </c>
      <c r="MS138">
        <v>36</v>
      </c>
      <c r="MT138" t="s">
        <v>709</v>
      </c>
      <c r="MV138" t="s">
        <v>709</v>
      </c>
      <c r="NA138" t="s">
        <v>205</v>
      </c>
      <c r="NB138" t="s">
        <v>711</v>
      </c>
      <c r="ND138" t="s">
        <v>1696</v>
      </c>
      <c r="NF138" s="4" t="s">
        <v>203</v>
      </c>
      <c r="NG138" t="s">
        <v>1695</v>
      </c>
      <c r="NO138" s="78"/>
      <c r="NP138" t="s">
        <v>6</v>
      </c>
      <c r="NQ138">
        <v>13</v>
      </c>
      <c r="NR138" s="4" t="s">
        <v>4</v>
      </c>
      <c r="NS138" s="4">
        <v>2</v>
      </c>
      <c r="NV138">
        <v>4</v>
      </c>
      <c r="OG138" t="s">
        <v>1689</v>
      </c>
      <c r="OH138" s="87" t="s">
        <v>2</v>
      </c>
      <c r="OI138">
        <v>2007</v>
      </c>
      <c r="OL138" t="s">
        <v>1690</v>
      </c>
      <c r="ON138" t="s">
        <v>1169</v>
      </c>
      <c r="OO138" s="58">
        <v>46105</v>
      </c>
    </row>
    <row r="139" spans="1:405" ht="15.75" thickBot="1">
      <c r="A139" t="s">
        <v>248</v>
      </c>
      <c r="B139" t="s">
        <v>1870</v>
      </c>
      <c r="C139" t="s">
        <v>34</v>
      </c>
      <c r="D139" s="100" t="s">
        <v>31</v>
      </c>
      <c r="E139" s="90" t="s">
        <v>1658</v>
      </c>
      <c r="F139" s="100" t="s">
        <v>31</v>
      </c>
      <c r="G139" s="87" t="s">
        <v>2</v>
      </c>
      <c r="H139" s="87" t="s">
        <v>30</v>
      </c>
      <c r="I139">
        <v>-0.41666666699999999</v>
      </c>
      <c r="J139">
        <v>34.200000000000003</v>
      </c>
      <c r="K139" s="87" t="s">
        <v>29</v>
      </c>
      <c r="AV139" t="s">
        <v>1661</v>
      </c>
      <c r="AW139">
        <v>44</v>
      </c>
      <c r="AX139" t="s">
        <v>234</v>
      </c>
      <c r="AY139">
        <v>1</v>
      </c>
      <c r="AZ139" t="s">
        <v>1668</v>
      </c>
      <c r="BA139">
        <v>2007</v>
      </c>
      <c r="BB139">
        <v>2008</v>
      </c>
      <c r="BD139" t="s">
        <v>238</v>
      </c>
      <c r="BE139" t="s">
        <v>1648</v>
      </c>
      <c r="BF139" t="s">
        <v>48</v>
      </c>
      <c r="BH139" t="s">
        <v>23</v>
      </c>
      <c r="BI139" t="s">
        <v>1662</v>
      </c>
      <c r="BJ139" s="87" t="s">
        <v>22</v>
      </c>
      <c r="BK139">
        <v>44444</v>
      </c>
      <c r="BL139" t="s">
        <v>56</v>
      </c>
      <c r="BM139" t="s">
        <v>1659</v>
      </c>
      <c r="BN139" t="s">
        <v>1660</v>
      </c>
      <c r="BO139" s="87" t="s">
        <v>22</v>
      </c>
      <c r="BP139">
        <v>44444</v>
      </c>
      <c r="BQ139" t="s">
        <v>56</v>
      </c>
      <c r="BR139" t="s">
        <v>1646</v>
      </c>
      <c r="BS139" t="s">
        <v>234</v>
      </c>
      <c r="BT139" t="s">
        <v>234</v>
      </c>
      <c r="BU139" t="s">
        <v>234</v>
      </c>
      <c r="IF139" t="s">
        <v>1648</v>
      </c>
      <c r="IG139" s="84" t="s">
        <v>1665</v>
      </c>
      <c r="IH139" t="s">
        <v>660</v>
      </c>
      <c r="II139" t="s">
        <v>661</v>
      </c>
      <c r="IJ139" t="s">
        <v>836</v>
      </c>
      <c r="IK139" t="s">
        <v>836</v>
      </c>
      <c r="IL139" s="87" t="s">
        <v>29</v>
      </c>
      <c r="JH139" t="s">
        <v>1663</v>
      </c>
      <c r="JI139" t="s">
        <v>15</v>
      </c>
      <c r="JJ139" t="s">
        <v>14</v>
      </c>
      <c r="JK139" s="8" t="s">
        <v>1664</v>
      </c>
      <c r="JN139" t="s">
        <v>13</v>
      </c>
      <c r="JO139">
        <v>40</v>
      </c>
      <c r="JP139">
        <v>50</v>
      </c>
      <c r="KD139" t="s">
        <v>12</v>
      </c>
      <c r="MR139" t="s">
        <v>1640</v>
      </c>
      <c r="MS139">
        <v>36</v>
      </c>
      <c r="MT139" t="s">
        <v>709</v>
      </c>
      <c r="MV139" t="s">
        <v>709</v>
      </c>
      <c r="NA139" t="s">
        <v>205</v>
      </c>
      <c r="NB139" t="s">
        <v>711</v>
      </c>
      <c r="ND139" t="s">
        <v>1696</v>
      </c>
      <c r="NF139" s="4" t="s">
        <v>203</v>
      </c>
      <c r="NG139" t="s">
        <v>1695</v>
      </c>
      <c r="NO139" s="78"/>
      <c r="NP139" t="s">
        <v>6</v>
      </c>
      <c r="NQ139">
        <v>27.2</v>
      </c>
      <c r="NR139" s="4" t="s">
        <v>4</v>
      </c>
      <c r="NS139" s="4">
        <v>8.8000000000000007</v>
      </c>
      <c r="NV139">
        <v>4</v>
      </c>
      <c r="OG139" t="s">
        <v>1689</v>
      </c>
      <c r="OH139" s="87" t="s">
        <v>2</v>
      </c>
      <c r="OI139">
        <v>2007</v>
      </c>
      <c r="OL139" t="s">
        <v>1690</v>
      </c>
      <c r="ON139" t="s">
        <v>1169</v>
      </c>
      <c r="OO139" s="58">
        <v>46105</v>
      </c>
    </row>
    <row r="140" spans="1:405" ht="15.75" thickBot="1">
      <c r="A140" t="s">
        <v>248</v>
      </c>
      <c r="B140" t="s">
        <v>1870</v>
      </c>
      <c r="C140" t="s">
        <v>34</v>
      </c>
      <c r="D140" s="100" t="s">
        <v>31</v>
      </c>
      <c r="E140" s="90" t="s">
        <v>1658</v>
      </c>
      <c r="F140" s="100" t="s">
        <v>31</v>
      </c>
      <c r="G140" s="87" t="s">
        <v>2</v>
      </c>
      <c r="H140" s="87" t="s">
        <v>30</v>
      </c>
      <c r="I140">
        <v>-0.41666666699999999</v>
      </c>
      <c r="J140">
        <v>34.200000000000003</v>
      </c>
      <c r="K140" s="87" t="s">
        <v>29</v>
      </c>
      <c r="AV140" t="s">
        <v>1661</v>
      </c>
      <c r="AW140">
        <v>45</v>
      </c>
      <c r="AX140" t="s">
        <v>234</v>
      </c>
      <c r="AY140">
        <v>1</v>
      </c>
      <c r="AZ140" t="s">
        <v>1668</v>
      </c>
      <c r="BA140">
        <v>2007</v>
      </c>
      <c r="BB140">
        <v>2008</v>
      </c>
      <c r="BD140" t="s">
        <v>238</v>
      </c>
      <c r="BE140" t="s">
        <v>1650</v>
      </c>
      <c r="BF140" t="s">
        <v>43</v>
      </c>
      <c r="BH140" t="s">
        <v>23</v>
      </c>
      <c r="BI140" t="s">
        <v>1662</v>
      </c>
      <c r="BJ140" s="87" t="s">
        <v>22</v>
      </c>
      <c r="BK140">
        <v>44444</v>
      </c>
      <c r="BL140" t="s">
        <v>56</v>
      </c>
      <c r="BM140" t="s">
        <v>1659</v>
      </c>
      <c r="BN140" t="s">
        <v>1660</v>
      </c>
      <c r="BO140" s="87" t="s">
        <v>22</v>
      </c>
      <c r="BP140">
        <v>44444</v>
      </c>
      <c r="BQ140" t="s">
        <v>56</v>
      </c>
      <c r="BR140" t="s">
        <v>1646</v>
      </c>
      <c r="BS140" t="s">
        <v>234</v>
      </c>
      <c r="BT140" t="s">
        <v>234</v>
      </c>
      <c r="BU140" t="s">
        <v>234</v>
      </c>
      <c r="IF140" t="s">
        <v>1650</v>
      </c>
      <c r="IG140" s="84" t="s">
        <v>1665</v>
      </c>
      <c r="IH140" t="s">
        <v>660</v>
      </c>
      <c r="II140" t="s">
        <v>661</v>
      </c>
      <c r="IJ140" t="s">
        <v>836</v>
      </c>
      <c r="IK140" t="s">
        <v>836</v>
      </c>
      <c r="IL140" s="87" t="s">
        <v>29</v>
      </c>
      <c r="JH140" t="s">
        <v>1663</v>
      </c>
      <c r="JI140" t="s">
        <v>15</v>
      </c>
      <c r="JJ140" t="s">
        <v>14</v>
      </c>
      <c r="JK140" s="8" t="s">
        <v>1664</v>
      </c>
      <c r="JN140" t="s">
        <v>13</v>
      </c>
      <c r="JO140">
        <v>40</v>
      </c>
      <c r="JP140">
        <v>50</v>
      </c>
      <c r="KD140" t="s">
        <v>12</v>
      </c>
      <c r="MR140" t="s">
        <v>1640</v>
      </c>
      <c r="MS140">
        <v>36</v>
      </c>
      <c r="MT140" t="s">
        <v>709</v>
      </c>
      <c r="MV140" t="s">
        <v>709</v>
      </c>
      <c r="NA140" t="s">
        <v>205</v>
      </c>
      <c r="NB140" t="s">
        <v>711</v>
      </c>
      <c r="ND140" t="s">
        <v>1696</v>
      </c>
      <c r="NF140" s="4" t="s">
        <v>203</v>
      </c>
      <c r="NG140" t="s">
        <v>1695</v>
      </c>
      <c r="NO140" s="78"/>
      <c r="NP140" t="s">
        <v>6</v>
      </c>
      <c r="NQ140">
        <v>12.2</v>
      </c>
      <c r="NR140" s="4" t="s">
        <v>4</v>
      </c>
      <c r="NS140" s="4">
        <v>2.9</v>
      </c>
      <c r="NV140">
        <v>4</v>
      </c>
      <c r="OG140" t="s">
        <v>1689</v>
      </c>
      <c r="OH140" s="87" t="s">
        <v>2</v>
      </c>
      <c r="OI140">
        <v>2007</v>
      </c>
      <c r="OL140" t="s">
        <v>1690</v>
      </c>
      <c r="ON140" t="s">
        <v>1169</v>
      </c>
      <c r="OO140" s="58">
        <v>46105</v>
      </c>
    </row>
    <row r="141" spans="1:405" ht="15.75" thickBot="1">
      <c r="A141" t="s">
        <v>248</v>
      </c>
      <c r="B141" t="s">
        <v>1870</v>
      </c>
      <c r="C141" t="s">
        <v>34</v>
      </c>
      <c r="D141" s="100" t="s">
        <v>31</v>
      </c>
      <c r="E141" s="90" t="s">
        <v>1658</v>
      </c>
      <c r="F141" s="100" t="s">
        <v>31</v>
      </c>
      <c r="G141" s="87" t="s">
        <v>2</v>
      </c>
      <c r="H141" s="87" t="s">
        <v>30</v>
      </c>
      <c r="I141">
        <v>-0.41666666699999999</v>
      </c>
      <c r="J141">
        <v>34.200000000000003</v>
      </c>
      <c r="K141" s="87" t="s">
        <v>29</v>
      </c>
      <c r="AV141" t="s">
        <v>1661</v>
      </c>
      <c r="AW141">
        <v>46</v>
      </c>
      <c r="AX141" t="s">
        <v>234</v>
      </c>
      <c r="AY141">
        <v>1</v>
      </c>
      <c r="AZ141" t="s">
        <v>1669</v>
      </c>
      <c r="BA141">
        <v>2007</v>
      </c>
      <c r="BB141">
        <v>2008</v>
      </c>
      <c r="BD141" t="s">
        <v>19</v>
      </c>
      <c r="BE141" t="s">
        <v>1639</v>
      </c>
      <c r="BF141" t="s">
        <v>39</v>
      </c>
      <c r="BH141" t="s">
        <v>23</v>
      </c>
      <c r="BI141" t="s">
        <v>1662</v>
      </c>
      <c r="BJ141" s="87" t="s">
        <v>22</v>
      </c>
      <c r="BK141">
        <v>44444</v>
      </c>
      <c r="IF141" t="s">
        <v>1651</v>
      </c>
      <c r="IG141" t="s">
        <v>19</v>
      </c>
      <c r="JH141" t="s">
        <v>1663</v>
      </c>
      <c r="JI141" t="s">
        <v>15</v>
      </c>
      <c r="JJ141" t="s">
        <v>14</v>
      </c>
      <c r="JK141" s="8" t="s">
        <v>1664</v>
      </c>
      <c r="JN141" t="s">
        <v>13</v>
      </c>
      <c r="JO141">
        <v>40</v>
      </c>
      <c r="JP141">
        <v>50</v>
      </c>
      <c r="KD141" t="s">
        <v>12</v>
      </c>
      <c r="MR141" t="s">
        <v>1640</v>
      </c>
      <c r="MS141">
        <v>36</v>
      </c>
      <c r="MT141" t="s">
        <v>709</v>
      </c>
      <c r="MV141" t="s">
        <v>709</v>
      </c>
      <c r="NA141" t="s">
        <v>205</v>
      </c>
      <c r="NB141" t="s">
        <v>711</v>
      </c>
      <c r="ND141" t="s">
        <v>1696</v>
      </c>
      <c r="NF141" s="4" t="s">
        <v>203</v>
      </c>
      <c r="NG141" t="s">
        <v>1695</v>
      </c>
      <c r="NO141" s="78" t="s">
        <v>735</v>
      </c>
      <c r="NP141" t="s">
        <v>6</v>
      </c>
      <c r="NQ141">
        <v>104.5</v>
      </c>
      <c r="NR141" s="4" t="s">
        <v>4</v>
      </c>
      <c r="NS141" s="4">
        <v>45.9</v>
      </c>
      <c r="NV141">
        <v>4</v>
      </c>
      <c r="OG141" t="s">
        <v>1691</v>
      </c>
      <c r="OH141" s="87" t="s">
        <v>2</v>
      </c>
      <c r="OI141">
        <v>2008</v>
      </c>
      <c r="OL141" t="s">
        <v>1692</v>
      </c>
      <c r="ON141" t="s">
        <v>1169</v>
      </c>
      <c r="OO141" s="58">
        <v>46105</v>
      </c>
    </row>
    <row r="142" spans="1:405" ht="15.75" thickBot="1">
      <c r="A142" t="s">
        <v>248</v>
      </c>
      <c r="B142" t="s">
        <v>1870</v>
      </c>
      <c r="C142" t="s">
        <v>34</v>
      </c>
      <c r="D142" s="100" t="s">
        <v>31</v>
      </c>
      <c r="E142" s="90" t="s">
        <v>1658</v>
      </c>
      <c r="F142" s="100" t="s">
        <v>31</v>
      </c>
      <c r="G142" s="87" t="s">
        <v>2</v>
      </c>
      <c r="H142" s="87" t="s">
        <v>30</v>
      </c>
      <c r="I142">
        <v>-0.41666666699999999</v>
      </c>
      <c r="J142">
        <v>34.200000000000003</v>
      </c>
      <c r="K142" s="87" t="s">
        <v>29</v>
      </c>
      <c r="AV142" t="s">
        <v>1661</v>
      </c>
      <c r="AW142">
        <v>47</v>
      </c>
      <c r="AX142" t="s">
        <v>234</v>
      </c>
      <c r="AY142">
        <v>1</v>
      </c>
      <c r="AZ142" t="s">
        <v>1669</v>
      </c>
      <c r="BA142">
        <v>2007</v>
      </c>
      <c r="BB142">
        <v>2008</v>
      </c>
      <c r="BD142" t="s">
        <v>238</v>
      </c>
      <c r="BE142" t="s">
        <v>1643</v>
      </c>
      <c r="BF142" t="s">
        <v>64</v>
      </c>
      <c r="BH142" t="s">
        <v>23</v>
      </c>
      <c r="BI142" t="s">
        <v>1662</v>
      </c>
      <c r="BJ142" s="87" t="s">
        <v>22</v>
      </c>
      <c r="BK142">
        <v>44444</v>
      </c>
      <c r="BL142" t="s">
        <v>56</v>
      </c>
      <c r="BM142" t="s">
        <v>1659</v>
      </c>
      <c r="BN142" t="s">
        <v>1660</v>
      </c>
      <c r="BO142" s="87" t="s">
        <v>22</v>
      </c>
      <c r="BP142">
        <v>44444</v>
      </c>
      <c r="IF142" t="s">
        <v>1652</v>
      </c>
      <c r="IG142" s="84" t="s">
        <v>1443</v>
      </c>
      <c r="IH142" t="s">
        <v>660</v>
      </c>
      <c r="II142" t="s">
        <v>661</v>
      </c>
      <c r="IJ142" t="s">
        <v>836</v>
      </c>
      <c r="IK142" t="s">
        <v>836</v>
      </c>
      <c r="IL142" s="87" t="s">
        <v>29</v>
      </c>
      <c r="JH142" t="s">
        <v>1663</v>
      </c>
      <c r="JI142" t="s">
        <v>15</v>
      </c>
      <c r="JJ142" t="s">
        <v>14</v>
      </c>
      <c r="JK142" s="8" t="s">
        <v>1664</v>
      </c>
      <c r="JN142" t="s">
        <v>13</v>
      </c>
      <c r="JO142">
        <v>40</v>
      </c>
      <c r="JP142">
        <v>50</v>
      </c>
      <c r="KD142" t="s">
        <v>12</v>
      </c>
      <c r="MR142" t="s">
        <v>1640</v>
      </c>
      <c r="MS142">
        <v>36</v>
      </c>
      <c r="MT142" t="s">
        <v>709</v>
      </c>
      <c r="MV142" t="s">
        <v>709</v>
      </c>
      <c r="NA142" t="s">
        <v>205</v>
      </c>
      <c r="NB142" t="s">
        <v>711</v>
      </c>
      <c r="ND142" t="s">
        <v>1696</v>
      </c>
      <c r="NF142" s="4" t="s">
        <v>203</v>
      </c>
      <c r="NG142" t="s">
        <v>1695</v>
      </c>
      <c r="NO142" s="78"/>
      <c r="NP142" t="s">
        <v>6</v>
      </c>
      <c r="NQ142">
        <v>86.2</v>
      </c>
      <c r="NR142" s="4" t="s">
        <v>4</v>
      </c>
      <c r="NS142" s="4">
        <v>27.4</v>
      </c>
      <c r="NV142">
        <v>4</v>
      </c>
      <c r="OG142" t="s">
        <v>1691</v>
      </c>
      <c r="OH142" s="87" t="s">
        <v>2</v>
      </c>
      <c r="OI142">
        <v>2008</v>
      </c>
      <c r="OL142" t="s">
        <v>1692</v>
      </c>
      <c r="ON142" t="s">
        <v>1169</v>
      </c>
      <c r="OO142" s="58">
        <v>46105</v>
      </c>
    </row>
    <row r="143" spans="1:405" ht="15.75" thickBot="1">
      <c r="A143" t="s">
        <v>248</v>
      </c>
      <c r="B143" t="s">
        <v>1870</v>
      </c>
      <c r="C143" t="s">
        <v>34</v>
      </c>
      <c r="D143" s="100" t="s">
        <v>31</v>
      </c>
      <c r="E143" s="90" t="s">
        <v>1658</v>
      </c>
      <c r="F143" s="100" t="s">
        <v>31</v>
      </c>
      <c r="G143" s="87" t="s">
        <v>2</v>
      </c>
      <c r="H143" s="87" t="s">
        <v>30</v>
      </c>
      <c r="I143">
        <v>-0.41666666699999999</v>
      </c>
      <c r="J143">
        <v>34.200000000000003</v>
      </c>
      <c r="K143" s="87" t="s">
        <v>29</v>
      </c>
      <c r="AV143" t="s">
        <v>1661</v>
      </c>
      <c r="AW143">
        <v>48</v>
      </c>
      <c r="AX143" t="s">
        <v>234</v>
      </c>
      <c r="AY143">
        <v>1</v>
      </c>
      <c r="AZ143" t="s">
        <v>1669</v>
      </c>
      <c r="BA143">
        <v>2007</v>
      </c>
      <c r="BB143">
        <v>2008</v>
      </c>
      <c r="BD143" t="s">
        <v>238</v>
      </c>
      <c r="BE143" t="s">
        <v>1645</v>
      </c>
      <c r="BF143" t="s">
        <v>57</v>
      </c>
      <c r="BH143" t="s">
        <v>23</v>
      </c>
      <c r="BI143" t="s">
        <v>1662</v>
      </c>
      <c r="BJ143" s="87" t="s">
        <v>22</v>
      </c>
      <c r="BK143">
        <v>44444</v>
      </c>
      <c r="BL143" t="s">
        <v>56</v>
      </c>
      <c r="BM143" t="s">
        <v>1646</v>
      </c>
      <c r="BN143" t="s">
        <v>234</v>
      </c>
      <c r="BO143" t="s">
        <v>234</v>
      </c>
      <c r="BP143" t="s">
        <v>234</v>
      </c>
      <c r="IF143" t="s">
        <v>1653</v>
      </c>
      <c r="IG143" s="84" t="s">
        <v>1665</v>
      </c>
      <c r="IH143" t="s">
        <v>660</v>
      </c>
      <c r="II143" t="s">
        <v>661</v>
      </c>
      <c r="IJ143" t="s">
        <v>836</v>
      </c>
      <c r="IK143" t="s">
        <v>836</v>
      </c>
      <c r="IL143" s="87" t="s">
        <v>29</v>
      </c>
      <c r="JH143" t="s">
        <v>1663</v>
      </c>
      <c r="JI143" t="s">
        <v>15</v>
      </c>
      <c r="JJ143" t="s">
        <v>14</v>
      </c>
      <c r="JK143" s="8" t="s">
        <v>1664</v>
      </c>
      <c r="JN143" t="s">
        <v>13</v>
      </c>
      <c r="JO143">
        <v>40</v>
      </c>
      <c r="JP143">
        <v>50</v>
      </c>
      <c r="KD143" t="s">
        <v>12</v>
      </c>
      <c r="MR143" t="s">
        <v>1640</v>
      </c>
      <c r="MS143">
        <v>36</v>
      </c>
      <c r="MT143" t="s">
        <v>709</v>
      </c>
      <c r="MV143" t="s">
        <v>709</v>
      </c>
      <c r="NA143" t="s">
        <v>205</v>
      </c>
      <c r="NB143" t="s">
        <v>711</v>
      </c>
      <c r="ND143" t="s">
        <v>1696</v>
      </c>
      <c r="NF143" s="4" t="s">
        <v>203</v>
      </c>
      <c r="NG143" t="s">
        <v>1695</v>
      </c>
      <c r="NO143" s="78"/>
      <c r="NP143" t="s">
        <v>6</v>
      </c>
      <c r="NQ143">
        <v>0.5</v>
      </c>
      <c r="NR143" s="4" t="s">
        <v>4</v>
      </c>
      <c r="NS143" s="4">
        <v>0.5</v>
      </c>
      <c r="NV143">
        <v>4</v>
      </c>
      <c r="OG143" t="s">
        <v>1691</v>
      </c>
      <c r="OH143" s="87" t="s">
        <v>2</v>
      </c>
      <c r="OI143">
        <v>2008</v>
      </c>
      <c r="OL143" t="s">
        <v>1692</v>
      </c>
      <c r="ON143" t="s">
        <v>1169</v>
      </c>
      <c r="OO143" s="58">
        <v>46105</v>
      </c>
    </row>
    <row r="144" spans="1:405" ht="15.75" thickBot="1">
      <c r="A144" t="s">
        <v>248</v>
      </c>
      <c r="B144" t="s">
        <v>1870</v>
      </c>
      <c r="C144" t="s">
        <v>34</v>
      </c>
      <c r="D144" s="100" t="s">
        <v>31</v>
      </c>
      <c r="E144" s="90" t="s">
        <v>1658</v>
      </c>
      <c r="F144" s="100" t="s">
        <v>31</v>
      </c>
      <c r="G144" s="87" t="s">
        <v>2</v>
      </c>
      <c r="H144" s="87" t="s">
        <v>30</v>
      </c>
      <c r="I144">
        <v>-0.41666666699999999</v>
      </c>
      <c r="J144">
        <v>34.200000000000003</v>
      </c>
      <c r="K144" s="87" t="s">
        <v>29</v>
      </c>
      <c r="AV144" t="s">
        <v>1661</v>
      </c>
      <c r="AW144">
        <v>49</v>
      </c>
      <c r="AX144" t="s">
        <v>234</v>
      </c>
      <c r="AY144">
        <v>1</v>
      </c>
      <c r="AZ144" t="s">
        <v>1669</v>
      </c>
      <c r="BA144">
        <v>2007</v>
      </c>
      <c r="BB144">
        <v>2008</v>
      </c>
      <c r="BD144" t="s">
        <v>238</v>
      </c>
      <c r="BE144" t="s">
        <v>1648</v>
      </c>
      <c r="BF144" t="s">
        <v>48</v>
      </c>
      <c r="BH144" t="s">
        <v>23</v>
      </c>
      <c r="BI144" t="s">
        <v>1662</v>
      </c>
      <c r="BJ144" s="87" t="s">
        <v>22</v>
      </c>
      <c r="BK144">
        <v>44444</v>
      </c>
      <c r="BL144" t="s">
        <v>56</v>
      </c>
      <c r="BM144" t="s">
        <v>1659</v>
      </c>
      <c r="BN144" t="s">
        <v>1660</v>
      </c>
      <c r="BO144" s="87" t="s">
        <v>22</v>
      </c>
      <c r="BP144">
        <v>44444</v>
      </c>
      <c r="BQ144" t="s">
        <v>56</v>
      </c>
      <c r="BR144" t="s">
        <v>1646</v>
      </c>
      <c r="BS144" t="s">
        <v>234</v>
      </c>
      <c r="BT144" t="s">
        <v>234</v>
      </c>
      <c r="BU144" t="s">
        <v>234</v>
      </c>
      <c r="IF144" t="s">
        <v>1654</v>
      </c>
      <c r="IG144" s="84" t="s">
        <v>1665</v>
      </c>
      <c r="IH144" t="s">
        <v>660</v>
      </c>
      <c r="II144" t="s">
        <v>661</v>
      </c>
      <c r="IJ144" t="s">
        <v>836</v>
      </c>
      <c r="IK144" t="s">
        <v>836</v>
      </c>
      <c r="IL144" s="87" t="s">
        <v>29</v>
      </c>
      <c r="JH144" t="s">
        <v>1663</v>
      </c>
      <c r="JI144" t="s">
        <v>15</v>
      </c>
      <c r="JJ144" t="s">
        <v>14</v>
      </c>
      <c r="JK144" s="8" t="s">
        <v>1664</v>
      </c>
      <c r="JN144" t="s">
        <v>13</v>
      </c>
      <c r="JO144">
        <v>40</v>
      </c>
      <c r="JP144">
        <v>50</v>
      </c>
      <c r="KD144" t="s">
        <v>12</v>
      </c>
      <c r="MR144" t="s">
        <v>1640</v>
      </c>
      <c r="MS144">
        <v>36</v>
      </c>
      <c r="MT144" t="s">
        <v>709</v>
      </c>
      <c r="MV144" t="s">
        <v>709</v>
      </c>
      <c r="NA144" t="s">
        <v>205</v>
      </c>
      <c r="NB144" t="s">
        <v>711</v>
      </c>
      <c r="ND144" t="s">
        <v>1696</v>
      </c>
      <c r="NF144" s="4" t="s">
        <v>203</v>
      </c>
      <c r="NG144" t="s">
        <v>1695</v>
      </c>
      <c r="NO144" s="78"/>
      <c r="NP144" t="s">
        <v>6</v>
      </c>
      <c r="NQ144">
        <v>1.5</v>
      </c>
      <c r="NR144" s="4" t="s">
        <v>4</v>
      </c>
      <c r="NS144" s="4">
        <v>1.2</v>
      </c>
      <c r="NV144">
        <v>4</v>
      </c>
      <c r="OG144" t="s">
        <v>1691</v>
      </c>
      <c r="OH144" s="87" t="s">
        <v>2</v>
      </c>
      <c r="OI144">
        <v>2008</v>
      </c>
      <c r="OL144" t="s">
        <v>1692</v>
      </c>
      <c r="ON144" t="s">
        <v>1169</v>
      </c>
      <c r="OO144" s="58">
        <v>46105</v>
      </c>
    </row>
    <row r="145" spans="1:413" ht="15.75" thickBot="1">
      <c r="A145" t="s">
        <v>248</v>
      </c>
      <c r="B145" t="s">
        <v>1870</v>
      </c>
      <c r="C145" t="s">
        <v>34</v>
      </c>
      <c r="D145" s="100" t="s">
        <v>31</v>
      </c>
      <c r="E145" s="90" t="s">
        <v>1658</v>
      </c>
      <c r="F145" s="100" t="s">
        <v>31</v>
      </c>
      <c r="G145" s="87" t="s">
        <v>2</v>
      </c>
      <c r="H145" s="87" t="s">
        <v>30</v>
      </c>
      <c r="I145">
        <v>-0.41666666699999999</v>
      </c>
      <c r="J145">
        <v>34.200000000000003</v>
      </c>
      <c r="K145" s="87" t="s">
        <v>29</v>
      </c>
      <c r="AV145" t="s">
        <v>1661</v>
      </c>
      <c r="AW145">
        <v>50</v>
      </c>
      <c r="AX145" t="s">
        <v>234</v>
      </c>
      <c r="AY145">
        <v>1</v>
      </c>
      <c r="AZ145" t="s">
        <v>1669</v>
      </c>
      <c r="BA145">
        <v>2007</v>
      </c>
      <c r="BB145">
        <v>2008</v>
      </c>
      <c r="BD145" t="s">
        <v>238</v>
      </c>
      <c r="BE145" t="s">
        <v>1672</v>
      </c>
      <c r="BF145" t="s">
        <v>43</v>
      </c>
      <c r="BH145" t="s">
        <v>23</v>
      </c>
      <c r="BI145" t="s">
        <v>1662</v>
      </c>
      <c r="BJ145" s="87" t="s">
        <v>22</v>
      </c>
      <c r="BK145">
        <v>44444</v>
      </c>
      <c r="BL145" t="s">
        <v>56</v>
      </c>
      <c r="BM145" t="s">
        <v>1659</v>
      </c>
      <c r="BN145" t="s">
        <v>1660</v>
      </c>
      <c r="BO145" s="87" t="s">
        <v>22</v>
      </c>
      <c r="BP145">
        <v>44444</v>
      </c>
      <c r="BQ145" t="s">
        <v>56</v>
      </c>
      <c r="BR145" t="s">
        <v>1646</v>
      </c>
      <c r="BS145" t="s">
        <v>234</v>
      </c>
      <c r="BT145" t="s">
        <v>234</v>
      </c>
      <c r="BU145" t="s">
        <v>234</v>
      </c>
      <c r="IF145" t="s">
        <v>1655</v>
      </c>
      <c r="IG145" s="84" t="s">
        <v>1665</v>
      </c>
      <c r="IH145" t="s">
        <v>660</v>
      </c>
      <c r="II145" t="s">
        <v>661</v>
      </c>
      <c r="IJ145" t="s">
        <v>836</v>
      </c>
      <c r="IK145" t="s">
        <v>836</v>
      </c>
      <c r="IL145" s="87" t="s">
        <v>29</v>
      </c>
      <c r="JH145" t="s">
        <v>1663</v>
      </c>
      <c r="JI145" t="s">
        <v>15</v>
      </c>
      <c r="JJ145" t="s">
        <v>14</v>
      </c>
      <c r="JK145" s="8" t="s">
        <v>1664</v>
      </c>
      <c r="JN145" t="s">
        <v>13</v>
      </c>
      <c r="JO145">
        <v>40</v>
      </c>
      <c r="JP145">
        <v>50</v>
      </c>
      <c r="KD145" t="s">
        <v>12</v>
      </c>
      <c r="MR145" t="s">
        <v>1640</v>
      </c>
      <c r="MS145">
        <v>36</v>
      </c>
      <c r="MT145" t="s">
        <v>709</v>
      </c>
      <c r="MV145" t="s">
        <v>709</v>
      </c>
      <c r="NA145" t="s">
        <v>205</v>
      </c>
      <c r="NB145" t="s">
        <v>711</v>
      </c>
      <c r="ND145" t="s">
        <v>1696</v>
      </c>
      <c r="NF145" s="4" t="s">
        <v>203</v>
      </c>
      <c r="NG145" t="s">
        <v>1695</v>
      </c>
      <c r="NO145" s="78"/>
      <c r="NP145" t="s">
        <v>6</v>
      </c>
      <c r="NQ145">
        <v>0</v>
      </c>
      <c r="NR145" s="4" t="s">
        <v>4</v>
      </c>
      <c r="NS145" s="4">
        <v>0</v>
      </c>
      <c r="NV145">
        <v>4</v>
      </c>
      <c r="OG145" t="s">
        <v>1691</v>
      </c>
      <c r="OH145" s="87" t="s">
        <v>2</v>
      </c>
      <c r="OI145">
        <v>2008</v>
      </c>
      <c r="OL145" t="s">
        <v>1692</v>
      </c>
      <c r="ON145" t="s">
        <v>1169</v>
      </c>
      <c r="OO145" s="58">
        <v>46105</v>
      </c>
    </row>
    <row r="146" spans="1:413" ht="15.75" thickBot="1">
      <c r="A146" t="s">
        <v>248</v>
      </c>
      <c r="B146" t="s">
        <v>1870</v>
      </c>
      <c r="C146" t="s">
        <v>34</v>
      </c>
      <c r="D146" s="100" t="s">
        <v>31</v>
      </c>
      <c r="E146" s="90" t="s">
        <v>1658</v>
      </c>
      <c r="F146" s="100" t="s">
        <v>31</v>
      </c>
      <c r="G146" s="87" t="s">
        <v>2</v>
      </c>
      <c r="H146" s="87" t="s">
        <v>30</v>
      </c>
      <c r="I146">
        <v>-0.41666666699999999</v>
      </c>
      <c r="J146">
        <v>34.200000000000003</v>
      </c>
      <c r="K146" s="87" t="s">
        <v>29</v>
      </c>
      <c r="AV146" t="s">
        <v>1661</v>
      </c>
      <c r="AW146">
        <v>51</v>
      </c>
      <c r="AX146" t="s">
        <v>234</v>
      </c>
      <c r="AY146">
        <v>1</v>
      </c>
      <c r="AZ146" t="s">
        <v>1667</v>
      </c>
      <c r="BA146">
        <v>2007</v>
      </c>
      <c r="BB146">
        <v>2008</v>
      </c>
      <c r="BD146" t="s">
        <v>19</v>
      </c>
      <c r="BE146" t="s">
        <v>1639</v>
      </c>
      <c r="BF146" t="s">
        <v>39</v>
      </c>
      <c r="BH146" t="s">
        <v>23</v>
      </c>
      <c r="BI146" t="s">
        <v>1662</v>
      </c>
      <c r="BJ146" s="87" t="s">
        <v>22</v>
      </c>
      <c r="BK146">
        <v>44444</v>
      </c>
      <c r="IF146" t="s">
        <v>1651</v>
      </c>
      <c r="IG146" t="s">
        <v>19</v>
      </c>
      <c r="JH146" t="s">
        <v>1663</v>
      </c>
      <c r="JI146" t="s">
        <v>15</v>
      </c>
      <c r="JJ146" t="s">
        <v>14</v>
      </c>
      <c r="JK146" s="8" t="s">
        <v>1664</v>
      </c>
      <c r="JN146" t="s">
        <v>13</v>
      </c>
      <c r="JO146">
        <v>40</v>
      </c>
      <c r="JP146">
        <v>50</v>
      </c>
      <c r="KD146" t="s">
        <v>12</v>
      </c>
      <c r="MR146" t="s">
        <v>1640</v>
      </c>
      <c r="MS146">
        <v>36</v>
      </c>
      <c r="MT146" t="s">
        <v>709</v>
      </c>
      <c r="MV146" t="s">
        <v>709</v>
      </c>
      <c r="NA146" t="s">
        <v>205</v>
      </c>
      <c r="NB146" t="s">
        <v>711</v>
      </c>
      <c r="ND146" t="s">
        <v>1696</v>
      </c>
      <c r="NF146" s="4" t="s">
        <v>203</v>
      </c>
      <c r="NG146" t="s">
        <v>1695</v>
      </c>
      <c r="NO146" s="78" t="s">
        <v>735</v>
      </c>
      <c r="NP146" t="s">
        <v>6</v>
      </c>
      <c r="NQ146">
        <v>460.2</v>
      </c>
      <c r="NR146" s="4" t="s">
        <v>4</v>
      </c>
      <c r="NS146" s="4">
        <v>202.2</v>
      </c>
      <c r="NV146">
        <v>4</v>
      </c>
      <c r="OG146" t="s">
        <v>1694</v>
      </c>
      <c r="OH146" s="87" t="s">
        <v>2</v>
      </c>
      <c r="OI146">
        <v>2008</v>
      </c>
      <c r="OL146" t="s">
        <v>1693</v>
      </c>
      <c r="ON146" t="s">
        <v>1169</v>
      </c>
      <c r="OO146" s="58">
        <v>46105</v>
      </c>
    </row>
    <row r="147" spans="1:413" ht="15.75" thickBot="1">
      <c r="A147" t="s">
        <v>248</v>
      </c>
      <c r="B147" t="s">
        <v>1870</v>
      </c>
      <c r="C147" t="s">
        <v>34</v>
      </c>
      <c r="D147" s="100" t="s">
        <v>31</v>
      </c>
      <c r="E147" s="90" t="s">
        <v>1658</v>
      </c>
      <c r="F147" s="100" t="s">
        <v>31</v>
      </c>
      <c r="G147" s="87" t="s">
        <v>2</v>
      </c>
      <c r="H147" s="87" t="s">
        <v>30</v>
      </c>
      <c r="I147">
        <v>-0.41666666699999999</v>
      </c>
      <c r="J147">
        <v>34.200000000000003</v>
      </c>
      <c r="K147" s="87" t="s">
        <v>29</v>
      </c>
      <c r="AV147" t="s">
        <v>1661</v>
      </c>
      <c r="AW147">
        <v>52</v>
      </c>
      <c r="AX147" t="s">
        <v>234</v>
      </c>
      <c r="AY147">
        <v>1</v>
      </c>
      <c r="AZ147" t="s">
        <v>1667</v>
      </c>
      <c r="BA147">
        <v>2007</v>
      </c>
      <c r="BB147">
        <v>2008</v>
      </c>
      <c r="BD147" t="s">
        <v>238</v>
      </c>
      <c r="BE147" t="s">
        <v>1643</v>
      </c>
      <c r="BF147" t="s">
        <v>64</v>
      </c>
      <c r="BH147" t="s">
        <v>23</v>
      </c>
      <c r="BI147" t="s">
        <v>1662</v>
      </c>
      <c r="BJ147" s="87" t="s">
        <v>22</v>
      </c>
      <c r="BK147">
        <v>44444</v>
      </c>
      <c r="BL147" t="s">
        <v>56</v>
      </c>
      <c r="BM147" t="s">
        <v>1659</v>
      </c>
      <c r="BN147" t="s">
        <v>1660</v>
      </c>
      <c r="BO147" s="87" t="s">
        <v>22</v>
      </c>
      <c r="BP147">
        <v>44444</v>
      </c>
      <c r="EH147" s="9"/>
      <c r="EI147" s="9"/>
      <c r="EJ147" s="9"/>
      <c r="EK147" s="9"/>
      <c r="EL147" s="9"/>
      <c r="EM147" s="9"/>
      <c r="EN147" s="9"/>
      <c r="EO147" s="9"/>
      <c r="EP147" s="9"/>
      <c r="EQ147" s="9"/>
      <c r="ER147" s="9"/>
      <c r="ES147" s="9"/>
      <c r="ET147" s="9"/>
      <c r="EU147" s="9"/>
      <c r="EV147" s="9"/>
      <c r="EW147" s="9"/>
      <c r="EX147" s="9"/>
      <c r="EY147" s="9"/>
      <c r="EZ147" s="9"/>
      <c r="FA147" s="9"/>
      <c r="FB147" s="9"/>
      <c r="FC147" s="9"/>
      <c r="FD147" s="9"/>
      <c r="FE147" s="9"/>
      <c r="FF147" s="9"/>
      <c r="FG147" s="9"/>
      <c r="FH147" s="9"/>
      <c r="FI147" s="9"/>
      <c r="FJ147" s="9"/>
      <c r="FK147" s="9"/>
      <c r="FL147" s="9"/>
      <c r="FM147" s="9"/>
      <c r="FN147" s="9"/>
      <c r="FO147" s="9"/>
      <c r="FP147" s="9"/>
      <c r="FQ147" s="9"/>
      <c r="FR147" s="9"/>
      <c r="FS147" s="9"/>
      <c r="FT147" s="9"/>
      <c r="FU147" s="9"/>
      <c r="FV147" s="9"/>
      <c r="FW147" s="9"/>
      <c r="FX147" s="9"/>
      <c r="FY147" s="9"/>
      <c r="FZ147" s="9"/>
      <c r="GA147" s="9"/>
      <c r="GB147" s="9"/>
      <c r="GC147" s="9"/>
      <c r="GD147" s="9"/>
      <c r="GE147" s="9"/>
      <c r="GF147" s="9"/>
      <c r="GG147" s="9"/>
      <c r="GH147" s="9"/>
      <c r="GI147" s="9"/>
      <c r="GJ147" s="9"/>
      <c r="GK147" s="9"/>
      <c r="GL147" s="9"/>
      <c r="GM147" s="9"/>
      <c r="GN147" s="9"/>
      <c r="GO147" s="9"/>
      <c r="GP147" s="9"/>
      <c r="GQ147" s="9"/>
      <c r="GR147" s="9"/>
      <c r="GS147" s="9"/>
      <c r="GT147" s="9"/>
      <c r="GU147" s="9"/>
      <c r="GV147" s="9"/>
      <c r="GW147" s="9"/>
      <c r="GX147" s="9"/>
      <c r="GY147" s="9"/>
      <c r="GZ147" s="9"/>
      <c r="HA147" s="9"/>
      <c r="HB147" s="9"/>
      <c r="HC147" s="9"/>
      <c r="HD147" s="9"/>
      <c r="HE147" s="9"/>
      <c r="HF147" s="9"/>
      <c r="HG147" s="9"/>
      <c r="HH147" s="9"/>
      <c r="HI147" s="9"/>
      <c r="HJ147" s="9"/>
      <c r="HK147" s="9"/>
      <c r="HW147" s="58"/>
      <c r="IF147" t="s">
        <v>1652</v>
      </c>
      <c r="IG147" s="84" t="s">
        <v>1443</v>
      </c>
      <c r="IH147" t="s">
        <v>660</v>
      </c>
      <c r="II147" t="s">
        <v>661</v>
      </c>
      <c r="IJ147" t="s">
        <v>836</v>
      </c>
      <c r="IK147" t="s">
        <v>836</v>
      </c>
      <c r="IL147" s="87" t="s">
        <v>29</v>
      </c>
      <c r="JH147" t="s">
        <v>1663</v>
      </c>
      <c r="JI147" t="s">
        <v>15</v>
      </c>
      <c r="JJ147" t="s">
        <v>14</v>
      </c>
      <c r="JK147" s="8" t="s">
        <v>1664</v>
      </c>
      <c r="JN147" t="s">
        <v>13</v>
      </c>
      <c r="JO147">
        <v>40</v>
      </c>
      <c r="JP147">
        <v>50</v>
      </c>
      <c r="KD147" t="s">
        <v>12</v>
      </c>
      <c r="MR147" t="s">
        <v>1640</v>
      </c>
      <c r="MS147">
        <v>36</v>
      </c>
      <c r="MT147" t="s">
        <v>709</v>
      </c>
      <c r="MV147" t="s">
        <v>709</v>
      </c>
      <c r="NA147" t="s">
        <v>205</v>
      </c>
      <c r="NB147" t="s">
        <v>711</v>
      </c>
      <c r="ND147" t="s">
        <v>1696</v>
      </c>
      <c r="NF147" s="4" t="s">
        <v>203</v>
      </c>
      <c r="NG147" t="s">
        <v>1695</v>
      </c>
      <c r="NO147" s="78"/>
      <c r="NP147" t="s">
        <v>6</v>
      </c>
      <c r="NQ147">
        <v>269.2</v>
      </c>
      <c r="NR147" s="4" t="s">
        <v>4</v>
      </c>
      <c r="NS147" s="4">
        <v>191.3</v>
      </c>
      <c r="NV147">
        <v>4</v>
      </c>
      <c r="OG147" t="s">
        <v>1694</v>
      </c>
      <c r="OH147" s="87" t="s">
        <v>2</v>
      </c>
      <c r="OI147">
        <v>2008</v>
      </c>
      <c r="OL147" t="s">
        <v>1693</v>
      </c>
      <c r="ON147" t="s">
        <v>1169</v>
      </c>
      <c r="OO147" s="58">
        <v>46105</v>
      </c>
    </row>
    <row r="148" spans="1:413" ht="15.75" thickBot="1">
      <c r="A148" t="s">
        <v>248</v>
      </c>
      <c r="B148" t="s">
        <v>1870</v>
      </c>
      <c r="C148" t="s">
        <v>34</v>
      </c>
      <c r="D148" s="100" t="s">
        <v>31</v>
      </c>
      <c r="E148" s="90" t="s">
        <v>1658</v>
      </c>
      <c r="F148" s="100" t="s">
        <v>31</v>
      </c>
      <c r="G148" s="87" t="s">
        <v>2</v>
      </c>
      <c r="H148" s="87" t="s">
        <v>30</v>
      </c>
      <c r="I148">
        <v>-0.41666666699999999</v>
      </c>
      <c r="J148">
        <v>34.200000000000003</v>
      </c>
      <c r="K148" s="87" t="s">
        <v>29</v>
      </c>
      <c r="AV148" t="s">
        <v>1661</v>
      </c>
      <c r="AW148">
        <v>53</v>
      </c>
      <c r="AX148" t="s">
        <v>234</v>
      </c>
      <c r="AY148">
        <v>1</v>
      </c>
      <c r="AZ148" t="s">
        <v>1667</v>
      </c>
      <c r="BA148">
        <v>2007</v>
      </c>
      <c r="BB148">
        <v>2008</v>
      </c>
      <c r="BD148" t="s">
        <v>238</v>
      </c>
      <c r="BE148" t="s">
        <v>1645</v>
      </c>
      <c r="BF148" t="s">
        <v>57</v>
      </c>
      <c r="BH148" t="s">
        <v>23</v>
      </c>
      <c r="BI148" t="s">
        <v>1662</v>
      </c>
      <c r="BJ148" s="87" t="s">
        <v>22</v>
      </c>
      <c r="BK148">
        <v>44444</v>
      </c>
      <c r="BL148" t="s">
        <v>56</v>
      </c>
      <c r="BM148" t="s">
        <v>1646</v>
      </c>
      <c r="BN148" t="s">
        <v>234</v>
      </c>
      <c r="BO148" t="s">
        <v>234</v>
      </c>
      <c r="BP148" t="s">
        <v>234</v>
      </c>
      <c r="EH148" s="9"/>
      <c r="EI148" s="9"/>
      <c r="EJ148" s="9"/>
      <c r="EK148" s="9"/>
      <c r="EL148" s="9"/>
      <c r="EM148" s="9"/>
      <c r="EN148" s="9"/>
      <c r="EO148" s="9"/>
      <c r="EP148" s="9"/>
      <c r="EQ148" s="9"/>
      <c r="ER148" s="9"/>
      <c r="ES148" s="9"/>
      <c r="ET148" s="9"/>
      <c r="EU148" s="9"/>
      <c r="EV148" s="9"/>
      <c r="EW148" s="9"/>
      <c r="EX148" s="9"/>
      <c r="EY148" s="9"/>
      <c r="EZ148" s="9"/>
      <c r="FA148" s="9"/>
      <c r="FB148" s="9"/>
      <c r="FC148" s="9"/>
      <c r="FD148" s="9"/>
      <c r="FE148" s="9"/>
      <c r="FF148" s="9"/>
      <c r="FG148" s="9"/>
      <c r="FH148" s="9"/>
      <c r="FI148" s="9"/>
      <c r="FJ148" s="9"/>
      <c r="FK148" s="9"/>
      <c r="FL148" s="9"/>
      <c r="FM148" s="9"/>
      <c r="FN148" s="9"/>
      <c r="FO148" s="9"/>
      <c r="FP148" s="9"/>
      <c r="FQ148" s="9"/>
      <c r="FR148" s="9"/>
      <c r="FS148" s="9"/>
      <c r="FT148" s="9"/>
      <c r="FU148" s="9"/>
      <c r="FV148" s="9"/>
      <c r="FW148" s="9"/>
      <c r="FX148" s="9"/>
      <c r="FY148" s="9"/>
      <c r="FZ148" s="9"/>
      <c r="GA148" s="9"/>
      <c r="GB148" s="9"/>
      <c r="GC148" s="9"/>
      <c r="GD148" s="9"/>
      <c r="GE148" s="9"/>
      <c r="GF148" s="9"/>
      <c r="GG148" s="9"/>
      <c r="GH148" s="9"/>
      <c r="GI148" s="9"/>
      <c r="GJ148" s="9"/>
      <c r="GK148" s="9"/>
      <c r="GL148" s="9"/>
      <c r="GM148" s="9"/>
      <c r="GN148" s="9"/>
      <c r="GO148" s="9"/>
      <c r="GP148" s="9"/>
      <c r="GQ148" s="9"/>
      <c r="GR148" s="9"/>
      <c r="GS148" s="9"/>
      <c r="GT148" s="9"/>
      <c r="GU148" s="9"/>
      <c r="GV148" s="9"/>
      <c r="GW148" s="9"/>
      <c r="GX148" s="9"/>
      <c r="GY148" s="9"/>
      <c r="GZ148" s="9"/>
      <c r="HA148" s="9"/>
      <c r="HB148" s="9"/>
      <c r="HC148" s="9"/>
      <c r="HD148" s="9"/>
      <c r="HE148" s="9"/>
      <c r="HF148" s="9"/>
      <c r="HG148" s="9"/>
      <c r="HH148" s="9"/>
      <c r="HI148" s="9"/>
      <c r="HJ148" s="9"/>
      <c r="HK148" s="9"/>
      <c r="HW148" s="58"/>
      <c r="IF148" t="s">
        <v>1653</v>
      </c>
      <c r="IG148" s="84" t="s">
        <v>1665</v>
      </c>
      <c r="IH148" t="s">
        <v>660</v>
      </c>
      <c r="II148" t="s">
        <v>661</v>
      </c>
      <c r="IJ148" t="s">
        <v>836</v>
      </c>
      <c r="IK148" t="s">
        <v>836</v>
      </c>
      <c r="IL148" s="87" t="s">
        <v>29</v>
      </c>
      <c r="JH148" t="s">
        <v>1663</v>
      </c>
      <c r="JI148" t="s">
        <v>15</v>
      </c>
      <c r="JJ148" t="s">
        <v>14</v>
      </c>
      <c r="JK148" s="8" t="s">
        <v>1664</v>
      </c>
      <c r="JN148" t="s">
        <v>13</v>
      </c>
      <c r="JO148">
        <v>40</v>
      </c>
      <c r="JP148">
        <v>50</v>
      </c>
      <c r="KD148" t="s">
        <v>12</v>
      </c>
      <c r="MR148" t="s">
        <v>1640</v>
      </c>
      <c r="MS148">
        <v>36</v>
      </c>
      <c r="MT148" t="s">
        <v>709</v>
      </c>
      <c r="MV148" t="s">
        <v>709</v>
      </c>
      <c r="NA148" t="s">
        <v>205</v>
      </c>
      <c r="NB148" t="s">
        <v>711</v>
      </c>
      <c r="ND148" t="s">
        <v>1696</v>
      </c>
      <c r="NF148" s="4" t="s">
        <v>203</v>
      </c>
      <c r="NG148" t="s">
        <v>1695</v>
      </c>
      <c r="NO148" s="78"/>
      <c r="NP148" t="s">
        <v>6</v>
      </c>
      <c r="NQ148">
        <v>8.1999999999999993</v>
      </c>
      <c r="NR148" s="4" t="s">
        <v>4</v>
      </c>
      <c r="NS148" s="4">
        <v>3.7</v>
      </c>
      <c r="NV148">
        <v>4</v>
      </c>
      <c r="OG148" t="s">
        <v>1694</v>
      </c>
      <c r="OH148" s="87" t="s">
        <v>2</v>
      </c>
      <c r="OI148">
        <v>2008</v>
      </c>
      <c r="OL148" t="s">
        <v>1693</v>
      </c>
      <c r="ON148" t="s">
        <v>1169</v>
      </c>
      <c r="OO148" s="58">
        <v>46105</v>
      </c>
    </row>
    <row r="149" spans="1:413" ht="15.75" thickBot="1">
      <c r="A149" t="s">
        <v>248</v>
      </c>
      <c r="B149" t="s">
        <v>1870</v>
      </c>
      <c r="C149" t="s">
        <v>34</v>
      </c>
      <c r="D149" s="100" t="s">
        <v>31</v>
      </c>
      <c r="E149" s="90" t="s">
        <v>1658</v>
      </c>
      <c r="F149" s="100" t="s">
        <v>31</v>
      </c>
      <c r="G149" s="87" t="s">
        <v>2</v>
      </c>
      <c r="H149" s="87" t="s">
        <v>30</v>
      </c>
      <c r="I149">
        <v>-0.41666666699999999</v>
      </c>
      <c r="J149">
        <v>34.200000000000003</v>
      </c>
      <c r="K149" s="87" t="s">
        <v>29</v>
      </c>
      <c r="AV149" t="s">
        <v>1661</v>
      </c>
      <c r="AW149">
        <v>54</v>
      </c>
      <c r="AX149" t="s">
        <v>234</v>
      </c>
      <c r="AY149">
        <v>1</v>
      </c>
      <c r="AZ149" t="s">
        <v>1667</v>
      </c>
      <c r="BA149">
        <v>2007</v>
      </c>
      <c r="BB149">
        <v>2008</v>
      </c>
      <c r="BD149" t="s">
        <v>238</v>
      </c>
      <c r="BE149" t="s">
        <v>1648</v>
      </c>
      <c r="BF149" t="s">
        <v>48</v>
      </c>
      <c r="BH149" t="s">
        <v>23</v>
      </c>
      <c r="BI149" t="s">
        <v>1662</v>
      </c>
      <c r="BJ149" s="87" t="s">
        <v>22</v>
      </c>
      <c r="BK149">
        <v>44444</v>
      </c>
      <c r="BL149" t="s">
        <v>56</v>
      </c>
      <c r="BM149" t="s">
        <v>1659</v>
      </c>
      <c r="BN149" t="s">
        <v>1660</v>
      </c>
      <c r="BO149" s="87" t="s">
        <v>22</v>
      </c>
      <c r="BP149">
        <v>44444</v>
      </c>
      <c r="BQ149" t="s">
        <v>56</v>
      </c>
      <c r="BR149" t="s">
        <v>1646</v>
      </c>
      <c r="BS149" t="s">
        <v>234</v>
      </c>
      <c r="BT149" t="s">
        <v>234</v>
      </c>
      <c r="BU149" t="s">
        <v>234</v>
      </c>
      <c r="EH149" s="9"/>
      <c r="EI149" s="9"/>
      <c r="EJ149" s="9"/>
      <c r="EK149" s="9"/>
      <c r="EL149" s="9"/>
      <c r="EM149" s="9"/>
      <c r="EN149" s="9"/>
      <c r="EO149" s="9"/>
      <c r="EP149" s="9"/>
      <c r="EQ149" s="9"/>
      <c r="ER149" s="9"/>
      <c r="ES149" s="9"/>
      <c r="ET149" s="9"/>
      <c r="EU149" s="9"/>
      <c r="EV149" s="9"/>
      <c r="EW149" s="9"/>
      <c r="EX149" s="9"/>
      <c r="EY149" s="9"/>
      <c r="EZ149" s="9"/>
      <c r="FA149" s="9"/>
      <c r="FB149" s="9"/>
      <c r="FC149" s="9"/>
      <c r="FD149" s="9"/>
      <c r="FE149" s="9"/>
      <c r="FF149" s="9"/>
      <c r="FG149" s="9"/>
      <c r="FH149" s="9"/>
      <c r="FI149" s="9"/>
      <c r="FJ149" s="9"/>
      <c r="FK149" s="9"/>
      <c r="FL149" s="9"/>
      <c r="FM149" s="9"/>
      <c r="FN149" s="9"/>
      <c r="FO149" s="9"/>
      <c r="FP149" s="9"/>
      <c r="FQ149" s="9"/>
      <c r="FR149" s="9"/>
      <c r="FS149" s="9"/>
      <c r="FT149" s="9"/>
      <c r="FU149" s="9"/>
      <c r="FV149" s="9"/>
      <c r="FW149" s="9"/>
      <c r="FX149" s="9"/>
      <c r="FY149" s="9"/>
      <c r="FZ149" s="9"/>
      <c r="GA149" s="9"/>
      <c r="GB149" s="9"/>
      <c r="GC149" s="9"/>
      <c r="GD149" s="9"/>
      <c r="GE149" s="9"/>
      <c r="GF149" s="9"/>
      <c r="GG149" s="9"/>
      <c r="GH149" s="9"/>
      <c r="GI149" s="9"/>
      <c r="GJ149" s="9"/>
      <c r="GK149" s="9"/>
      <c r="GL149" s="9"/>
      <c r="GM149" s="9"/>
      <c r="GN149" s="9"/>
      <c r="GO149" s="9"/>
      <c r="GP149" s="9"/>
      <c r="GQ149" s="9"/>
      <c r="GR149" s="9"/>
      <c r="GS149" s="9"/>
      <c r="GT149" s="9"/>
      <c r="GU149" s="9"/>
      <c r="GV149" s="9"/>
      <c r="GW149" s="9"/>
      <c r="GX149" s="9"/>
      <c r="GY149" s="9"/>
      <c r="GZ149" s="9"/>
      <c r="HA149" s="9"/>
      <c r="HB149" s="9"/>
      <c r="HC149" s="9"/>
      <c r="HD149" s="9"/>
      <c r="HE149" s="9"/>
      <c r="HF149" s="9"/>
      <c r="HG149" s="9"/>
      <c r="HH149" s="9"/>
      <c r="HI149" s="9"/>
      <c r="HJ149" s="9"/>
      <c r="HK149" s="9"/>
      <c r="HW149" s="58"/>
      <c r="IF149" t="s">
        <v>1654</v>
      </c>
      <c r="IG149" s="84" t="s">
        <v>1665</v>
      </c>
      <c r="IH149" t="s">
        <v>660</v>
      </c>
      <c r="II149" t="s">
        <v>661</v>
      </c>
      <c r="IJ149" t="s">
        <v>836</v>
      </c>
      <c r="IK149" t="s">
        <v>836</v>
      </c>
      <c r="IL149" s="87" t="s">
        <v>29</v>
      </c>
      <c r="JH149" t="s">
        <v>1663</v>
      </c>
      <c r="JI149" t="s">
        <v>15</v>
      </c>
      <c r="JJ149" t="s">
        <v>14</v>
      </c>
      <c r="JK149" s="8" t="s">
        <v>1664</v>
      </c>
      <c r="JN149" t="s">
        <v>13</v>
      </c>
      <c r="JO149">
        <v>40</v>
      </c>
      <c r="JP149">
        <v>50</v>
      </c>
      <c r="KD149" t="s">
        <v>12</v>
      </c>
      <c r="MR149" t="s">
        <v>1640</v>
      </c>
      <c r="MS149">
        <v>36</v>
      </c>
      <c r="MT149" t="s">
        <v>709</v>
      </c>
      <c r="MV149" t="s">
        <v>709</v>
      </c>
      <c r="NA149" t="s">
        <v>205</v>
      </c>
      <c r="NB149" t="s">
        <v>711</v>
      </c>
      <c r="ND149" t="s">
        <v>1696</v>
      </c>
      <c r="NF149" s="4" t="s">
        <v>203</v>
      </c>
      <c r="NG149" t="s">
        <v>1695</v>
      </c>
      <c r="NO149" s="78"/>
      <c r="NP149" t="s">
        <v>6</v>
      </c>
      <c r="NQ149">
        <v>3.5</v>
      </c>
      <c r="NR149" s="4" t="s">
        <v>4</v>
      </c>
      <c r="NS149" s="4">
        <v>1.6</v>
      </c>
      <c r="NV149">
        <v>4</v>
      </c>
      <c r="OG149" t="s">
        <v>1694</v>
      </c>
      <c r="OH149" s="87" t="s">
        <v>2</v>
      </c>
      <c r="OI149">
        <v>2008</v>
      </c>
      <c r="OL149" t="s">
        <v>1693</v>
      </c>
      <c r="ON149" t="s">
        <v>1169</v>
      </c>
      <c r="OO149" s="58">
        <v>46105</v>
      </c>
    </row>
    <row r="150" spans="1:413" ht="15.75" thickBot="1">
      <c r="A150" t="s">
        <v>248</v>
      </c>
      <c r="B150" t="s">
        <v>1870</v>
      </c>
      <c r="C150" t="s">
        <v>34</v>
      </c>
      <c r="D150" s="100" t="s">
        <v>31</v>
      </c>
      <c r="E150" s="90" t="s">
        <v>1658</v>
      </c>
      <c r="F150" s="100" t="s">
        <v>31</v>
      </c>
      <c r="G150" s="87" t="s">
        <v>2</v>
      </c>
      <c r="H150" s="87" t="s">
        <v>30</v>
      </c>
      <c r="I150">
        <v>-0.41666666699999999</v>
      </c>
      <c r="J150">
        <v>34.200000000000003</v>
      </c>
      <c r="K150" s="87" t="s">
        <v>29</v>
      </c>
      <c r="AV150" t="s">
        <v>1661</v>
      </c>
      <c r="AW150">
        <v>55</v>
      </c>
      <c r="AX150" t="s">
        <v>234</v>
      </c>
      <c r="AY150">
        <v>1</v>
      </c>
      <c r="AZ150" t="s">
        <v>1667</v>
      </c>
      <c r="BA150">
        <v>2007</v>
      </c>
      <c r="BB150">
        <v>2008</v>
      </c>
      <c r="BD150" t="s">
        <v>238</v>
      </c>
      <c r="BE150" t="s">
        <v>1650</v>
      </c>
      <c r="BF150" t="s">
        <v>43</v>
      </c>
      <c r="BH150" t="s">
        <v>23</v>
      </c>
      <c r="BI150" t="s">
        <v>1662</v>
      </c>
      <c r="BJ150" s="87" t="s">
        <v>22</v>
      </c>
      <c r="BK150">
        <v>44444</v>
      </c>
      <c r="BL150" t="s">
        <v>56</v>
      </c>
      <c r="BM150" t="s">
        <v>1659</v>
      </c>
      <c r="BN150" t="s">
        <v>1660</v>
      </c>
      <c r="BO150" s="87" t="s">
        <v>22</v>
      </c>
      <c r="BP150">
        <v>44444</v>
      </c>
      <c r="BQ150" t="s">
        <v>56</v>
      </c>
      <c r="BR150" t="s">
        <v>1646</v>
      </c>
      <c r="BS150" t="s">
        <v>234</v>
      </c>
      <c r="BT150" t="s">
        <v>234</v>
      </c>
      <c r="BU150" t="s">
        <v>234</v>
      </c>
      <c r="EH150" s="9"/>
      <c r="EI150" s="9"/>
      <c r="EJ150" s="9"/>
      <c r="EK150" s="9"/>
      <c r="EL150" s="9"/>
      <c r="EM150" s="9"/>
      <c r="EN150" s="9"/>
      <c r="EO150" s="9"/>
      <c r="EP150" s="9"/>
      <c r="EQ150" s="9"/>
      <c r="ER150" s="9"/>
      <c r="ES150" s="9"/>
      <c r="ET150" s="9"/>
      <c r="EU150" s="9"/>
      <c r="EV150" s="9"/>
      <c r="EW150" s="9"/>
      <c r="EX150" s="9"/>
      <c r="EY150" s="9"/>
      <c r="EZ150" s="9"/>
      <c r="FA150" s="9"/>
      <c r="FB150" s="9"/>
      <c r="FC150" s="9"/>
      <c r="FD150" s="9"/>
      <c r="FE150" s="9"/>
      <c r="FF150" s="9"/>
      <c r="FG150" s="9"/>
      <c r="FH150" s="9"/>
      <c r="FI150" s="9"/>
      <c r="FJ150" s="9"/>
      <c r="FK150" s="9"/>
      <c r="FL150" s="9"/>
      <c r="FM150" s="9"/>
      <c r="FN150" s="9"/>
      <c r="FO150" s="9"/>
      <c r="FP150" s="9"/>
      <c r="FQ150" s="9"/>
      <c r="FR150" s="9"/>
      <c r="FS150" s="9"/>
      <c r="FT150" s="9"/>
      <c r="FU150" s="9"/>
      <c r="FV150" s="9"/>
      <c r="FW150" s="9"/>
      <c r="FX150" s="9"/>
      <c r="FY150" s="9"/>
      <c r="FZ150" s="9"/>
      <c r="GA150" s="9"/>
      <c r="GB150" s="9"/>
      <c r="GC150" s="9"/>
      <c r="GD150" s="9"/>
      <c r="GE150" s="9"/>
      <c r="GF150" s="9"/>
      <c r="GG150" s="9"/>
      <c r="GH150" s="9"/>
      <c r="GI150" s="9"/>
      <c r="GJ150" s="9"/>
      <c r="GK150" s="9"/>
      <c r="GL150" s="9"/>
      <c r="GM150" s="9"/>
      <c r="GN150" s="9"/>
      <c r="GO150" s="9"/>
      <c r="GP150" s="9"/>
      <c r="GQ150" s="9"/>
      <c r="GR150" s="9"/>
      <c r="GS150" s="9"/>
      <c r="GT150" s="9"/>
      <c r="GU150" s="9"/>
      <c r="GV150" s="9"/>
      <c r="GW150" s="9"/>
      <c r="GX150" s="9"/>
      <c r="GY150" s="9"/>
      <c r="GZ150" s="9"/>
      <c r="HA150" s="9"/>
      <c r="HB150" s="9"/>
      <c r="HC150" s="9"/>
      <c r="HD150" s="9"/>
      <c r="HE150" s="9"/>
      <c r="HF150" s="9"/>
      <c r="HG150" s="9"/>
      <c r="HH150" s="9"/>
      <c r="HI150" s="9"/>
      <c r="HJ150" s="9"/>
      <c r="HK150" s="9"/>
      <c r="HW150" s="58"/>
      <c r="IF150" t="s">
        <v>1655</v>
      </c>
      <c r="IG150" s="84" t="s">
        <v>1665</v>
      </c>
      <c r="IH150" t="s">
        <v>660</v>
      </c>
      <c r="II150" t="s">
        <v>661</v>
      </c>
      <c r="IJ150" t="s">
        <v>836</v>
      </c>
      <c r="IK150" t="s">
        <v>836</v>
      </c>
      <c r="IL150" s="87" t="s">
        <v>29</v>
      </c>
      <c r="JH150" t="s">
        <v>1663</v>
      </c>
      <c r="JI150" t="s">
        <v>15</v>
      </c>
      <c r="JJ150" t="s">
        <v>14</v>
      </c>
      <c r="JK150" s="8" t="s">
        <v>1664</v>
      </c>
      <c r="JN150" t="s">
        <v>13</v>
      </c>
      <c r="JO150">
        <v>40</v>
      </c>
      <c r="JP150">
        <v>50</v>
      </c>
      <c r="KD150" t="s">
        <v>12</v>
      </c>
      <c r="MR150" t="s">
        <v>1640</v>
      </c>
      <c r="MS150">
        <v>36</v>
      </c>
      <c r="MT150" t="s">
        <v>709</v>
      </c>
      <c r="MV150" t="s">
        <v>709</v>
      </c>
      <c r="NA150" t="s">
        <v>205</v>
      </c>
      <c r="NB150" t="s">
        <v>711</v>
      </c>
      <c r="ND150" t="s">
        <v>1696</v>
      </c>
      <c r="NF150" s="4" t="s">
        <v>203</v>
      </c>
      <c r="NG150" t="s">
        <v>1695</v>
      </c>
      <c r="NO150" s="78"/>
      <c r="NP150" t="s">
        <v>6</v>
      </c>
      <c r="NQ150">
        <v>1</v>
      </c>
      <c r="NR150" s="4" t="s">
        <v>4</v>
      </c>
      <c r="NS150" s="4">
        <v>0.7</v>
      </c>
      <c r="NV150">
        <v>4</v>
      </c>
      <c r="OG150" t="s">
        <v>1694</v>
      </c>
      <c r="OH150" s="87" t="s">
        <v>2</v>
      </c>
      <c r="OI150">
        <v>2008</v>
      </c>
      <c r="OL150" t="s">
        <v>1693</v>
      </c>
      <c r="ON150" t="s">
        <v>1169</v>
      </c>
      <c r="OO150" s="58">
        <v>46105</v>
      </c>
    </row>
    <row r="153" spans="1:413" ht="15.75" thickBot="1"/>
    <row r="154" spans="1:413" s="48" customFormat="1" ht="64.5" thickBot="1">
      <c r="A154" s="179" t="s">
        <v>2280</v>
      </c>
      <c r="B154" s="180" t="s">
        <v>652</v>
      </c>
      <c r="C154" s="181" t="s">
        <v>672</v>
      </c>
      <c r="D154" s="181" t="s">
        <v>651</v>
      </c>
      <c r="E154" s="181" t="s">
        <v>650</v>
      </c>
      <c r="F154" s="181" t="s">
        <v>649</v>
      </c>
      <c r="G154" s="181" t="s">
        <v>682</v>
      </c>
      <c r="H154" s="181" t="s">
        <v>648</v>
      </c>
      <c r="I154" s="181" t="s">
        <v>647</v>
      </c>
      <c r="J154" s="181" t="s">
        <v>646</v>
      </c>
      <c r="K154" s="181" t="s">
        <v>645</v>
      </c>
      <c r="L154" s="181" t="s">
        <v>674</v>
      </c>
      <c r="M154" s="181" t="s">
        <v>675</v>
      </c>
      <c r="N154" s="181" t="s">
        <v>676</v>
      </c>
      <c r="O154" s="181" t="s">
        <v>677</v>
      </c>
      <c r="P154" s="181" t="s">
        <v>678</v>
      </c>
      <c r="Q154" s="181" t="s">
        <v>679</v>
      </c>
      <c r="R154" s="181" t="s">
        <v>680</v>
      </c>
      <c r="S154" s="181" t="s">
        <v>681</v>
      </c>
      <c r="T154" s="181" t="s">
        <v>673</v>
      </c>
      <c r="U154" s="126" t="s">
        <v>1311</v>
      </c>
      <c r="V154" s="126" t="s">
        <v>1312</v>
      </c>
      <c r="W154" s="126" t="s">
        <v>1313</v>
      </c>
      <c r="X154" s="126" t="s">
        <v>1314</v>
      </c>
      <c r="Y154" s="126" t="s">
        <v>1315</v>
      </c>
      <c r="Z154" s="126" t="s">
        <v>1316</v>
      </c>
      <c r="AA154" s="126" t="s">
        <v>1317</v>
      </c>
      <c r="AB154" s="126" t="s">
        <v>1318</v>
      </c>
      <c r="AC154" s="126" t="s">
        <v>1308</v>
      </c>
      <c r="AD154" s="126" t="s">
        <v>1319</v>
      </c>
      <c r="AE154" s="126" t="s">
        <v>1320</v>
      </c>
      <c r="AF154" s="126" t="s">
        <v>1321</v>
      </c>
      <c r="AG154" s="126" t="s">
        <v>1322</v>
      </c>
      <c r="AH154" s="126" t="s">
        <v>1323</v>
      </c>
      <c r="AI154" s="126" t="s">
        <v>1324</v>
      </c>
      <c r="AJ154" s="126" t="s">
        <v>1325</v>
      </c>
      <c r="AK154" s="126" t="s">
        <v>1326</v>
      </c>
      <c r="AL154" s="126" t="s">
        <v>1309</v>
      </c>
      <c r="AM154" s="126" t="s">
        <v>1327</v>
      </c>
      <c r="AN154" s="126" t="s">
        <v>1328</v>
      </c>
      <c r="AO154" s="126" t="s">
        <v>1329</v>
      </c>
      <c r="AP154" s="126" t="s">
        <v>1330</v>
      </c>
      <c r="AQ154" s="126" t="s">
        <v>1331</v>
      </c>
      <c r="AR154" s="126" t="s">
        <v>1332</v>
      </c>
      <c r="AS154" s="126" t="s">
        <v>1333</v>
      </c>
      <c r="AT154" s="126" t="s">
        <v>1334</v>
      </c>
      <c r="AU154" s="126" t="s">
        <v>1310</v>
      </c>
      <c r="AV154" s="182" t="s">
        <v>644</v>
      </c>
      <c r="AW154" s="182" t="s">
        <v>643</v>
      </c>
      <c r="AX154" s="182" t="s">
        <v>642</v>
      </c>
      <c r="AY154" s="182" t="s">
        <v>641</v>
      </c>
      <c r="AZ154" s="183" t="s">
        <v>640</v>
      </c>
      <c r="BA154" s="183" t="s">
        <v>639</v>
      </c>
      <c r="BB154" s="183" t="s">
        <v>638</v>
      </c>
      <c r="BC154" s="183" t="s">
        <v>637</v>
      </c>
      <c r="BD154" s="184" t="s">
        <v>636</v>
      </c>
      <c r="BE154" s="184" t="s">
        <v>635</v>
      </c>
      <c r="BF154" s="184" t="s">
        <v>717</v>
      </c>
      <c r="BG154" s="184" t="s">
        <v>1727</v>
      </c>
      <c r="BH154" s="184" t="s">
        <v>634</v>
      </c>
      <c r="BI154" s="185" t="s">
        <v>633</v>
      </c>
      <c r="BJ154" s="185" t="s">
        <v>632</v>
      </c>
      <c r="BK154" s="185" t="s">
        <v>631</v>
      </c>
      <c r="BL154" s="185" t="s">
        <v>630</v>
      </c>
      <c r="BM154" s="185" t="s">
        <v>629</v>
      </c>
      <c r="BN154" s="185" t="s">
        <v>628</v>
      </c>
      <c r="BO154" s="185" t="s">
        <v>627</v>
      </c>
      <c r="BP154" s="185" t="s">
        <v>626</v>
      </c>
      <c r="BQ154" s="185" t="s">
        <v>625</v>
      </c>
      <c r="BR154" s="185" t="s">
        <v>624</v>
      </c>
      <c r="BS154" s="185" t="s">
        <v>623</v>
      </c>
      <c r="BT154" s="185" t="s">
        <v>622</v>
      </c>
      <c r="BU154" s="185" t="s">
        <v>621</v>
      </c>
      <c r="BV154" s="185" t="s">
        <v>620</v>
      </c>
      <c r="BW154" s="136" t="s">
        <v>1244</v>
      </c>
      <c r="BX154" s="136" t="s">
        <v>1245</v>
      </c>
      <c r="BY154" s="136" t="s">
        <v>1246</v>
      </c>
      <c r="BZ154" s="136" t="s">
        <v>1247</v>
      </c>
      <c r="CA154" s="136" t="s">
        <v>1239</v>
      </c>
      <c r="CB154" s="136" t="s">
        <v>1249</v>
      </c>
      <c r="CC154" s="136" t="s">
        <v>1250</v>
      </c>
      <c r="CD154" s="136" t="s">
        <v>1251</v>
      </c>
      <c r="CE154" s="136" t="s">
        <v>1252</v>
      </c>
      <c r="CF154" s="136" t="s">
        <v>1240</v>
      </c>
      <c r="CG154" s="136" t="s">
        <v>1253</v>
      </c>
      <c r="CH154" s="136" t="s">
        <v>1254</v>
      </c>
      <c r="CI154" s="136" t="s">
        <v>1255</v>
      </c>
      <c r="CJ154" s="136" t="s">
        <v>1256</v>
      </c>
      <c r="CK154" s="136" t="s">
        <v>1241</v>
      </c>
      <c r="CL154" s="136" t="s">
        <v>1257</v>
      </c>
      <c r="CM154" s="136" t="s">
        <v>1258</v>
      </c>
      <c r="CN154" s="136" t="s">
        <v>1259</v>
      </c>
      <c r="CO154" s="136" t="s">
        <v>1260</v>
      </c>
      <c r="CP154" s="136" t="s">
        <v>1242</v>
      </c>
      <c r="CQ154" s="136" t="s">
        <v>1261</v>
      </c>
      <c r="CR154" s="136" t="s">
        <v>1262</v>
      </c>
      <c r="CS154" s="136" t="s">
        <v>1263</v>
      </c>
      <c r="CT154" s="136" t="s">
        <v>1264</v>
      </c>
      <c r="CU154" s="136" t="s">
        <v>1243</v>
      </c>
      <c r="CV154" s="136" t="s">
        <v>1265</v>
      </c>
      <c r="CW154" s="136" t="s">
        <v>1266</v>
      </c>
      <c r="CX154" s="136" t="s">
        <v>1267</v>
      </c>
      <c r="CY154" s="136" t="s">
        <v>1268</v>
      </c>
      <c r="CZ154" s="136" t="s">
        <v>1248</v>
      </c>
      <c r="DA154" s="136" t="s">
        <v>1275</v>
      </c>
      <c r="DB154" s="136" t="s">
        <v>1276</v>
      </c>
      <c r="DC154" s="136" t="s">
        <v>1277</v>
      </c>
      <c r="DD154" s="136" t="s">
        <v>1278</v>
      </c>
      <c r="DE154" s="136" t="s">
        <v>1269</v>
      </c>
      <c r="DF154" s="136" t="s">
        <v>1279</v>
      </c>
      <c r="DG154" s="136" t="s">
        <v>1280</v>
      </c>
      <c r="DH154" s="136" t="s">
        <v>1281</v>
      </c>
      <c r="DI154" s="136" t="s">
        <v>1282</v>
      </c>
      <c r="DJ154" s="136" t="s">
        <v>1270</v>
      </c>
      <c r="DK154" s="136" t="s">
        <v>1283</v>
      </c>
      <c r="DL154" s="136" t="s">
        <v>1284</v>
      </c>
      <c r="DM154" s="136" t="s">
        <v>1285</v>
      </c>
      <c r="DN154" s="136" t="s">
        <v>1286</v>
      </c>
      <c r="DO154" s="136" t="s">
        <v>1271</v>
      </c>
      <c r="DP154" s="136" t="s">
        <v>1287</v>
      </c>
      <c r="DQ154" s="136" t="s">
        <v>1288</v>
      </c>
      <c r="DR154" s="136" t="s">
        <v>1289</v>
      </c>
      <c r="DS154" s="136" t="s">
        <v>1290</v>
      </c>
      <c r="DT154" s="136" t="s">
        <v>1272</v>
      </c>
      <c r="DU154" s="136" t="s">
        <v>1291</v>
      </c>
      <c r="DV154" s="136" t="s">
        <v>1292</v>
      </c>
      <c r="DW154" s="136" t="s">
        <v>1293</v>
      </c>
      <c r="DX154" s="136" t="s">
        <v>1294</v>
      </c>
      <c r="DY154" s="136" t="s">
        <v>1273</v>
      </c>
      <c r="DZ154" s="136" t="s">
        <v>1295</v>
      </c>
      <c r="EA154" s="136" t="s">
        <v>1296</v>
      </c>
      <c r="EB154" s="136" t="s">
        <v>1297</v>
      </c>
      <c r="EC154" s="136" t="s">
        <v>1298</v>
      </c>
      <c r="ED154" s="136" t="s">
        <v>1274</v>
      </c>
      <c r="EE154" s="184" t="s">
        <v>619</v>
      </c>
      <c r="EF154" s="184" t="s">
        <v>618</v>
      </c>
      <c r="EG154" s="184" t="s">
        <v>617</v>
      </c>
      <c r="EH154" s="184" t="s">
        <v>684</v>
      </c>
      <c r="EI154" s="184" t="s">
        <v>685</v>
      </c>
      <c r="EJ154" s="184" t="s">
        <v>686</v>
      </c>
      <c r="EK154" s="184" t="s">
        <v>687</v>
      </c>
      <c r="EL154" s="184" t="s">
        <v>688</v>
      </c>
      <c r="EM154" s="129" t="s">
        <v>1345</v>
      </c>
      <c r="EN154" s="129" t="s">
        <v>1346</v>
      </c>
      <c r="EO154" s="129" t="s">
        <v>1347</v>
      </c>
      <c r="EP154" s="129" t="s">
        <v>1335</v>
      </c>
      <c r="EQ154" s="129" t="s">
        <v>1348</v>
      </c>
      <c r="ER154" s="129" t="s">
        <v>1349</v>
      </c>
      <c r="ES154" s="129" t="s">
        <v>1350</v>
      </c>
      <c r="ET154" s="129" t="s">
        <v>1336</v>
      </c>
      <c r="EU154" s="129" t="s">
        <v>1351</v>
      </c>
      <c r="EV154" s="129" t="s">
        <v>1352</v>
      </c>
      <c r="EW154" s="129" t="s">
        <v>1353</v>
      </c>
      <c r="EX154" s="129" t="s">
        <v>1337</v>
      </c>
      <c r="EY154" s="129" t="s">
        <v>1357</v>
      </c>
      <c r="EZ154" s="129" t="s">
        <v>1358</v>
      </c>
      <c r="FA154" s="129" t="s">
        <v>1359</v>
      </c>
      <c r="FB154" s="129" t="s">
        <v>1338</v>
      </c>
      <c r="FC154" s="129" t="s">
        <v>1360</v>
      </c>
      <c r="FD154" s="129" t="s">
        <v>1361</v>
      </c>
      <c r="FE154" s="129" t="s">
        <v>1362</v>
      </c>
      <c r="FF154" s="129" t="s">
        <v>1339</v>
      </c>
      <c r="FG154" s="129" t="s">
        <v>1363</v>
      </c>
      <c r="FH154" s="129" t="s">
        <v>1364</v>
      </c>
      <c r="FI154" s="129" t="s">
        <v>1365</v>
      </c>
      <c r="FJ154" s="129" t="s">
        <v>1340</v>
      </c>
      <c r="FK154" s="129" t="s">
        <v>1366</v>
      </c>
      <c r="FL154" s="129" t="s">
        <v>1367</v>
      </c>
      <c r="FM154" s="129" t="s">
        <v>1368</v>
      </c>
      <c r="FN154" s="129" t="s">
        <v>1341</v>
      </c>
      <c r="FO154" s="129" t="s">
        <v>1369</v>
      </c>
      <c r="FP154" s="129" t="s">
        <v>1370</v>
      </c>
      <c r="FQ154" s="129" t="s">
        <v>1371</v>
      </c>
      <c r="FR154" s="129" t="s">
        <v>1342</v>
      </c>
      <c r="FS154" s="129" t="s">
        <v>1372</v>
      </c>
      <c r="FT154" s="129" t="s">
        <v>1373</v>
      </c>
      <c r="FU154" s="129" t="s">
        <v>1374</v>
      </c>
      <c r="FV154" s="129" t="s">
        <v>1343</v>
      </c>
      <c r="FW154" s="129" t="s">
        <v>1375</v>
      </c>
      <c r="FX154" s="129" t="s">
        <v>1376</v>
      </c>
      <c r="FY154" s="129" t="s">
        <v>1377</v>
      </c>
      <c r="FZ154" s="129" t="s">
        <v>1344</v>
      </c>
      <c r="GA154" s="129" t="s">
        <v>1378</v>
      </c>
      <c r="GB154" s="129" t="s">
        <v>1379</v>
      </c>
      <c r="GC154" s="129" t="s">
        <v>1380</v>
      </c>
      <c r="GD154" s="129" t="s">
        <v>1354</v>
      </c>
      <c r="GE154" s="129" t="s">
        <v>1381</v>
      </c>
      <c r="GF154" s="129" t="s">
        <v>1382</v>
      </c>
      <c r="GG154" s="129" t="s">
        <v>1383</v>
      </c>
      <c r="GH154" s="129" t="s">
        <v>1355</v>
      </c>
      <c r="GI154" s="129" t="s">
        <v>1384</v>
      </c>
      <c r="GJ154" s="129" t="s">
        <v>1385</v>
      </c>
      <c r="GK154" s="129" t="s">
        <v>1386</v>
      </c>
      <c r="GL154" s="129" t="s">
        <v>1356</v>
      </c>
      <c r="GM154" s="129" t="s">
        <v>691</v>
      </c>
      <c r="GN154" s="129" t="s">
        <v>700</v>
      </c>
      <c r="GO154" s="129" t="s">
        <v>689</v>
      </c>
      <c r="GP154" s="129" t="s">
        <v>690</v>
      </c>
      <c r="GQ154" s="129" t="s">
        <v>1097</v>
      </c>
      <c r="GR154" s="129" t="s">
        <v>693</v>
      </c>
      <c r="GS154" s="129" t="s">
        <v>699</v>
      </c>
      <c r="GT154" s="129" t="s">
        <v>694</v>
      </c>
      <c r="GU154" s="129" t="s">
        <v>692</v>
      </c>
      <c r="GV154" s="129" t="s">
        <v>1098</v>
      </c>
      <c r="GW154" s="129" t="s">
        <v>1390</v>
      </c>
      <c r="GX154" s="129" t="s">
        <v>1391</v>
      </c>
      <c r="GY154" s="129" t="s">
        <v>1392</v>
      </c>
      <c r="GZ154" s="129" t="s">
        <v>1393</v>
      </c>
      <c r="HA154" s="129" t="s">
        <v>1387</v>
      </c>
      <c r="HB154" s="129" t="s">
        <v>1394</v>
      </c>
      <c r="HC154" s="129" t="s">
        <v>1395</v>
      </c>
      <c r="HD154" s="129" t="s">
        <v>1396</v>
      </c>
      <c r="HE154" s="129" t="s">
        <v>1397</v>
      </c>
      <c r="HF154" s="129" t="s">
        <v>1388</v>
      </c>
      <c r="HG154" s="129" t="s">
        <v>1398</v>
      </c>
      <c r="HH154" s="129" t="s">
        <v>1399</v>
      </c>
      <c r="HI154" s="129" t="s">
        <v>1400</v>
      </c>
      <c r="HJ154" s="129" t="s">
        <v>1401</v>
      </c>
      <c r="HK154" s="129" t="s">
        <v>1389</v>
      </c>
      <c r="HL154" s="184" t="s">
        <v>616</v>
      </c>
      <c r="HM154" s="184" t="s">
        <v>615</v>
      </c>
      <c r="HN154" s="184" t="s">
        <v>614</v>
      </c>
      <c r="HO154" s="184" t="s">
        <v>613</v>
      </c>
      <c r="HP154" s="184" t="s">
        <v>612</v>
      </c>
      <c r="HQ154" s="184" t="s">
        <v>611</v>
      </c>
      <c r="HR154" s="184" t="s">
        <v>610</v>
      </c>
      <c r="HS154" s="184" t="s">
        <v>609</v>
      </c>
      <c r="HT154" s="184" t="s">
        <v>608</v>
      </c>
      <c r="HU154" s="184" t="s">
        <v>607</v>
      </c>
      <c r="HV154" s="184" t="s">
        <v>606</v>
      </c>
      <c r="HW154" s="184" t="s">
        <v>2281</v>
      </c>
      <c r="HX154" s="184" t="s">
        <v>695</v>
      </c>
      <c r="HY154" s="184" t="s">
        <v>696</v>
      </c>
      <c r="HZ154" s="184" t="s">
        <v>697</v>
      </c>
      <c r="IA154" s="184" t="s">
        <v>698</v>
      </c>
      <c r="IB154" s="186" t="s">
        <v>2282</v>
      </c>
      <c r="IC154" s="186" t="s">
        <v>701</v>
      </c>
      <c r="ID154" s="186" t="s">
        <v>725</v>
      </c>
      <c r="IE154" s="186" t="s">
        <v>702</v>
      </c>
      <c r="IF154" s="186" t="s">
        <v>703</v>
      </c>
      <c r="IG154" s="186" t="s">
        <v>1733</v>
      </c>
      <c r="IH154" s="184" t="s">
        <v>605</v>
      </c>
      <c r="II154" s="184" t="s">
        <v>604</v>
      </c>
      <c r="IJ154" s="184" t="s">
        <v>656</v>
      </c>
      <c r="IK154" s="184" t="s">
        <v>657</v>
      </c>
      <c r="IL154" s="184" t="s">
        <v>603</v>
      </c>
      <c r="IM154" s="184" t="s">
        <v>602</v>
      </c>
      <c r="IN154" s="184" t="s">
        <v>601</v>
      </c>
      <c r="IO154" s="184" t="s">
        <v>600</v>
      </c>
      <c r="IP154" s="184" t="s">
        <v>599</v>
      </c>
      <c r="IQ154" s="184" t="s">
        <v>598</v>
      </c>
      <c r="IR154" s="184" t="s">
        <v>597</v>
      </c>
      <c r="IS154" s="184" t="s">
        <v>596</v>
      </c>
      <c r="IT154" s="184" t="s">
        <v>595</v>
      </c>
      <c r="IU154" s="184" t="s">
        <v>594</v>
      </c>
      <c r="IV154" s="184" t="s">
        <v>2283</v>
      </c>
      <c r="IW154" s="184" t="s">
        <v>593</v>
      </c>
      <c r="IX154" s="187" t="s">
        <v>592</v>
      </c>
      <c r="IY154" s="188" t="s">
        <v>591</v>
      </c>
      <c r="IZ154" s="188" t="s">
        <v>715</v>
      </c>
      <c r="JA154" s="107" t="s">
        <v>1720</v>
      </c>
      <c r="JB154" s="188" t="s">
        <v>590</v>
      </c>
      <c r="JC154" s="188" t="s">
        <v>589</v>
      </c>
      <c r="JD154" s="188" t="s">
        <v>588</v>
      </c>
      <c r="JE154" s="188" t="s">
        <v>587</v>
      </c>
      <c r="JF154" s="188" t="s">
        <v>586</v>
      </c>
      <c r="JG154" s="188" t="s">
        <v>716</v>
      </c>
      <c r="JH154" s="188" t="s">
        <v>585</v>
      </c>
      <c r="JI154" s="188" t="s">
        <v>584</v>
      </c>
      <c r="JJ154" s="188" t="s">
        <v>583</v>
      </c>
      <c r="JK154" s="188" t="s">
        <v>582</v>
      </c>
      <c r="JL154" s="188" t="s">
        <v>581</v>
      </c>
      <c r="JM154" s="188" t="s">
        <v>580</v>
      </c>
      <c r="JN154" s="189" t="s">
        <v>579</v>
      </c>
      <c r="JO154" s="184" t="s">
        <v>2284</v>
      </c>
      <c r="JP154" s="184" t="s">
        <v>2285</v>
      </c>
      <c r="JQ154" s="184" t="s">
        <v>578</v>
      </c>
      <c r="JR154" s="184" t="s">
        <v>577</v>
      </c>
      <c r="JS154" s="184" t="s">
        <v>576</v>
      </c>
      <c r="JT154" s="184" t="s">
        <v>575</v>
      </c>
      <c r="JU154" s="184" t="s">
        <v>574</v>
      </c>
      <c r="JV154" s="184" t="s">
        <v>573</v>
      </c>
      <c r="JW154" s="184" t="s">
        <v>572</v>
      </c>
      <c r="JX154" s="184" t="s">
        <v>571</v>
      </c>
      <c r="JY154" s="184" t="s">
        <v>570</v>
      </c>
      <c r="JZ154" s="184" t="s">
        <v>569</v>
      </c>
      <c r="KA154" s="184" t="s">
        <v>568</v>
      </c>
      <c r="KB154" s="184" t="s">
        <v>567</v>
      </c>
      <c r="KC154" s="184" t="s">
        <v>566</v>
      </c>
      <c r="KD154" s="184" t="s">
        <v>565</v>
      </c>
      <c r="KE154" s="184" t="s">
        <v>564</v>
      </c>
      <c r="KF154" s="184" t="s">
        <v>2286</v>
      </c>
      <c r="KG154" s="184" t="s">
        <v>2287</v>
      </c>
      <c r="KH154" s="184" t="s">
        <v>563</v>
      </c>
      <c r="KI154" s="184" t="s">
        <v>562</v>
      </c>
      <c r="KJ154" s="184" t="s">
        <v>561</v>
      </c>
      <c r="KK154" s="184" t="s">
        <v>560</v>
      </c>
      <c r="KL154" s="184" t="s">
        <v>559</v>
      </c>
      <c r="KM154" s="184" t="s">
        <v>558</v>
      </c>
      <c r="KN154" s="184" t="s">
        <v>557</v>
      </c>
      <c r="KO154" s="184" t="s">
        <v>556</v>
      </c>
      <c r="KP154" s="184" t="s">
        <v>555</v>
      </c>
      <c r="KQ154" s="184" t="s">
        <v>554</v>
      </c>
      <c r="KR154" s="184" t="s">
        <v>553</v>
      </c>
      <c r="KS154" s="184" t="s">
        <v>552</v>
      </c>
      <c r="KT154" s="184" t="s">
        <v>551</v>
      </c>
      <c r="KU154" s="184" t="s">
        <v>550</v>
      </c>
      <c r="KV154" s="184" t="s">
        <v>549</v>
      </c>
      <c r="KW154" s="184" t="s">
        <v>548</v>
      </c>
      <c r="KX154" s="129" t="s">
        <v>1113</v>
      </c>
      <c r="KY154" s="129" t="s">
        <v>1110</v>
      </c>
      <c r="KZ154" s="129" t="s">
        <v>1111</v>
      </c>
      <c r="LA154" s="129" t="s">
        <v>1112</v>
      </c>
      <c r="LB154" s="184" t="s">
        <v>546</v>
      </c>
      <c r="LC154" s="184" t="s">
        <v>545</v>
      </c>
      <c r="LD154" s="184" t="s">
        <v>544</v>
      </c>
      <c r="LE154" s="184" t="s">
        <v>543</v>
      </c>
      <c r="LF154" s="184" t="s">
        <v>542</v>
      </c>
      <c r="LG154" s="184" t="s">
        <v>541</v>
      </c>
      <c r="LH154" s="184" t="s">
        <v>540</v>
      </c>
      <c r="LI154" s="184" t="s">
        <v>539</v>
      </c>
      <c r="LJ154" s="184" t="s">
        <v>538</v>
      </c>
      <c r="LK154" s="184" t="s">
        <v>537</v>
      </c>
      <c r="LL154" s="184" t="s">
        <v>536</v>
      </c>
      <c r="LM154" s="184" t="s">
        <v>535</v>
      </c>
      <c r="LN154" s="184" t="s">
        <v>534</v>
      </c>
      <c r="LO154" s="184" t="s">
        <v>2288</v>
      </c>
      <c r="LP154" s="184" t="s">
        <v>2289</v>
      </c>
      <c r="LQ154" s="184" t="s">
        <v>533</v>
      </c>
      <c r="LR154" s="184" t="s">
        <v>532</v>
      </c>
      <c r="LS154" s="187" t="s">
        <v>531</v>
      </c>
      <c r="LT154" s="188" t="s">
        <v>530</v>
      </c>
      <c r="LU154" s="188" t="s">
        <v>529</v>
      </c>
      <c r="LV154" s="188" t="s">
        <v>528</v>
      </c>
      <c r="LW154" s="188" t="s">
        <v>527</v>
      </c>
      <c r="LX154" s="190" t="s">
        <v>526</v>
      </c>
      <c r="LY154" s="190" t="s">
        <v>1092</v>
      </c>
      <c r="LZ154" s="190" t="s">
        <v>1089</v>
      </c>
      <c r="MA154" s="190" t="s">
        <v>1090</v>
      </c>
      <c r="MB154" s="190" t="s">
        <v>1091</v>
      </c>
      <c r="MC154" s="191" t="s">
        <v>524</v>
      </c>
      <c r="MD154" s="191" t="s">
        <v>523</v>
      </c>
      <c r="ME154" s="191" t="s">
        <v>522</v>
      </c>
      <c r="MF154" s="191" t="s">
        <v>521</v>
      </c>
      <c r="MG154" s="191" t="s">
        <v>520</v>
      </c>
      <c r="MH154" s="192" t="s">
        <v>1134</v>
      </c>
      <c r="MI154" s="192" t="s">
        <v>1142</v>
      </c>
      <c r="MJ154" s="192" t="s">
        <v>1141</v>
      </c>
      <c r="MK154" s="192" t="s">
        <v>1140</v>
      </c>
      <c r="ML154" s="192" t="s">
        <v>1139</v>
      </c>
      <c r="MM154" s="192" t="s">
        <v>1136</v>
      </c>
      <c r="MN154" s="192" t="s">
        <v>1137</v>
      </c>
      <c r="MO154" s="192" t="s">
        <v>1138</v>
      </c>
      <c r="MP154" s="193" t="s">
        <v>1708</v>
      </c>
      <c r="MQ154" s="193" t="s">
        <v>1709</v>
      </c>
      <c r="MR154" s="193" t="s">
        <v>1710</v>
      </c>
      <c r="MS154" s="193" t="s">
        <v>1711</v>
      </c>
      <c r="MT154" s="193" t="s">
        <v>1712</v>
      </c>
      <c r="MU154" s="106" t="s">
        <v>519</v>
      </c>
      <c r="MV154" s="106" t="s">
        <v>518</v>
      </c>
      <c r="MW154" t="s">
        <v>517</v>
      </c>
      <c r="MX154" s="194" t="s">
        <v>1211</v>
      </c>
      <c r="MY154" s="194" t="s">
        <v>516</v>
      </c>
      <c r="MZ154" s="194" t="s">
        <v>515</v>
      </c>
      <c r="NA154" s="194" t="s">
        <v>514</v>
      </c>
      <c r="NB154" s="194" t="s">
        <v>513</v>
      </c>
      <c r="NC154" s="194" t="s">
        <v>512</v>
      </c>
      <c r="ND154" s="194" t="s">
        <v>714</v>
      </c>
      <c r="NE154" s="194" t="s">
        <v>708</v>
      </c>
      <c r="NF154" s="184" t="s">
        <v>713</v>
      </c>
      <c r="NG154" s="184" t="s">
        <v>704</v>
      </c>
      <c r="NH154" s="184" t="s">
        <v>705</v>
      </c>
      <c r="NI154" s="184" t="s">
        <v>706</v>
      </c>
      <c r="NJ154" s="184" t="s">
        <v>707</v>
      </c>
      <c r="NK154" s="184" t="s">
        <v>511</v>
      </c>
      <c r="NL154" s="184" t="s">
        <v>510</v>
      </c>
      <c r="NM154" s="184" t="s">
        <v>509</v>
      </c>
      <c r="NN154" s="184" t="s">
        <v>508</v>
      </c>
      <c r="NO154" s="184" t="s">
        <v>507</v>
      </c>
      <c r="NP154" s="184" t="s">
        <v>506</v>
      </c>
      <c r="NQ154" s="184" t="s">
        <v>505</v>
      </c>
      <c r="NR154" s="184" t="s">
        <v>504</v>
      </c>
      <c r="NS154" s="184" t="s">
        <v>503</v>
      </c>
      <c r="NT154" s="184" t="s">
        <v>502</v>
      </c>
      <c r="NU154" s="184" t="s">
        <v>2290</v>
      </c>
      <c r="NV154" s="184" t="s">
        <v>2291</v>
      </c>
      <c r="NW154" s="184" t="s">
        <v>2292</v>
      </c>
      <c r="NX154" s="184" t="s">
        <v>2293</v>
      </c>
      <c r="NY154" s="184" t="s">
        <v>718</v>
      </c>
      <c r="NZ154" s="195" t="s">
        <v>1212</v>
      </c>
      <c r="OA154" s="195" t="s">
        <v>1213</v>
      </c>
      <c r="OB154" s="195" t="s">
        <v>1214</v>
      </c>
      <c r="OC154" s="195" t="s">
        <v>1215</v>
      </c>
      <c r="OD154" s="195" t="s">
        <v>1216</v>
      </c>
      <c r="OE154" s="195" t="s">
        <v>1217</v>
      </c>
      <c r="OF154" s="195" t="s">
        <v>1218</v>
      </c>
      <c r="OG154" s="195" t="s">
        <v>1219</v>
      </c>
      <c r="OH154" s="195" t="s">
        <v>1220</v>
      </c>
      <c r="OI154" s="195" t="s">
        <v>1221</v>
      </c>
      <c r="OJ154" s="184" t="s">
        <v>501</v>
      </c>
      <c r="OK154" s="184" t="s">
        <v>500</v>
      </c>
      <c r="OL154" s="184" t="s">
        <v>499</v>
      </c>
      <c r="OM154" s="184" t="s">
        <v>498</v>
      </c>
      <c r="ON154" s="184" t="s">
        <v>497</v>
      </c>
      <c r="OO154" s="184" t="s">
        <v>496</v>
      </c>
      <c r="OP154" s="184" t="s">
        <v>495</v>
      </c>
      <c r="OQ154" s="196" t="s">
        <v>1164</v>
      </c>
      <c r="OR154" s="196" t="s">
        <v>1165</v>
      </c>
      <c r="OS154" s="197" t="s">
        <v>1171</v>
      </c>
      <c r="OT154" s="197" t="s">
        <v>1166</v>
      </c>
      <c r="OU154" s="197" t="s">
        <v>1167</v>
      </c>
      <c r="OV154" s="197" t="s">
        <v>1170</v>
      </c>
      <c r="OW154" s="198" t="s">
        <v>1168</v>
      </c>
    </row>
    <row r="155" spans="1:413" ht="15.75" thickBot="1">
      <c r="A155" t="s">
        <v>248</v>
      </c>
      <c r="B155" t="s">
        <v>2268</v>
      </c>
      <c r="C155" t="s">
        <v>2267</v>
      </c>
      <c r="H155" t="s">
        <v>836</v>
      </c>
      <c r="I155">
        <v>-6.2750502700000004</v>
      </c>
      <c r="J155">
        <v>34.813145609999999</v>
      </c>
      <c r="K155" t="s">
        <v>836</v>
      </c>
      <c r="AV155" t="s">
        <v>2266</v>
      </c>
      <c r="AX155">
        <v>20</v>
      </c>
      <c r="AY155" t="s">
        <v>836</v>
      </c>
      <c r="AZ155" t="s">
        <v>2265</v>
      </c>
      <c r="BA155">
        <v>1993</v>
      </c>
      <c r="BB155">
        <v>1997</v>
      </c>
      <c r="BD155" t="s">
        <v>19</v>
      </c>
      <c r="BE155" t="s">
        <v>2271</v>
      </c>
      <c r="BF155" t="s">
        <v>39</v>
      </c>
      <c r="BG155" t="s">
        <v>1233</v>
      </c>
      <c r="BH155" t="s">
        <v>23</v>
      </c>
      <c r="BI155" t="s">
        <v>2263</v>
      </c>
      <c r="BJ155" t="s">
        <v>2262</v>
      </c>
      <c r="BK155">
        <v>25</v>
      </c>
      <c r="HT155" t="s">
        <v>2258</v>
      </c>
      <c r="IO155" t="s">
        <v>2270</v>
      </c>
      <c r="IP155" t="s">
        <v>1227</v>
      </c>
      <c r="IS155" t="s">
        <v>836</v>
      </c>
      <c r="IT155" t="s">
        <v>836</v>
      </c>
      <c r="IU155" t="s">
        <v>836</v>
      </c>
      <c r="IW155" s="2"/>
      <c r="IX155" s="2"/>
      <c r="JJ155" t="s">
        <v>254</v>
      </c>
      <c r="JK155" t="s">
        <v>836</v>
      </c>
      <c r="JM155" t="s">
        <v>14</v>
      </c>
      <c r="JN155" t="s">
        <v>2255</v>
      </c>
      <c r="JO155" s="2" t="s">
        <v>2254</v>
      </c>
      <c r="JP155">
        <v>4</v>
      </c>
      <c r="MU155" s="178"/>
      <c r="MV155" s="178"/>
      <c r="MW155" t="s">
        <v>2275</v>
      </c>
      <c r="MX155" s="2"/>
      <c r="MY155" s="2" t="s">
        <v>168</v>
      </c>
      <c r="MZ155" s="2"/>
      <c r="NA155" s="2"/>
      <c r="NB155" s="2"/>
      <c r="NC155" s="2"/>
      <c r="ND155" s="2"/>
      <c r="NE155" s="2"/>
      <c r="NF155" s="2"/>
      <c r="NG155" t="s">
        <v>2252</v>
      </c>
      <c r="NH155" t="s">
        <v>2275</v>
      </c>
      <c r="NI155" t="s">
        <v>1518</v>
      </c>
      <c r="NJ155" t="s">
        <v>2250</v>
      </c>
      <c r="NR155" t="s">
        <v>64</v>
      </c>
      <c r="NS155" s="161" t="s">
        <v>6</v>
      </c>
      <c r="NT155" s="97">
        <v>94245</v>
      </c>
      <c r="NU155" t="s">
        <v>29</v>
      </c>
      <c r="OJ155" t="s">
        <v>2249</v>
      </c>
      <c r="OL155" t="s">
        <v>2276</v>
      </c>
      <c r="OQ155" t="s">
        <v>1169</v>
      </c>
      <c r="OR155" s="58">
        <v>46134</v>
      </c>
    </row>
    <row r="156" spans="1:413" ht="15.75" thickBot="1">
      <c r="A156" t="s">
        <v>248</v>
      </c>
      <c r="B156" t="s">
        <v>2268</v>
      </c>
      <c r="C156" t="s">
        <v>2267</v>
      </c>
      <c r="D156" t="s">
        <v>245</v>
      </c>
      <c r="H156" t="s">
        <v>836</v>
      </c>
      <c r="I156">
        <v>-6.2750502700000004</v>
      </c>
      <c r="J156">
        <v>34.813145609999999</v>
      </c>
      <c r="K156" t="s">
        <v>836</v>
      </c>
      <c r="AV156" t="s">
        <v>2266</v>
      </c>
      <c r="AW156">
        <v>0.12</v>
      </c>
      <c r="AX156">
        <v>20</v>
      </c>
      <c r="AY156" t="s">
        <v>836</v>
      </c>
      <c r="AZ156" t="s">
        <v>2265</v>
      </c>
      <c r="BA156">
        <v>1993</v>
      </c>
      <c r="BB156">
        <v>1997</v>
      </c>
      <c r="BD156" t="s">
        <v>1983</v>
      </c>
      <c r="BE156" t="s">
        <v>2264</v>
      </c>
      <c r="BF156" t="s">
        <v>64</v>
      </c>
      <c r="BG156" t="s">
        <v>1233</v>
      </c>
      <c r="BH156" t="s">
        <v>23</v>
      </c>
      <c r="BI156" t="s">
        <v>2263</v>
      </c>
      <c r="BJ156" t="s">
        <v>2262</v>
      </c>
      <c r="BK156">
        <v>25</v>
      </c>
      <c r="EE156" t="s">
        <v>2261</v>
      </c>
      <c r="EF156" t="s">
        <v>22</v>
      </c>
      <c r="EG156">
        <v>625</v>
      </c>
      <c r="EH156" t="s">
        <v>56</v>
      </c>
      <c r="EI156" t="s">
        <v>2260</v>
      </c>
      <c r="EJ156" t="s">
        <v>22</v>
      </c>
      <c r="EK156">
        <v>625</v>
      </c>
      <c r="EL156" t="s">
        <v>56</v>
      </c>
      <c r="EM156" t="s">
        <v>2259</v>
      </c>
      <c r="EN156" t="s">
        <v>22</v>
      </c>
      <c r="EO156">
        <v>625</v>
      </c>
      <c r="HT156" t="s">
        <v>2258</v>
      </c>
      <c r="IO156" t="s">
        <v>2257</v>
      </c>
      <c r="IP156" t="s">
        <v>1719</v>
      </c>
      <c r="IS156" t="s">
        <v>836</v>
      </c>
      <c r="IT156" t="s">
        <v>836</v>
      </c>
      <c r="IU156" t="s">
        <v>836</v>
      </c>
      <c r="IV156" t="s">
        <v>2256</v>
      </c>
      <c r="IW156" s="2"/>
      <c r="IX156" s="2"/>
      <c r="JA156">
        <v>4.25</v>
      </c>
      <c r="JE156">
        <v>9.1</v>
      </c>
      <c r="JF156">
        <v>6.84</v>
      </c>
      <c r="JG156">
        <v>13.46</v>
      </c>
      <c r="JJ156" t="s">
        <v>254</v>
      </c>
      <c r="JK156" t="s">
        <v>836</v>
      </c>
      <c r="JM156" t="s">
        <v>14</v>
      </c>
      <c r="JN156" t="s">
        <v>2255</v>
      </c>
      <c r="JO156" s="2" t="s">
        <v>2254</v>
      </c>
      <c r="JP156">
        <v>4</v>
      </c>
      <c r="MU156" s="178"/>
      <c r="MV156" s="178"/>
      <c r="MW156" t="s">
        <v>2275</v>
      </c>
      <c r="MX156" s="2"/>
      <c r="MY156" s="2" t="s">
        <v>168</v>
      </c>
      <c r="MZ156" s="2"/>
      <c r="NA156" s="2"/>
      <c r="NB156" s="2"/>
      <c r="NC156" s="2"/>
      <c r="ND156" s="2"/>
      <c r="NE156" s="2"/>
      <c r="NF156" s="2"/>
      <c r="NG156" t="s">
        <v>2252</v>
      </c>
      <c r="NH156" t="s">
        <v>2275</v>
      </c>
      <c r="NI156" t="s">
        <v>1518</v>
      </c>
      <c r="NJ156" t="s">
        <v>2250</v>
      </c>
      <c r="NS156" s="161" t="s">
        <v>6</v>
      </c>
      <c r="NT156">
        <v>84812</v>
      </c>
      <c r="NU156" t="s">
        <v>29</v>
      </c>
      <c r="NY156">
        <v>60</v>
      </c>
      <c r="OJ156" t="s">
        <v>2249</v>
      </c>
      <c r="OL156" t="s">
        <v>2276</v>
      </c>
      <c r="OQ156" t="s">
        <v>1169</v>
      </c>
      <c r="OR156" s="58">
        <v>46134</v>
      </c>
    </row>
    <row r="157" spans="1:413" ht="15.75" thickBot="1">
      <c r="A157" t="s">
        <v>248</v>
      </c>
      <c r="B157" t="s">
        <v>2268</v>
      </c>
      <c r="C157" t="s">
        <v>2267</v>
      </c>
      <c r="H157" t="s">
        <v>836</v>
      </c>
      <c r="I157">
        <v>-6.2750502700000004</v>
      </c>
      <c r="J157">
        <v>34.813145609999999</v>
      </c>
      <c r="K157" t="s">
        <v>836</v>
      </c>
      <c r="AV157" t="s">
        <v>2266</v>
      </c>
      <c r="AX157">
        <v>20</v>
      </c>
      <c r="AY157" t="s">
        <v>836</v>
      </c>
      <c r="AZ157" t="s">
        <v>2265</v>
      </c>
      <c r="BA157">
        <v>1993</v>
      </c>
      <c r="BB157">
        <v>1997</v>
      </c>
      <c r="BD157" t="s">
        <v>19</v>
      </c>
      <c r="BE157" t="s">
        <v>2271</v>
      </c>
      <c r="BF157" t="s">
        <v>39</v>
      </c>
      <c r="BG157" t="s">
        <v>1233</v>
      </c>
      <c r="BH157" t="s">
        <v>23</v>
      </c>
      <c r="BI157" t="s">
        <v>2263</v>
      </c>
      <c r="BJ157" t="s">
        <v>2262</v>
      </c>
      <c r="BK157">
        <v>20</v>
      </c>
      <c r="HT157" t="s">
        <v>2258</v>
      </c>
      <c r="IO157" t="s">
        <v>2270</v>
      </c>
      <c r="IP157" t="s">
        <v>1227</v>
      </c>
      <c r="IS157" t="s">
        <v>836</v>
      </c>
      <c r="IT157" t="s">
        <v>836</v>
      </c>
      <c r="IU157" t="s">
        <v>836</v>
      </c>
      <c r="IW157" s="2"/>
      <c r="IX157" s="2"/>
      <c r="JJ157" t="s">
        <v>254</v>
      </c>
      <c r="JK157" t="s">
        <v>836</v>
      </c>
      <c r="JM157" t="s">
        <v>14</v>
      </c>
      <c r="JN157" t="s">
        <v>2255</v>
      </c>
      <c r="JO157" s="2" t="s">
        <v>2254</v>
      </c>
      <c r="JP157">
        <v>4</v>
      </c>
      <c r="MU157" s="178"/>
      <c r="MV157" s="178"/>
      <c r="MW157" t="s">
        <v>2275</v>
      </c>
      <c r="MX157" s="2"/>
      <c r="MY157" s="2" t="s">
        <v>168</v>
      </c>
      <c r="MZ157" s="2"/>
      <c r="NA157" s="2"/>
      <c r="NB157" s="2"/>
      <c r="NC157" s="2"/>
      <c r="ND157" s="2"/>
      <c r="NE157" s="2"/>
      <c r="NF157" s="2"/>
      <c r="NG157" t="s">
        <v>2252</v>
      </c>
      <c r="NH157" t="s">
        <v>2275</v>
      </c>
      <c r="NI157" t="s">
        <v>1518</v>
      </c>
      <c r="NJ157" t="s">
        <v>2250</v>
      </c>
      <c r="NR157" t="s">
        <v>64</v>
      </c>
      <c r="NS157" s="161" t="s">
        <v>6</v>
      </c>
      <c r="NT157" s="97">
        <v>94245</v>
      </c>
      <c r="NU157" t="s">
        <v>29</v>
      </c>
      <c r="OJ157" t="s">
        <v>2249</v>
      </c>
      <c r="OL157" t="s">
        <v>2272</v>
      </c>
      <c r="OQ157" t="s">
        <v>1169</v>
      </c>
      <c r="OR157" s="58">
        <v>46134</v>
      </c>
    </row>
    <row r="158" spans="1:413" ht="15.75" thickBot="1">
      <c r="A158" t="s">
        <v>248</v>
      </c>
      <c r="B158" t="s">
        <v>2268</v>
      </c>
      <c r="C158" t="s">
        <v>2267</v>
      </c>
      <c r="D158" t="s">
        <v>245</v>
      </c>
      <c r="H158" t="s">
        <v>836</v>
      </c>
      <c r="I158">
        <v>-6.2750502700000004</v>
      </c>
      <c r="J158">
        <v>34.813145609999999</v>
      </c>
      <c r="K158" t="s">
        <v>836</v>
      </c>
      <c r="AV158" t="s">
        <v>2266</v>
      </c>
      <c r="AW158">
        <v>0.12</v>
      </c>
      <c r="AX158">
        <v>20</v>
      </c>
      <c r="AY158" t="s">
        <v>836</v>
      </c>
      <c r="AZ158" t="s">
        <v>2265</v>
      </c>
      <c r="BA158">
        <v>1993</v>
      </c>
      <c r="BB158">
        <v>1997</v>
      </c>
      <c r="BD158" t="s">
        <v>1983</v>
      </c>
      <c r="BE158" t="s">
        <v>2264</v>
      </c>
      <c r="BF158" t="s">
        <v>64</v>
      </c>
      <c r="BG158" t="s">
        <v>1233</v>
      </c>
      <c r="BH158" t="s">
        <v>23</v>
      </c>
      <c r="BI158" t="s">
        <v>2263</v>
      </c>
      <c r="BJ158" t="s">
        <v>2262</v>
      </c>
      <c r="BK158">
        <v>20</v>
      </c>
      <c r="EE158" t="s">
        <v>2261</v>
      </c>
      <c r="EF158" t="s">
        <v>22</v>
      </c>
      <c r="EG158">
        <v>625</v>
      </c>
      <c r="EH158" t="s">
        <v>56</v>
      </c>
      <c r="EI158" t="s">
        <v>2260</v>
      </c>
      <c r="EJ158" t="s">
        <v>22</v>
      </c>
      <c r="EK158">
        <v>625</v>
      </c>
      <c r="EL158" t="s">
        <v>56</v>
      </c>
      <c r="EM158" t="s">
        <v>2259</v>
      </c>
      <c r="EN158" t="s">
        <v>22</v>
      </c>
      <c r="EO158">
        <v>625</v>
      </c>
      <c r="HT158" t="s">
        <v>2258</v>
      </c>
      <c r="IO158" t="s">
        <v>2257</v>
      </c>
      <c r="IP158" t="s">
        <v>1719</v>
      </c>
      <c r="IS158" t="s">
        <v>836</v>
      </c>
      <c r="IT158" t="s">
        <v>836</v>
      </c>
      <c r="IU158" t="s">
        <v>836</v>
      </c>
      <c r="IV158" t="s">
        <v>2256</v>
      </c>
      <c r="IW158" s="2"/>
      <c r="IX158" s="2"/>
      <c r="JA158">
        <v>4.25</v>
      </c>
      <c r="JE158">
        <v>9.1</v>
      </c>
      <c r="JF158">
        <v>6.84</v>
      </c>
      <c r="JG158">
        <v>13.46</v>
      </c>
      <c r="JJ158" t="s">
        <v>254</v>
      </c>
      <c r="JK158" t="s">
        <v>836</v>
      </c>
      <c r="JM158" t="s">
        <v>14</v>
      </c>
      <c r="JN158" t="s">
        <v>2255</v>
      </c>
      <c r="JO158" s="2" t="s">
        <v>2254</v>
      </c>
      <c r="JP158">
        <v>4</v>
      </c>
      <c r="MU158" s="178"/>
      <c r="MV158" s="178"/>
      <c r="MW158" t="s">
        <v>2274</v>
      </c>
      <c r="MX158" s="2"/>
      <c r="MY158" s="2" t="s">
        <v>168</v>
      </c>
      <c r="MZ158" s="2" t="s">
        <v>2253</v>
      </c>
      <c r="NA158" s="2"/>
      <c r="NB158" s="2"/>
      <c r="NC158" s="2"/>
      <c r="ND158" s="2"/>
      <c r="NE158" s="2"/>
      <c r="NF158" s="2"/>
      <c r="NG158" t="s">
        <v>2252</v>
      </c>
      <c r="NH158" t="s">
        <v>2273</v>
      </c>
      <c r="NI158" t="s">
        <v>1518</v>
      </c>
      <c r="NJ158" t="s">
        <v>2250</v>
      </c>
      <c r="NS158" s="161" t="s">
        <v>6</v>
      </c>
      <c r="NT158" s="97">
        <v>66865</v>
      </c>
      <c r="NU158" t="s">
        <v>29</v>
      </c>
      <c r="NY158">
        <v>60</v>
      </c>
      <c r="OJ158" t="s">
        <v>2249</v>
      </c>
      <c r="OL158" t="s">
        <v>2272</v>
      </c>
      <c r="OQ158" t="s">
        <v>1169</v>
      </c>
      <c r="OR158" s="58">
        <v>46134</v>
      </c>
    </row>
    <row r="159" spans="1:413" ht="15.75" thickBot="1">
      <c r="A159" t="s">
        <v>248</v>
      </c>
      <c r="B159" t="s">
        <v>2268</v>
      </c>
      <c r="C159" t="s">
        <v>2267</v>
      </c>
      <c r="H159" t="s">
        <v>836</v>
      </c>
      <c r="I159">
        <v>-6.2750502700000004</v>
      </c>
      <c r="J159">
        <v>34.813145609999999</v>
      </c>
      <c r="K159" t="s">
        <v>836</v>
      </c>
      <c r="AV159" t="s">
        <v>2266</v>
      </c>
      <c r="AX159">
        <v>20</v>
      </c>
      <c r="AY159" t="s">
        <v>836</v>
      </c>
      <c r="AZ159" t="s">
        <v>2265</v>
      </c>
      <c r="BA159">
        <v>1993</v>
      </c>
      <c r="BB159">
        <v>1997</v>
      </c>
      <c r="BD159" t="s">
        <v>19</v>
      </c>
      <c r="BE159" t="s">
        <v>2271</v>
      </c>
      <c r="BF159" t="s">
        <v>39</v>
      </c>
      <c r="BG159" t="s">
        <v>1233</v>
      </c>
      <c r="BH159" t="s">
        <v>23</v>
      </c>
      <c r="BI159" t="s">
        <v>2263</v>
      </c>
      <c r="BJ159" t="s">
        <v>2262</v>
      </c>
      <c r="BK159">
        <v>20</v>
      </c>
      <c r="HT159" t="s">
        <v>2258</v>
      </c>
      <c r="IO159" t="s">
        <v>2270</v>
      </c>
      <c r="IP159" t="s">
        <v>1227</v>
      </c>
      <c r="IS159" t="s">
        <v>836</v>
      </c>
      <c r="IT159" t="s">
        <v>836</v>
      </c>
      <c r="IU159" t="s">
        <v>836</v>
      </c>
      <c r="IW159" s="2"/>
      <c r="IX159" s="2"/>
      <c r="JJ159" t="s">
        <v>254</v>
      </c>
      <c r="JK159" t="s">
        <v>836</v>
      </c>
      <c r="JM159" t="s">
        <v>14</v>
      </c>
      <c r="JN159" t="s">
        <v>2255</v>
      </c>
      <c r="JO159" s="2" t="s">
        <v>2254</v>
      </c>
      <c r="JP159">
        <v>4</v>
      </c>
      <c r="MU159" s="178"/>
      <c r="MV159" s="178"/>
      <c r="MW159" t="s">
        <v>2269</v>
      </c>
      <c r="MX159" s="2"/>
      <c r="MY159" s="2"/>
      <c r="MZ159" s="2"/>
      <c r="NA159" s="2"/>
      <c r="NB159" s="2"/>
      <c r="NC159" s="2"/>
      <c r="ND159" s="2"/>
      <c r="NE159" s="2"/>
      <c r="NF159" s="2"/>
      <c r="NG159" t="s">
        <v>2252</v>
      </c>
      <c r="NH159" t="s">
        <v>2269</v>
      </c>
      <c r="NI159" t="s">
        <v>1518</v>
      </c>
      <c r="NJ159" t="s">
        <v>2250</v>
      </c>
      <c r="NR159" t="s">
        <v>64</v>
      </c>
      <c r="NS159" s="161" t="s">
        <v>6</v>
      </c>
      <c r="NT159" s="97">
        <v>0</v>
      </c>
      <c r="NU159" t="s">
        <v>29</v>
      </c>
      <c r="OJ159" t="s">
        <v>2249</v>
      </c>
      <c r="OL159" t="s">
        <v>2248</v>
      </c>
      <c r="OQ159" t="s">
        <v>1169</v>
      </c>
      <c r="OR159" s="58">
        <v>46134</v>
      </c>
    </row>
    <row r="160" spans="1:413" ht="15.75" thickBot="1">
      <c r="A160" t="s">
        <v>248</v>
      </c>
      <c r="B160" t="s">
        <v>2268</v>
      </c>
      <c r="C160" t="s">
        <v>2267</v>
      </c>
      <c r="D160" t="s">
        <v>245</v>
      </c>
      <c r="H160" t="s">
        <v>836</v>
      </c>
      <c r="I160">
        <v>-6.2750502700000004</v>
      </c>
      <c r="J160">
        <v>34.813145609999999</v>
      </c>
      <c r="K160" t="s">
        <v>836</v>
      </c>
      <c r="AV160" t="s">
        <v>2266</v>
      </c>
      <c r="AW160">
        <v>0.12</v>
      </c>
      <c r="AX160">
        <v>20</v>
      </c>
      <c r="AY160" t="s">
        <v>836</v>
      </c>
      <c r="AZ160" t="s">
        <v>2265</v>
      </c>
      <c r="BA160">
        <v>1993</v>
      </c>
      <c r="BB160">
        <v>1997</v>
      </c>
      <c r="BD160" t="s">
        <v>1983</v>
      </c>
      <c r="BE160" t="s">
        <v>2264</v>
      </c>
      <c r="BF160" t="s">
        <v>64</v>
      </c>
      <c r="BG160" t="s">
        <v>1233</v>
      </c>
      <c r="BH160" t="s">
        <v>23</v>
      </c>
      <c r="BI160" t="s">
        <v>2263</v>
      </c>
      <c r="BJ160" t="s">
        <v>2262</v>
      </c>
      <c r="BK160">
        <v>20</v>
      </c>
      <c r="EE160" t="s">
        <v>2261</v>
      </c>
      <c r="EF160" t="s">
        <v>22</v>
      </c>
      <c r="EG160">
        <v>625</v>
      </c>
      <c r="EH160" t="s">
        <v>56</v>
      </c>
      <c r="EI160" t="s">
        <v>2260</v>
      </c>
      <c r="EJ160" t="s">
        <v>22</v>
      </c>
      <c r="EK160">
        <v>625</v>
      </c>
      <c r="EL160" t="s">
        <v>56</v>
      </c>
      <c r="EM160" t="s">
        <v>2259</v>
      </c>
      <c r="EN160" t="s">
        <v>22</v>
      </c>
      <c r="EO160">
        <v>625</v>
      </c>
      <c r="HT160" t="s">
        <v>2258</v>
      </c>
      <c r="IO160" t="s">
        <v>2257</v>
      </c>
      <c r="IP160" t="s">
        <v>1719</v>
      </c>
      <c r="IS160" t="s">
        <v>836</v>
      </c>
      <c r="IT160" t="s">
        <v>836</v>
      </c>
      <c r="IU160" t="s">
        <v>836</v>
      </c>
      <c r="IV160" t="s">
        <v>2256</v>
      </c>
      <c r="IW160" s="2"/>
      <c r="IX160" s="2"/>
      <c r="JA160">
        <v>4.25</v>
      </c>
      <c r="JE160">
        <v>9.1</v>
      </c>
      <c r="JF160">
        <v>6.84</v>
      </c>
      <c r="JG160">
        <v>13.46</v>
      </c>
      <c r="JJ160" t="s">
        <v>254</v>
      </c>
      <c r="JK160" t="s">
        <v>836</v>
      </c>
      <c r="JM160" t="s">
        <v>14</v>
      </c>
      <c r="JN160" t="s">
        <v>2255</v>
      </c>
      <c r="JO160" s="2" t="s">
        <v>2254</v>
      </c>
      <c r="JP160">
        <v>4</v>
      </c>
      <c r="MU160" s="178"/>
      <c r="MV160" s="178"/>
      <c r="MW160" t="s">
        <v>2251</v>
      </c>
      <c r="MX160" s="2"/>
      <c r="MY160" s="2" t="s">
        <v>2253</v>
      </c>
      <c r="NA160" s="2"/>
      <c r="NB160" s="2"/>
      <c r="NC160" s="2"/>
      <c r="ND160" s="2"/>
      <c r="NE160" s="2"/>
      <c r="NF160" s="2"/>
      <c r="NG160" t="s">
        <v>2252</v>
      </c>
      <c r="NH160" t="s">
        <v>2251</v>
      </c>
      <c r="NI160" t="s">
        <v>1518</v>
      </c>
      <c r="NJ160" t="s">
        <v>2250</v>
      </c>
      <c r="NS160" s="161" t="s">
        <v>6</v>
      </c>
      <c r="NT160" s="97">
        <v>479936</v>
      </c>
      <c r="NU160" t="s">
        <v>29</v>
      </c>
      <c r="NY160">
        <v>60</v>
      </c>
      <c r="OJ160" t="s">
        <v>2249</v>
      </c>
      <c r="OL160" t="s">
        <v>2248</v>
      </c>
      <c r="OQ160" t="s">
        <v>1169</v>
      </c>
      <c r="OR160" s="58">
        <v>46134</v>
      </c>
    </row>
    <row r="161" spans="1:408" ht="15.75" thickBot="1">
      <c r="A161" t="s">
        <v>248</v>
      </c>
      <c r="B161" t="s">
        <v>2268</v>
      </c>
      <c r="C161" t="s">
        <v>2267</v>
      </c>
      <c r="H161" t="s">
        <v>836</v>
      </c>
      <c r="I161">
        <v>-6.2750502700000004</v>
      </c>
      <c r="J161">
        <v>34.813145609999999</v>
      </c>
      <c r="K161" t="s">
        <v>836</v>
      </c>
      <c r="AV161" t="s">
        <v>2266</v>
      </c>
      <c r="AX161">
        <v>20</v>
      </c>
      <c r="AY161" t="s">
        <v>836</v>
      </c>
      <c r="AZ161" t="s">
        <v>2265</v>
      </c>
      <c r="BA161">
        <v>1993</v>
      </c>
      <c r="BB161">
        <v>1997</v>
      </c>
      <c r="BD161" t="s">
        <v>19</v>
      </c>
      <c r="BE161" t="s">
        <v>2271</v>
      </c>
      <c r="BF161" t="s">
        <v>39</v>
      </c>
      <c r="BG161" t="s">
        <v>1233</v>
      </c>
      <c r="BH161" t="s">
        <v>23</v>
      </c>
      <c r="BI161" t="s">
        <v>2263</v>
      </c>
      <c r="BJ161" t="s">
        <v>2262</v>
      </c>
      <c r="BK161">
        <v>25</v>
      </c>
      <c r="IO161" t="s">
        <v>2270</v>
      </c>
      <c r="IP161" t="s">
        <v>1227</v>
      </c>
      <c r="IS161" t="s">
        <v>836</v>
      </c>
      <c r="IT161" t="s">
        <v>836</v>
      </c>
      <c r="IU161" t="s">
        <v>836</v>
      </c>
      <c r="IW161" s="2"/>
      <c r="IX161" s="2"/>
      <c r="JJ161" t="s">
        <v>254</v>
      </c>
      <c r="JK161" t="s">
        <v>836</v>
      </c>
      <c r="JM161" t="s">
        <v>14</v>
      </c>
      <c r="JN161" t="s">
        <v>2255</v>
      </c>
      <c r="JO161" s="2" t="s">
        <v>2254</v>
      </c>
      <c r="JP161">
        <v>4</v>
      </c>
      <c r="MU161" s="178"/>
      <c r="MV161" s="178"/>
      <c r="MX161" s="2"/>
      <c r="MY161" s="2"/>
      <c r="MZ161" s="2"/>
      <c r="NA161" s="2"/>
      <c r="NB161" s="2"/>
      <c r="NC161" s="2"/>
      <c r="ND161" s="2"/>
      <c r="NE161" s="2"/>
      <c r="NF161" s="178" t="s">
        <v>2279</v>
      </c>
      <c r="NG161" t="s">
        <v>2277</v>
      </c>
      <c r="NI161" t="s">
        <v>671</v>
      </c>
      <c r="NJ161" t="s">
        <v>2250</v>
      </c>
      <c r="NR161" t="s">
        <v>64</v>
      </c>
      <c r="NS161" s="161" t="s">
        <v>6</v>
      </c>
      <c r="NT161" s="168">
        <v>19600</v>
      </c>
      <c r="NU161" t="s">
        <v>29</v>
      </c>
      <c r="OJ161" t="s">
        <v>2249</v>
      </c>
      <c r="OL161" t="s">
        <v>2276</v>
      </c>
      <c r="OQ161" t="s">
        <v>1169</v>
      </c>
      <c r="OR161" s="58">
        <v>46134</v>
      </c>
    </row>
    <row r="162" spans="1:408" ht="15.75" thickBot="1">
      <c r="A162" t="s">
        <v>248</v>
      </c>
      <c r="B162" t="s">
        <v>2268</v>
      </c>
      <c r="C162" t="s">
        <v>2267</v>
      </c>
      <c r="D162" t="s">
        <v>245</v>
      </c>
      <c r="H162" t="s">
        <v>836</v>
      </c>
      <c r="I162">
        <v>-6.2750502700000004</v>
      </c>
      <c r="J162">
        <v>34.813145609999999</v>
      </c>
      <c r="K162" t="s">
        <v>836</v>
      </c>
      <c r="AV162" t="s">
        <v>2266</v>
      </c>
      <c r="AW162">
        <v>0.12</v>
      </c>
      <c r="AX162">
        <v>20</v>
      </c>
      <c r="AY162" t="s">
        <v>836</v>
      </c>
      <c r="AZ162" t="s">
        <v>2265</v>
      </c>
      <c r="BA162">
        <v>1993</v>
      </c>
      <c r="BB162">
        <v>1997</v>
      </c>
      <c r="BD162" t="s">
        <v>1983</v>
      </c>
      <c r="BE162" t="s">
        <v>2264</v>
      </c>
      <c r="BF162" t="s">
        <v>64</v>
      </c>
      <c r="BG162" t="s">
        <v>1233</v>
      </c>
      <c r="BH162" t="s">
        <v>23</v>
      </c>
      <c r="BI162" t="s">
        <v>2263</v>
      </c>
      <c r="BJ162" t="s">
        <v>2262</v>
      </c>
      <c r="BK162">
        <v>25</v>
      </c>
      <c r="EE162" t="s">
        <v>2261</v>
      </c>
      <c r="EF162" t="s">
        <v>22</v>
      </c>
      <c r="EG162">
        <v>625</v>
      </c>
      <c r="EH162" t="s">
        <v>56</v>
      </c>
      <c r="EI162" t="s">
        <v>2260</v>
      </c>
      <c r="EJ162" t="s">
        <v>22</v>
      </c>
      <c r="EK162">
        <v>625</v>
      </c>
      <c r="EL162" t="s">
        <v>56</v>
      </c>
      <c r="EM162" t="s">
        <v>2259</v>
      </c>
      <c r="EN162" t="s">
        <v>22</v>
      </c>
      <c r="EO162">
        <v>625</v>
      </c>
      <c r="IO162" t="s">
        <v>2257</v>
      </c>
      <c r="IP162" t="s">
        <v>1719</v>
      </c>
      <c r="IS162" t="s">
        <v>836</v>
      </c>
      <c r="IT162" t="s">
        <v>836</v>
      </c>
      <c r="IU162" t="s">
        <v>836</v>
      </c>
      <c r="IV162" t="s">
        <v>2256</v>
      </c>
      <c r="IW162" s="2"/>
      <c r="IX162" s="2"/>
      <c r="JA162">
        <v>4.25</v>
      </c>
      <c r="JE162">
        <v>9.1</v>
      </c>
      <c r="JF162">
        <v>6.84</v>
      </c>
      <c r="JG162">
        <v>13.46</v>
      </c>
      <c r="JJ162" t="s">
        <v>254</v>
      </c>
      <c r="JK162" t="s">
        <v>836</v>
      </c>
      <c r="JM162" t="s">
        <v>14</v>
      </c>
      <c r="JN162" t="s">
        <v>2255</v>
      </c>
      <c r="JO162" s="2" t="s">
        <v>2254</v>
      </c>
      <c r="JP162">
        <v>4</v>
      </c>
      <c r="MU162" s="178"/>
      <c r="MV162" s="178"/>
      <c r="MX162" s="2"/>
      <c r="MY162" s="2"/>
      <c r="MZ162" s="2"/>
      <c r="NA162" s="2"/>
      <c r="NB162" s="2"/>
      <c r="NC162" s="2"/>
      <c r="ND162" s="2"/>
      <c r="NE162" s="2"/>
      <c r="NF162" s="178" t="s">
        <v>2278</v>
      </c>
      <c r="NG162" t="s">
        <v>2277</v>
      </c>
      <c r="NI162" t="s">
        <v>671</v>
      </c>
      <c r="NJ162" t="s">
        <v>2250</v>
      </c>
      <c r="NS162" s="161" t="s">
        <v>6</v>
      </c>
      <c r="NT162" s="168">
        <v>22686</v>
      </c>
      <c r="NU162" t="s">
        <v>29</v>
      </c>
      <c r="OJ162" t="s">
        <v>2249</v>
      </c>
      <c r="OL162" t="s">
        <v>2276</v>
      </c>
      <c r="OQ162" t="s">
        <v>1169</v>
      </c>
      <c r="OR162" s="58">
        <v>46134</v>
      </c>
    </row>
    <row r="163" spans="1:408" ht="15.75" thickBot="1">
      <c r="A163" t="s">
        <v>248</v>
      </c>
      <c r="B163" t="s">
        <v>2268</v>
      </c>
      <c r="C163" t="s">
        <v>2267</v>
      </c>
      <c r="H163" t="s">
        <v>836</v>
      </c>
      <c r="I163">
        <v>-6.2750502700000004</v>
      </c>
      <c r="J163">
        <v>34.813145609999999</v>
      </c>
      <c r="K163" t="s">
        <v>836</v>
      </c>
      <c r="AV163" t="s">
        <v>2266</v>
      </c>
      <c r="AX163">
        <v>20</v>
      </c>
      <c r="AY163" t="s">
        <v>836</v>
      </c>
      <c r="AZ163" t="s">
        <v>2265</v>
      </c>
      <c r="BA163">
        <v>1993</v>
      </c>
      <c r="BB163">
        <v>1997</v>
      </c>
      <c r="BD163" t="s">
        <v>19</v>
      </c>
      <c r="BE163" t="s">
        <v>2271</v>
      </c>
      <c r="BF163" t="s">
        <v>39</v>
      </c>
      <c r="BG163" t="s">
        <v>1233</v>
      </c>
      <c r="BH163" t="s">
        <v>23</v>
      </c>
      <c r="BI163" t="s">
        <v>2263</v>
      </c>
      <c r="BJ163" t="s">
        <v>2262</v>
      </c>
      <c r="BK163">
        <v>20</v>
      </c>
      <c r="IO163" t="s">
        <v>2270</v>
      </c>
      <c r="IP163" t="s">
        <v>1227</v>
      </c>
      <c r="IS163" t="s">
        <v>836</v>
      </c>
      <c r="IT163" t="s">
        <v>836</v>
      </c>
      <c r="IU163" t="s">
        <v>836</v>
      </c>
      <c r="IW163" s="2"/>
      <c r="IX163" s="2"/>
      <c r="JJ163" t="s">
        <v>254</v>
      </c>
      <c r="JK163" t="s">
        <v>836</v>
      </c>
      <c r="JM163" t="s">
        <v>14</v>
      </c>
      <c r="JN163" t="s">
        <v>2255</v>
      </c>
      <c r="JO163" s="2" t="s">
        <v>2254</v>
      </c>
      <c r="JP163">
        <v>4</v>
      </c>
      <c r="MU163" s="178"/>
      <c r="MV163" s="178"/>
      <c r="MX163" s="2"/>
      <c r="MY163" s="2"/>
      <c r="MZ163" s="2"/>
      <c r="NA163" s="2"/>
      <c r="NB163" s="2"/>
      <c r="NC163" s="2"/>
      <c r="ND163" s="2"/>
      <c r="NE163" s="2"/>
      <c r="NF163" s="178"/>
      <c r="NG163" t="s">
        <v>2277</v>
      </c>
      <c r="NI163" t="s">
        <v>671</v>
      </c>
      <c r="NJ163" t="s">
        <v>2250</v>
      </c>
      <c r="NR163" t="s">
        <v>64</v>
      </c>
      <c r="NS163" s="161" t="s">
        <v>6</v>
      </c>
      <c r="NT163" s="168">
        <v>19600</v>
      </c>
      <c r="NU163" t="s">
        <v>29</v>
      </c>
      <c r="OJ163" t="s">
        <v>2249</v>
      </c>
      <c r="OL163" t="s">
        <v>2272</v>
      </c>
      <c r="OQ163" t="s">
        <v>1169</v>
      </c>
      <c r="OR163" s="58">
        <v>46134</v>
      </c>
    </row>
    <row r="164" spans="1:408" ht="15.75" thickBot="1">
      <c r="A164" t="s">
        <v>248</v>
      </c>
      <c r="B164" t="s">
        <v>2268</v>
      </c>
      <c r="C164" t="s">
        <v>2267</v>
      </c>
      <c r="D164" t="s">
        <v>245</v>
      </c>
      <c r="H164" t="s">
        <v>836</v>
      </c>
      <c r="I164">
        <v>-6.2750502700000004</v>
      </c>
      <c r="J164">
        <v>34.813145609999999</v>
      </c>
      <c r="K164" t="s">
        <v>836</v>
      </c>
      <c r="AV164" t="s">
        <v>2266</v>
      </c>
      <c r="AW164">
        <v>0.12</v>
      </c>
      <c r="AX164">
        <v>20</v>
      </c>
      <c r="AY164" t="s">
        <v>836</v>
      </c>
      <c r="AZ164" t="s">
        <v>2265</v>
      </c>
      <c r="BA164">
        <v>1993</v>
      </c>
      <c r="BB164">
        <v>1997</v>
      </c>
      <c r="BD164" t="s">
        <v>1983</v>
      </c>
      <c r="BE164" t="s">
        <v>2264</v>
      </c>
      <c r="BF164" t="s">
        <v>64</v>
      </c>
      <c r="BG164" t="s">
        <v>1233</v>
      </c>
      <c r="BH164" t="s">
        <v>23</v>
      </c>
      <c r="BI164" t="s">
        <v>2263</v>
      </c>
      <c r="BJ164" t="s">
        <v>2262</v>
      </c>
      <c r="BK164">
        <v>20</v>
      </c>
      <c r="EE164" t="s">
        <v>2261</v>
      </c>
      <c r="EF164" t="s">
        <v>22</v>
      </c>
      <c r="EG164">
        <v>625</v>
      </c>
      <c r="EH164" t="s">
        <v>56</v>
      </c>
      <c r="EI164" t="s">
        <v>2260</v>
      </c>
      <c r="EJ164" t="s">
        <v>22</v>
      </c>
      <c r="EK164">
        <v>625</v>
      </c>
      <c r="EL164" t="s">
        <v>56</v>
      </c>
      <c r="EM164" t="s">
        <v>2259</v>
      </c>
      <c r="EN164" t="s">
        <v>22</v>
      </c>
      <c r="EO164">
        <v>625</v>
      </c>
      <c r="IO164" t="s">
        <v>2257</v>
      </c>
      <c r="IP164" t="s">
        <v>1719</v>
      </c>
      <c r="IS164" t="s">
        <v>836</v>
      </c>
      <c r="IT164" t="s">
        <v>836</v>
      </c>
      <c r="IU164" t="s">
        <v>836</v>
      </c>
      <c r="IV164" t="s">
        <v>2256</v>
      </c>
      <c r="IW164" s="2"/>
      <c r="IX164" s="2"/>
      <c r="JA164">
        <v>4.25</v>
      </c>
      <c r="JE164">
        <v>9.1</v>
      </c>
      <c r="JF164">
        <v>6.84</v>
      </c>
      <c r="JG164">
        <v>13.46</v>
      </c>
      <c r="JJ164" t="s">
        <v>254</v>
      </c>
      <c r="JK164" t="s">
        <v>836</v>
      </c>
      <c r="JM164" t="s">
        <v>14</v>
      </c>
      <c r="JN164" t="s">
        <v>2255</v>
      </c>
      <c r="JO164" s="2" t="s">
        <v>2254</v>
      </c>
      <c r="JP164">
        <v>4</v>
      </c>
      <c r="MU164" s="178"/>
      <c r="MV164" s="178"/>
      <c r="MX164" s="2"/>
      <c r="MY164" s="2"/>
      <c r="MZ164" s="2"/>
      <c r="NA164" s="2"/>
      <c r="NB164" s="2"/>
      <c r="NC164" s="2"/>
      <c r="ND164" s="2"/>
      <c r="NE164" s="2"/>
      <c r="NF164" s="178"/>
      <c r="NG164" t="s">
        <v>2277</v>
      </c>
      <c r="NI164" t="s">
        <v>671</v>
      </c>
      <c r="NJ164" t="s">
        <v>2250</v>
      </c>
      <c r="NS164" s="161" t="s">
        <v>6</v>
      </c>
      <c r="NT164" s="168">
        <v>20608</v>
      </c>
      <c r="NU164" t="s">
        <v>29</v>
      </c>
      <c r="OJ164" t="s">
        <v>2249</v>
      </c>
      <c r="OL164" t="s">
        <v>2272</v>
      </c>
      <c r="OQ164" t="s">
        <v>1169</v>
      </c>
      <c r="OR164" s="58">
        <v>46134</v>
      </c>
    </row>
    <row r="165" spans="1:408" ht="15.75" thickBot="1">
      <c r="A165" t="s">
        <v>248</v>
      </c>
      <c r="B165" t="s">
        <v>2268</v>
      </c>
      <c r="C165" t="s">
        <v>2267</v>
      </c>
      <c r="H165" t="s">
        <v>836</v>
      </c>
      <c r="I165">
        <v>-6.2750502700000004</v>
      </c>
      <c r="J165">
        <v>34.813145609999999</v>
      </c>
      <c r="K165" t="s">
        <v>836</v>
      </c>
      <c r="AV165" t="s">
        <v>2266</v>
      </c>
      <c r="AX165">
        <v>20</v>
      </c>
      <c r="AY165" t="s">
        <v>836</v>
      </c>
      <c r="AZ165" t="s">
        <v>2265</v>
      </c>
      <c r="BA165">
        <v>1993</v>
      </c>
      <c r="BB165">
        <v>1997</v>
      </c>
      <c r="BD165" t="s">
        <v>19</v>
      </c>
      <c r="BE165" t="s">
        <v>2271</v>
      </c>
      <c r="BF165" t="s">
        <v>39</v>
      </c>
      <c r="BG165" t="s">
        <v>1233</v>
      </c>
      <c r="BH165" t="s">
        <v>23</v>
      </c>
      <c r="BI165" t="s">
        <v>2263</v>
      </c>
      <c r="BJ165" t="s">
        <v>2262</v>
      </c>
      <c r="BK165">
        <v>20</v>
      </c>
      <c r="IO165" t="s">
        <v>2270</v>
      </c>
      <c r="IP165" t="s">
        <v>1227</v>
      </c>
      <c r="IS165" t="s">
        <v>836</v>
      </c>
      <c r="IT165" t="s">
        <v>836</v>
      </c>
      <c r="IU165" t="s">
        <v>836</v>
      </c>
      <c r="IW165" s="2"/>
      <c r="IX165" s="2"/>
      <c r="JJ165" t="s">
        <v>254</v>
      </c>
      <c r="JK165" t="s">
        <v>836</v>
      </c>
      <c r="JM165" t="s">
        <v>14</v>
      </c>
      <c r="JN165" t="s">
        <v>2255</v>
      </c>
      <c r="JO165" s="2" t="s">
        <v>2254</v>
      </c>
      <c r="JP165">
        <v>4</v>
      </c>
      <c r="MU165" s="178"/>
      <c r="MV165" s="178"/>
      <c r="MX165" s="2"/>
      <c r="MY165" s="2"/>
      <c r="MZ165" s="2"/>
      <c r="NA165" s="2"/>
      <c r="NB165" s="2"/>
      <c r="NC165" s="2"/>
      <c r="ND165" s="2"/>
      <c r="NE165" s="2"/>
      <c r="NF165" s="178"/>
      <c r="NG165" t="s">
        <v>2277</v>
      </c>
      <c r="NI165" t="s">
        <v>671</v>
      </c>
      <c r="NJ165" t="s">
        <v>2250</v>
      </c>
      <c r="NR165" t="s">
        <v>64</v>
      </c>
      <c r="NS165" s="161" t="s">
        <v>6</v>
      </c>
      <c r="NT165" s="168">
        <v>0</v>
      </c>
      <c r="NU165" t="s">
        <v>29</v>
      </c>
      <c r="OJ165" t="s">
        <v>2249</v>
      </c>
      <c r="OL165" t="s">
        <v>2248</v>
      </c>
      <c r="OQ165" t="s">
        <v>1169</v>
      </c>
      <c r="OR165" s="58">
        <v>46134</v>
      </c>
    </row>
    <row r="166" spans="1:408">
      <c r="A166" t="s">
        <v>248</v>
      </c>
      <c r="B166" t="s">
        <v>2268</v>
      </c>
      <c r="C166" t="s">
        <v>2267</v>
      </c>
      <c r="D166" t="s">
        <v>245</v>
      </c>
      <c r="H166" t="s">
        <v>836</v>
      </c>
      <c r="I166">
        <v>-6.2750502700000004</v>
      </c>
      <c r="J166">
        <v>34.813145609999999</v>
      </c>
      <c r="K166" t="s">
        <v>836</v>
      </c>
      <c r="AV166" t="s">
        <v>2266</v>
      </c>
      <c r="AW166">
        <v>0.12</v>
      </c>
      <c r="AX166">
        <v>20</v>
      </c>
      <c r="AY166" t="s">
        <v>836</v>
      </c>
      <c r="AZ166" t="s">
        <v>2265</v>
      </c>
      <c r="BA166">
        <v>1993</v>
      </c>
      <c r="BB166">
        <v>1997</v>
      </c>
      <c r="BD166" t="s">
        <v>1983</v>
      </c>
      <c r="BE166" t="s">
        <v>2264</v>
      </c>
      <c r="BF166" t="s">
        <v>64</v>
      </c>
      <c r="BG166" t="s">
        <v>1233</v>
      </c>
      <c r="BH166" t="s">
        <v>23</v>
      </c>
      <c r="BI166" t="s">
        <v>2263</v>
      </c>
      <c r="BJ166" t="s">
        <v>2262</v>
      </c>
      <c r="BK166">
        <v>20</v>
      </c>
      <c r="EE166" t="s">
        <v>2261</v>
      </c>
      <c r="EF166" t="s">
        <v>22</v>
      </c>
      <c r="EG166">
        <v>625</v>
      </c>
      <c r="EH166" t="s">
        <v>56</v>
      </c>
      <c r="EI166" t="s">
        <v>2260</v>
      </c>
      <c r="EJ166" t="s">
        <v>22</v>
      </c>
      <c r="EK166">
        <v>625</v>
      </c>
      <c r="EL166" t="s">
        <v>56</v>
      </c>
      <c r="EM166" t="s">
        <v>2259</v>
      </c>
      <c r="EN166" t="s">
        <v>22</v>
      </c>
      <c r="EO166">
        <v>625</v>
      </c>
      <c r="IO166" t="s">
        <v>2257</v>
      </c>
      <c r="IP166" t="s">
        <v>1719</v>
      </c>
      <c r="IS166" t="s">
        <v>836</v>
      </c>
      <c r="IT166" t="s">
        <v>836</v>
      </c>
      <c r="IU166" t="s">
        <v>836</v>
      </c>
      <c r="IV166" t="s">
        <v>2256</v>
      </c>
      <c r="IW166" s="2"/>
      <c r="IX166" s="2"/>
      <c r="JA166">
        <v>4.25</v>
      </c>
      <c r="JE166">
        <v>9.1</v>
      </c>
      <c r="JF166">
        <v>6.84</v>
      </c>
      <c r="JG166">
        <v>13.46</v>
      </c>
      <c r="JJ166" t="s">
        <v>254</v>
      </c>
      <c r="JK166" t="s">
        <v>836</v>
      </c>
      <c r="JM166" t="s">
        <v>14</v>
      </c>
      <c r="JN166" t="s">
        <v>2255</v>
      </c>
      <c r="JO166" s="2" t="s">
        <v>2254</v>
      </c>
      <c r="JP166">
        <v>4</v>
      </c>
      <c r="MU166" s="178"/>
      <c r="MV166" s="178"/>
      <c r="MX166" s="2"/>
      <c r="MY166" s="2"/>
      <c r="NA166" s="2"/>
      <c r="NB166" s="2"/>
      <c r="NC166" s="2"/>
      <c r="ND166" s="2"/>
      <c r="NE166" s="2"/>
      <c r="NF166" s="178"/>
      <c r="NG166" t="s">
        <v>2277</v>
      </c>
      <c r="NI166" t="s">
        <v>671</v>
      </c>
      <c r="NJ166" t="s">
        <v>2250</v>
      </c>
      <c r="NS166" s="161" t="s">
        <v>6</v>
      </c>
      <c r="NT166" s="168">
        <v>55417</v>
      </c>
      <c r="NU166" t="s">
        <v>29</v>
      </c>
      <c r="OJ166" t="s">
        <v>2249</v>
      </c>
      <c r="OL166" t="s">
        <v>2248</v>
      </c>
      <c r="OQ166" t="s">
        <v>1169</v>
      </c>
      <c r="OR166" s="58">
        <v>46134</v>
      </c>
    </row>
  </sheetData>
  <conditionalFormatting sqref="C155:K166">
    <cfRule type="expression" dxfId="113" priority="13">
      <formula>AND(LEN(TRIM($C155))&gt;0,LEN(TRIM(C155))=0)</formula>
    </cfRule>
  </conditionalFormatting>
  <conditionalFormatting sqref="L155:T166">
    <cfRule type="expression" dxfId="112" priority="14">
      <formula>AND(LEN(TRIM($L155))&gt;0,LEN(TRIM(L155))=0)</formula>
    </cfRule>
  </conditionalFormatting>
  <conditionalFormatting sqref="U155:AC166">
    <cfRule type="expression" dxfId="111" priority="15">
      <formula>AND(LEN(TRIM($U155))&gt;0,LEN(TRIM(U155))=0)</formula>
    </cfRule>
  </conditionalFormatting>
  <conditionalFormatting sqref="AD155:AL166">
    <cfRule type="expression" dxfId="110" priority="16">
      <formula>AND(LEN(TRIM($AD155))&gt;0,LEN(TRIM(AD155))=0)</formula>
    </cfRule>
  </conditionalFormatting>
  <conditionalFormatting sqref="AM155:AU166">
    <cfRule type="expression" dxfId="109" priority="17">
      <formula>AND(LEN(TRIM($AM155))&gt;0,LEN(TRIM(AM155))=0)</formula>
    </cfRule>
  </conditionalFormatting>
  <conditionalFormatting sqref="AW155:BC166">
    <cfRule type="expression" dxfId="108" priority="18">
      <formula>AND(LEN(TRIM($AV155))&gt;0,LEN(TRIM(AW155))=0)</formula>
    </cfRule>
  </conditionalFormatting>
  <conditionalFormatting sqref="BE155:BG166">
    <cfRule type="expression" dxfId="107" priority="19">
      <formula>AND(LEN(TRIM($BD155))&gt;0,LEN(TRIM(BE155))=0)</formula>
    </cfRule>
  </conditionalFormatting>
  <conditionalFormatting sqref="BI155:BL166">
    <cfRule type="expression" dxfId="106" priority="20">
      <formula>AND(LEN(TRIM($BH155))&gt;0,LEN(TRIM(BI155))=0)</formula>
    </cfRule>
  </conditionalFormatting>
  <conditionalFormatting sqref="BN155:BQ166">
    <cfRule type="expression" dxfId="105" priority="21">
      <formula>AND(LEN(TRIM($BM155))&gt;0,LEN(TRIM(BN155))=0)</formula>
    </cfRule>
  </conditionalFormatting>
  <conditionalFormatting sqref="BS155:BV166">
    <cfRule type="expression" dxfId="104" priority="22">
      <formula>AND(LEN(TRIM($BR155))&gt;0,LEN(TRIM(BS155))=0)</formula>
    </cfRule>
  </conditionalFormatting>
  <conditionalFormatting sqref="BX155:CA166">
    <cfRule type="expression" dxfId="103" priority="23">
      <formula>AND(LEN(TRIM($BW155))&gt;0,LEN(TRIM(BX155))=0)</formula>
    </cfRule>
  </conditionalFormatting>
  <conditionalFormatting sqref="CC155:CF166">
    <cfRule type="expression" dxfId="102" priority="24">
      <formula>AND(LEN(TRIM($CB155))&gt;0,LEN(TRIM(CC155))=0)</formula>
    </cfRule>
  </conditionalFormatting>
  <conditionalFormatting sqref="CH155:CK166">
    <cfRule type="expression" dxfId="101" priority="25">
      <formula>AND(LEN(TRIM($CG155))&gt;0,LEN(TRIM(CH155))=0)</formula>
    </cfRule>
  </conditionalFormatting>
  <conditionalFormatting sqref="CM155:CP166">
    <cfRule type="expression" dxfId="100" priority="26">
      <formula>AND(LEN(TRIM($CL155))&gt;0,LEN(TRIM(CM155))=0)</formula>
    </cfRule>
  </conditionalFormatting>
  <conditionalFormatting sqref="CR155:CU166">
    <cfRule type="expression" dxfId="99" priority="27">
      <formula>AND(LEN(TRIM($CQ155))&gt;0,LEN(TRIM(CR155))=0)</formula>
    </cfRule>
  </conditionalFormatting>
  <conditionalFormatting sqref="CW155:CZ166">
    <cfRule type="expression" dxfId="98" priority="28">
      <formula>AND(LEN(TRIM($CV155))&gt;0,LEN(TRIM(CW155))=0)</formula>
    </cfRule>
  </conditionalFormatting>
  <conditionalFormatting sqref="DB155:DE166">
    <cfRule type="expression" dxfId="97" priority="29">
      <formula>AND(LEN(TRIM($DA155))&gt;0,LEN(TRIM(DB155))=0)</formula>
    </cfRule>
  </conditionalFormatting>
  <conditionalFormatting sqref="DG155:DJ166">
    <cfRule type="expression" dxfId="96" priority="30">
      <formula>AND(LEN(TRIM($DF155))&gt;0,LEN(TRIM(DG155))=0)</formula>
    </cfRule>
  </conditionalFormatting>
  <conditionalFormatting sqref="DL155:DO166">
    <cfRule type="expression" dxfId="95" priority="31">
      <formula>AND(LEN(TRIM($DK155))&gt;0,LEN(TRIM(DL155))=0)</formula>
    </cfRule>
  </conditionalFormatting>
  <conditionalFormatting sqref="DQ155:DT166">
    <cfRule type="expression" dxfId="94" priority="32">
      <formula>AND(LEN(TRIM($DP155))&gt;0,LEN(TRIM(DQ155))=0)</formula>
    </cfRule>
  </conditionalFormatting>
  <conditionalFormatting sqref="DV155:DY166">
    <cfRule type="expression" dxfId="93" priority="33">
      <formula>AND(LEN(TRIM($DU155))&gt;0,LEN(TRIM(DV155))=0)</formula>
    </cfRule>
  </conditionalFormatting>
  <conditionalFormatting sqref="EA155:ED166">
    <cfRule type="expression" dxfId="92" priority="34">
      <formula>AND(LEN(TRIM($DZ155))&gt;0,LEN(TRIM(EA155))=0)</formula>
    </cfRule>
  </conditionalFormatting>
  <conditionalFormatting sqref="EF155:EH166">
    <cfRule type="expression" dxfId="91" priority="35">
      <formula>AND(LEN(TRIM($EE155))&gt;0,LEN(TRIM(EF155))=0)</formula>
    </cfRule>
  </conditionalFormatting>
  <conditionalFormatting sqref="EJ156:EK156">
    <cfRule type="expression" dxfId="90" priority="105">
      <formula>AND(LEN(TRIM($EE156))&gt;0,LEN(TRIM(EJ156))=0)</formula>
    </cfRule>
  </conditionalFormatting>
  <conditionalFormatting sqref="EJ158:EK158">
    <cfRule type="expression" dxfId="89" priority="101">
      <formula>AND(LEN(TRIM($EE158))&gt;0,LEN(TRIM(EJ158))=0)</formula>
    </cfRule>
  </conditionalFormatting>
  <conditionalFormatting sqref="EJ160:EK160">
    <cfRule type="expression" dxfId="88" priority="98">
      <formula>AND(LEN(TRIM($EE160))&gt;0,LEN(TRIM(EJ160))=0)</formula>
    </cfRule>
  </conditionalFormatting>
  <conditionalFormatting sqref="EJ162:EK162">
    <cfRule type="expression" dxfId="87" priority="11">
      <formula>AND(LEN(TRIM($EE162))&gt;0,LEN(TRIM(EJ162))=0)</formula>
    </cfRule>
  </conditionalFormatting>
  <conditionalFormatting sqref="EJ164:EK164">
    <cfRule type="expression" dxfId="86" priority="8">
      <formula>AND(LEN(TRIM($EE164))&gt;0,LEN(TRIM(EJ164))=0)</formula>
    </cfRule>
  </conditionalFormatting>
  <conditionalFormatting sqref="EJ166:EK166">
    <cfRule type="expression" dxfId="85" priority="5">
      <formula>AND(LEN(TRIM($EE166))&gt;0,LEN(TRIM(EJ166))=0)</formula>
    </cfRule>
  </conditionalFormatting>
  <conditionalFormatting sqref="EJ155:EL155 EL156 EJ157:EL157 EL158 EJ159:EL159 EL160">
    <cfRule type="expression" dxfId="84" priority="130">
      <formula>AND(LEN(TRIM($EI155))&gt;0,LEN(TRIM(EJ155))=0)</formula>
    </cfRule>
  </conditionalFormatting>
  <conditionalFormatting sqref="EJ161:EL161 EL162 EJ163:EL163 EL164 EJ165:EL165 EL166">
    <cfRule type="expression" dxfId="83" priority="36">
      <formula>AND(LEN(TRIM($EI161))&gt;0,LEN(TRIM(EJ161))=0)</formula>
    </cfRule>
  </conditionalFormatting>
  <conditionalFormatting sqref="EM156">
    <cfRule type="duplicateValues" dxfId="82" priority="106"/>
  </conditionalFormatting>
  <conditionalFormatting sqref="EM158">
    <cfRule type="duplicateValues" dxfId="81" priority="102"/>
  </conditionalFormatting>
  <conditionalFormatting sqref="EM160">
    <cfRule type="duplicateValues" dxfId="80" priority="99"/>
  </conditionalFormatting>
  <conditionalFormatting sqref="EM162">
    <cfRule type="duplicateValues" dxfId="79" priority="12"/>
  </conditionalFormatting>
  <conditionalFormatting sqref="EM164">
    <cfRule type="duplicateValues" dxfId="78" priority="9"/>
  </conditionalFormatting>
  <conditionalFormatting sqref="EM166">
    <cfRule type="duplicateValues" dxfId="77" priority="6"/>
  </conditionalFormatting>
  <conditionalFormatting sqref="EN156:EO156">
    <cfRule type="expression" dxfId="76" priority="104">
      <formula>AND(LEN(TRIM($EE156))&gt;0,LEN(TRIM(EN156))=0)</formula>
    </cfRule>
  </conditionalFormatting>
  <conditionalFormatting sqref="EN158:EO158">
    <cfRule type="expression" dxfId="75" priority="100">
      <formula>AND(LEN(TRIM($EE158))&gt;0,LEN(TRIM(EN158))=0)</formula>
    </cfRule>
  </conditionalFormatting>
  <conditionalFormatting sqref="EN160:EO160">
    <cfRule type="expression" dxfId="74" priority="97">
      <formula>AND(LEN(TRIM($EE160))&gt;0,LEN(TRIM(EN160))=0)</formula>
    </cfRule>
  </conditionalFormatting>
  <conditionalFormatting sqref="EN162:EO162">
    <cfRule type="expression" dxfId="73" priority="10">
      <formula>AND(LEN(TRIM($EE162))&gt;0,LEN(TRIM(EN162))=0)</formula>
    </cfRule>
  </conditionalFormatting>
  <conditionalFormatting sqref="EN164:EO164">
    <cfRule type="expression" dxfId="72" priority="7">
      <formula>AND(LEN(TRIM($EE164))&gt;0,LEN(TRIM(EN164))=0)</formula>
    </cfRule>
  </conditionalFormatting>
  <conditionalFormatting sqref="EN166:EO166">
    <cfRule type="expression" dxfId="71" priority="4">
      <formula>AND(LEN(TRIM($EE166))&gt;0,LEN(TRIM(EN166))=0)</formula>
    </cfRule>
  </conditionalFormatting>
  <conditionalFormatting sqref="EN155:EP155 EP156 EN157:EP157 EP158 EN159:EP159 EP160">
    <cfRule type="expression" dxfId="70" priority="131">
      <formula>AND(LEN(TRIM($EM155))&gt;0,LEN(TRIM(EN155))=0)</formula>
    </cfRule>
  </conditionalFormatting>
  <conditionalFormatting sqref="EN161:EP161 EP162 EN163:EP163 EP164 EN165:EP165 EP166">
    <cfRule type="expression" dxfId="69" priority="37">
      <formula>AND(LEN(TRIM($EM161))&gt;0,LEN(TRIM(EN161))=0)</formula>
    </cfRule>
  </conditionalFormatting>
  <conditionalFormatting sqref="ER155:ET166">
    <cfRule type="expression" dxfId="68" priority="38">
      <formula>AND(LEN(TRIM($EQ155))&gt;0,LEN(TRIM(ER155))=0)</formula>
    </cfRule>
  </conditionalFormatting>
  <conditionalFormatting sqref="EV155:EX166">
    <cfRule type="expression" dxfId="67" priority="39">
      <formula>AND(LEN(TRIM($EU155))&gt;0,LEN(TRIM(EV155))=0)</formula>
    </cfRule>
  </conditionalFormatting>
  <conditionalFormatting sqref="EZ155:FB166">
    <cfRule type="expression" dxfId="66" priority="40">
      <formula>AND(LEN(TRIM($EY155))&gt;0,LEN(TRIM(EZ155))=0)</formula>
    </cfRule>
  </conditionalFormatting>
  <conditionalFormatting sqref="FD155:FF166">
    <cfRule type="expression" dxfId="65" priority="41">
      <formula>AND(LEN(TRIM($FC155))&gt;0,LEN(TRIM(FD155))=0)</formula>
    </cfRule>
  </conditionalFormatting>
  <conditionalFormatting sqref="FH155:FJ166">
    <cfRule type="expression" dxfId="64" priority="42">
      <formula>AND(LEN(TRIM($FG155))&gt;0,LEN(TRIM(FH155))=0)</formula>
    </cfRule>
  </conditionalFormatting>
  <conditionalFormatting sqref="FL155:FN166">
    <cfRule type="expression" dxfId="63" priority="43">
      <formula>AND(LEN(TRIM($FK155))&gt;0,LEN(TRIM(FL155))=0)</formula>
    </cfRule>
  </conditionalFormatting>
  <conditionalFormatting sqref="FP155:FR166">
    <cfRule type="expression" dxfId="62" priority="44">
      <formula>AND(LEN(TRIM($FO155))&gt;0,LEN(TRIM(FP155))=0)</formula>
    </cfRule>
  </conditionalFormatting>
  <conditionalFormatting sqref="FT155:FV166">
    <cfRule type="expression" dxfId="61" priority="45">
      <formula>AND(LEN(TRIM($FS155))&gt;0,LEN(TRIM(FT155))=0)</formula>
    </cfRule>
  </conditionalFormatting>
  <conditionalFormatting sqref="FX155:FZ166">
    <cfRule type="expression" dxfId="60" priority="46">
      <formula>AND(LEN(TRIM($FW155))&gt;0,LEN(TRIM(FX155))=0)</formula>
    </cfRule>
  </conditionalFormatting>
  <conditionalFormatting sqref="GB155:GD166">
    <cfRule type="expression" dxfId="59" priority="47">
      <formula>AND(LEN(TRIM($GA155))&gt;0,LEN(TRIM(GB155))=0)</formula>
    </cfRule>
  </conditionalFormatting>
  <conditionalFormatting sqref="GF155:GH166">
    <cfRule type="expression" dxfId="58" priority="48">
      <formula>AND(LEN(TRIM($GE155))&gt;0,LEN(TRIM(GF155))=0)</formula>
    </cfRule>
  </conditionalFormatting>
  <conditionalFormatting sqref="GJ155:GL166">
    <cfRule type="expression" dxfId="57" priority="49">
      <formula>AND(LEN(TRIM($GI155))&gt;0,LEN(TRIM(GJ155))=0)</formula>
    </cfRule>
  </conditionalFormatting>
  <conditionalFormatting sqref="GN155:GQ166">
    <cfRule type="expression" dxfId="56" priority="50">
      <formula>AND(LEN(TRIM($GM155))&gt;0,LEN(TRIM(GN155))=0)</formula>
    </cfRule>
  </conditionalFormatting>
  <conditionalFormatting sqref="GS155:GV166">
    <cfRule type="expression" dxfId="55" priority="51">
      <formula>AND(LEN(TRIM($GR155))&gt;0,LEN(TRIM(GS155))=0)</formula>
    </cfRule>
  </conditionalFormatting>
  <conditionalFormatting sqref="GX155:HA166">
    <cfRule type="expression" dxfId="54" priority="52">
      <formula>AND(LEN(TRIM($GW155))&gt;0,LEN(TRIM(GX155))=0)</formula>
    </cfRule>
  </conditionalFormatting>
  <conditionalFormatting sqref="HC155:HF166">
    <cfRule type="expression" dxfId="53" priority="53">
      <formula>AND(LEN(TRIM($HB155))&gt;0,LEN(TRIM(HC155))=0)</formula>
    </cfRule>
  </conditionalFormatting>
  <conditionalFormatting sqref="HH155:HK166">
    <cfRule type="expression" dxfId="52" priority="54">
      <formula>AND(LEN(TRIM($HG155))&gt;0,LEN(TRIM(HH155))=0)</formula>
    </cfRule>
  </conditionalFormatting>
  <conditionalFormatting sqref="HM155:HQ166">
    <cfRule type="expression" dxfId="51" priority="55">
      <formula>AND(LEN(TRIM($HL155))&gt;0,LEN(TRIM(HM155))=0)</formula>
    </cfRule>
  </conditionalFormatting>
  <conditionalFormatting sqref="HP155:HP166">
    <cfRule type="expression" dxfId="50" priority="56">
      <formula>AND($HP155&gt;50, $HP155&lt;&gt;"Unspecified")</formula>
    </cfRule>
  </conditionalFormatting>
  <conditionalFormatting sqref="HS155:HV166">
    <cfRule type="expression" dxfId="49" priority="57">
      <formula>AND(LEN(TRIM($HR155))&gt;0,LEN(TRIM(HS155))=0)</formula>
    </cfRule>
  </conditionalFormatting>
  <conditionalFormatting sqref="HW155:HW166">
    <cfRule type="expression" dxfId="48" priority="58">
      <formula>IF(AND(COUNTIF($BH155:$DZ155,$HW155)=0,$HW155&lt;&gt;""),1,0)=1</formula>
    </cfRule>
  </conditionalFormatting>
  <conditionalFormatting sqref="HX155:IA166">
    <cfRule type="expression" dxfId="47" priority="59">
      <formula>AND(LEN(TRIM($HW155))&gt;0,LEN(TRIM(HX155))=0)</formula>
    </cfRule>
  </conditionalFormatting>
  <conditionalFormatting sqref="IB155:IB166">
    <cfRule type="expression" dxfId="46" priority="60">
      <formula>IF(AND(COUNTIF(#REF!,$IB155)=0,$IB155&lt;&gt;""),1,0)=1</formula>
    </cfRule>
  </conditionalFormatting>
  <conditionalFormatting sqref="IC155:IG166">
    <cfRule type="expression" dxfId="45" priority="61">
      <formula>AND(LEN(TRIM($IB155))&gt;0,LEN(TRIM(IC155))=0)</formula>
    </cfRule>
  </conditionalFormatting>
  <conditionalFormatting sqref="II155:II166">
    <cfRule type="expression" dxfId="44" priority="62">
      <formula>AND(LEN(TRIM($IH155))&gt;0,LEN(TRIM(II155))=0)</formula>
    </cfRule>
  </conditionalFormatting>
  <conditionalFormatting sqref="IJ155:IN166">
    <cfRule type="expression" dxfId="43" priority="63">
      <formula>AND(LEN(TRIM($IH155))&gt;0,LEN(TRIM(IJ155))=0,$II155&lt;&gt;"Monoculture")</formula>
    </cfRule>
  </conditionalFormatting>
  <conditionalFormatting sqref="IO155:IO166">
    <cfRule type="expression" dxfId="42" priority="1">
      <formula>AND(LEN(TRIM($BD155))&gt;0,LEN(TRIM(IO155))=0)</formula>
    </cfRule>
  </conditionalFormatting>
  <conditionalFormatting sqref="IP155:IP166 IS155:IU166">
    <cfRule type="expression" dxfId="41" priority="64">
      <formula>AND(LEN(TRIM($IO155))&gt;0,LEN(TRIM(IP155))=0,$IP155&lt;&gt;"Monoculture",$IQ155&lt;&gt;"Monoculture",$IR155&lt;&gt;"Monoculture")</formula>
    </cfRule>
  </conditionalFormatting>
  <conditionalFormatting sqref="IW155:IZ166">
    <cfRule type="expression" dxfId="40" priority="65">
      <formula>AND(LEN(TRIM($IV155))&gt;0,LEN(TRIM(IW155))=0)</formula>
    </cfRule>
  </conditionalFormatting>
  <conditionalFormatting sqref="JB155:JB166">
    <cfRule type="expression" dxfId="39" priority="66">
      <formula>AND(OR($JB155&gt;100, $JB155&lt;0), JB155&lt;&gt;"Unspecified")</formula>
    </cfRule>
  </conditionalFormatting>
  <conditionalFormatting sqref="JB155:JJ166">
    <cfRule type="expression" dxfId="38" priority="67">
      <formula>AND(LEN(TRIM($IZ155))&gt;0,LEN(TRIM(JB155))=0)</formula>
    </cfRule>
  </conditionalFormatting>
  <conditionalFormatting sqref="JC155:JC166">
    <cfRule type="expression" dxfId="37" priority="68">
      <formula>AND(OR($JC155&gt;100, $JC155&lt;0), JD155&lt;&gt;"Unspecified")</formula>
    </cfRule>
  </conditionalFormatting>
  <conditionalFormatting sqref="JD155:JD166">
    <cfRule type="expression" dxfId="36" priority="69">
      <formula>AND(OR($JD155&gt;100, $JD155&lt;$JC155), $JD155&lt;&gt;"Unspecified")</formula>
    </cfRule>
  </conditionalFormatting>
  <conditionalFormatting sqref="JE155:JE166">
    <cfRule type="expression" dxfId="35" priority="70">
      <formula>AND($JE155&lt;0, $JE155&lt;&gt;"Unspecified")</formula>
    </cfRule>
  </conditionalFormatting>
  <conditionalFormatting sqref="JF155:JF166">
    <cfRule type="expression" dxfId="34" priority="71">
      <formula>AND($JF155&lt;0, $JF155&lt;&gt;"Unspecified")</formula>
    </cfRule>
  </conditionalFormatting>
  <conditionalFormatting sqref="JG155:JG166">
    <cfRule type="expression" dxfId="33" priority="72">
      <formula>AND($JG155&lt;$JF155, $JG155&lt;&gt;"Unspecified")</formula>
    </cfRule>
  </conditionalFormatting>
  <conditionalFormatting sqref="JH155:JH166">
    <cfRule type="expression" dxfId="32" priority="73">
      <formula>AND($JH155&lt;0, $JH155&lt;&gt;"Unspecified")</formula>
    </cfRule>
  </conditionalFormatting>
  <conditionalFormatting sqref="JI155:JI166">
    <cfRule type="expression" dxfId="31" priority="74">
      <formula>AND($JI155&lt;0, $JI155&lt;&gt;"Unspecified")</formula>
    </cfRule>
  </conditionalFormatting>
  <conditionalFormatting sqref="JJ155:JJ166">
    <cfRule type="expression" dxfId="30" priority="75">
      <formula>AND($JJ155&lt;$JI155, $JJ155&lt;&gt;"Unspecified")</formula>
    </cfRule>
  </conditionalFormatting>
  <conditionalFormatting sqref="JK11:JK50">
    <cfRule type="duplicateValues" dxfId="29" priority="197"/>
  </conditionalFormatting>
  <conditionalFormatting sqref="JK51:JK70">
    <cfRule type="duplicateValues" dxfId="28" priority="195"/>
  </conditionalFormatting>
  <conditionalFormatting sqref="JK71:JK90">
    <cfRule type="duplicateValues" dxfId="27" priority="194"/>
  </conditionalFormatting>
  <conditionalFormatting sqref="JK91:JK110">
    <cfRule type="duplicateValues" dxfId="26" priority="193"/>
  </conditionalFormatting>
  <conditionalFormatting sqref="JK111:JK130">
    <cfRule type="duplicateValues" dxfId="25" priority="191"/>
  </conditionalFormatting>
  <conditionalFormatting sqref="JK131:JK150">
    <cfRule type="duplicateValues" dxfId="24" priority="189"/>
  </conditionalFormatting>
  <conditionalFormatting sqref="JL155:JL166">
    <cfRule type="expression" dxfId="23" priority="76">
      <formula>AND(LEN(TRIM($JK155))&gt;0,LEN(TRIM(JL155))=0)</formula>
    </cfRule>
  </conditionalFormatting>
  <conditionalFormatting sqref="JN155:JV166">
    <cfRule type="expression" dxfId="22" priority="77">
      <formula>AND(LEN(TRIM($JM155))&gt;0,LEN(TRIM(JN155))=0)</formula>
    </cfRule>
  </conditionalFormatting>
  <conditionalFormatting sqref="JX155:KE166">
    <cfRule type="expression" dxfId="21" priority="78">
      <formula>AND(LEN(TRIM($JW155))&gt;0,LEN(TRIM(JX155))=0)</formula>
    </cfRule>
  </conditionalFormatting>
  <conditionalFormatting sqref="KG155:KI166">
    <cfRule type="expression" dxfId="20" priority="79">
      <formula>AND(LEN(TRIM($KF155))&gt;0,LEN(TRIM(KG155))=0)</formula>
    </cfRule>
  </conditionalFormatting>
  <conditionalFormatting sqref="KK155:KK166">
    <cfRule type="expression" dxfId="19" priority="80">
      <formula>AND(LEN(TRIM($KJ155))&gt;0,LEN(TRIM(KK155))=0)</formula>
    </cfRule>
  </conditionalFormatting>
  <conditionalFormatting sqref="KL155:KN166">
    <cfRule type="expression" dxfId="18" priority="81">
      <formula>AND(LEN(TRIM($KJ155))&gt;0,LEN(TRIM(KL155))=0,$KK155&lt;&gt;"Hand Hoe",LEFT($KK155,3)&lt;&gt;"No ")</formula>
    </cfRule>
  </conditionalFormatting>
  <conditionalFormatting sqref="KP155:KR166">
    <cfRule type="expression" dxfId="17" priority="82">
      <formula>AND(LEN(TRIM($KO155))&gt;0,LEN(TRIM(KP155))=0,$KO155&lt;&gt;"Hand Hoe",LEFT($KO155,3)&lt;&gt;"No ")</formula>
    </cfRule>
  </conditionalFormatting>
  <conditionalFormatting sqref="KT155:KV166">
    <cfRule type="expression" dxfId="16" priority="83">
      <formula>AND(LEN(TRIM($KS155))&gt;0,LEN(TRIM(KT155))=0,$KS155&lt;&gt;"Hand Hoe",LEFT($KS155,3)&lt;&gt;"No ")</formula>
    </cfRule>
  </conditionalFormatting>
  <conditionalFormatting sqref="LC155:LK166">
    <cfRule type="expression" dxfId="15" priority="84">
      <formula>AND(LEN(TRIM($KX155))&gt;0,LEN(TRIM(LC155))=0,$KX155&lt;&gt;"No mulch applied")</formula>
    </cfRule>
  </conditionalFormatting>
  <conditionalFormatting sqref="LM155:LP166">
    <cfRule type="expression" dxfId="14" priority="85">
      <formula>AND(LEN(TRIM($LL155))&gt;0,LEN(TRIM(LM155))=0)</formula>
    </cfRule>
  </conditionalFormatting>
  <conditionalFormatting sqref="LR155:LW166">
    <cfRule type="expression" dxfId="13" priority="86">
      <formula>AND(LEN(TRIM($LQ155))&gt;0,LEN(TRIM(LR155))=0)</formula>
    </cfRule>
  </conditionalFormatting>
  <conditionalFormatting sqref="LY155:LY166">
    <cfRule type="expression" dxfId="12" priority="87">
      <formula>AND(LEN(TRIM($LX155))&gt;0,LEN(TRIM(LY155))=0)</formula>
    </cfRule>
  </conditionalFormatting>
  <conditionalFormatting sqref="MD155:MG166">
    <cfRule type="expression" dxfId="11" priority="88">
      <formula>AND(LEN(TRIM($MC155))&gt;0,LEN(TRIM(MD155))=0)</formula>
    </cfRule>
  </conditionalFormatting>
  <conditionalFormatting sqref="MI155:MI166 MM155:MO166">
    <cfRule type="expression" dxfId="10" priority="89">
      <formula>AND(LEN(TRIM($MH155))&gt;0,LEN(TRIM(MI155))=0)</formula>
    </cfRule>
  </conditionalFormatting>
  <conditionalFormatting sqref="MQ155:MT166">
    <cfRule type="expression" dxfId="9" priority="90">
      <formula>AND(LEN(TRIM($MP155))&gt;0,LEN(TRIM(MQ155))=0)</formula>
    </cfRule>
  </conditionalFormatting>
  <conditionalFormatting sqref="MW155:MW166">
    <cfRule type="expression" dxfId="8" priority="3">
      <formula>AND(LEN(TRIM($NG155))&gt;0,LEN(TRIM(MW155))=0)</formula>
    </cfRule>
  </conditionalFormatting>
  <conditionalFormatting sqref="MY155:MY166">
    <cfRule type="expression" dxfId="7" priority="91">
      <formula>AND(LEN(TRIM($MW155))&gt;0,LEN(TRIM(MY155))=0)</formula>
    </cfRule>
  </conditionalFormatting>
  <conditionalFormatting sqref="NF11:NF30">
    <cfRule type="duplicateValues" dxfId="6" priority="196"/>
  </conditionalFormatting>
  <conditionalFormatting sqref="NF91:NF110">
    <cfRule type="duplicateValues" dxfId="5" priority="192"/>
  </conditionalFormatting>
  <conditionalFormatting sqref="NF111:NF130">
    <cfRule type="duplicateValues" dxfId="4" priority="190"/>
  </conditionalFormatting>
  <conditionalFormatting sqref="NF131:NF150">
    <cfRule type="duplicateValues" dxfId="3" priority="188"/>
  </conditionalFormatting>
  <conditionalFormatting sqref="NH155:NJ166">
    <cfRule type="expression" dxfId="2" priority="2">
      <formula>AND(LEN(TRIM($NG155))&gt;0,LEN(TRIM(NH155))=0)</formula>
    </cfRule>
  </conditionalFormatting>
  <conditionalFormatting sqref="NL155:NL166">
    <cfRule type="expression" dxfId="1" priority="93">
      <formula>AND($NL155&lt;$NK155, $NL155&lt;&gt;"Unspecified")</formula>
    </cfRule>
  </conditionalFormatting>
  <conditionalFormatting sqref="NT156">
    <cfRule type="expression" dxfId="0" priority="103">
      <formula>AND($NL156&lt;$NK156, $NL156&lt;&gt;"Unspecified")</formula>
    </cfRule>
  </conditionalFormatting>
  <dataValidations count="126">
    <dataValidation errorStyle="warning" allowBlank="1" showInputMessage="1" showErrorMessage="1" prompt="Complete with an easy to recognize name for the fertilizer practice, you will use this name to reference it when building treatments later in the extraction process. Avoid using special characters." sqref="JO155:JO166 JK155:JK166" xr:uid="{4ED76847-5B18-454C-9588-9145C9AB4FF5}"/>
    <dataValidation type="list" errorStyle="warning" allowBlank="1" showInputMessage="1" showErrorMessage="1" prompt="Country where the study site is located" sqref="C154:C166" xr:uid="{1B617AED-4B4F-413A-B97B-E411DE8EB3C8}">
      <formula1>CountryList</formula1>
    </dataValidation>
    <dataValidation errorStyle="warning" allowBlank="1" showInputMessage="1" showErrorMessage="1" prompt="Unit used to report elemental nutrient quantities (N, P, K) applied from inorganic fertilizers. Try to record kg/ha" sqref="JQ154:JQ166" xr:uid="{82C81E34-CC3C-4EFC-AA38-1E1D06546820}"/>
    <dataValidation allowBlank="1" showInputMessage="1" showErrorMessage="1" prompt="List the starting season of an experimental treatment in systems with &gt;1 growing season. If a region has unimodal rainfall or if seasonality is unespecified please leave this file blanck" sqref="IT154:IT166" xr:uid="{ED7BD84D-0623-42F1-9059-72AC171D9983}"/>
    <dataValidation allowBlank="1" showInputMessage="1" showErrorMessage="1" prompt="Unique ID assigned to each site/treatment/managment." sqref="BF154:BF166" xr:uid="{258EC4AC-D166-43C1-A0D6-AC04EB098383}"/>
    <dataValidation allowBlank="1" showInputMessage="1" showErrorMessage="1" prompt="Detailed description of how the practice or sub-practice was implemented, including contextual or methodological qualifiers (e.g., frequency, intensity, timing, species used)." sqref="IO155:IO166 BE154:BE166" xr:uid="{22E8112C-57F0-4F10-AE44-B53B6D43CA3F}"/>
    <dataValidation allowBlank="1" showInputMessage="1" showErrorMessage="1" prompt="Subpractice or specific implementation detail of the broader practice as reported (e.g., “reduced tillage”, “legume intercrop”, “organic manure application”)." sqref="BD154:BD166" xr:uid="{7AF3BD43-6152-4886-9E28-879D8A91FED3}"/>
    <dataValidation allowBlank="1" showInputMessage="1" showErrorMessage="1" prompt="Unique identifier assigned to each study" sqref="B154:B166" xr:uid="{86604966-3257-45BF-81DF-69BE17838536}"/>
    <dataValidation allowBlank="1" showInputMessage="1" showErrorMessage="1" prompt="Unique identifier assigned to the study by the original systematic synthesis." sqref="A154:A166" xr:uid="{DC347A44-A9B9-446C-AF76-0ECE5288BE47}"/>
    <dataValidation type="date" errorStyle="warning" allowBlank="1" showInputMessage="1" prompt="Planting Date End (dd/mm/yy)" sqref="HV155:HV166" xr:uid="{072EF12A-6411-4493-852C-C988439A49EF}">
      <formula1>HU158</formula1>
      <formula2>73415</formula2>
    </dataValidation>
    <dataValidation type="decimal" errorStyle="warning" allowBlank="1" showInputMessage="1" showErrorMessage="1" prompt="Duration (Days). Use with Weight Gain subindicator." sqref="NY155:NY166 NQ155:NQ166" xr:uid="{3226627B-96D6-4B65-BF23-E47D0344D950}">
      <formula1>0</formula1>
      <formula2>1000</formula2>
    </dataValidation>
    <dataValidation errorStyle="warning" operator="lessThanOrEqual" allowBlank="1" showInputMessage="1" showErrorMessage="1" prompt="Experimental design information, such as plot size, layout and notes on historical management. " sqref="MU155:MU166" xr:uid="{8AA91A17-F66C-41FB-B82A-0B94DF857629}"/>
    <dataValidation type="whole" errorStyle="warning" operator="greaterThanOrEqual" allowBlank="1" showInputMessage="1" showErrorMessage="1" prompt="(Days after Storage for Postharvest)" sqref="MO155:MO166" xr:uid="{6C37C122-CDF3-483E-833E-C6EC6C668487}">
      <formula1>30</formula1>
    </dataValidation>
    <dataValidation type="whole" errorStyle="warning" operator="greaterThanOrEqual" allowBlank="1" showInputMessage="1" showErrorMessage="1" prompt="Harvest Days After Planting" sqref="MG155:MG166" xr:uid="{CBBB7E3F-8299-42E2-AAA4-D8F220BDF814}">
      <formula1>30</formula1>
    </dataValidation>
    <dataValidation type="decimal" errorStyle="warning" operator="greaterThanOrEqual" allowBlank="1" showInputMessage="1" showErrorMessage="1" prompt="Value measure of dispersion when variation is reported as standard deviation or standard error" sqref="OD155:OD166" xr:uid="{C669A7E0-C2B2-404B-A1B7-7316E5EFF155}">
      <formula1>0</formula1>
    </dataValidation>
    <dataValidation type="decimal" errorStyle="warning" allowBlank="1" showInputMessage="1" showErrorMessage="1" prompt="Soil outcome depths (cm) upper. Upper depth of measurement (cm) for soil outcomes" sqref="NT156 NL155:NL166" xr:uid="{9FF782D7-06B1-431F-A83D-AB123CE480C0}">
      <formula1>0</formula1>
      <formula2>200</formula2>
    </dataValidation>
    <dataValidation type="decimal" errorStyle="warning" allowBlank="1" showInputMessage="1" showErrorMessage="1" prompt="Soil outcome depths (cm) lower. Lower depth of measurement (cm) for soil outcomes" sqref="NK155:NK166" xr:uid="{EB0F826B-F9DD-43A7-870A-16FE9F37E4B3}">
      <formula1>0</formula1>
      <formula2>200</formula2>
    </dataValidation>
    <dataValidation allowBlank="1" showInputMessage="1" showErrorMessage="1" prompt="Choose a easy to recognize name for the practice, you will use this name to reference it when building treatments later in the extraction process. Avoid using special characters." sqref="IV154:IV166" xr:uid="{C2EB7B28-9C39-4D12-ADD5-B3E6915F9DFC}"/>
    <dataValidation type="decimal" errorStyle="warning" allowBlank="1" showInputMessage="1" showErrorMessage="1" prompt="Tillage Depth (cm). The depth at which a soil is ploughed or tilled. Source: AGROVOC_x000a__x000a_Values allowed between 0 and 150 cm_x000a__x000a_Text will turn orange if value is above 50cm as a warning, values over 50cm should be double-checked." sqref="HP155:HP166" xr:uid="{93EA95EA-C25E-4DE2-93C9-118CDFA44BE1}">
      <formula1>0</formula1>
      <formula2>150</formula2>
    </dataValidation>
    <dataValidation allowBlank="1" showInputMessage="1" showErrorMessage="1" prompt="Unit used to report elemental nutrient quantities (N, P, K) applied from organic fertilizers. Try to record kg/ha" sqref="KA155:KA166" xr:uid="{E50B9E90-C9B8-49AA-A95E-D0C1A6C38E08}"/>
    <dataValidation type="list" errorStyle="warning" allowBlank="1" showInputMessage="1" showErrorMessage="1" prompt="Standardised name of the specific study site" sqref="AO155:AO166" xr:uid="{3ACCAA2D-F34E-41CA-B869-1CB9772D2612}">
      <formula1>INDIRECT($AM155)</formula1>
    </dataValidation>
    <dataValidation type="list" errorStyle="warning" allowBlank="1" showInputMessage="1" showErrorMessage="1" prompt="Standardised name of the specific study site" sqref="AF155:AF166" xr:uid="{DC4006EF-AE94-4876-B524-5659986F7828}">
      <formula1>INDIRECT($AD155)</formula1>
    </dataValidation>
    <dataValidation type="list" errorStyle="warning" allowBlank="1" showInputMessage="1" showErrorMessage="1" prompt="Standardised name of the specific study site" sqref="W155:W166" xr:uid="{2BD3A263-10F1-43FC-86E8-CEAAAE1573E4}">
      <formula1>INDIRECT($U155)</formula1>
    </dataValidation>
    <dataValidation type="list" errorStyle="warning" allowBlank="1" showInputMessage="1" showErrorMessage="1" prompt="Standardised name of the specific study site" sqref="N155:N166" xr:uid="{0D59DB84-0D9C-4C8D-9156-17A1D3ED10C9}">
      <formula1>INDIRECT($L155)</formula1>
    </dataValidation>
    <dataValidation errorStyle="warning" allowBlank="1" showInputMessage="1" showErrorMessage="1" prompt="Manual estimation (e.g. from measuring on google earth) in m of the spatial uncertainty for a point location. The site should within an X m radius (the buffer.manual amount) of the point location specified. Unit is meters" sqref="AU155:AU166 AL155:AL166 AC155:AC166 T155:T166 K155:K166" xr:uid="{10A846C4-039E-48BA-AA72-9267A95CEAC6}"/>
    <dataValidation errorStyle="warning" allowBlank="1" showInputMessage="1" showErrorMessage="1" prompt="Longitude of the study location in decimal degrees, recorded at the precision reported in the publication or derived from place-based geocoding when coordinates are not provided." sqref="AT155:AT166 AK155:AK166 AB155:AB166 S155:S166 J155:J166" xr:uid="{90FA1B67-7E2F-47B4-BC7A-4CCEB7362798}"/>
    <dataValidation errorStyle="warning" allowBlank="1" showInputMessage="1" showErrorMessage="1" prompt="Latitude of the study location in decimal degrees, recorded at the precision reported in the publication or derived from place-based geocoding when coordinates are not provided." sqref="AS155:AS166 AJ155:AJ166 AA155:AA166 R155:R166 I155:I166" xr:uid="{43DCBAB0-0BBD-48C0-903A-9BE51E264862}"/>
    <dataValidation errorStyle="warning" allowBlank="1" showInputMessage="1" showErrorMessage="1" prompt="For biodiversity outcomes, specify the functional group related to taxa assessed, if specified in the article" sqref="ND155:ND166" xr:uid="{1C9D1839-79D2-48A2-BF71-7F20127A768C}"/>
    <dataValidation type="decimal" errorStyle="warning" operator="greaterThanOrEqual" allowBlank="1" showInputMessage="1" showErrorMessage="1" prompt="Lower limit for variation in suboutcome when variation is reported as a confidence interval or interquartile range." sqref="OE155:OE166" xr:uid="{EF960171-20F1-46C3-94AC-5FF1D14B6677}">
      <formula1>-9.99999999999999E+40</formula1>
    </dataValidation>
    <dataValidation type="decimal" errorStyle="warning" operator="greaterThanOrEqual" allowBlank="1" showInputMessage="1" showErrorMessage="1" prompt="Numerical value corresponding to the reported central tendency of the sub-outcome." sqref="NT155 OB155:OB166 NT157:NT166" xr:uid="{8A7B464E-AAF0-4222-AE4B-51EF55D1EF5E}">
      <formula1>-9.99999999999999E+30</formula1>
    </dataValidation>
    <dataValidation type="decimal" errorStyle="warning" operator="lessThanOrEqual" allowBlank="1" showInputMessage="1" showErrorMessage="1" prompt="Size of Harvested Plot (m2)." sqref="MV155:MV166" xr:uid="{E3478747-B97C-4EF0-8710-04654C72323D}">
      <formula1>AW155</formula1>
    </dataValidation>
    <dataValidation type="date" errorStyle="warning" allowBlank="1" showInputMessage="1" showErrorMessage="1" prompt="(Storage Date End for Postharvest)" sqref="MN155:MN166" xr:uid="{54E3AD9B-A97D-41D8-B958-2B6217DA0B6E}">
      <formula1>MM155</formula1>
      <formula2>73415</formula2>
    </dataValidation>
    <dataValidation type="date" errorStyle="warning" allowBlank="1" showInputMessage="1" showErrorMessage="1" prompt="(Storage Date Start for Postharvest)" sqref="MM155:MM166" xr:uid="{B5514CF3-2951-4CE4-8900-FD9162941260}">
      <formula1>1</formula1>
      <formula2>73415</formula2>
    </dataValidation>
    <dataValidation type="date" errorStyle="warning" operator="greaterThanOrEqual" allowBlank="1" showInputMessage="1" showErrorMessage="1" prompt="Harvest Date End (dd/mm/yy)" sqref="MF155:MF166" xr:uid="{5DCF576B-6A79-4EE6-ACEB-B8F0B8767C62}">
      <formula1>ME155</formula1>
    </dataValidation>
    <dataValidation type="date" errorStyle="warning" allowBlank="1" showInputMessage="1" showErrorMessage="1" prompt="Harvest Date Start (dd/mm/yy)" sqref="ME155:ME166" xr:uid="{23BC7648-6DAC-4867-81E5-465502C6F43C}">
      <formula1>1</formula1>
      <formula2>73415</formula2>
    </dataValidation>
    <dataValidation type="list" errorStyle="warning" allowBlank="1" showInputMessage="1" showErrorMessage="1" prompt="Tree (plant species). Only required if a material comes from a tree or shrub" sqref="LF155:LF166" xr:uid="{6A90E4E0-79FD-47C4-8CD3-F6A0991A138B}">
      <formula1>tree.latin.name</formula1>
    </dataValidation>
    <dataValidation type="list" errorStyle="warning" allowBlank="1" showInputMessage="1" showErrorMessage="1" prompt="Name of the organic fertilizer" sqref="JX155:JX166" xr:uid="{D0822299-31CD-4BFF-8D63-219F8D1CC5D4}">
      <formula1>INDIRECT($JW155)</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N155:JN166" xr:uid="{F5B94E05-F145-44E0-8BF4-F517697B10A4}">
      <formula1>INDIRECT($JM155)</formula1>
    </dataValidation>
    <dataValidation errorStyle="warning" allowBlank="1" showInputMessage="1" showErrorMessage="1" prompt="Name of the agroforestry practice. This dimension captures whether trees are part of a rotation." sqref="IY155:IY166" xr:uid="{473D9515-EC6E-4E45-8EB2-3BBE65116C94}"/>
    <dataValidation errorStyle="warning" allowBlank="1" showInputMessage="1" showErrorMessage="1" prompt="Complete with an easy to recognize name for the animal practice, you will use this name to reference it when building treatments later in the extraction process. Avoid using special characters." sqref="ID155:ID166" xr:uid="{4F1A25F5-1B89-4BA5-BCBF-237CAAAEB6C5}"/>
    <dataValidation type="list" errorStyle="warning" allowBlank="1" showInputMessage="1" showErrorMessage="1" prompt="Breed of the animal" sqref="IC155:IC166" xr:uid="{6A64258A-EC0D-4C9F-AFCF-1F72B09CEAEF}">
      <formula1>INDIRECT($IB155)</formula1>
    </dataValidation>
    <dataValidation type="list" errorStyle="warning" allowBlank="1" showInputMessage="1" showErrorMessage="1" prompt="Name of the animal" sqref="IB155:IB166" xr:uid="{188D838F-CA7D-48E9-8102-300D4CF39443}">
      <formula1>AnimalsList</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N155:GN166" xr:uid="{3C0262EE-1841-407B-B1D1-5B1756A961D4}">
      <formula1>INDIRECT($GM155)</formula1>
    </dataValidation>
    <dataValidation type="decimal" errorStyle="warning" operator="greaterThan" allowBlank="1" showInputMessage="1" showErrorMessage="1" prompt="Numerical value of animal growing density corresponding to the selected animal and density unit." sqref="HJ155:HJ166 HE155:HE166 GZ155:GZ166 GU155:GU166 GP155:GP166" xr:uid="{AE2E32A0-1545-4D3B-8950-5FC3ACCD1AE1}">
      <formula1>0</formula1>
    </dataValidation>
    <dataValidation type="list" errorStyle="warning" allowBlank="1" showInputMessage="1" showErrorMessage="1" prompt="Name of animal species including in the practice, first letter of name capitilized and the rest lowercase. Use common names of species. See animal lists in 01_animals$v_product in 01_FOMD_ontologoies file." sqref="HG155:HG166 HB155:HB166 GW155:GW166 GR155:GR166 GM155:GM166" xr:uid="{770FF079-4E70-4DF6-A0D9-B58A6AEF891E}">
      <formula1>AnimalsList</formula1>
    </dataValidation>
    <dataValidation type="decimal" errorStyle="warning" operator="greaterThanOrEqual" allowBlank="1" showInputMessage="1" prompt="Numerical value of crop planting density corresponding to the selected crop and density unit._x000a__x000a_Should be greater than 0" sqref="BK155:BK166 DD155:DD166 DI155:DI166 DN155:DN166 DS155:DS166 DX155:DX166 EC155:EC166 CY155:CY166 BU155:BU166 BZ155:BZ166 CE155:CE166 CJ155:CJ166 CO155:CO166 CT155:CT166 BP155:BP166" xr:uid="{EFB4DB30-BEAA-4217-AC77-4F4376C06FD6}">
      <formula1>0</formula1>
    </dataValidation>
    <dataValidation type="list" errorStyle="warning" allowBlank="1" showInputMessage="1" showErrorMessage="1" prompt="Commercial or local name of the crop variety associated with the selected crop (e.g., Katumani, G2333, Maasai Red). Do not include the crop species name in this field." sqref="BI155:BI166 DB155:DB166 DG155:DG166 DL155:DL166 DQ155:DQ166 DV155:DV166 EA155:EA166 BN155:BN166 BS155:BS166 BX155:BX166 CC155:CC166 CH155:CH166 CM155:CM166 CR155:CR166 CW155:CW166" xr:uid="{F6261401-77DE-4BCD-9819-FA143552D056}">
      <formula1>INDIRECT(BH155)</formula1>
    </dataValidation>
    <dataValidation type="list" errorStyle="warning" allowBlank="1" showInputMessage="1" showErrorMessage="1" prompt="Name of crop species including in the practice, first letter of name capitilized and the rest lowercase. Use common names of species. See crop lists in 01_crops$crop_names in 01_FOMD_ontologoies file." sqref="CV155:CV166 DA155:DA166 DF155:DF166 DK155:DK166 DP155:DP166 DU155:DU166 DZ155:DZ166 BM155:BM166 BR155:BR166 BW155:BW166 CB155:CB166 CG155:CG166 CL155:CL166 CQ155:CQ166 BH155:BH166" xr:uid="{D7D3B5A5-5EF8-4A31-B4B2-DB2BCE8B4D72}">
      <formula1>CropList</formula1>
    </dataValidation>
    <dataValidation type="decimal" errorStyle="warning" operator="greaterThanOrEqual" allowBlank="1" showInputMessage="1" showErrorMessage="1" prompt="Amount of Water Applied" sqref="LV155:LV166" xr:uid="{37896B8A-FBDD-4C56-9A52-A4AF2C0E4130}">
      <formula1>0</formula1>
    </dataValidation>
    <dataValidation type="date" errorStyle="warning" operator="greaterThanOrEqual" allowBlank="1" showInputMessage="1" showErrorMessage="1" prompt="Date End of the irrigation" sqref="LT155:LT166" xr:uid="{E92292F7-D056-4FFC-A372-96082A049E7A}">
      <formula1>LS155</formula1>
    </dataValidation>
    <dataValidation type="date" errorStyle="warning" allowBlank="1" showInputMessage="1" showErrorMessage="1" prompt="Date Start of the irrigation" sqref="LS155:LS166" xr:uid="{0C518A3D-AA51-4078-A257-525857C9C739}">
      <formula1>1</formula1>
      <formula2>73415</formula2>
    </dataValidation>
    <dataValidation type="list" errorStyle="warning" allowBlank="1" showInputMessage="1" showErrorMessage="1" prompt="Variety, cultivar of the crop" sqref="HX155:HX166" xr:uid="{D913C98B-7BF9-48FE-940D-3DF53333A480}">
      <formula1>INDIRECT($HW155)</formula1>
    </dataValidation>
    <dataValidation type="list" errorStyle="warning" allowBlank="1" showInputMessage="1" showErrorMessage="1" prompt="Please entery name of crop_x000a__x000a_If cell turns red, this means the crop was not selected as a study crop (crop01, crop02 etc.) Please adjust entries as necessary_x000a_" sqref="HW155:HW166" xr:uid="{42A80C0A-ACFD-4D49-86AB-37F887847F31}">
      <formula1>CropList</formula1>
    </dataValidation>
    <dataValidation type="date" errorStyle="warning" allowBlank="1" showInputMessage="1" prompt="Planting Date Start (dd/mm/yy)" sqref="HU155:HU166" xr:uid="{283A1DD3-4064-45B4-B5E3-47D4745343F4}">
      <formula1>1</formula1>
      <formula2>73415</formula2>
    </dataValidation>
    <dataValidation errorStyle="warning" allowBlank="1" showInputMessage="1" showErrorMessage="1" prompt="Complete with an easy to recognize name for the planting method, you will use this name to reference it when building treatments later in the extraction process. Avoid using special characters." sqref="HR155:HR166" xr:uid="{89DCAD7B-6878-46E5-A763-A4F9454CFE7A}"/>
    <dataValidation type="whole" errorStyle="warning" operator="greaterThan" allowBlank="1" showInputMessage="1" showErrorMessage="1" prompt="How many times was the land tilled during one experimental season " sqref="HQ155:HQ166" xr:uid="{1A737786-7E78-466C-B9E9-FD4472297CAE}">
      <formula1>0</formula1>
    </dataValidation>
    <dataValidation errorStyle="warning" allowBlank="1" showInputMessage="1" showErrorMessage="1" prompt="Complete with an easy to recognize name for the tillage practice, you will use this name to reference it when building treatments later in the extraction process. Avoid using special characters." sqref="HL155:HL166" xr:uid="{AC63538A-4527-4ACE-B169-FA325CDE5C6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OR155:OR166" xr:uid="{0C44F52F-2EA8-40B2-9B3F-F6B63E5E83F1}"/>
    <dataValidation type="decimal" errorStyle="warning" operator="greaterThanOrEqual" allowBlank="1" showInputMessage="1" showErrorMessage="1" prompt="Amount Applied. Captures the total amount of pH-altering material applied" sqref="LP155:LP166" xr:uid="{F28669DE-A65D-4643-BD91-D48534A312A4}">
      <formula1>0</formula1>
    </dataValidation>
    <dataValidation type="decimal" errorStyle="warning" operator="greaterThanOrEqual" allowBlank="1" showInputMessage="1" showErrorMessage="1" prompt="Amount of material applied in the study_x000a__x000a_Should be 0 or higher" sqref="LK155:LK166" xr:uid="{2D632AF5-466D-4DC7-AFDC-4F8B439A0384}">
      <formula1>0</formula1>
    </dataValidation>
    <dataValidation type="list" errorStyle="warning" allowBlank="1" showInputMessage="1" prompt="Please use active ingredient name over trade-name of product, unless the  product contains multiple active ingredients then it is acceptible to use the product name." sqref="KL155:KL166" xr:uid="{61140D34-C075-4E9A-9B19-0A9A5018372B}">
      <formula1>INDIRECT($KK155)</formula1>
    </dataValidation>
    <dataValidation errorStyle="warning" allowBlank="1" showInputMessage="1" showErrorMessage="1" prompt="Complete with an easy to recognize name for the practice, you will use this name to reference it when building treatments later in the extraction process. Avoid using special characters." sqref="KW155:KW166 LL155:LL166 LQ155:LQ166 MH155:MH166 MC155:MC166 MP155:MP166 LX154:LX166" xr:uid="{1861F155-AFAD-402C-B4FB-E8C1E358072F}"/>
    <dataValidation type="decimal" errorStyle="warning" operator="greaterThanOrEqual" allowBlank="1" showInputMessage="1" showErrorMessage="1" prompt="Chemical amount applied_x000a__x000a_Should be 0 or higher" sqref="KN155:KN166 KR155:KR166 KV155:KV166" xr:uid="{45269E77-79E0-4D17-B613-E45B35C3E157}">
      <formula1>0</formula1>
    </dataValidation>
    <dataValidation errorStyle="warning" allowBlank="1" showInputMessage="1" showErrorMessage="1" prompt="Complete with an easy to recognize name for the weeding practice, you will use this name to reference it when building treatments later in the extraction process. Avoid using special characters." sqref="KF155:KF166" xr:uid="{38E7B35C-57B0-49B7-BB58-0D26C60A7CDC}"/>
    <dataValidation type="decimal" errorStyle="warning" operator="greaterThanOrEqual" allowBlank="1" showInputMessage="1" showErrorMessage="1" prompt="Total elemental potassium applied from organic sources (e.g., compost, manure, biosolid)." sqref="KD155:KD166" xr:uid="{A5B12581-8745-4A35-BA68-456C3E1DC75D}">
      <formula1>0</formula1>
    </dataValidation>
    <dataValidation type="decimal" errorStyle="warning" operator="greaterThanOrEqual" allowBlank="1" showInputMessage="1" showErrorMessage="1" prompt="Total elemental phosphorus applied from organic sources (e.g., compost, manure, biosolid)." sqref="KC155:KC166" xr:uid="{433F4601-FB02-4BDB-9086-4BD0359C5504}">
      <formula1>0</formula1>
    </dataValidation>
    <dataValidation type="decimal" errorStyle="warning" operator="greaterThanOrEqual" allowBlank="1" showInputMessage="1" showErrorMessage="1" prompt="Total elemental nitrogen applied  from organic sources (e.g., compost, manure, biosolid)." sqref="KB155:KB166" xr:uid="{B87E790A-639E-49D8-8F72-50852871A3F7}">
      <formula1>0</formula1>
    </dataValidation>
    <dataValidation type="whole" errorStyle="warning" allowBlank="1" showInputMessage="1" prompt="The start year of the crop rotation practice" sqref="IS155:IS166" xr:uid="{F5E450A8-DF0B-4A2C-8B13-8C96FDE5B20F}">
      <formula1>1900</formula1>
      <formula2>2100</formula2>
    </dataValidation>
    <dataValidation errorStyle="warning" allowBlank="1" showInputMessage="1" showErrorMessage="1" prompt="Intercropping start season" sqref="IM155:IM166" xr:uid="{A15F823F-5145-44A8-AAA0-7B1EFED0E2CE}"/>
    <dataValidation type="whole" errorStyle="warning" allowBlank="1" showInputMessage="1" showErrorMessage="1" prompt="Intercropping start year" sqref="IL155:IL166" xr:uid="{52C8C3A3-5DE6-4243-B39B-25E4628CDFAA}">
      <formula1>1900</formula1>
      <formula2>2100</formula2>
    </dataValidation>
    <dataValidation errorStyle="warning" allowBlank="1" showInputMessage="1" showErrorMessage="1" prompt="Complete with an easy to recognize name for the intercropping practice, you will use this name to reference it when building treatments later in the extraction process. Avoid using special characters." sqref="IH155:IH166" xr:uid="{5B642FC0-D024-49AA-BFBC-958FD0B76459}"/>
    <dataValidation type="decimal" errorStyle="warning" operator="greaterThanOrEqual" allowBlank="1" showInputMessage="1" showErrorMessage="1" prompt="Numerical value of tree planting density corresponding to the selected tree and density unit._x000a__x000a_Should be greater than 0" sqref="EO155:EO166 EG155:EG166 EK155:EK166 ES155:ES166 EW155:EW166 FA155:FA166 FE155:FE166 FI155:FI166 FM155:FM166 FQ155:FQ166 FU155:FU166 FY155:FY166 GC155:GC166 GG155:GG166 GK155:GK166" xr:uid="{AFDCAC5D-DB0F-485B-BD70-A94CEC4DBA59}">
      <formula1>0</formula1>
    </dataValidation>
    <dataValidation errorStyle="warning" allowBlank="1" showInputMessage="1" showErrorMessage="1" prompt="Total elemental nitrogen, phosphorus, and potassium applied from inorganic sources (e.g., urea or DAP)." sqref="JP155:JP166" xr:uid="{024DD035-1684-4EF4-8635-247530DBA31E}"/>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OV155:OV166" xr:uid="{65C28106-D232-48DB-BAAE-2FD3D33FEFDA}">
      <formula1>OU155</formula1>
      <formula2>2100</formula2>
    </dataValidation>
    <dataValidation type="whole" errorStyle="warning"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OU155:OU166" xr:uid="{2495B4C8-BEF1-4AB6-B1D6-7324002729D3}">
      <formula1>1900</formula1>
      <formula2>2100</formula2>
    </dataValidation>
    <dataValidation errorStyle="warning" allowBlank="1" showInputMessage="1" showErrorMessage="1" prompt="Season as stated by the author" sqref="BC155:BC166" xr:uid="{077FD991-887F-4313-ADAF-AD897A4D781E}"/>
    <dataValidation type="whole" errorStyle="warning" allowBlank="1" showInputMessage="1" showErrorMessage="1" prompt="Year when the experiment stopped. Year End as stated by the author _x000a__x000a_Should be equal to start year or later" sqref="BB155:BB166" xr:uid="{A8558041-960B-4AC6-BF38-C2E05E41035A}">
      <formula1>BA155</formula1>
      <formula2>2100</formula2>
    </dataValidation>
    <dataValidation type="whole" errorStyle="warning" allowBlank="1" showInputMessage="1" showErrorMessage="1" prompt="Year when the experiment started. Year Start as stated by the author" sqref="BA155:BA166" xr:uid="{782F4D90-BB80-41EB-982E-24EF0AAE166B}">
      <formula1>1900</formula1>
      <formula2>2100</formula2>
    </dataValidation>
    <dataValidation errorStyle="warning" allowBlank="1" showInputMessage="1" showErrorMessage="1" prompt="Complete with the specific time period name the study provide" sqref="AZ155:AZ166" xr:uid="{875F8ED0-75DD-465F-B8A1-1992A541F8C4}"/>
    <dataValidation type="whole" errorStyle="warning" operator="greaterThanOrEqual" allowBlank="1" showInputMessage="1" showErrorMessage="1" prompt="Length of time the experiment has been ongoing up to the date the data are being reported for in years._x000a__x000a_Should be 0 or greater" sqref="AY155:AY166" xr:uid="{D31EBF5A-08BE-44EE-AA87-7BDEACDD194C}">
      <formula1>0</formula1>
    </dataValidation>
    <dataValidation type="decimal" errorStyle="warning" operator="greaterThanOrEqual" allowBlank="1" showInputMessage="1" prompt="Field size in hectares_x000a__x000a_Should be greater than 0" sqref="AX155:AX166" xr:uid="{B9B94253-150B-4DA7-95CD-9C8CD7DE5DF1}">
      <formula1>0</formula1>
    </dataValidation>
    <dataValidation type="decimal" errorStyle="warning" operator="greaterThan" allowBlank="1" showInputMessage="1" prompt="The size of a treatment plot in the experiment, if variable use the mean value or mid-point of the size range._x000a__x000a_Valulue should be greater than 0" sqref="AW155:AW166" xr:uid="{A28BE3D9-902A-46F4-BE0D-26EF0C6A73C4}">
      <formula1>0</formula1>
    </dataValidation>
    <dataValidation errorStyle="warning" allowBlank="1" showInputMessage="1" showErrorMessage="1" prompt="A plan specification that states how treatments are allocated to the experimental units during an agronomic trial. It refers to the conceptual framework within which the experiment is conducted. Source: AGRO" sqref="AV155:AV166" xr:uid="{EDDC035C-057B-4774-8D32-8FF604A986B1}"/>
    <dataValidation type="decimal" errorStyle="warning" operator="greaterThanOrEqual" allowBlank="1" showInputMessage="1" prompt="Value should be above agrof_dhb_min, or write &quot;Unspecified&quot; if unknown." sqref="JJ155:JJ166" xr:uid="{DBB6253B-89ED-496D-BE09-9F3B6E01F908}">
      <formula1>JI155</formula1>
    </dataValidation>
    <dataValidation type="decimal" errorStyle="warning" operator="greaterThanOrEqual" allowBlank="1" showInputMessage="1" prompt="Value should be above 0, or write &quot;Unspecified&quot; if unknown." sqref="JI155:JI166" xr:uid="{DCBB8FD0-89A5-46F0-92FD-75D6F7E17582}">
      <formula1>0</formula1>
    </dataValidation>
    <dataValidation type="decimal" errorStyle="warning" operator="greaterThanOrEqual" allowBlank="1" showInputMessage="1" showErrorMessage="1" prompt="Value should be above 0, or write &quot;Unspecified&quot; if unknown." sqref="JH155:JH166" xr:uid="{B0BA0C65-AE7F-497A-B79C-13233CE1AB55}">
      <formula1>0</formula1>
    </dataValidation>
    <dataValidation type="decimal" errorStyle="warning" operator="greaterThanOrEqual" allowBlank="1" showInputMessage="1" prompt="Canopy height  max if height is provided by ranges. Ex. If height is 50-70, complete with 70_x000a__x000a_Value should be above agrod_canopy_height_min, or write &quot;Unspecified&quot; if unknown." sqref="JG155:JG166" xr:uid="{C403FA5F-BF79-4FCE-9776-2D3A201B909F}">
      <formula1>JF155</formula1>
    </dataValidation>
    <dataValidation type="decimal" errorStyle="warning" operator="greaterThanOrEqual" allowBlank="1" showInputMessage="1" prompt="Canopy height  min if height is provided by ranges. Ex. If height is 50-70, complete with 50_x000a__x000a_Value should be above 0, or write &quot;Unspecified&quot; if unknown." sqref="JF155:JF166" xr:uid="{C07FEF39-FE38-4B07-B9E1-892ABD4DF3F6}">
      <formula1>0</formula1>
    </dataValidation>
    <dataValidation type="decimal" errorStyle="warning" operator="greaterThanOrEqual" allowBlank="1" showInputMessage="1" prompt="Canopy height mean if height is provided as mean. Ex. If height is 15 meters, complete with 15_x000a__x000a_Value should be above 0, or write &quot;Unspecified&quot; if unknown." sqref="JE155:JE166" xr:uid="{0D683927-605B-4A79-9793-5640ED269BD3}">
      <formula1>0</formula1>
    </dataValidation>
    <dataValidation type="decimal" errorStyle="warning" allowBlank="1" showInputMessage="1" prompt="Shade max if shade is provided by ranges. Ex. If shade is 50-70, complete with 70_x000a__x000a_Value should be between agrof_shade_min and 100, or write &quot;Unspecified&quot; if unknown." sqref="JD155:JD166" xr:uid="{CE2D2C53-9CA6-4AC3-92F5-807C79CAABEA}">
      <formula1>JC155</formula1>
      <formula2>100</formula2>
    </dataValidation>
    <dataValidation type="decimal" errorStyle="warning" operator="greaterThanOrEqual" allowBlank="1" showInputMessage="1" prompt="Shade min if shade is provided by ranges. Ex. If shade is 50-70, complete with 50_x000a__x000a_Value should be between 0 and 100, or write &quot;Unspecified&quot; if unknown." sqref="JC155:JC166" xr:uid="{022427D3-B397-42B3-A078-B9AD55F81599}">
      <formula1>0</formula1>
    </dataValidation>
    <dataValidation type="decimal" errorStyle="warning" allowBlank="1" showInputMessage="1" prompt="Shade mean if shade is provided as mean. Ex. If shade is 52%, complete with 52_x000a__x000a_Value should be between 0 and 100, or write &quot;Unspecified&quot; if unknown." sqref="JB155:JB166" xr:uid="{43D1285A-E5C8-4CBA-971B-F6F52B0B2D66}">
      <formula1>0</formula1>
      <formula2>100</formula2>
    </dataValidation>
    <dataValidation type="whole" errorStyle="warning" operator="greaterThanOrEqual" allowBlank="1" showInputMessage="1" showErrorMessage="1" prompt="Leave blank where there is only one growing season per year or no seasonal information is presented with the data. Code the season in order 1,2,etc. Determine the season sequence by harvest year. " sqref="OW155:OW166" xr:uid="{C897E05E-B8DD-456C-B947-AFD03438FD07}">
      <formula1>1</formula1>
    </dataValidation>
    <dataValidation errorStyle="warning" allowBlank="1" showInputMessage="1" showErrorMessage="1" prompt="Mean Starting Weight. Use with Weight Gain subindicator. You may take the average across all treatments if the starting weights are similar and the difference between them is small relative to the total change in wieght." sqref="NX155:NX166 NP155:NP166" xr:uid="{339557BB-B997-4773-8DA7-247F141F004D}"/>
    <dataValidation type="decimal" errorStyle="warning" operator="greaterThanOrEqual" allowBlank="1" showInputMessage="1" showErrorMessage="1" prompt="Starting Weight Unit. Use with Weight Gain subindicator." sqref="NW155:NW166 NO155:NO166" xr:uid="{6A4C10BC-1983-405A-9F17-6CF2E6D47E91}">
      <formula1>0</formula1>
    </dataValidation>
    <dataValidation type="decimal" errorStyle="warning" allowBlank="1" showInputMessage="1" showErrorMessage="1" prompt="Economic Discount Rate (%). Typically associated with calculations of Net Present Value (NPV)." sqref="NU155:NU166 NM155:NM166" xr:uid="{4447D265-0CAC-4CE5-8278-746AB0A19670}">
      <formula1>0</formula1>
      <formula2>100</formula2>
    </dataValidation>
    <dataValidation type="decimal" errorStyle="warning" operator="greaterThanOrEqual" allowBlank="1" showInputMessage="1" prompt="Indicates the total amount of elemental potassium (K) from non-composted organic materials_x000a__x000a_Should be 0 or higher" sqref="LE155:LE166" xr:uid="{40140748-A61B-468F-9032-05AEF4EE9AB6}">
      <formula1>0</formula1>
    </dataValidation>
    <dataValidation type="decimal" errorStyle="warning" operator="greaterThanOrEqual" allowBlank="1" showInputMessage="1" prompt="Specifies the total amount of elemental phosphorus (P) from non-composted organic materials_x000a__x000a_Should be 0 or higher" sqref="LD155:LD166" xr:uid="{F7E3FB93-2D45-44AB-8372-4129B05E230F}">
      <formula1>0</formula1>
    </dataValidation>
    <dataValidation type="decimal" errorStyle="warning" operator="greaterThanOrEqual" allowBlank="1" showInputMessage="1" prompt="Represents the total amount of elemental nitrogen (N) added from non-composted organic materials_x000a__x000a_Should be 0 or higher" sqref="LC155:LC166" xr:uid="{DC43BE21-82D5-4086-A6B5-D5DE951C6C12}">
      <formula1>0</formula1>
    </dataValidation>
    <dataValidation errorStyle="warning" allowBlank="1" showInputMessage="1" showErrorMessage="1" prompt="Complete with an easy to recognize name for the chemical practice, you will use this name to reference it when building treatments later in the extraction process. Avoid using special characters." sqref="KJ155:KJ166" xr:uid="{AFA35621-8D0B-400C-A4B7-82BD455439B9}"/>
    <dataValidation errorStyle="warning" allowBlank="1" showInputMessage="1" showErrorMessage="1" prompt="Frequency of the weeding practice" sqref="KI155:KI166" xr:uid="{82893267-ED8F-4448-A781-80458DB5CD48}"/>
    <dataValidation errorStyle="warning" allowBlank="1" showInputMessage="1" showErrorMessage="1" prompt="Fate of crop residues from the previous season" sqref="IU155:IU166" xr:uid="{B89627BA-A74D-4896-98E9-11B7554C6F25}"/>
    <dataValidation type="list" errorStyle="warning" allowBlank="1" showInputMessage="1" showErrorMessage="1" prompt="Standardised name of the specific study site" sqref="E155:E166" xr:uid="{CEE1A8FE-5E45-48C7-9520-E1239425A8E2}">
      <formula1>INDIRECT($C155)</formula1>
    </dataValidation>
    <dataValidation type="decimal" errorStyle="warning" allowBlank="1" showInputMessage="1" showErrorMessage="1" prompt="The calendar year the measurement was taken. Seasons in multi-season systems are identified by decimals ‘.1’ or ‘.2’ for the first and second season respectively." sqref="OT155:OT166" xr:uid="{E23B21D5-0280-4D11-B1A6-E8E61A64B92D}">
      <formula1>1900</formula1>
      <formula2>2100</formula2>
    </dataValidation>
    <dataValidation type="decimal" errorStyle="warning" allowBlank="1" showInputMessage="1" showErrorMessage="1" prompt="Economic Period (Years). Use with Net Present Value (NPV) outcome or similar only." sqref="NV155:NV166 NN155:NN166" xr:uid="{C9B3674E-8AE6-41A5-88B8-D649F0964F91}">
      <formula1>0</formula1>
      <formula2>100</formula2>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T155:KT166" xr:uid="{8BC0124F-AB47-479A-A3C4-C46BDD051EF8}">
      <formula1>INDIRECT($KS155)</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P155:KP166" xr:uid="{9C915441-B183-4EB4-A23E-EAFA6DCFF330}">
      <formula1>INDIRECT($KO155)</formula1>
    </dataValidation>
    <dataValidation type="decimal" errorStyle="warning" operator="greaterThanOrEqual" allowBlank="1" showInputMessage="1" showErrorMessage="1" prompt="Upper limit for variation in suboutcome when  variation is reported as a confidence interval or interquartile range." sqref="OF155:OF166" xr:uid="{671E211F-9837-40F8-BE23-C8E897947A60}">
      <formula1>OE155</formula1>
    </dataValidation>
    <dataValidation errorStyle="warning" allowBlank="1" showInputMessage="1" showErrorMessage="1" prompt="Comparison Treatment (e.g. for LER or fertilizer use efficiency outcomes)" sqref="NZ155:NZ166 NR155:NR166" xr:uid="{A7D5D6A6-94B5-45EA-BE49-BF00B0C3159D}"/>
    <dataValidation type="whole" errorStyle="warning" operator="greaterThanOrEqual" allowBlank="1" showInputMessage="1" prompt="Number of independent sampling units on which the sub-outcome estimate is based for this specific practice. " sqref="OG155:OG166" xr:uid="{DC7217F0-F44D-4B5F-8B59-C70B3F98AF9A}">
      <formula1>0</formula1>
    </dataValidation>
    <dataValidation type="decimal" errorStyle="warning" operator="greaterThanOrEqual" allowBlank="1" showInputMessage="1" showErrorMessage="1" prompt="Total elemental nitrogen, phosphorus, and potassium applied from organic sources (e.g., compost, manure, biosolid)." sqref="JZ155:JZ166" xr:uid="{505678D1-3BE1-46AE-8B5D-765FCB87C6BB}">
      <formula1>0</formula1>
    </dataValidation>
    <dataValidation type="list" errorStyle="warning" allowBlank="1" showInputMessage="1" showErrorMessage="1" prompt="Name of tree or shrub species used in the specific practice. Please use scientific name and be careful of your spelling. Use full scientific name, do not abbreviate genus" sqref="GI155:GI166 EI155:EI166 EM155:EM166 EQ155:EQ166 EU155:EU166 EY155:EY166 FC155:FC166 FG155:FG166 FK155:FK166 FO155:FO166 FS155:FS166 FW155:FW166 GA155:GA166 GE155:GE166 EE155:EE166" xr:uid="{FFCDBF14-E7C5-473D-94F0-AA60662CDC1F}">
      <formula1>trees</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H155:HH166" xr:uid="{AB08828D-3FF2-41BA-B7CA-FAEE726513DF}">
      <formula1>INDIRECT($HG155)</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C155:HC166" xr:uid="{BAC43D86-D199-4580-95F7-917CC6FE8A19}">
      <formula1>INDIRECT($HB155)</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X155:GX166" xr:uid="{DFBFA131-2E89-434D-8907-1FC3DC639807}">
      <formula1>INDIRECT($GW155)</formula1>
    </dataValidation>
    <dataValidation type="list" errorStyle="warning" allowBlank="1" showInputMessage="1" showErrorMessage="1" errorTitle="Invalid Entry" error="Please select a country from the dropdown list." promptTitle="Country" prompt="Select a country from the dropdown list." sqref="L155:L166 AM155:AM166 AD155:AD166 U155:U166" xr:uid="{1D4103CA-D627-4F6B-A6D7-ADDFA5BAF32B}">
      <formula1>CountryList</formula1>
    </dataValidation>
    <dataValidation errorStyle="warning" allowBlank="1" showInputMessage="1" showErrorMessage="1" prompt="Suboutcome or component of the outcome as reported (e.g., “yield per plot”, “gross margin”, “labour cost”, “aboveground biomass”). Use when the study reports multiple components under a broader outcome." sqref="NG155:NG166" xr:uid="{0F5536BB-962F-4575-BA99-F8383126FA39}"/>
    <dataValidation errorStyle="warning" allowBlank="1" showInputMessage="1" showErrorMessage="1" prompt="Description of the suboutcome as reported in the primary study or systematic synthesis. Record sufficient detail to clearly identify what was measured and how it was defined." sqref="MW155:MW166 NH155:NH166" xr:uid="{12CD9816-B1FC-43A8-9553-2D432CA07312}"/>
    <dataValidation type="decimal" errorStyle="warning" operator="greaterThanOrEqual" allowBlank="1" showInputMessage="1" showErrorMessage="1" sqref="JA155:JA166" xr:uid="{F6141074-77F5-4114-A44D-1F4DBD30F72A}">
      <formula1>0</formula1>
    </dataValidation>
    <dataValidation type="decimal" errorStyle="warning" operator="greaterThanOrEqual" allowBlank="1" showInputMessage="1" showErrorMessage="1" prompt="Total potassium applied from inorganic sources presented as potassium oxide (K2O)." sqref="JV155:JV166" xr:uid="{430F1F4D-B34A-4A5C-82FE-3A0F51367CDC}">
      <formula1>0</formula1>
    </dataValidation>
    <dataValidation type="decimal" errorStyle="warning" operator="greaterThanOrEqual" allowBlank="1" showInputMessage="1" showErrorMessage="1" prompt="Total phosphorus applied from inorganic sources presented as phosphorus pentoxide (P2O5) ." sqref="JU155:JU166" xr:uid="{66F3663B-C51D-49BF-8EEC-F9F594CA9D2C}">
      <formula1>0</formula1>
    </dataValidation>
    <dataValidation type="decimal" errorStyle="warning" operator="greaterThanOrEqual" allowBlank="1" showInputMessage="1" showErrorMessage="1" prompt="Total elemental potassium applied from inorganic sources (e.g., potassium chloride or monopotassium phosphate)." sqref="JT155:JT166" xr:uid="{6B916D8C-0F14-4222-94A3-3601DBBF78B5}">
      <formula1>0</formula1>
    </dataValidation>
    <dataValidation type="decimal" errorStyle="warning" operator="greaterThanOrEqual" allowBlank="1" showInputMessage="1" showErrorMessage="1" prompt="Total elemental phosphorus applied from inorganic sources (e.g., rock phosphate or DAP)." sqref="JS155:JS166" xr:uid="{A5063EAC-7ADB-43DC-8237-295275041EE1}">
      <formula1>0</formula1>
    </dataValidation>
    <dataValidation type="decimal" errorStyle="warning" operator="greaterThanOrEqual" allowBlank="1" showInputMessage="1" showErrorMessage="1" prompt="Total elemental nitrogen applied from inorganic sources (e.g., urea or DAP)." sqref="JR155:JR166" xr:uid="{F2306975-D1DD-46B8-A376-8401DF591271}">
      <formula1>0</formula1>
    </dataValidation>
    <dataValidation errorStyle="warning" allowBlank="1" showInputMessage="1" showErrorMessage="1" prompt="If the study is at a research station, but we only know the location of the city where the station is,  we record &quot;City&quot;. If we know the exact location of the station record &quot;Facility&quot;." sqref="F155:F166 AG155:AG166 X155:X166 O155:O166 AP155:AP166" xr:uid="{D4A75083-CC61-4A83-82F5-8CB55288E366}"/>
    <dataValidation type="list" errorStyle="warning" allowBlank="1" showInputMessage="1" showErrorMessage="1" sqref="GS155:GS166" xr:uid="{B4F37939-90A6-43EC-A10E-CB3BF984A5E6}">
      <formula1>INDIRECT($GR155)</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1" ma:contentTypeDescription="Create a new document." ma:contentTypeScope="" ma:versionID="1b97c7f6381d52e0ece85968e631718a">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f6cb7be8893fd4f0d362fb6f7fa19cb"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3F80AE0-5CF8-441A-8E3E-6D76A3390D5E}">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2.xml><?xml version="1.0" encoding="utf-8"?>
<ds:datastoreItem xmlns:ds="http://schemas.openxmlformats.org/officeDocument/2006/customXml" ds:itemID="{B18C96F3-2EFF-47A3-8B78-B687D8C6DDE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0C90B0A-DBBE-4147-B2EE-79946A8DC171}">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09_FOMD_metadata_extraction_lon</vt:lpstr>
      <vt:lpstr>09_FOMD_readme</vt:lpstr>
      <vt:lpstr>REMOVED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2026-01-06T12:10:56Z</dcterms:created>
  <dcterms:modified xsi:type="dcterms:W3CDTF">2026-05-06T13:55:14Z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