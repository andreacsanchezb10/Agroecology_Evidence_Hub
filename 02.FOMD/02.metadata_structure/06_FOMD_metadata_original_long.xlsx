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Knolwedge_Hub/02.FOMD/data_structure/"/>
    </mc:Choice>
  </mc:AlternateContent>
  <xr:revisionPtr revIDLastSave="3999" documentId="8_{5B91FD4C-F535-4F53-83E8-3A9F967D226B}" xr6:coauthVersionLast="47" xr6:coauthVersionMax="47" xr10:uidLastSave="{94BE2E33-84C7-49A0-A63B-266D8DE3796A}"/>
  <bookViews>
    <workbookView xWindow="28690" yWindow="-110" windowWidth="29020" windowHeight="15700" xr2:uid="{2490BFCF-3C38-4AF5-8D54-18CFBB79D50A}"/>
  </bookViews>
  <sheets>
    <sheet name="07_FOMD_metadata_original_long" sheetId="1" r:id="rId1"/>
  </sheets>
  <externalReferences>
    <externalReference r:id="rId2"/>
  </externalReferences>
  <definedNames>
    <definedName name="Till.Code.Base">[1]!Till.Code.Base1[Tillage Codes]</definedName>
    <definedName name="W.Type">[1]!W.Type1[W.Type]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H9" i="1" l="1"/>
  <c r="GH8" i="1"/>
  <c r="GH27" i="1"/>
  <c r="GH26" i="1"/>
  <c r="GH24" i="1"/>
  <c r="GH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tc={11BF7FFE-9972-4CCE-A3A2-BFB44039CD4F}</author>
    <author>Pete Steward</author>
    <author>tc={9FDF12EC-5F0D-4AB2-BFCD-3DF0A74DC224}</author>
    <author>tc={1D6EBAA1-9952-4A71-AC49-ACBF2F638A05}</author>
  </authors>
  <commentList>
    <comment ref="U3" authorId="0" shapeId="0" xr:uid="{11BF7FFE-9972-4CCE-A3A2-BFB44039CD4F}">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AU3" authorId="1" shapeId="0" xr:uid="{72914A39-F22F-41BB-ADC4-477BDB6ADE77}">
      <text>
        <r>
          <rPr>
            <b/>
            <sz val="9"/>
            <color indexed="81"/>
            <rFont val="Tahoma"/>
            <family val="2"/>
          </rPr>
          <t>Rather vague field that needs better definition</t>
        </r>
      </text>
    </comment>
    <comment ref="EW3" authorId="2" shapeId="0" xr:uid="{9FDF12EC-5F0D-4AB2-BFCD-3DF0A74DC224}">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FB3" authorId="3" shapeId="0" xr:uid="{1D6EBAA1-9952-4A71-AC49-ACBF2F638A05}">
      <text>
        <t>[Threaded comment]
Your version of Excel allows you to read this threaded comment; however, any edits to it will get removed if the file is opened in a newer version of Excel. Learn more: https://go.microsoft.com/fwlink/?linkid=870924
Comment:
    Not sure what is this</t>
      </text>
    </comment>
  </commentList>
</comments>
</file>

<file path=xl/sharedStrings.xml><?xml version="1.0" encoding="utf-8"?>
<sst xmlns="http://schemas.openxmlformats.org/spreadsheetml/2006/main" count="10271" uniqueCount="763">
  <si>
    <t>country1</t>
  </si>
  <si>
    <t>suboutcome</t>
  </si>
  <si>
    <t>data_location</t>
  </si>
  <si>
    <t>MA_Sanch_22_Finan_Ec</t>
  </si>
  <si>
    <t>Station</t>
  </si>
  <si>
    <t>USD/ha</t>
  </si>
  <si>
    <t>Zimbabwe</t>
  </si>
  <si>
    <t>-17.71666667</t>
  </si>
  <si>
    <t>31.65</t>
  </si>
  <si>
    <t>531.496063</t>
  </si>
  <si>
    <t>255.905512</t>
  </si>
  <si>
    <t>393.700787</t>
  </si>
  <si>
    <t>236.220472</t>
  </si>
  <si>
    <t>216.535433</t>
  </si>
  <si>
    <t>354.330709</t>
  </si>
  <si>
    <t>157.480315</t>
  </si>
  <si>
    <t>Kenya</t>
  </si>
  <si>
    <t>629.92126</t>
  </si>
  <si>
    <t>2086.61417</t>
  </si>
  <si>
    <t>196.850394</t>
  </si>
  <si>
    <t>413.385827</t>
  </si>
  <si>
    <t>511.811024</t>
  </si>
  <si>
    <t>472.440945</t>
  </si>
  <si>
    <t>1456.69291</t>
  </si>
  <si>
    <t>177.165354</t>
  </si>
  <si>
    <t>314.96063</t>
  </si>
  <si>
    <t>98.4251969</t>
  </si>
  <si>
    <t>Crop Yield</t>
  </si>
  <si>
    <t>Alleycropping (N fixing)</t>
  </si>
  <si>
    <t>Land Equivalent Ratio</t>
  </si>
  <si>
    <t>Gross Margin</t>
  </si>
  <si>
    <t>Unspecified</t>
  </si>
  <si>
    <t>Rotation (N fixing)</t>
  </si>
  <si>
    <t>Rotation (Non N fixing)</t>
  </si>
  <si>
    <t>Intercropping</t>
  </si>
  <si>
    <t>Relay Intercropping (N fixing)</t>
  </si>
  <si>
    <t>Monoculture</t>
  </si>
  <si>
    <t>Inorganic Fertilizer</t>
  </si>
  <si>
    <t>Manure</t>
  </si>
  <si>
    <t>No fertilizers added</t>
  </si>
  <si>
    <t>No or Zero Tillage</t>
  </si>
  <si>
    <t>Mulch (Non N fixing)</t>
  </si>
  <si>
    <t>Conventional Tillage</t>
  </si>
  <si>
    <t>Maize</t>
  </si>
  <si>
    <t>Maize Grain</t>
  </si>
  <si>
    <t>Groundnut</t>
  </si>
  <si>
    <t>Soybean</t>
  </si>
  <si>
    <t>Sesbania sesban</t>
  </si>
  <si>
    <t>Mucuna pruriens</t>
  </si>
  <si>
    <t>Mucuna pruriens Dried</t>
  </si>
  <si>
    <t>study_id</t>
  </si>
  <si>
    <t>study_id_ss</t>
  </si>
  <si>
    <t>effect_size_id</t>
  </si>
  <si>
    <t>effect_size_id_ss</t>
  </si>
  <si>
    <t>outcome_raw</t>
  </si>
  <si>
    <t>suboutcome_raw</t>
  </si>
  <si>
    <t>suboutcome_unit</t>
  </si>
  <si>
    <t>suboutcome_description_raw</t>
  </si>
  <si>
    <t>practice_raw</t>
  </si>
  <si>
    <t>subpractice_raw</t>
  </si>
  <si>
    <t>subpractice_description_raw</t>
  </si>
  <si>
    <t>crop01</t>
  </si>
  <si>
    <t>crop_variety01</t>
  </si>
  <si>
    <t>crop_density_unit01</t>
  </si>
  <si>
    <t>crop_density01</t>
  </si>
  <si>
    <t>tree01</t>
  </si>
  <si>
    <t>tree_density_unit01</t>
  </si>
  <si>
    <t>tree_density01</t>
  </si>
  <si>
    <t>site_type01</t>
  </si>
  <si>
    <t>site_id01</t>
  </si>
  <si>
    <t>site_admin01</t>
  </si>
  <si>
    <t>site_latitude01</t>
  </si>
  <si>
    <t>site_longitude01</t>
  </si>
  <si>
    <t>site_buffer01</t>
  </si>
  <si>
    <t>crop02</t>
  </si>
  <si>
    <t>crop_variety02</t>
  </si>
  <si>
    <t>crop_density_unit02</t>
  </si>
  <si>
    <t>crop_density02</t>
  </si>
  <si>
    <t>crop03</t>
  </si>
  <si>
    <t>crop_variety03</t>
  </si>
  <si>
    <t>crop_density_unit03</t>
  </si>
  <si>
    <t>crop_density03</t>
  </si>
  <si>
    <t>fert_inorganic_category</t>
  </si>
  <si>
    <t>fert_inorganic_type</t>
  </si>
  <si>
    <t>fert_inorganicN</t>
  </si>
  <si>
    <t>fert_inorganicP</t>
  </si>
  <si>
    <t>fert_inorganicK</t>
  </si>
  <si>
    <t>fert_inorganicP2O5</t>
  </si>
  <si>
    <t>fert_inorganicK2O</t>
  </si>
  <si>
    <t>fert_organic_category</t>
  </si>
  <si>
    <t>fert_organic_type</t>
  </si>
  <si>
    <t>fert_organic_unit</t>
  </si>
  <si>
    <t>fert_organicN</t>
  </si>
  <si>
    <t>fert_organicP</t>
  </si>
  <si>
    <t>fert_organicK</t>
  </si>
  <si>
    <t>outcome</t>
  </si>
  <si>
    <t>Field size in hectares</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</si>
  <si>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</si>
  <si>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t>
  </si>
  <si>
    <t>The location in the paper where the data can be found. This should be three letters (fig, tab, or txt) in lowercase and a number (for figures and tables) to signify figure, table or text, respectively.</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</si>
  <si>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</si>
  <si>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</si>
  <si>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</si>
  <si>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</si>
  <si>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</si>
  <si>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</si>
  <si>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</si>
  <si>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</si>
  <si>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</si>
  <si>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Outcome name/description as reported in the primary study or in the systematic synthesis dataset. Record enough detail to uniquely identify what was measured (e.g., “maize yield”, “net farm income”, “soil organic carbon”).</t>
  </si>
  <si>
    <t>For biodiversity outcomes, specify whether the taxa were assessed above or below ground</t>
  </si>
  <si>
    <t>For biodiversity outcomes, specify the functional group related to taxa assessed, if specified in the article</t>
  </si>
  <si>
    <t>product_raw</t>
  </si>
  <si>
    <t>product/taxa of outcome</t>
  </si>
  <si>
    <t>Experimental design information, such as plot size, layout and notes on historical management. A plan specification that states how treatments are allocated to the experimental units during an agronomic trial. It refers to the conceptual framework within which the experiment is conducted. Source: AGRO</t>
  </si>
  <si>
    <t>Name of the postharvesting subpractice</t>
  </si>
  <si>
    <t>postharv_subpractice1:4</t>
  </si>
  <si>
    <t>postharvesting: practice</t>
  </si>
  <si>
    <t>Complete with an easy to recognize name for the practice, you will use this name to reference it when building treatments later in the extraction process. Avoid using special characters.</t>
  </si>
  <si>
    <t>postharv_subpractice_raw</t>
  </si>
  <si>
    <t>Name the harvest subpractice</t>
  </si>
  <si>
    <t>harvest_subpractice</t>
  </si>
  <si>
    <t>harvest: practice</t>
  </si>
  <si>
    <t>harvest_subpractice_raw</t>
  </si>
  <si>
    <t>Name of the water harvesting subpractice</t>
  </si>
  <si>
    <t>watharv_subpractice01:04</t>
  </si>
  <si>
    <t>water harvesting: practice</t>
  </si>
  <si>
    <t>watharv_subpractice_raw</t>
  </si>
  <si>
    <t>Type of Water Applied</t>
  </si>
  <si>
    <t>irrig_water_type</t>
  </si>
  <si>
    <t>irrigation: moderator</t>
  </si>
  <si>
    <t>Amount of Water Applied</t>
  </si>
  <si>
    <t>irrig_water_amount</t>
  </si>
  <si>
    <t>Unit of Water Application</t>
  </si>
  <si>
    <t>irrig_water_unit</t>
  </si>
  <si>
    <t>Date End of the irrigation</t>
  </si>
  <si>
    <t>irrig_date_end</t>
  </si>
  <si>
    <t>Date Start of the irrigation</t>
  </si>
  <si>
    <t>irrig_date_start</t>
  </si>
  <si>
    <t>Name of the irrigation subpractice</t>
  </si>
  <si>
    <t>irrig_subpractice</t>
  </si>
  <si>
    <t>irrigation: practice</t>
  </si>
  <si>
    <t>irrig_subpractice_raw</t>
  </si>
  <si>
    <t>Amount Applied. Captures the total amount of pH-altering material applied</t>
  </si>
  <si>
    <t>ph_amount</t>
  </si>
  <si>
    <t>pH ammendment: moderator</t>
  </si>
  <si>
    <t>Unit of Application</t>
  </si>
  <si>
    <t>ph_amount_unit</t>
  </si>
  <si>
    <t>Material applied. Type of material applied to influence soil pH</t>
  </si>
  <si>
    <t>ph_material_applied</t>
  </si>
  <si>
    <t>pH ammendment: practice</t>
  </si>
  <si>
    <t>Name of the pH control subpractice</t>
  </si>
  <si>
    <t>ph_subpractice</t>
  </si>
  <si>
    <t>ph_subpractice_raw</t>
  </si>
  <si>
    <t>No</t>
  </si>
  <si>
    <t>Amount of material applied in the study</t>
  </si>
  <si>
    <t>residues_material_amount</t>
  </si>
  <si>
    <t>Mulches, residues, prunning: moderator</t>
  </si>
  <si>
    <t>residues_material_unit</t>
  </si>
  <si>
    <t>Source of Material. In-field: From inside the experimental field. On-farm: From outside the experimental field within the same landholding. Off-farm: From outside the farm</t>
  </si>
  <si>
    <t>residues_material_source</t>
  </si>
  <si>
    <t>Describes the type of processing applied to the material before application</t>
  </si>
  <si>
    <t>residues_processing</t>
  </si>
  <si>
    <t>Mulch Material Applied. Choose from the list or add a new material if the list does not contain a suitable match. Please specifiy the type of any new materials add in the column to the left. You do not need to enter any details about mulched crop residues here.</t>
  </si>
  <si>
    <t>residues_material</t>
  </si>
  <si>
    <t>Tree (plant species). Only required if a material comes from a tree or shrub</t>
  </si>
  <si>
    <t>residues_tree</t>
  </si>
  <si>
    <t>Indicates the total amount of elemental potassium (K) from non-composted organic materials</t>
  </si>
  <si>
    <t>residues_K</t>
  </si>
  <si>
    <t>Specifies the total amount of elemental phosphorus (P) from non-composted organic materials</t>
  </si>
  <si>
    <t>residues_P</t>
  </si>
  <si>
    <t>Represents the total amount of elemental nitrogen (N) added from non-composted organic materials</t>
  </si>
  <si>
    <t>residues_N</t>
  </si>
  <si>
    <t>The unit of measurement for total organic NPK numbers.</t>
  </si>
  <si>
    <t>residues_unit</t>
  </si>
  <si>
    <t>Name of the residues management practice</t>
  </si>
  <si>
    <t>residues_subpractice01:04</t>
  </si>
  <si>
    <t>Mulches, residues, prunning: practice</t>
  </si>
  <si>
    <t>residues_subpractice_raw</t>
  </si>
  <si>
    <t>Chemical amount applied</t>
  </si>
  <si>
    <t>chemical management: moderator</t>
  </si>
  <si>
    <t>unit of measurement for the active ingredient in the chemical application</t>
  </si>
  <si>
    <t>Please use active ingredient name over trade-name of product, unless the  product contains multiple active ingredients then it is acceptible to use the product name.</t>
  </si>
  <si>
    <t>Category of the chemical</t>
  </si>
  <si>
    <t>chemical management: practice</t>
  </si>
  <si>
    <t>Complete with an easy to recognize name for the chemical practice, you will use this name to reference it when building treatments later in the extraction process. Avoid using special characters.</t>
  </si>
  <si>
    <t>chem_subpractice_raw</t>
  </si>
  <si>
    <t>Frequency of the weeding practice</t>
  </si>
  <si>
    <t>weed_frequency</t>
  </si>
  <si>
    <t>weeding management: moderator. This section is for physical weeding only, herbicides application should be noted under the chemicals columns.</t>
  </si>
  <si>
    <t>Weeding frequency time unit</t>
  </si>
  <si>
    <t>weed_frequency_unit</t>
  </si>
  <si>
    <t>Name the physical weeding method. If only chemical weed control method was applied, select Chemical weed control and complete the details of the chemical in chemical management section</t>
  </si>
  <si>
    <t>weed_subpractice</t>
  </si>
  <si>
    <t>weeding management: practice. This section is for physical weeding only, herbicides application should be noted under the chemicals columns.</t>
  </si>
  <si>
    <t>Complete with an easy to recognize name for the weeding practice, you will use this name to reference it when building treatments later in the extraction process. Avoid using special characters.</t>
  </si>
  <si>
    <t>weed_subpractice_raw</t>
  </si>
  <si>
    <t>Fertilizer source. Only required for organic materials like compost, manure or residues.</t>
  </si>
  <si>
    <t>fert_organic_source</t>
  </si>
  <si>
    <t>nutrient management: moderator</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</si>
  <si>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</si>
  <si>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</si>
  <si>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</si>
  <si>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</si>
  <si>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fert_organic_amount</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</si>
  <si>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</si>
  <si>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</si>
  <si>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</si>
  <si>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</si>
  <si>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</si>
  <si>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</si>
  <si>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applied from inorganic sources (e.g., urea or DAP).</t>
  </si>
  <si>
    <t>Total elemental nitrogen, phosphorus, and potassium applied from inorganic sources (e.g., urea or DAP).</t>
  </si>
  <si>
    <t>fert_inorganic_applied</t>
  </si>
  <si>
    <t>The unit of measurement for total inorganic NPK numbers.</t>
  </si>
  <si>
    <t>fert_inorganic_applied_unit</t>
  </si>
  <si>
    <t>Name of the inorganic fertilizer</t>
  </si>
  <si>
    <t>Category of inorganic fertilizer</t>
  </si>
  <si>
    <t>Name of the nutrient management subpractice</t>
  </si>
  <si>
    <t>fert_subpractice</t>
  </si>
  <si>
    <t>nutrient management: practice</t>
  </si>
  <si>
    <t>Complete with an easy to recognize name for the fertilizer practice, you will use this name to reference it when building treatments later in the extraction process. Avoid using special characters.</t>
  </si>
  <si>
    <t>fert_subpractice_raw</t>
  </si>
  <si>
    <t>DHB max</t>
  </si>
  <si>
    <t>DHB min</t>
  </si>
  <si>
    <t>DHB mean</t>
  </si>
  <si>
    <t>Canopy height  max if height is provided by ranges. Ex. If height is 50-70, complete with 70</t>
  </si>
  <si>
    <t>agrof_canopy_height_maz</t>
  </si>
  <si>
    <t>agroforestry: moderator</t>
  </si>
  <si>
    <t>Canopy height  min if height is provided by ranges. Ex. If height is 50-70, complete with 50</t>
  </si>
  <si>
    <t>agrof_canopy_height_min</t>
  </si>
  <si>
    <t>Canopy height mean if height is provided as mean. Ex. If height is 15 meters, complete with 15</t>
  </si>
  <si>
    <t>agrof_canopy_height_mean</t>
  </si>
  <si>
    <t>Shade max if shade is provided by ranges. Ex. If shade is 50-70, complete with 70</t>
  </si>
  <si>
    <t>agrof_shade_max</t>
  </si>
  <si>
    <t>Shade min if shade is provided by ranges. Ex. If shade is 50-70, complete with 50</t>
  </si>
  <si>
    <t>agrof_shade_min</t>
  </si>
  <si>
    <t>Shade mean if shade is provided as mean. Ex. If shade is 52%, complete with 52</t>
  </si>
  <si>
    <t>agrof_shade_mean</t>
  </si>
  <si>
    <r>
      <t xml:space="preserve">Name of the agroforestry practice. This dimension captures </t>
    </r>
    <r>
      <rPr>
        <sz val="11"/>
        <color theme="1"/>
        <rFont val="Aptos Narrow"/>
        <family val="2"/>
        <scheme val="minor"/>
      </rPr>
      <t>whether trees are part of a rotation.</t>
    </r>
  </si>
  <si>
    <t>agrof_temporal_subpractice</t>
  </si>
  <si>
    <t>agroforestry: practice</t>
  </si>
  <si>
    <t>Name of the agroforestry practice. This dimension captures what components are combined and their ecological complexity.</t>
  </si>
  <si>
    <t>agrof_components_subpractice</t>
  </si>
  <si>
    <t>Name of the agroforestry practice. This dimension describes how trees are arranged in space</t>
  </si>
  <si>
    <t>agrof_spatial_arrangement_subpractice</t>
  </si>
  <si>
    <t>Choose a easy to recognize name for the practice, you will use this name to reference it when building treatments later in the extraction process. Avoid using special characters.</t>
  </si>
  <si>
    <t>agro_subpractice_raw</t>
  </si>
  <si>
    <t>Fate of crop residues from the previous season</t>
  </si>
  <si>
    <t>crop sequence (crop rotation, fallow, green manure): moderator</t>
  </si>
  <si>
    <t>crop_seq_start_season</t>
  </si>
  <si>
    <t>crop_seq_start_year</t>
  </si>
  <si>
    <t xml:space="preserve">Name of the crop sequence subpractice (crop rotation type, fallow type, green manure or cover crop type, </t>
  </si>
  <si>
    <t>crop sequence (crop rotation, fallow, green manure): practice</t>
  </si>
  <si>
    <t>Complete with an easy to recognize name for the intercropping practice, you will use this name to reference it when building treatments later in the extraction process. Avoid using special characters.</t>
  </si>
  <si>
    <t>crop_seq_subpractice_raw</t>
  </si>
  <si>
    <t>intercropping: moderator</t>
  </si>
  <si>
    <t>intercrop_start_season</t>
  </si>
  <si>
    <t>intercrop_start_year</t>
  </si>
  <si>
    <t>Name of the intercropping subpractice</t>
  </si>
  <si>
    <t>intercropping: practice</t>
  </si>
  <si>
    <t>intercrop_subpractice_raw</t>
  </si>
  <si>
    <t xml:space="preserve">Crop trait. Enter any specific info of the variety </t>
  </si>
  <si>
    <t>crop_variety_trait01:03</t>
  </si>
  <si>
    <t>improved varieties: practice</t>
  </si>
  <si>
    <t>Type of plant variety or similar. Is it a local variety?</t>
  </si>
  <si>
    <t>crop_variety_type</t>
  </si>
  <si>
    <t>Is it an improved, Hybrid or unimproved variety ?</t>
  </si>
  <si>
    <t>crop_variety_subpractice</t>
  </si>
  <si>
    <t>Variety, cultivar of the crop</t>
  </si>
  <si>
    <t>crop_variety</t>
  </si>
  <si>
    <t>Name of the crop</t>
  </si>
  <si>
    <t>crop_name</t>
  </si>
  <si>
    <t>planting: moderator</t>
  </si>
  <si>
    <t>Planting Method</t>
  </si>
  <si>
    <t>planting_method</t>
  </si>
  <si>
    <t>Name of the planting subpractice</t>
  </si>
  <si>
    <t>planting_subpractice</t>
  </si>
  <si>
    <t>planting: practice</t>
  </si>
  <si>
    <t>Complete with an easy to recognize name for the planting method, you will use this name to reference it when building treatments later in the extraction process. Avoid using special characters.</t>
  </si>
  <si>
    <t>planting_subpractice_raw</t>
  </si>
  <si>
    <t xml:space="preserve">How many times was the land tilled during one experimental season </t>
  </si>
  <si>
    <t>tillage_frequency</t>
  </si>
  <si>
    <t>soil management: moderator</t>
  </si>
  <si>
    <t>Tillage Depth (cm). The depth at which a soil is ploughed or tilled. Source: AGROVOC</t>
  </si>
  <si>
    <t>tillage_depth</t>
  </si>
  <si>
    <t>Other Soil Prep Methods</t>
  </si>
  <si>
    <t>tillage_method_other</t>
  </si>
  <si>
    <t>Tillage method or implement</t>
  </si>
  <si>
    <t>tillage_method</t>
  </si>
  <si>
    <t>Name of the tillage practice</t>
  </si>
  <si>
    <t>tillage_subpractice</t>
  </si>
  <si>
    <t>soil management: practice</t>
  </si>
  <si>
    <t>Complete with an easy to recognize name for the tillage practice, you will use this name to reference it when building treatments later in the extraction process. Avoid using special characters.</t>
  </si>
  <si>
    <t>tillage_subpractice_raw</t>
  </si>
  <si>
    <t>practice</t>
  </si>
  <si>
    <t>Numerical value of tree planting density corresponding to the selected tree and density unit.</t>
  </si>
  <si>
    <t>commodity: trees</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</si>
  <si>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</si>
  <si>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</si>
  <si>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Use a dash (-) for intercrops and forward slash (/) for rotation. So we can know the arrangement of crops in the plot</t>
  </si>
  <si>
    <t>commodity_crop</t>
  </si>
  <si>
    <t>Numerical value of crop planting density corresponding to the selected crop and density unit.</t>
  </si>
  <si>
    <t>Commercial or local name of the crop variety associated with the selected crop (e.g., Katumani, G2333, Maasai Red). Do not include the crop species name in this field.</t>
  </si>
  <si>
    <t>Name of crop species including in the practice, first letter of name capitilized and the rest lowercase. Use common names of species. See crop lists in 01_crops$crop_names in 01_FOMD_ontologoies file.</t>
  </si>
  <si>
    <t>Season as stated by the author</t>
  </si>
  <si>
    <t>time_season</t>
  </si>
  <si>
    <t>experiment time</t>
  </si>
  <si>
    <t>time_year_end</t>
  </si>
  <si>
    <t xml:space="preserve">Year when the experiment started. Year Start as stated by the author </t>
  </si>
  <si>
    <t>time_year_start</t>
  </si>
  <si>
    <t>Complete with the specific time period name the study provide</t>
  </si>
  <si>
    <t>time_raw</t>
  </si>
  <si>
    <t>experiment details</t>
  </si>
  <si>
    <t>exp_plot_size</t>
  </si>
  <si>
    <t>A plan specification that states how treatments are allocated to the experimental units during an agronomic trial. It refers to the conceptual framework within which the experiment is conducted. Source: AGRO</t>
  </si>
  <si>
    <t>exp_design</t>
  </si>
  <si>
    <t>Manual estimation (e.g. from measuring on google earth) in m of the spatial uncertainty for a point location. The site should within an X m radius (the buffer.manual amount) of the point location specified. Unit is meters</t>
  </si>
  <si>
    <t>location</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</si>
  <si>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</si>
  <si>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</si>
  <si>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</si>
  <si>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</si>
  <si>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Standardised name of the specific study site</t>
  </si>
  <si>
    <t>Type of research setting in which the data were generated (e.g., experimental, observational, survey-based).</t>
  </si>
  <si>
    <t>Country where the study site is located</t>
  </si>
  <si>
    <t>Unique identifier assigned to the effect size.</t>
  </si>
  <si>
    <t>id</t>
  </si>
  <si>
    <t>Unique identifier assigned to each study</t>
  </si>
  <si>
    <t>Unique identifier assigned to the effect size by the original systematic synthesis.</t>
  </si>
  <si>
    <t>Unique identifier assigned to the study by the original systematic synthesis.</t>
  </si>
  <si>
    <t xml:space="preserve">Year when the experiment stopped. Year End as stated by the author </t>
  </si>
  <si>
    <t>Unit of measurement for the outcome (please use SI units)</t>
  </si>
  <si>
    <t>Soil outcome depths (cm) lower. Lower depth of measurement (cm) for soil outcomes</t>
  </si>
  <si>
    <t>Soil outcome depths (cm) upper. Upper depth of measurement (cm) for soil outcomes</t>
  </si>
  <si>
    <t>Economic Discount Rate (%). Typically associated with calculations of Net Present Value (NPV).</t>
  </si>
  <si>
    <t>Economic Period (Years). Use with Net Present Value (NPV) outcome or similar only.</t>
  </si>
  <si>
    <t>taxa details, output from economic indictors</t>
  </si>
  <si>
    <t>Statistics if outcome temporally aggregatted</t>
  </si>
  <si>
    <t>out_agg_stat</t>
  </si>
  <si>
    <t>out_soil_depth_l</t>
  </si>
  <si>
    <t>out_npv_discount_rate</t>
  </si>
  <si>
    <t>out_npv_econ_period</t>
  </si>
  <si>
    <t>out_wg_start_unit</t>
  </si>
  <si>
    <t>out_wg_start</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</si>
  <si>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</si>
  <si>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</si>
  <si>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Duration (Days). Use with Weight Gain subindicator.</t>
  </si>
  <si>
    <t>out_wg_days</t>
  </si>
  <si>
    <t>outcome value</t>
  </si>
  <si>
    <t>Inputs (e.g., fertilizer, fertilizer application, pesticide, seeds, labor, etc.) included in the financial outcome calculation</t>
  </si>
  <si>
    <t>out_econ_inputs</t>
  </si>
  <si>
    <t xml:space="preserve">Number of independent sampling units on which the sub-outcome estimate is based for this specific practice. </t>
  </si>
  <si>
    <t>biod_func_group</t>
  </si>
  <si>
    <t>if it is biodiversity put functional group related to the taxa assessed (if specified in the article)</t>
  </si>
  <si>
    <t>out_bio_ground_ref</t>
  </si>
  <si>
    <t>planting_date_start</t>
  </si>
  <si>
    <t>planting_date_end</t>
  </si>
  <si>
    <t>(Storage Date Start for Postharvest)</t>
  </si>
  <si>
    <t>(Storage Date End for Postharvest)</t>
  </si>
  <si>
    <t>postharvesting: moderator</t>
  </si>
  <si>
    <t>harvest_date_start</t>
  </si>
  <si>
    <t>harvest_date_end</t>
  </si>
  <si>
    <t>Harvest Date Start (dd/mm/yy)</t>
  </si>
  <si>
    <t>Harvest Date End (dd/mm/yy)</t>
  </si>
  <si>
    <t>(Days after Storage for Postharvest)</t>
  </si>
  <si>
    <t>Harvest Days After Planting</t>
  </si>
  <si>
    <t>harvest_days_after_planting</t>
  </si>
  <si>
    <t>harvest: moderator</t>
  </si>
  <si>
    <t>postharv_date_start</t>
  </si>
  <si>
    <t>postharv_date_end</t>
  </si>
  <si>
    <t>postharv_days_after_postharv</t>
  </si>
  <si>
    <t>out_value_metric</t>
  </si>
  <si>
    <t>out_value</t>
  </si>
  <si>
    <t>out_variance_metric</t>
  </si>
  <si>
    <t>out_variance_value</t>
  </si>
  <si>
    <t>outc_variance_value_l</t>
  </si>
  <si>
    <t>outc_variance_value_u</t>
  </si>
  <si>
    <t>outc_sample_size</t>
  </si>
  <si>
    <t>exp_field_size</t>
  </si>
  <si>
    <t>Farmer Managed</t>
  </si>
  <si>
    <t>Unespecified</t>
  </si>
  <si>
    <t>site_latlong_type01</t>
  </si>
  <si>
    <t>site_agg</t>
  </si>
  <si>
    <t>crop_arrangement01</t>
  </si>
  <si>
    <t>crop_arrangement02</t>
  </si>
  <si>
    <t>JA_Mutsa_20_Forag_NJ</t>
  </si>
  <si>
    <t>Murehwa</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</si>
  <si>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</si>
  <si>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Original</t>
  </si>
  <si>
    <t>District</t>
  </si>
  <si>
    <t>2014/15 season</t>
  </si>
  <si>
    <t>Cowpea</t>
  </si>
  <si>
    <t>Velvet Bean, Mucuna</t>
  </si>
  <si>
    <t>/</t>
  </si>
  <si>
    <t>crop_arrangement03</t>
  </si>
  <si>
    <t xml:space="preserve">conservation agriculture (CA): Conservation agriculture (CA) which is premised on three main principles namely minimal soil disturbance, crop rotations and mulching is being promoted as a potential solution to declining soil productivity. </t>
  </si>
  <si>
    <t>An animal drawn Fitarelli direct seeder (Brazilian made) was used  for opening planting furrows</t>
  </si>
  <si>
    <t>Direct-seeding Planter</t>
  </si>
  <si>
    <t>conventional mouldboard tillage (CT): ox-drawn mouldboard plough</t>
  </si>
  <si>
    <t>Ox-drawn Mouldboard Plough</t>
  </si>
  <si>
    <t>Planting Date Start (dd/mm/yy)</t>
  </si>
  <si>
    <t>Planting Date End (dd/mm/yy)</t>
  </si>
  <si>
    <t>intercrop_residues_fate</t>
  </si>
  <si>
    <t>Maize monoculture</t>
  </si>
  <si>
    <t>intercrop_subpractice</t>
  </si>
  <si>
    <t>Mucuna were relayed in between maize rows</t>
  </si>
  <si>
    <t>cowpeas were relayed in between maize rows</t>
  </si>
  <si>
    <t>Groundnut or Peanut</t>
  </si>
  <si>
    <t>crop_seq_residues_fate</t>
  </si>
  <si>
    <t>agrof_dhb_mean</t>
  </si>
  <si>
    <t>agrof_dhb_min</t>
  </si>
  <si>
    <t>agrof_dhb_max</t>
  </si>
  <si>
    <t xml:space="preserve">basal fertiliser (compound D) </t>
  </si>
  <si>
    <t>basal fertiliser (compound D). Soybean seed was inoculated with rhizobia just before planting.</t>
  </si>
  <si>
    <t>plants/ha</t>
  </si>
  <si>
    <t>Removed</t>
  </si>
  <si>
    <t>Direct-seeding Planter…Hand hoes</t>
  </si>
  <si>
    <t>Hypharennia grass was applied as mulch at 2.5 t ha-1 in CA treatments at the beginning of each rainy season.</t>
  </si>
  <si>
    <t>No-mulch</t>
  </si>
  <si>
    <t>t/ha</t>
  </si>
  <si>
    <t>Hyparrhenia Grass Species</t>
  </si>
  <si>
    <t>i CT + sole maize continuous (F only)</t>
  </si>
  <si>
    <t>ii CA + sole maize continuous (F only)</t>
  </si>
  <si>
    <t>iii CA + maize + cowpea intercropping (F only)</t>
  </si>
  <si>
    <t>iv CA + maize + mucuna intercropping (F only)</t>
  </si>
  <si>
    <t>v CA + maize + soybean/groundnut rotation (maize phase)  (F only)</t>
  </si>
  <si>
    <t>vi CA + soybean/groundnut + maize rotation (legume phase)  (F only)</t>
  </si>
  <si>
    <t>i CT + sole maize continuous (F + M)</t>
  </si>
  <si>
    <t>ii CA + sole maize continuous (F + M)</t>
  </si>
  <si>
    <t>iii CA + maize + cowpea intercropping (F + M)</t>
  </si>
  <si>
    <t>iv CA + maize + mucuna intercropping (F + M)</t>
  </si>
  <si>
    <t>v CA + maize + soybean/groundnut rotation (maize phase) (F + M)</t>
  </si>
  <si>
    <t>vi CA + soybean/groundnut + maize rotation (legume phase) (F + M)</t>
  </si>
  <si>
    <t>No-manure</t>
  </si>
  <si>
    <t>Cattle Manure</t>
  </si>
  <si>
    <t>% of Total</t>
  </si>
  <si>
    <t>fert_organicNPK_unit</t>
  </si>
  <si>
    <t>Off-farm (unknown)</t>
  </si>
  <si>
    <t>Inorganic</t>
  </si>
  <si>
    <t>kg/ha</t>
  </si>
  <si>
    <t>Compound D…Ammonium Nitrate</t>
  </si>
  <si>
    <t>240…200</t>
  </si>
  <si>
    <t>fert_inorganicNPK_unit</t>
  </si>
  <si>
    <t>In CT treatment, all weeding operations were done manually using a hand hoe.</t>
  </si>
  <si>
    <t>Hand Hoe</t>
  </si>
  <si>
    <t>Glyphosate (480 g l-1 active ingredient) at 2.5 l ha-1 soon after planting and there-after weeding was done manually using hand hoes.</t>
  </si>
  <si>
    <t>No Glyphosate added</t>
  </si>
  <si>
    <t>chem_subpractice01</t>
  </si>
  <si>
    <t>chem_name01</t>
  </si>
  <si>
    <t>chem_unit01</t>
  </si>
  <si>
    <t>chem_amount01</t>
  </si>
  <si>
    <t>No herbicide added</t>
  </si>
  <si>
    <t>Herbicide</t>
  </si>
  <si>
    <t>glyphosate</t>
  </si>
  <si>
    <t>l/ha</t>
  </si>
  <si>
    <t>crop_seq_subpractice01</t>
  </si>
  <si>
    <t>crop_seq_subpractice02</t>
  </si>
  <si>
    <t>crop_seq_subpractice03</t>
  </si>
  <si>
    <t>out_exp_design</t>
  </si>
  <si>
    <t>out_exp_plot_size</t>
  </si>
  <si>
    <t>outcome experimental design</t>
  </si>
  <si>
    <t>Size of Harvested Plot (m2). The area of an treatment plot harvested to estimate crop yields (or other outcomes if crop yield was not the primary focus of the experiment). Size (in square meters) of the smallest experimental plot unit corresponding to the extracted outcome value. If plot dimensions are reported (e.g., 6 m × 4 m), calculate and record the area in m² (e.g., 24).</t>
  </si>
  <si>
    <t>product_component02</t>
  </si>
  <si>
    <t>product01</t>
  </si>
  <si>
    <t>product_component01</t>
  </si>
  <si>
    <t>product02</t>
  </si>
  <si>
    <t>product_component03</t>
  </si>
  <si>
    <t>product_component04</t>
  </si>
  <si>
    <t>product03</t>
  </si>
  <si>
    <t>Maize Stover</t>
  </si>
  <si>
    <t>Forage yield (kg/ha)= maize stover; Maize grain yield</t>
  </si>
  <si>
    <t>Forage yield, intercropping (kg/ha)= maize stover + legume stover; Maize grain yield</t>
  </si>
  <si>
    <t>Cowpea Dried</t>
  </si>
  <si>
    <t>Land Equivalent Ratio (LER)</t>
  </si>
  <si>
    <t>CODE</t>
  </si>
  <si>
    <t>C1</t>
  </si>
  <si>
    <t>C2</t>
  </si>
  <si>
    <t>T1</t>
  </si>
  <si>
    <t>T2</t>
  </si>
  <si>
    <t>T3</t>
  </si>
  <si>
    <t>T4</t>
  </si>
  <si>
    <t>C3</t>
  </si>
  <si>
    <t>C4</t>
  </si>
  <si>
    <t>T5</t>
  </si>
  <si>
    <t>T6</t>
  </si>
  <si>
    <t>T7</t>
  </si>
  <si>
    <t>T8</t>
  </si>
  <si>
    <t>Unitless</t>
  </si>
  <si>
    <t>out_soil_depth_u</t>
  </si>
  <si>
    <t>CONTROL</t>
  </si>
  <si>
    <t>Yes</t>
  </si>
  <si>
    <t>out_comparison_treatment</t>
  </si>
  <si>
    <t>Comparison Treatment (e.g. for LER or fertilizer use efficiency outcomes)</t>
  </si>
  <si>
    <t>2012/13-2014/15 no manure</t>
  </si>
  <si>
    <t>2014-15 with manure</t>
  </si>
  <si>
    <t>LER =Yi/Yii Where Yi is the maize grain or maize biomass yield from either maize-mucuna or maize-cowpea intercrop under CA and Yii is the maize grain or maize biomass yields from the continuous CA sole maize crop.</t>
  </si>
  <si>
    <t>Tab 4</t>
  </si>
  <si>
    <t>T1…T2</t>
  </si>
  <si>
    <t>T5…T6</t>
  </si>
  <si>
    <t>The size of a treatment plot in the experiment, if variable use the mean value or mid-point of the size range.</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</si>
  <si>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</si>
  <si>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Crop rotation</t>
  </si>
  <si>
    <t>chem_amount02</t>
  </si>
  <si>
    <t>chem_amount03</t>
  </si>
  <si>
    <t>chem_subpractice02</t>
  </si>
  <si>
    <t>chem_name02</t>
  </si>
  <si>
    <t>chem_unit02</t>
  </si>
  <si>
    <t>Rhizobium leguminosarium</t>
  </si>
  <si>
    <t>Gross margin/ha (USD)</t>
  </si>
  <si>
    <t>Mean</t>
  </si>
  <si>
    <t>SE (Standard Error)</t>
  </si>
  <si>
    <t>Fig 3b</t>
  </si>
  <si>
    <t>C2…T1…T2…T3…T4</t>
  </si>
  <si>
    <t>T1…T2…T3…T4</t>
  </si>
  <si>
    <t>C4…T5…T6…T7…T8</t>
  </si>
  <si>
    <t>T5…T6…T7…T8</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</si>
  <si>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</si>
  <si>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</si>
  <si>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</si>
  <si>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Soybean Dried</t>
  </si>
  <si>
    <t>product_component05</t>
  </si>
  <si>
    <t>product04</t>
  </si>
  <si>
    <t>product05</t>
  </si>
  <si>
    <t>Nitrogen ﬁxation</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</si>
  <si>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</si>
  <si>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</si>
  <si>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Inorganic Fertilizer…Organic Fertilizer...Seeds…Pesticides...Labor Cost…Organic Mulch…Herbicides</t>
  </si>
  <si>
    <t>Inorganic Fertilizer…Seeds…Pesticides...Labor Cost…Organic Mulch…Herbicides</t>
  </si>
  <si>
    <t>Compound D…Ammonium Nitrate…Gypsum</t>
  </si>
  <si>
    <t>240…200…Unspecified</t>
  </si>
  <si>
    <t>chem_subpractice03</t>
  </si>
  <si>
    <t>chem_name03</t>
  </si>
  <si>
    <t>chem_unit03</t>
  </si>
  <si>
    <t>carbaryl</t>
  </si>
  <si>
    <t>Inorganic Fertilizer…Seeds…Labor Cost…Herbicides</t>
  </si>
  <si>
    <t>Inorganic Fertilizer…Seeds…Labor Cost…Organic Mulch…Herbicides</t>
  </si>
  <si>
    <t>Inorganic Fertilizer…Organic Fertilizer...Seeds…Labor Cost…Herbicides</t>
  </si>
  <si>
    <t>Inorganic Fertilizer…Organic Fertilizer...Seeds…Labor Cost…Organic Mulch…Herbicides</t>
  </si>
  <si>
    <t>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t>
  </si>
  <si>
    <t>Labour costs (USD)</t>
  </si>
  <si>
    <t>Tab 3</t>
  </si>
  <si>
    <t>Total</t>
  </si>
  <si>
    <t>C6…T9…T10…T11…T12</t>
  </si>
  <si>
    <t>T9…T10…T11…T12</t>
  </si>
  <si>
    <t>Land Clearing...Tillage…Planting...Inorganic Fertilizer…Organic Fertilizer...Weeding...Harvesting...Threshing</t>
  </si>
  <si>
    <t>Land Clearing…Planting...Inorganic Fertilizer…Organic Mulch...Organic Fertilizer…Herbicides...Weeding...Harvesting...Threshing</t>
  </si>
  <si>
    <t>Land Clearing…Planting...Inorganic Fertilizer…Organic Mulch...Organic Fertilizer…Herbicides…Pesticides...Weeding...Harvesting...Threshing</t>
  </si>
  <si>
    <t>Land Clearing…Planting...Inorganic Fertilizer…Organic Mulch...Organic Fertilizer…Herbicides…Weeding...Harvesting...Threshing</t>
  </si>
  <si>
    <t>JA_Sjogr_10_Effec_Jo</t>
  </si>
  <si>
    <t>MD_Jones_21_A glo_Sc</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</si>
  <si>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</si>
  <si>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S6: 6 months tree growth with Sesbania fallow</t>
  </si>
  <si>
    <t>N6: 6 months natural regrowth of vegetation fallow without cultivation</t>
  </si>
  <si>
    <t>S18: 18 months tree growth with Sesbania fallow</t>
  </si>
  <si>
    <t>N18: 18 months natural regrowth of vegetation fallow without cultivation</t>
  </si>
  <si>
    <t>M: continuous maize cropping</t>
  </si>
  <si>
    <t>MF: continuous maize cropping associated with fertilizer  (60 kg P2O5 + 60 kg N/ha/season)</t>
  </si>
  <si>
    <t>Fallow</t>
  </si>
  <si>
    <t>Kenya Seed Company...H 511...</t>
  </si>
  <si>
    <t>LR</t>
  </si>
  <si>
    <t>Improved Fallow (N fixing) &gt;6months</t>
  </si>
  <si>
    <t>Improved Fallow (N fixing) &gt;1yr</t>
  </si>
  <si>
    <t>S6= six months tree growth with Sesbania fallow</t>
  </si>
  <si>
    <t>S18=18 months tree growth with Sesbania</t>
  </si>
  <si>
    <t>N6=six months natural re-growth of vegetation fallow without cultivation</t>
  </si>
  <si>
    <t>Natural Fallow &gt;6months</t>
  </si>
  <si>
    <t>N18=18 months natural re-growth of vegetation fallow without cultivation</t>
  </si>
  <si>
    <t>Natural Fallow &gt;1yr</t>
  </si>
  <si>
    <t>M=continuous maize cropping</t>
  </si>
  <si>
    <t>MF=continuous maize cropping with fertilizer (60 kg P2O5 + 60 kg N/ha) application</t>
  </si>
  <si>
    <t>SR</t>
  </si>
  <si>
    <t>MS6=Maize and Sesbania intercropped</t>
  </si>
  <si>
    <t>MS18=Maize and Sesbania intercropped</t>
  </si>
  <si>
    <t>Direct planting</t>
  </si>
  <si>
    <t>Monculture</t>
  </si>
  <si>
    <t>MF=continuous maize cropping with fertilizer (60 kg P2O5 + 60 kg N/ha)</t>
  </si>
  <si>
    <t>Inoculation - Seed</t>
  </si>
  <si>
    <t>Insecticide</t>
  </si>
  <si>
    <t>No Inoculation Added</t>
  </si>
  <si>
    <t>No Insecticide Added</t>
  </si>
  <si>
    <t>Number of Striga plants (x 1000 ha-1) during seven seasons</t>
  </si>
  <si>
    <r>
      <t>Striga hermonthica</t>
    </r>
    <r>
      <rPr>
        <sz val="11"/>
        <color theme="1"/>
        <rFont val="Aptos Narrow"/>
        <family val="2"/>
        <scheme val="minor"/>
      </rPr>
      <t xml:space="preserve"> (Delile) Benth.</t>
    </r>
  </si>
  <si>
    <t>Striga plants</t>
  </si>
  <si>
    <t>10^3 plants/ha</t>
  </si>
  <si>
    <t>Abundance</t>
  </si>
  <si>
    <t>Tab 1; Tab 3</t>
  </si>
  <si>
    <t>C1…T1…T2…T3…T4</t>
  </si>
  <si>
    <t>Improved fallow</t>
  </si>
  <si>
    <t>Natural fallow</t>
  </si>
  <si>
    <t>LR=long rains period (March-July), SR=short rains period (September-January)</t>
  </si>
  <si>
    <t>Ebukanga experimental site</t>
  </si>
  <si>
    <t>Researcher Managed &amp; On-farm</t>
  </si>
  <si>
    <t>1994 (LR, SR), 1995 (LR, SR), 1996 (LR, SR), 1997 (LR, SR), 1998 (SR)</t>
  </si>
  <si>
    <t>Pest</t>
  </si>
  <si>
    <t>Number of Striga hermonthica seeds (seeds kg-1 soil)</t>
  </si>
  <si>
    <t>exp_duration</t>
  </si>
  <si>
    <t>Length of time the experiment has been ongoing up to the date the data are being reported for in years. In bimodal rainfall systems with multiple growing seasons, seasons are identified by fractions of the year, 0.5, etc. If outcomes are reported in a unimodal rainfall system with one growing season per year, the duration can be equivalent to one year.</t>
  </si>
  <si>
    <t>out_year</t>
  </si>
  <si>
    <t>out_year_start</t>
  </si>
  <si>
    <t>out_year_end</t>
  </si>
  <si>
    <t>out_season_start</t>
  </si>
  <si>
    <t>out_season_end</t>
  </si>
  <si>
    <t>outcome year</t>
  </si>
  <si>
    <t>The calendar year the measurement was taken. Seasons in multi-season systems are identified by decimals ‘.1’ or ‘.2’ for the first and second season respectively. When the measurements are average values for more than one year create a decimal for the years covered.</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</si>
  <si>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</si>
  <si>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</si>
  <si>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</si>
  <si>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Striga seeds</t>
  </si>
  <si>
    <t>Tab 1; Tab 4 (1996 LR 0-15)</t>
  </si>
  <si>
    <t>Tab 1; Tab 4 (1996 SR 0-15)</t>
  </si>
  <si>
    <t>Tab 1; Tab 4 (1996 LR 15-30)</t>
  </si>
  <si>
    <t>Tab 1; Tab 4 (1996 SR 15-30)</t>
  </si>
  <si>
    <r>
      <t>4 replicates (blocks)</t>
    </r>
    <r>
      <rPr>
        <sz val="11"/>
        <color theme="1"/>
        <rFont val="Aptos Narrow"/>
        <family val="2"/>
        <scheme val="minor"/>
      </rPr>
      <t xml:space="preserve"> in a randomized complete block design</t>
    </r>
  </si>
  <si>
    <t>seeds/kg soil</t>
  </si>
  <si>
    <r>
      <t>4 replicates (blocks)</t>
    </r>
    <r>
      <rPr>
        <sz val="11"/>
        <color theme="1"/>
        <rFont val="Aptos Narrow"/>
        <family val="2"/>
        <scheme val="minor"/>
      </rPr>
      <t xml:space="preserve"> in a randomized complete block design</t>
    </r>
  </si>
  <si>
    <t>Maiz</t>
  </si>
  <si>
    <t xml:space="preserve">Yield of maize grain </t>
  </si>
  <si>
    <t>Tab 1; Fig3A (1996)</t>
  </si>
  <si>
    <t>Tab 1; Fig3A (1997)</t>
  </si>
  <si>
    <t>Tab 1; Fig3A (1998)</t>
  </si>
  <si>
    <t>Tab 1; Fig3B (1996)</t>
  </si>
  <si>
    <t>Tab 1; Fig3B (1997)</t>
  </si>
  <si>
    <t xml:space="preserve">Yield of maize core </t>
  </si>
  <si>
    <t>Maize Core</t>
  </si>
  <si>
    <t>Tab 1; Fig3C (1996)</t>
  </si>
  <si>
    <t>Tab 1; Fig3C (1997)</t>
  </si>
  <si>
    <t>Tab 1; Fig3C (1998)</t>
  </si>
  <si>
    <t>Tab 1; Fig3D (1996)</t>
  </si>
  <si>
    <t>Tab 1; Fig3D (1997)</t>
  </si>
  <si>
    <t>Maize Cob</t>
  </si>
  <si>
    <t xml:space="preserve">Yield of maize cob </t>
  </si>
  <si>
    <t>Tab 1; Fig3E (1996)</t>
  </si>
  <si>
    <t>Tab 1; Fig3E (1997)</t>
  </si>
  <si>
    <t>Tab 1; Fig3E (1998)</t>
  </si>
  <si>
    <t>Tab 1; Fig3F (1996)</t>
  </si>
  <si>
    <t>Tab 1; Fig3F (1997)</t>
  </si>
  <si>
    <t>Tab 1; Fig3H (1996)</t>
  </si>
  <si>
    <t>Tab 1; Fig3H (1997)</t>
  </si>
  <si>
    <t>Tab 1; Fig3G (1996)</t>
  </si>
  <si>
    <t>Tab 1; Fig3G (1997)</t>
  </si>
  <si>
    <t>Tab 1; Fig3G (1998)</t>
  </si>
  <si>
    <t xml:space="preserve">Yield of maize stover </t>
  </si>
  <si>
    <t>year 1 after fallow</t>
  </si>
  <si>
    <t>year 2 after fallow</t>
  </si>
  <si>
    <t>year 3 after fallow</t>
  </si>
  <si>
    <t>Reference to fallow</t>
  </si>
  <si>
    <t xml:space="preserve"> 5.704327697502654</t>
  </si>
  <si>
    <t xml:space="preserve"> 1.796513500936653</t>
  </si>
  <si>
    <t xml:space="preserve"> 4.494720137455404</t>
  </si>
  <si>
    <t xml:space="preserve"> 1.700867448603372</t>
  </si>
  <si>
    <t xml:space="preserve"> 1.6629956209953578</t>
  </si>
  <si>
    <t xml:space="preserve"> 2.4653915450607924</t>
  </si>
  <si>
    <t xml:space="preserve"> 3.347182283525635</t>
  </si>
  <si>
    <t xml:space="preserve"> 2.5275328425348107</t>
  </si>
  <si>
    <t xml:space="preserve"> 2.4696870264530055</t>
  </si>
  <si>
    <t xml:space="preserve"> 2.6271880108341588</t>
  </si>
  <si>
    <t xml:space="preserve"> 2.5893161832261447</t>
  </si>
  <si>
    <t xml:space="preserve"> 3.528523189633572</t>
  </si>
  <si>
    <t xml:space="preserve"> 1.557040413320764</t>
  </si>
  <si>
    <t xml:space="preserve"> 1.2452600556026203</t>
  </si>
  <si>
    <t xml:space="preserve"> 1.4026894486272354</t>
  </si>
  <si>
    <t xml:space="preserve"> 1.4820126716701072</t>
  </si>
  <si>
    <t xml:space="preserve"> 1.5611927119999036</t>
  </si>
  <si>
    <t xml:space="preserve"> 3.4189168227755964</t>
  </si>
  <si>
    <t xml:space="preserve"> 3.0095238095238077</t>
  </si>
  <si>
    <t xml:space="preserve"> 1.542857142857141</t>
  </si>
  <si>
    <t xml:space="preserve"> 1.9047619047619033</t>
  </si>
  <si>
    <t xml:space="preserve"> 1.3904761904761873</t>
  </si>
  <si>
    <t xml:space="preserve"> 1.1428571428571406</t>
  </si>
  <si>
    <t xml:space="preserve"> 1.0857142857142854</t>
  </si>
  <si>
    <t xml:space="preserve"> 0.8190476190476179</t>
  </si>
  <si>
    <t xml:space="preserve"> 0.7999999999999989</t>
  </si>
  <si>
    <t xml:space="preserve"> 0.9523809523809508</t>
  </si>
  <si>
    <t xml:space="preserve"> 0.9904761904761887</t>
  </si>
  <si>
    <t xml:space="preserve"> 1.523809523809522</t>
  </si>
  <si>
    <t xml:space="preserve"> 0.7811753784553097</t>
  </si>
  <si>
    <t xml:space="preserve"> 0.3275602704410605</t>
  </si>
  <si>
    <t xml:space="preserve"> 0.7207567428517104</t>
  </si>
  <si>
    <t xml:space="preserve"> 0.33921451299917793</t>
  </si>
  <si>
    <t xml:space="preserve"> 0.29403475022229175</t>
  </si>
  <si>
    <t xml:space="preserve"> 0.4590563642565947</t>
  </si>
  <si>
    <t xml:space="preserve"> 0.6087943674889135</t>
  </si>
  <si>
    <t xml:space="preserve"> 0.4252736006800173</t>
  </si>
  <si>
    <t xml:space="preserve"> 0.4671707145213876</t>
  </si>
  <si>
    <t xml:space="preserve"> 0.46998361471655703</t>
  </si>
  <si>
    <t xml:space="preserve"> 0.6289879710768991</t>
  </si>
  <si>
    <t xml:space="preserve"> 0.2832584904288694</t>
  </si>
  <si>
    <t xml:space="preserve"> 0.22001577013628304</t>
  </si>
  <si>
    <t xml:space="preserve"> 0.2378550377756279</t>
  </si>
  <si>
    <t xml:space="preserve"> 0.23770963935599687</t>
  </si>
  <si>
    <t xml:space="preserve"> 0.30059445584641453</t>
  </si>
  <si>
    <t xml:space="preserve"> 0.6638164848254381</t>
  </si>
  <si>
    <t xml:space="preserve"> 0.5306182112577864</t>
  </si>
  <si>
    <t xml:space="preserve"> 0.2913902444509411</t>
  </si>
  <si>
    <t xml:space="preserve"> 0.30369150156295666</t>
  </si>
  <si>
    <t xml:space="preserve"> 0.2827152719994599</t>
  </si>
  <si>
    <t xml:space="preserve"> 0.21930307868756582</t>
  </si>
  <si>
    <t xml:space="preserve"> 0.22606089909370963</t>
  </si>
  <si>
    <t xml:space="preserve"> 0.18683518114556863</t>
  </si>
  <si>
    <t xml:space="preserve"> 0.1506847774754312</t>
  </si>
  <si>
    <t xml:space="preserve"> 0.22362650954640495</t>
  </si>
  <si>
    <t xml:space="preserve"> 0.23595025524546287</t>
  </si>
  <si>
    <t xml:space="preserve"> 0.38160883351699004</t>
  </si>
  <si>
    <t xml:space="preserve"> 6.468760146829787</t>
  </si>
  <si>
    <t xml:space="preserve"> 2.1556626877335487</t>
  </si>
  <si>
    <t xml:space="preserve"> 5.265707980430033</t>
  </si>
  <si>
    <t xml:space="preserve"> 2.0731452283071103</t>
  </si>
  <si>
    <t xml:space="preserve"> 2.0110837777300823</t>
  </si>
  <si>
    <t xml:space="preserve"> 2.985113396842169</t>
  </si>
  <si>
    <t xml:space="preserve"> 3.9180769040268126</t>
  </si>
  <si>
    <t xml:space="preserve"> 3.0312646183140997</t>
  </si>
  <si>
    <t xml:space="preserve"> 2.8419983820105994</t>
  </si>
  <si>
    <t xml:space="preserve"> 3.1603955818983316</t>
  </si>
  <si>
    <t xml:space="preserve"> 3.0559582184505825</t>
  </si>
  <si>
    <t xml:space="preserve"> 4.177879773481484</t>
  </si>
  <si>
    <t xml:space="preserve"> 1.8753652858723102</t>
  </si>
  <si>
    <t xml:space="preserve"> 1.5170576807717921</t>
  </si>
  <si>
    <t xml:space="preserve"> 1.6028111189992682</t>
  </si>
  <si>
    <t xml:space="preserve"> 1.7519358087470485</t>
  </si>
  <si>
    <t xml:space="preserve"> 1.816848002553562</t>
  </si>
  <si>
    <t xml:space="preserve"> 4.0387712085940555</t>
  </si>
  <si>
    <t xml:space="preserve"> 3.6404618346508357</t>
  </si>
  <si>
    <t xml:space="preserve"> 1.8756433524385319</t>
  </si>
  <si>
    <t xml:space="preserve"> 2.2600936688051974</t>
  </si>
  <si>
    <t xml:space="preserve"> 1.7506854151381575</t>
  </si>
  <si>
    <t xml:space="preserve"> 1.3906783541210395</t>
  </si>
  <si>
    <t xml:space="preserve"> 1.774974210738261</t>
  </si>
  <si>
    <t xml:space="preserve"> 1.4171295862133615</t>
  </si>
  <si>
    <t xml:space="preserve"> 1.0989811172956276</t>
  </si>
  <si>
    <t xml:space="preserve"> 1.0368496830816891</t>
  </si>
  <si>
    <t xml:space="preserve"> 1.2722849561720437</t>
  </si>
  <si>
    <t xml:space="preserve"> 1.337582815249588</t>
  </si>
  <si>
    <t xml:space="preserve"> 1.9559238072121659</t>
  </si>
  <si>
    <t xml:space="preserve"> 4.456628799577715</t>
  </si>
  <si>
    <t xml:space="preserve"> 2.366758573442125</t>
  </si>
  <si>
    <t xml:space="preserve"> 4.455550626407381</t>
  </si>
  <si>
    <t xml:space="preserve"> 1.6873073186619427</t>
  </si>
  <si>
    <t xml:space="preserve"> 1.811836319835578</t>
  </si>
  <si>
    <t xml:space="preserve"> 2.1863330319689576</t>
  </si>
  <si>
    <t xml:space="preserve"> 3.0959068727924124</t>
  </si>
  <si>
    <t xml:space="preserve"> 2.1847157722134556</t>
  </si>
  <si>
    <t xml:space="preserve"> 2.3802020451597325</t>
  </si>
  <si>
    <t xml:space="preserve"> 2.6118071193122154</t>
  </si>
  <si>
    <t xml:space="preserve"> 2.950623038089837</t>
  </si>
  <si>
    <t xml:space="preserve"> 1.5745371436272668</t>
  </si>
  <si>
    <t xml:space="preserve"> 1.7168896950229957</t>
  </si>
  <si>
    <t xml:space="preserve"> 1.4842401406117514</t>
  </si>
  <si>
    <t xml:space="preserve"> 1.4123731602266414</t>
  </si>
  <si>
    <t xml:space="preserve"> 1.715474592736932</t>
  </si>
  <si>
    <t xml:space="preserve"> 2.179122748892345</t>
  </si>
  <si>
    <t xml:space="preserve"> 3.5657306304056657</t>
  </si>
  <si>
    <t xml:space="preserve"> 2.7073619214092766</t>
  </si>
  <si>
    <t xml:space="preserve"> 2.9233842591541617</t>
  </si>
  <si>
    <t xml:space="preserve"> 2.279675830287621</t>
  </si>
  <si>
    <t xml:space="preserve"> 1.887062722753173</t>
  </si>
  <si>
    <t xml:space="preserve"> 2.156954439172779</t>
  </si>
  <si>
    <t xml:space="preserve"> 1.8555310889650638</t>
  </si>
  <si>
    <t xml:space="preserve"> 1.5519284465732888</t>
  </si>
  <si>
    <t xml:space="preserve"> 1.5532224013075737</t>
  </si>
  <si>
    <t xml:space="preserve"> 1.572291207918095</t>
  </si>
  <si>
    <t xml:space="preserve"> 1.913895257769406</t>
  </si>
  <si>
    <t xml:space="preserve"> 2.3272116410524166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</si>
</sst>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b/>
      <sz val="11"/>
      <color theme="0"/>
      <name val="Aptos Narrow"/>
      <family val="2"/>
      <scheme val="minor"/>
    </font>
    <font>
      <sz val="8"/>
      <name val="Aptos Narrow"/>
      <family val="2"/>
      <scheme val="minor"/>
    </font>
    <font>
      <b/>
      <sz val="10"/>
      <color theme="0"/>
      <name val="Arial"/>
      <family val="2"/>
    </font>
    <font>
      <sz val="11"/>
      <color rgb="FF000000"/>
      <name val="Calibri"/>
      <family val="2"/>
    </font>
    <font>
      <sz val="11"/>
      <color theme="1"/>
      <name val="Aptos Narrow"/>
      <family val="2"/>
      <scheme val="minor"/>
    </font>
    <font>
      <sz val="11"/>
      <color rgb="FFFF0000"/>
      <name val="Aptos Narrow"/>
      <family val="2"/>
      <scheme val="minor"/>
    </font>
    <font>
      <b/>
      <sz val="11"/>
      <color theme="1"/>
      <name val="Aptos Narrow"/>
      <family val="2"/>
      <scheme val="minor"/>
    </font>
    <font>
      <sz val="11"/>
      <name val="Aptos Narrow"/>
      <family val="2"/>
      <scheme val="minor"/>
    </font>
    <font>
      <sz val="11"/>
      <color theme="1"/>
      <name val="Calibri"/>
      <family val="2"/>
    </font>
    <font>
      <sz val="10"/>
      <name val="Arial"/>
      <family val="2"/>
    </font>
    <font>
      <sz val="11"/>
      <name val="Calibri"/>
      <family val="2"/>
    </font>
    <font>
      <b/>
      <sz val="9"/>
      <color indexed="81"/>
      <name val="Tahoma"/>
      <family val="2"/>
    </font>
    <font>
      <sz val="9"/>
      <color indexed="81"/>
      <name val="Tahoma"/>
      <family val="2"/>
    </font>
    <font>
      <sz val="10"/>
      <color rgb="FFFF0000"/>
      <name val="Arial"/>
      <family val="2"/>
    </font>
    <font>
      <sz val="10"/>
      <color theme="1"/>
      <name val="Arial"/>
      <family val="2"/>
    </font>
    <font>
      <sz val="8"/>
      <color theme="1"/>
      <name val="Aptos Narrow"/>
      <family val="2"/>
      <scheme val="minor"/>
    </font>
    <font>
      <sz val="11"/>
      <color theme="1"/>
      <name val="Courier New"/>
      <family val="1"/>
    </font>
    <font>
      <i/>
      <sz val="11"/>
      <color theme="1"/>
      <name val="Aptos Narrow"/>
      <family val="2"/>
      <scheme val="minor"/>
    </font>
    <font>
      <sz val="10"/>
      <color rgb="FF000000"/>
      <name val="Helvetica Neue"/>
      <family val="2"/>
    </font>
  </fonts>
  <fills count="23">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8"/>
        <bgColor indexed="64"/>
      </patternFill>
    </fill>
    <fill>
      <patternFill patternType="solid">
        <fgColor theme="9"/>
        <bgColor indexed="64"/>
      </patternFill>
    </fill>
    <fill>
      <patternFill patternType="solid">
        <fgColor theme="5"/>
        <bgColor indexed="64"/>
      </patternFill>
    </fill>
    <fill>
      <patternFill patternType="solid">
        <fgColor rgb="FFFFE599"/>
        <bgColor indexed="64"/>
      </patternFill>
    </fill>
    <fill>
      <patternFill patternType="solid">
        <fgColor rgb="FFFF0000"/>
        <bgColor indexed="64"/>
      </patternFill>
    </fill>
    <fill>
      <patternFill patternType="solid">
        <fgColor rgb="FFE2EFDA"/>
        <bgColor rgb="FFE2EFDA"/>
      </patternFill>
    </fill>
    <fill>
      <patternFill patternType="solid">
        <fgColor rgb="FFD5FC79"/>
        <bgColor indexed="64"/>
      </patternFill>
    </fill>
    <fill>
      <patternFill patternType="solid">
        <fgColor rgb="FF007BB8"/>
        <bgColor indexed="64"/>
      </patternFill>
    </fill>
    <fill>
      <patternFill patternType="solid">
        <fgColor theme="2"/>
        <bgColor indexed="64"/>
      </patternFill>
    </fill>
    <fill>
      <patternFill patternType="solid">
        <fgColor rgb="FFD883FF"/>
        <bgColor indexed="64"/>
      </patternFill>
    </fill>
    <fill>
      <patternFill patternType="solid">
        <fgColor rgb="FFFF85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rgb="FFDC3939"/>
        <bgColor indexed="64"/>
      </patternFill>
    </fill>
    <fill>
      <patternFill patternType="solid">
        <fgColor theme="4" tint="0.39997558519241921"/>
        <bgColor indexed="64"/>
      </patternFill>
    </fill>
    <fill>
      <patternFill patternType="solid">
        <fgColor rgb="FFFFFD78"/>
        <bgColor indexed="64"/>
      </patternFill>
    </fill>
    <fill>
      <patternFill patternType="solid">
        <fgColor rgb="FF29B95C"/>
        <bgColor indexed="64"/>
      </patternFill>
    </fill>
  </fills>
  <borders count="6">
    <border>
      <left/>
      <right/>
      <top/>
      <bottom/>
      <diagonal/>
    </border>
    <border>
      <left/>
      <right/>
      <top style="thin">
        <color theme="4" tint="0.39997558519241921"/>
      </top>
      <bottom style="thin">
        <color theme="4" tint="0.39997558519241921"/>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medium">
        <color rgb="FFCCCCCC"/>
      </left>
      <right style="medium">
        <color rgb="FFCCCCCC"/>
      </right>
      <top style="medium">
        <color rgb="FFCCCCCC"/>
      </top>
      <bottom/>
      <diagonal/>
    </border>
    <border>
      <left/>
      <right/>
      <top style="thin">
        <color theme="4" tint="0.39997558519241921"/>
      </top>
      <bottom/>
      <diagonal/>
    </border>
  </borders>
  <cellStyleXfs count="1">
    <xf numFmtId="0" fontId="0" fillId="0" borderId="0"/>
  </cellStyleXfs>
  <cellXfs count="82">
    <xf numFmtId="0" fontId="0" fillId="0" borderId="0" xfId="0"/>
    <xf numFmtId="0" fontId="1" fillId="4" borderId="1" xfId="0" applyFont="1" applyFill="1" applyBorder="1"/>
    <xf numFmtId="0" fontId="1" fillId="5" borderId="1" xfId="0" applyFont="1" applyFill="1" applyBorder="1"/>
    <xf numFmtId="0" fontId="1" fillId="6" borderId="1" xfId="0" applyFont="1" applyFill="1" applyBorder="1"/>
    <xf numFmtId="0" fontId="3" fillId="7" borderId="0" xfId="0" applyFont="1" applyFill="1" applyAlignment="1">
      <alignment vertical="center"/>
    </xf>
    <xf numFmtId="0" fontId="0" fillId="8" borderId="0" xfId="0" applyFill="1"/>
    <xf numFmtId="0" fontId="4" fillId="0" borderId="0" xfId="0" applyFont="1"/>
    <xf numFmtId="0" fontId="4" fillId="9" borderId="0" xfId="0" applyFont="1" applyFill="1"/>
    <xf numFmtId="0" fontId="8" fillId="0" borderId="0" xfId="0" applyFont="1"/>
    <xf numFmtId="0" fontId="5" fillId="0" borderId="0" xfId="0" applyFont="1"/>
    <xf numFmtId="0" fontId="10" fillId="8" borderId="0" xfId="0" applyFont="1" applyFill="1" applyAlignment="1">
      <alignment vertical="center"/>
    </xf>
    <xf numFmtId="0" fontId="0" fillId="11" borderId="0" xfId="0" applyFill="1"/>
    <xf numFmtId="0" fontId="1" fillId="11" borderId="1" xfId="0" applyFont="1" applyFill="1" applyBorder="1"/>
    <xf numFmtId="0" fontId="10" fillId="12" borderId="0" xfId="0" applyFont="1" applyFill="1" applyAlignment="1">
      <alignment vertical="center"/>
    </xf>
    <xf numFmtId="0" fontId="10" fillId="5" borderId="0" xfId="0" applyFont="1" applyFill="1" applyAlignment="1">
      <alignment vertical="center"/>
    </xf>
    <xf numFmtId="0" fontId="10" fillId="12" borderId="2" xfId="0" applyFont="1" applyFill="1" applyBorder="1" applyAlignment="1">
      <alignment vertical="center"/>
    </xf>
    <xf numFmtId="0" fontId="10" fillId="5" borderId="2" xfId="0" applyFont="1" applyFill="1" applyBorder="1" applyAlignment="1">
      <alignment vertical="center"/>
    </xf>
    <xf numFmtId="0" fontId="10" fillId="7" borderId="0" xfId="0" applyFont="1" applyFill="1" applyAlignment="1">
      <alignment vertical="center"/>
    </xf>
    <xf numFmtId="0" fontId="10" fillId="8" borderId="2" xfId="0" applyFont="1" applyFill="1" applyBorder="1" applyAlignment="1">
      <alignment vertical="center"/>
    </xf>
    <xf numFmtId="0" fontId="10" fillId="17" borderId="2" xfId="0" applyFont="1" applyFill="1" applyBorder="1" applyAlignment="1">
      <alignment vertical="center"/>
    </xf>
    <xf numFmtId="0" fontId="11" fillId="18" borderId="0" xfId="0" applyFont="1" applyFill="1"/>
    <xf numFmtId="0" fontId="10" fillId="19" borderId="2" xfId="0" applyFont="1" applyFill="1" applyBorder="1" applyAlignment="1">
      <alignment vertical="center"/>
    </xf>
    <xf numFmtId="0" fontId="3" fillId="17" borderId="2" xfId="0" applyFont="1" applyFill="1" applyBorder="1" applyAlignment="1">
      <alignment vertical="center"/>
    </xf>
    <xf numFmtId="0" fontId="10" fillId="20" borderId="0" xfId="0" applyFont="1" applyFill="1" applyAlignment="1">
      <alignment vertical="center"/>
    </xf>
    <xf numFmtId="0" fontId="6" fillId="0" borderId="0" xfId="0" applyFont="1"/>
    <xf numFmtId="0" fontId="0" fillId="0" borderId="0" xfId="0" applyAlignment="1">
      <alignment horizontal="left"/>
    </xf>
    <xf numFmtId="0" fontId="7" fillId="0" borderId="0" xfId="0" applyFont="1"/>
    <xf numFmtId="0" fontId="14" fillId="12" borderId="2" xfId="0" applyFont="1" applyFill="1" applyBorder="1" applyAlignment="1">
      <alignment vertical="center"/>
    </xf>
    <xf numFmtId="0" fontId="0" fillId="3" borderId="1" xfId="0" applyFont="1" applyFill="1" applyBorder="1"/>
    <xf numFmtId="0" fontId="0" fillId="0" borderId="1" xfId="0" applyFont="1" applyBorder="1"/>
    <xf numFmtId="0" fontId="0" fillId="0" borderId="0" xfId="0" applyFill="1"/>
    <xf numFmtId="3" fontId="0" fillId="0" borderId="0" xfId="0" applyNumberFormat="1"/>
    <xf numFmtId="0" fontId="1" fillId="4" borderId="1" xfId="0" applyFont="1" applyFill="1" applyBorder="1" applyAlignment="1">
      <alignment wrapText="1"/>
    </xf>
    <xf numFmtId="0" fontId="11" fillId="18" borderId="0" xfId="0" applyFont="1" applyFill="1" applyAlignment="1">
      <alignment wrapText="1"/>
    </xf>
    <xf numFmtId="0" fontId="0" fillId="0" borderId="0" xfId="0" applyAlignment="1">
      <alignment wrapText="1"/>
    </xf>
    <xf numFmtId="0" fontId="1" fillId="2" borderId="3" xfId="0" applyFont="1" applyFill="1" applyBorder="1" applyAlignment="1"/>
    <xf numFmtId="0" fontId="1" fillId="4" borderId="1" xfId="0" applyFont="1" applyFill="1" applyBorder="1" applyAlignment="1"/>
    <xf numFmtId="0" fontId="11" fillId="18" borderId="0" xfId="0" applyFont="1" applyFill="1" applyAlignment="1"/>
    <xf numFmtId="0" fontId="1" fillId="6" borderId="1" xfId="0" applyFont="1" applyFill="1" applyBorder="1" applyAlignment="1"/>
    <xf numFmtId="0" fontId="9" fillId="16" borderId="0" xfId="0" applyFont="1" applyFill="1" applyAlignment="1"/>
    <xf numFmtId="0" fontId="0" fillId="15" borderId="0" xfId="0" applyFill="1" applyAlignment="1"/>
    <xf numFmtId="0" fontId="9" fillId="13" borderId="0" xfId="0" applyFont="1" applyFill="1" applyAlignment="1"/>
    <xf numFmtId="0" fontId="9" fillId="14" borderId="0" xfId="0" applyFont="1" applyFill="1" applyAlignment="1"/>
    <xf numFmtId="0" fontId="0" fillId="0" borderId="0" xfId="0" applyAlignment="1"/>
    <xf numFmtId="0" fontId="10" fillId="12" borderId="2" xfId="0" applyFont="1" applyFill="1" applyBorder="1" applyAlignment="1">
      <alignment vertical="center" wrapText="1"/>
    </xf>
    <xf numFmtId="0" fontId="10" fillId="12" borderId="0" xfId="0" applyFont="1" applyFill="1" applyAlignment="1">
      <alignment vertical="center" wrapText="1"/>
    </xf>
    <xf numFmtId="0" fontId="10" fillId="8" borderId="0" xfId="0" applyFont="1" applyFill="1" applyAlignment="1">
      <alignment vertical="center" wrapText="1"/>
    </xf>
    <xf numFmtId="0" fontId="10" fillId="8" borderId="2" xfId="0" applyFont="1" applyFill="1" applyBorder="1" applyAlignment="1">
      <alignment vertical="center" wrapText="1"/>
    </xf>
    <xf numFmtId="0" fontId="9" fillId="21" borderId="0" xfId="0" applyFont="1" applyFill="1" applyAlignment="1"/>
    <xf numFmtId="0" fontId="15" fillId="0" borderId="2" xfId="0" applyFont="1" applyFill="1" applyBorder="1"/>
    <xf numFmtId="0" fontId="9" fillId="0" borderId="2" xfId="0" applyFont="1" applyFill="1" applyBorder="1"/>
    <xf numFmtId="0" fontId="16" fillId="0" borderId="0" xfId="0" applyFont="1"/>
    <xf numFmtId="0" fontId="17" fillId="0" borderId="0" xfId="0" applyFont="1"/>
    <xf numFmtId="0" fontId="6" fillId="0" borderId="0" xfId="0" applyFont="1" applyAlignment="1">
      <alignment wrapText="1"/>
    </xf>
    <xf numFmtId="0" fontId="0" fillId="8" borderId="0" xfId="0" applyFill="1" applyAlignment="1">
      <alignment wrapText="1"/>
    </xf>
    <xf numFmtId="0" fontId="9" fillId="10" borderId="0" xfId="0" applyFont="1" applyFill="1"/>
    <xf numFmtId="0" fontId="16" fillId="0" borderId="0" xfId="0" applyFont="1" applyFill="1"/>
    <xf numFmtId="0" fontId="4" fillId="0" borderId="0" xfId="0" applyFont="1" applyFill="1"/>
    <xf numFmtId="0" fontId="16" fillId="0" borderId="1" xfId="0" applyFont="1" applyFill="1" applyBorder="1"/>
    <xf numFmtId="0" fontId="0" fillId="0" borderId="0" xfId="0" applyBorder="1"/>
    <xf numFmtId="0" fontId="4" fillId="0" borderId="0" xfId="0" applyFont="1" applyBorder="1"/>
    <xf numFmtId="0" fontId="0" fillId="0" borderId="0" xfId="0" applyFill="1" applyBorder="1"/>
    <xf numFmtId="3" fontId="0" fillId="0" borderId="0" xfId="0" applyNumberFormat="1" applyBorder="1"/>
    <xf numFmtId="0" fontId="9" fillId="0" borderId="4" xfId="0" applyFont="1" applyFill="1" applyBorder="1"/>
    <xf numFmtId="0" fontId="0" fillId="3" borderId="5" xfId="0" applyFont="1" applyFill="1" applyBorder="1"/>
    <xf numFmtId="0" fontId="16" fillId="0" borderId="0" xfId="0" applyFont="1" applyBorder="1"/>
    <xf numFmtId="0" fontId="4" fillId="0" borderId="0" xfId="0" applyFont="1" applyFill="1" applyBorder="1"/>
    <xf numFmtId="0" fontId="15" fillId="0" borderId="4" xfId="0" applyFont="1" applyFill="1" applyBorder="1"/>
    <xf numFmtId="0" fontId="16" fillId="0" borderId="5" xfId="0" applyFont="1" applyFill="1" applyBorder="1"/>
    <xf numFmtId="0" fontId="0" fillId="0" borderId="0" xfId="0" applyBorder="1" applyAlignment="1"/>
    <xf numFmtId="0" fontId="17" fillId="0" borderId="0" xfId="0" applyFont="1" applyBorder="1"/>
    <xf numFmtId="0" fontId="0" fillId="0" borderId="5" xfId="0" applyFont="1" applyBorder="1"/>
    <xf numFmtId="0" fontId="0" fillId="0" borderId="0" xfId="0" applyFill="1" applyAlignment="1">
      <alignment horizontal="left"/>
    </xf>
    <xf numFmtId="0" fontId="18" fillId="0" borderId="0" xfId="0" applyFont="1" applyFill="1"/>
    <xf numFmtId="0" fontId="1" fillId="5" borderId="0" xfId="0" applyFont="1" applyFill="1"/>
    <xf numFmtId="0" fontId="19" fillId="22" borderId="0" xfId="0" applyFont="1" applyFill="1"/>
    <xf numFmtId="0" fontId="0" fillId="0" borderId="0" xfId="0" applyBorder="1" applyAlignment="1">
      <alignment horizontal="left"/>
    </xf>
    <xf numFmtId="0" fontId="5" fillId="0" borderId="0" xfId="0" applyFont="1" applyBorder="1"/>
    <xf numFmtId="0" fontId="18" fillId="0" borderId="0" xfId="0" applyFont="1" applyFill="1" applyBorder="1"/>
    <xf numFmtId="0" fontId="8" fillId="0" borderId="0" xfId="0" applyFont="1" applyBorder="1"/>
    <xf numFmtId="0" fontId="0" fillId="0" borderId="0" xfId="0" quotePrefix="1"/>
    <xf numFmtId="0" fontId="0" fillId="0" borderId="0" xfId="0" quotePrefix="1" applyBorder="1"/>
  </cellXfs>
  <cellStyles count="1">
    <cellStyle name="Normal" xfId="0" builtinId="0"/>
  </cellStyles>
  <dxfs count="9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ont>
        <color rgb="FF9C0006"/>
      </font>
      <fill>
        <patternFill>
          <bgColor rgb="FFFFC7CE"/>
        </patternFill>
      </fill>
    </dxf>
    <dxf>
      <fill>
        <patternFill>
          <bgColor rgb="FFFF9999"/>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600D0D23-79D5-4A12-BE46-A25B9CF00299}"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17B3CA-C858-4B6B-BFA0-ECFB79516A94}" name="Table1" displayName="Table1" ref="A1:GU183" totalsRowShown="0" headerRowDxfId="91">
  <autoFilter ref="A1:GU183" xr:uid="{0217B3CA-C858-4B6B-BFA0-ECFB79516A94}"/>
  <tableColumns count="203">
    <tableColumn id="1" xr3:uid="{5390AEBA-E3D4-4949-9289-6C8261D10889}" name="study_id_ss"/>
    <tableColumn id="213" xr3:uid="{BB3363C1-A5F2-4A3E-8A7C-59EE306304A1}" name="effect_size_id_ss"/>
    <tableColumn id="51" xr3:uid="{15414CFF-6F88-4104-BE61-F6BB44168E39}" name="study_id"/>
    <tableColumn id="2" xr3:uid="{4A1DC789-038F-40FD-B7E2-7172E69BE3AD}" name="effect_size_id"/>
    <tableColumn id="3" xr3:uid="{215F2DD3-B5CE-46E5-94EF-81DBD53F4AB8}" name="country1"/>
    <tableColumn id="4" xr3:uid="{AA45F56E-B660-4ACD-AEED-2B7C19642D75}" name="site_type01"/>
    <tableColumn id="5" xr3:uid="{615F1628-56B0-48C7-A350-87D32A67D73C}" name="site_id01"/>
    <tableColumn id="6" xr3:uid="{FDB16181-30A9-4271-959B-953B8F8E47B1}" name="site_admin01"/>
    <tableColumn id="234" xr3:uid="{96E3D02C-F4F9-4EDB-B594-D1AD78139FCC}" name="site_agg"/>
    <tableColumn id="7" xr3:uid="{70588788-95A8-4C9B-9E1D-C6B0F7BF700E}" name="site_latlong_type01"/>
    <tableColumn id="8" xr3:uid="{4AB6FAF6-6620-473E-8891-B87DB482B57D}" name="site_latitude01"/>
    <tableColumn id="9" xr3:uid="{022E02F0-05AC-4DEC-8BB8-67B6B130BCCE}" name="site_longitude01"/>
    <tableColumn id="10" xr3:uid="{973E52B3-8F1A-4353-8923-26BB9169804C}" name="site_buffer01"/>
    <tableColumn id="11" xr3:uid="{52149835-4FC4-4B99-BF1A-D3B67B8434D7}" name="exp_design"/>
    <tableColumn id="255" xr3:uid="{E2495AA5-FF51-46B5-B81E-6C0E1A864DB8}" name="exp_plot_size"/>
    <tableColumn id="12" xr3:uid="{D04C69F6-450E-408A-BFBB-F569D810BF62}" name="exp_field_size"/>
    <tableColumn id="274" xr3:uid="{59D3F969-C59F-482E-B40E-62FCF7E9CD88}" name="exp_duration"/>
    <tableColumn id="241" xr3:uid="{0679227E-4B1E-45B9-8B9C-2037B9FA2FA6}" name="time_raw"/>
    <tableColumn id="238" xr3:uid="{C7B8319E-5CF7-45EE-AF51-AB3AE7AF9876}" name="time_year_start"/>
    <tableColumn id="239" xr3:uid="{38276269-A647-458A-AC89-14CC81139D19}" name="time_year_end"/>
    <tableColumn id="240" xr3:uid="{B8406A8A-4191-47A8-BFE7-6903A0D99F37}" name="time_season"/>
    <tableColumn id="235" xr3:uid="{392187C6-0B64-479E-8B24-EBC70201681D}" name="practice_raw"/>
    <tableColumn id="236" xr3:uid="{5AF666CD-31C4-45EC-9797-672E461A2671}" name="subpractice_raw"/>
    <tableColumn id="237" xr3:uid="{4B3609F5-4392-4D7C-B954-1357D9E6E5B1}" name="subpractice_description_raw"/>
    <tableColumn id="253" xr3:uid="{AD7A952E-F8A5-4AF2-AAA9-AE63AFAD99D5}" name="CODE"/>
    <tableColumn id="14" xr3:uid="{7CB0140C-1190-4917-A800-AF6CE3FC6D37}" name="crop01"/>
    <tableColumn id="15" xr3:uid="{935D12D9-6223-44A0-9080-D10344274400}" name="crop_variety01"/>
    <tableColumn id="16" xr3:uid="{B4AAE87D-112A-4406-9515-E1D7619AC366}" name="crop_density_unit01"/>
    <tableColumn id="17" xr3:uid="{6E3E59CD-844D-4014-89D0-9C864BACC6F6}" name="crop_density01"/>
    <tableColumn id="18" xr3:uid="{7A28EB50-C486-4A75-A671-CDA46011EBEB}" name="crop_arrangement01"/>
    <tableColumn id="19" xr3:uid="{25025CF8-777C-4C99-A5BC-2C2100ABB1A0}" name="crop02"/>
    <tableColumn id="20" xr3:uid="{A711CC0F-1173-4B06-97D4-E56A2C28C8AE}" name="crop_variety02"/>
    <tableColumn id="21" xr3:uid="{67C5DCF2-6858-4ED9-8516-5B6013421571}" name="crop_density_unit02"/>
    <tableColumn id="22" xr3:uid="{C26CB542-5C00-411A-B2F7-97B2C742C2CE}" name="crop_density02"/>
    <tableColumn id="23" xr3:uid="{671A5CAC-BF6C-40A1-A074-115B14563590}" name="crop_arrangement02"/>
    <tableColumn id="24" xr3:uid="{B0BF4B85-7F1D-417B-BB01-ACBDD675B3F0}" name="crop03"/>
    <tableColumn id="25" xr3:uid="{699B540B-6BF5-494A-9373-5B65409029B3}" name="crop_variety03"/>
    <tableColumn id="26" xr3:uid="{C3EB7F52-1FAD-4B7B-9734-4FA99411C374}" name="crop_density_unit03"/>
    <tableColumn id="27" xr3:uid="{FEEAB8A8-C353-47C7-984E-04EE0574FF42}" name="crop_density03"/>
    <tableColumn id="28" xr3:uid="{B507E60B-44D0-45F4-90A3-54A8E0CE9DE6}" name="crop_arrangement03"/>
    <tableColumn id="268" xr3:uid="{360CFBC2-6F4C-4E57-8754-FBDE7ED9CE85}" name="tree01"/>
    <tableColumn id="269" xr3:uid="{259B8EA4-64A0-4113-A6CD-64849CA730A3}" name="tree_density_unit01"/>
    <tableColumn id="270" xr3:uid="{481C50B0-3680-4BC5-8914-BD84510E0E40}" name="tree_density01"/>
    <tableColumn id="29" xr3:uid="{0BA130AD-FAC3-423F-9650-DA46698D2F9A}" name="tillage_subpractice_raw"/>
    <tableColumn id="30" xr3:uid="{DA5D0DB0-11ED-44F3-80AC-AB94ADFC0B54}" name="tillage_subpractice"/>
    <tableColumn id="31" xr3:uid="{E6746894-7C9C-46FA-9C3D-01D0639DE90B}" name="tillage_method"/>
    <tableColumn id="32" xr3:uid="{1DCD5E76-D842-432C-85A4-8AA97D3AEADC}" name="tillage_method_other"/>
    <tableColumn id="33" xr3:uid="{A2C0EB1C-C72F-45E6-8529-8DADEDB9B02B}" name="tillage_depth"/>
    <tableColumn id="34" xr3:uid="{B4E64218-1E15-4EE0-AE0A-5362365AA016}" name="tillage_frequency"/>
    <tableColumn id="35" xr3:uid="{8A77E082-8D54-4E43-BE34-9FF6C3974D67}" name="planting_subpractice_raw"/>
    <tableColumn id="55" xr3:uid="{918B8654-0EEE-4FFB-A770-2AE344120D24}" name="planting_subpractice"/>
    <tableColumn id="56" xr3:uid="{70912182-113F-4574-B6BD-A6DA39845709}" name="planting_method"/>
    <tableColumn id="57" xr3:uid="{03F40C69-2394-4CA0-AF80-347CBFEB5B36}" name="planting_date_start"/>
    <tableColumn id="58" xr3:uid="{194FDC9A-A037-482A-AA79-BE762495F5C0}" name="planting_date_end"/>
    <tableColumn id="59" xr3:uid="{D7FC1FD2-638B-43CE-9686-EAFDDFC82DFC}" name="crop_name"/>
    <tableColumn id="36" xr3:uid="{57E4FEE0-C518-4EAD-A038-A01FF0948B47}" name="crop_variety"/>
    <tableColumn id="37" xr3:uid="{0245BC23-8A2C-487C-8CBF-D1EC5332DB11}" name="crop_variety_subpractice"/>
    <tableColumn id="38" xr3:uid="{2725F37A-53D6-49A9-9AB2-F25AAEC10B96}" name="crop_variety_type"/>
    <tableColumn id="175" xr3:uid="{70819A19-159C-49C5-98EE-B7F064247C73}" name="crop_variety_trait01:03"/>
    <tableColumn id="176" xr3:uid="{41052F7D-FC40-4482-AA07-94278A8E82FF}" name="intercrop_subpractice_raw"/>
    <tableColumn id="60" xr3:uid="{1FFFEB54-C652-449F-B672-473F5A671A28}" name="intercrop_subpractice"/>
    <tableColumn id="177" xr3:uid="{B515C0F7-E8CD-4506-B28B-715B1A88FCD1}" name="intercrop_start_year"/>
    <tableColumn id="178" xr3:uid="{8DE5080C-05C6-4E57-993C-AEB319B35516}" name="intercrop_start_season"/>
    <tableColumn id="179" xr3:uid="{2587485F-20AA-4701-9FF9-F02620806C3C}" name="intercrop_residues_fate"/>
    <tableColumn id="53" xr3:uid="{962489B2-0D0C-4FE7-A2E7-84503BB38268}" name="crop_seq_subpractice_raw"/>
    <tableColumn id="180" xr3:uid="{2EF2C85E-B3F0-425C-BCDB-77A4566DA971}" name="crop_seq_subpractice01"/>
    <tableColumn id="245" xr3:uid="{5EF28E37-E073-47F2-8E91-873AAA0F8B4C}" name="crop_seq_subpractice02"/>
    <tableColumn id="244" xr3:uid="{9C428573-589A-43C9-A85E-031987393586}" name="crop_seq_subpractice03"/>
    <tableColumn id="181" xr3:uid="{5B15F8B5-F624-4F99-9537-E100103038B7}" name="crop_seq_start_year"/>
    <tableColumn id="182" xr3:uid="{A0B1F11C-7193-4C48-AF63-1D863A1F903C}" name="crop_seq_start_season"/>
    <tableColumn id="214" xr3:uid="{8FEA64FD-4BC2-4BB8-9758-EEA37CBFEA81}" name="crop_seq_residues_fate"/>
    <tableColumn id="183" xr3:uid="{CBCAAF3C-B671-4630-83AC-A5F43F908247}" name="agro_subpractice_raw"/>
    <tableColumn id="165" xr3:uid="{4F1581B8-F50D-48FC-9B84-222D15CB86A5}" name="agrof_spatial_arrangement_subpractice"/>
    <tableColumn id="166" xr3:uid="{7E81A17F-15EE-4289-8B2E-6F185E09B64F}" name="agrof_components_subpractice"/>
    <tableColumn id="52" xr3:uid="{941CF9C8-88D4-45FE-A136-CCD929AFAD19}" name="agrof_temporal_subpractice"/>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z"/>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applied_unit"/>
    <tableColumn id="46" xr3:uid="{50ABD9F3-86E0-4E0E-A9F8-72D7C1F1EB75}" name="fert_inorganic_applied"/>
    <tableColumn id="243" xr3:uid="{A75D39BC-4537-479B-B991-91D212F16613}" name="fert_inorganicNPK_unit" dataDxfId="9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8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subpractice_raw"/>
    <tableColumn id="111" xr3:uid="{891DD9E4-23E4-4FC0-983A-A5628972AB01}" name="weed_subpractice"/>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88"/>
    <tableColumn id="265" xr3:uid="{FD1F3321-599E-4C3C-AB7D-0FAEFF17BB1E}" name="chem_name03" dataDxfId="87"/>
    <tableColumn id="266" xr3:uid="{1B11E53A-7535-47EB-93BF-714B7FE7FF11}" name="chem_unit03" dataDxfId="86"/>
    <tableColumn id="267" xr3:uid="{F808183A-533E-4812-B6DD-E59A71739723}" name="chem_amount03" dataDxfId="85"/>
    <tableColumn id="71" xr3:uid="{693EE5C5-4FCB-46AA-8630-97CDA8DB2B6A}" name="residues_subpractice_raw"/>
    <tableColumn id="72" xr3:uid="{53752156-2096-4FCC-B1FD-3F4A30AC762C}" name="residues_subpractice01:04"/>
    <tableColumn id="76" xr3:uid="{4999139C-016C-40EE-ACAD-0BE8F5FEA7DD}" name="residues_unit"/>
    <tableColumn id="84" xr3:uid="{57A4FC28-2AB1-4774-8694-C1C4A37CD102}" name="residues_N"/>
    <tableColumn id="86" xr3:uid="{0E614474-D4C5-4436-8FBB-444118F190E5}" name="residues_P"/>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amount_unit"/>
    <tableColumn id="98" xr3:uid="{EFDCEAB1-53B1-4E97-BEA2-145E230CC7A7}" name="ph_amount"/>
    <tableColumn id="99" xr3:uid="{4BC69875-5DC8-4918-B894-6E72A3B68DC1}" name="irrig_subpractice_raw"/>
    <tableColumn id="100" xr3:uid="{9CA7D4C6-151C-4383-94BC-A0B1361375D9}" name="irrig_subpractice"/>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_subpractice_raw"/>
    <tableColumn id="116" xr3:uid="{0CD311FD-1EB8-4C32-9506-D2757124386F}" name="postharv_subpractice1:4"/>
    <tableColumn id="117" xr3:uid="{D3AB7313-AAD5-4994-8F12-BC9A100B42FC}" name="postharv_date_start"/>
    <tableColumn id="39" xr3:uid="{EF6DAF33-B2DD-4338-8A62-515C8DA8064E}" name="postharv_date_end"/>
    <tableColumn id="40" xr3:uid="{2C15F80A-B4C3-48C5-8461-920011B40FFE}" name="postharv_days_after_postharv"/>
    <tableColumn id="254" xr3:uid="{8703A7A8-3835-4D01-9746-26F550C6DD5F}" name="CONTROL"/>
    <tableColumn id="41" xr3:uid="{1A0205B9-D75A-4E16-9BE5-C01280E52757}" name="out_exp_design"/>
    <tableColumn id="42" xr3:uid="{9652C2BC-AC51-42AE-937D-43E5569B6CFA}" name="out_exp_plot_size"/>
    <tableColumn id="43" xr3:uid="{814ECB06-544E-4213-83F7-39FF7EFC1C42}" name="product_raw"/>
    <tableColumn id="44" xr3:uid="{291B0EEE-B937-4F3F-9932-903090F7469F}" name="product01"/>
    <tableColumn id="48" xr3:uid="{5EF40663-F561-43F2-A591-DCF2A6DB4C93}" name="product_component01"/>
    <tableColumn id="249" xr3:uid="{0C6E6240-931E-40E9-8726-7CDDD7D74386}" name="product02"/>
    <tableColumn id="250" xr3:uid="{98D125CC-BFB9-4F59-BEFE-17A105B26E92}" name="product_component02"/>
    <tableColumn id="251" xr3:uid="{398B23D4-3352-4B9C-913F-042C11B025FB}" name="product03"/>
    <tableColumn id="252" xr3:uid="{1A61BB2F-2BB6-42AE-AA27-E0FAC681A4F9}" name="product_component03"/>
    <tableColumn id="260" xr3:uid="{2CBFC5BB-4A81-4B9F-9626-507205280558}" name="product04"/>
    <tableColumn id="261" xr3:uid="{007B18F2-9BEB-43C2-A4C5-E2BE6EE32007}" name="product_component04"/>
    <tableColumn id="262" xr3:uid="{2075DA4E-CAF4-435D-AA80-9C1F222C9DF5}" name="product05"/>
    <tableColumn id="263" xr3:uid="{C9C8E50C-EB81-49DA-A6FB-1535B9E1A71F}" name="product_component05"/>
    <tableColumn id="49" xr3:uid="{13A4CE93-0BA2-465A-A1D3-FBA999805EF3}" name="biod_func_group"/>
    <tableColumn id="50" xr3:uid="{E8982171-4129-40F8-A94B-547DD76BE6FF}" name="outcome_raw"/>
    <tableColumn id="68" xr3:uid="{FF059607-3519-4D5D-9592-D2230665D558}" name="suboutcome_raw"/>
    <tableColumn id="118" xr3:uid="{405CEDF3-8431-422E-A2B6-428DDCAE7016}" name="suboutcome_description_raw"/>
    <tableColumn id="119" xr3:uid="{0574D15D-3714-4716-B567-5D9F3A2AF784}" name="suboutcome"/>
    <tableColumn id="120" xr3:uid="{F80F6865-20A3-463C-9217-17E164A56114}" name="suboutcome_unit"/>
    <tableColumn id="121" xr3:uid="{E8D896BD-747F-4C55-AE4C-7E6747717FF1}" name="out_bio_ground_ref"/>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2" xr3:uid="{D5F59C02-8C28-4D77-B473-28BBC3D70787}" name="out_econ_input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iance_metric"/>
    <tableColumn id="138" xr3:uid="{A51AA032-9DA7-4196-990C-83748D791F0E}" name="out_variance_value"/>
    <tableColumn id="139" xr3:uid="{D14CB834-4995-4B5E-9B4D-2EBE960A3028}" name="outc_variance_value_l"/>
    <tableColumn id="140" xr3:uid="{C9CCFE54-9CDD-4BE0-ADE1-3E8A8D28F3F4}" name="outc_variance_value_u"/>
    <tableColumn id="141" xr3:uid="{487BDF59-F2DB-498D-97F6-FFF300B530A4}" name="outc_sample_size"/>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77" xr3:uid="{3F511ED8-D1E5-4723-8775-E676AD6E44EE}" name="Reference to fallow"/>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U3" dT="2026-02-20T15:03:48.65" personId="{600D0D23-79D5-4A12-BE46-A25B9CF00299}" id="{11BF7FFE-9972-4CCE-A3A2-BFB44039CD4F}">
    <text>For me it is not clear what should we put here. Ask Namita or Lolita</text>
  </threadedComment>
  <threadedComment ref="EW3" dT="2026-02-20T20:50:13.23" personId="{600D0D23-79D5-4A12-BE46-A25B9CF00299}" id="{9FDF12EC-5F0D-4AB2-BFCD-3DF0A74DC224}">
    <text>Not sure what is this</text>
  </threadedComment>
  <threadedComment ref="FB3" dT="2026-02-20T20:51:05.06" personId="{600D0D23-79D5-4A12-BE46-A25B9CF00299}" id="{1D6EBAA1-9952-4A71-AC49-ACBF2F638A05}">
    <text>Not sure what is this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BCF86-E849-4C56-A73D-BBEC08399319}">
  <dimension ref="A1:GU183"/>
  <sheetViews>
    <sheetView tabSelected="1" workbookViewId="0">
      <pane ySplit="1" topLeftCell="A161" activePane="bottomLeft" state="frozen"/>
      <selection activeCell="BH1" sqref="BH1"/>
      <selection pane="bottomLeft" activeCell="C178" sqref="C178"/>
    </sheetView>
  </sheetViews>
  <sheetFormatPr defaultRowHeight="14.5"/>
  <cols>
    <col min="1" max="1" width="24.90625" customWidth="1"/>
    <col min="2" max="2" width="15.26953125" customWidth="1"/>
    <col min="3" max="3" width="21.6328125" customWidth="1"/>
    <col min="4" max="12" width="10.453125" customWidth="1"/>
    <col min="13" max="23" width="11.453125" customWidth="1"/>
    <col min="24" max="24" width="31.90625" customWidth="1"/>
    <col min="25" max="25" width="17.08984375" customWidth="1"/>
    <col min="26" max="88" width="11.453125" customWidth="1"/>
    <col min="89" max="92" width="16.1796875" customWidth="1"/>
    <col min="93" max="98" width="15.81640625" customWidth="1"/>
  </cols>
  <sheetData>
    <row r="1" spans="1:203" s="34" customFormat="1" ht="52.5" thickBot="1">
      <c r="A1" s="34" t="s">
        <v>51</v>
      </c>
      <c r="B1" s="53" t="s">
        <v>53</v>
      </c>
      <c r="C1" s="34" t="s">
        <v>50</v>
      </c>
      <c r="D1" s="53" t="s">
        <v>52</v>
      </c>
      <c r="E1" s="32" t="s">
        <v>0</v>
      </c>
      <c r="F1" s="32" t="s">
        <v>68</v>
      </c>
      <c r="G1" s="32" t="s">
        <v>69</v>
      </c>
      <c r="H1" s="32" t="s">
        <v>70</v>
      </c>
      <c r="I1" s="32" t="s">
        <v>383</v>
      </c>
      <c r="J1" s="32" t="s">
        <v>382</v>
      </c>
      <c r="K1" s="32" t="s">
        <v>71</v>
      </c>
      <c r="L1" s="32" t="s">
        <v>72</v>
      </c>
      <c r="M1" s="32" t="s">
        <v>73</v>
      </c>
      <c r="N1" s="33" t="s">
        <v>316</v>
      </c>
      <c r="O1" s="33" t="s">
        <v>314</v>
      </c>
      <c r="P1" s="33" t="s">
        <v>379</v>
      </c>
      <c r="Q1" s="33" t="s">
        <v>596</v>
      </c>
      <c r="R1" s="47" t="s">
        <v>312</v>
      </c>
      <c r="S1" s="47" t="s">
        <v>310</v>
      </c>
      <c r="T1" s="47" t="s">
        <v>308</v>
      </c>
      <c r="U1" s="47" t="s">
        <v>306</v>
      </c>
      <c r="V1" s="44" t="s">
        <v>58</v>
      </c>
      <c r="W1" s="44" t="s">
        <v>59</v>
      </c>
      <c r="X1" s="44" t="s">
        <v>60</v>
      </c>
      <c r="Y1" s="44" t="s">
        <v>475</v>
      </c>
      <c r="Z1" s="44" t="s">
        <v>61</v>
      </c>
      <c r="AA1" s="44" t="s">
        <v>62</v>
      </c>
      <c r="AB1" s="44" t="s">
        <v>63</v>
      </c>
      <c r="AC1" s="44" t="s">
        <v>64</v>
      </c>
      <c r="AD1" s="44" t="s">
        <v>384</v>
      </c>
      <c r="AE1" s="44" t="s">
        <v>74</v>
      </c>
      <c r="AF1" s="44" t="s">
        <v>75</v>
      </c>
      <c r="AG1" s="44" t="s">
        <v>76</v>
      </c>
      <c r="AH1" s="44" t="s">
        <v>77</v>
      </c>
      <c r="AI1" s="44" t="s">
        <v>385</v>
      </c>
      <c r="AJ1" s="44" t="s">
        <v>78</v>
      </c>
      <c r="AK1" s="44" t="s">
        <v>79</v>
      </c>
      <c r="AL1" s="44" t="s">
        <v>80</v>
      </c>
      <c r="AM1" s="44" t="s">
        <v>81</v>
      </c>
      <c r="AN1" s="44" t="s">
        <v>395</v>
      </c>
      <c r="AO1" s="15" t="s">
        <v>65</v>
      </c>
      <c r="AP1" s="15" t="s">
        <v>66</v>
      </c>
      <c r="AQ1" s="15" t="s">
        <v>67</v>
      </c>
      <c r="AR1" s="44" t="s">
        <v>294</v>
      </c>
      <c r="AS1" s="44" t="s">
        <v>291</v>
      </c>
      <c r="AT1" s="44" t="s">
        <v>289</v>
      </c>
      <c r="AU1" s="44" t="s">
        <v>287</v>
      </c>
      <c r="AV1" s="44" t="s">
        <v>285</v>
      </c>
      <c r="AW1" s="44" t="s">
        <v>282</v>
      </c>
      <c r="AX1" s="44" t="s">
        <v>280</v>
      </c>
      <c r="AY1" s="44" t="s">
        <v>277</v>
      </c>
      <c r="AZ1" s="44" t="s">
        <v>275</v>
      </c>
      <c r="BA1" s="44" t="s">
        <v>356</v>
      </c>
      <c r="BB1" s="44" t="s">
        <v>357</v>
      </c>
      <c r="BC1" s="44" t="s">
        <v>272</v>
      </c>
      <c r="BD1" s="44" t="s">
        <v>270</v>
      </c>
      <c r="BE1" s="44" t="s">
        <v>268</v>
      </c>
      <c r="BF1" s="44" t="s">
        <v>266</v>
      </c>
      <c r="BG1" s="44" t="s">
        <v>263</v>
      </c>
      <c r="BH1" s="44" t="s">
        <v>261</v>
      </c>
      <c r="BI1" s="44" t="s">
        <v>405</v>
      </c>
      <c r="BJ1" s="44" t="s">
        <v>258</v>
      </c>
      <c r="BK1" s="44" t="s">
        <v>257</v>
      </c>
      <c r="BL1" s="44" t="s">
        <v>403</v>
      </c>
      <c r="BM1" s="44" t="s">
        <v>255</v>
      </c>
      <c r="BN1" s="44" t="s">
        <v>456</v>
      </c>
      <c r="BO1" s="44" t="s">
        <v>457</v>
      </c>
      <c r="BP1" s="44" t="s">
        <v>458</v>
      </c>
      <c r="BQ1" s="44" t="s">
        <v>251</v>
      </c>
      <c r="BR1" s="44" t="s">
        <v>250</v>
      </c>
      <c r="BS1" s="44" t="s">
        <v>409</v>
      </c>
      <c r="BT1" s="44" t="s">
        <v>247</v>
      </c>
      <c r="BU1" s="44" t="s">
        <v>245</v>
      </c>
      <c r="BV1" s="45" t="s">
        <v>243</v>
      </c>
      <c r="BW1" s="45" t="s">
        <v>240</v>
      </c>
      <c r="BX1" s="45" t="s">
        <v>238</v>
      </c>
      <c r="BY1" s="45" t="s">
        <v>236</v>
      </c>
      <c r="BZ1" s="45" t="s">
        <v>234</v>
      </c>
      <c r="CA1" s="45" t="s">
        <v>232</v>
      </c>
      <c r="CB1" s="45" t="s">
        <v>230</v>
      </c>
      <c r="CC1" s="45" t="s">
        <v>227</v>
      </c>
      <c r="CD1" s="45" t="s">
        <v>410</v>
      </c>
      <c r="CE1" s="45" t="s">
        <v>411</v>
      </c>
      <c r="CF1" s="45" t="s">
        <v>412</v>
      </c>
      <c r="CG1" s="45" t="s">
        <v>222</v>
      </c>
      <c r="CH1" s="45" t="s">
        <v>219</v>
      </c>
      <c r="CI1" s="45" t="s">
        <v>82</v>
      </c>
      <c r="CJ1" s="44" t="s">
        <v>83</v>
      </c>
      <c r="CK1" s="44" t="s">
        <v>215</v>
      </c>
      <c r="CL1" s="44" t="s">
        <v>213</v>
      </c>
      <c r="CM1" s="44" t="s">
        <v>443</v>
      </c>
      <c r="CN1" s="44" t="s">
        <v>84</v>
      </c>
      <c r="CO1" s="44" t="s">
        <v>85</v>
      </c>
      <c r="CP1" s="44" t="s">
        <v>86</v>
      </c>
      <c r="CQ1" s="44" t="s">
        <v>87</v>
      </c>
      <c r="CR1" s="44" t="s">
        <v>88</v>
      </c>
      <c r="CS1" s="44" t="s">
        <v>89</v>
      </c>
      <c r="CT1" s="44" t="s">
        <v>90</v>
      </c>
      <c r="CU1" s="44" t="s">
        <v>91</v>
      </c>
      <c r="CV1" s="44" t="s">
        <v>204</v>
      </c>
      <c r="CW1" s="44" t="s">
        <v>437</v>
      </c>
      <c r="CX1" s="44" t="s">
        <v>92</v>
      </c>
      <c r="CY1" s="44" t="s">
        <v>93</v>
      </c>
      <c r="CZ1" s="44" t="s">
        <v>94</v>
      </c>
      <c r="DA1" s="44" t="s">
        <v>198</v>
      </c>
      <c r="DB1" s="44" t="s">
        <v>196</v>
      </c>
      <c r="DC1" s="44" t="s">
        <v>193</v>
      </c>
      <c r="DD1" s="44" t="s">
        <v>191</v>
      </c>
      <c r="DE1" s="44" t="s">
        <v>188</v>
      </c>
      <c r="DF1" s="44" t="s">
        <v>186</v>
      </c>
      <c r="DG1" s="44" t="s">
        <v>448</v>
      </c>
      <c r="DH1" s="44" t="s">
        <v>449</v>
      </c>
      <c r="DI1" s="44" t="s">
        <v>450</v>
      </c>
      <c r="DJ1" s="44" t="s">
        <v>451</v>
      </c>
      <c r="DK1" s="44" t="s">
        <v>505</v>
      </c>
      <c r="DL1" s="44" t="s">
        <v>506</v>
      </c>
      <c r="DM1" s="44" t="s">
        <v>507</v>
      </c>
      <c r="DN1" s="44" t="s">
        <v>503</v>
      </c>
      <c r="DO1" s="44" t="s">
        <v>531</v>
      </c>
      <c r="DP1" s="44" t="s">
        <v>532</v>
      </c>
      <c r="DQ1" s="44" t="s">
        <v>533</v>
      </c>
      <c r="DR1" s="44" t="s">
        <v>504</v>
      </c>
      <c r="DS1" s="44" t="s">
        <v>178</v>
      </c>
      <c r="DT1" s="44" t="s">
        <v>176</v>
      </c>
      <c r="DU1" s="44" t="s">
        <v>174</v>
      </c>
      <c r="DV1" s="44" t="s">
        <v>172</v>
      </c>
      <c r="DW1" s="44" t="s">
        <v>170</v>
      </c>
      <c r="DX1" s="44" t="s">
        <v>168</v>
      </c>
      <c r="DY1" s="44" t="s">
        <v>166</v>
      </c>
      <c r="DZ1" s="44" t="s">
        <v>164</v>
      </c>
      <c r="EA1" s="44" t="s">
        <v>162</v>
      </c>
      <c r="EB1" s="44" t="s">
        <v>160</v>
      </c>
      <c r="EC1" s="44" t="s">
        <v>158</v>
      </c>
      <c r="ED1" s="44" t="s">
        <v>156</v>
      </c>
      <c r="EE1" s="44" t="s">
        <v>153</v>
      </c>
      <c r="EF1" s="44" t="s">
        <v>152</v>
      </c>
      <c r="EG1" s="44" t="s">
        <v>149</v>
      </c>
      <c r="EH1" s="44" t="s">
        <v>147</v>
      </c>
      <c r="EI1" s="44" t="s">
        <v>144</v>
      </c>
      <c r="EJ1" s="44" t="s">
        <v>142</v>
      </c>
      <c r="EK1" s="44" t="s">
        <v>140</v>
      </c>
      <c r="EL1" s="45" t="s">
        <v>138</v>
      </c>
      <c r="EM1" s="45" t="s">
        <v>136</v>
      </c>
      <c r="EN1" s="45" t="s">
        <v>134</v>
      </c>
      <c r="EO1" s="45" t="s">
        <v>132</v>
      </c>
      <c r="EP1" s="45" t="s">
        <v>129</v>
      </c>
      <c r="EQ1" s="45" t="s">
        <v>127</v>
      </c>
      <c r="ER1" s="45" t="s">
        <v>125</v>
      </c>
      <c r="ES1" s="44" t="s">
        <v>123</v>
      </c>
      <c r="ET1" s="44" t="s">
        <v>121</v>
      </c>
      <c r="EU1" s="45" t="s">
        <v>361</v>
      </c>
      <c r="EV1" s="45" t="s">
        <v>362</v>
      </c>
      <c r="EW1" s="45" t="s">
        <v>367</v>
      </c>
      <c r="EX1" s="45" t="s">
        <v>119</v>
      </c>
      <c r="EY1" s="45" t="s">
        <v>116</v>
      </c>
      <c r="EZ1" s="45" t="s">
        <v>369</v>
      </c>
      <c r="FA1" s="45" t="s">
        <v>370</v>
      </c>
      <c r="FB1" s="45" t="s">
        <v>371</v>
      </c>
      <c r="FC1" s="46" t="s">
        <v>490</v>
      </c>
      <c r="FD1" s="44" t="s">
        <v>459</v>
      </c>
      <c r="FE1" s="47" t="s">
        <v>460</v>
      </c>
      <c r="FF1" s="54" t="s">
        <v>112</v>
      </c>
      <c r="FG1" s="54" t="s">
        <v>464</v>
      </c>
      <c r="FH1" s="54" t="s">
        <v>465</v>
      </c>
      <c r="FI1" s="54" t="s">
        <v>466</v>
      </c>
      <c r="FJ1" s="54" t="s">
        <v>463</v>
      </c>
      <c r="FK1" s="54" t="s">
        <v>469</v>
      </c>
      <c r="FL1" s="54" t="s">
        <v>467</v>
      </c>
      <c r="FM1" s="54" t="s">
        <v>522</v>
      </c>
      <c r="FN1" s="54" t="s">
        <v>468</v>
      </c>
      <c r="FO1" s="54" t="s">
        <v>523</v>
      </c>
      <c r="FP1" s="54" t="s">
        <v>521</v>
      </c>
      <c r="FQ1" s="54" t="s">
        <v>353</v>
      </c>
      <c r="FR1" s="44" t="s">
        <v>54</v>
      </c>
      <c r="FS1" s="44" t="s">
        <v>55</v>
      </c>
      <c r="FT1" s="44" t="s">
        <v>57</v>
      </c>
      <c r="FU1" s="44" t="s">
        <v>1</v>
      </c>
      <c r="FV1" s="44" t="s">
        <v>56</v>
      </c>
      <c r="FW1" s="44" t="s">
        <v>355</v>
      </c>
      <c r="FX1" s="44" t="s">
        <v>340</v>
      </c>
      <c r="FY1" s="44" t="s">
        <v>489</v>
      </c>
      <c r="FZ1" s="44" t="s">
        <v>341</v>
      </c>
      <c r="GA1" s="44" t="s">
        <v>342</v>
      </c>
      <c r="GB1" s="44" t="s">
        <v>344</v>
      </c>
      <c r="GC1" s="44" t="s">
        <v>343</v>
      </c>
      <c r="GD1" s="44" t="s">
        <v>348</v>
      </c>
      <c r="GE1" s="44" t="s">
        <v>351</v>
      </c>
      <c r="GF1" s="44" t="s">
        <v>492</v>
      </c>
      <c r="GG1" s="44" t="s">
        <v>372</v>
      </c>
      <c r="GH1" s="44" t="s">
        <v>373</v>
      </c>
      <c r="GI1" s="44" t="s">
        <v>374</v>
      </c>
      <c r="GJ1" s="44" t="s">
        <v>375</v>
      </c>
      <c r="GK1" s="44" t="s">
        <v>376</v>
      </c>
      <c r="GL1" s="44" t="s">
        <v>377</v>
      </c>
      <c r="GM1" s="44" t="s">
        <v>378</v>
      </c>
      <c r="GN1" s="44" t="s">
        <v>2</v>
      </c>
      <c r="GO1" s="44" t="s">
        <v>339</v>
      </c>
      <c r="GP1" s="15" t="s">
        <v>598</v>
      </c>
      <c r="GQ1" s="15" t="s">
        <v>599</v>
      </c>
      <c r="GR1" s="15" t="s">
        <v>600</v>
      </c>
      <c r="GS1" s="15" t="s">
        <v>601</v>
      </c>
      <c r="GT1" s="44" t="s">
        <v>602</v>
      </c>
      <c r="GU1" s="34" t="s">
        <v>646</v>
      </c>
    </row>
    <row r="2" spans="1:203" s="43" customFormat="1" ht="15" thickBot="1">
      <c r="A2" s="35" t="s">
        <v>327</v>
      </c>
      <c r="B2" s="35" t="s">
        <v>327</v>
      </c>
      <c r="C2" s="35" t="s">
        <v>327</v>
      </c>
      <c r="D2" s="35" t="s">
        <v>327</v>
      </c>
      <c r="E2" s="36" t="s">
        <v>318</v>
      </c>
      <c r="F2" s="36" t="s">
        <v>318</v>
      </c>
      <c r="G2" s="36" t="s">
        <v>318</v>
      </c>
      <c r="H2" s="36" t="s">
        <v>318</v>
      </c>
      <c r="I2" s="36" t="s">
        <v>318</v>
      </c>
      <c r="J2" s="36" t="s">
        <v>318</v>
      </c>
      <c r="K2" s="36" t="s">
        <v>318</v>
      </c>
      <c r="L2" s="36" t="s">
        <v>318</v>
      </c>
      <c r="M2" s="36" t="s">
        <v>318</v>
      </c>
      <c r="N2" s="37" t="s">
        <v>313</v>
      </c>
      <c r="O2" s="37" t="s">
        <v>313</v>
      </c>
      <c r="P2" s="37" t="s">
        <v>313</v>
      </c>
      <c r="Q2" s="37" t="s">
        <v>313</v>
      </c>
      <c r="R2" s="17" t="s">
        <v>307</v>
      </c>
      <c r="S2" s="17" t="s">
        <v>307</v>
      </c>
      <c r="T2" s="17" t="s">
        <v>307</v>
      </c>
      <c r="U2" s="17" t="s">
        <v>307</v>
      </c>
      <c r="V2" s="14" t="s">
        <v>295</v>
      </c>
      <c r="W2" s="14" t="s">
        <v>295</v>
      </c>
      <c r="X2" s="14" t="s">
        <v>295</v>
      </c>
      <c r="Y2" s="14"/>
      <c r="Z2" s="38" t="s">
        <v>301</v>
      </c>
      <c r="AA2" s="38" t="s">
        <v>301</v>
      </c>
      <c r="AB2" s="38" t="s">
        <v>301</v>
      </c>
      <c r="AC2" s="38" t="s">
        <v>301</v>
      </c>
      <c r="AD2" s="38" t="s">
        <v>301</v>
      </c>
      <c r="AE2" s="38" t="s">
        <v>301</v>
      </c>
      <c r="AF2" s="38" t="s">
        <v>301</v>
      </c>
      <c r="AG2" s="38" t="s">
        <v>301</v>
      </c>
      <c r="AH2" s="38" t="s">
        <v>301</v>
      </c>
      <c r="AI2" s="38" t="s">
        <v>301</v>
      </c>
      <c r="AJ2" s="38" t="s">
        <v>301</v>
      </c>
      <c r="AK2" s="38" t="s">
        <v>301</v>
      </c>
      <c r="AL2" s="38" t="s">
        <v>301</v>
      </c>
      <c r="AM2" s="38" t="s">
        <v>301</v>
      </c>
      <c r="AN2" s="38" t="s">
        <v>301</v>
      </c>
      <c r="AO2" s="20" t="s">
        <v>297</v>
      </c>
      <c r="AP2" s="20" t="s">
        <v>297</v>
      </c>
      <c r="AQ2" s="20" t="s">
        <v>297</v>
      </c>
      <c r="AR2" s="17" t="s">
        <v>292</v>
      </c>
      <c r="AS2" s="17" t="s">
        <v>292</v>
      </c>
      <c r="AT2" s="17" t="s">
        <v>283</v>
      </c>
      <c r="AU2" s="17" t="s">
        <v>283</v>
      </c>
      <c r="AV2" s="17" t="s">
        <v>283</v>
      </c>
      <c r="AW2" s="17" t="s">
        <v>283</v>
      </c>
      <c r="AX2" s="37" t="s">
        <v>278</v>
      </c>
      <c r="AY2" s="37" t="s">
        <v>278</v>
      </c>
      <c r="AZ2" s="37" t="s">
        <v>273</v>
      </c>
      <c r="BA2" s="37" t="s">
        <v>273</v>
      </c>
      <c r="BB2" s="37" t="s">
        <v>273</v>
      </c>
      <c r="BC2" s="23" t="s">
        <v>264</v>
      </c>
      <c r="BD2" s="23" t="s">
        <v>264</v>
      </c>
      <c r="BE2" s="23" t="s">
        <v>264</v>
      </c>
      <c r="BF2" s="23" t="s">
        <v>264</v>
      </c>
      <c r="BG2" s="23" t="s">
        <v>264</v>
      </c>
      <c r="BH2" s="19" t="s">
        <v>260</v>
      </c>
      <c r="BI2" s="19" t="s">
        <v>260</v>
      </c>
      <c r="BJ2" s="22" t="s">
        <v>256</v>
      </c>
      <c r="BK2" s="22" t="s">
        <v>256</v>
      </c>
      <c r="BL2" s="22" t="s">
        <v>256</v>
      </c>
      <c r="BM2" s="17" t="s">
        <v>253</v>
      </c>
      <c r="BN2" s="17" t="s">
        <v>253</v>
      </c>
      <c r="BO2" s="17"/>
      <c r="BP2" s="17"/>
      <c r="BQ2" s="4" t="s">
        <v>249</v>
      </c>
      <c r="BR2" s="4" t="s">
        <v>249</v>
      </c>
      <c r="BS2" s="4" t="s">
        <v>249</v>
      </c>
      <c r="BT2" s="37" t="s">
        <v>241</v>
      </c>
      <c r="BU2" s="37" t="s">
        <v>241</v>
      </c>
      <c r="BV2" s="37" t="s">
        <v>241</v>
      </c>
      <c r="BW2" s="37" t="s">
        <v>241</v>
      </c>
      <c r="BX2" s="37" t="s">
        <v>228</v>
      </c>
      <c r="BY2" s="37" t="s">
        <v>228</v>
      </c>
      <c r="BZ2" s="37" t="s">
        <v>228</v>
      </c>
      <c r="CA2" s="37" t="s">
        <v>228</v>
      </c>
      <c r="CB2" s="37" t="s">
        <v>228</v>
      </c>
      <c r="CC2" s="37" t="s">
        <v>228</v>
      </c>
      <c r="CD2" s="37" t="s">
        <v>228</v>
      </c>
      <c r="CE2" s="37" t="s">
        <v>228</v>
      </c>
      <c r="CF2" s="37" t="s">
        <v>228</v>
      </c>
      <c r="CG2" s="19" t="s">
        <v>220</v>
      </c>
      <c r="CH2" s="19" t="s">
        <v>220</v>
      </c>
      <c r="CI2" s="19" t="s">
        <v>199</v>
      </c>
      <c r="CJ2" s="19" t="s">
        <v>199</v>
      </c>
      <c r="CK2" s="19" t="s">
        <v>199</v>
      </c>
      <c r="CL2" s="19" t="s">
        <v>199</v>
      </c>
      <c r="CM2" s="19" t="s">
        <v>199</v>
      </c>
      <c r="CN2" s="19" t="s">
        <v>199</v>
      </c>
      <c r="CO2" s="19" t="s">
        <v>199</v>
      </c>
      <c r="CP2" s="19" t="s">
        <v>199</v>
      </c>
      <c r="CQ2" s="19" t="s">
        <v>199</v>
      </c>
      <c r="CR2" s="19" t="s">
        <v>199</v>
      </c>
      <c r="CS2" s="17" t="s">
        <v>199</v>
      </c>
      <c r="CT2" s="17" t="s">
        <v>199</v>
      </c>
      <c r="CU2" s="17" t="s">
        <v>199</v>
      </c>
      <c r="CV2" s="17" t="s">
        <v>199</v>
      </c>
      <c r="CW2" s="17" t="s">
        <v>199</v>
      </c>
      <c r="CX2" s="17" t="s">
        <v>199</v>
      </c>
      <c r="CY2" s="17" t="s">
        <v>199</v>
      </c>
      <c r="CZ2" s="17" t="s">
        <v>199</v>
      </c>
      <c r="DA2" s="17" t="s">
        <v>199</v>
      </c>
      <c r="DB2" s="19" t="s">
        <v>194</v>
      </c>
      <c r="DC2" s="19" t="s">
        <v>194</v>
      </c>
      <c r="DD2" s="19" t="s">
        <v>189</v>
      </c>
      <c r="DE2" s="19" t="s">
        <v>189</v>
      </c>
      <c r="DF2" s="17" t="s">
        <v>184</v>
      </c>
      <c r="DG2" s="17" t="s">
        <v>184</v>
      </c>
      <c r="DH2" s="17" t="s">
        <v>180</v>
      </c>
      <c r="DI2" s="17" t="s">
        <v>180</v>
      </c>
      <c r="DJ2" s="17" t="s">
        <v>180</v>
      </c>
      <c r="DK2" s="17" t="s">
        <v>184</v>
      </c>
      <c r="DL2" s="17" t="s">
        <v>180</v>
      </c>
      <c r="DM2" s="17" t="s">
        <v>180</v>
      </c>
      <c r="DN2" s="17" t="s">
        <v>180</v>
      </c>
      <c r="DO2" s="17"/>
      <c r="DP2" s="17"/>
      <c r="DQ2" s="17"/>
      <c r="DR2" s="17"/>
      <c r="DS2" s="19" t="s">
        <v>177</v>
      </c>
      <c r="DT2" s="19" t="s">
        <v>177</v>
      </c>
      <c r="DU2" s="19" t="s">
        <v>157</v>
      </c>
      <c r="DV2" s="19" t="s">
        <v>157</v>
      </c>
      <c r="DW2" s="19" t="s">
        <v>157</v>
      </c>
      <c r="DX2" s="19" t="s">
        <v>157</v>
      </c>
      <c r="DY2" s="19" t="s">
        <v>157</v>
      </c>
      <c r="DZ2" s="19" t="s">
        <v>157</v>
      </c>
      <c r="EA2" s="19" t="s">
        <v>157</v>
      </c>
      <c r="EB2" s="19" t="s">
        <v>157</v>
      </c>
      <c r="EC2" s="19" t="s">
        <v>157</v>
      </c>
      <c r="ED2" s="19" t="s">
        <v>157</v>
      </c>
      <c r="EE2" s="39" t="s">
        <v>150</v>
      </c>
      <c r="EF2" s="39" t="s">
        <v>150</v>
      </c>
      <c r="EG2" s="39" t="s">
        <v>150</v>
      </c>
      <c r="EH2" s="39" t="s">
        <v>145</v>
      </c>
      <c r="EI2" s="39" t="s">
        <v>145</v>
      </c>
      <c r="EJ2" s="40" t="s">
        <v>141</v>
      </c>
      <c r="EK2" s="40" t="s">
        <v>141</v>
      </c>
      <c r="EL2" s="40" t="s">
        <v>130</v>
      </c>
      <c r="EM2" s="40" t="s">
        <v>130</v>
      </c>
      <c r="EN2" s="40" t="s">
        <v>130</v>
      </c>
      <c r="EO2" s="40" t="s">
        <v>130</v>
      </c>
      <c r="EP2" s="40" t="s">
        <v>130</v>
      </c>
      <c r="EQ2" s="41" t="s">
        <v>126</v>
      </c>
      <c r="ER2" s="41" t="s">
        <v>126</v>
      </c>
      <c r="ES2" s="17" t="s">
        <v>122</v>
      </c>
      <c r="ET2" s="17" t="s">
        <v>122</v>
      </c>
      <c r="EU2" s="17" t="s">
        <v>368</v>
      </c>
      <c r="EV2" s="17" t="s">
        <v>368</v>
      </c>
      <c r="EW2" s="17" t="s">
        <v>368</v>
      </c>
      <c r="EX2" s="42" t="s">
        <v>117</v>
      </c>
      <c r="EY2" s="42" t="s">
        <v>117</v>
      </c>
      <c r="EZ2" s="42" t="s">
        <v>360</v>
      </c>
      <c r="FA2" s="42" t="s">
        <v>360</v>
      </c>
      <c r="FB2" s="42" t="s">
        <v>360</v>
      </c>
      <c r="FC2" s="42"/>
      <c r="FD2" s="12" t="s">
        <v>461</v>
      </c>
      <c r="FE2" s="12" t="s">
        <v>461</v>
      </c>
      <c r="FF2" s="1" t="s">
        <v>113</v>
      </c>
      <c r="FG2" s="1" t="s">
        <v>113</v>
      </c>
      <c r="FH2" s="1" t="s">
        <v>113</v>
      </c>
      <c r="FI2" s="1"/>
      <c r="FJ2" s="1"/>
      <c r="FK2" s="1"/>
      <c r="FL2" s="1"/>
      <c r="FM2" s="1"/>
      <c r="FN2" s="1"/>
      <c r="FO2" s="1"/>
      <c r="FP2" s="1"/>
      <c r="FQ2" s="1" t="s">
        <v>113</v>
      </c>
      <c r="FR2" s="3" t="s">
        <v>95</v>
      </c>
      <c r="FS2" s="3" t="s">
        <v>95</v>
      </c>
      <c r="FT2" s="3" t="s">
        <v>95</v>
      </c>
      <c r="FU2" s="3" t="s">
        <v>95</v>
      </c>
      <c r="FV2" s="3" t="s">
        <v>95</v>
      </c>
      <c r="FW2" s="3" t="s">
        <v>95</v>
      </c>
      <c r="FX2" s="3" t="s">
        <v>95</v>
      </c>
      <c r="FY2" s="3" t="s">
        <v>95</v>
      </c>
      <c r="FZ2" s="3" t="s">
        <v>95</v>
      </c>
      <c r="GA2" s="3" t="s">
        <v>95</v>
      </c>
      <c r="GB2" s="3" t="s">
        <v>95</v>
      </c>
      <c r="GC2" s="3" t="s">
        <v>95</v>
      </c>
      <c r="GD2" s="3" t="s">
        <v>95</v>
      </c>
      <c r="GE2" s="3" t="s">
        <v>95</v>
      </c>
      <c r="GF2" s="3" t="s">
        <v>95</v>
      </c>
      <c r="GG2" s="2" t="s">
        <v>349</v>
      </c>
      <c r="GH2" s="2" t="s">
        <v>349</v>
      </c>
      <c r="GI2" s="2" t="s">
        <v>349</v>
      </c>
      <c r="GJ2" s="2" t="s">
        <v>349</v>
      </c>
      <c r="GK2" s="2" t="s">
        <v>349</v>
      </c>
      <c r="GL2" s="2" t="s">
        <v>349</v>
      </c>
      <c r="GM2" s="2" t="s">
        <v>349</v>
      </c>
      <c r="GN2" s="2" t="s">
        <v>349</v>
      </c>
      <c r="GO2" s="2" t="s">
        <v>349</v>
      </c>
      <c r="GP2" s="74" t="s">
        <v>603</v>
      </c>
      <c r="GQ2" s="74" t="s">
        <v>603</v>
      </c>
      <c r="GR2" s="74" t="s">
        <v>603</v>
      </c>
      <c r="GS2" s="74" t="s">
        <v>603</v>
      </c>
      <c r="GT2" s="74" t="s">
        <v>603</v>
      </c>
    </row>
    <row r="3" spans="1:203" s="43" customFormat="1" ht="15" customHeight="1" thickBot="1">
      <c r="A3" s="43" t="s">
        <v>330</v>
      </c>
      <c r="B3" s="43" t="s">
        <v>329</v>
      </c>
      <c r="C3" s="43" t="s">
        <v>328</v>
      </c>
      <c r="D3" s="43" t="s">
        <v>326</v>
      </c>
      <c r="E3" s="43" t="s">
        <v>325</v>
      </c>
      <c r="F3" s="43" t="s">
        <v>324</v>
      </c>
      <c r="G3" s="43" t="s">
        <v>323</v>
      </c>
      <c r="H3" s="43" t="s">
        <v>322</v>
      </c>
      <c r="J3" s="43" t="s">
        <v>321</v>
      </c>
      <c r="K3" s="43" t="s">
        <v>320</v>
      </c>
      <c r="L3" s="43" t="s">
        <v>319</v>
      </c>
      <c r="M3" s="43" t="s">
        <v>317</v>
      </c>
      <c r="N3" s="15" t="s">
        <v>315</v>
      </c>
      <c r="O3" s="55" t="s">
        <v>500</v>
      </c>
      <c r="P3" s="15" t="s">
        <v>96</v>
      </c>
      <c r="Q3" s="15" t="s">
        <v>597</v>
      </c>
      <c r="R3" s="15" t="s">
        <v>311</v>
      </c>
      <c r="S3" s="15" t="s">
        <v>309</v>
      </c>
      <c r="T3" s="15" t="s">
        <v>331</v>
      </c>
      <c r="U3" s="15" t="s">
        <v>305</v>
      </c>
      <c r="V3" s="27"/>
      <c r="W3" s="27"/>
      <c r="X3" s="27"/>
      <c r="Y3" s="27"/>
      <c r="Z3" s="15" t="s">
        <v>304</v>
      </c>
      <c r="AA3" s="15" t="s">
        <v>303</v>
      </c>
      <c r="AB3" s="15" t="s">
        <v>298</v>
      </c>
      <c r="AC3" s="15" t="s">
        <v>302</v>
      </c>
      <c r="AD3" s="15" t="s">
        <v>300</v>
      </c>
      <c r="AE3" s="15" t="s">
        <v>304</v>
      </c>
      <c r="AF3" s="15" t="s">
        <v>303</v>
      </c>
      <c r="AG3" s="15" t="s">
        <v>298</v>
      </c>
      <c r="AH3" s="15" t="s">
        <v>302</v>
      </c>
      <c r="AI3" s="15" t="s">
        <v>300</v>
      </c>
      <c r="AJ3" s="15" t="s">
        <v>304</v>
      </c>
      <c r="AK3" s="15" t="s">
        <v>303</v>
      </c>
      <c r="AL3" s="15" t="s">
        <v>298</v>
      </c>
      <c r="AM3" s="15" t="s">
        <v>302</v>
      </c>
      <c r="AN3" s="15" t="s">
        <v>300</v>
      </c>
      <c r="AO3" s="15" t="s">
        <v>299</v>
      </c>
      <c r="AP3" s="15" t="s">
        <v>298</v>
      </c>
      <c r="AQ3" s="15" t="s">
        <v>296</v>
      </c>
      <c r="AR3" s="15" t="s">
        <v>293</v>
      </c>
      <c r="AS3" s="16" t="s">
        <v>290</v>
      </c>
      <c r="AT3" s="15" t="s">
        <v>288</v>
      </c>
      <c r="AU3" s="15" t="s">
        <v>286</v>
      </c>
      <c r="AV3" s="15" t="s">
        <v>284</v>
      </c>
      <c r="AW3" s="15" t="s">
        <v>281</v>
      </c>
      <c r="AX3" s="15" t="s">
        <v>279</v>
      </c>
      <c r="AY3" s="16" t="s">
        <v>276</v>
      </c>
      <c r="AZ3" s="15" t="s">
        <v>274</v>
      </c>
      <c r="BA3" s="48" t="s">
        <v>401</v>
      </c>
      <c r="BB3" s="48" t="s">
        <v>402</v>
      </c>
      <c r="BC3" s="15" t="s">
        <v>271</v>
      </c>
      <c r="BD3" s="15" t="s">
        <v>269</v>
      </c>
      <c r="BE3" s="16" t="s">
        <v>267</v>
      </c>
      <c r="BF3" s="15" t="s">
        <v>265</v>
      </c>
      <c r="BG3" s="15" t="s">
        <v>262</v>
      </c>
      <c r="BH3" s="15" t="s">
        <v>254</v>
      </c>
      <c r="BI3" s="16" t="s">
        <v>259</v>
      </c>
      <c r="BJ3" s="21"/>
      <c r="BK3" s="21"/>
      <c r="BL3" s="21" t="s">
        <v>248</v>
      </c>
      <c r="BM3" s="15" t="s">
        <v>254</v>
      </c>
      <c r="BN3" s="16" t="s">
        <v>252</v>
      </c>
      <c r="BO3" s="16"/>
      <c r="BP3" s="16"/>
      <c r="BQ3" s="21"/>
      <c r="BR3" s="21"/>
      <c r="BS3" s="21" t="s">
        <v>248</v>
      </c>
      <c r="BT3" s="15" t="s">
        <v>246</v>
      </c>
      <c r="BU3" s="16" t="s">
        <v>244</v>
      </c>
      <c r="BV3" s="14" t="s">
        <v>242</v>
      </c>
      <c r="BW3" s="16" t="s">
        <v>239</v>
      </c>
      <c r="BX3" s="13" t="s">
        <v>237</v>
      </c>
      <c r="BY3" s="13" t="s">
        <v>235</v>
      </c>
      <c r="BZ3" s="13" t="s">
        <v>233</v>
      </c>
      <c r="CA3" s="13" t="s">
        <v>231</v>
      </c>
      <c r="CB3" s="13" t="s">
        <v>229</v>
      </c>
      <c r="CC3" s="13" t="s">
        <v>226</v>
      </c>
      <c r="CD3" s="10" t="s">
        <v>225</v>
      </c>
      <c r="CE3" s="10" t="s">
        <v>224</v>
      </c>
      <c r="CF3" s="10" t="s">
        <v>223</v>
      </c>
      <c r="CG3" s="15" t="s">
        <v>221</v>
      </c>
      <c r="CH3" s="15" t="s">
        <v>218</v>
      </c>
      <c r="CI3" s="15" t="s">
        <v>217</v>
      </c>
      <c r="CJ3" s="15" t="s">
        <v>216</v>
      </c>
      <c r="CK3" s="15" t="s">
        <v>214</v>
      </c>
      <c r="CL3" s="15" t="s">
        <v>212</v>
      </c>
      <c r="CM3" s="15"/>
      <c r="CN3" s="15" t="s">
        <v>211</v>
      </c>
      <c r="CO3" s="15" t="s">
        <v>210</v>
      </c>
      <c r="CP3" s="15" t="s">
        <v>209</v>
      </c>
      <c r="CQ3" s="15" t="s">
        <v>208</v>
      </c>
      <c r="CR3" s="15" t="s">
        <v>207</v>
      </c>
      <c r="CS3" s="15" t="s">
        <v>206</v>
      </c>
      <c r="CT3" s="15" t="s">
        <v>205</v>
      </c>
      <c r="CU3" s="15" t="s">
        <v>173</v>
      </c>
      <c r="CV3" s="15" t="s">
        <v>203</v>
      </c>
      <c r="CW3" s="15"/>
      <c r="CX3" s="15" t="s">
        <v>202</v>
      </c>
      <c r="CY3" s="15" t="s">
        <v>201</v>
      </c>
      <c r="CZ3" s="15" t="s">
        <v>200</v>
      </c>
      <c r="DA3" s="15" t="s">
        <v>197</v>
      </c>
      <c r="DB3" s="15" t="s">
        <v>195</v>
      </c>
      <c r="DC3" s="16" t="s">
        <v>192</v>
      </c>
      <c r="DD3" s="15" t="s">
        <v>190</v>
      </c>
      <c r="DE3" s="15" t="s">
        <v>187</v>
      </c>
      <c r="DF3" s="15" t="s">
        <v>185</v>
      </c>
      <c r="DG3" s="16" t="s">
        <v>183</v>
      </c>
      <c r="DH3" s="15" t="s">
        <v>182</v>
      </c>
      <c r="DI3" s="15" t="s">
        <v>181</v>
      </c>
      <c r="DJ3" s="15" t="s">
        <v>179</v>
      </c>
      <c r="DK3" s="16" t="s">
        <v>183</v>
      </c>
      <c r="DL3" s="15" t="s">
        <v>182</v>
      </c>
      <c r="DM3" s="15" t="s">
        <v>181</v>
      </c>
      <c r="DN3" s="15" t="s">
        <v>179</v>
      </c>
      <c r="DO3" s="15"/>
      <c r="DP3" s="15"/>
      <c r="DQ3" s="15"/>
      <c r="DR3" s="15"/>
      <c r="DS3" s="15" t="s">
        <v>118</v>
      </c>
      <c r="DT3" s="16" t="s">
        <v>175</v>
      </c>
      <c r="DU3" s="15" t="s">
        <v>173</v>
      </c>
      <c r="DV3" s="15" t="s">
        <v>171</v>
      </c>
      <c r="DW3" s="15" t="s">
        <v>169</v>
      </c>
      <c r="DX3" s="15" t="s">
        <v>167</v>
      </c>
      <c r="DY3" s="15" t="s">
        <v>165</v>
      </c>
      <c r="DZ3" s="15" t="s">
        <v>163</v>
      </c>
      <c r="EA3" s="15" t="s">
        <v>161</v>
      </c>
      <c r="EB3" s="15" t="s">
        <v>159</v>
      </c>
      <c r="EC3" s="15" t="s">
        <v>146</v>
      </c>
      <c r="ED3" s="15" t="s">
        <v>155</v>
      </c>
      <c r="EE3" s="15" t="s">
        <v>118</v>
      </c>
      <c r="EF3" s="16" t="s">
        <v>151</v>
      </c>
      <c r="EG3" s="15" t="s">
        <v>148</v>
      </c>
      <c r="EH3" s="15" t="s">
        <v>146</v>
      </c>
      <c r="EI3" s="15" t="s">
        <v>143</v>
      </c>
      <c r="EJ3" s="15" t="s">
        <v>118</v>
      </c>
      <c r="EK3" s="18" t="s">
        <v>139</v>
      </c>
      <c r="EL3" s="13" t="s">
        <v>137</v>
      </c>
      <c r="EM3" s="13" t="s">
        <v>135</v>
      </c>
      <c r="EN3" s="13" t="s">
        <v>133</v>
      </c>
      <c r="EO3" s="13" t="s">
        <v>131</v>
      </c>
      <c r="EP3" s="13" t="s">
        <v>128</v>
      </c>
      <c r="EQ3" s="13" t="s">
        <v>118</v>
      </c>
      <c r="ER3" s="14" t="s">
        <v>124</v>
      </c>
      <c r="ES3" s="15" t="s">
        <v>118</v>
      </c>
      <c r="ET3" s="16" t="s">
        <v>120</v>
      </c>
      <c r="EU3" s="15" t="s">
        <v>363</v>
      </c>
      <c r="EV3" s="15" t="s">
        <v>364</v>
      </c>
      <c r="EW3" s="15" t="s">
        <v>366</v>
      </c>
      <c r="EX3" s="13" t="s">
        <v>118</v>
      </c>
      <c r="EY3" s="14" t="s">
        <v>115</v>
      </c>
      <c r="EZ3" s="48" t="s">
        <v>358</v>
      </c>
      <c r="FA3" s="48" t="s">
        <v>359</v>
      </c>
      <c r="FB3" s="14" t="s">
        <v>365</v>
      </c>
      <c r="FC3" s="14"/>
      <c r="FD3" s="11" t="s">
        <v>114</v>
      </c>
      <c r="FE3" s="27" t="s">
        <v>462</v>
      </c>
      <c r="FF3" s="5" t="s">
        <v>337</v>
      </c>
      <c r="FG3" s="5"/>
      <c r="FH3" s="5" t="s">
        <v>354</v>
      </c>
      <c r="FI3" s="5"/>
      <c r="FJ3" s="5"/>
      <c r="FK3" s="5"/>
      <c r="FL3" s="5"/>
      <c r="FM3" s="5"/>
      <c r="FN3" s="5"/>
      <c r="FO3" s="5"/>
      <c r="FP3" s="5"/>
      <c r="FQ3" s="5" t="s">
        <v>111</v>
      </c>
      <c r="FR3" s="15" t="s">
        <v>109</v>
      </c>
      <c r="FS3" s="15" t="s">
        <v>108</v>
      </c>
      <c r="FT3" s="15" t="s">
        <v>107</v>
      </c>
      <c r="FU3" s="15" t="s">
        <v>106</v>
      </c>
      <c r="FV3" s="15" t="s">
        <v>332</v>
      </c>
      <c r="FW3" s="15" t="s">
        <v>110</v>
      </c>
      <c r="FX3" s="15" t="s">
        <v>333</v>
      </c>
      <c r="FY3" s="15" t="s">
        <v>334</v>
      </c>
      <c r="FZ3" s="15" t="s">
        <v>335</v>
      </c>
      <c r="GA3" s="15" t="s">
        <v>336</v>
      </c>
      <c r="GB3" s="15" t="s">
        <v>346</v>
      </c>
      <c r="GC3" s="15" t="s">
        <v>345</v>
      </c>
      <c r="GD3" s="15" t="s">
        <v>347</v>
      </c>
      <c r="GE3" s="15" t="s">
        <v>350</v>
      </c>
      <c r="GF3" s="15" t="s">
        <v>493</v>
      </c>
      <c r="GG3" s="15" t="s">
        <v>105</v>
      </c>
      <c r="GH3" s="15" t="s">
        <v>104</v>
      </c>
      <c r="GI3" s="15" t="s">
        <v>103</v>
      </c>
      <c r="GJ3" s="15" t="s">
        <v>102</v>
      </c>
      <c r="GK3" s="15" t="s">
        <v>101</v>
      </c>
      <c r="GL3" s="15" t="s">
        <v>100</v>
      </c>
      <c r="GM3" s="15" t="s">
        <v>352</v>
      </c>
      <c r="GN3" s="15" t="s">
        <v>99</v>
      </c>
      <c r="GO3" s="15" t="s">
        <v>338</v>
      </c>
      <c r="GP3" s="13" t="s">
        <v>604</v>
      </c>
      <c r="GQ3" s="75" t="s">
        <v>605</v>
      </c>
      <c r="GR3" s="75" t="s">
        <v>606</v>
      </c>
      <c r="GS3" s="13" t="s">
        <v>607</v>
      </c>
      <c r="GT3" s="13" t="s">
        <v>97</v>
      </c>
    </row>
    <row r="4" spans="1:203" ht="15" thickBot="1">
      <c r="A4" t="s">
        <v>3</v>
      </c>
      <c r="C4" t="s">
        <v>386</v>
      </c>
      <c r="E4" t="s">
        <v>6</v>
      </c>
      <c r="F4" s="6" t="s">
        <v>380</v>
      </c>
      <c r="G4" t="s">
        <v>387</v>
      </c>
      <c r="H4" s="6" t="s">
        <v>390</v>
      </c>
      <c r="I4" t="s">
        <v>154</v>
      </c>
      <c r="J4" t="s">
        <v>389</v>
      </c>
      <c r="K4" t="s">
        <v>7</v>
      </c>
      <c r="L4" t="s">
        <v>8</v>
      </c>
      <c r="M4" s="30" t="s">
        <v>31</v>
      </c>
      <c r="N4" t="s">
        <v>388</v>
      </c>
      <c r="P4" s="30" t="s">
        <v>31</v>
      </c>
      <c r="Q4" s="30">
        <v>1</v>
      </c>
      <c r="R4" t="s">
        <v>391</v>
      </c>
      <c r="S4">
        <v>2014</v>
      </c>
      <c r="T4">
        <v>2015</v>
      </c>
      <c r="U4" s="30" t="s">
        <v>31</v>
      </c>
      <c r="V4" s="30" t="s">
        <v>36</v>
      </c>
      <c r="W4" s="30" t="s">
        <v>36</v>
      </c>
      <c r="X4" t="s">
        <v>428</v>
      </c>
      <c r="Y4" t="s">
        <v>482</v>
      </c>
      <c r="Z4" t="s">
        <v>43</v>
      </c>
      <c r="AA4" t="s">
        <v>381</v>
      </c>
      <c r="AB4" s="6" t="s">
        <v>415</v>
      </c>
      <c r="AC4" s="31">
        <v>44000</v>
      </c>
      <c r="AR4" t="s">
        <v>399</v>
      </c>
      <c r="AS4" t="s">
        <v>42</v>
      </c>
      <c r="AT4" t="s">
        <v>400</v>
      </c>
      <c r="AV4" s="30" t="s">
        <v>31</v>
      </c>
      <c r="AW4" s="30">
        <v>1</v>
      </c>
      <c r="AX4" t="s">
        <v>397</v>
      </c>
      <c r="AZ4" s="6" t="s">
        <v>398</v>
      </c>
      <c r="BA4" s="30" t="s">
        <v>31</v>
      </c>
      <c r="BB4" s="30" t="s">
        <v>31</v>
      </c>
      <c r="BH4" t="s">
        <v>404</v>
      </c>
      <c r="BI4" s="49" t="s">
        <v>36</v>
      </c>
      <c r="BJ4" s="30"/>
      <c r="BK4" s="30"/>
      <c r="BL4" s="30"/>
      <c r="BM4" t="s">
        <v>404</v>
      </c>
      <c r="BN4" s="30" t="s">
        <v>36</v>
      </c>
      <c r="BO4" s="30"/>
      <c r="BP4" s="30"/>
      <c r="BQ4" s="30"/>
      <c r="BR4" s="30"/>
      <c r="BS4" s="30"/>
      <c r="CG4" t="s">
        <v>413</v>
      </c>
      <c r="CH4" s="30"/>
      <c r="CI4" s="51" t="s">
        <v>439</v>
      </c>
      <c r="CJ4" s="51" t="s">
        <v>441</v>
      </c>
      <c r="CK4" s="6" t="s">
        <v>440</v>
      </c>
      <c r="CL4" s="30" t="s">
        <v>442</v>
      </c>
      <c r="CM4" s="30"/>
      <c r="CN4" s="30"/>
      <c r="CO4" s="30"/>
      <c r="CP4" s="30"/>
      <c r="CQ4" s="30"/>
      <c r="CR4" s="30"/>
      <c r="CS4" s="51" t="s">
        <v>38</v>
      </c>
      <c r="CT4" s="51" t="s">
        <v>435</v>
      </c>
      <c r="CU4" s="6" t="s">
        <v>420</v>
      </c>
      <c r="CV4" s="30">
        <v>5</v>
      </c>
      <c r="CW4" s="6" t="s">
        <v>436</v>
      </c>
      <c r="CX4" s="30">
        <v>0.74</v>
      </c>
      <c r="CY4" s="30">
        <v>0.12</v>
      </c>
      <c r="CZ4" s="30">
        <v>0.69</v>
      </c>
      <c r="DA4" s="6" t="s">
        <v>438</v>
      </c>
      <c r="DB4" s="6" t="s">
        <v>444</v>
      </c>
      <c r="DC4" s="49" t="s">
        <v>445</v>
      </c>
      <c r="DE4" t="s">
        <v>31</v>
      </c>
      <c r="DF4" s="30" t="s">
        <v>447</v>
      </c>
      <c r="DG4" t="s">
        <v>452</v>
      </c>
      <c r="DI4" s="6" t="s">
        <v>455</v>
      </c>
      <c r="DJ4" s="30">
        <v>0</v>
      </c>
      <c r="DK4" s="67" t="s">
        <v>579</v>
      </c>
      <c r="DL4" s="30"/>
      <c r="DM4" s="30"/>
      <c r="DN4" s="30"/>
      <c r="DO4" s="49" t="s">
        <v>580</v>
      </c>
      <c r="DP4" s="30"/>
      <c r="DQ4" s="30"/>
      <c r="DR4" s="30"/>
      <c r="DT4" t="s">
        <v>419</v>
      </c>
      <c r="DU4" s="6"/>
      <c r="DV4" s="6"/>
      <c r="DW4" s="6"/>
      <c r="DX4" s="6"/>
      <c r="DY4" s="6"/>
      <c r="DZ4" s="6"/>
      <c r="EA4" s="6"/>
      <c r="EB4" s="6" t="s">
        <v>31</v>
      </c>
      <c r="EC4" s="6" t="s">
        <v>420</v>
      </c>
      <c r="ED4">
        <v>0</v>
      </c>
      <c r="FC4" t="s">
        <v>491</v>
      </c>
      <c r="FF4" s="43" t="s">
        <v>518</v>
      </c>
      <c r="FG4" t="s">
        <v>43</v>
      </c>
      <c r="FH4" s="6" t="s">
        <v>470</v>
      </c>
      <c r="FI4" t="s">
        <v>43</v>
      </c>
      <c r="FJ4" s="6" t="s">
        <v>44</v>
      </c>
      <c r="FR4" t="s">
        <v>540</v>
      </c>
      <c r="FT4" t="s">
        <v>539</v>
      </c>
      <c r="FV4" s="52" t="s">
        <v>5</v>
      </c>
      <c r="GE4" t="s">
        <v>545</v>
      </c>
      <c r="GF4" t="s">
        <v>543</v>
      </c>
      <c r="GG4" s="24" t="s">
        <v>542</v>
      </c>
      <c r="GH4" s="24">
        <v>109.95</v>
      </c>
      <c r="GI4" s="24" t="s">
        <v>31</v>
      </c>
      <c r="GJ4" s="24" t="s">
        <v>31</v>
      </c>
      <c r="GK4" s="24"/>
      <c r="GM4">
        <v>8</v>
      </c>
      <c r="GN4" t="s">
        <v>541</v>
      </c>
      <c r="GO4" t="s">
        <v>154</v>
      </c>
      <c r="GQ4">
        <v>2012</v>
      </c>
      <c r="GR4">
        <v>2015</v>
      </c>
    </row>
    <row r="5" spans="1:203" ht="15" thickBot="1">
      <c r="A5" t="s">
        <v>3</v>
      </c>
      <c r="C5" t="s">
        <v>386</v>
      </c>
      <c r="E5" t="s">
        <v>6</v>
      </c>
      <c r="F5" s="6" t="s">
        <v>380</v>
      </c>
      <c r="G5" t="s">
        <v>387</v>
      </c>
      <c r="H5" s="6" t="s">
        <v>390</v>
      </c>
      <c r="I5" t="s">
        <v>154</v>
      </c>
      <c r="J5" t="s">
        <v>389</v>
      </c>
      <c r="K5" t="s">
        <v>7</v>
      </c>
      <c r="L5" t="s">
        <v>8</v>
      </c>
      <c r="M5" s="30" t="s">
        <v>31</v>
      </c>
      <c r="N5" t="s">
        <v>388</v>
      </c>
      <c r="P5" s="30" t="s">
        <v>31</v>
      </c>
      <c r="Q5" s="30">
        <v>1</v>
      </c>
      <c r="R5" t="s">
        <v>391</v>
      </c>
      <c r="S5">
        <v>2014</v>
      </c>
      <c r="T5">
        <v>2015</v>
      </c>
      <c r="U5" s="30" t="s">
        <v>31</v>
      </c>
      <c r="V5" s="30" t="s">
        <v>36</v>
      </c>
      <c r="W5" s="30" t="s">
        <v>36</v>
      </c>
      <c r="X5" t="s">
        <v>429</v>
      </c>
      <c r="Y5" t="s">
        <v>483</v>
      </c>
      <c r="Z5" t="s">
        <v>43</v>
      </c>
      <c r="AA5" t="s">
        <v>381</v>
      </c>
      <c r="AB5" s="6" t="s">
        <v>415</v>
      </c>
      <c r="AC5" s="31">
        <v>44000</v>
      </c>
      <c r="AR5" t="s">
        <v>396</v>
      </c>
      <c r="AS5" t="s">
        <v>40</v>
      </c>
      <c r="AV5" s="30"/>
      <c r="AW5" s="30"/>
      <c r="AX5" t="s">
        <v>397</v>
      </c>
      <c r="AZ5" s="6" t="s">
        <v>398</v>
      </c>
      <c r="BA5" s="30" t="s">
        <v>31</v>
      </c>
      <c r="BB5" s="30" t="s">
        <v>31</v>
      </c>
      <c r="BH5" t="s">
        <v>404</v>
      </c>
      <c r="BI5" s="49" t="s">
        <v>36</v>
      </c>
      <c r="BJ5" s="30"/>
      <c r="BK5" s="30"/>
      <c r="BL5" s="30"/>
      <c r="BM5" t="s">
        <v>404</v>
      </c>
      <c r="BN5" s="30" t="s">
        <v>36</v>
      </c>
      <c r="BO5" s="30"/>
      <c r="BP5" s="30"/>
      <c r="BQ5" s="30"/>
      <c r="BR5" s="30"/>
      <c r="BS5" s="30"/>
      <c r="CG5" t="s">
        <v>413</v>
      </c>
      <c r="CH5" s="30"/>
      <c r="CI5" s="51" t="s">
        <v>439</v>
      </c>
      <c r="CJ5" s="51" t="s">
        <v>441</v>
      </c>
      <c r="CK5" s="6" t="s">
        <v>440</v>
      </c>
      <c r="CL5" s="30" t="s">
        <v>442</v>
      </c>
      <c r="CM5" s="30"/>
      <c r="CN5" s="30"/>
      <c r="CO5" s="30"/>
      <c r="CP5" s="30"/>
      <c r="CQ5" s="30"/>
      <c r="CR5" s="30"/>
      <c r="CS5" s="51" t="s">
        <v>38</v>
      </c>
      <c r="CT5" s="51" t="s">
        <v>435</v>
      </c>
      <c r="CU5" s="6" t="s">
        <v>420</v>
      </c>
      <c r="CV5" s="30">
        <v>5</v>
      </c>
      <c r="CW5" s="6" t="s">
        <v>436</v>
      </c>
      <c r="CX5" s="30">
        <v>0.74</v>
      </c>
      <c r="CY5" s="30">
        <v>0.12</v>
      </c>
      <c r="CZ5" s="30">
        <v>0.69</v>
      </c>
      <c r="DA5" s="6" t="s">
        <v>438</v>
      </c>
      <c r="DB5" s="30" t="s">
        <v>446</v>
      </c>
      <c r="DC5" s="49" t="s">
        <v>445</v>
      </c>
      <c r="DE5" t="s">
        <v>31</v>
      </c>
      <c r="DF5" s="30" t="s">
        <v>446</v>
      </c>
      <c r="DG5" t="s">
        <v>453</v>
      </c>
      <c r="DH5" t="s">
        <v>454</v>
      </c>
      <c r="DI5" s="6" t="s">
        <v>455</v>
      </c>
      <c r="DJ5" s="30">
        <v>2.5</v>
      </c>
      <c r="DK5" s="67" t="s">
        <v>579</v>
      </c>
      <c r="DL5" s="30"/>
      <c r="DM5" s="30"/>
      <c r="DN5" s="30"/>
      <c r="DO5" s="49" t="s">
        <v>580</v>
      </c>
      <c r="DP5" s="30"/>
      <c r="DQ5" s="30"/>
      <c r="DR5" s="30"/>
      <c r="DS5" t="s">
        <v>418</v>
      </c>
      <c r="DT5" t="s">
        <v>41</v>
      </c>
      <c r="DU5" s="6"/>
      <c r="DV5" s="6" t="s">
        <v>31</v>
      </c>
      <c r="DW5" s="6" t="s">
        <v>31</v>
      </c>
      <c r="DX5" s="6" t="s">
        <v>31</v>
      </c>
      <c r="DY5" s="6"/>
      <c r="DZ5" t="s">
        <v>421</v>
      </c>
      <c r="EA5" s="6" t="s">
        <v>31</v>
      </c>
      <c r="EB5" s="6" t="s">
        <v>31</v>
      </c>
      <c r="EC5" s="6" t="s">
        <v>420</v>
      </c>
      <c r="ED5">
        <v>2.5</v>
      </c>
      <c r="FC5" t="s">
        <v>491</v>
      </c>
      <c r="FF5" s="43" t="s">
        <v>519</v>
      </c>
      <c r="FG5" t="s">
        <v>43</v>
      </c>
      <c r="FH5" s="6" t="s">
        <v>470</v>
      </c>
      <c r="FI5" t="s">
        <v>43</v>
      </c>
      <c r="FJ5" s="6" t="s">
        <v>44</v>
      </c>
      <c r="FR5" t="s">
        <v>540</v>
      </c>
      <c r="FT5" t="s">
        <v>539</v>
      </c>
      <c r="FV5" s="52" t="s">
        <v>5</v>
      </c>
      <c r="GE5" t="s">
        <v>546</v>
      </c>
      <c r="GF5" t="s">
        <v>544</v>
      </c>
      <c r="GG5" s="24" t="s">
        <v>542</v>
      </c>
      <c r="GH5" s="24">
        <v>102.9</v>
      </c>
      <c r="GI5" s="24" t="s">
        <v>31</v>
      </c>
      <c r="GJ5" s="24" t="s">
        <v>31</v>
      </c>
      <c r="GK5" s="24"/>
      <c r="GM5">
        <v>8</v>
      </c>
      <c r="GN5" t="s">
        <v>541</v>
      </c>
      <c r="GO5" t="s">
        <v>154</v>
      </c>
      <c r="GQ5">
        <v>2012</v>
      </c>
      <c r="GR5">
        <v>2015</v>
      </c>
    </row>
    <row r="6" spans="1:203" ht="15" thickBot="1">
      <c r="A6" t="s">
        <v>3</v>
      </c>
      <c r="C6" t="s">
        <v>386</v>
      </c>
      <c r="E6" t="s">
        <v>6</v>
      </c>
      <c r="F6" s="6" t="s">
        <v>380</v>
      </c>
      <c r="G6" t="s">
        <v>387</v>
      </c>
      <c r="H6" s="6" t="s">
        <v>390</v>
      </c>
      <c r="I6" t="s">
        <v>154</v>
      </c>
      <c r="J6" t="s">
        <v>389</v>
      </c>
      <c r="K6" t="s">
        <v>7</v>
      </c>
      <c r="L6" t="s">
        <v>8</v>
      </c>
      <c r="M6" s="30" t="s">
        <v>31</v>
      </c>
      <c r="N6" t="s">
        <v>388</v>
      </c>
      <c r="P6" s="30" t="s">
        <v>31</v>
      </c>
      <c r="Q6" s="30">
        <v>1</v>
      </c>
      <c r="R6" t="s">
        <v>391</v>
      </c>
      <c r="S6">
        <v>2014</v>
      </c>
      <c r="T6">
        <v>2015</v>
      </c>
      <c r="U6" s="30" t="s">
        <v>31</v>
      </c>
      <c r="V6" s="30" t="s">
        <v>34</v>
      </c>
      <c r="W6" s="30" t="s">
        <v>34</v>
      </c>
      <c r="X6" t="s">
        <v>430</v>
      </c>
      <c r="Y6" t="s">
        <v>484</v>
      </c>
      <c r="Z6" t="s">
        <v>43</v>
      </c>
      <c r="AA6" t="s">
        <v>381</v>
      </c>
      <c r="AB6" s="6" t="s">
        <v>415</v>
      </c>
      <c r="AC6" s="31">
        <v>44000</v>
      </c>
      <c r="AD6" t="s">
        <v>98</v>
      </c>
      <c r="AE6" t="s">
        <v>392</v>
      </c>
      <c r="AF6" t="s">
        <v>381</v>
      </c>
      <c r="AG6" s="6" t="s">
        <v>415</v>
      </c>
      <c r="AH6" s="31">
        <v>44444</v>
      </c>
      <c r="AR6" t="s">
        <v>396</v>
      </c>
      <c r="AS6" t="s">
        <v>40</v>
      </c>
      <c r="AV6" s="30"/>
      <c r="AW6" s="30"/>
      <c r="AX6" t="s">
        <v>397</v>
      </c>
      <c r="AZ6" s="6" t="s">
        <v>417</v>
      </c>
      <c r="BA6" s="30" t="s">
        <v>31</v>
      </c>
      <c r="BB6" s="30" t="s">
        <v>31</v>
      </c>
      <c r="BH6" t="s">
        <v>407</v>
      </c>
      <c r="BI6" s="50" t="s">
        <v>35</v>
      </c>
      <c r="BJ6" s="30" t="s">
        <v>31</v>
      </c>
      <c r="BK6" s="30" t="s">
        <v>31</v>
      </c>
      <c r="BL6" s="6" t="s">
        <v>416</v>
      </c>
      <c r="BM6" s="30"/>
      <c r="BN6" s="30"/>
      <c r="BO6" s="30"/>
      <c r="BP6" s="30"/>
      <c r="BQ6" s="30"/>
      <c r="BR6" s="30"/>
      <c r="BS6" s="30"/>
      <c r="CG6" t="s">
        <v>413</v>
      </c>
      <c r="CH6" s="30"/>
      <c r="CI6" s="51" t="s">
        <v>439</v>
      </c>
      <c r="CJ6" s="51" t="s">
        <v>441</v>
      </c>
      <c r="CK6" s="6" t="s">
        <v>440</v>
      </c>
      <c r="CL6" s="30" t="s">
        <v>442</v>
      </c>
      <c r="CM6" s="30"/>
      <c r="CN6" s="30"/>
      <c r="CO6" s="30"/>
      <c r="CP6" s="30"/>
      <c r="CQ6" s="30"/>
      <c r="CR6" s="30"/>
      <c r="CS6" s="51" t="s">
        <v>38</v>
      </c>
      <c r="CT6" s="51" t="s">
        <v>435</v>
      </c>
      <c r="CU6" s="6" t="s">
        <v>420</v>
      </c>
      <c r="CV6" s="30">
        <v>5</v>
      </c>
      <c r="CW6" s="6" t="s">
        <v>436</v>
      </c>
      <c r="CX6" s="30">
        <v>0.74</v>
      </c>
      <c r="CY6" s="30">
        <v>0.12</v>
      </c>
      <c r="CZ6" s="30">
        <v>0.69</v>
      </c>
      <c r="DA6" s="6" t="s">
        <v>438</v>
      </c>
      <c r="DB6" s="30" t="s">
        <v>446</v>
      </c>
      <c r="DC6" s="49" t="s">
        <v>445</v>
      </c>
      <c r="DE6" t="s">
        <v>31</v>
      </c>
      <c r="DF6" s="30" t="s">
        <v>446</v>
      </c>
      <c r="DG6" t="s">
        <v>453</v>
      </c>
      <c r="DH6" t="s">
        <v>454</v>
      </c>
      <c r="DI6" s="6" t="s">
        <v>455</v>
      </c>
      <c r="DJ6" s="30">
        <v>2.5</v>
      </c>
      <c r="DK6" s="67" t="s">
        <v>579</v>
      </c>
      <c r="DL6" s="30"/>
      <c r="DM6" s="30"/>
      <c r="DN6" s="30"/>
      <c r="DO6" s="49" t="s">
        <v>580</v>
      </c>
      <c r="DP6" s="56" t="s">
        <v>534</v>
      </c>
      <c r="DQ6" s="30"/>
      <c r="DR6" s="30"/>
      <c r="DS6" t="s">
        <v>418</v>
      </c>
      <c r="DT6" t="s">
        <v>41</v>
      </c>
      <c r="DU6" s="6"/>
      <c r="DV6" s="6" t="s">
        <v>31</v>
      </c>
      <c r="DW6" s="6" t="s">
        <v>31</v>
      </c>
      <c r="DX6" s="6" t="s">
        <v>31</v>
      </c>
      <c r="DY6" s="6"/>
      <c r="DZ6" t="s">
        <v>421</v>
      </c>
      <c r="EA6" s="6" t="s">
        <v>31</v>
      </c>
      <c r="EB6" s="6" t="s">
        <v>31</v>
      </c>
      <c r="EC6" s="6" t="s">
        <v>420</v>
      </c>
      <c r="ED6">
        <v>2.5</v>
      </c>
      <c r="FC6" t="s">
        <v>154</v>
      </c>
      <c r="FF6" s="43" t="s">
        <v>517</v>
      </c>
      <c r="FG6" t="s">
        <v>43</v>
      </c>
      <c r="FH6" s="6" t="s">
        <v>470</v>
      </c>
      <c r="FI6" t="s">
        <v>43</v>
      </c>
      <c r="FJ6" s="6" t="s">
        <v>44</v>
      </c>
      <c r="FK6" t="s">
        <v>392</v>
      </c>
      <c r="FL6" t="s">
        <v>473</v>
      </c>
      <c r="FO6" t="s">
        <v>524</v>
      </c>
      <c r="FR6" t="s">
        <v>540</v>
      </c>
      <c r="FT6" t="s">
        <v>539</v>
      </c>
      <c r="FV6" s="52" t="s">
        <v>5</v>
      </c>
      <c r="GE6" t="s">
        <v>547</v>
      </c>
      <c r="GG6" s="24" t="s">
        <v>542</v>
      </c>
      <c r="GH6" s="24">
        <v>113.76</v>
      </c>
      <c r="GI6" s="24" t="s">
        <v>31</v>
      </c>
      <c r="GJ6" s="24" t="s">
        <v>31</v>
      </c>
      <c r="GK6" s="24"/>
      <c r="GM6">
        <v>8</v>
      </c>
      <c r="GN6" t="s">
        <v>541</v>
      </c>
      <c r="GO6" t="s">
        <v>154</v>
      </c>
      <c r="GQ6">
        <v>2012</v>
      </c>
      <c r="GR6">
        <v>2015</v>
      </c>
    </row>
    <row r="7" spans="1:203" ht="15" thickBot="1">
      <c r="A7" t="s">
        <v>3</v>
      </c>
      <c r="C7" t="s">
        <v>386</v>
      </c>
      <c r="E7" t="s">
        <v>6</v>
      </c>
      <c r="F7" s="6" t="s">
        <v>380</v>
      </c>
      <c r="G7" t="s">
        <v>387</v>
      </c>
      <c r="H7" s="6" t="s">
        <v>390</v>
      </c>
      <c r="I7" t="s">
        <v>154</v>
      </c>
      <c r="J7" t="s">
        <v>389</v>
      </c>
      <c r="K7" t="s">
        <v>7</v>
      </c>
      <c r="L7" t="s">
        <v>8</v>
      </c>
      <c r="M7" s="30" t="s">
        <v>31</v>
      </c>
      <c r="N7" t="s">
        <v>388</v>
      </c>
      <c r="P7" s="30" t="s">
        <v>31</v>
      </c>
      <c r="Q7" s="30">
        <v>1</v>
      </c>
      <c r="R7" t="s">
        <v>391</v>
      </c>
      <c r="S7">
        <v>2014</v>
      </c>
      <c r="T7">
        <v>2015</v>
      </c>
      <c r="U7" s="30" t="s">
        <v>31</v>
      </c>
      <c r="V7" s="30" t="s">
        <v>34</v>
      </c>
      <c r="W7" s="30" t="s">
        <v>34</v>
      </c>
      <c r="X7" t="s">
        <v>431</v>
      </c>
      <c r="Y7" t="s">
        <v>485</v>
      </c>
      <c r="Z7" t="s">
        <v>43</v>
      </c>
      <c r="AA7" t="s">
        <v>381</v>
      </c>
      <c r="AB7" s="6" t="s">
        <v>415</v>
      </c>
      <c r="AC7" s="31">
        <v>44000</v>
      </c>
      <c r="AD7" t="s">
        <v>98</v>
      </c>
      <c r="AE7" t="s">
        <v>393</v>
      </c>
      <c r="AF7" t="s">
        <v>381</v>
      </c>
      <c r="AG7" s="6" t="s">
        <v>415</v>
      </c>
      <c r="AH7" s="31">
        <v>44444</v>
      </c>
      <c r="AR7" t="s">
        <v>396</v>
      </c>
      <c r="AS7" t="s">
        <v>40</v>
      </c>
      <c r="AV7" s="30"/>
      <c r="AW7" s="30"/>
      <c r="AX7" t="s">
        <v>397</v>
      </c>
      <c r="AZ7" s="6" t="s">
        <v>417</v>
      </c>
      <c r="BA7" s="30" t="s">
        <v>31</v>
      </c>
      <c r="BB7" s="30" t="s">
        <v>31</v>
      </c>
      <c r="BH7" t="s">
        <v>406</v>
      </c>
      <c r="BI7" s="50" t="s">
        <v>35</v>
      </c>
      <c r="BJ7" s="30" t="s">
        <v>31</v>
      </c>
      <c r="BK7" s="30" t="s">
        <v>31</v>
      </c>
      <c r="BL7" s="6" t="s">
        <v>416</v>
      </c>
      <c r="BM7" s="30"/>
      <c r="BN7" s="30"/>
      <c r="BO7" s="30"/>
      <c r="BP7" s="30"/>
      <c r="BQ7" s="30"/>
      <c r="BR7" s="30"/>
      <c r="BS7" s="30"/>
      <c r="CG7" t="s">
        <v>413</v>
      </c>
      <c r="CH7" s="30"/>
      <c r="CI7" s="51" t="s">
        <v>439</v>
      </c>
      <c r="CJ7" s="51" t="s">
        <v>441</v>
      </c>
      <c r="CK7" s="6" t="s">
        <v>440</v>
      </c>
      <c r="CL7" s="30" t="s">
        <v>442</v>
      </c>
      <c r="CM7" s="30"/>
      <c r="CN7" s="30"/>
      <c r="CO7" s="30"/>
      <c r="CP7" s="30"/>
      <c r="CQ7" s="30"/>
      <c r="CR7" s="30"/>
      <c r="CS7" s="51" t="s">
        <v>38</v>
      </c>
      <c r="CT7" s="51" t="s">
        <v>435</v>
      </c>
      <c r="CU7" s="6" t="s">
        <v>420</v>
      </c>
      <c r="CV7" s="30">
        <v>5</v>
      </c>
      <c r="CW7" s="6" t="s">
        <v>436</v>
      </c>
      <c r="CX7" s="30">
        <v>0.74</v>
      </c>
      <c r="CY7" s="30">
        <v>0.12</v>
      </c>
      <c r="CZ7" s="30">
        <v>0.69</v>
      </c>
      <c r="DA7" s="6" t="s">
        <v>438</v>
      </c>
      <c r="DB7" s="30" t="s">
        <v>446</v>
      </c>
      <c r="DC7" s="49" t="s">
        <v>445</v>
      </c>
      <c r="DE7" t="s">
        <v>31</v>
      </c>
      <c r="DF7" s="30" t="s">
        <v>446</v>
      </c>
      <c r="DG7" t="s">
        <v>453</v>
      </c>
      <c r="DH7" t="s">
        <v>454</v>
      </c>
      <c r="DI7" s="6" t="s">
        <v>455</v>
      </c>
      <c r="DJ7" s="30">
        <v>2.5</v>
      </c>
      <c r="DK7" s="67" t="s">
        <v>579</v>
      </c>
      <c r="DL7" s="30"/>
      <c r="DM7" s="30"/>
      <c r="DN7" s="30"/>
      <c r="DO7" s="49" t="s">
        <v>580</v>
      </c>
      <c r="DP7" s="56" t="s">
        <v>534</v>
      </c>
      <c r="DQ7" s="30"/>
      <c r="DR7" s="30"/>
      <c r="DS7" t="s">
        <v>418</v>
      </c>
      <c r="DT7" t="s">
        <v>41</v>
      </c>
      <c r="DU7" s="6"/>
      <c r="DV7" s="6" t="s">
        <v>31</v>
      </c>
      <c r="DW7" s="6" t="s">
        <v>31</v>
      </c>
      <c r="DX7" s="6" t="s">
        <v>31</v>
      </c>
      <c r="DY7" s="6"/>
      <c r="DZ7" t="s">
        <v>421</v>
      </c>
      <c r="EA7" s="6" t="s">
        <v>31</v>
      </c>
      <c r="EB7" s="6" t="s">
        <v>31</v>
      </c>
      <c r="EC7" s="6" t="s">
        <v>420</v>
      </c>
      <c r="ED7">
        <v>2.5</v>
      </c>
      <c r="FC7" t="s">
        <v>154</v>
      </c>
      <c r="FF7" s="43" t="s">
        <v>517</v>
      </c>
      <c r="FG7" t="s">
        <v>43</v>
      </c>
      <c r="FH7" s="6" t="s">
        <v>470</v>
      </c>
      <c r="FI7" t="s">
        <v>43</v>
      </c>
      <c r="FJ7" s="6" t="s">
        <v>44</v>
      </c>
      <c r="FK7" t="s">
        <v>48</v>
      </c>
      <c r="FL7" t="s">
        <v>49</v>
      </c>
      <c r="FO7" t="s">
        <v>524</v>
      </c>
      <c r="FR7" t="s">
        <v>540</v>
      </c>
      <c r="FT7" t="s">
        <v>539</v>
      </c>
      <c r="FV7" s="52" t="s">
        <v>5</v>
      </c>
      <c r="GE7" t="s">
        <v>547</v>
      </c>
      <c r="GG7" s="24" t="s">
        <v>542</v>
      </c>
      <c r="GH7" s="24">
        <v>118.62</v>
      </c>
      <c r="GI7" s="24" t="s">
        <v>31</v>
      </c>
      <c r="GJ7" s="24" t="s">
        <v>31</v>
      </c>
      <c r="GK7" s="24"/>
      <c r="GM7">
        <v>8</v>
      </c>
      <c r="GN7" t="s">
        <v>541</v>
      </c>
      <c r="GO7" t="s">
        <v>154</v>
      </c>
      <c r="GQ7">
        <v>2012</v>
      </c>
      <c r="GR7">
        <v>2015</v>
      </c>
    </row>
    <row r="8" spans="1:203" ht="15" thickBot="1">
      <c r="A8" t="s">
        <v>3</v>
      </c>
      <c r="C8" t="s">
        <v>386</v>
      </c>
      <c r="E8" t="s">
        <v>6</v>
      </c>
      <c r="F8" s="6" t="s">
        <v>380</v>
      </c>
      <c r="G8" t="s">
        <v>387</v>
      </c>
      <c r="H8" s="6" t="s">
        <v>390</v>
      </c>
      <c r="I8" t="s">
        <v>154</v>
      </c>
      <c r="J8" t="s">
        <v>389</v>
      </c>
      <c r="K8" t="s">
        <v>7</v>
      </c>
      <c r="L8" t="s">
        <v>8</v>
      </c>
      <c r="M8" s="30" t="s">
        <v>31</v>
      </c>
      <c r="N8" t="s">
        <v>388</v>
      </c>
      <c r="P8" s="30" t="s">
        <v>31</v>
      </c>
      <c r="Q8" s="30">
        <v>1</v>
      </c>
      <c r="R8" t="s">
        <v>391</v>
      </c>
      <c r="S8">
        <v>2014</v>
      </c>
      <c r="T8">
        <v>2015</v>
      </c>
      <c r="U8" s="30" t="s">
        <v>31</v>
      </c>
      <c r="V8" s="30" t="s">
        <v>502</v>
      </c>
      <c r="W8" s="30" t="s">
        <v>502</v>
      </c>
      <c r="X8" t="s">
        <v>432</v>
      </c>
      <c r="Y8" t="s">
        <v>486</v>
      </c>
      <c r="Z8" t="s">
        <v>43</v>
      </c>
      <c r="AA8" t="s">
        <v>381</v>
      </c>
      <c r="AB8" s="6" t="s">
        <v>415</v>
      </c>
      <c r="AC8" s="31">
        <v>44000</v>
      </c>
      <c r="AD8" t="s">
        <v>394</v>
      </c>
      <c r="AE8" t="s">
        <v>46</v>
      </c>
      <c r="AF8" t="s">
        <v>381</v>
      </c>
      <c r="AG8" s="6" t="s">
        <v>415</v>
      </c>
      <c r="AH8" s="31">
        <v>444444</v>
      </c>
      <c r="AI8" t="s">
        <v>394</v>
      </c>
      <c r="AJ8" t="s">
        <v>408</v>
      </c>
      <c r="AK8" t="s">
        <v>381</v>
      </c>
      <c r="AL8" s="6" t="s">
        <v>415</v>
      </c>
      <c r="AM8" s="31">
        <v>148000</v>
      </c>
      <c r="AR8" t="s">
        <v>396</v>
      </c>
      <c r="AS8" t="s">
        <v>40</v>
      </c>
      <c r="AV8" s="30"/>
      <c r="AW8" s="30"/>
      <c r="AX8" t="s">
        <v>397</v>
      </c>
      <c r="AZ8" s="6" t="s">
        <v>398</v>
      </c>
      <c r="BA8" s="30" t="s">
        <v>31</v>
      </c>
      <c r="BB8" s="30" t="s">
        <v>31</v>
      </c>
      <c r="BI8" s="30"/>
      <c r="BM8" t="s">
        <v>502</v>
      </c>
      <c r="BN8" s="30" t="s">
        <v>33</v>
      </c>
      <c r="BO8" s="30"/>
      <c r="BP8" s="30"/>
      <c r="BQ8" s="30" t="s">
        <v>31</v>
      </c>
      <c r="BR8" s="30" t="s">
        <v>31</v>
      </c>
      <c r="BS8" s="6" t="s">
        <v>416</v>
      </c>
      <c r="CG8" t="s">
        <v>414</v>
      </c>
      <c r="CH8" s="30"/>
      <c r="CI8" s="51" t="s">
        <v>439</v>
      </c>
      <c r="CJ8" s="51" t="s">
        <v>529</v>
      </c>
      <c r="CK8" s="6" t="s">
        <v>440</v>
      </c>
      <c r="CL8" s="30" t="s">
        <v>530</v>
      </c>
      <c r="CM8" s="30"/>
      <c r="CN8" s="30"/>
      <c r="CO8" s="30"/>
      <c r="CP8" s="30"/>
      <c r="CQ8" s="30"/>
      <c r="CR8" s="30"/>
      <c r="CS8" s="51" t="s">
        <v>38</v>
      </c>
      <c r="CT8" s="51" t="s">
        <v>435</v>
      </c>
      <c r="CU8" s="6" t="s">
        <v>420</v>
      </c>
      <c r="CV8" s="30">
        <v>5</v>
      </c>
      <c r="CW8" s="6" t="s">
        <v>436</v>
      </c>
      <c r="CX8" s="30">
        <v>0.74</v>
      </c>
      <c r="CY8" s="30">
        <v>0.12</v>
      </c>
      <c r="CZ8" s="30">
        <v>0.69</v>
      </c>
      <c r="DA8" s="6" t="s">
        <v>438</v>
      </c>
      <c r="DB8" s="30" t="s">
        <v>446</v>
      </c>
      <c r="DC8" s="49" t="s">
        <v>445</v>
      </c>
      <c r="DE8" t="s">
        <v>31</v>
      </c>
      <c r="DF8" s="30" t="s">
        <v>446</v>
      </c>
      <c r="DG8" t="s">
        <v>453</v>
      </c>
      <c r="DH8" t="s">
        <v>454</v>
      </c>
      <c r="DI8" s="6" t="s">
        <v>455</v>
      </c>
      <c r="DJ8" s="30">
        <v>2.5</v>
      </c>
      <c r="DK8" s="72" t="s">
        <v>577</v>
      </c>
      <c r="DL8" s="56" t="s">
        <v>508</v>
      </c>
      <c r="DM8" s="30"/>
      <c r="DN8" s="30" t="s">
        <v>31</v>
      </c>
      <c r="DO8" s="49" t="s">
        <v>580</v>
      </c>
      <c r="DP8" s="30"/>
      <c r="DQ8" s="30"/>
      <c r="DR8" s="30"/>
      <c r="DS8" t="s">
        <v>418</v>
      </c>
      <c r="DT8" t="s">
        <v>41</v>
      </c>
      <c r="DU8" s="6"/>
      <c r="DV8" s="6" t="s">
        <v>31</v>
      </c>
      <c r="DW8" s="6" t="s">
        <v>31</v>
      </c>
      <c r="DX8" s="6" t="s">
        <v>31</v>
      </c>
      <c r="DY8" s="6"/>
      <c r="DZ8" t="s">
        <v>421</v>
      </c>
      <c r="EA8" s="6" t="s">
        <v>31</v>
      </c>
      <c r="EB8" s="6" t="s">
        <v>31</v>
      </c>
      <c r="EC8" s="6" t="s">
        <v>420</v>
      </c>
      <c r="ED8">
        <v>2.5</v>
      </c>
      <c r="FC8" t="s">
        <v>154</v>
      </c>
      <c r="FF8" s="43" t="s">
        <v>517</v>
      </c>
      <c r="FG8" t="s">
        <v>43</v>
      </c>
      <c r="FH8" s="6" t="s">
        <v>470</v>
      </c>
      <c r="FI8" t="s">
        <v>43</v>
      </c>
      <c r="FJ8" s="6" t="s">
        <v>44</v>
      </c>
      <c r="FK8" t="s">
        <v>46</v>
      </c>
      <c r="FL8" t="s">
        <v>520</v>
      </c>
      <c r="FM8" t="s">
        <v>45</v>
      </c>
      <c r="FO8" t="s">
        <v>524</v>
      </c>
      <c r="FR8" t="s">
        <v>540</v>
      </c>
      <c r="FT8" t="s">
        <v>539</v>
      </c>
      <c r="FV8" s="52" t="s">
        <v>5</v>
      </c>
      <c r="GE8" t="s">
        <v>548</v>
      </c>
      <c r="GG8" s="24" t="s">
        <v>542</v>
      </c>
      <c r="GH8" s="24">
        <f>(102.6+99.48)</f>
        <v>202.07999999999998</v>
      </c>
      <c r="GI8" s="24" t="s">
        <v>31</v>
      </c>
      <c r="GJ8" s="24" t="s">
        <v>31</v>
      </c>
      <c r="GK8" s="24"/>
      <c r="GM8">
        <v>8</v>
      </c>
      <c r="GN8" t="s">
        <v>541</v>
      </c>
      <c r="GO8" t="s">
        <v>154</v>
      </c>
      <c r="GQ8">
        <v>2012</v>
      </c>
      <c r="GR8">
        <v>2015</v>
      </c>
    </row>
    <row r="9" spans="1:203" ht="15" thickBot="1">
      <c r="A9" t="s">
        <v>3</v>
      </c>
      <c r="C9" t="s">
        <v>386</v>
      </c>
      <c r="E9" t="s">
        <v>6</v>
      </c>
      <c r="F9" s="6" t="s">
        <v>380</v>
      </c>
      <c r="G9" t="s">
        <v>387</v>
      </c>
      <c r="H9" s="6" t="s">
        <v>390</v>
      </c>
      <c r="I9" t="s">
        <v>154</v>
      </c>
      <c r="J9" t="s">
        <v>389</v>
      </c>
      <c r="K9" t="s">
        <v>7</v>
      </c>
      <c r="L9" t="s">
        <v>8</v>
      </c>
      <c r="M9" s="30" t="s">
        <v>31</v>
      </c>
      <c r="N9" t="s">
        <v>388</v>
      </c>
      <c r="P9" s="30" t="s">
        <v>31</v>
      </c>
      <c r="Q9" s="30">
        <v>1</v>
      </c>
      <c r="R9" t="s">
        <v>391</v>
      </c>
      <c r="S9">
        <v>2014</v>
      </c>
      <c r="T9">
        <v>2015</v>
      </c>
      <c r="U9" s="30" t="s">
        <v>31</v>
      </c>
      <c r="V9" s="30" t="s">
        <v>502</v>
      </c>
      <c r="W9" s="30" t="s">
        <v>502</v>
      </c>
      <c r="X9" t="s">
        <v>433</v>
      </c>
      <c r="Y9" t="s">
        <v>487</v>
      </c>
      <c r="Z9" t="s">
        <v>46</v>
      </c>
      <c r="AA9" t="s">
        <v>381</v>
      </c>
      <c r="AB9" s="6" t="s">
        <v>415</v>
      </c>
      <c r="AC9" s="31">
        <v>44444</v>
      </c>
      <c r="AD9" t="s">
        <v>394</v>
      </c>
      <c r="AE9" t="s">
        <v>408</v>
      </c>
      <c r="AF9" t="s">
        <v>381</v>
      </c>
      <c r="AG9" s="6" t="s">
        <v>415</v>
      </c>
      <c r="AH9" s="31">
        <v>148000</v>
      </c>
      <c r="AI9" t="s">
        <v>394</v>
      </c>
      <c r="AJ9" t="s">
        <v>43</v>
      </c>
      <c r="AK9" t="s">
        <v>381</v>
      </c>
      <c r="AL9" s="6" t="s">
        <v>415</v>
      </c>
      <c r="AM9">
        <v>44000</v>
      </c>
      <c r="AR9" t="s">
        <v>396</v>
      </c>
      <c r="AS9" t="s">
        <v>40</v>
      </c>
      <c r="AV9" s="30"/>
      <c r="AW9" s="30"/>
      <c r="AX9" t="s">
        <v>397</v>
      </c>
      <c r="AZ9" s="6" t="s">
        <v>398</v>
      </c>
      <c r="BA9" s="30" t="s">
        <v>31</v>
      </c>
      <c r="BB9" s="30" t="s">
        <v>31</v>
      </c>
      <c r="BM9" t="s">
        <v>502</v>
      </c>
      <c r="BN9" s="30" t="s">
        <v>32</v>
      </c>
      <c r="BO9" s="30"/>
      <c r="BP9" s="30"/>
      <c r="BQ9" s="30" t="s">
        <v>31</v>
      </c>
      <c r="BR9" s="30" t="s">
        <v>31</v>
      </c>
      <c r="BS9" s="6" t="s">
        <v>416</v>
      </c>
      <c r="CG9" t="s">
        <v>413</v>
      </c>
      <c r="CH9" s="30"/>
      <c r="CI9" s="51" t="s">
        <v>439</v>
      </c>
      <c r="CJ9" s="51" t="s">
        <v>529</v>
      </c>
      <c r="CK9" s="6" t="s">
        <v>440</v>
      </c>
      <c r="CL9" s="30" t="s">
        <v>530</v>
      </c>
      <c r="CM9" s="30"/>
      <c r="CN9" s="30"/>
      <c r="CO9" s="30"/>
      <c r="CP9" s="30"/>
      <c r="CQ9" s="30"/>
      <c r="CR9" s="30"/>
      <c r="CS9" s="51" t="s">
        <v>38</v>
      </c>
      <c r="CT9" s="51" t="s">
        <v>435</v>
      </c>
      <c r="CU9" s="6" t="s">
        <v>420</v>
      </c>
      <c r="CV9" s="30">
        <v>5</v>
      </c>
      <c r="CW9" s="6" t="s">
        <v>436</v>
      </c>
      <c r="CX9" s="30">
        <v>0.74</v>
      </c>
      <c r="CY9" s="30">
        <v>0.12</v>
      </c>
      <c r="CZ9" s="30">
        <v>0.69</v>
      </c>
      <c r="DA9" s="6" t="s">
        <v>438</v>
      </c>
      <c r="DB9" s="30" t="s">
        <v>446</v>
      </c>
      <c r="DC9" s="49" t="s">
        <v>445</v>
      </c>
      <c r="DE9" t="s">
        <v>31</v>
      </c>
      <c r="DF9" s="30" t="s">
        <v>446</v>
      </c>
      <c r="DG9" t="s">
        <v>453</v>
      </c>
      <c r="DH9" t="s">
        <v>454</v>
      </c>
      <c r="DI9" s="6" t="s">
        <v>455</v>
      </c>
      <c r="DJ9" s="30">
        <v>2.5</v>
      </c>
      <c r="DK9" s="72" t="s">
        <v>577</v>
      </c>
      <c r="DL9" s="56" t="s">
        <v>508</v>
      </c>
      <c r="DM9" s="30"/>
      <c r="DN9" s="30" t="s">
        <v>31</v>
      </c>
      <c r="DO9" s="49" t="s">
        <v>580</v>
      </c>
      <c r="DP9" s="30"/>
      <c r="DQ9" s="30"/>
      <c r="DR9" s="30"/>
      <c r="DS9" t="s">
        <v>418</v>
      </c>
      <c r="DT9" t="s">
        <v>41</v>
      </c>
      <c r="DU9" s="6"/>
      <c r="DV9" s="6" t="s">
        <v>31</v>
      </c>
      <c r="DW9" s="6" t="s">
        <v>31</v>
      </c>
      <c r="DX9" s="6" t="s">
        <v>31</v>
      </c>
      <c r="DY9" s="6"/>
      <c r="DZ9" t="s">
        <v>421</v>
      </c>
      <c r="EA9" s="6" t="s">
        <v>31</v>
      </c>
      <c r="EB9" s="6" t="s">
        <v>31</v>
      </c>
      <c r="EC9" s="6" t="s">
        <v>420</v>
      </c>
      <c r="ED9">
        <v>2.5</v>
      </c>
      <c r="FC9" t="s">
        <v>154</v>
      </c>
      <c r="FF9" s="43" t="s">
        <v>517</v>
      </c>
      <c r="FG9" t="s">
        <v>43</v>
      </c>
      <c r="FH9" s="6" t="s">
        <v>470</v>
      </c>
      <c r="FI9" t="s">
        <v>43</v>
      </c>
      <c r="FJ9" s="6" t="s">
        <v>44</v>
      </c>
      <c r="FK9" t="s">
        <v>46</v>
      </c>
      <c r="FL9" t="s">
        <v>520</v>
      </c>
      <c r="FM9" t="s">
        <v>45</v>
      </c>
      <c r="FO9" t="s">
        <v>524</v>
      </c>
      <c r="FR9" t="s">
        <v>540</v>
      </c>
      <c r="FT9" t="s">
        <v>539</v>
      </c>
      <c r="FV9" s="52" t="s">
        <v>5</v>
      </c>
      <c r="GE9" t="s">
        <v>548</v>
      </c>
      <c r="GG9" s="24" t="s">
        <v>542</v>
      </c>
      <c r="GH9" s="24">
        <f>+(79.83+85.17)</f>
        <v>165</v>
      </c>
      <c r="GI9" s="24" t="s">
        <v>31</v>
      </c>
      <c r="GJ9" s="24" t="s">
        <v>31</v>
      </c>
      <c r="GK9" s="24"/>
      <c r="GM9">
        <v>8</v>
      </c>
      <c r="GN9" t="s">
        <v>541</v>
      </c>
      <c r="GO9" t="s">
        <v>154</v>
      </c>
      <c r="GQ9">
        <v>2012</v>
      </c>
      <c r="GR9">
        <v>2015</v>
      </c>
    </row>
    <row r="10" spans="1:203" ht="15" thickBot="1">
      <c r="A10" t="s">
        <v>3</v>
      </c>
      <c r="C10" t="s">
        <v>386</v>
      </c>
      <c r="E10" t="s">
        <v>6</v>
      </c>
      <c r="F10" s="6" t="s">
        <v>380</v>
      </c>
      <c r="G10" t="s">
        <v>387</v>
      </c>
      <c r="H10" s="6" t="s">
        <v>390</v>
      </c>
      <c r="I10" t="s">
        <v>154</v>
      </c>
      <c r="J10" t="s">
        <v>389</v>
      </c>
      <c r="K10" t="s">
        <v>7</v>
      </c>
      <c r="L10" t="s">
        <v>8</v>
      </c>
      <c r="M10" s="30" t="s">
        <v>31</v>
      </c>
      <c r="N10" t="s">
        <v>388</v>
      </c>
      <c r="P10" s="30" t="s">
        <v>31</v>
      </c>
      <c r="Q10" s="30">
        <v>1</v>
      </c>
      <c r="R10" t="s">
        <v>391</v>
      </c>
      <c r="S10">
        <v>2014</v>
      </c>
      <c r="T10">
        <v>2015</v>
      </c>
      <c r="U10" s="30" t="s">
        <v>31</v>
      </c>
      <c r="V10" s="30" t="s">
        <v>36</v>
      </c>
      <c r="W10" s="30" t="s">
        <v>36</v>
      </c>
      <c r="X10" t="s">
        <v>422</v>
      </c>
      <c r="Y10" t="s">
        <v>476</v>
      </c>
      <c r="Z10" t="s">
        <v>43</v>
      </c>
      <c r="AA10" t="s">
        <v>381</v>
      </c>
      <c r="AB10" s="6" t="s">
        <v>415</v>
      </c>
      <c r="AC10" s="31">
        <v>44000</v>
      </c>
      <c r="AR10" t="s">
        <v>399</v>
      </c>
      <c r="AS10" t="s">
        <v>42</v>
      </c>
      <c r="AT10" t="s">
        <v>400</v>
      </c>
      <c r="AV10" s="30" t="s">
        <v>31</v>
      </c>
      <c r="AW10" s="30">
        <v>1</v>
      </c>
      <c r="AX10" t="s">
        <v>397</v>
      </c>
      <c r="AZ10" s="6" t="s">
        <v>398</v>
      </c>
      <c r="BA10" s="30" t="s">
        <v>31</v>
      </c>
      <c r="BB10" s="30" t="s">
        <v>31</v>
      </c>
      <c r="BH10" t="s">
        <v>404</v>
      </c>
      <c r="BI10" s="49" t="s">
        <v>36</v>
      </c>
      <c r="BJ10" s="30"/>
      <c r="BK10" s="30"/>
      <c r="BL10" s="30"/>
      <c r="BM10" t="s">
        <v>404</v>
      </c>
      <c r="BN10" s="30" t="s">
        <v>36</v>
      </c>
      <c r="BO10" s="30"/>
      <c r="BP10" s="30"/>
      <c r="BQ10" s="30"/>
      <c r="BR10" s="30"/>
      <c r="BS10" s="30"/>
      <c r="CG10" t="s">
        <v>413</v>
      </c>
      <c r="CH10" s="30"/>
      <c r="CI10" s="51" t="s">
        <v>439</v>
      </c>
      <c r="CJ10" s="51" t="s">
        <v>441</v>
      </c>
      <c r="CK10" s="6" t="s">
        <v>440</v>
      </c>
      <c r="CL10" s="30" t="s">
        <v>442</v>
      </c>
      <c r="CM10" s="30"/>
      <c r="CN10" s="30"/>
      <c r="CO10" s="30"/>
      <c r="CP10" s="30"/>
      <c r="CQ10" s="30"/>
      <c r="CR10" s="30"/>
      <c r="CS10" s="51" t="s">
        <v>434</v>
      </c>
      <c r="CT10" s="30"/>
      <c r="CU10" s="6" t="s">
        <v>420</v>
      </c>
      <c r="CV10" s="30">
        <v>0</v>
      </c>
      <c r="CW10" s="6"/>
      <c r="CX10" s="6"/>
      <c r="CY10" s="6"/>
      <c r="CZ10" s="6"/>
      <c r="DA10" s="6"/>
      <c r="DB10" s="6" t="s">
        <v>444</v>
      </c>
      <c r="DC10" s="49" t="s">
        <v>445</v>
      </c>
      <c r="DE10" t="s">
        <v>31</v>
      </c>
      <c r="DF10" s="30" t="s">
        <v>447</v>
      </c>
      <c r="DG10" t="s">
        <v>452</v>
      </c>
      <c r="DI10" s="6" t="s">
        <v>455</v>
      </c>
      <c r="DJ10" s="30">
        <v>0</v>
      </c>
      <c r="DK10" s="67" t="s">
        <v>579</v>
      </c>
      <c r="DL10" s="30"/>
      <c r="DM10" s="30"/>
      <c r="DN10" s="30"/>
      <c r="DO10" s="49" t="s">
        <v>580</v>
      </c>
      <c r="DP10" s="30"/>
      <c r="DQ10" s="30"/>
      <c r="DR10" s="30"/>
      <c r="DT10" t="s">
        <v>419</v>
      </c>
      <c r="DU10" s="6"/>
      <c r="DV10" s="6"/>
      <c r="DW10" s="6"/>
      <c r="DX10" s="6"/>
      <c r="DY10" s="6"/>
      <c r="DZ10" s="6"/>
      <c r="EA10" s="6"/>
      <c r="EB10" s="6" t="s">
        <v>31</v>
      </c>
      <c r="EC10" s="6" t="s">
        <v>420</v>
      </c>
      <c r="ED10">
        <v>0</v>
      </c>
      <c r="FC10" t="s">
        <v>491</v>
      </c>
      <c r="FF10" s="43" t="s">
        <v>518</v>
      </c>
      <c r="FG10" t="s">
        <v>43</v>
      </c>
      <c r="FH10" s="6" t="s">
        <v>470</v>
      </c>
      <c r="FI10" t="s">
        <v>43</v>
      </c>
      <c r="FJ10" s="6" t="s">
        <v>44</v>
      </c>
      <c r="FR10" t="s">
        <v>525</v>
      </c>
      <c r="FT10" t="s">
        <v>526</v>
      </c>
      <c r="FU10" s="6" t="s">
        <v>30</v>
      </c>
      <c r="FV10" s="52" t="s">
        <v>5</v>
      </c>
      <c r="GE10" t="s">
        <v>535</v>
      </c>
      <c r="GF10" t="s">
        <v>513</v>
      </c>
      <c r="GG10" t="s">
        <v>510</v>
      </c>
      <c r="GH10" t="s">
        <v>9</v>
      </c>
      <c r="GI10" s="6" t="s">
        <v>511</v>
      </c>
      <c r="GJ10" t="s">
        <v>10</v>
      </c>
      <c r="GM10">
        <v>8</v>
      </c>
      <c r="GN10" t="s">
        <v>512</v>
      </c>
      <c r="GO10" t="s">
        <v>154</v>
      </c>
      <c r="GQ10">
        <v>2014</v>
      </c>
      <c r="GR10">
        <v>2015</v>
      </c>
    </row>
    <row r="11" spans="1:203" ht="15" thickBot="1">
      <c r="A11" t="s">
        <v>3</v>
      </c>
      <c r="C11" t="s">
        <v>386</v>
      </c>
      <c r="E11" t="s">
        <v>6</v>
      </c>
      <c r="F11" s="6" t="s">
        <v>380</v>
      </c>
      <c r="G11" t="s">
        <v>387</v>
      </c>
      <c r="H11" s="6" t="s">
        <v>390</v>
      </c>
      <c r="I11" t="s">
        <v>154</v>
      </c>
      <c r="J11" t="s">
        <v>389</v>
      </c>
      <c r="K11" t="s">
        <v>7</v>
      </c>
      <c r="L11" t="s">
        <v>8</v>
      </c>
      <c r="M11" s="30" t="s">
        <v>31</v>
      </c>
      <c r="N11" t="s">
        <v>388</v>
      </c>
      <c r="P11" s="30" t="s">
        <v>31</v>
      </c>
      <c r="Q11" s="30">
        <v>1</v>
      </c>
      <c r="R11" t="s">
        <v>391</v>
      </c>
      <c r="S11">
        <v>2014</v>
      </c>
      <c r="T11">
        <v>2015</v>
      </c>
      <c r="U11" s="30" t="s">
        <v>31</v>
      </c>
      <c r="V11" s="30" t="s">
        <v>36</v>
      </c>
      <c r="W11" s="30" t="s">
        <v>36</v>
      </c>
      <c r="X11" t="s">
        <v>423</v>
      </c>
      <c r="Y11" t="s">
        <v>477</v>
      </c>
      <c r="Z11" t="s">
        <v>43</v>
      </c>
      <c r="AA11" t="s">
        <v>381</v>
      </c>
      <c r="AB11" s="6" t="s">
        <v>415</v>
      </c>
      <c r="AC11" s="31">
        <v>44000</v>
      </c>
      <c r="AR11" t="s">
        <v>396</v>
      </c>
      <c r="AS11" t="s">
        <v>40</v>
      </c>
      <c r="AV11" s="30"/>
      <c r="AW11" s="30"/>
      <c r="AX11" t="s">
        <v>397</v>
      </c>
      <c r="AZ11" s="6" t="s">
        <v>398</v>
      </c>
      <c r="BA11" s="30" t="s">
        <v>31</v>
      </c>
      <c r="BB11" s="30" t="s">
        <v>31</v>
      </c>
      <c r="BH11" t="s">
        <v>404</v>
      </c>
      <c r="BI11" s="49" t="s">
        <v>36</v>
      </c>
      <c r="BJ11" s="30"/>
      <c r="BK11" s="30"/>
      <c r="BL11" s="30"/>
      <c r="BM11" t="s">
        <v>404</v>
      </c>
      <c r="BN11" s="30" t="s">
        <v>36</v>
      </c>
      <c r="BO11" s="30"/>
      <c r="BP11" s="30"/>
      <c r="BQ11" s="30"/>
      <c r="BR11" s="30"/>
      <c r="BS11" s="30"/>
      <c r="CG11" t="s">
        <v>413</v>
      </c>
      <c r="CH11" s="30"/>
      <c r="CI11" s="51" t="s">
        <v>439</v>
      </c>
      <c r="CJ11" s="51" t="s">
        <v>441</v>
      </c>
      <c r="CK11" s="6" t="s">
        <v>440</v>
      </c>
      <c r="CL11" s="30" t="s">
        <v>442</v>
      </c>
      <c r="CM11" s="30"/>
      <c r="CN11" s="30"/>
      <c r="CO11" s="30"/>
      <c r="CP11" s="30"/>
      <c r="CQ11" s="30"/>
      <c r="CR11" s="30"/>
      <c r="CS11" s="51" t="s">
        <v>434</v>
      </c>
      <c r="CT11" s="30"/>
      <c r="CU11" s="6" t="s">
        <v>420</v>
      </c>
      <c r="CV11" s="30">
        <v>0</v>
      </c>
      <c r="CW11" s="6"/>
      <c r="CX11" s="6"/>
      <c r="CY11" s="6"/>
      <c r="CZ11" s="6"/>
      <c r="DA11" s="6"/>
      <c r="DB11" s="30" t="s">
        <v>446</v>
      </c>
      <c r="DC11" s="49" t="s">
        <v>445</v>
      </c>
      <c r="DE11" t="s">
        <v>31</v>
      </c>
      <c r="DF11" s="30" t="s">
        <v>446</v>
      </c>
      <c r="DG11" t="s">
        <v>453</v>
      </c>
      <c r="DH11" t="s">
        <v>454</v>
      </c>
      <c r="DI11" s="6" t="s">
        <v>455</v>
      </c>
      <c r="DJ11" s="30">
        <v>2.5</v>
      </c>
      <c r="DK11" s="67" t="s">
        <v>579</v>
      </c>
      <c r="DL11" s="30"/>
      <c r="DM11" s="30"/>
      <c r="DN11" s="30"/>
      <c r="DO11" s="49" t="s">
        <v>580</v>
      </c>
      <c r="DP11" s="30"/>
      <c r="DQ11" s="30"/>
      <c r="DR11" s="30"/>
      <c r="DS11" t="s">
        <v>418</v>
      </c>
      <c r="DT11" t="s">
        <v>41</v>
      </c>
      <c r="DU11" s="6"/>
      <c r="DV11" s="6" t="s">
        <v>31</v>
      </c>
      <c r="DW11" s="6" t="s">
        <v>31</v>
      </c>
      <c r="DX11" s="6" t="s">
        <v>31</v>
      </c>
      <c r="DY11" s="6"/>
      <c r="DZ11" t="s">
        <v>421</v>
      </c>
      <c r="EA11" s="6" t="s">
        <v>31</v>
      </c>
      <c r="EB11" s="6" t="s">
        <v>31</v>
      </c>
      <c r="EC11" s="6" t="s">
        <v>420</v>
      </c>
      <c r="ED11">
        <v>2.5</v>
      </c>
      <c r="FC11" t="s">
        <v>491</v>
      </c>
      <c r="FF11" s="43" t="s">
        <v>519</v>
      </c>
      <c r="FG11" t="s">
        <v>43</v>
      </c>
      <c r="FH11" s="6" t="s">
        <v>470</v>
      </c>
      <c r="FI11" t="s">
        <v>43</v>
      </c>
      <c r="FJ11" s="6" t="s">
        <v>44</v>
      </c>
      <c r="FR11" t="s">
        <v>509</v>
      </c>
      <c r="FT11" t="s">
        <v>526</v>
      </c>
      <c r="FU11" s="6" t="s">
        <v>30</v>
      </c>
      <c r="FV11" s="52" t="s">
        <v>5</v>
      </c>
      <c r="GE11" t="s">
        <v>536</v>
      </c>
      <c r="GF11" t="s">
        <v>514</v>
      </c>
      <c r="GG11" t="s">
        <v>510</v>
      </c>
      <c r="GH11" t="s">
        <v>11</v>
      </c>
      <c r="GI11" s="6" t="s">
        <v>511</v>
      </c>
      <c r="GJ11" t="s">
        <v>12</v>
      </c>
      <c r="GM11">
        <v>8</v>
      </c>
      <c r="GN11" t="s">
        <v>512</v>
      </c>
      <c r="GO11" t="s">
        <v>154</v>
      </c>
      <c r="GQ11">
        <v>2014</v>
      </c>
      <c r="GR11">
        <v>2015</v>
      </c>
    </row>
    <row r="12" spans="1:203" ht="15" thickBot="1">
      <c r="A12" t="s">
        <v>3</v>
      </c>
      <c r="C12" t="s">
        <v>386</v>
      </c>
      <c r="E12" t="s">
        <v>6</v>
      </c>
      <c r="F12" s="6" t="s">
        <v>380</v>
      </c>
      <c r="G12" t="s">
        <v>387</v>
      </c>
      <c r="H12" s="6" t="s">
        <v>390</v>
      </c>
      <c r="I12" t="s">
        <v>154</v>
      </c>
      <c r="J12" t="s">
        <v>389</v>
      </c>
      <c r="K12" t="s">
        <v>7</v>
      </c>
      <c r="L12" t="s">
        <v>8</v>
      </c>
      <c r="M12" s="30" t="s">
        <v>31</v>
      </c>
      <c r="N12" t="s">
        <v>388</v>
      </c>
      <c r="P12" s="30" t="s">
        <v>31</v>
      </c>
      <c r="Q12" s="30">
        <v>1</v>
      </c>
      <c r="R12" t="s">
        <v>391</v>
      </c>
      <c r="S12">
        <v>2014</v>
      </c>
      <c r="T12">
        <v>2015</v>
      </c>
      <c r="U12" s="30" t="s">
        <v>31</v>
      </c>
      <c r="V12" s="30" t="s">
        <v>34</v>
      </c>
      <c r="W12" s="30" t="s">
        <v>34</v>
      </c>
      <c r="X12" t="s">
        <v>424</v>
      </c>
      <c r="Y12" t="s">
        <v>478</v>
      </c>
      <c r="Z12" t="s">
        <v>43</v>
      </c>
      <c r="AA12" t="s">
        <v>381</v>
      </c>
      <c r="AB12" s="6" t="s">
        <v>415</v>
      </c>
      <c r="AC12" s="31">
        <v>44000</v>
      </c>
      <c r="AD12" t="s">
        <v>98</v>
      </c>
      <c r="AE12" t="s">
        <v>392</v>
      </c>
      <c r="AF12" t="s">
        <v>381</v>
      </c>
      <c r="AG12" s="6" t="s">
        <v>415</v>
      </c>
      <c r="AH12" s="31">
        <v>44444</v>
      </c>
      <c r="AR12" t="s">
        <v>396</v>
      </c>
      <c r="AS12" t="s">
        <v>40</v>
      </c>
      <c r="AV12" s="30"/>
      <c r="AW12" s="30"/>
      <c r="AX12" t="s">
        <v>397</v>
      </c>
      <c r="AZ12" s="6" t="s">
        <v>417</v>
      </c>
      <c r="BA12" s="30" t="s">
        <v>31</v>
      </c>
      <c r="BB12" s="30" t="s">
        <v>31</v>
      </c>
      <c r="BH12" t="s">
        <v>407</v>
      </c>
      <c r="BI12" s="50" t="s">
        <v>35</v>
      </c>
      <c r="BJ12" s="30" t="s">
        <v>31</v>
      </c>
      <c r="BK12" s="30" t="s">
        <v>31</v>
      </c>
      <c r="BL12" s="6" t="s">
        <v>416</v>
      </c>
      <c r="BM12" s="30"/>
      <c r="BN12" s="30"/>
      <c r="BO12" s="30"/>
      <c r="BP12" s="30"/>
      <c r="BQ12" s="30"/>
      <c r="BR12" s="30"/>
      <c r="BS12" s="30"/>
      <c r="CG12" t="s">
        <v>413</v>
      </c>
      <c r="CH12" s="30"/>
      <c r="CI12" s="51" t="s">
        <v>439</v>
      </c>
      <c r="CJ12" s="51" t="s">
        <v>441</v>
      </c>
      <c r="CK12" s="6" t="s">
        <v>440</v>
      </c>
      <c r="CL12" s="30" t="s">
        <v>442</v>
      </c>
      <c r="CM12" s="30"/>
      <c r="CN12" s="30"/>
      <c r="CO12" s="30"/>
      <c r="CP12" s="30"/>
      <c r="CQ12" s="30"/>
      <c r="CR12" s="30"/>
      <c r="CS12" s="51" t="s">
        <v>434</v>
      </c>
      <c r="CT12" s="30"/>
      <c r="CU12" s="6" t="s">
        <v>420</v>
      </c>
      <c r="CV12" s="30">
        <v>0</v>
      </c>
      <c r="CW12" s="6"/>
      <c r="CX12" s="6"/>
      <c r="CY12" s="6"/>
      <c r="CZ12" s="6"/>
      <c r="DA12" s="6"/>
      <c r="DB12" s="30" t="s">
        <v>446</v>
      </c>
      <c r="DC12" s="49" t="s">
        <v>445</v>
      </c>
      <c r="DE12" t="s">
        <v>31</v>
      </c>
      <c r="DF12" s="30" t="s">
        <v>446</v>
      </c>
      <c r="DG12" t="s">
        <v>453</v>
      </c>
      <c r="DH12" t="s">
        <v>454</v>
      </c>
      <c r="DI12" s="6" t="s">
        <v>455</v>
      </c>
      <c r="DJ12" s="30">
        <v>2.5</v>
      </c>
      <c r="DK12" s="67" t="s">
        <v>579</v>
      </c>
      <c r="DL12" s="30"/>
      <c r="DM12" s="30"/>
      <c r="DN12" s="30"/>
      <c r="DO12" s="72" t="s">
        <v>578</v>
      </c>
      <c r="DP12" s="56" t="s">
        <v>534</v>
      </c>
      <c r="DQ12" s="30"/>
      <c r="DR12" s="30"/>
      <c r="DS12" t="s">
        <v>418</v>
      </c>
      <c r="DT12" t="s">
        <v>41</v>
      </c>
      <c r="DU12" s="6"/>
      <c r="DV12" s="6" t="s">
        <v>31</v>
      </c>
      <c r="DW12" s="6" t="s">
        <v>31</v>
      </c>
      <c r="DX12" s="6" t="s">
        <v>31</v>
      </c>
      <c r="DY12" s="6"/>
      <c r="DZ12" t="s">
        <v>421</v>
      </c>
      <c r="EA12" s="6" t="s">
        <v>31</v>
      </c>
      <c r="EB12" s="6" t="s">
        <v>31</v>
      </c>
      <c r="EC12" s="6" t="s">
        <v>420</v>
      </c>
      <c r="ED12">
        <v>2.5</v>
      </c>
      <c r="FC12" t="s">
        <v>154</v>
      </c>
      <c r="FF12" s="43" t="s">
        <v>517</v>
      </c>
      <c r="FG12" t="s">
        <v>43</v>
      </c>
      <c r="FH12" s="6" t="s">
        <v>470</v>
      </c>
      <c r="FI12" t="s">
        <v>43</v>
      </c>
      <c r="FJ12" s="6" t="s">
        <v>44</v>
      </c>
      <c r="FK12" t="s">
        <v>392</v>
      </c>
      <c r="FL12" t="s">
        <v>473</v>
      </c>
      <c r="FO12" t="s">
        <v>524</v>
      </c>
      <c r="FR12" t="s">
        <v>509</v>
      </c>
      <c r="FT12" t="s">
        <v>526</v>
      </c>
      <c r="FU12" s="6" t="s">
        <v>30</v>
      </c>
      <c r="FV12" s="52" t="s">
        <v>5</v>
      </c>
      <c r="GE12" t="s">
        <v>528</v>
      </c>
      <c r="GG12" t="s">
        <v>510</v>
      </c>
      <c r="GH12" t="s">
        <v>17</v>
      </c>
      <c r="GI12" s="6" t="s">
        <v>511</v>
      </c>
      <c r="GJ12" t="s">
        <v>13</v>
      </c>
      <c r="GM12">
        <v>8</v>
      </c>
      <c r="GN12" t="s">
        <v>512</v>
      </c>
      <c r="GO12" t="s">
        <v>154</v>
      </c>
      <c r="GQ12">
        <v>2014</v>
      </c>
      <c r="GR12">
        <v>2015</v>
      </c>
    </row>
    <row r="13" spans="1:203" ht="15" thickBot="1">
      <c r="A13" t="s">
        <v>3</v>
      </c>
      <c r="C13" t="s">
        <v>386</v>
      </c>
      <c r="E13" t="s">
        <v>6</v>
      </c>
      <c r="F13" s="6" t="s">
        <v>380</v>
      </c>
      <c r="G13" t="s">
        <v>387</v>
      </c>
      <c r="H13" s="6" t="s">
        <v>390</v>
      </c>
      <c r="I13" t="s">
        <v>154</v>
      </c>
      <c r="J13" t="s">
        <v>389</v>
      </c>
      <c r="K13" t="s">
        <v>7</v>
      </c>
      <c r="L13" t="s">
        <v>8</v>
      </c>
      <c r="M13" s="30" t="s">
        <v>31</v>
      </c>
      <c r="N13" t="s">
        <v>388</v>
      </c>
      <c r="P13" s="30" t="s">
        <v>31</v>
      </c>
      <c r="Q13" s="30">
        <v>1</v>
      </c>
      <c r="R13" t="s">
        <v>391</v>
      </c>
      <c r="S13">
        <v>2014</v>
      </c>
      <c r="T13">
        <v>2015</v>
      </c>
      <c r="U13" s="30" t="s">
        <v>31</v>
      </c>
      <c r="V13" s="30" t="s">
        <v>34</v>
      </c>
      <c r="W13" s="30" t="s">
        <v>34</v>
      </c>
      <c r="X13" t="s">
        <v>425</v>
      </c>
      <c r="Y13" t="s">
        <v>479</v>
      </c>
      <c r="Z13" t="s">
        <v>43</v>
      </c>
      <c r="AA13" t="s">
        <v>381</v>
      </c>
      <c r="AB13" s="6" t="s">
        <v>415</v>
      </c>
      <c r="AC13" s="31">
        <v>44000</v>
      </c>
      <c r="AD13" t="s">
        <v>98</v>
      </c>
      <c r="AE13" t="s">
        <v>393</v>
      </c>
      <c r="AF13" t="s">
        <v>381</v>
      </c>
      <c r="AG13" s="6" t="s">
        <v>415</v>
      </c>
      <c r="AH13" s="31">
        <v>44444</v>
      </c>
      <c r="AR13" t="s">
        <v>396</v>
      </c>
      <c r="AS13" t="s">
        <v>40</v>
      </c>
      <c r="AV13" s="30"/>
      <c r="AW13" s="30"/>
      <c r="AX13" t="s">
        <v>397</v>
      </c>
      <c r="AZ13" s="6" t="s">
        <v>417</v>
      </c>
      <c r="BA13" s="30" t="s">
        <v>31</v>
      </c>
      <c r="BB13" s="30" t="s">
        <v>31</v>
      </c>
      <c r="BH13" t="s">
        <v>406</v>
      </c>
      <c r="BI13" s="50" t="s">
        <v>35</v>
      </c>
      <c r="BJ13" s="30" t="s">
        <v>31</v>
      </c>
      <c r="BK13" s="30" t="s">
        <v>31</v>
      </c>
      <c r="BL13" s="6" t="s">
        <v>416</v>
      </c>
      <c r="BM13" s="30"/>
      <c r="BN13" s="30"/>
      <c r="BO13" s="30"/>
      <c r="BP13" s="30"/>
      <c r="BQ13" s="30"/>
      <c r="BR13" s="30"/>
      <c r="BS13" s="30"/>
      <c r="CG13" t="s">
        <v>413</v>
      </c>
      <c r="CH13" s="30"/>
      <c r="CI13" s="51" t="s">
        <v>439</v>
      </c>
      <c r="CJ13" s="51" t="s">
        <v>441</v>
      </c>
      <c r="CK13" s="6" t="s">
        <v>440</v>
      </c>
      <c r="CL13" s="30" t="s">
        <v>442</v>
      </c>
      <c r="CM13" s="30"/>
      <c r="CN13" s="30"/>
      <c r="CO13" s="30"/>
      <c r="CP13" s="30"/>
      <c r="CQ13" s="30"/>
      <c r="CR13" s="30"/>
      <c r="CS13" s="51" t="s">
        <v>434</v>
      </c>
      <c r="CT13" s="30"/>
      <c r="CU13" s="6" t="s">
        <v>420</v>
      </c>
      <c r="CV13" s="30">
        <v>0</v>
      </c>
      <c r="CW13" s="6"/>
      <c r="CX13" s="6"/>
      <c r="CY13" s="6"/>
      <c r="CZ13" s="6"/>
      <c r="DA13" s="6"/>
      <c r="DB13" s="30" t="s">
        <v>446</v>
      </c>
      <c r="DC13" s="49" t="s">
        <v>445</v>
      </c>
      <c r="DE13" t="s">
        <v>31</v>
      </c>
      <c r="DF13" s="30" t="s">
        <v>446</v>
      </c>
      <c r="DG13" t="s">
        <v>453</v>
      </c>
      <c r="DH13" t="s">
        <v>454</v>
      </c>
      <c r="DI13" s="6" t="s">
        <v>455</v>
      </c>
      <c r="DJ13" s="30">
        <v>2.5</v>
      </c>
      <c r="DK13" s="67" t="s">
        <v>579</v>
      </c>
      <c r="DL13" s="30"/>
      <c r="DM13" s="30"/>
      <c r="DN13" s="30"/>
      <c r="DO13" s="72" t="s">
        <v>578</v>
      </c>
      <c r="DP13" s="56" t="s">
        <v>534</v>
      </c>
      <c r="DQ13" s="30"/>
      <c r="DR13" s="30"/>
      <c r="DS13" t="s">
        <v>418</v>
      </c>
      <c r="DT13" t="s">
        <v>41</v>
      </c>
      <c r="DU13" s="6"/>
      <c r="DV13" s="6" t="s">
        <v>31</v>
      </c>
      <c r="DW13" s="6" t="s">
        <v>31</v>
      </c>
      <c r="DX13" s="6" t="s">
        <v>31</v>
      </c>
      <c r="DY13" s="6"/>
      <c r="DZ13" t="s">
        <v>421</v>
      </c>
      <c r="EA13" s="6" t="s">
        <v>31</v>
      </c>
      <c r="EB13" s="6" t="s">
        <v>31</v>
      </c>
      <c r="EC13" s="6" t="s">
        <v>420</v>
      </c>
      <c r="ED13">
        <v>2.5</v>
      </c>
      <c r="FC13" t="s">
        <v>154</v>
      </c>
      <c r="FF13" s="43" t="s">
        <v>517</v>
      </c>
      <c r="FG13" t="s">
        <v>43</v>
      </c>
      <c r="FH13" s="6" t="s">
        <v>470</v>
      </c>
      <c r="FI13" t="s">
        <v>43</v>
      </c>
      <c r="FJ13" s="6" t="s">
        <v>44</v>
      </c>
      <c r="FK13" t="s">
        <v>48</v>
      </c>
      <c r="FL13" t="s">
        <v>49</v>
      </c>
      <c r="FO13" t="s">
        <v>524</v>
      </c>
      <c r="FR13" t="s">
        <v>509</v>
      </c>
      <c r="FT13" t="s">
        <v>526</v>
      </c>
      <c r="FU13" s="6" t="s">
        <v>30</v>
      </c>
      <c r="FV13" s="52" t="s">
        <v>5</v>
      </c>
      <c r="GE13" t="s">
        <v>528</v>
      </c>
      <c r="GG13" t="s">
        <v>510</v>
      </c>
      <c r="GH13" t="s">
        <v>18</v>
      </c>
      <c r="GI13" s="6" t="s">
        <v>511</v>
      </c>
      <c r="GJ13" t="s">
        <v>19</v>
      </c>
      <c r="GM13">
        <v>8</v>
      </c>
      <c r="GN13" t="s">
        <v>512</v>
      </c>
      <c r="GO13" t="s">
        <v>154</v>
      </c>
      <c r="GQ13">
        <v>2014</v>
      </c>
      <c r="GR13">
        <v>2015</v>
      </c>
    </row>
    <row r="14" spans="1:203" ht="15" thickBot="1">
      <c r="A14" t="s">
        <v>3</v>
      </c>
      <c r="C14" t="s">
        <v>386</v>
      </c>
      <c r="E14" t="s">
        <v>6</v>
      </c>
      <c r="F14" s="6" t="s">
        <v>380</v>
      </c>
      <c r="G14" t="s">
        <v>387</v>
      </c>
      <c r="H14" s="6" t="s">
        <v>390</v>
      </c>
      <c r="I14" t="s">
        <v>154</v>
      </c>
      <c r="J14" t="s">
        <v>389</v>
      </c>
      <c r="K14" t="s">
        <v>7</v>
      </c>
      <c r="L14" t="s">
        <v>8</v>
      </c>
      <c r="M14" s="30" t="s">
        <v>31</v>
      </c>
      <c r="N14" t="s">
        <v>388</v>
      </c>
      <c r="P14" s="30" t="s">
        <v>31</v>
      </c>
      <c r="Q14" s="30">
        <v>1</v>
      </c>
      <c r="R14" t="s">
        <v>391</v>
      </c>
      <c r="S14">
        <v>2014</v>
      </c>
      <c r="T14">
        <v>2015</v>
      </c>
      <c r="U14" s="30" t="s">
        <v>31</v>
      </c>
      <c r="V14" s="30" t="s">
        <v>502</v>
      </c>
      <c r="W14" s="30" t="s">
        <v>502</v>
      </c>
      <c r="X14" t="s">
        <v>426</v>
      </c>
      <c r="Y14" t="s">
        <v>480</v>
      </c>
      <c r="Z14" t="s">
        <v>43</v>
      </c>
      <c r="AA14" t="s">
        <v>381</v>
      </c>
      <c r="AB14" s="6" t="s">
        <v>415</v>
      </c>
      <c r="AC14" s="31">
        <v>44000</v>
      </c>
      <c r="AD14" t="s">
        <v>394</v>
      </c>
      <c r="AE14" t="s">
        <v>46</v>
      </c>
      <c r="AF14" t="s">
        <v>381</v>
      </c>
      <c r="AG14" s="6" t="s">
        <v>415</v>
      </c>
      <c r="AH14" s="31">
        <v>444444</v>
      </c>
      <c r="AI14" t="s">
        <v>394</v>
      </c>
      <c r="AJ14" t="s">
        <v>408</v>
      </c>
      <c r="AK14" t="s">
        <v>381</v>
      </c>
      <c r="AL14" s="6" t="s">
        <v>415</v>
      </c>
      <c r="AM14" s="31">
        <v>148000</v>
      </c>
      <c r="AR14" t="s">
        <v>396</v>
      </c>
      <c r="AS14" t="s">
        <v>40</v>
      </c>
      <c r="AV14" s="30"/>
      <c r="AW14" s="30"/>
      <c r="AX14" t="s">
        <v>397</v>
      </c>
      <c r="AZ14" s="6" t="s">
        <v>398</v>
      </c>
      <c r="BA14" s="30" t="s">
        <v>31</v>
      </c>
      <c r="BB14" s="30" t="s">
        <v>31</v>
      </c>
      <c r="BI14" s="30"/>
      <c r="BM14" t="s">
        <v>502</v>
      </c>
      <c r="BN14" s="30" t="s">
        <v>33</v>
      </c>
      <c r="BO14" s="30"/>
      <c r="BP14" s="30"/>
      <c r="BQ14" s="30" t="s">
        <v>31</v>
      </c>
      <c r="BR14" s="30" t="s">
        <v>31</v>
      </c>
      <c r="BS14" s="6" t="s">
        <v>416</v>
      </c>
      <c r="CG14" t="s">
        <v>414</v>
      </c>
      <c r="CH14" s="30"/>
      <c r="CI14" s="51" t="s">
        <v>439</v>
      </c>
      <c r="CJ14" s="51" t="s">
        <v>529</v>
      </c>
      <c r="CK14" s="6" t="s">
        <v>440</v>
      </c>
      <c r="CL14" s="30" t="s">
        <v>530</v>
      </c>
      <c r="CM14" s="30"/>
      <c r="CN14" s="30"/>
      <c r="CO14" s="30"/>
      <c r="CP14" s="30"/>
      <c r="CQ14" s="30"/>
      <c r="CR14" s="30"/>
      <c r="CS14" s="51" t="s">
        <v>434</v>
      </c>
      <c r="CT14" s="30"/>
      <c r="CU14" s="6" t="s">
        <v>420</v>
      </c>
      <c r="CV14" s="30">
        <v>0</v>
      </c>
      <c r="CW14" s="6"/>
      <c r="CX14" s="6"/>
      <c r="CY14" s="6"/>
      <c r="CZ14" s="6"/>
      <c r="DA14" s="6"/>
      <c r="DB14" s="30" t="s">
        <v>446</v>
      </c>
      <c r="DC14" s="49" t="s">
        <v>445</v>
      </c>
      <c r="DE14" t="s">
        <v>31</v>
      </c>
      <c r="DF14" s="30" t="s">
        <v>446</v>
      </c>
      <c r="DG14" t="s">
        <v>453</v>
      </c>
      <c r="DH14" t="s">
        <v>454</v>
      </c>
      <c r="DI14" s="6" t="s">
        <v>455</v>
      </c>
      <c r="DJ14" s="30">
        <v>2.5</v>
      </c>
      <c r="DK14" s="72" t="s">
        <v>577</v>
      </c>
      <c r="DL14" s="56" t="s">
        <v>508</v>
      </c>
      <c r="DM14" s="30"/>
      <c r="DN14" s="30" t="s">
        <v>31</v>
      </c>
      <c r="DO14" s="49" t="s">
        <v>580</v>
      </c>
      <c r="DP14" s="30"/>
      <c r="DQ14" s="30"/>
      <c r="DR14" s="30"/>
      <c r="DS14" t="s">
        <v>418</v>
      </c>
      <c r="DT14" t="s">
        <v>41</v>
      </c>
      <c r="DU14" s="6"/>
      <c r="DV14" s="6" t="s">
        <v>31</v>
      </c>
      <c r="DW14" s="6" t="s">
        <v>31</v>
      </c>
      <c r="DX14" s="6" t="s">
        <v>31</v>
      </c>
      <c r="DY14" s="6"/>
      <c r="DZ14" t="s">
        <v>421</v>
      </c>
      <c r="EA14" s="6" t="s">
        <v>31</v>
      </c>
      <c r="EB14" s="6" t="s">
        <v>31</v>
      </c>
      <c r="EC14" s="6" t="s">
        <v>420</v>
      </c>
      <c r="ED14">
        <v>2.5</v>
      </c>
      <c r="FC14" t="s">
        <v>154</v>
      </c>
      <c r="FF14" s="43" t="s">
        <v>517</v>
      </c>
      <c r="FG14" t="s">
        <v>43</v>
      </c>
      <c r="FH14" s="6" t="s">
        <v>470</v>
      </c>
      <c r="FI14" t="s">
        <v>43</v>
      </c>
      <c r="FJ14" s="6" t="s">
        <v>44</v>
      </c>
      <c r="FK14" t="s">
        <v>46</v>
      </c>
      <c r="FL14" t="s">
        <v>520</v>
      </c>
      <c r="FM14" t="s">
        <v>45</v>
      </c>
      <c r="FO14" t="s">
        <v>524</v>
      </c>
      <c r="FR14" t="s">
        <v>509</v>
      </c>
      <c r="FT14" t="s">
        <v>526</v>
      </c>
      <c r="FU14" s="6" t="s">
        <v>30</v>
      </c>
      <c r="FV14" s="52" t="s">
        <v>5</v>
      </c>
      <c r="GE14" t="s">
        <v>536</v>
      </c>
      <c r="GG14" t="s">
        <v>510</v>
      </c>
      <c r="GH14" t="s">
        <v>20</v>
      </c>
      <c r="GI14" s="6" t="s">
        <v>511</v>
      </c>
      <c r="GJ14" t="s">
        <v>15</v>
      </c>
      <c r="GM14">
        <v>8</v>
      </c>
      <c r="GN14" t="s">
        <v>512</v>
      </c>
      <c r="GO14" t="s">
        <v>154</v>
      </c>
      <c r="GQ14">
        <v>2014</v>
      </c>
      <c r="GR14">
        <v>2015</v>
      </c>
    </row>
    <row r="15" spans="1:203" ht="15" thickBot="1">
      <c r="A15" t="s">
        <v>3</v>
      </c>
      <c r="C15" t="s">
        <v>386</v>
      </c>
      <c r="E15" t="s">
        <v>6</v>
      </c>
      <c r="F15" s="6" t="s">
        <v>380</v>
      </c>
      <c r="G15" t="s">
        <v>387</v>
      </c>
      <c r="H15" s="6" t="s">
        <v>390</v>
      </c>
      <c r="I15" t="s">
        <v>154</v>
      </c>
      <c r="J15" t="s">
        <v>389</v>
      </c>
      <c r="K15" t="s">
        <v>7</v>
      </c>
      <c r="L15" t="s">
        <v>8</v>
      </c>
      <c r="M15" s="30" t="s">
        <v>31</v>
      </c>
      <c r="N15" t="s">
        <v>388</v>
      </c>
      <c r="P15" s="30" t="s">
        <v>31</v>
      </c>
      <c r="Q15" s="30">
        <v>1</v>
      </c>
      <c r="R15" t="s">
        <v>391</v>
      </c>
      <c r="S15">
        <v>2014</v>
      </c>
      <c r="T15">
        <v>2015</v>
      </c>
      <c r="U15" s="30" t="s">
        <v>31</v>
      </c>
      <c r="V15" s="30" t="s">
        <v>502</v>
      </c>
      <c r="W15" s="30" t="s">
        <v>502</v>
      </c>
      <c r="X15" t="s">
        <v>427</v>
      </c>
      <c r="Y15" t="s">
        <v>481</v>
      </c>
      <c r="Z15" t="s">
        <v>46</v>
      </c>
      <c r="AA15" t="s">
        <v>381</v>
      </c>
      <c r="AB15" s="6" t="s">
        <v>415</v>
      </c>
      <c r="AC15" s="31">
        <v>44444</v>
      </c>
      <c r="AD15" t="s">
        <v>394</v>
      </c>
      <c r="AE15" t="s">
        <v>408</v>
      </c>
      <c r="AF15" t="s">
        <v>381</v>
      </c>
      <c r="AG15" s="6" t="s">
        <v>415</v>
      </c>
      <c r="AH15" s="31">
        <v>148000</v>
      </c>
      <c r="AI15" t="s">
        <v>394</v>
      </c>
      <c r="AJ15" t="s">
        <v>43</v>
      </c>
      <c r="AK15" t="s">
        <v>381</v>
      </c>
      <c r="AL15" s="6" t="s">
        <v>415</v>
      </c>
      <c r="AM15">
        <v>44000</v>
      </c>
      <c r="AR15" t="s">
        <v>396</v>
      </c>
      <c r="AS15" t="s">
        <v>40</v>
      </c>
      <c r="AV15" s="30"/>
      <c r="AW15" s="30"/>
      <c r="AX15" t="s">
        <v>397</v>
      </c>
      <c r="AZ15" s="6" t="s">
        <v>398</v>
      </c>
      <c r="BA15" s="30" t="s">
        <v>31</v>
      </c>
      <c r="BB15" s="30" t="s">
        <v>31</v>
      </c>
      <c r="BM15" t="s">
        <v>502</v>
      </c>
      <c r="BN15" s="30" t="s">
        <v>32</v>
      </c>
      <c r="BO15" s="30"/>
      <c r="BP15" s="30"/>
      <c r="BQ15" s="30" t="s">
        <v>31</v>
      </c>
      <c r="BR15" s="30" t="s">
        <v>31</v>
      </c>
      <c r="BS15" s="6" t="s">
        <v>416</v>
      </c>
      <c r="CG15" t="s">
        <v>413</v>
      </c>
      <c r="CH15" s="30"/>
      <c r="CI15" s="51" t="s">
        <v>439</v>
      </c>
      <c r="CJ15" s="51" t="s">
        <v>529</v>
      </c>
      <c r="CK15" s="6" t="s">
        <v>440</v>
      </c>
      <c r="CL15" s="30" t="s">
        <v>530</v>
      </c>
      <c r="CM15" s="30"/>
      <c r="CN15" s="30"/>
      <c r="CO15" s="30"/>
      <c r="CP15" s="30"/>
      <c r="CQ15" s="30"/>
      <c r="CR15" s="30"/>
      <c r="CS15" s="51" t="s">
        <v>434</v>
      </c>
      <c r="CT15" s="30"/>
      <c r="CU15" s="6" t="s">
        <v>420</v>
      </c>
      <c r="CV15" s="30">
        <v>0</v>
      </c>
      <c r="CW15" s="6"/>
      <c r="CX15" s="6"/>
      <c r="CY15" s="6"/>
      <c r="CZ15" s="6"/>
      <c r="DA15" s="6"/>
      <c r="DB15" s="30" t="s">
        <v>446</v>
      </c>
      <c r="DC15" s="49" t="s">
        <v>445</v>
      </c>
      <c r="DE15" t="s">
        <v>31</v>
      </c>
      <c r="DF15" s="30" t="s">
        <v>446</v>
      </c>
      <c r="DG15" t="s">
        <v>453</v>
      </c>
      <c r="DH15" t="s">
        <v>454</v>
      </c>
      <c r="DI15" s="6" t="s">
        <v>455</v>
      </c>
      <c r="DJ15" s="30">
        <v>2.5</v>
      </c>
      <c r="DK15" s="72" t="s">
        <v>577</v>
      </c>
      <c r="DL15" s="56" t="s">
        <v>508</v>
      </c>
      <c r="DM15" s="30"/>
      <c r="DN15" s="30" t="s">
        <v>31</v>
      </c>
      <c r="DO15" s="49" t="s">
        <v>580</v>
      </c>
      <c r="DP15" s="30"/>
      <c r="DQ15" s="30"/>
      <c r="DR15" s="30"/>
      <c r="DS15" t="s">
        <v>418</v>
      </c>
      <c r="DT15" t="s">
        <v>41</v>
      </c>
      <c r="DU15" s="6"/>
      <c r="DV15" s="6" t="s">
        <v>31</v>
      </c>
      <c r="DW15" s="6" t="s">
        <v>31</v>
      </c>
      <c r="DX15" s="6" t="s">
        <v>31</v>
      </c>
      <c r="DY15" s="6"/>
      <c r="DZ15" t="s">
        <v>421</v>
      </c>
      <c r="EA15" s="6" t="s">
        <v>31</v>
      </c>
      <c r="EB15" s="6" t="s">
        <v>31</v>
      </c>
      <c r="EC15" s="6" t="s">
        <v>420</v>
      </c>
      <c r="ED15">
        <v>2.5</v>
      </c>
      <c r="FC15" t="s">
        <v>154</v>
      </c>
      <c r="FF15" s="43" t="s">
        <v>517</v>
      </c>
      <c r="FG15" t="s">
        <v>43</v>
      </c>
      <c r="FH15" s="6" t="s">
        <v>470</v>
      </c>
      <c r="FI15" t="s">
        <v>43</v>
      </c>
      <c r="FJ15" s="6" t="s">
        <v>44</v>
      </c>
      <c r="FK15" t="s">
        <v>46</v>
      </c>
      <c r="FL15" t="s">
        <v>520</v>
      </c>
      <c r="FM15" t="s">
        <v>45</v>
      </c>
      <c r="FO15" t="s">
        <v>524</v>
      </c>
      <c r="FR15" t="s">
        <v>509</v>
      </c>
      <c r="FT15" t="s">
        <v>526</v>
      </c>
      <c r="FU15" s="6" t="s">
        <v>30</v>
      </c>
      <c r="FV15" s="52" t="s">
        <v>5</v>
      </c>
      <c r="GE15" t="s">
        <v>536</v>
      </c>
      <c r="GG15" t="s">
        <v>510</v>
      </c>
      <c r="GH15" t="s">
        <v>21</v>
      </c>
      <c r="GI15" s="6" t="s">
        <v>511</v>
      </c>
      <c r="GJ15" t="s">
        <v>13</v>
      </c>
      <c r="GM15">
        <v>8</v>
      </c>
      <c r="GN15" t="s">
        <v>512</v>
      </c>
      <c r="GO15" t="s">
        <v>154</v>
      </c>
      <c r="GQ15">
        <v>2014</v>
      </c>
      <c r="GR15">
        <v>2015</v>
      </c>
    </row>
    <row r="16" spans="1:203" ht="15" thickBot="1">
      <c r="A16" t="s">
        <v>3</v>
      </c>
      <c r="C16" t="s">
        <v>386</v>
      </c>
      <c r="E16" t="s">
        <v>6</v>
      </c>
      <c r="F16" s="6" t="s">
        <v>380</v>
      </c>
      <c r="G16" t="s">
        <v>387</v>
      </c>
      <c r="H16" s="6" t="s">
        <v>390</v>
      </c>
      <c r="I16" t="s">
        <v>154</v>
      </c>
      <c r="J16" t="s">
        <v>389</v>
      </c>
      <c r="K16" t="s">
        <v>7</v>
      </c>
      <c r="L16" t="s">
        <v>8</v>
      </c>
      <c r="M16" s="30" t="s">
        <v>31</v>
      </c>
      <c r="N16" t="s">
        <v>388</v>
      </c>
      <c r="P16" s="30" t="s">
        <v>31</v>
      </c>
      <c r="Q16" s="30">
        <v>1</v>
      </c>
      <c r="R16" t="s">
        <v>391</v>
      </c>
      <c r="S16">
        <v>2014</v>
      </c>
      <c r="T16">
        <v>2015</v>
      </c>
      <c r="U16" s="30" t="s">
        <v>31</v>
      </c>
      <c r="V16" s="30" t="s">
        <v>36</v>
      </c>
      <c r="W16" s="30" t="s">
        <v>36</v>
      </c>
      <c r="X16" t="s">
        <v>428</v>
      </c>
      <c r="Y16" t="s">
        <v>482</v>
      </c>
      <c r="Z16" t="s">
        <v>43</v>
      </c>
      <c r="AA16" t="s">
        <v>381</v>
      </c>
      <c r="AB16" s="6" t="s">
        <v>415</v>
      </c>
      <c r="AC16" s="31">
        <v>44000</v>
      </c>
      <c r="AR16" t="s">
        <v>399</v>
      </c>
      <c r="AS16" t="s">
        <v>42</v>
      </c>
      <c r="AT16" t="s">
        <v>400</v>
      </c>
      <c r="AV16" s="30" t="s">
        <v>31</v>
      </c>
      <c r="AW16" s="30">
        <v>1</v>
      </c>
      <c r="AX16" t="s">
        <v>397</v>
      </c>
      <c r="AZ16" s="6" t="s">
        <v>398</v>
      </c>
      <c r="BA16" s="30" t="s">
        <v>31</v>
      </c>
      <c r="BB16" s="30" t="s">
        <v>31</v>
      </c>
      <c r="BH16" t="s">
        <v>404</v>
      </c>
      <c r="BI16" s="49" t="s">
        <v>36</v>
      </c>
      <c r="BJ16" s="30"/>
      <c r="BK16" s="30"/>
      <c r="BL16" s="30"/>
      <c r="BM16" t="s">
        <v>404</v>
      </c>
      <c r="BN16" s="30" t="s">
        <v>36</v>
      </c>
      <c r="BO16" s="30"/>
      <c r="BP16" s="30"/>
      <c r="BQ16" s="30"/>
      <c r="BR16" s="30"/>
      <c r="BS16" s="30"/>
      <c r="CG16" t="s">
        <v>413</v>
      </c>
      <c r="CH16" s="30"/>
      <c r="CI16" s="51" t="s">
        <v>439</v>
      </c>
      <c r="CJ16" s="51" t="s">
        <v>441</v>
      </c>
      <c r="CK16" s="6" t="s">
        <v>440</v>
      </c>
      <c r="CL16" s="30" t="s">
        <v>442</v>
      </c>
      <c r="CM16" s="30"/>
      <c r="CN16" s="30"/>
      <c r="CO16" s="30"/>
      <c r="CP16" s="30"/>
      <c r="CQ16" s="30"/>
      <c r="CR16" s="30"/>
      <c r="CS16" s="51" t="s">
        <v>38</v>
      </c>
      <c r="CT16" s="51" t="s">
        <v>435</v>
      </c>
      <c r="CU16" s="6" t="s">
        <v>420</v>
      </c>
      <c r="CV16" s="30">
        <v>5</v>
      </c>
      <c r="CW16" s="6" t="s">
        <v>436</v>
      </c>
      <c r="CX16" s="30">
        <v>0.74</v>
      </c>
      <c r="CY16" s="30">
        <v>0.12</v>
      </c>
      <c r="CZ16" s="30">
        <v>0.69</v>
      </c>
      <c r="DA16" s="6" t="s">
        <v>438</v>
      </c>
      <c r="DB16" s="6" t="s">
        <v>444</v>
      </c>
      <c r="DC16" s="49" t="s">
        <v>445</v>
      </c>
      <c r="DE16" t="s">
        <v>31</v>
      </c>
      <c r="DF16" s="30" t="s">
        <v>447</v>
      </c>
      <c r="DG16" t="s">
        <v>452</v>
      </c>
      <c r="DI16" s="6" t="s">
        <v>455</v>
      </c>
      <c r="DJ16" s="30">
        <v>0</v>
      </c>
      <c r="DK16" s="67" t="s">
        <v>579</v>
      </c>
      <c r="DL16" s="30"/>
      <c r="DM16" s="30"/>
      <c r="DN16" s="30"/>
      <c r="DO16" s="49" t="s">
        <v>580</v>
      </c>
      <c r="DP16" s="30"/>
      <c r="DQ16" s="30"/>
      <c r="DR16" s="30"/>
      <c r="DT16" t="s">
        <v>419</v>
      </c>
      <c r="DU16" s="6"/>
      <c r="DV16" s="6"/>
      <c r="DW16" s="6"/>
      <c r="DX16" s="6"/>
      <c r="DY16" s="6"/>
      <c r="DZ16" s="6"/>
      <c r="EA16" s="6"/>
      <c r="EB16" s="6" t="s">
        <v>31</v>
      </c>
      <c r="EC16" s="6" t="s">
        <v>420</v>
      </c>
      <c r="ED16">
        <v>0</v>
      </c>
      <c r="FC16" t="s">
        <v>491</v>
      </c>
      <c r="FF16" s="43" t="s">
        <v>518</v>
      </c>
      <c r="FG16" t="s">
        <v>43</v>
      </c>
      <c r="FH16" s="6" t="s">
        <v>470</v>
      </c>
      <c r="FI16" t="s">
        <v>43</v>
      </c>
      <c r="FJ16" s="6" t="s">
        <v>44</v>
      </c>
      <c r="FR16" t="s">
        <v>509</v>
      </c>
      <c r="FT16" t="s">
        <v>526</v>
      </c>
      <c r="FU16" s="6" t="s">
        <v>30</v>
      </c>
      <c r="FV16" s="52" t="s">
        <v>5</v>
      </c>
      <c r="GD16" s="43"/>
      <c r="GE16" t="s">
        <v>537</v>
      </c>
      <c r="GF16" t="s">
        <v>515</v>
      </c>
      <c r="GG16" t="s">
        <v>510</v>
      </c>
      <c r="GH16" t="s">
        <v>12</v>
      </c>
      <c r="GI16" s="6" t="s">
        <v>511</v>
      </c>
      <c r="GJ16" t="s">
        <v>13</v>
      </c>
      <c r="GM16">
        <v>8</v>
      </c>
      <c r="GN16" t="s">
        <v>512</v>
      </c>
      <c r="GO16" t="s">
        <v>154</v>
      </c>
      <c r="GQ16">
        <v>2014</v>
      </c>
      <c r="GR16">
        <v>2015</v>
      </c>
    </row>
    <row r="17" spans="1:203" ht="15" thickBot="1">
      <c r="A17" t="s">
        <v>3</v>
      </c>
      <c r="C17" t="s">
        <v>386</v>
      </c>
      <c r="E17" t="s">
        <v>6</v>
      </c>
      <c r="F17" s="6" t="s">
        <v>380</v>
      </c>
      <c r="G17" t="s">
        <v>387</v>
      </c>
      <c r="H17" s="6" t="s">
        <v>390</v>
      </c>
      <c r="I17" t="s">
        <v>154</v>
      </c>
      <c r="J17" t="s">
        <v>389</v>
      </c>
      <c r="K17" t="s">
        <v>7</v>
      </c>
      <c r="L17" t="s">
        <v>8</v>
      </c>
      <c r="M17" s="30" t="s">
        <v>31</v>
      </c>
      <c r="N17" t="s">
        <v>388</v>
      </c>
      <c r="P17" s="30" t="s">
        <v>31</v>
      </c>
      <c r="Q17" s="30">
        <v>1</v>
      </c>
      <c r="R17" t="s">
        <v>391</v>
      </c>
      <c r="S17">
        <v>2014</v>
      </c>
      <c r="T17">
        <v>2015</v>
      </c>
      <c r="U17" s="30" t="s">
        <v>31</v>
      </c>
      <c r="V17" s="30" t="s">
        <v>36</v>
      </c>
      <c r="W17" s="30" t="s">
        <v>36</v>
      </c>
      <c r="X17" t="s">
        <v>429</v>
      </c>
      <c r="Y17" t="s">
        <v>483</v>
      </c>
      <c r="Z17" t="s">
        <v>43</v>
      </c>
      <c r="AA17" t="s">
        <v>381</v>
      </c>
      <c r="AB17" s="6" t="s">
        <v>415</v>
      </c>
      <c r="AC17" s="31">
        <v>44000</v>
      </c>
      <c r="AR17" t="s">
        <v>396</v>
      </c>
      <c r="AS17" t="s">
        <v>40</v>
      </c>
      <c r="AV17" s="30"/>
      <c r="AW17" s="30"/>
      <c r="AX17" t="s">
        <v>397</v>
      </c>
      <c r="AZ17" s="6" t="s">
        <v>398</v>
      </c>
      <c r="BA17" s="30" t="s">
        <v>31</v>
      </c>
      <c r="BB17" s="30" t="s">
        <v>31</v>
      </c>
      <c r="BH17" t="s">
        <v>404</v>
      </c>
      <c r="BI17" s="49" t="s">
        <v>36</v>
      </c>
      <c r="BJ17" s="30"/>
      <c r="BK17" s="30"/>
      <c r="BL17" s="30"/>
      <c r="BM17" t="s">
        <v>404</v>
      </c>
      <c r="BN17" s="30" t="s">
        <v>36</v>
      </c>
      <c r="BO17" s="30"/>
      <c r="BP17" s="30"/>
      <c r="BQ17" s="30"/>
      <c r="BR17" s="30"/>
      <c r="BS17" s="30"/>
      <c r="CG17" t="s">
        <v>413</v>
      </c>
      <c r="CH17" s="30"/>
      <c r="CI17" s="51" t="s">
        <v>439</v>
      </c>
      <c r="CJ17" s="51" t="s">
        <v>441</v>
      </c>
      <c r="CK17" s="6" t="s">
        <v>440</v>
      </c>
      <c r="CL17" s="30" t="s">
        <v>442</v>
      </c>
      <c r="CM17" s="30"/>
      <c r="CN17" s="30"/>
      <c r="CO17" s="30"/>
      <c r="CP17" s="30"/>
      <c r="CQ17" s="30"/>
      <c r="CR17" s="30"/>
      <c r="CS17" s="51" t="s">
        <v>38</v>
      </c>
      <c r="CT17" s="51" t="s">
        <v>435</v>
      </c>
      <c r="CU17" s="6" t="s">
        <v>420</v>
      </c>
      <c r="CV17" s="30">
        <v>5</v>
      </c>
      <c r="CW17" s="6" t="s">
        <v>436</v>
      </c>
      <c r="CX17" s="30">
        <v>0.74</v>
      </c>
      <c r="CY17" s="30">
        <v>0.12</v>
      </c>
      <c r="CZ17" s="30">
        <v>0.69</v>
      </c>
      <c r="DA17" s="6" t="s">
        <v>438</v>
      </c>
      <c r="DB17" s="30" t="s">
        <v>446</v>
      </c>
      <c r="DC17" s="49" t="s">
        <v>445</v>
      </c>
      <c r="DE17" t="s">
        <v>31</v>
      </c>
      <c r="DF17" s="30" t="s">
        <v>446</v>
      </c>
      <c r="DG17" t="s">
        <v>453</v>
      </c>
      <c r="DH17" t="s">
        <v>454</v>
      </c>
      <c r="DI17" s="6" t="s">
        <v>455</v>
      </c>
      <c r="DJ17" s="30">
        <v>2.5</v>
      </c>
      <c r="DK17" s="67" t="s">
        <v>579</v>
      </c>
      <c r="DL17" s="30"/>
      <c r="DM17" s="30"/>
      <c r="DN17" s="30"/>
      <c r="DO17" s="49" t="s">
        <v>580</v>
      </c>
      <c r="DP17" s="30"/>
      <c r="DQ17" s="30"/>
      <c r="DR17" s="30"/>
      <c r="DS17" t="s">
        <v>418</v>
      </c>
      <c r="DT17" t="s">
        <v>41</v>
      </c>
      <c r="DU17" s="6"/>
      <c r="DV17" s="6" t="s">
        <v>31</v>
      </c>
      <c r="DW17" s="6" t="s">
        <v>31</v>
      </c>
      <c r="DX17" s="6" t="s">
        <v>31</v>
      </c>
      <c r="DY17" s="6"/>
      <c r="DZ17" t="s">
        <v>421</v>
      </c>
      <c r="EA17" s="6" t="s">
        <v>31</v>
      </c>
      <c r="EB17" s="6" t="s">
        <v>31</v>
      </c>
      <c r="EC17" s="6" t="s">
        <v>420</v>
      </c>
      <c r="ED17">
        <v>2.5</v>
      </c>
      <c r="FC17" t="s">
        <v>491</v>
      </c>
      <c r="FF17" s="43" t="s">
        <v>519</v>
      </c>
      <c r="FG17" t="s">
        <v>43</v>
      </c>
      <c r="FH17" s="6" t="s">
        <v>470</v>
      </c>
      <c r="FI17" t="s">
        <v>43</v>
      </c>
      <c r="FJ17" s="6" t="s">
        <v>44</v>
      </c>
      <c r="FR17" t="s">
        <v>509</v>
      </c>
      <c r="FT17" t="s">
        <v>526</v>
      </c>
      <c r="FU17" s="6" t="s">
        <v>30</v>
      </c>
      <c r="FV17" s="52" t="s">
        <v>5</v>
      </c>
      <c r="GE17" t="s">
        <v>538</v>
      </c>
      <c r="GF17" t="s">
        <v>516</v>
      </c>
      <c r="GG17" t="s">
        <v>510</v>
      </c>
      <c r="GH17" t="s">
        <v>14</v>
      </c>
      <c r="GI17" s="6" t="s">
        <v>511</v>
      </c>
      <c r="GJ17" t="s">
        <v>15</v>
      </c>
      <c r="GM17">
        <v>8</v>
      </c>
      <c r="GN17" t="s">
        <v>512</v>
      </c>
      <c r="GO17" t="s">
        <v>154</v>
      </c>
      <c r="GQ17">
        <v>2014</v>
      </c>
      <c r="GR17">
        <v>2015</v>
      </c>
    </row>
    <row r="18" spans="1:203" ht="15" thickBot="1">
      <c r="A18" t="s">
        <v>3</v>
      </c>
      <c r="C18" t="s">
        <v>386</v>
      </c>
      <c r="E18" t="s">
        <v>6</v>
      </c>
      <c r="F18" s="6" t="s">
        <v>380</v>
      </c>
      <c r="G18" t="s">
        <v>387</v>
      </c>
      <c r="H18" s="6" t="s">
        <v>390</v>
      </c>
      <c r="I18" t="s">
        <v>154</v>
      </c>
      <c r="J18" t="s">
        <v>389</v>
      </c>
      <c r="K18" t="s">
        <v>7</v>
      </c>
      <c r="L18" t="s">
        <v>8</v>
      </c>
      <c r="M18" s="30" t="s">
        <v>31</v>
      </c>
      <c r="N18" t="s">
        <v>388</v>
      </c>
      <c r="P18" s="30" t="s">
        <v>31</v>
      </c>
      <c r="Q18" s="30">
        <v>1</v>
      </c>
      <c r="R18" t="s">
        <v>391</v>
      </c>
      <c r="S18">
        <v>2014</v>
      </c>
      <c r="T18">
        <v>2015</v>
      </c>
      <c r="U18" s="30" t="s">
        <v>31</v>
      </c>
      <c r="V18" s="30" t="s">
        <v>34</v>
      </c>
      <c r="W18" s="30" t="s">
        <v>34</v>
      </c>
      <c r="X18" t="s">
        <v>430</v>
      </c>
      <c r="Y18" t="s">
        <v>484</v>
      </c>
      <c r="Z18" t="s">
        <v>43</v>
      </c>
      <c r="AA18" t="s">
        <v>381</v>
      </c>
      <c r="AB18" s="6" t="s">
        <v>415</v>
      </c>
      <c r="AC18" s="31">
        <v>44000</v>
      </c>
      <c r="AD18" t="s">
        <v>98</v>
      </c>
      <c r="AE18" t="s">
        <v>392</v>
      </c>
      <c r="AF18" t="s">
        <v>381</v>
      </c>
      <c r="AG18" s="6" t="s">
        <v>415</v>
      </c>
      <c r="AH18" s="31">
        <v>44444</v>
      </c>
      <c r="AR18" t="s">
        <v>396</v>
      </c>
      <c r="AS18" t="s">
        <v>40</v>
      </c>
      <c r="AV18" s="30"/>
      <c r="AW18" s="30"/>
      <c r="AX18" t="s">
        <v>397</v>
      </c>
      <c r="AZ18" s="6" t="s">
        <v>417</v>
      </c>
      <c r="BA18" s="30" t="s">
        <v>31</v>
      </c>
      <c r="BB18" s="30" t="s">
        <v>31</v>
      </c>
      <c r="BH18" t="s">
        <v>407</v>
      </c>
      <c r="BI18" s="50" t="s">
        <v>35</v>
      </c>
      <c r="BJ18" s="30" t="s">
        <v>31</v>
      </c>
      <c r="BK18" s="30" t="s">
        <v>31</v>
      </c>
      <c r="BL18" s="6" t="s">
        <v>416</v>
      </c>
      <c r="BM18" s="30"/>
      <c r="BN18" s="30"/>
      <c r="BO18" s="30"/>
      <c r="BP18" s="30"/>
      <c r="BQ18" s="30"/>
      <c r="BR18" s="30"/>
      <c r="BS18" s="30"/>
      <c r="CG18" t="s">
        <v>413</v>
      </c>
      <c r="CH18" s="30"/>
      <c r="CI18" s="51" t="s">
        <v>439</v>
      </c>
      <c r="CJ18" s="51" t="s">
        <v>441</v>
      </c>
      <c r="CK18" s="6" t="s">
        <v>440</v>
      </c>
      <c r="CL18" s="30" t="s">
        <v>442</v>
      </c>
      <c r="CM18" s="30"/>
      <c r="CN18" s="30"/>
      <c r="CO18" s="30"/>
      <c r="CP18" s="30"/>
      <c r="CQ18" s="30"/>
      <c r="CR18" s="30"/>
      <c r="CS18" s="51" t="s">
        <v>38</v>
      </c>
      <c r="CT18" s="51" t="s">
        <v>435</v>
      </c>
      <c r="CU18" s="6" t="s">
        <v>420</v>
      </c>
      <c r="CV18" s="30">
        <v>5</v>
      </c>
      <c r="CW18" s="6" t="s">
        <v>436</v>
      </c>
      <c r="CX18" s="30">
        <v>0.74</v>
      </c>
      <c r="CY18" s="30">
        <v>0.12</v>
      </c>
      <c r="CZ18" s="30">
        <v>0.69</v>
      </c>
      <c r="DA18" s="6" t="s">
        <v>438</v>
      </c>
      <c r="DB18" s="30" t="s">
        <v>446</v>
      </c>
      <c r="DC18" s="49" t="s">
        <v>445</v>
      </c>
      <c r="DE18" t="s">
        <v>31</v>
      </c>
      <c r="DF18" s="30" t="s">
        <v>446</v>
      </c>
      <c r="DG18" t="s">
        <v>453</v>
      </c>
      <c r="DH18" t="s">
        <v>454</v>
      </c>
      <c r="DI18" s="6" t="s">
        <v>455</v>
      </c>
      <c r="DJ18" s="30">
        <v>2.5</v>
      </c>
      <c r="DK18" s="67" t="s">
        <v>579</v>
      </c>
      <c r="DL18" s="30"/>
      <c r="DM18" s="30"/>
      <c r="DN18" s="30"/>
      <c r="DO18" s="72" t="s">
        <v>578</v>
      </c>
      <c r="DP18" s="56" t="s">
        <v>534</v>
      </c>
      <c r="DQ18" s="30"/>
      <c r="DR18" s="30"/>
      <c r="DS18" t="s">
        <v>418</v>
      </c>
      <c r="DT18" t="s">
        <v>41</v>
      </c>
      <c r="DU18" s="6"/>
      <c r="DV18" s="6" t="s">
        <v>31</v>
      </c>
      <c r="DW18" s="6" t="s">
        <v>31</v>
      </c>
      <c r="DX18" s="6" t="s">
        <v>31</v>
      </c>
      <c r="DY18" s="6"/>
      <c r="DZ18" t="s">
        <v>421</v>
      </c>
      <c r="EA18" s="6" t="s">
        <v>31</v>
      </c>
      <c r="EB18" s="6" t="s">
        <v>31</v>
      </c>
      <c r="EC18" s="6" t="s">
        <v>420</v>
      </c>
      <c r="ED18">
        <v>2.5</v>
      </c>
      <c r="FC18" t="s">
        <v>154</v>
      </c>
      <c r="FF18" s="43" t="s">
        <v>517</v>
      </c>
      <c r="FG18" t="s">
        <v>43</v>
      </c>
      <c r="FH18" s="6" t="s">
        <v>470</v>
      </c>
      <c r="FI18" t="s">
        <v>43</v>
      </c>
      <c r="FJ18" s="6" t="s">
        <v>44</v>
      </c>
      <c r="FK18" t="s">
        <v>392</v>
      </c>
      <c r="FL18" t="s">
        <v>473</v>
      </c>
      <c r="FO18" t="s">
        <v>524</v>
      </c>
      <c r="FR18" t="s">
        <v>509</v>
      </c>
      <c r="FT18" t="s">
        <v>526</v>
      </c>
      <c r="FU18" s="6" t="s">
        <v>30</v>
      </c>
      <c r="FV18" s="52" t="s">
        <v>5</v>
      </c>
      <c r="GE18" t="s">
        <v>527</v>
      </c>
      <c r="GG18" t="s">
        <v>510</v>
      </c>
      <c r="GH18" t="s">
        <v>22</v>
      </c>
      <c r="GI18" s="6" t="s">
        <v>511</v>
      </c>
      <c r="GJ18" t="s">
        <v>15</v>
      </c>
      <c r="GM18">
        <v>8</v>
      </c>
      <c r="GN18" t="s">
        <v>512</v>
      </c>
      <c r="GO18" t="s">
        <v>154</v>
      </c>
      <c r="GQ18">
        <v>2014</v>
      </c>
      <c r="GR18">
        <v>2015</v>
      </c>
    </row>
    <row r="19" spans="1:203" ht="15" thickBot="1">
      <c r="A19" t="s">
        <v>3</v>
      </c>
      <c r="C19" t="s">
        <v>386</v>
      </c>
      <c r="E19" t="s">
        <v>6</v>
      </c>
      <c r="F19" s="6" t="s">
        <v>380</v>
      </c>
      <c r="G19" t="s">
        <v>387</v>
      </c>
      <c r="H19" s="6" t="s">
        <v>390</v>
      </c>
      <c r="I19" t="s">
        <v>154</v>
      </c>
      <c r="J19" t="s">
        <v>389</v>
      </c>
      <c r="K19" t="s">
        <v>7</v>
      </c>
      <c r="L19" t="s">
        <v>8</v>
      </c>
      <c r="M19" s="30" t="s">
        <v>31</v>
      </c>
      <c r="N19" t="s">
        <v>388</v>
      </c>
      <c r="P19" s="30" t="s">
        <v>31</v>
      </c>
      <c r="Q19" s="30">
        <v>1</v>
      </c>
      <c r="R19" t="s">
        <v>391</v>
      </c>
      <c r="S19">
        <v>2014</v>
      </c>
      <c r="T19">
        <v>2015</v>
      </c>
      <c r="U19" s="30" t="s">
        <v>31</v>
      </c>
      <c r="V19" s="30" t="s">
        <v>34</v>
      </c>
      <c r="W19" s="30" t="s">
        <v>34</v>
      </c>
      <c r="X19" t="s">
        <v>431</v>
      </c>
      <c r="Y19" t="s">
        <v>485</v>
      </c>
      <c r="Z19" t="s">
        <v>43</v>
      </c>
      <c r="AA19" t="s">
        <v>381</v>
      </c>
      <c r="AB19" s="6" t="s">
        <v>415</v>
      </c>
      <c r="AC19" s="31">
        <v>44000</v>
      </c>
      <c r="AD19" t="s">
        <v>98</v>
      </c>
      <c r="AE19" t="s">
        <v>393</v>
      </c>
      <c r="AF19" t="s">
        <v>381</v>
      </c>
      <c r="AG19" s="6" t="s">
        <v>415</v>
      </c>
      <c r="AH19" s="31">
        <v>44444</v>
      </c>
      <c r="AR19" t="s">
        <v>396</v>
      </c>
      <c r="AS19" t="s">
        <v>40</v>
      </c>
      <c r="AV19" s="30"/>
      <c r="AW19" s="30"/>
      <c r="AX19" t="s">
        <v>397</v>
      </c>
      <c r="AZ19" s="6" t="s">
        <v>417</v>
      </c>
      <c r="BA19" s="30" t="s">
        <v>31</v>
      </c>
      <c r="BB19" s="30" t="s">
        <v>31</v>
      </c>
      <c r="BH19" t="s">
        <v>406</v>
      </c>
      <c r="BI19" s="50" t="s">
        <v>35</v>
      </c>
      <c r="BJ19" s="30" t="s">
        <v>31</v>
      </c>
      <c r="BK19" s="30" t="s">
        <v>31</v>
      </c>
      <c r="BL19" s="6" t="s">
        <v>416</v>
      </c>
      <c r="BM19" s="30"/>
      <c r="BN19" s="30"/>
      <c r="BO19" s="30"/>
      <c r="BP19" s="30"/>
      <c r="BQ19" s="30"/>
      <c r="BR19" s="30"/>
      <c r="BS19" s="30"/>
      <c r="CG19" t="s">
        <v>413</v>
      </c>
      <c r="CH19" s="30"/>
      <c r="CI19" s="51" t="s">
        <v>439</v>
      </c>
      <c r="CJ19" s="51" t="s">
        <v>441</v>
      </c>
      <c r="CK19" s="6" t="s">
        <v>440</v>
      </c>
      <c r="CL19" s="30" t="s">
        <v>442</v>
      </c>
      <c r="CM19" s="30"/>
      <c r="CN19" s="30"/>
      <c r="CO19" s="30"/>
      <c r="CP19" s="30"/>
      <c r="CQ19" s="30"/>
      <c r="CR19" s="30"/>
      <c r="CS19" s="51" t="s">
        <v>38</v>
      </c>
      <c r="CT19" s="51" t="s">
        <v>435</v>
      </c>
      <c r="CU19" s="6" t="s">
        <v>420</v>
      </c>
      <c r="CV19" s="30">
        <v>5</v>
      </c>
      <c r="CW19" s="6" t="s">
        <v>436</v>
      </c>
      <c r="CX19" s="30">
        <v>0.74</v>
      </c>
      <c r="CY19" s="30">
        <v>0.12</v>
      </c>
      <c r="CZ19" s="30">
        <v>0.69</v>
      </c>
      <c r="DA19" s="6" t="s">
        <v>438</v>
      </c>
      <c r="DB19" s="30" t="s">
        <v>446</v>
      </c>
      <c r="DC19" s="49" t="s">
        <v>445</v>
      </c>
      <c r="DE19" t="s">
        <v>31</v>
      </c>
      <c r="DF19" s="30" t="s">
        <v>446</v>
      </c>
      <c r="DG19" t="s">
        <v>453</v>
      </c>
      <c r="DH19" t="s">
        <v>454</v>
      </c>
      <c r="DI19" s="6" t="s">
        <v>455</v>
      </c>
      <c r="DJ19" s="30">
        <v>2.5</v>
      </c>
      <c r="DK19" s="67" t="s">
        <v>579</v>
      </c>
      <c r="DL19" s="30"/>
      <c r="DM19" s="30"/>
      <c r="DN19" s="30"/>
      <c r="DO19" s="72" t="s">
        <v>578</v>
      </c>
      <c r="DP19" s="56" t="s">
        <v>534</v>
      </c>
      <c r="DQ19" s="30"/>
      <c r="DR19" s="30"/>
      <c r="DS19" t="s">
        <v>418</v>
      </c>
      <c r="DT19" t="s">
        <v>41</v>
      </c>
      <c r="DU19" s="6"/>
      <c r="DV19" s="6" t="s">
        <v>31</v>
      </c>
      <c r="DW19" s="6" t="s">
        <v>31</v>
      </c>
      <c r="DX19" s="6" t="s">
        <v>31</v>
      </c>
      <c r="DY19" s="6"/>
      <c r="DZ19" t="s">
        <v>421</v>
      </c>
      <c r="EA19" s="6" t="s">
        <v>31</v>
      </c>
      <c r="EB19" s="6" t="s">
        <v>31</v>
      </c>
      <c r="EC19" s="6" t="s">
        <v>420</v>
      </c>
      <c r="ED19">
        <v>2.5</v>
      </c>
      <c r="FC19" t="s">
        <v>154</v>
      </c>
      <c r="FF19" s="43" t="s">
        <v>517</v>
      </c>
      <c r="FG19" t="s">
        <v>43</v>
      </c>
      <c r="FH19" s="6" t="s">
        <v>470</v>
      </c>
      <c r="FI19" t="s">
        <v>43</v>
      </c>
      <c r="FJ19" s="6" t="s">
        <v>44</v>
      </c>
      <c r="FK19" t="s">
        <v>48</v>
      </c>
      <c r="FL19" t="s">
        <v>49</v>
      </c>
      <c r="FO19" t="s">
        <v>524</v>
      </c>
      <c r="FR19" t="s">
        <v>509</v>
      </c>
      <c r="FT19" t="s">
        <v>526</v>
      </c>
      <c r="FU19" s="6" t="s">
        <v>30</v>
      </c>
      <c r="FV19" s="52" t="s">
        <v>5</v>
      </c>
      <c r="GE19" t="s">
        <v>527</v>
      </c>
      <c r="GG19" t="s">
        <v>510</v>
      </c>
      <c r="GH19" t="s">
        <v>23</v>
      </c>
      <c r="GI19" s="6" t="s">
        <v>511</v>
      </c>
      <c r="GJ19" t="s">
        <v>24</v>
      </c>
      <c r="GM19">
        <v>8</v>
      </c>
      <c r="GN19" t="s">
        <v>512</v>
      </c>
      <c r="GO19" t="s">
        <v>154</v>
      </c>
      <c r="GQ19">
        <v>2014</v>
      </c>
      <c r="GR19">
        <v>2015</v>
      </c>
    </row>
    <row r="20" spans="1:203" ht="15" thickBot="1">
      <c r="A20" t="s">
        <v>3</v>
      </c>
      <c r="C20" t="s">
        <v>386</v>
      </c>
      <c r="E20" t="s">
        <v>6</v>
      </c>
      <c r="F20" s="6" t="s">
        <v>380</v>
      </c>
      <c r="G20" t="s">
        <v>387</v>
      </c>
      <c r="H20" s="6" t="s">
        <v>390</v>
      </c>
      <c r="I20" t="s">
        <v>154</v>
      </c>
      <c r="J20" t="s">
        <v>389</v>
      </c>
      <c r="K20" t="s">
        <v>7</v>
      </c>
      <c r="L20" t="s">
        <v>8</v>
      </c>
      <c r="M20" s="30" t="s">
        <v>31</v>
      </c>
      <c r="N20" t="s">
        <v>388</v>
      </c>
      <c r="P20" s="30" t="s">
        <v>31</v>
      </c>
      <c r="Q20" s="30">
        <v>1</v>
      </c>
      <c r="R20" t="s">
        <v>391</v>
      </c>
      <c r="S20">
        <v>2014</v>
      </c>
      <c r="T20">
        <v>2015</v>
      </c>
      <c r="U20" s="30" t="s">
        <v>31</v>
      </c>
      <c r="V20" s="30" t="s">
        <v>502</v>
      </c>
      <c r="W20" s="30" t="s">
        <v>502</v>
      </c>
      <c r="X20" t="s">
        <v>432</v>
      </c>
      <c r="Y20" t="s">
        <v>486</v>
      </c>
      <c r="Z20" t="s">
        <v>43</v>
      </c>
      <c r="AA20" t="s">
        <v>381</v>
      </c>
      <c r="AB20" s="6" t="s">
        <v>415</v>
      </c>
      <c r="AC20" s="31">
        <v>44000</v>
      </c>
      <c r="AD20" t="s">
        <v>394</v>
      </c>
      <c r="AE20" t="s">
        <v>46</v>
      </c>
      <c r="AF20" t="s">
        <v>381</v>
      </c>
      <c r="AG20" s="6" t="s">
        <v>415</v>
      </c>
      <c r="AH20" s="31">
        <v>444444</v>
      </c>
      <c r="AI20" t="s">
        <v>394</v>
      </c>
      <c r="AJ20" t="s">
        <v>408</v>
      </c>
      <c r="AK20" t="s">
        <v>381</v>
      </c>
      <c r="AL20" s="6" t="s">
        <v>415</v>
      </c>
      <c r="AM20" s="31">
        <v>148000</v>
      </c>
      <c r="AR20" t="s">
        <v>396</v>
      </c>
      <c r="AS20" t="s">
        <v>40</v>
      </c>
      <c r="AV20" s="30"/>
      <c r="AW20" s="30"/>
      <c r="AX20" t="s">
        <v>397</v>
      </c>
      <c r="AZ20" s="6" t="s">
        <v>398</v>
      </c>
      <c r="BA20" s="30" t="s">
        <v>31</v>
      </c>
      <c r="BB20" s="30" t="s">
        <v>31</v>
      </c>
      <c r="BI20" s="30"/>
      <c r="BM20" t="s">
        <v>502</v>
      </c>
      <c r="BN20" s="30" t="s">
        <v>33</v>
      </c>
      <c r="BO20" s="30"/>
      <c r="BP20" s="30"/>
      <c r="BQ20" s="30" t="s">
        <v>31</v>
      </c>
      <c r="BR20" s="30" t="s">
        <v>31</v>
      </c>
      <c r="BS20" s="6" t="s">
        <v>416</v>
      </c>
      <c r="CG20" t="s">
        <v>414</v>
      </c>
      <c r="CH20" s="30"/>
      <c r="CI20" s="51" t="s">
        <v>439</v>
      </c>
      <c r="CJ20" s="51" t="s">
        <v>529</v>
      </c>
      <c r="CK20" s="6" t="s">
        <v>440</v>
      </c>
      <c r="CL20" s="30" t="s">
        <v>530</v>
      </c>
      <c r="CM20" s="30"/>
      <c r="CN20" s="30"/>
      <c r="CO20" s="30"/>
      <c r="CP20" s="30"/>
      <c r="CQ20" s="30"/>
      <c r="CR20" s="30"/>
      <c r="CS20" s="51" t="s">
        <v>38</v>
      </c>
      <c r="CT20" s="51" t="s">
        <v>435</v>
      </c>
      <c r="CU20" s="6" t="s">
        <v>420</v>
      </c>
      <c r="CV20" s="30">
        <v>5</v>
      </c>
      <c r="CW20" s="6" t="s">
        <v>436</v>
      </c>
      <c r="CX20" s="30">
        <v>0.74</v>
      </c>
      <c r="CY20" s="30">
        <v>0.12</v>
      </c>
      <c r="CZ20" s="30">
        <v>0.69</v>
      </c>
      <c r="DA20" s="6" t="s">
        <v>438</v>
      </c>
      <c r="DB20" s="30" t="s">
        <v>446</v>
      </c>
      <c r="DC20" s="49" t="s">
        <v>445</v>
      </c>
      <c r="DE20" t="s">
        <v>31</v>
      </c>
      <c r="DF20" s="30" t="s">
        <v>446</v>
      </c>
      <c r="DG20" t="s">
        <v>453</v>
      </c>
      <c r="DH20" t="s">
        <v>454</v>
      </c>
      <c r="DI20" s="6" t="s">
        <v>455</v>
      </c>
      <c r="DJ20" s="30">
        <v>2.5</v>
      </c>
      <c r="DK20" s="72" t="s">
        <v>577</v>
      </c>
      <c r="DL20" s="56" t="s">
        <v>508</v>
      </c>
      <c r="DM20" s="30"/>
      <c r="DN20" s="30" t="s">
        <v>31</v>
      </c>
      <c r="DO20" s="49" t="s">
        <v>580</v>
      </c>
      <c r="DP20" s="30"/>
      <c r="DQ20" s="30"/>
      <c r="DR20" s="30"/>
      <c r="DS20" t="s">
        <v>418</v>
      </c>
      <c r="DT20" t="s">
        <v>41</v>
      </c>
      <c r="DU20" s="6"/>
      <c r="DV20" s="6" t="s">
        <v>31</v>
      </c>
      <c r="DW20" s="6" t="s">
        <v>31</v>
      </c>
      <c r="DX20" s="6" t="s">
        <v>31</v>
      </c>
      <c r="DY20" s="6"/>
      <c r="DZ20" t="s">
        <v>421</v>
      </c>
      <c r="EA20" s="6" t="s">
        <v>31</v>
      </c>
      <c r="EB20" s="6" t="s">
        <v>31</v>
      </c>
      <c r="EC20" s="6" t="s">
        <v>420</v>
      </c>
      <c r="ED20">
        <v>2.5</v>
      </c>
      <c r="FC20" t="s">
        <v>154</v>
      </c>
      <c r="FF20" s="43" t="s">
        <v>517</v>
      </c>
      <c r="FG20" t="s">
        <v>43</v>
      </c>
      <c r="FH20" s="6" t="s">
        <v>470</v>
      </c>
      <c r="FI20" t="s">
        <v>43</v>
      </c>
      <c r="FJ20" s="6" t="s">
        <v>44</v>
      </c>
      <c r="FK20" t="s">
        <v>46</v>
      </c>
      <c r="FL20" t="s">
        <v>520</v>
      </c>
      <c r="FM20" t="s">
        <v>45</v>
      </c>
      <c r="FO20" t="s">
        <v>524</v>
      </c>
      <c r="FR20" t="s">
        <v>509</v>
      </c>
      <c r="FT20" t="s">
        <v>526</v>
      </c>
      <c r="FU20" s="6" t="s">
        <v>30</v>
      </c>
      <c r="FV20" s="52" t="s">
        <v>5</v>
      </c>
      <c r="GE20" t="s">
        <v>538</v>
      </c>
      <c r="GG20" t="s">
        <v>510</v>
      </c>
      <c r="GH20" t="s">
        <v>19</v>
      </c>
      <c r="GI20" s="6" t="s">
        <v>511</v>
      </c>
      <c r="GJ20" t="s">
        <v>15</v>
      </c>
      <c r="GM20">
        <v>8</v>
      </c>
      <c r="GN20" t="s">
        <v>512</v>
      </c>
      <c r="GO20" t="s">
        <v>154</v>
      </c>
      <c r="GQ20">
        <v>2014</v>
      </c>
      <c r="GR20">
        <v>2015</v>
      </c>
    </row>
    <row r="21" spans="1:203" ht="15" thickBot="1">
      <c r="A21" t="s">
        <v>3</v>
      </c>
      <c r="C21" t="s">
        <v>386</v>
      </c>
      <c r="E21" t="s">
        <v>6</v>
      </c>
      <c r="F21" s="6" t="s">
        <v>380</v>
      </c>
      <c r="G21" t="s">
        <v>387</v>
      </c>
      <c r="H21" s="6" t="s">
        <v>390</v>
      </c>
      <c r="I21" t="s">
        <v>154</v>
      </c>
      <c r="J21" t="s">
        <v>389</v>
      </c>
      <c r="K21" t="s">
        <v>7</v>
      </c>
      <c r="L21" t="s">
        <v>8</v>
      </c>
      <c r="M21" s="30" t="s">
        <v>31</v>
      </c>
      <c r="N21" t="s">
        <v>388</v>
      </c>
      <c r="P21" s="30" t="s">
        <v>31</v>
      </c>
      <c r="Q21" s="30">
        <v>1</v>
      </c>
      <c r="R21" t="s">
        <v>391</v>
      </c>
      <c r="S21">
        <v>2014</v>
      </c>
      <c r="T21">
        <v>2015</v>
      </c>
      <c r="U21" s="30" t="s">
        <v>31</v>
      </c>
      <c r="V21" s="30" t="s">
        <v>502</v>
      </c>
      <c r="W21" s="30" t="s">
        <v>502</v>
      </c>
      <c r="X21" t="s">
        <v>433</v>
      </c>
      <c r="Y21" t="s">
        <v>487</v>
      </c>
      <c r="Z21" t="s">
        <v>46</v>
      </c>
      <c r="AA21" t="s">
        <v>381</v>
      </c>
      <c r="AB21" s="6" t="s">
        <v>415</v>
      </c>
      <c r="AC21" s="31">
        <v>44444</v>
      </c>
      <c r="AD21" t="s">
        <v>394</v>
      </c>
      <c r="AE21" t="s">
        <v>408</v>
      </c>
      <c r="AF21" t="s">
        <v>381</v>
      </c>
      <c r="AG21" s="6" t="s">
        <v>415</v>
      </c>
      <c r="AH21" s="31">
        <v>148000</v>
      </c>
      <c r="AI21" t="s">
        <v>394</v>
      </c>
      <c r="AJ21" t="s">
        <v>43</v>
      </c>
      <c r="AK21" t="s">
        <v>381</v>
      </c>
      <c r="AL21" s="6" t="s">
        <v>415</v>
      </c>
      <c r="AM21">
        <v>44000</v>
      </c>
      <c r="AR21" t="s">
        <v>396</v>
      </c>
      <c r="AS21" t="s">
        <v>40</v>
      </c>
      <c r="AV21" s="30"/>
      <c r="AW21" s="30"/>
      <c r="AX21" t="s">
        <v>397</v>
      </c>
      <c r="AZ21" s="6" t="s">
        <v>398</v>
      </c>
      <c r="BA21" s="30" t="s">
        <v>31</v>
      </c>
      <c r="BB21" s="30" t="s">
        <v>31</v>
      </c>
      <c r="BM21" t="s">
        <v>502</v>
      </c>
      <c r="BN21" s="30" t="s">
        <v>32</v>
      </c>
      <c r="BO21" s="30"/>
      <c r="BP21" s="30"/>
      <c r="BQ21" s="30" t="s">
        <v>31</v>
      </c>
      <c r="BR21" s="30" t="s">
        <v>31</v>
      </c>
      <c r="BS21" s="6" t="s">
        <v>416</v>
      </c>
      <c r="CG21" t="s">
        <v>413</v>
      </c>
      <c r="CH21" s="30"/>
      <c r="CI21" s="51" t="s">
        <v>439</v>
      </c>
      <c r="CJ21" s="51" t="s">
        <v>529</v>
      </c>
      <c r="CK21" s="6" t="s">
        <v>440</v>
      </c>
      <c r="CL21" s="30" t="s">
        <v>530</v>
      </c>
      <c r="CM21" s="30"/>
      <c r="CN21" s="30"/>
      <c r="CO21" s="30"/>
      <c r="CP21" s="30"/>
      <c r="CQ21" s="30"/>
      <c r="CR21" s="30"/>
      <c r="CS21" s="51" t="s">
        <v>38</v>
      </c>
      <c r="CT21" s="51" t="s">
        <v>435</v>
      </c>
      <c r="CU21" s="6" t="s">
        <v>420</v>
      </c>
      <c r="CV21" s="30">
        <v>5</v>
      </c>
      <c r="CW21" s="6" t="s">
        <v>436</v>
      </c>
      <c r="CX21" s="30">
        <v>0.74</v>
      </c>
      <c r="CY21" s="30">
        <v>0.12</v>
      </c>
      <c r="CZ21" s="30">
        <v>0.69</v>
      </c>
      <c r="DA21" s="6" t="s">
        <v>438</v>
      </c>
      <c r="DB21" s="30" t="s">
        <v>446</v>
      </c>
      <c r="DC21" s="49" t="s">
        <v>445</v>
      </c>
      <c r="DE21" t="s">
        <v>31</v>
      </c>
      <c r="DF21" s="30" t="s">
        <v>446</v>
      </c>
      <c r="DG21" t="s">
        <v>453</v>
      </c>
      <c r="DH21" t="s">
        <v>454</v>
      </c>
      <c r="DI21" s="6" t="s">
        <v>455</v>
      </c>
      <c r="DJ21" s="30">
        <v>2.5</v>
      </c>
      <c r="DK21" s="72" t="s">
        <v>577</v>
      </c>
      <c r="DL21" s="56" t="s">
        <v>508</v>
      </c>
      <c r="DM21" s="30"/>
      <c r="DN21" s="30" t="s">
        <v>31</v>
      </c>
      <c r="DO21" s="49" t="s">
        <v>580</v>
      </c>
      <c r="DP21" s="30"/>
      <c r="DQ21" s="30"/>
      <c r="DR21" s="30"/>
      <c r="DS21" t="s">
        <v>418</v>
      </c>
      <c r="DT21" t="s">
        <v>41</v>
      </c>
      <c r="DU21" s="6"/>
      <c r="DV21" s="6" t="s">
        <v>31</v>
      </c>
      <c r="DW21" s="6" t="s">
        <v>31</v>
      </c>
      <c r="DX21" s="6" t="s">
        <v>31</v>
      </c>
      <c r="DY21" s="6"/>
      <c r="DZ21" t="s">
        <v>421</v>
      </c>
      <c r="EA21" s="6" t="s">
        <v>31</v>
      </c>
      <c r="EB21" s="6" t="s">
        <v>31</v>
      </c>
      <c r="EC21" s="6" t="s">
        <v>420</v>
      </c>
      <c r="ED21">
        <v>2.5</v>
      </c>
      <c r="FC21" t="s">
        <v>154</v>
      </c>
      <c r="FF21" s="43" t="s">
        <v>517</v>
      </c>
      <c r="FG21" t="s">
        <v>43</v>
      </c>
      <c r="FH21" s="6" t="s">
        <v>470</v>
      </c>
      <c r="FI21" t="s">
        <v>43</v>
      </c>
      <c r="FJ21" s="6" t="s">
        <v>44</v>
      </c>
      <c r="FK21" t="s">
        <v>46</v>
      </c>
      <c r="FL21" t="s">
        <v>520</v>
      </c>
      <c r="FM21" t="s">
        <v>45</v>
      </c>
      <c r="FO21" t="s">
        <v>524</v>
      </c>
      <c r="FR21" t="s">
        <v>509</v>
      </c>
      <c r="FT21" t="s">
        <v>526</v>
      </c>
      <c r="FU21" s="6" t="s">
        <v>30</v>
      </c>
      <c r="FV21" s="52" t="s">
        <v>5</v>
      </c>
      <c r="GE21" t="s">
        <v>538</v>
      </c>
      <c r="GG21" t="s">
        <v>510</v>
      </c>
      <c r="GH21" t="s">
        <v>25</v>
      </c>
      <c r="GI21" s="6" t="s">
        <v>511</v>
      </c>
      <c r="GJ21" t="s">
        <v>26</v>
      </c>
      <c r="GM21">
        <v>8</v>
      </c>
      <c r="GN21" t="s">
        <v>512</v>
      </c>
      <c r="GO21" t="s">
        <v>154</v>
      </c>
      <c r="GQ21">
        <v>2014</v>
      </c>
      <c r="GR21">
        <v>2015</v>
      </c>
    </row>
    <row r="22" spans="1:203" ht="15" thickBot="1">
      <c r="A22" t="s">
        <v>3</v>
      </c>
      <c r="C22" t="s">
        <v>386</v>
      </c>
      <c r="E22" t="s">
        <v>6</v>
      </c>
      <c r="F22" s="6" t="s">
        <v>380</v>
      </c>
      <c r="G22" t="s">
        <v>387</v>
      </c>
      <c r="H22" s="6" t="s">
        <v>390</v>
      </c>
      <c r="I22" t="s">
        <v>154</v>
      </c>
      <c r="J22" t="s">
        <v>389</v>
      </c>
      <c r="K22" t="s">
        <v>7</v>
      </c>
      <c r="L22" t="s">
        <v>8</v>
      </c>
      <c r="M22" s="30" t="s">
        <v>31</v>
      </c>
      <c r="N22" t="s">
        <v>388</v>
      </c>
      <c r="O22">
        <v>400</v>
      </c>
      <c r="P22" s="30" t="s">
        <v>31</v>
      </c>
      <c r="Q22" s="30">
        <v>3</v>
      </c>
      <c r="R22" t="s">
        <v>494</v>
      </c>
      <c r="S22">
        <v>2012</v>
      </c>
      <c r="T22">
        <v>2015</v>
      </c>
      <c r="U22" s="30" t="s">
        <v>31</v>
      </c>
      <c r="V22" s="30" t="s">
        <v>36</v>
      </c>
      <c r="W22" s="30" t="s">
        <v>36</v>
      </c>
      <c r="X22" t="s">
        <v>423</v>
      </c>
      <c r="Y22" t="s">
        <v>477</v>
      </c>
      <c r="Z22" t="s">
        <v>43</v>
      </c>
      <c r="AA22" t="s">
        <v>381</v>
      </c>
      <c r="AB22" s="6" t="s">
        <v>415</v>
      </c>
      <c r="AC22" s="31">
        <v>44000</v>
      </c>
      <c r="AR22" t="s">
        <v>396</v>
      </c>
      <c r="AS22" t="s">
        <v>40</v>
      </c>
      <c r="AV22" s="30"/>
      <c r="AW22" s="30"/>
      <c r="AX22" t="s">
        <v>397</v>
      </c>
      <c r="AZ22" s="6" t="s">
        <v>398</v>
      </c>
      <c r="BA22" s="30" t="s">
        <v>31</v>
      </c>
      <c r="BB22" s="30" t="s">
        <v>31</v>
      </c>
      <c r="BH22" t="s">
        <v>404</v>
      </c>
      <c r="BI22" s="49" t="s">
        <v>36</v>
      </c>
      <c r="BJ22" s="30"/>
      <c r="BK22" s="30"/>
      <c r="BL22" s="30"/>
      <c r="BN22" s="49"/>
      <c r="BO22" s="30"/>
      <c r="BP22" s="30"/>
      <c r="BQ22" s="30"/>
      <c r="BR22" s="30"/>
      <c r="BS22" s="30"/>
      <c r="CG22" t="s">
        <v>413</v>
      </c>
      <c r="CH22" s="30"/>
      <c r="CI22" s="51" t="s">
        <v>439</v>
      </c>
      <c r="CJ22" s="51" t="s">
        <v>441</v>
      </c>
      <c r="CK22" s="6" t="s">
        <v>440</v>
      </c>
      <c r="CL22" s="30" t="s">
        <v>442</v>
      </c>
      <c r="CM22" s="30"/>
      <c r="CN22" s="30"/>
      <c r="CO22" s="30"/>
      <c r="CP22" s="30"/>
      <c r="CQ22" s="30"/>
      <c r="CR22" s="30"/>
      <c r="CS22" s="51" t="s">
        <v>434</v>
      </c>
      <c r="CT22" s="30"/>
      <c r="CU22" s="6" t="s">
        <v>420</v>
      </c>
      <c r="CV22" s="30">
        <v>0</v>
      </c>
      <c r="CW22" s="57"/>
      <c r="CX22" s="6"/>
      <c r="CY22" s="6"/>
      <c r="CZ22" s="6"/>
      <c r="DA22" s="6"/>
      <c r="DB22" s="30" t="s">
        <v>446</v>
      </c>
      <c r="DC22" s="49" t="s">
        <v>445</v>
      </c>
      <c r="DE22" t="s">
        <v>31</v>
      </c>
      <c r="DF22" s="30" t="s">
        <v>446</v>
      </c>
      <c r="DG22" t="s">
        <v>453</v>
      </c>
      <c r="DH22" t="s">
        <v>454</v>
      </c>
      <c r="DI22" s="6" t="s">
        <v>455</v>
      </c>
      <c r="DJ22">
        <v>2.5</v>
      </c>
      <c r="DK22" s="67" t="s">
        <v>579</v>
      </c>
      <c r="DL22" s="30"/>
      <c r="DM22" s="30"/>
      <c r="DN22" s="30"/>
      <c r="DO22" s="49" t="s">
        <v>580</v>
      </c>
      <c r="DP22" s="30"/>
      <c r="DQ22" s="30"/>
      <c r="DR22" s="30"/>
      <c r="DS22" t="s">
        <v>418</v>
      </c>
      <c r="DT22" t="s">
        <v>41</v>
      </c>
      <c r="DU22" s="6"/>
      <c r="DV22" s="6" t="s">
        <v>31</v>
      </c>
      <c r="DW22" s="6" t="s">
        <v>31</v>
      </c>
      <c r="DX22" s="6" t="s">
        <v>31</v>
      </c>
      <c r="DY22" s="6"/>
      <c r="DZ22" t="s">
        <v>421</v>
      </c>
      <c r="EA22" s="6" t="s">
        <v>31</v>
      </c>
      <c r="EB22" s="6" t="s">
        <v>31</v>
      </c>
      <c r="EC22" s="6" t="s">
        <v>420</v>
      </c>
      <c r="ED22">
        <v>2.5</v>
      </c>
      <c r="FC22" t="s">
        <v>491</v>
      </c>
      <c r="FD22" s="43" t="s">
        <v>501</v>
      </c>
      <c r="FF22" t="s">
        <v>471</v>
      </c>
      <c r="FG22" t="s">
        <v>43</v>
      </c>
      <c r="FH22" s="6" t="s">
        <v>470</v>
      </c>
      <c r="FI22" t="s">
        <v>43</v>
      </c>
      <c r="FJ22" s="6" t="s">
        <v>44</v>
      </c>
      <c r="FR22" s="6" t="s">
        <v>474</v>
      </c>
      <c r="FT22" t="s">
        <v>496</v>
      </c>
      <c r="FU22" s="6" t="s">
        <v>29</v>
      </c>
      <c r="FV22" s="52" t="s">
        <v>488</v>
      </c>
      <c r="GF22" t="s">
        <v>498</v>
      </c>
      <c r="GI22" t="s">
        <v>31</v>
      </c>
      <c r="GJ22" t="s">
        <v>31</v>
      </c>
      <c r="GM22">
        <v>8</v>
      </c>
      <c r="GN22" t="s">
        <v>497</v>
      </c>
      <c r="GO22" t="s">
        <v>154</v>
      </c>
      <c r="GQ22" s="29">
        <v>2012</v>
      </c>
      <c r="GR22" s="29">
        <v>2015</v>
      </c>
      <c r="GS22" s="29"/>
    </row>
    <row r="23" spans="1:203" ht="15" thickBot="1">
      <c r="A23" t="s">
        <v>3</v>
      </c>
      <c r="C23" t="s">
        <v>386</v>
      </c>
      <c r="E23" t="s">
        <v>6</v>
      </c>
      <c r="F23" s="6" t="s">
        <v>380</v>
      </c>
      <c r="G23" t="s">
        <v>387</v>
      </c>
      <c r="H23" s="6" t="s">
        <v>390</v>
      </c>
      <c r="I23" t="s">
        <v>154</v>
      </c>
      <c r="J23" t="s">
        <v>389</v>
      </c>
      <c r="K23" t="s">
        <v>7</v>
      </c>
      <c r="L23" t="s">
        <v>8</v>
      </c>
      <c r="M23" s="30" t="s">
        <v>31</v>
      </c>
      <c r="N23" t="s">
        <v>388</v>
      </c>
      <c r="O23">
        <v>400</v>
      </c>
      <c r="P23" s="30" t="s">
        <v>31</v>
      </c>
      <c r="Q23" s="30">
        <v>3</v>
      </c>
      <c r="R23" t="s">
        <v>494</v>
      </c>
      <c r="S23">
        <v>2012</v>
      </c>
      <c r="T23">
        <v>2015</v>
      </c>
      <c r="U23" s="30" t="s">
        <v>31</v>
      </c>
      <c r="V23" s="30" t="s">
        <v>34</v>
      </c>
      <c r="W23" s="30" t="s">
        <v>34</v>
      </c>
      <c r="X23" t="s">
        <v>424</v>
      </c>
      <c r="Y23" t="s">
        <v>478</v>
      </c>
      <c r="Z23" t="s">
        <v>43</v>
      </c>
      <c r="AA23" t="s">
        <v>381</v>
      </c>
      <c r="AB23" s="6" t="s">
        <v>415</v>
      </c>
      <c r="AC23" s="31">
        <v>44000</v>
      </c>
      <c r="AD23" t="s">
        <v>98</v>
      </c>
      <c r="AE23" t="s">
        <v>392</v>
      </c>
      <c r="AF23" t="s">
        <v>381</v>
      </c>
      <c r="AG23" s="6" t="s">
        <v>415</v>
      </c>
      <c r="AH23" s="31">
        <v>44444</v>
      </c>
      <c r="AR23" t="s">
        <v>396</v>
      </c>
      <c r="AS23" t="s">
        <v>40</v>
      </c>
      <c r="AV23" s="30"/>
      <c r="AW23" s="30"/>
      <c r="AX23" t="s">
        <v>397</v>
      </c>
      <c r="AZ23" s="6" t="s">
        <v>417</v>
      </c>
      <c r="BA23" s="30" t="s">
        <v>31</v>
      </c>
      <c r="BB23" s="30" t="s">
        <v>31</v>
      </c>
      <c r="BH23" t="s">
        <v>407</v>
      </c>
      <c r="BI23" s="50" t="s">
        <v>35</v>
      </c>
      <c r="BJ23" s="28" t="s">
        <v>31</v>
      </c>
      <c r="BK23" s="28" t="s">
        <v>31</v>
      </c>
      <c r="BL23" s="6" t="s">
        <v>416</v>
      </c>
      <c r="BM23" s="30"/>
      <c r="BN23" s="30"/>
      <c r="BO23" s="30"/>
      <c r="BP23" s="30"/>
      <c r="BQ23" s="30"/>
      <c r="BR23" s="30"/>
      <c r="BS23" s="30"/>
      <c r="CG23" t="s">
        <v>413</v>
      </c>
      <c r="CH23" s="30"/>
      <c r="CI23" s="51" t="s">
        <v>439</v>
      </c>
      <c r="CJ23" s="51" t="s">
        <v>441</v>
      </c>
      <c r="CK23" s="6" t="s">
        <v>440</v>
      </c>
      <c r="CL23" s="30" t="s">
        <v>442</v>
      </c>
      <c r="CM23" s="30"/>
      <c r="CN23" s="30"/>
      <c r="CO23" s="30"/>
      <c r="CP23" s="30"/>
      <c r="CQ23" s="30"/>
      <c r="CR23" s="30"/>
      <c r="CS23" s="51" t="s">
        <v>434</v>
      </c>
      <c r="CT23" s="30"/>
      <c r="CU23" s="6" t="s">
        <v>420</v>
      </c>
      <c r="CV23" s="30">
        <v>0</v>
      </c>
      <c r="CW23" s="57"/>
      <c r="CX23" s="6"/>
      <c r="CY23" s="6"/>
      <c r="CZ23" s="6"/>
      <c r="DA23" s="6"/>
      <c r="DB23" s="30" t="s">
        <v>446</v>
      </c>
      <c r="DC23" s="49" t="s">
        <v>445</v>
      </c>
      <c r="DE23" t="s">
        <v>31</v>
      </c>
      <c r="DF23" s="30" t="s">
        <v>446</v>
      </c>
      <c r="DG23" t="s">
        <v>453</v>
      </c>
      <c r="DH23" t="s">
        <v>454</v>
      </c>
      <c r="DI23" s="6" t="s">
        <v>455</v>
      </c>
      <c r="DJ23">
        <v>2.5</v>
      </c>
      <c r="DK23" s="67" t="s">
        <v>579</v>
      </c>
      <c r="DL23" s="30"/>
      <c r="DM23" s="30"/>
      <c r="DN23" s="30"/>
      <c r="DO23" s="72" t="s">
        <v>578</v>
      </c>
      <c r="DP23" s="58" t="s">
        <v>534</v>
      </c>
      <c r="DQ23" s="30"/>
      <c r="DR23" s="30"/>
      <c r="DS23" t="s">
        <v>418</v>
      </c>
      <c r="DT23" t="s">
        <v>41</v>
      </c>
      <c r="DU23" s="6"/>
      <c r="DV23" s="6" t="s">
        <v>31</v>
      </c>
      <c r="DW23" s="6" t="s">
        <v>31</v>
      </c>
      <c r="DX23" s="6" t="s">
        <v>31</v>
      </c>
      <c r="DY23" s="6"/>
      <c r="DZ23" t="s">
        <v>421</v>
      </c>
      <c r="EA23" s="6" t="s">
        <v>31</v>
      </c>
      <c r="EB23" s="6" t="s">
        <v>31</v>
      </c>
      <c r="EC23" s="6" t="s">
        <v>420</v>
      </c>
      <c r="ED23">
        <v>2.5</v>
      </c>
      <c r="FC23" t="s">
        <v>154</v>
      </c>
      <c r="FD23" s="43" t="s">
        <v>501</v>
      </c>
      <c r="FE23">
        <v>30</v>
      </c>
      <c r="FF23" t="s">
        <v>472</v>
      </c>
      <c r="FG23" t="s">
        <v>43</v>
      </c>
      <c r="FH23" s="6" t="s">
        <v>470</v>
      </c>
      <c r="FI23" t="s">
        <v>43</v>
      </c>
      <c r="FJ23" s="6" t="s">
        <v>44</v>
      </c>
      <c r="FK23" s="7" t="s">
        <v>392</v>
      </c>
      <c r="FL23" s="7" t="s">
        <v>473</v>
      </c>
      <c r="FM23" s="7"/>
      <c r="FN23" s="7"/>
      <c r="FO23" s="7"/>
      <c r="FP23" s="7"/>
      <c r="FR23" s="6" t="s">
        <v>474</v>
      </c>
      <c r="FT23" t="s">
        <v>496</v>
      </c>
      <c r="FU23" s="6" t="s">
        <v>29</v>
      </c>
      <c r="FV23" s="52" t="s">
        <v>488</v>
      </c>
      <c r="GH23">
        <f>+(4134/3646)+(2565/2729)</f>
        <v>2.0737500369349182</v>
      </c>
      <c r="GI23" t="s">
        <v>31</v>
      </c>
      <c r="GJ23" t="s">
        <v>31</v>
      </c>
      <c r="GM23">
        <v>8</v>
      </c>
      <c r="GN23" t="s">
        <v>497</v>
      </c>
      <c r="GO23" t="s">
        <v>154</v>
      </c>
      <c r="GQ23" s="29">
        <v>2012</v>
      </c>
      <c r="GR23" s="29">
        <v>2015</v>
      </c>
      <c r="GS23" s="29"/>
    </row>
    <row r="24" spans="1:203" ht="15" thickBot="1">
      <c r="A24" t="s">
        <v>3</v>
      </c>
      <c r="C24" t="s">
        <v>386</v>
      </c>
      <c r="E24" t="s">
        <v>6</v>
      </c>
      <c r="F24" s="6" t="s">
        <v>380</v>
      </c>
      <c r="G24" t="s">
        <v>387</v>
      </c>
      <c r="H24" s="6" t="s">
        <v>390</v>
      </c>
      <c r="I24" t="s">
        <v>154</v>
      </c>
      <c r="J24" t="s">
        <v>389</v>
      </c>
      <c r="K24" t="s">
        <v>7</v>
      </c>
      <c r="L24" t="s">
        <v>8</v>
      </c>
      <c r="M24" s="30" t="s">
        <v>31</v>
      </c>
      <c r="N24" t="s">
        <v>388</v>
      </c>
      <c r="O24">
        <v>400</v>
      </c>
      <c r="P24" s="30" t="s">
        <v>31</v>
      </c>
      <c r="Q24" s="30">
        <v>3</v>
      </c>
      <c r="R24" t="s">
        <v>494</v>
      </c>
      <c r="S24">
        <v>2012</v>
      </c>
      <c r="T24">
        <v>2015</v>
      </c>
      <c r="U24" s="30" t="s">
        <v>31</v>
      </c>
      <c r="V24" s="30" t="s">
        <v>34</v>
      </c>
      <c r="W24" s="30" t="s">
        <v>34</v>
      </c>
      <c r="X24" t="s">
        <v>425</v>
      </c>
      <c r="Y24" t="s">
        <v>479</v>
      </c>
      <c r="Z24" t="s">
        <v>43</v>
      </c>
      <c r="AA24" t="s">
        <v>381</v>
      </c>
      <c r="AB24" s="6" t="s">
        <v>415</v>
      </c>
      <c r="AC24" s="31">
        <v>44000</v>
      </c>
      <c r="AD24" t="s">
        <v>98</v>
      </c>
      <c r="AE24" t="s">
        <v>393</v>
      </c>
      <c r="AF24" t="s">
        <v>381</v>
      </c>
      <c r="AG24" s="6" t="s">
        <v>415</v>
      </c>
      <c r="AH24" s="31">
        <v>44444</v>
      </c>
      <c r="AR24" t="s">
        <v>396</v>
      </c>
      <c r="AS24" t="s">
        <v>40</v>
      </c>
      <c r="AV24" s="30"/>
      <c r="AW24" s="30"/>
      <c r="AX24" t="s">
        <v>397</v>
      </c>
      <c r="AZ24" s="6" t="s">
        <v>417</v>
      </c>
      <c r="BA24" s="30" t="s">
        <v>31</v>
      </c>
      <c r="BB24" s="30" t="s">
        <v>31</v>
      </c>
      <c r="BH24" t="s">
        <v>406</v>
      </c>
      <c r="BI24" s="50" t="s">
        <v>35</v>
      </c>
      <c r="BJ24" s="28" t="s">
        <v>31</v>
      </c>
      <c r="BK24" s="28" t="s">
        <v>31</v>
      </c>
      <c r="BL24" s="6" t="s">
        <v>416</v>
      </c>
      <c r="BM24" s="30"/>
      <c r="BN24" s="30"/>
      <c r="BO24" s="30"/>
      <c r="BP24" s="30"/>
      <c r="BQ24" s="30"/>
      <c r="BR24" s="30"/>
      <c r="BS24" s="30"/>
      <c r="CG24" t="s">
        <v>413</v>
      </c>
      <c r="CH24" s="30"/>
      <c r="CI24" s="51" t="s">
        <v>439</v>
      </c>
      <c r="CJ24" s="51" t="s">
        <v>441</v>
      </c>
      <c r="CK24" s="6" t="s">
        <v>440</v>
      </c>
      <c r="CL24" s="30" t="s">
        <v>442</v>
      </c>
      <c r="CM24" s="30"/>
      <c r="CN24" s="30"/>
      <c r="CO24" s="30"/>
      <c r="CP24" s="30"/>
      <c r="CQ24" s="30"/>
      <c r="CR24" s="30"/>
      <c r="CS24" s="51" t="s">
        <v>434</v>
      </c>
      <c r="CT24" s="30"/>
      <c r="CU24" s="6" t="s">
        <v>420</v>
      </c>
      <c r="CV24" s="30">
        <v>0</v>
      </c>
      <c r="CW24" s="57"/>
      <c r="CX24" s="6"/>
      <c r="CY24" s="6"/>
      <c r="CZ24" s="6"/>
      <c r="DA24" s="6"/>
      <c r="DB24" s="30" t="s">
        <v>446</v>
      </c>
      <c r="DC24" s="49" t="s">
        <v>445</v>
      </c>
      <c r="DE24" t="s">
        <v>31</v>
      </c>
      <c r="DF24" s="30" t="s">
        <v>446</v>
      </c>
      <c r="DG24" t="s">
        <v>453</v>
      </c>
      <c r="DH24" t="s">
        <v>454</v>
      </c>
      <c r="DI24" s="6" t="s">
        <v>455</v>
      </c>
      <c r="DJ24">
        <v>2.5</v>
      </c>
      <c r="DK24" s="67" t="s">
        <v>579</v>
      </c>
      <c r="DL24" s="30"/>
      <c r="DM24" s="30"/>
      <c r="DN24" s="30"/>
      <c r="DO24" s="72" t="s">
        <v>578</v>
      </c>
      <c r="DP24" s="58" t="s">
        <v>534</v>
      </c>
      <c r="DQ24" s="30"/>
      <c r="DR24" s="30"/>
      <c r="DS24" t="s">
        <v>418</v>
      </c>
      <c r="DT24" t="s">
        <v>41</v>
      </c>
      <c r="DU24" s="6"/>
      <c r="DV24" s="6" t="s">
        <v>31</v>
      </c>
      <c r="DW24" s="6" t="s">
        <v>31</v>
      </c>
      <c r="DX24" s="6" t="s">
        <v>31</v>
      </c>
      <c r="DY24" s="6"/>
      <c r="DZ24" t="s">
        <v>421</v>
      </c>
      <c r="EA24" s="6" t="s">
        <v>31</v>
      </c>
      <c r="EB24" s="6" t="s">
        <v>31</v>
      </c>
      <c r="EC24" s="6" t="s">
        <v>420</v>
      </c>
      <c r="ED24">
        <v>2.5</v>
      </c>
      <c r="FC24" t="s">
        <v>154</v>
      </c>
      <c r="FD24" s="43" t="s">
        <v>501</v>
      </c>
      <c r="FE24">
        <v>30</v>
      </c>
      <c r="FF24" t="s">
        <v>472</v>
      </c>
      <c r="FG24" t="s">
        <v>43</v>
      </c>
      <c r="FH24" s="6" t="s">
        <v>470</v>
      </c>
      <c r="FI24" t="s">
        <v>43</v>
      </c>
      <c r="FJ24" s="6" t="s">
        <v>44</v>
      </c>
      <c r="FK24" s="6" t="s">
        <v>48</v>
      </c>
      <c r="FL24" s="6" t="s">
        <v>49</v>
      </c>
      <c r="FM24" s="6"/>
      <c r="FN24" s="6"/>
      <c r="FO24" s="6"/>
      <c r="FP24" s="6"/>
      <c r="FR24" s="6" t="s">
        <v>474</v>
      </c>
      <c r="FT24" t="s">
        <v>496</v>
      </c>
      <c r="FU24" s="6" t="s">
        <v>29</v>
      </c>
      <c r="FV24" s="52" t="s">
        <v>488</v>
      </c>
      <c r="GH24">
        <f>+(3999/3646)+(2623/2729)</f>
        <v>2.0579763644663371</v>
      </c>
      <c r="GI24" t="s">
        <v>31</v>
      </c>
      <c r="GJ24" t="s">
        <v>31</v>
      </c>
      <c r="GM24">
        <v>8</v>
      </c>
      <c r="GN24" t="s">
        <v>497</v>
      </c>
      <c r="GO24" t="s">
        <v>154</v>
      </c>
      <c r="GQ24" s="29">
        <v>2012</v>
      </c>
      <c r="GR24" s="29">
        <v>2015</v>
      </c>
      <c r="GS24" s="29"/>
    </row>
    <row r="25" spans="1:203" ht="15" thickBot="1">
      <c r="A25" t="s">
        <v>3</v>
      </c>
      <c r="C25" t="s">
        <v>386</v>
      </c>
      <c r="E25" t="s">
        <v>6</v>
      </c>
      <c r="F25" s="6" t="s">
        <v>380</v>
      </c>
      <c r="G25" t="s">
        <v>387</v>
      </c>
      <c r="H25" s="6" t="s">
        <v>390</v>
      </c>
      <c r="I25" t="s">
        <v>154</v>
      </c>
      <c r="J25" t="s">
        <v>389</v>
      </c>
      <c r="K25" t="s">
        <v>7</v>
      </c>
      <c r="L25" t="s">
        <v>8</v>
      </c>
      <c r="M25" s="30" t="s">
        <v>31</v>
      </c>
      <c r="N25" t="s">
        <v>388</v>
      </c>
      <c r="O25">
        <v>200</v>
      </c>
      <c r="P25" s="30" t="s">
        <v>31</v>
      </c>
      <c r="Q25" s="30">
        <v>3</v>
      </c>
      <c r="R25" t="s">
        <v>495</v>
      </c>
      <c r="S25">
        <v>2014</v>
      </c>
      <c r="T25">
        <v>2015</v>
      </c>
      <c r="U25" s="30" t="s">
        <v>31</v>
      </c>
      <c r="V25" s="30" t="s">
        <v>36</v>
      </c>
      <c r="W25" s="30" t="s">
        <v>36</v>
      </c>
      <c r="X25" t="s">
        <v>429</v>
      </c>
      <c r="Y25" t="s">
        <v>483</v>
      </c>
      <c r="Z25" t="s">
        <v>43</v>
      </c>
      <c r="AA25" t="s">
        <v>381</v>
      </c>
      <c r="AB25" s="6" t="s">
        <v>415</v>
      </c>
      <c r="AC25" s="31">
        <v>44000</v>
      </c>
      <c r="AR25" t="s">
        <v>396</v>
      </c>
      <c r="AS25" t="s">
        <v>40</v>
      </c>
      <c r="AV25" s="30"/>
      <c r="AW25" s="30"/>
      <c r="AX25" t="s">
        <v>397</v>
      </c>
      <c r="AZ25" s="6" t="s">
        <v>398</v>
      </c>
      <c r="BA25" s="30" t="s">
        <v>31</v>
      </c>
      <c r="BB25" s="30" t="s">
        <v>31</v>
      </c>
      <c r="BH25" t="s">
        <v>404</v>
      </c>
      <c r="BI25" s="49" t="s">
        <v>36</v>
      </c>
      <c r="BJ25" s="28"/>
      <c r="BK25" s="28"/>
      <c r="BL25" s="6"/>
      <c r="BN25" s="49"/>
      <c r="BO25" s="30"/>
      <c r="BP25" s="30"/>
      <c r="BQ25" s="30"/>
      <c r="BR25" s="30"/>
      <c r="BS25" s="30"/>
      <c r="CG25" t="s">
        <v>413</v>
      </c>
      <c r="CH25" s="30"/>
      <c r="CI25" s="51" t="s">
        <v>439</v>
      </c>
      <c r="CJ25" s="51" t="s">
        <v>441</v>
      </c>
      <c r="CK25" s="6" t="s">
        <v>440</v>
      </c>
      <c r="CL25" s="30" t="s">
        <v>442</v>
      </c>
      <c r="CM25" s="30"/>
      <c r="CN25" s="30"/>
      <c r="CO25" s="30"/>
      <c r="CP25" s="30"/>
      <c r="CQ25" s="30"/>
      <c r="CR25" s="30"/>
      <c r="CS25" s="51" t="s">
        <v>38</v>
      </c>
      <c r="CT25" s="51" t="s">
        <v>435</v>
      </c>
      <c r="CU25" s="6" t="s">
        <v>420</v>
      </c>
      <c r="CV25" s="30">
        <v>5</v>
      </c>
      <c r="CW25" s="57" t="s">
        <v>436</v>
      </c>
      <c r="CX25" s="30">
        <v>0.74</v>
      </c>
      <c r="CY25" s="30">
        <v>0.12</v>
      </c>
      <c r="CZ25" s="30">
        <v>0.69</v>
      </c>
      <c r="DA25" s="6" t="s">
        <v>438</v>
      </c>
      <c r="DB25" s="30" t="s">
        <v>446</v>
      </c>
      <c r="DC25" s="49" t="s">
        <v>445</v>
      </c>
      <c r="DE25" t="s">
        <v>31</v>
      </c>
      <c r="DF25" s="30" t="s">
        <v>446</v>
      </c>
      <c r="DG25" t="s">
        <v>453</v>
      </c>
      <c r="DH25" t="s">
        <v>454</v>
      </c>
      <c r="DI25" s="6" t="s">
        <v>455</v>
      </c>
      <c r="DJ25">
        <v>2.5</v>
      </c>
      <c r="DK25" s="67" t="s">
        <v>579</v>
      </c>
      <c r="DL25" s="30"/>
      <c r="DM25" s="30"/>
      <c r="DN25" s="30"/>
      <c r="DO25" s="49" t="s">
        <v>580</v>
      </c>
      <c r="DP25" s="30"/>
      <c r="DQ25" s="30"/>
      <c r="DR25" s="30"/>
      <c r="DS25" t="s">
        <v>418</v>
      </c>
      <c r="DT25" t="s">
        <v>41</v>
      </c>
      <c r="DU25" s="6"/>
      <c r="DV25" s="6" t="s">
        <v>31</v>
      </c>
      <c r="DW25" s="6" t="s">
        <v>31</v>
      </c>
      <c r="DX25" s="6" t="s">
        <v>31</v>
      </c>
      <c r="DY25" s="6"/>
      <c r="DZ25" t="s">
        <v>421</v>
      </c>
      <c r="EA25" s="6" t="s">
        <v>31</v>
      </c>
      <c r="EB25" s="6" t="s">
        <v>31</v>
      </c>
      <c r="EC25" s="6" t="s">
        <v>420</v>
      </c>
      <c r="ED25">
        <v>2.5</v>
      </c>
      <c r="FC25" t="s">
        <v>491</v>
      </c>
      <c r="FD25" s="43" t="s">
        <v>501</v>
      </c>
      <c r="FE25">
        <v>30</v>
      </c>
      <c r="FF25" t="s">
        <v>471</v>
      </c>
      <c r="FG25" t="s">
        <v>43</v>
      </c>
      <c r="FH25" s="6" t="s">
        <v>470</v>
      </c>
      <c r="FI25" t="s">
        <v>43</v>
      </c>
      <c r="FJ25" s="6" t="s">
        <v>44</v>
      </c>
      <c r="FR25" s="6" t="s">
        <v>474</v>
      </c>
      <c r="FT25" t="s">
        <v>496</v>
      </c>
      <c r="FU25" s="6" t="s">
        <v>29</v>
      </c>
      <c r="FV25" s="52" t="s">
        <v>488</v>
      </c>
      <c r="GF25" t="s">
        <v>499</v>
      </c>
      <c r="GI25" t="s">
        <v>31</v>
      </c>
      <c r="GJ25" t="s">
        <v>31</v>
      </c>
      <c r="GM25">
        <v>8</v>
      </c>
      <c r="GN25" t="s">
        <v>497</v>
      </c>
      <c r="GO25" t="s">
        <v>154</v>
      </c>
      <c r="GQ25" s="29">
        <v>2014</v>
      </c>
      <c r="GR25" s="29">
        <v>2015</v>
      </c>
      <c r="GS25" s="29"/>
    </row>
    <row r="26" spans="1:203" ht="15" thickBot="1">
      <c r="A26" t="s">
        <v>3</v>
      </c>
      <c r="C26" t="s">
        <v>386</v>
      </c>
      <c r="E26" t="s">
        <v>6</v>
      </c>
      <c r="F26" s="6" t="s">
        <v>380</v>
      </c>
      <c r="G26" t="s">
        <v>387</v>
      </c>
      <c r="H26" s="6" t="s">
        <v>390</v>
      </c>
      <c r="I26" t="s">
        <v>154</v>
      </c>
      <c r="J26" t="s">
        <v>389</v>
      </c>
      <c r="K26" t="s">
        <v>7</v>
      </c>
      <c r="L26" t="s">
        <v>8</v>
      </c>
      <c r="M26" s="30" t="s">
        <v>31</v>
      </c>
      <c r="N26" t="s">
        <v>388</v>
      </c>
      <c r="O26">
        <v>200</v>
      </c>
      <c r="P26" s="30" t="s">
        <v>31</v>
      </c>
      <c r="Q26" s="30">
        <v>3</v>
      </c>
      <c r="R26" t="s">
        <v>495</v>
      </c>
      <c r="S26">
        <v>2014</v>
      </c>
      <c r="T26">
        <v>2015</v>
      </c>
      <c r="U26" s="30" t="s">
        <v>31</v>
      </c>
      <c r="V26" s="30" t="s">
        <v>34</v>
      </c>
      <c r="W26" s="30" t="s">
        <v>34</v>
      </c>
      <c r="X26" t="s">
        <v>430</v>
      </c>
      <c r="Y26" t="s">
        <v>484</v>
      </c>
      <c r="Z26" t="s">
        <v>43</v>
      </c>
      <c r="AA26" t="s">
        <v>381</v>
      </c>
      <c r="AB26" s="6" t="s">
        <v>415</v>
      </c>
      <c r="AC26" s="31">
        <v>44000</v>
      </c>
      <c r="AD26" t="s">
        <v>98</v>
      </c>
      <c r="AE26" t="s">
        <v>392</v>
      </c>
      <c r="AF26" t="s">
        <v>381</v>
      </c>
      <c r="AG26" s="6" t="s">
        <v>415</v>
      </c>
      <c r="AH26" s="31">
        <v>44444</v>
      </c>
      <c r="AR26" t="s">
        <v>396</v>
      </c>
      <c r="AS26" t="s">
        <v>40</v>
      </c>
      <c r="AV26" s="30"/>
      <c r="AW26" s="30"/>
      <c r="AX26" t="s">
        <v>397</v>
      </c>
      <c r="AZ26" s="6" t="s">
        <v>417</v>
      </c>
      <c r="BA26" s="30" t="s">
        <v>31</v>
      </c>
      <c r="BB26" s="30" t="s">
        <v>31</v>
      </c>
      <c r="BH26" t="s">
        <v>407</v>
      </c>
      <c r="BI26" s="50" t="s">
        <v>35</v>
      </c>
      <c r="BJ26" s="28" t="s">
        <v>31</v>
      </c>
      <c r="BK26" s="28" t="s">
        <v>31</v>
      </c>
      <c r="BL26" s="6" t="s">
        <v>416</v>
      </c>
      <c r="BM26" s="30"/>
      <c r="BN26" s="30"/>
      <c r="BO26" s="30"/>
      <c r="BP26" s="30"/>
      <c r="BQ26" s="30"/>
      <c r="BR26" s="30"/>
      <c r="BS26" s="30"/>
      <c r="CG26" t="s">
        <v>413</v>
      </c>
      <c r="CH26" s="30"/>
      <c r="CI26" s="51" t="s">
        <v>439</v>
      </c>
      <c r="CJ26" s="51" t="s">
        <v>441</v>
      </c>
      <c r="CK26" s="6" t="s">
        <v>440</v>
      </c>
      <c r="CL26" s="30" t="s">
        <v>442</v>
      </c>
      <c r="CM26" s="30"/>
      <c r="CN26" s="30"/>
      <c r="CO26" s="30"/>
      <c r="CP26" s="30"/>
      <c r="CQ26" s="30"/>
      <c r="CR26" s="30"/>
      <c r="CS26" s="51" t="s">
        <v>38</v>
      </c>
      <c r="CT26" s="51" t="s">
        <v>435</v>
      </c>
      <c r="CU26" s="6" t="s">
        <v>420</v>
      </c>
      <c r="CV26" s="30">
        <v>5</v>
      </c>
      <c r="CW26" s="57" t="s">
        <v>436</v>
      </c>
      <c r="CX26" s="30">
        <v>0.74</v>
      </c>
      <c r="CY26" s="30">
        <v>0.12</v>
      </c>
      <c r="CZ26" s="30">
        <v>0.69</v>
      </c>
      <c r="DA26" s="6" t="s">
        <v>438</v>
      </c>
      <c r="DB26" s="30" t="s">
        <v>446</v>
      </c>
      <c r="DC26" s="49" t="s">
        <v>445</v>
      </c>
      <c r="DE26" t="s">
        <v>31</v>
      </c>
      <c r="DF26" s="30" t="s">
        <v>446</v>
      </c>
      <c r="DG26" t="s">
        <v>453</v>
      </c>
      <c r="DH26" t="s">
        <v>454</v>
      </c>
      <c r="DI26" s="6" t="s">
        <v>455</v>
      </c>
      <c r="DJ26">
        <v>2.5</v>
      </c>
      <c r="DK26" s="67" t="s">
        <v>579</v>
      </c>
      <c r="DL26" s="30"/>
      <c r="DM26" s="30"/>
      <c r="DN26" s="30"/>
      <c r="DO26" s="72" t="s">
        <v>578</v>
      </c>
      <c r="DP26" s="58" t="s">
        <v>534</v>
      </c>
      <c r="DQ26" s="30"/>
      <c r="DR26" s="30"/>
      <c r="DS26" t="s">
        <v>418</v>
      </c>
      <c r="DT26" t="s">
        <v>41</v>
      </c>
      <c r="DU26" s="6"/>
      <c r="DV26" s="6" t="s">
        <v>31</v>
      </c>
      <c r="DW26" s="6" t="s">
        <v>31</v>
      </c>
      <c r="DX26" s="6" t="s">
        <v>31</v>
      </c>
      <c r="DY26" s="6"/>
      <c r="DZ26" t="s">
        <v>421</v>
      </c>
      <c r="EA26" s="6" t="s">
        <v>31</v>
      </c>
      <c r="EB26" s="6" t="s">
        <v>31</v>
      </c>
      <c r="EC26" s="6" t="s">
        <v>420</v>
      </c>
      <c r="ED26">
        <v>2.5</v>
      </c>
      <c r="FC26" t="s">
        <v>154</v>
      </c>
      <c r="FD26" s="43" t="s">
        <v>501</v>
      </c>
      <c r="FE26">
        <v>30</v>
      </c>
      <c r="FF26" t="s">
        <v>472</v>
      </c>
      <c r="FG26" t="s">
        <v>43</v>
      </c>
      <c r="FH26" s="6" t="s">
        <v>470</v>
      </c>
      <c r="FI26" t="s">
        <v>43</v>
      </c>
      <c r="FJ26" s="6" t="s">
        <v>44</v>
      </c>
      <c r="FK26" s="7" t="s">
        <v>392</v>
      </c>
      <c r="FL26" s="7" t="s">
        <v>473</v>
      </c>
      <c r="FM26" s="7"/>
      <c r="FN26" s="7"/>
      <c r="FO26" s="7"/>
      <c r="FP26" s="7"/>
      <c r="FR26" s="6" t="s">
        <v>474</v>
      </c>
      <c r="FT26" t="s">
        <v>496</v>
      </c>
      <c r="FU26" s="6" t="s">
        <v>29</v>
      </c>
      <c r="FV26" s="52" t="s">
        <v>488</v>
      </c>
      <c r="GH26">
        <f>+(4820/4115)+(2280/2847)</f>
        <v>1.972167415467071</v>
      </c>
      <c r="GI26" t="s">
        <v>31</v>
      </c>
      <c r="GJ26" t="s">
        <v>31</v>
      </c>
      <c r="GM26">
        <v>8</v>
      </c>
      <c r="GN26" t="s">
        <v>497</v>
      </c>
      <c r="GO26" t="s">
        <v>154</v>
      </c>
      <c r="GQ26" s="29">
        <v>2014</v>
      </c>
      <c r="GR26" s="29">
        <v>2015</v>
      </c>
      <c r="GS26" s="29"/>
    </row>
    <row r="27" spans="1:203" ht="15" thickBot="1">
      <c r="A27" s="59" t="s">
        <v>3</v>
      </c>
      <c r="B27" s="59"/>
      <c r="C27" s="59" t="s">
        <v>386</v>
      </c>
      <c r="D27" s="59"/>
      <c r="E27" s="59" t="s">
        <v>6</v>
      </c>
      <c r="F27" s="60" t="s">
        <v>380</v>
      </c>
      <c r="G27" s="59" t="s">
        <v>387</v>
      </c>
      <c r="H27" s="60" t="s">
        <v>390</v>
      </c>
      <c r="I27" s="59" t="s">
        <v>154</v>
      </c>
      <c r="J27" s="59" t="s">
        <v>389</v>
      </c>
      <c r="K27" s="59" t="s">
        <v>7</v>
      </c>
      <c r="L27" s="59" t="s">
        <v>8</v>
      </c>
      <c r="M27" s="30" t="s">
        <v>31</v>
      </c>
      <c r="N27" s="59" t="s">
        <v>388</v>
      </c>
      <c r="O27" s="59">
        <v>200</v>
      </c>
      <c r="P27" s="61" t="s">
        <v>31</v>
      </c>
      <c r="Q27" s="30">
        <v>3</v>
      </c>
      <c r="R27" s="59" t="s">
        <v>495</v>
      </c>
      <c r="S27" s="59">
        <v>2014</v>
      </c>
      <c r="T27" s="59">
        <v>2015</v>
      </c>
      <c r="U27" s="61" t="s">
        <v>31</v>
      </c>
      <c r="V27" s="61" t="s">
        <v>34</v>
      </c>
      <c r="W27" s="61" t="s">
        <v>34</v>
      </c>
      <c r="X27" s="59" t="s">
        <v>431</v>
      </c>
      <c r="Y27" s="59" t="s">
        <v>485</v>
      </c>
      <c r="Z27" s="59" t="s">
        <v>43</v>
      </c>
      <c r="AA27" s="59" t="s">
        <v>381</v>
      </c>
      <c r="AB27" s="60" t="s">
        <v>415</v>
      </c>
      <c r="AC27" s="62">
        <v>44000</v>
      </c>
      <c r="AD27" s="59" t="s">
        <v>98</v>
      </c>
      <c r="AE27" s="59" t="s">
        <v>393</v>
      </c>
      <c r="AF27" s="59" t="s">
        <v>381</v>
      </c>
      <c r="AG27" s="60" t="s">
        <v>415</v>
      </c>
      <c r="AH27" s="62">
        <v>44444</v>
      </c>
      <c r="AI27" s="59"/>
      <c r="AJ27" s="59"/>
      <c r="AK27" s="59"/>
      <c r="AL27" s="59"/>
      <c r="AM27" s="59"/>
      <c r="AN27" s="59"/>
      <c r="AO27" s="59"/>
      <c r="AP27" s="59"/>
      <c r="AQ27" s="59"/>
      <c r="AR27" s="59" t="s">
        <v>396</v>
      </c>
      <c r="AS27" s="59" t="s">
        <v>40</v>
      </c>
      <c r="AT27" s="59"/>
      <c r="AU27" s="59"/>
      <c r="AV27" s="61"/>
      <c r="AW27" s="61"/>
      <c r="AX27" s="59" t="s">
        <v>397</v>
      </c>
      <c r="AY27" s="59"/>
      <c r="AZ27" s="60" t="s">
        <v>417</v>
      </c>
      <c r="BA27" s="61" t="s">
        <v>31</v>
      </c>
      <c r="BB27" s="61" t="s">
        <v>31</v>
      </c>
      <c r="BC27" s="59"/>
      <c r="BD27" s="59"/>
      <c r="BE27" s="59"/>
      <c r="BF27" s="59"/>
      <c r="BG27" s="59"/>
      <c r="BH27" s="59" t="s">
        <v>406</v>
      </c>
      <c r="BI27" s="63" t="s">
        <v>35</v>
      </c>
      <c r="BJ27" s="64" t="s">
        <v>31</v>
      </c>
      <c r="BK27" s="64" t="s">
        <v>31</v>
      </c>
      <c r="BL27" s="60" t="s">
        <v>416</v>
      </c>
      <c r="BM27" s="61"/>
      <c r="BN27" s="61"/>
      <c r="BO27" s="61"/>
      <c r="BP27" s="61"/>
      <c r="BQ27" s="61"/>
      <c r="BR27" s="61"/>
      <c r="BS27" s="61"/>
      <c r="BT27" s="59"/>
      <c r="BU27" s="59"/>
      <c r="BV27" s="59"/>
      <c r="BW27" s="59"/>
      <c r="BX27" s="59"/>
      <c r="BY27" s="59"/>
      <c r="BZ27" s="59"/>
      <c r="CA27" s="59"/>
      <c r="CB27" s="59"/>
      <c r="CC27" s="59"/>
      <c r="CD27" s="59"/>
      <c r="CE27" s="59"/>
      <c r="CF27" s="59"/>
      <c r="CG27" s="59" t="s">
        <v>413</v>
      </c>
      <c r="CH27" s="61"/>
      <c r="CI27" s="65" t="s">
        <v>439</v>
      </c>
      <c r="CJ27" s="65" t="s">
        <v>441</v>
      </c>
      <c r="CK27" s="60" t="s">
        <v>440</v>
      </c>
      <c r="CL27" s="61" t="s">
        <v>442</v>
      </c>
      <c r="CM27" s="61"/>
      <c r="CN27" s="61"/>
      <c r="CO27" s="61"/>
      <c r="CP27" s="61"/>
      <c r="CQ27" s="61"/>
      <c r="CR27" s="61"/>
      <c r="CS27" s="65" t="s">
        <v>38</v>
      </c>
      <c r="CT27" s="65" t="s">
        <v>435</v>
      </c>
      <c r="CU27" s="60" t="s">
        <v>420</v>
      </c>
      <c r="CV27" s="61">
        <v>5</v>
      </c>
      <c r="CW27" s="66" t="s">
        <v>436</v>
      </c>
      <c r="CX27" s="61">
        <v>0.74</v>
      </c>
      <c r="CY27" s="61">
        <v>0.12</v>
      </c>
      <c r="CZ27" s="61">
        <v>0.69</v>
      </c>
      <c r="DA27" s="60" t="s">
        <v>438</v>
      </c>
      <c r="DB27" s="61" t="s">
        <v>446</v>
      </c>
      <c r="DC27" s="67" t="s">
        <v>445</v>
      </c>
      <c r="DD27" s="59"/>
      <c r="DE27" s="59" t="s">
        <v>31</v>
      </c>
      <c r="DF27" s="61" t="s">
        <v>446</v>
      </c>
      <c r="DG27" s="59" t="s">
        <v>453</v>
      </c>
      <c r="DH27" s="59" t="s">
        <v>454</v>
      </c>
      <c r="DI27" s="60" t="s">
        <v>455</v>
      </c>
      <c r="DJ27" s="59">
        <v>2.5</v>
      </c>
      <c r="DK27" s="67" t="s">
        <v>579</v>
      </c>
      <c r="DL27" s="61"/>
      <c r="DM27" s="61"/>
      <c r="DN27" s="61"/>
      <c r="DO27" s="72" t="s">
        <v>578</v>
      </c>
      <c r="DP27" s="68" t="s">
        <v>534</v>
      </c>
      <c r="DQ27" s="61"/>
      <c r="DR27" s="61"/>
      <c r="DS27" s="59" t="s">
        <v>418</v>
      </c>
      <c r="DT27" s="59" t="s">
        <v>41</v>
      </c>
      <c r="DU27" s="60"/>
      <c r="DV27" s="60" t="s">
        <v>31</v>
      </c>
      <c r="DW27" s="60" t="s">
        <v>31</v>
      </c>
      <c r="DX27" s="60" t="s">
        <v>31</v>
      </c>
      <c r="DY27" s="60"/>
      <c r="DZ27" s="59" t="s">
        <v>421</v>
      </c>
      <c r="EA27" s="60" t="s">
        <v>31</v>
      </c>
      <c r="EB27" s="60" t="s">
        <v>31</v>
      </c>
      <c r="EC27" s="60" t="s">
        <v>420</v>
      </c>
      <c r="ED27" s="59">
        <v>2.5</v>
      </c>
      <c r="EE27" s="59"/>
      <c r="EF27" s="59"/>
      <c r="EG27" s="59"/>
      <c r="EH27" s="59"/>
      <c r="EI27" s="59"/>
      <c r="EJ27" s="59"/>
      <c r="EK27" s="59"/>
      <c r="EL27" s="59"/>
      <c r="EM27" s="59"/>
      <c r="EN27" s="59"/>
      <c r="EO27" s="59"/>
      <c r="EP27" s="59"/>
      <c r="EQ27" s="59"/>
      <c r="ER27" s="59"/>
      <c r="ES27" s="59"/>
      <c r="ET27" s="59"/>
      <c r="EU27" s="59"/>
      <c r="EV27" s="59"/>
      <c r="EW27" s="59"/>
      <c r="EX27" s="59"/>
      <c r="EY27" s="59"/>
      <c r="EZ27" s="59"/>
      <c r="FA27" s="59"/>
      <c r="FB27" s="59"/>
      <c r="FC27" s="59" t="s">
        <v>154</v>
      </c>
      <c r="FD27" s="69" t="s">
        <v>501</v>
      </c>
      <c r="FE27" s="59">
        <v>30</v>
      </c>
      <c r="FF27" s="59" t="s">
        <v>472</v>
      </c>
      <c r="FG27" s="59" t="s">
        <v>43</v>
      </c>
      <c r="FH27" s="60" t="s">
        <v>470</v>
      </c>
      <c r="FI27" s="59" t="s">
        <v>43</v>
      </c>
      <c r="FJ27" s="60" t="s">
        <v>44</v>
      </c>
      <c r="FK27" s="60" t="s">
        <v>48</v>
      </c>
      <c r="FL27" s="60" t="s">
        <v>49</v>
      </c>
      <c r="FM27" s="60"/>
      <c r="FN27" s="60"/>
      <c r="FO27" s="60"/>
      <c r="FP27" s="60"/>
      <c r="FQ27" s="59"/>
      <c r="FR27" s="60" t="s">
        <v>474</v>
      </c>
      <c r="FS27" s="59"/>
      <c r="FT27" s="59" t="s">
        <v>496</v>
      </c>
      <c r="FU27" s="60" t="s">
        <v>29</v>
      </c>
      <c r="FV27" s="70" t="s">
        <v>488</v>
      </c>
      <c r="FW27" s="59"/>
      <c r="FX27" s="59"/>
      <c r="FY27" s="59"/>
      <c r="FZ27" s="59"/>
      <c r="GA27" s="59"/>
      <c r="GB27" s="59"/>
      <c r="GC27" s="59"/>
      <c r="GD27" s="59"/>
      <c r="GE27" s="59"/>
      <c r="GF27" s="59"/>
      <c r="GG27" s="59"/>
      <c r="GH27" s="59">
        <f>+(4481/4115)+(2623/2729)</f>
        <v>2.0501008251679567</v>
      </c>
      <c r="GI27" s="59" t="s">
        <v>31</v>
      </c>
      <c r="GJ27" s="59" t="s">
        <v>31</v>
      </c>
      <c r="GK27" s="59"/>
      <c r="GL27" s="59"/>
      <c r="GM27" s="59">
        <v>8</v>
      </c>
      <c r="GN27" s="59" t="s">
        <v>497</v>
      </c>
      <c r="GO27" s="59" t="s">
        <v>154</v>
      </c>
      <c r="GP27" s="59"/>
      <c r="GQ27" s="29">
        <v>2014</v>
      </c>
      <c r="GR27" s="29">
        <v>2015</v>
      </c>
      <c r="GS27" s="71"/>
    </row>
    <row r="28" spans="1:203" ht="15" thickBot="1">
      <c r="A28" s="25" t="s">
        <v>550</v>
      </c>
      <c r="C28" t="s">
        <v>549</v>
      </c>
      <c r="E28" t="s">
        <v>16</v>
      </c>
      <c r="F28" s="6" t="s">
        <v>592</v>
      </c>
      <c r="G28" t="s">
        <v>591</v>
      </c>
      <c r="H28" s="6" t="s">
        <v>4</v>
      </c>
      <c r="I28" s="59" t="s">
        <v>154</v>
      </c>
      <c r="J28" s="59" t="s">
        <v>389</v>
      </c>
      <c r="K28" s="9">
        <v>0.1</v>
      </c>
      <c r="L28" s="9">
        <v>34.566667000000002</v>
      </c>
      <c r="M28" s="30" t="s">
        <v>31</v>
      </c>
      <c r="N28" t="s">
        <v>551</v>
      </c>
      <c r="O28">
        <v>100</v>
      </c>
      <c r="Q28">
        <v>4</v>
      </c>
      <c r="R28" t="s">
        <v>593</v>
      </c>
      <c r="S28">
        <v>1994</v>
      </c>
      <c r="T28">
        <v>1998</v>
      </c>
      <c r="U28" t="s">
        <v>590</v>
      </c>
      <c r="V28" t="s">
        <v>558</v>
      </c>
      <c r="W28" t="s">
        <v>588</v>
      </c>
      <c r="X28" s="9" t="s">
        <v>552</v>
      </c>
      <c r="Y28" t="s">
        <v>478</v>
      </c>
      <c r="Z28" s="59" t="s">
        <v>43</v>
      </c>
      <c r="AA28" t="s">
        <v>559</v>
      </c>
      <c r="AB28" s="60" t="s">
        <v>415</v>
      </c>
      <c r="AC28" s="31">
        <v>53000</v>
      </c>
      <c r="AD28" t="s">
        <v>98</v>
      </c>
      <c r="AO28" t="s">
        <v>47</v>
      </c>
      <c r="AP28" s="60" t="s">
        <v>415</v>
      </c>
      <c r="AQ28" s="31">
        <v>53000</v>
      </c>
      <c r="AX28" t="s">
        <v>574</v>
      </c>
      <c r="AZ28" s="60" t="s">
        <v>398</v>
      </c>
      <c r="BA28">
        <v>1994</v>
      </c>
      <c r="BB28">
        <v>1998</v>
      </c>
      <c r="BL28" s="60"/>
      <c r="BM28" t="s">
        <v>563</v>
      </c>
      <c r="BN28" s="67" t="s">
        <v>561</v>
      </c>
      <c r="BO28" s="30"/>
      <c r="BQ28">
        <v>1995</v>
      </c>
      <c r="BR28" t="s">
        <v>560</v>
      </c>
      <c r="BS28" s="60" t="s">
        <v>416</v>
      </c>
      <c r="BT28" s="30" t="s">
        <v>572</v>
      </c>
      <c r="BU28" s="50" t="s">
        <v>28</v>
      </c>
      <c r="BV28" s="30"/>
      <c r="BX28" s="30" t="s">
        <v>31</v>
      </c>
      <c r="BY28" s="30" t="s">
        <v>31</v>
      </c>
      <c r="BZ28" s="30" t="s">
        <v>31</v>
      </c>
      <c r="CA28" s="30" t="s">
        <v>31</v>
      </c>
      <c r="CB28" s="30" t="s">
        <v>31</v>
      </c>
      <c r="CC28" s="30" t="s">
        <v>31</v>
      </c>
      <c r="CD28" s="30" t="s">
        <v>31</v>
      </c>
      <c r="CE28" s="30" t="s">
        <v>31</v>
      </c>
      <c r="CF28" s="30" t="s">
        <v>31</v>
      </c>
      <c r="CH28" s="50" t="s">
        <v>39</v>
      </c>
      <c r="CM28" s="60" t="s">
        <v>440</v>
      </c>
      <c r="CN28">
        <v>0</v>
      </c>
      <c r="CW28" s="30"/>
      <c r="DC28" s="67" t="s">
        <v>445</v>
      </c>
      <c r="DK28" s="72" t="s">
        <v>577</v>
      </c>
      <c r="DL28" s="56" t="s">
        <v>508</v>
      </c>
      <c r="DM28" s="30"/>
      <c r="DN28" s="30" t="s">
        <v>31</v>
      </c>
      <c r="DO28" s="30"/>
      <c r="DP28" s="30"/>
      <c r="DQ28" s="30"/>
      <c r="DR28" s="30"/>
      <c r="FC28" t="s">
        <v>154</v>
      </c>
      <c r="FD28" s="26" t="s">
        <v>613</v>
      </c>
      <c r="FE28">
        <v>42</v>
      </c>
      <c r="FG28" s="73" t="s">
        <v>582</v>
      </c>
      <c r="FH28" s="30" t="s">
        <v>583</v>
      </c>
      <c r="FQ28" t="s">
        <v>594</v>
      </c>
      <c r="FR28" t="s">
        <v>581</v>
      </c>
      <c r="FU28" s="57" t="s">
        <v>585</v>
      </c>
      <c r="FV28" t="s">
        <v>584</v>
      </c>
      <c r="GG28" t="s">
        <v>510</v>
      </c>
      <c r="GH28">
        <v>54</v>
      </c>
      <c r="GI28" s="6" t="s">
        <v>511</v>
      </c>
      <c r="GJ28">
        <v>6</v>
      </c>
      <c r="GM28">
        <v>4</v>
      </c>
      <c r="GN28" t="s">
        <v>586</v>
      </c>
      <c r="GO28" s="59" t="s">
        <v>154</v>
      </c>
      <c r="GP28">
        <v>1997</v>
      </c>
      <c r="GS28" s="71" t="s">
        <v>560</v>
      </c>
      <c r="GU28" t="s">
        <v>644</v>
      </c>
    </row>
    <row r="29" spans="1:203" ht="15" thickBot="1">
      <c r="A29" s="25" t="s">
        <v>550</v>
      </c>
      <c r="C29" t="s">
        <v>549</v>
      </c>
      <c r="E29" t="s">
        <v>16</v>
      </c>
      <c r="F29" s="6" t="s">
        <v>592</v>
      </c>
      <c r="G29" t="s">
        <v>591</v>
      </c>
      <c r="H29" s="6" t="s">
        <v>4</v>
      </c>
      <c r="I29" s="59" t="s">
        <v>154</v>
      </c>
      <c r="J29" s="59" t="s">
        <v>389</v>
      </c>
      <c r="K29" s="9">
        <v>0.1</v>
      </c>
      <c r="L29" s="9">
        <v>34.566667000000002</v>
      </c>
      <c r="M29" s="30" t="s">
        <v>31</v>
      </c>
      <c r="N29" t="s">
        <v>551</v>
      </c>
      <c r="O29">
        <v>100</v>
      </c>
      <c r="Q29">
        <v>4</v>
      </c>
      <c r="R29" t="s">
        <v>593</v>
      </c>
      <c r="S29">
        <v>1994</v>
      </c>
      <c r="T29">
        <v>1998</v>
      </c>
      <c r="U29" t="s">
        <v>590</v>
      </c>
      <c r="V29" t="s">
        <v>558</v>
      </c>
      <c r="W29" t="s">
        <v>588</v>
      </c>
      <c r="X29" s="9" t="s">
        <v>554</v>
      </c>
      <c r="Y29" t="s">
        <v>479</v>
      </c>
      <c r="Z29" s="59" t="s">
        <v>43</v>
      </c>
      <c r="AA29" t="s">
        <v>559</v>
      </c>
      <c r="AB29" s="60" t="s">
        <v>415</v>
      </c>
      <c r="AC29" s="31">
        <v>53000</v>
      </c>
      <c r="AD29" t="s">
        <v>98</v>
      </c>
      <c r="AO29" t="s">
        <v>47</v>
      </c>
      <c r="AP29" s="60" t="s">
        <v>415</v>
      </c>
      <c r="AQ29" s="31">
        <v>53000</v>
      </c>
      <c r="AX29" t="s">
        <v>574</v>
      </c>
      <c r="AZ29" s="60" t="s">
        <v>398</v>
      </c>
      <c r="BA29">
        <v>1994</v>
      </c>
      <c r="BB29">
        <v>1998</v>
      </c>
      <c r="BL29" s="60"/>
      <c r="BM29" t="s">
        <v>564</v>
      </c>
      <c r="BN29" s="67" t="s">
        <v>562</v>
      </c>
      <c r="BO29" s="30"/>
      <c r="BQ29">
        <v>1994</v>
      </c>
      <c r="BR29" t="s">
        <v>571</v>
      </c>
      <c r="BS29" s="60" t="s">
        <v>416</v>
      </c>
      <c r="BT29" s="30" t="s">
        <v>573</v>
      </c>
      <c r="BU29" s="50" t="s">
        <v>28</v>
      </c>
      <c r="BV29" s="30"/>
      <c r="BX29" s="30" t="s">
        <v>31</v>
      </c>
      <c r="BY29" s="30" t="s">
        <v>31</v>
      </c>
      <c r="BZ29" s="30" t="s">
        <v>31</v>
      </c>
      <c r="CA29" s="30" t="s">
        <v>31</v>
      </c>
      <c r="CB29" s="30" t="s">
        <v>31</v>
      </c>
      <c r="CC29" s="30" t="s">
        <v>31</v>
      </c>
      <c r="CD29" s="30" t="s">
        <v>31</v>
      </c>
      <c r="CE29" s="30" t="s">
        <v>31</v>
      </c>
      <c r="CF29" s="30" t="s">
        <v>31</v>
      </c>
      <c r="CH29" s="50" t="s">
        <v>39</v>
      </c>
      <c r="CM29" s="60" t="s">
        <v>440</v>
      </c>
      <c r="CN29">
        <v>0</v>
      </c>
      <c r="CW29" s="30"/>
      <c r="DC29" s="67" t="s">
        <v>445</v>
      </c>
      <c r="DK29" s="72" t="s">
        <v>577</v>
      </c>
      <c r="DL29" s="56" t="s">
        <v>508</v>
      </c>
      <c r="DM29" s="30"/>
      <c r="DN29" s="30" t="s">
        <v>31</v>
      </c>
      <c r="DO29" s="30"/>
      <c r="DP29" s="30"/>
      <c r="DQ29" s="30"/>
      <c r="DR29" s="30"/>
      <c r="FC29" t="s">
        <v>154</v>
      </c>
      <c r="FD29" s="26" t="s">
        <v>613</v>
      </c>
      <c r="FE29">
        <v>42</v>
      </c>
      <c r="FG29" s="73" t="s">
        <v>582</v>
      </c>
      <c r="FH29" s="30" t="s">
        <v>583</v>
      </c>
      <c r="FQ29" t="s">
        <v>594</v>
      </c>
      <c r="FR29" t="s">
        <v>581</v>
      </c>
      <c r="FU29" s="57" t="s">
        <v>585</v>
      </c>
      <c r="FV29" t="s">
        <v>584</v>
      </c>
      <c r="GG29" t="s">
        <v>510</v>
      </c>
      <c r="GH29">
        <v>41</v>
      </c>
      <c r="GI29" s="6" t="s">
        <v>511</v>
      </c>
      <c r="GJ29">
        <v>12</v>
      </c>
      <c r="GM29">
        <v>4</v>
      </c>
      <c r="GN29" t="s">
        <v>586</v>
      </c>
      <c r="GO29" s="59" t="s">
        <v>154</v>
      </c>
      <c r="GP29">
        <v>1997</v>
      </c>
      <c r="GS29" s="71" t="s">
        <v>560</v>
      </c>
      <c r="GU29" t="s">
        <v>644</v>
      </c>
    </row>
    <row r="30" spans="1:203" ht="15" thickBot="1">
      <c r="A30" s="25" t="s">
        <v>550</v>
      </c>
      <c r="C30" t="s">
        <v>549</v>
      </c>
      <c r="E30" t="s">
        <v>16</v>
      </c>
      <c r="F30" s="6" t="s">
        <v>592</v>
      </c>
      <c r="G30" t="s">
        <v>591</v>
      </c>
      <c r="H30" s="6" t="s">
        <v>4</v>
      </c>
      <c r="I30" s="59" t="s">
        <v>154</v>
      </c>
      <c r="J30" s="59" t="s">
        <v>389</v>
      </c>
      <c r="K30" s="9">
        <v>0.1</v>
      </c>
      <c r="L30" s="9">
        <v>34.566667000000002</v>
      </c>
      <c r="M30" s="30" t="s">
        <v>31</v>
      </c>
      <c r="N30" t="s">
        <v>551</v>
      </c>
      <c r="O30">
        <v>100</v>
      </c>
      <c r="Q30">
        <v>4</v>
      </c>
      <c r="R30" t="s">
        <v>593</v>
      </c>
      <c r="S30">
        <v>1994</v>
      </c>
      <c r="T30">
        <v>1998</v>
      </c>
      <c r="U30" t="s">
        <v>590</v>
      </c>
      <c r="V30" t="s">
        <v>558</v>
      </c>
      <c r="W30" t="s">
        <v>589</v>
      </c>
      <c r="X30" s="9" t="s">
        <v>553</v>
      </c>
      <c r="Y30" t="s">
        <v>480</v>
      </c>
      <c r="Z30" s="59" t="s">
        <v>43</v>
      </c>
      <c r="AA30" t="s">
        <v>559</v>
      </c>
      <c r="AB30" s="60" t="s">
        <v>415</v>
      </c>
      <c r="AC30" s="31">
        <v>53000</v>
      </c>
      <c r="AP30" s="60"/>
      <c r="AQ30" s="31"/>
      <c r="AX30" t="s">
        <v>574</v>
      </c>
      <c r="AZ30" s="60" t="s">
        <v>398</v>
      </c>
      <c r="BA30">
        <v>1994</v>
      </c>
      <c r="BB30">
        <v>1998</v>
      </c>
      <c r="BM30" t="s">
        <v>565</v>
      </c>
      <c r="BN30" s="49" t="s">
        <v>566</v>
      </c>
      <c r="BO30" s="30"/>
      <c r="BQ30">
        <v>1995</v>
      </c>
      <c r="BR30" t="s">
        <v>571</v>
      </c>
      <c r="BS30" s="60" t="s">
        <v>416</v>
      </c>
      <c r="BT30" s="30" t="s">
        <v>569</v>
      </c>
      <c r="BU30" s="30" t="s">
        <v>575</v>
      </c>
      <c r="BV30" s="30"/>
      <c r="CH30" s="50" t="s">
        <v>39</v>
      </c>
      <c r="CM30" s="60" t="s">
        <v>440</v>
      </c>
      <c r="CN30">
        <v>0</v>
      </c>
      <c r="CW30" s="30"/>
      <c r="DC30" s="67" t="s">
        <v>445</v>
      </c>
      <c r="DK30" s="67" t="s">
        <v>579</v>
      </c>
      <c r="DL30" s="30"/>
      <c r="DM30" s="30"/>
      <c r="DN30" s="30"/>
      <c r="DO30" s="30"/>
      <c r="DP30" s="30"/>
      <c r="DQ30" s="30"/>
      <c r="DR30" s="30"/>
      <c r="FC30" t="s">
        <v>154</v>
      </c>
      <c r="FD30" s="26" t="s">
        <v>613</v>
      </c>
      <c r="FE30">
        <v>42</v>
      </c>
      <c r="FG30" s="73" t="s">
        <v>582</v>
      </c>
      <c r="FH30" s="30" t="s">
        <v>583</v>
      </c>
      <c r="FQ30" t="s">
        <v>594</v>
      </c>
      <c r="FR30" t="s">
        <v>581</v>
      </c>
      <c r="FU30" s="57" t="s">
        <v>585</v>
      </c>
      <c r="FV30" t="s">
        <v>584</v>
      </c>
      <c r="GG30" t="s">
        <v>510</v>
      </c>
      <c r="GH30">
        <v>30</v>
      </c>
      <c r="GI30" s="6" t="s">
        <v>511</v>
      </c>
      <c r="GJ30">
        <v>3</v>
      </c>
      <c r="GM30">
        <v>4</v>
      </c>
      <c r="GN30" t="s">
        <v>586</v>
      </c>
      <c r="GO30" s="59" t="s">
        <v>154</v>
      </c>
      <c r="GP30">
        <v>1997</v>
      </c>
      <c r="GS30" s="71" t="s">
        <v>560</v>
      </c>
      <c r="GU30" t="s">
        <v>644</v>
      </c>
    </row>
    <row r="31" spans="1:203" ht="15" thickBot="1">
      <c r="A31" s="25" t="s">
        <v>550</v>
      </c>
      <c r="C31" t="s">
        <v>549</v>
      </c>
      <c r="E31" t="s">
        <v>16</v>
      </c>
      <c r="F31" s="6" t="s">
        <v>592</v>
      </c>
      <c r="G31" t="s">
        <v>591</v>
      </c>
      <c r="H31" s="6" t="s">
        <v>4</v>
      </c>
      <c r="I31" s="59" t="s">
        <v>154</v>
      </c>
      <c r="J31" s="59" t="s">
        <v>389</v>
      </c>
      <c r="K31" s="9">
        <v>0.1</v>
      </c>
      <c r="L31" s="9">
        <v>34.566667000000002</v>
      </c>
      <c r="M31" s="30" t="s">
        <v>31</v>
      </c>
      <c r="N31" t="s">
        <v>551</v>
      </c>
      <c r="O31">
        <v>100</v>
      </c>
      <c r="Q31">
        <v>4</v>
      </c>
      <c r="R31" t="s">
        <v>593</v>
      </c>
      <c r="S31">
        <v>1994</v>
      </c>
      <c r="T31">
        <v>1998</v>
      </c>
      <c r="U31" t="s">
        <v>590</v>
      </c>
      <c r="V31" t="s">
        <v>558</v>
      </c>
      <c r="W31" t="s">
        <v>589</v>
      </c>
      <c r="X31" s="9" t="s">
        <v>555</v>
      </c>
      <c r="Y31" t="s">
        <v>481</v>
      </c>
      <c r="Z31" s="59" t="s">
        <v>43</v>
      </c>
      <c r="AA31" t="s">
        <v>559</v>
      </c>
      <c r="AB31" s="60" t="s">
        <v>415</v>
      </c>
      <c r="AC31" s="31">
        <v>53000</v>
      </c>
      <c r="AP31" s="60"/>
      <c r="AQ31" s="31"/>
      <c r="AX31" t="s">
        <v>574</v>
      </c>
      <c r="AZ31" s="60" t="s">
        <v>398</v>
      </c>
      <c r="BA31">
        <v>1994</v>
      </c>
      <c r="BB31">
        <v>1998</v>
      </c>
      <c r="BM31" t="s">
        <v>567</v>
      </c>
      <c r="BN31" s="49" t="s">
        <v>568</v>
      </c>
      <c r="BO31" s="30"/>
      <c r="BQ31">
        <v>1994</v>
      </c>
      <c r="BR31" t="s">
        <v>571</v>
      </c>
      <c r="BS31" s="60" t="s">
        <v>416</v>
      </c>
      <c r="BT31" s="30" t="s">
        <v>569</v>
      </c>
      <c r="BU31" s="30" t="s">
        <v>575</v>
      </c>
      <c r="BV31" s="30"/>
      <c r="CH31" s="50" t="s">
        <v>39</v>
      </c>
      <c r="CM31" s="60" t="s">
        <v>440</v>
      </c>
      <c r="CN31">
        <v>0</v>
      </c>
      <c r="CW31" s="30"/>
      <c r="DC31" s="67" t="s">
        <v>445</v>
      </c>
      <c r="DK31" s="67" t="s">
        <v>579</v>
      </c>
      <c r="DO31" s="30"/>
      <c r="DP31" s="30"/>
      <c r="DQ31" s="30"/>
      <c r="DR31" s="30"/>
      <c r="FC31" t="s">
        <v>154</v>
      </c>
      <c r="FD31" s="26" t="s">
        <v>613</v>
      </c>
      <c r="FE31">
        <v>42</v>
      </c>
      <c r="FG31" s="73" t="s">
        <v>582</v>
      </c>
      <c r="FH31" s="30" t="s">
        <v>583</v>
      </c>
      <c r="FQ31" t="s">
        <v>594</v>
      </c>
      <c r="FR31" t="s">
        <v>581</v>
      </c>
      <c r="FU31" s="57" t="s">
        <v>585</v>
      </c>
      <c r="FV31" t="s">
        <v>584</v>
      </c>
      <c r="GG31" t="s">
        <v>510</v>
      </c>
      <c r="GH31">
        <v>32</v>
      </c>
      <c r="GI31" s="6" t="s">
        <v>511</v>
      </c>
      <c r="GJ31">
        <v>4</v>
      </c>
      <c r="GM31">
        <v>4</v>
      </c>
      <c r="GN31" t="s">
        <v>586</v>
      </c>
      <c r="GO31" s="59" t="s">
        <v>154</v>
      </c>
      <c r="GP31">
        <v>1997</v>
      </c>
      <c r="GS31" s="71" t="s">
        <v>560</v>
      </c>
      <c r="GU31" t="s">
        <v>644</v>
      </c>
    </row>
    <row r="32" spans="1:203" ht="15" thickBot="1">
      <c r="A32" s="25" t="s">
        <v>550</v>
      </c>
      <c r="C32" t="s">
        <v>549</v>
      </c>
      <c r="E32" t="s">
        <v>16</v>
      </c>
      <c r="F32" s="6" t="s">
        <v>592</v>
      </c>
      <c r="G32" t="s">
        <v>591</v>
      </c>
      <c r="H32" s="6" t="s">
        <v>4</v>
      </c>
      <c r="I32" s="59" t="s">
        <v>154</v>
      </c>
      <c r="J32" s="59" t="s">
        <v>389</v>
      </c>
      <c r="K32" s="9">
        <v>0.1</v>
      </c>
      <c r="L32" s="9">
        <v>34.566667000000002</v>
      </c>
      <c r="M32" s="30" t="s">
        <v>31</v>
      </c>
      <c r="N32" t="s">
        <v>551</v>
      </c>
      <c r="O32">
        <v>100</v>
      </c>
      <c r="Q32">
        <v>4</v>
      </c>
      <c r="R32" t="s">
        <v>593</v>
      </c>
      <c r="S32">
        <v>1994</v>
      </c>
      <c r="T32">
        <v>1998</v>
      </c>
      <c r="U32" t="s">
        <v>590</v>
      </c>
      <c r="V32" t="s">
        <v>36</v>
      </c>
      <c r="W32" t="s">
        <v>36</v>
      </c>
      <c r="X32" s="9" t="s">
        <v>556</v>
      </c>
      <c r="Y32" t="s">
        <v>476</v>
      </c>
      <c r="Z32" s="59" t="s">
        <v>43</v>
      </c>
      <c r="AA32" t="s">
        <v>559</v>
      </c>
      <c r="AB32" s="60" t="s">
        <v>415</v>
      </c>
      <c r="AC32" s="31">
        <v>53000</v>
      </c>
      <c r="AX32" t="s">
        <v>574</v>
      </c>
      <c r="AZ32" s="60" t="s">
        <v>398</v>
      </c>
      <c r="BA32">
        <v>1994</v>
      </c>
      <c r="BB32">
        <v>1998</v>
      </c>
      <c r="BM32" t="s">
        <v>569</v>
      </c>
      <c r="BN32" s="49" t="s">
        <v>36</v>
      </c>
      <c r="BO32" s="30"/>
      <c r="BS32" s="60" t="s">
        <v>416</v>
      </c>
      <c r="BT32" s="30" t="s">
        <v>569</v>
      </c>
      <c r="BU32" s="30" t="s">
        <v>575</v>
      </c>
      <c r="BV32" s="30"/>
      <c r="CH32" s="50" t="s">
        <v>39</v>
      </c>
      <c r="CM32" s="60" t="s">
        <v>440</v>
      </c>
      <c r="CN32">
        <v>0</v>
      </c>
      <c r="CW32" s="30"/>
      <c r="DC32" s="67" t="s">
        <v>445</v>
      </c>
      <c r="DK32" s="67" t="s">
        <v>579</v>
      </c>
      <c r="DO32" s="30"/>
      <c r="DP32" s="30"/>
      <c r="DQ32" s="30"/>
      <c r="DR32" s="30"/>
      <c r="FD32" s="26" t="s">
        <v>613</v>
      </c>
      <c r="FE32">
        <v>42</v>
      </c>
      <c r="FG32" s="73" t="s">
        <v>582</v>
      </c>
      <c r="FH32" s="30" t="s">
        <v>583</v>
      </c>
      <c r="FQ32" t="s">
        <v>594</v>
      </c>
      <c r="FR32" t="s">
        <v>581</v>
      </c>
      <c r="FU32" s="57" t="s">
        <v>585</v>
      </c>
      <c r="FV32" t="s">
        <v>584</v>
      </c>
      <c r="GF32" t="s">
        <v>514</v>
      </c>
      <c r="GG32" t="s">
        <v>510</v>
      </c>
      <c r="GH32">
        <v>39</v>
      </c>
      <c r="GI32" s="6" t="s">
        <v>511</v>
      </c>
      <c r="GJ32">
        <v>9</v>
      </c>
      <c r="GM32">
        <v>4</v>
      </c>
      <c r="GN32" t="s">
        <v>586</v>
      </c>
      <c r="GO32" s="59" t="s">
        <v>154</v>
      </c>
      <c r="GP32">
        <v>1997</v>
      </c>
      <c r="GS32" s="71" t="s">
        <v>560</v>
      </c>
      <c r="GU32" t="s">
        <v>644</v>
      </c>
    </row>
    <row r="33" spans="1:203" ht="15" thickBot="1">
      <c r="A33" s="25" t="s">
        <v>550</v>
      </c>
      <c r="C33" t="s">
        <v>549</v>
      </c>
      <c r="E33" t="s">
        <v>16</v>
      </c>
      <c r="F33" s="6" t="s">
        <v>592</v>
      </c>
      <c r="G33" t="s">
        <v>591</v>
      </c>
      <c r="H33" s="6" t="s">
        <v>4</v>
      </c>
      <c r="I33" s="59" t="s">
        <v>154</v>
      </c>
      <c r="J33" s="59" t="s">
        <v>389</v>
      </c>
      <c r="K33" s="9">
        <v>0.1</v>
      </c>
      <c r="L33" s="9">
        <v>34.566667000000002</v>
      </c>
      <c r="M33" s="30" t="s">
        <v>31</v>
      </c>
      <c r="N33" t="s">
        <v>551</v>
      </c>
      <c r="O33">
        <v>100</v>
      </c>
      <c r="Q33">
        <v>4</v>
      </c>
      <c r="R33" t="s">
        <v>593</v>
      </c>
      <c r="S33">
        <v>1994</v>
      </c>
      <c r="T33">
        <v>1998</v>
      </c>
      <c r="U33" t="s">
        <v>590</v>
      </c>
      <c r="V33" t="s">
        <v>36</v>
      </c>
      <c r="W33" t="s">
        <v>36</v>
      </c>
      <c r="X33" s="9" t="s">
        <v>557</v>
      </c>
      <c r="Y33" t="s">
        <v>477</v>
      </c>
      <c r="Z33" s="59" t="s">
        <v>43</v>
      </c>
      <c r="AA33" t="s">
        <v>559</v>
      </c>
      <c r="AB33" s="60" t="s">
        <v>415</v>
      </c>
      <c r="AC33" s="31">
        <v>53000</v>
      </c>
      <c r="AX33" t="s">
        <v>574</v>
      </c>
      <c r="AZ33" s="60" t="s">
        <v>398</v>
      </c>
      <c r="BA33">
        <v>1994</v>
      </c>
      <c r="BB33">
        <v>1998</v>
      </c>
      <c r="BM33" t="s">
        <v>570</v>
      </c>
      <c r="BN33" s="49" t="s">
        <v>36</v>
      </c>
      <c r="BO33" s="30"/>
      <c r="BS33" s="60" t="s">
        <v>416</v>
      </c>
      <c r="BT33" s="30" t="s">
        <v>576</v>
      </c>
      <c r="BU33" s="30" t="s">
        <v>575</v>
      </c>
      <c r="BV33" s="30"/>
      <c r="CG33" t="s">
        <v>570</v>
      </c>
      <c r="CH33" t="s">
        <v>37</v>
      </c>
      <c r="CI33" s="65" t="s">
        <v>439</v>
      </c>
      <c r="CM33" s="60" t="s">
        <v>440</v>
      </c>
      <c r="CN33">
        <v>60</v>
      </c>
      <c r="CQ33">
        <v>60</v>
      </c>
      <c r="CW33" s="30"/>
      <c r="DC33" s="67" t="s">
        <v>445</v>
      </c>
      <c r="DK33" s="67" t="s">
        <v>579</v>
      </c>
      <c r="DO33" s="30"/>
      <c r="DP33" s="30"/>
      <c r="DQ33" s="30"/>
      <c r="DR33" s="30"/>
      <c r="FD33" s="26" t="s">
        <v>613</v>
      </c>
      <c r="FE33">
        <v>42</v>
      </c>
      <c r="FG33" s="73" t="s">
        <v>582</v>
      </c>
      <c r="FH33" s="30" t="s">
        <v>583</v>
      </c>
      <c r="FQ33" t="s">
        <v>594</v>
      </c>
      <c r="FR33" t="s">
        <v>581</v>
      </c>
      <c r="FU33" s="57" t="s">
        <v>585</v>
      </c>
      <c r="FV33" t="s">
        <v>584</v>
      </c>
      <c r="GF33" t="s">
        <v>587</v>
      </c>
      <c r="GG33" t="s">
        <v>510</v>
      </c>
      <c r="GH33">
        <v>14</v>
      </c>
      <c r="GI33" s="6" t="s">
        <v>511</v>
      </c>
      <c r="GJ33">
        <v>5</v>
      </c>
      <c r="GM33">
        <v>4</v>
      </c>
      <c r="GN33" t="s">
        <v>586</v>
      </c>
      <c r="GO33" s="59" t="s">
        <v>154</v>
      </c>
      <c r="GP33">
        <v>1997</v>
      </c>
      <c r="GS33" s="71" t="s">
        <v>560</v>
      </c>
      <c r="GU33" t="s">
        <v>644</v>
      </c>
    </row>
    <row r="34" spans="1:203" ht="15" thickBot="1">
      <c r="A34" s="25" t="s">
        <v>550</v>
      </c>
      <c r="C34" t="s">
        <v>549</v>
      </c>
      <c r="E34" t="s">
        <v>16</v>
      </c>
      <c r="F34" s="6" t="s">
        <v>592</v>
      </c>
      <c r="G34" t="s">
        <v>591</v>
      </c>
      <c r="H34" s="6" t="s">
        <v>4</v>
      </c>
      <c r="I34" s="59" t="s">
        <v>154</v>
      </c>
      <c r="J34" s="59" t="s">
        <v>389</v>
      </c>
      <c r="K34" s="9">
        <v>0.1</v>
      </c>
      <c r="L34" s="9">
        <v>34.566667000000002</v>
      </c>
      <c r="M34" s="30" t="s">
        <v>31</v>
      </c>
      <c r="N34" t="s">
        <v>551</v>
      </c>
      <c r="O34">
        <v>100</v>
      </c>
      <c r="Q34">
        <v>4</v>
      </c>
      <c r="R34" t="s">
        <v>593</v>
      </c>
      <c r="S34">
        <v>1994</v>
      </c>
      <c r="T34">
        <v>1998</v>
      </c>
      <c r="U34" t="s">
        <v>590</v>
      </c>
      <c r="V34" t="s">
        <v>558</v>
      </c>
      <c r="W34" t="s">
        <v>588</v>
      </c>
      <c r="X34" s="9" t="s">
        <v>552</v>
      </c>
      <c r="Y34" t="s">
        <v>478</v>
      </c>
      <c r="Z34" s="59" t="s">
        <v>43</v>
      </c>
      <c r="AA34" t="s">
        <v>559</v>
      </c>
      <c r="AB34" s="60" t="s">
        <v>415</v>
      </c>
      <c r="AC34" s="31">
        <v>53000</v>
      </c>
      <c r="AD34" t="s">
        <v>98</v>
      </c>
      <c r="AO34" t="s">
        <v>47</v>
      </c>
      <c r="AP34" s="60" t="s">
        <v>415</v>
      </c>
      <c r="AQ34" s="31">
        <v>53000</v>
      </c>
      <c r="AX34" t="s">
        <v>574</v>
      </c>
      <c r="AZ34" s="60" t="s">
        <v>398</v>
      </c>
      <c r="BA34">
        <v>1994</v>
      </c>
      <c r="BB34">
        <v>1998</v>
      </c>
      <c r="BL34" s="60"/>
      <c r="BM34" t="s">
        <v>563</v>
      </c>
      <c r="BN34" s="67" t="s">
        <v>561</v>
      </c>
      <c r="BO34" s="30"/>
      <c r="BQ34">
        <v>1995</v>
      </c>
      <c r="BR34" t="s">
        <v>560</v>
      </c>
      <c r="BS34" s="60" t="s">
        <v>416</v>
      </c>
      <c r="BT34" s="30" t="s">
        <v>572</v>
      </c>
      <c r="BU34" s="50" t="s">
        <v>28</v>
      </c>
      <c r="BV34" s="30"/>
      <c r="BX34" s="30" t="s">
        <v>31</v>
      </c>
      <c r="BY34" s="30" t="s">
        <v>31</v>
      </c>
      <c r="BZ34" s="30" t="s">
        <v>31</v>
      </c>
      <c r="CA34" s="30" t="s">
        <v>31</v>
      </c>
      <c r="CB34" s="30" t="s">
        <v>31</v>
      </c>
      <c r="CC34" s="30" t="s">
        <v>31</v>
      </c>
      <c r="CD34" s="30" t="s">
        <v>31</v>
      </c>
      <c r="CE34" s="30" t="s">
        <v>31</v>
      </c>
      <c r="CF34" s="30" t="s">
        <v>31</v>
      </c>
      <c r="CH34" s="50" t="s">
        <v>39</v>
      </c>
      <c r="CM34" s="60" t="s">
        <v>440</v>
      </c>
      <c r="CN34">
        <v>0</v>
      </c>
      <c r="CW34" s="30"/>
      <c r="DC34" s="67" t="s">
        <v>445</v>
      </c>
      <c r="DK34" s="72" t="s">
        <v>577</v>
      </c>
      <c r="DL34" s="56" t="s">
        <v>508</v>
      </c>
      <c r="DM34" s="30"/>
      <c r="DN34" s="30" t="s">
        <v>31</v>
      </c>
      <c r="DO34" s="30"/>
      <c r="DP34" s="30"/>
      <c r="DQ34" s="30"/>
      <c r="DR34" s="30"/>
      <c r="FC34" t="s">
        <v>154</v>
      </c>
      <c r="FD34" s="26" t="s">
        <v>613</v>
      </c>
      <c r="FE34">
        <v>42</v>
      </c>
      <c r="FG34" s="73" t="s">
        <v>582</v>
      </c>
      <c r="FH34" s="30" t="s">
        <v>583</v>
      </c>
      <c r="FQ34" t="s">
        <v>594</v>
      </c>
      <c r="FR34" t="s">
        <v>581</v>
      </c>
      <c r="FU34" s="57" t="s">
        <v>585</v>
      </c>
      <c r="FV34" t="s">
        <v>584</v>
      </c>
      <c r="GG34" t="s">
        <v>510</v>
      </c>
      <c r="GH34">
        <v>18</v>
      </c>
      <c r="GI34" s="6" t="s">
        <v>511</v>
      </c>
      <c r="GJ34">
        <v>5</v>
      </c>
      <c r="GM34">
        <v>4</v>
      </c>
      <c r="GN34" t="s">
        <v>586</v>
      </c>
      <c r="GO34" s="59" t="s">
        <v>154</v>
      </c>
      <c r="GP34">
        <v>1997</v>
      </c>
      <c r="GS34" t="s">
        <v>571</v>
      </c>
      <c r="GU34" t="s">
        <v>644</v>
      </c>
    </row>
    <row r="35" spans="1:203" ht="15" thickBot="1">
      <c r="A35" s="25" t="s">
        <v>550</v>
      </c>
      <c r="C35" t="s">
        <v>549</v>
      </c>
      <c r="E35" t="s">
        <v>16</v>
      </c>
      <c r="F35" s="6" t="s">
        <v>592</v>
      </c>
      <c r="G35" t="s">
        <v>591</v>
      </c>
      <c r="H35" s="6" t="s">
        <v>4</v>
      </c>
      <c r="I35" s="59" t="s">
        <v>154</v>
      </c>
      <c r="J35" s="59" t="s">
        <v>389</v>
      </c>
      <c r="K35" s="9">
        <v>0.1</v>
      </c>
      <c r="L35" s="9">
        <v>34.566667000000002</v>
      </c>
      <c r="M35" s="30" t="s">
        <v>31</v>
      </c>
      <c r="N35" t="s">
        <v>551</v>
      </c>
      <c r="O35">
        <v>100</v>
      </c>
      <c r="Q35">
        <v>4</v>
      </c>
      <c r="R35" t="s">
        <v>593</v>
      </c>
      <c r="S35">
        <v>1994</v>
      </c>
      <c r="T35">
        <v>1998</v>
      </c>
      <c r="U35" t="s">
        <v>590</v>
      </c>
      <c r="V35" t="s">
        <v>558</v>
      </c>
      <c r="W35" t="s">
        <v>588</v>
      </c>
      <c r="X35" s="9" t="s">
        <v>554</v>
      </c>
      <c r="Y35" t="s">
        <v>479</v>
      </c>
      <c r="Z35" s="59" t="s">
        <v>43</v>
      </c>
      <c r="AA35" t="s">
        <v>559</v>
      </c>
      <c r="AB35" s="60" t="s">
        <v>415</v>
      </c>
      <c r="AC35" s="31">
        <v>53000</v>
      </c>
      <c r="AD35" t="s">
        <v>98</v>
      </c>
      <c r="AO35" t="s">
        <v>47</v>
      </c>
      <c r="AP35" s="60" t="s">
        <v>415</v>
      </c>
      <c r="AQ35" s="31">
        <v>53000</v>
      </c>
      <c r="AX35" t="s">
        <v>574</v>
      </c>
      <c r="AZ35" s="60" t="s">
        <v>398</v>
      </c>
      <c r="BA35">
        <v>1994</v>
      </c>
      <c r="BB35">
        <v>1998</v>
      </c>
      <c r="BL35" s="60"/>
      <c r="BM35" t="s">
        <v>564</v>
      </c>
      <c r="BN35" s="67" t="s">
        <v>562</v>
      </c>
      <c r="BO35" s="30"/>
      <c r="BQ35">
        <v>1994</v>
      </c>
      <c r="BR35" t="s">
        <v>571</v>
      </c>
      <c r="BS35" s="60" t="s">
        <v>416</v>
      </c>
      <c r="BT35" s="30" t="s">
        <v>573</v>
      </c>
      <c r="BU35" s="50" t="s">
        <v>28</v>
      </c>
      <c r="BV35" s="30"/>
      <c r="BX35" s="30" t="s">
        <v>31</v>
      </c>
      <c r="BY35" s="30" t="s">
        <v>31</v>
      </c>
      <c r="BZ35" s="30" t="s">
        <v>31</v>
      </c>
      <c r="CA35" s="30" t="s">
        <v>31</v>
      </c>
      <c r="CB35" s="30" t="s">
        <v>31</v>
      </c>
      <c r="CC35" s="30" t="s">
        <v>31</v>
      </c>
      <c r="CD35" s="30" t="s">
        <v>31</v>
      </c>
      <c r="CE35" s="30" t="s">
        <v>31</v>
      </c>
      <c r="CF35" s="30" t="s">
        <v>31</v>
      </c>
      <c r="CH35" s="50" t="s">
        <v>39</v>
      </c>
      <c r="CM35" s="60" t="s">
        <v>440</v>
      </c>
      <c r="CN35">
        <v>0</v>
      </c>
      <c r="CW35" s="30"/>
      <c r="DC35" s="67" t="s">
        <v>445</v>
      </c>
      <c r="DK35" s="72" t="s">
        <v>577</v>
      </c>
      <c r="DL35" s="56" t="s">
        <v>508</v>
      </c>
      <c r="DM35" s="30"/>
      <c r="DN35" s="30" t="s">
        <v>31</v>
      </c>
      <c r="DO35" s="30"/>
      <c r="DP35" s="30"/>
      <c r="DQ35" s="30"/>
      <c r="DR35" s="30"/>
      <c r="FC35" t="s">
        <v>154</v>
      </c>
      <c r="FD35" s="26" t="s">
        <v>613</v>
      </c>
      <c r="FE35">
        <v>42</v>
      </c>
      <c r="FG35" s="73" t="s">
        <v>582</v>
      </c>
      <c r="FH35" s="30" t="s">
        <v>583</v>
      </c>
      <c r="FQ35" t="s">
        <v>594</v>
      </c>
      <c r="FR35" t="s">
        <v>581</v>
      </c>
      <c r="FU35" s="57" t="s">
        <v>585</v>
      </c>
      <c r="FV35" t="s">
        <v>584</v>
      </c>
      <c r="GG35" t="s">
        <v>510</v>
      </c>
      <c r="GH35">
        <v>12</v>
      </c>
      <c r="GI35" s="6" t="s">
        <v>511</v>
      </c>
      <c r="GJ35">
        <v>2</v>
      </c>
      <c r="GM35">
        <v>4</v>
      </c>
      <c r="GN35" t="s">
        <v>586</v>
      </c>
      <c r="GO35" s="59" t="s">
        <v>154</v>
      </c>
      <c r="GP35">
        <v>1997</v>
      </c>
      <c r="GS35" t="s">
        <v>571</v>
      </c>
      <c r="GU35" t="s">
        <v>644</v>
      </c>
    </row>
    <row r="36" spans="1:203" ht="15" thickBot="1">
      <c r="A36" s="25" t="s">
        <v>550</v>
      </c>
      <c r="C36" t="s">
        <v>549</v>
      </c>
      <c r="E36" t="s">
        <v>16</v>
      </c>
      <c r="F36" s="6" t="s">
        <v>592</v>
      </c>
      <c r="G36" t="s">
        <v>591</v>
      </c>
      <c r="H36" s="6" t="s">
        <v>4</v>
      </c>
      <c r="I36" s="59" t="s">
        <v>154</v>
      </c>
      <c r="J36" s="59" t="s">
        <v>389</v>
      </c>
      <c r="K36" s="9">
        <v>0.1</v>
      </c>
      <c r="L36" s="9">
        <v>34.566667000000002</v>
      </c>
      <c r="M36" s="30" t="s">
        <v>31</v>
      </c>
      <c r="N36" t="s">
        <v>551</v>
      </c>
      <c r="O36">
        <v>100</v>
      </c>
      <c r="Q36">
        <v>4</v>
      </c>
      <c r="R36" t="s">
        <v>593</v>
      </c>
      <c r="S36">
        <v>1994</v>
      </c>
      <c r="T36">
        <v>1998</v>
      </c>
      <c r="U36" t="s">
        <v>590</v>
      </c>
      <c r="V36" t="s">
        <v>558</v>
      </c>
      <c r="W36" t="s">
        <v>589</v>
      </c>
      <c r="X36" s="9" t="s">
        <v>553</v>
      </c>
      <c r="Y36" t="s">
        <v>480</v>
      </c>
      <c r="Z36" s="59" t="s">
        <v>43</v>
      </c>
      <c r="AA36" t="s">
        <v>559</v>
      </c>
      <c r="AB36" s="60" t="s">
        <v>415</v>
      </c>
      <c r="AC36" s="31">
        <v>53000</v>
      </c>
      <c r="AP36" s="60"/>
      <c r="AQ36" s="31"/>
      <c r="AX36" t="s">
        <v>574</v>
      </c>
      <c r="AZ36" s="60" t="s">
        <v>398</v>
      </c>
      <c r="BA36">
        <v>1994</v>
      </c>
      <c r="BB36">
        <v>1998</v>
      </c>
      <c r="BM36" t="s">
        <v>565</v>
      </c>
      <c r="BN36" s="49" t="s">
        <v>566</v>
      </c>
      <c r="BO36" s="30"/>
      <c r="BQ36">
        <v>1995</v>
      </c>
      <c r="BR36" t="s">
        <v>571</v>
      </c>
      <c r="BS36" s="60" t="s">
        <v>416</v>
      </c>
      <c r="BT36" s="30" t="s">
        <v>569</v>
      </c>
      <c r="BU36" s="30" t="s">
        <v>575</v>
      </c>
      <c r="BV36" s="30"/>
      <c r="CH36" s="50" t="s">
        <v>39</v>
      </c>
      <c r="CM36" s="60" t="s">
        <v>440</v>
      </c>
      <c r="CN36">
        <v>0</v>
      </c>
      <c r="CW36" s="30"/>
      <c r="DC36" s="67" t="s">
        <v>445</v>
      </c>
      <c r="DK36" s="67" t="s">
        <v>579</v>
      </c>
      <c r="DL36" s="30"/>
      <c r="DM36" s="30"/>
      <c r="DN36" s="30"/>
      <c r="DO36" s="30"/>
      <c r="DP36" s="30"/>
      <c r="DQ36" s="30"/>
      <c r="DR36" s="30"/>
      <c r="FC36" t="s">
        <v>154</v>
      </c>
      <c r="FD36" s="26" t="s">
        <v>613</v>
      </c>
      <c r="FE36">
        <v>42</v>
      </c>
      <c r="FG36" s="73" t="s">
        <v>582</v>
      </c>
      <c r="FH36" s="30" t="s">
        <v>583</v>
      </c>
      <c r="FQ36" t="s">
        <v>594</v>
      </c>
      <c r="FR36" t="s">
        <v>581</v>
      </c>
      <c r="FU36" s="57" t="s">
        <v>585</v>
      </c>
      <c r="FV36" t="s">
        <v>584</v>
      </c>
      <c r="GG36" t="s">
        <v>510</v>
      </c>
      <c r="GH36">
        <v>14</v>
      </c>
      <c r="GI36" s="6" t="s">
        <v>511</v>
      </c>
      <c r="GJ36">
        <v>5</v>
      </c>
      <c r="GM36">
        <v>4</v>
      </c>
      <c r="GN36" t="s">
        <v>586</v>
      </c>
      <c r="GO36" s="59" t="s">
        <v>154</v>
      </c>
      <c r="GP36">
        <v>1997</v>
      </c>
      <c r="GS36" t="s">
        <v>571</v>
      </c>
      <c r="GU36" t="s">
        <v>644</v>
      </c>
    </row>
    <row r="37" spans="1:203" ht="15" thickBot="1">
      <c r="A37" s="25" t="s">
        <v>550</v>
      </c>
      <c r="C37" t="s">
        <v>549</v>
      </c>
      <c r="E37" t="s">
        <v>16</v>
      </c>
      <c r="F37" s="6" t="s">
        <v>592</v>
      </c>
      <c r="G37" t="s">
        <v>591</v>
      </c>
      <c r="H37" s="6" t="s">
        <v>4</v>
      </c>
      <c r="I37" s="59" t="s">
        <v>154</v>
      </c>
      <c r="J37" s="59" t="s">
        <v>389</v>
      </c>
      <c r="K37" s="9">
        <v>0.1</v>
      </c>
      <c r="L37" s="9">
        <v>34.566667000000002</v>
      </c>
      <c r="M37" s="30" t="s">
        <v>31</v>
      </c>
      <c r="N37" t="s">
        <v>551</v>
      </c>
      <c r="O37">
        <v>100</v>
      </c>
      <c r="Q37">
        <v>4</v>
      </c>
      <c r="R37" t="s">
        <v>593</v>
      </c>
      <c r="S37">
        <v>1994</v>
      </c>
      <c r="T37">
        <v>1998</v>
      </c>
      <c r="U37" t="s">
        <v>590</v>
      </c>
      <c r="V37" t="s">
        <v>558</v>
      </c>
      <c r="W37" t="s">
        <v>589</v>
      </c>
      <c r="X37" s="9" t="s">
        <v>555</v>
      </c>
      <c r="Y37" t="s">
        <v>481</v>
      </c>
      <c r="Z37" s="59" t="s">
        <v>43</v>
      </c>
      <c r="AA37" t="s">
        <v>559</v>
      </c>
      <c r="AB37" s="60" t="s">
        <v>415</v>
      </c>
      <c r="AC37" s="31">
        <v>53000</v>
      </c>
      <c r="AP37" s="60"/>
      <c r="AQ37" s="31"/>
      <c r="AX37" t="s">
        <v>574</v>
      </c>
      <c r="AZ37" s="60" t="s">
        <v>398</v>
      </c>
      <c r="BA37">
        <v>1994</v>
      </c>
      <c r="BB37">
        <v>1998</v>
      </c>
      <c r="BM37" t="s">
        <v>567</v>
      </c>
      <c r="BN37" s="49" t="s">
        <v>568</v>
      </c>
      <c r="BO37" s="30"/>
      <c r="BQ37">
        <v>1994</v>
      </c>
      <c r="BR37" t="s">
        <v>571</v>
      </c>
      <c r="BS37" s="60" t="s">
        <v>416</v>
      </c>
      <c r="BT37" s="30" t="s">
        <v>569</v>
      </c>
      <c r="BU37" s="30" t="s">
        <v>575</v>
      </c>
      <c r="BV37" s="30"/>
      <c r="CH37" s="50" t="s">
        <v>39</v>
      </c>
      <c r="CM37" s="60" t="s">
        <v>440</v>
      </c>
      <c r="CN37">
        <v>0</v>
      </c>
      <c r="CW37" s="30"/>
      <c r="DC37" s="67" t="s">
        <v>445</v>
      </c>
      <c r="DK37" s="67" t="s">
        <v>579</v>
      </c>
      <c r="DO37" s="30"/>
      <c r="DP37" s="30"/>
      <c r="DQ37" s="30"/>
      <c r="DR37" s="30"/>
      <c r="FC37" t="s">
        <v>154</v>
      </c>
      <c r="FD37" s="26" t="s">
        <v>613</v>
      </c>
      <c r="FE37">
        <v>42</v>
      </c>
      <c r="FG37" s="73" t="s">
        <v>582</v>
      </c>
      <c r="FH37" s="30" t="s">
        <v>583</v>
      </c>
      <c r="FQ37" t="s">
        <v>594</v>
      </c>
      <c r="FR37" t="s">
        <v>581</v>
      </c>
      <c r="FU37" s="57" t="s">
        <v>585</v>
      </c>
      <c r="FV37" t="s">
        <v>584</v>
      </c>
      <c r="GG37" t="s">
        <v>510</v>
      </c>
      <c r="GH37">
        <v>10</v>
      </c>
      <c r="GI37" s="6" t="s">
        <v>511</v>
      </c>
      <c r="GJ37">
        <v>3</v>
      </c>
      <c r="GM37">
        <v>4</v>
      </c>
      <c r="GN37" t="s">
        <v>586</v>
      </c>
      <c r="GO37" s="59" t="s">
        <v>154</v>
      </c>
      <c r="GP37">
        <v>1997</v>
      </c>
      <c r="GS37" t="s">
        <v>571</v>
      </c>
      <c r="GU37" t="s">
        <v>644</v>
      </c>
    </row>
    <row r="38" spans="1:203" ht="15" thickBot="1">
      <c r="A38" s="25" t="s">
        <v>550</v>
      </c>
      <c r="C38" t="s">
        <v>549</v>
      </c>
      <c r="E38" t="s">
        <v>16</v>
      </c>
      <c r="F38" s="6" t="s">
        <v>592</v>
      </c>
      <c r="G38" t="s">
        <v>591</v>
      </c>
      <c r="H38" s="6" t="s">
        <v>4</v>
      </c>
      <c r="I38" s="59" t="s">
        <v>154</v>
      </c>
      <c r="J38" s="59" t="s">
        <v>389</v>
      </c>
      <c r="K38" s="9">
        <v>0.1</v>
      </c>
      <c r="L38" s="9">
        <v>34.566667000000002</v>
      </c>
      <c r="M38" s="30" t="s">
        <v>31</v>
      </c>
      <c r="N38" t="s">
        <v>551</v>
      </c>
      <c r="O38">
        <v>100</v>
      </c>
      <c r="Q38">
        <v>4</v>
      </c>
      <c r="R38" t="s">
        <v>593</v>
      </c>
      <c r="S38">
        <v>1994</v>
      </c>
      <c r="T38">
        <v>1998</v>
      </c>
      <c r="U38" t="s">
        <v>590</v>
      </c>
      <c r="V38" t="s">
        <v>36</v>
      </c>
      <c r="W38" t="s">
        <v>36</v>
      </c>
      <c r="X38" s="9" t="s">
        <v>556</v>
      </c>
      <c r="Y38" t="s">
        <v>476</v>
      </c>
      <c r="Z38" s="59" t="s">
        <v>43</v>
      </c>
      <c r="AA38" t="s">
        <v>559</v>
      </c>
      <c r="AB38" s="60" t="s">
        <v>415</v>
      </c>
      <c r="AC38" s="31">
        <v>53000</v>
      </c>
      <c r="AX38" t="s">
        <v>574</v>
      </c>
      <c r="AZ38" s="60" t="s">
        <v>398</v>
      </c>
      <c r="BA38">
        <v>1994</v>
      </c>
      <c r="BB38">
        <v>1998</v>
      </c>
      <c r="BM38" t="s">
        <v>569</v>
      </c>
      <c r="BN38" s="49" t="s">
        <v>36</v>
      </c>
      <c r="BO38" s="30"/>
      <c r="BS38" s="60" t="s">
        <v>416</v>
      </c>
      <c r="BT38" s="30" t="s">
        <v>569</v>
      </c>
      <c r="BU38" s="30" t="s">
        <v>575</v>
      </c>
      <c r="BV38" s="30"/>
      <c r="CH38" s="50" t="s">
        <v>39</v>
      </c>
      <c r="CM38" s="60" t="s">
        <v>440</v>
      </c>
      <c r="CN38">
        <v>0</v>
      </c>
      <c r="CW38" s="30"/>
      <c r="DC38" s="67" t="s">
        <v>445</v>
      </c>
      <c r="DK38" s="67" t="s">
        <v>579</v>
      </c>
      <c r="DO38" s="30"/>
      <c r="DP38" s="30"/>
      <c r="DQ38" s="30"/>
      <c r="DR38" s="30"/>
      <c r="FD38" s="26" t="s">
        <v>613</v>
      </c>
      <c r="FE38">
        <v>42</v>
      </c>
      <c r="FG38" s="73" t="s">
        <v>582</v>
      </c>
      <c r="FH38" s="30" t="s">
        <v>583</v>
      </c>
      <c r="FQ38" t="s">
        <v>594</v>
      </c>
      <c r="FR38" t="s">
        <v>581</v>
      </c>
      <c r="FU38" s="57" t="s">
        <v>585</v>
      </c>
      <c r="FV38" t="s">
        <v>584</v>
      </c>
      <c r="GF38" t="s">
        <v>514</v>
      </c>
      <c r="GG38" t="s">
        <v>510</v>
      </c>
      <c r="GH38">
        <v>12</v>
      </c>
      <c r="GI38" s="6" t="s">
        <v>511</v>
      </c>
      <c r="GJ38">
        <v>4</v>
      </c>
      <c r="GM38">
        <v>4</v>
      </c>
      <c r="GN38" t="s">
        <v>586</v>
      </c>
      <c r="GO38" s="59" t="s">
        <v>154</v>
      </c>
      <c r="GP38">
        <v>1997</v>
      </c>
      <c r="GS38" t="s">
        <v>571</v>
      </c>
      <c r="GU38" t="s">
        <v>644</v>
      </c>
    </row>
    <row r="39" spans="1:203" ht="15" thickBot="1">
      <c r="A39" s="25" t="s">
        <v>550</v>
      </c>
      <c r="C39" t="s">
        <v>549</v>
      </c>
      <c r="E39" t="s">
        <v>16</v>
      </c>
      <c r="F39" s="6" t="s">
        <v>592</v>
      </c>
      <c r="G39" t="s">
        <v>591</v>
      </c>
      <c r="H39" s="6" t="s">
        <v>4</v>
      </c>
      <c r="I39" s="59" t="s">
        <v>154</v>
      </c>
      <c r="J39" s="59" t="s">
        <v>389</v>
      </c>
      <c r="K39" s="9">
        <v>0.1</v>
      </c>
      <c r="L39" s="9">
        <v>34.566667000000002</v>
      </c>
      <c r="M39" s="30" t="s">
        <v>31</v>
      </c>
      <c r="N39" t="s">
        <v>551</v>
      </c>
      <c r="O39">
        <v>100</v>
      </c>
      <c r="Q39">
        <v>4</v>
      </c>
      <c r="R39" t="s">
        <v>593</v>
      </c>
      <c r="S39">
        <v>1994</v>
      </c>
      <c r="T39">
        <v>1998</v>
      </c>
      <c r="U39" t="s">
        <v>590</v>
      </c>
      <c r="V39" t="s">
        <v>36</v>
      </c>
      <c r="W39" t="s">
        <v>36</v>
      </c>
      <c r="X39" s="9" t="s">
        <v>557</v>
      </c>
      <c r="Y39" t="s">
        <v>477</v>
      </c>
      <c r="Z39" s="59" t="s">
        <v>43</v>
      </c>
      <c r="AA39" t="s">
        <v>559</v>
      </c>
      <c r="AB39" s="60" t="s">
        <v>415</v>
      </c>
      <c r="AC39" s="31">
        <v>53000</v>
      </c>
      <c r="AX39" t="s">
        <v>574</v>
      </c>
      <c r="AZ39" s="60" t="s">
        <v>398</v>
      </c>
      <c r="BA39">
        <v>1994</v>
      </c>
      <c r="BB39">
        <v>1998</v>
      </c>
      <c r="BM39" t="s">
        <v>570</v>
      </c>
      <c r="BN39" s="49" t="s">
        <v>36</v>
      </c>
      <c r="BO39" s="30"/>
      <c r="BS39" s="60" t="s">
        <v>416</v>
      </c>
      <c r="BT39" s="30" t="s">
        <v>576</v>
      </c>
      <c r="BU39" s="30" t="s">
        <v>575</v>
      </c>
      <c r="BV39" s="30"/>
      <c r="CG39" t="s">
        <v>570</v>
      </c>
      <c r="CH39" t="s">
        <v>37</v>
      </c>
      <c r="CI39" s="65" t="s">
        <v>439</v>
      </c>
      <c r="CM39" s="60" t="s">
        <v>440</v>
      </c>
      <c r="CN39">
        <v>60</v>
      </c>
      <c r="CQ39">
        <v>60</v>
      </c>
      <c r="CW39" s="30"/>
      <c r="DC39" s="67" t="s">
        <v>445</v>
      </c>
      <c r="DK39" s="67" t="s">
        <v>579</v>
      </c>
      <c r="DO39" s="30"/>
      <c r="DP39" s="30"/>
      <c r="DQ39" s="30"/>
      <c r="DR39" s="30"/>
      <c r="FD39" s="26" t="s">
        <v>613</v>
      </c>
      <c r="FE39">
        <v>42</v>
      </c>
      <c r="FG39" s="73" t="s">
        <v>582</v>
      </c>
      <c r="FH39" s="30" t="s">
        <v>583</v>
      </c>
      <c r="FQ39" t="s">
        <v>594</v>
      </c>
      <c r="FR39" t="s">
        <v>581</v>
      </c>
      <c r="FU39" s="57" t="s">
        <v>585</v>
      </c>
      <c r="FV39" t="s">
        <v>584</v>
      </c>
      <c r="GF39" t="s">
        <v>587</v>
      </c>
      <c r="GG39" t="s">
        <v>510</v>
      </c>
      <c r="GH39">
        <v>5</v>
      </c>
      <c r="GI39" s="6" t="s">
        <v>511</v>
      </c>
      <c r="GJ39">
        <v>3</v>
      </c>
      <c r="GM39">
        <v>4</v>
      </c>
      <c r="GN39" t="s">
        <v>586</v>
      </c>
      <c r="GO39" s="59" t="s">
        <v>154</v>
      </c>
      <c r="GP39">
        <v>1997</v>
      </c>
      <c r="GS39" t="s">
        <v>571</v>
      </c>
      <c r="GU39" t="s">
        <v>644</v>
      </c>
    </row>
    <row r="40" spans="1:203" ht="15" thickBot="1">
      <c r="A40" s="25" t="s">
        <v>550</v>
      </c>
      <c r="C40" t="s">
        <v>549</v>
      </c>
      <c r="E40" t="s">
        <v>16</v>
      </c>
      <c r="F40" s="6" t="s">
        <v>592</v>
      </c>
      <c r="G40" t="s">
        <v>591</v>
      </c>
      <c r="H40" s="6" t="s">
        <v>4</v>
      </c>
      <c r="I40" s="59" t="s">
        <v>154</v>
      </c>
      <c r="J40" s="59" t="s">
        <v>389</v>
      </c>
      <c r="K40" s="9">
        <v>0.1</v>
      </c>
      <c r="L40" s="9">
        <v>34.566667000000002</v>
      </c>
      <c r="M40" s="30" t="s">
        <v>31</v>
      </c>
      <c r="N40" t="s">
        <v>551</v>
      </c>
      <c r="O40">
        <v>100</v>
      </c>
      <c r="Q40">
        <v>4</v>
      </c>
      <c r="R40" t="s">
        <v>593</v>
      </c>
      <c r="S40">
        <v>1994</v>
      </c>
      <c r="T40">
        <v>1998</v>
      </c>
      <c r="U40" t="s">
        <v>590</v>
      </c>
      <c r="V40" t="s">
        <v>558</v>
      </c>
      <c r="W40" t="s">
        <v>588</v>
      </c>
      <c r="X40" s="9" t="s">
        <v>552</v>
      </c>
      <c r="Y40" t="s">
        <v>478</v>
      </c>
      <c r="Z40" s="59" t="s">
        <v>43</v>
      </c>
      <c r="AA40" t="s">
        <v>559</v>
      </c>
      <c r="AB40" s="60" t="s">
        <v>415</v>
      </c>
      <c r="AC40" s="31">
        <v>53000</v>
      </c>
      <c r="AD40" t="s">
        <v>98</v>
      </c>
      <c r="AO40" t="s">
        <v>47</v>
      </c>
      <c r="AP40" s="60" t="s">
        <v>415</v>
      </c>
      <c r="AQ40" s="31">
        <v>53000</v>
      </c>
      <c r="AX40" t="s">
        <v>574</v>
      </c>
      <c r="AZ40" s="60" t="s">
        <v>398</v>
      </c>
      <c r="BA40">
        <v>1994</v>
      </c>
      <c r="BB40">
        <v>1998</v>
      </c>
      <c r="BL40" s="60"/>
      <c r="BM40" t="s">
        <v>563</v>
      </c>
      <c r="BN40" s="67" t="s">
        <v>561</v>
      </c>
      <c r="BO40" s="30"/>
      <c r="BQ40">
        <v>1995</v>
      </c>
      <c r="BR40" t="s">
        <v>560</v>
      </c>
      <c r="BS40" s="60" t="s">
        <v>416</v>
      </c>
      <c r="BT40" s="30" t="s">
        <v>572</v>
      </c>
      <c r="BU40" s="50" t="s">
        <v>28</v>
      </c>
      <c r="BV40" s="30"/>
      <c r="BX40" s="30" t="s">
        <v>31</v>
      </c>
      <c r="BY40" s="30" t="s">
        <v>31</v>
      </c>
      <c r="BZ40" s="30" t="s">
        <v>31</v>
      </c>
      <c r="CA40" s="30" t="s">
        <v>31</v>
      </c>
      <c r="CB40" s="30" t="s">
        <v>31</v>
      </c>
      <c r="CC40" s="30" t="s">
        <v>31</v>
      </c>
      <c r="CD40" s="30" t="s">
        <v>31</v>
      </c>
      <c r="CE40" s="30" t="s">
        <v>31</v>
      </c>
      <c r="CF40" s="30" t="s">
        <v>31</v>
      </c>
      <c r="CH40" s="50" t="s">
        <v>39</v>
      </c>
      <c r="CM40" s="66" t="s">
        <v>440</v>
      </c>
      <c r="CN40">
        <v>0</v>
      </c>
      <c r="CW40" s="30"/>
      <c r="DC40" s="67" t="s">
        <v>445</v>
      </c>
      <c r="DK40" s="72" t="s">
        <v>577</v>
      </c>
      <c r="DL40" s="56" t="s">
        <v>508</v>
      </c>
      <c r="DM40" s="30"/>
      <c r="DN40" s="30" t="s">
        <v>31</v>
      </c>
      <c r="DO40" s="30"/>
      <c r="DP40" s="30"/>
      <c r="DQ40" s="30"/>
      <c r="DR40" s="30"/>
      <c r="FC40" t="s">
        <v>154</v>
      </c>
      <c r="FD40" s="28" t="s">
        <v>615</v>
      </c>
      <c r="FE40">
        <v>42</v>
      </c>
      <c r="FG40" s="73" t="s">
        <v>582</v>
      </c>
      <c r="FH40" s="30" t="s">
        <v>608</v>
      </c>
      <c r="FQ40" t="s">
        <v>594</v>
      </c>
      <c r="FR40" t="s">
        <v>595</v>
      </c>
      <c r="FU40" s="57" t="s">
        <v>585</v>
      </c>
      <c r="FV40" t="s">
        <v>614</v>
      </c>
      <c r="FX40">
        <v>0</v>
      </c>
      <c r="FY40">
        <v>15</v>
      </c>
      <c r="GG40" t="s">
        <v>510</v>
      </c>
      <c r="GH40">
        <v>48</v>
      </c>
      <c r="GI40" s="6" t="s">
        <v>511</v>
      </c>
      <c r="GJ40" s="8">
        <v>24</v>
      </c>
      <c r="GM40">
        <v>4</v>
      </c>
      <c r="GN40" t="s">
        <v>609</v>
      </c>
      <c r="GO40" s="59" t="s">
        <v>154</v>
      </c>
      <c r="GP40">
        <v>1996</v>
      </c>
      <c r="GS40" s="71" t="s">
        <v>560</v>
      </c>
      <c r="GU40" t="s">
        <v>643</v>
      </c>
    </row>
    <row r="41" spans="1:203" ht="15" thickBot="1">
      <c r="A41" s="25" t="s">
        <v>550</v>
      </c>
      <c r="C41" t="s">
        <v>549</v>
      </c>
      <c r="E41" t="s">
        <v>16</v>
      </c>
      <c r="F41" s="6" t="s">
        <v>592</v>
      </c>
      <c r="G41" t="s">
        <v>591</v>
      </c>
      <c r="H41" s="6" t="s">
        <v>4</v>
      </c>
      <c r="I41" s="59" t="s">
        <v>154</v>
      </c>
      <c r="J41" s="59" t="s">
        <v>389</v>
      </c>
      <c r="K41" s="9">
        <v>0.1</v>
      </c>
      <c r="L41" s="9">
        <v>34.566667000000002</v>
      </c>
      <c r="M41" s="30" t="s">
        <v>31</v>
      </c>
      <c r="N41" t="s">
        <v>551</v>
      </c>
      <c r="O41">
        <v>100</v>
      </c>
      <c r="Q41">
        <v>4</v>
      </c>
      <c r="R41" t="s">
        <v>593</v>
      </c>
      <c r="S41">
        <v>1994</v>
      </c>
      <c r="T41">
        <v>1998</v>
      </c>
      <c r="U41" t="s">
        <v>590</v>
      </c>
      <c r="V41" t="s">
        <v>558</v>
      </c>
      <c r="W41" t="s">
        <v>588</v>
      </c>
      <c r="X41" s="9" t="s">
        <v>554</v>
      </c>
      <c r="Y41" t="s">
        <v>479</v>
      </c>
      <c r="Z41" s="59" t="s">
        <v>43</v>
      </c>
      <c r="AA41" t="s">
        <v>559</v>
      </c>
      <c r="AB41" s="60" t="s">
        <v>415</v>
      </c>
      <c r="AC41" s="31">
        <v>53000</v>
      </c>
      <c r="AD41" t="s">
        <v>98</v>
      </c>
      <c r="AO41" t="s">
        <v>47</v>
      </c>
      <c r="AP41" s="60" t="s">
        <v>415</v>
      </c>
      <c r="AQ41" s="31">
        <v>53000</v>
      </c>
      <c r="AX41" t="s">
        <v>574</v>
      </c>
      <c r="AZ41" s="60" t="s">
        <v>398</v>
      </c>
      <c r="BA41">
        <v>1994</v>
      </c>
      <c r="BB41">
        <v>1998</v>
      </c>
      <c r="BL41" s="60"/>
      <c r="BM41" t="s">
        <v>564</v>
      </c>
      <c r="BN41" s="67" t="s">
        <v>562</v>
      </c>
      <c r="BO41" s="30"/>
      <c r="BQ41">
        <v>1994</v>
      </c>
      <c r="BR41" t="s">
        <v>571</v>
      </c>
      <c r="BS41" s="60" t="s">
        <v>416</v>
      </c>
      <c r="BT41" s="30" t="s">
        <v>573</v>
      </c>
      <c r="BU41" s="50" t="s">
        <v>28</v>
      </c>
      <c r="BV41" s="30"/>
      <c r="BX41" s="30" t="s">
        <v>31</v>
      </c>
      <c r="BY41" s="30" t="s">
        <v>31</v>
      </c>
      <c r="BZ41" s="30" t="s">
        <v>31</v>
      </c>
      <c r="CA41" s="30" t="s">
        <v>31</v>
      </c>
      <c r="CB41" s="30" t="s">
        <v>31</v>
      </c>
      <c r="CC41" s="30" t="s">
        <v>31</v>
      </c>
      <c r="CD41" s="30" t="s">
        <v>31</v>
      </c>
      <c r="CE41" s="30" t="s">
        <v>31</v>
      </c>
      <c r="CF41" s="30" t="s">
        <v>31</v>
      </c>
      <c r="CH41" s="50" t="s">
        <v>39</v>
      </c>
      <c r="CM41" s="66" t="s">
        <v>440</v>
      </c>
      <c r="CN41">
        <v>0</v>
      </c>
      <c r="CW41" s="30"/>
      <c r="DC41" s="67" t="s">
        <v>445</v>
      </c>
      <c r="DK41" s="72" t="s">
        <v>577</v>
      </c>
      <c r="DL41" s="56" t="s">
        <v>508</v>
      </c>
      <c r="DM41" s="30"/>
      <c r="DN41" s="30" t="s">
        <v>31</v>
      </c>
      <c r="DO41" s="30"/>
      <c r="DP41" s="30"/>
      <c r="DQ41" s="30"/>
      <c r="DR41" s="30"/>
      <c r="FC41" t="s">
        <v>154</v>
      </c>
      <c r="FD41" s="29" t="s">
        <v>615</v>
      </c>
      <c r="FE41">
        <v>42</v>
      </c>
      <c r="FG41" s="73" t="s">
        <v>582</v>
      </c>
      <c r="FH41" s="30" t="s">
        <v>608</v>
      </c>
      <c r="FQ41" t="s">
        <v>594</v>
      </c>
      <c r="FR41" t="s">
        <v>595</v>
      </c>
      <c r="FU41" s="57" t="s">
        <v>585</v>
      </c>
      <c r="FV41" t="s">
        <v>614</v>
      </c>
      <c r="FX41">
        <v>0</v>
      </c>
      <c r="FY41">
        <v>15</v>
      </c>
      <c r="GG41" t="s">
        <v>510</v>
      </c>
      <c r="GH41">
        <v>63</v>
      </c>
      <c r="GI41" s="6" t="s">
        <v>511</v>
      </c>
      <c r="GJ41" s="8">
        <v>16</v>
      </c>
      <c r="GM41">
        <v>4</v>
      </c>
      <c r="GN41" t="s">
        <v>609</v>
      </c>
      <c r="GO41" s="59" t="s">
        <v>154</v>
      </c>
      <c r="GP41">
        <v>1996</v>
      </c>
      <c r="GS41" s="71" t="s">
        <v>560</v>
      </c>
      <c r="GU41" t="s">
        <v>643</v>
      </c>
    </row>
    <row r="42" spans="1:203" ht="15" thickBot="1">
      <c r="A42" s="25" t="s">
        <v>550</v>
      </c>
      <c r="C42" t="s">
        <v>549</v>
      </c>
      <c r="E42" t="s">
        <v>16</v>
      </c>
      <c r="F42" s="6" t="s">
        <v>592</v>
      </c>
      <c r="G42" t="s">
        <v>591</v>
      </c>
      <c r="H42" s="6" t="s">
        <v>4</v>
      </c>
      <c r="I42" s="59" t="s">
        <v>154</v>
      </c>
      <c r="J42" s="59" t="s">
        <v>389</v>
      </c>
      <c r="K42" s="9">
        <v>0.1</v>
      </c>
      <c r="L42" s="9">
        <v>34.566667000000002</v>
      </c>
      <c r="M42" s="30" t="s">
        <v>31</v>
      </c>
      <c r="N42" t="s">
        <v>551</v>
      </c>
      <c r="O42">
        <v>100</v>
      </c>
      <c r="Q42">
        <v>4</v>
      </c>
      <c r="R42" t="s">
        <v>593</v>
      </c>
      <c r="S42">
        <v>1994</v>
      </c>
      <c r="T42">
        <v>1998</v>
      </c>
      <c r="U42" t="s">
        <v>590</v>
      </c>
      <c r="V42" t="s">
        <v>558</v>
      </c>
      <c r="W42" t="s">
        <v>589</v>
      </c>
      <c r="X42" s="9" t="s">
        <v>553</v>
      </c>
      <c r="Y42" t="s">
        <v>480</v>
      </c>
      <c r="Z42" s="59" t="s">
        <v>43</v>
      </c>
      <c r="AA42" t="s">
        <v>559</v>
      </c>
      <c r="AB42" s="60" t="s">
        <v>415</v>
      </c>
      <c r="AC42" s="31">
        <v>53000</v>
      </c>
      <c r="AP42" s="60"/>
      <c r="AQ42" s="31"/>
      <c r="AX42" t="s">
        <v>574</v>
      </c>
      <c r="AZ42" s="60" t="s">
        <v>398</v>
      </c>
      <c r="BA42">
        <v>1994</v>
      </c>
      <c r="BB42">
        <v>1998</v>
      </c>
      <c r="BM42" t="s">
        <v>565</v>
      </c>
      <c r="BN42" s="49" t="s">
        <v>566</v>
      </c>
      <c r="BO42" s="30"/>
      <c r="BQ42">
        <v>1995</v>
      </c>
      <c r="BR42" t="s">
        <v>571</v>
      </c>
      <c r="BS42" s="60" t="s">
        <v>416</v>
      </c>
      <c r="BT42" s="30" t="s">
        <v>569</v>
      </c>
      <c r="BU42" s="30" t="s">
        <v>575</v>
      </c>
      <c r="BV42" s="30"/>
      <c r="CH42" s="50" t="s">
        <v>39</v>
      </c>
      <c r="CM42" s="66" t="s">
        <v>440</v>
      </c>
      <c r="CN42">
        <v>0</v>
      </c>
      <c r="CW42" s="30"/>
      <c r="DC42" s="67" t="s">
        <v>445</v>
      </c>
      <c r="DK42" s="67" t="s">
        <v>579</v>
      </c>
      <c r="DL42" s="30"/>
      <c r="DM42" s="30"/>
      <c r="DN42" s="30"/>
      <c r="DO42" s="30"/>
      <c r="DP42" s="30"/>
      <c r="DQ42" s="30"/>
      <c r="DR42" s="30"/>
      <c r="FC42" t="s">
        <v>154</v>
      </c>
      <c r="FD42" s="28" t="s">
        <v>615</v>
      </c>
      <c r="FE42">
        <v>42</v>
      </c>
      <c r="FG42" s="73" t="s">
        <v>582</v>
      </c>
      <c r="FH42" s="30" t="s">
        <v>608</v>
      </c>
      <c r="FQ42" t="s">
        <v>594</v>
      </c>
      <c r="FR42" t="s">
        <v>595</v>
      </c>
      <c r="FU42" s="57" t="s">
        <v>585</v>
      </c>
      <c r="FV42" t="s">
        <v>614</v>
      </c>
      <c r="FX42">
        <v>0</v>
      </c>
      <c r="FY42">
        <v>15</v>
      </c>
      <c r="GG42" t="s">
        <v>510</v>
      </c>
      <c r="GH42" s="8">
        <v>34</v>
      </c>
      <c r="GI42" s="6" t="s">
        <v>511</v>
      </c>
      <c r="GJ42" s="8">
        <v>7</v>
      </c>
      <c r="GM42">
        <v>4</v>
      </c>
      <c r="GN42" t="s">
        <v>609</v>
      </c>
      <c r="GO42" s="59" t="s">
        <v>154</v>
      </c>
      <c r="GP42">
        <v>1996</v>
      </c>
      <c r="GS42" s="71" t="s">
        <v>560</v>
      </c>
      <c r="GU42" t="s">
        <v>643</v>
      </c>
    </row>
    <row r="43" spans="1:203" ht="15" thickBot="1">
      <c r="A43" s="25" t="s">
        <v>550</v>
      </c>
      <c r="C43" t="s">
        <v>549</v>
      </c>
      <c r="E43" t="s">
        <v>16</v>
      </c>
      <c r="F43" s="6" t="s">
        <v>592</v>
      </c>
      <c r="G43" t="s">
        <v>591</v>
      </c>
      <c r="H43" s="6" t="s">
        <v>4</v>
      </c>
      <c r="I43" s="59" t="s">
        <v>154</v>
      </c>
      <c r="J43" s="59" t="s">
        <v>389</v>
      </c>
      <c r="K43" s="9">
        <v>0.1</v>
      </c>
      <c r="L43" s="9">
        <v>34.566667000000002</v>
      </c>
      <c r="M43" s="30" t="s">
        <v>31</v>
      </c>
      <c r="N43" t="s">
        <v>551</v>
      </c>
      <c r="O43">
        <v>100</v>
      </c>
      <c r="Q43">
        <v>4</v>
      </c>
      <c r="R43" t="s">
        <v>593</v>
      </c>
      <c r="S43">
        <v>1994</v>
      </c>
      <c r="T43">
        <v>1998</v>
      </c>
      <c r="U43" t="s">
        <v>590</v>
      </c>
      <c r="V43" t="s">
        <v>558</v>
      </c>
      <c r="W43" t="s">
        <v>589</v>
      </c>
      <c r="X43" s="9" t="s">
        <v>555</v>
      </c>
      <c r="Y43" t="s">
        <v>481</v>
      </c>
      <c r="Z43" s="59" t="s">
        <v>43</v>
      </c>
      <c r="AA43" t="s">
        <v>559</v>
      </c>
      <c r="AB43" s="60" t="s">
        <v>415</v>
      </c>
      <c r="AC43" s="31">
        <v>53000</v>
      </c>
      <c r="AP43" s="60"/>
      <c r="AQ43" s="31"/>
      <c r="AX43" t="s">
        <v>574</v>
      </c>
      <c r="AZ43" s="60" t="s">
        <v>398</v>
      </c>
      <c r="BA43">
        <v>1994</v>
      </c>
      <c r="BB43">
        <v>1998</v>
      </c>
      <c r="BM43" t="s">
        <v>567</v>
      </c>
      <c r="BN43" s="49" t="s">
        <v>568</v>
      </c>
      <c r="BO43" s="30"/>
      <c r="BQ43">
        <v>1994</v>
      </c>
      <c r="BR43" t="s">
        <v>571</v>
      </c>
      <c r="BS43" s="60" t="s">
        <v>416</v>
      </c>
      <c r="BT43" s="30" t="s">
        <v>569</v>
      </c>
      <c r="BU43" s="30" t="s">
        <v>575</v>
      </c>
      <c r="BV43" s="30"/>
      <c r="CH43" s="50" t="s">
        <v>39</v>
      </c>
      <c r="CM43" s="66" t="s">
        <v>440</v>
      </c>
      <c r="CN43">
        <v>0</v>
      </c>
      <c r="CW43" s="30"/>
      <c r="DC43" s="67" t="s">
        <v>445</v>
      </c>
      <c r="DK43" s="67" t="s">
        <v>579</v>
      </c>
      <c r="DO43" s="30"/>
      <c r="DP43" s="30"/>
      <c r="DQ43" s="30"/>
      <c r="DR43" s="30"/>
      <c r="FC43" t="s">
        <v>154</v>
      </c>
      <c r="FD43" s="29" t="s">
        <v>615</v>
      </c>
      <c r="FE43">
        <v>42</v>
      </c>
      <c r="FG43" s="73" t="s">
        <v>582</v>
      </c>
      <c r="FH43" s="30" t="s">
        <v>608</v>
      </c>
      <c r="FQ43" t="s">
        <v>594</v>
      </c>
      <c r="FR43" t="s">
        <v>595</v>
      </c>
      <c r="FU43" s="57" t="s">
        <v>585</v>
      </c>
      <c r="FV43" t="s">
        <v>614</v>
      </c>
      <c r="FX43">
        <v>0</v>
      </c>
      <c r="FY43">
        <v>15</v>
      </c>
      <c r="GG43" t="s">
        <v>510</v>
      </c>
      <c r="GH43" s="8">
        <v>146</v>
      </c>
      <c r="GI43" s="6" t="s">
        <v>511</v>
      </c>
      <c r="GJ43" s="8">
        <v>80</v>
      </c>
      <c r="GM43">
        <v>4</v>
      </c>
      <c r="GN43" t="s">
        <v>609</v>
      </c>
      <c r="GO43" s="59" t="s">
        <v>154</v>
      </c>
      <c r="GP43">
        <v>1996</v>
      </c>
      <c r="GS43" s="71" t="s">
        <v>560</v>
      </c>
      <c r="GU43" t="s">
        <v>643</v>
      </c>
    </row>
    <row r="44" spans="1:203" ht="15" thickBot="1">
      <c r="A44" s="25" t="s">
        <v>550</v>
      </c>
      <c r="C44" t="s">
        <v>549</v>
      </c>
      <c r="E44" t="s">
        <v>16</v>
      </c>
      <c r="F44" s="6" t="s">
        <v>592</v>
      </c>
      <c r="G44" t="s">
        <v>591</v>
      </c>
      <c r="H44" s="6" t="s">
        <v>4</v>
      </c>
      <c r="I44" s="59" t="s">
        <v>154</v>
      </c>
      <c r="J44" s="59" t="s">
        <v>389</v>
      </c>
      <c r="K44" s="9">
        <v>0.1</v>
      </c>
      <c r="L44" s="9">
        <v>34.566667000000002</v>
      </c>
      <c r="M44" s="30" t="s">
        <v>31</v>
      </c>
      <c r="N44" t="s">
        <v>551</v>
      </c>
      <c r="O44">
        <v>100</v>
      </c>
      <c r="Q44">
        <v>4</v>
      </c>
      <c r="R44" t="s">
        <v>593</v>
      </c>
      <c r="S44">
        <v>1994</v>
      </c>
      <c r="T44">
        <v>1998</v>
      </c>
      <c r="U44" t="s">
        <v>590</v>
      </c>
      <c r="V44" t="s">
        <v>36</v>
      </c>
      <c r="W44" t="s">
        <v>36</v>
      </c>
      <c r="X44" s="9" t="s">
        <v>556</v>
      </c>
      <c r="Y44" t="s">
        <v>476</v>
      </c>
      <c r="Z44" s="59" t="s">
        <v>43</v>
      </c>
      <c r="AA44" t="s">
        <v>559</v>
      </c>
      <c r="AB44" s="60" t="s">
        <v>415</v>
      </c>
      <c r="AC44" s="31">
        <v>53000</v>
      </c>
      <c r="AX44" t="s">
        <v>574</v>
      </c>
      <c r="AZ44" s="60" t="s">
        <v>398</v>
      </c>
      <c r="BA44">
        <v>1994</v>
      </c>
      <c r="BB44">
        <v>1998</v>
      </c>
      <c r="BM44" t="s">
        <v>569</v>
      </c>
      <c r="BN44" s="49" t="s">
        <v>36</v>
      </c>
      <c r="BO44" s="30"/>
      <c r="BS44" s="60" t="s">
        <v>416</v>
      </c>
      <c r="BT44" s="30" t="s">
        <v>569</v>
      </c>
      <c r="BU44" s="30" t="s">
        <v>575</v>
      </c>
      <c r="BV44" s="30"/>
      <c r="CH44" s="50" t="s">
        <v>39</v>
      </c>
      <c r="CM44" s="66" t="s">
        <v>440</v>
      </c>
      <c r="CN44">
        <v>0</v>
      </c>
      <c r="CW44" s="30"/>
      <c r="DC44" s="67" t="s">
        <v>445</v>
      </c>
      <c r="DK44" s="67" t="s">
        <v>579</v>
      </c>
      <c r="DO44" s="30"/>
      <c r="DP44" s="30"/>
      <c r="DQ44" s="30"/>
      <c r="DR44" s="30"/>
      <c r="FD44" s="28" t="s">
        <v>615</v>
      </c>
      <c r="FE44">
        <v>42</v>
      </c>
      <c r="FG44" s="73" t="s">
        <v>582</v>
      </c>
      <c r="FH44" s="30" t="s">
        <v>608</v>
      </c>
      <c r="FQ44" t="s">
        <v>594</v>
      </c>
      <c r="FR44" t="s">
        <v>595</v>
      </c>
      <c r="FU44" s="57" t="s">
        <v>585</v>
      </c>
      <c r="FV44" t="s">
        <v>614</v>
      </c>
      <c r="FX44">
        <v>0</v>
      </c>
      <c r="FY44">
        <v>15</v>
      </c>
      <c r="GF44" t="s">
        <v>514</v>
      </c>
      <c r="GG44" t="s">
        <v>510</v>
      </c>
      <c r="GH44" s="8">
        <v>50</v>
      </c>
      <c r="GI44" s="6" t="s">
        <v>511</v>
      </c>
      <c r="GJ44" s="8">
        <v>20</v>
      </c>
      <c r="GM44">
        <v>4</v>
      </c>
      <c r="GN44" t="s">
        <v>609</v>
      </c>
      <c r="GO44" s="59" t="s">
        <v>154</v>
      </c>
      <c r="GP44">
        <v>1996</v>
      </c>
      <c r="GS44" s="71" t="s">
        <v>560</v>
      </c>
      <c r="GU44" t="s">
        <v>643</v>
      </c>
    </row>
    <row r="45" spans="1:203" ht="15" thickBot="1">
      <c r="A45" s="25" t="s">
        <v>550</v>
      </c>
      <c r="C45" t="s">
        <v>549</v>
      </c>
      <c r="E45" t="s">
        <v>16</v>
      </c>
      <c r="F45" s="6" t="s">
        <v>592</v>
      </c>
      <c r="G45" t="s">
        <v>591</v>
      </c>
      <c r="H45" s="6" t="s">
        <v>4</v>
      </c>
      <c r="I45" s="59" t="s">
        <v>154</v>
      </c>
      <c r="J45" s="59" t="s">
        <v>389</v>
      </c>
      <c r="K45" s="9">
        <v>0.1</v>
      </c>
      <c r="L45" s="9">
        <v>34.566667000000002</v>
      </c>
      <c r="M45" s="30" t="s">
        <v>31</v>
      </c>
      <c r="N45" t="s">
        <v>551</v>
      </c>
      <c r="O45">
        <v>100</v>
      </c>
      <c r="Q45">
        <v>4</v>
      </c>
      <c r="R45" t="s">
        <v>593</v>
      </c>
      <c r="S45">
        <v>1994</v>
      </c>
      <c r="T45">
        <v>1998</v>
      </c>
      <c r="U45" t="s">
        <v>590</v>
      </c>
      <c r="V45" t="s">
        <v>36</v>
      </c>
      <c r="W45" t="s">
        <v>36</v>
      </c>
      <c r="X45" s="9" t="s">
        <v>557</v>
      </c>
      <c r="Y45" t="s">
        <v>477</v>
      </c>
      <c r="Z45" s="59" t="s">
        <v>43</v>
      </c>
      <c r="AA45" t="s">
        <v>559</v>
      </c>
      <c r="AB45" s="60" t="s">
        <v>415</v>
      </c>
      <c r="AC45" s="31">
        <v>53000</v>
      </c>
      <c r="AX45" t="s">
        <v>574</v>
      </c>
      <c r="AZ45" s="60" t="s">
        <v>398</v>
      </c>
      <c r="BA45">
        <v>1994</v>
      </c>
      <c r="BB45">
        <v>1998</v>
      </c>
      <c r="BM45" t="s">
        <v>570</v>
      </c>
      <c r="BN45" s="49" t="s">
        <v>36</v>
      </c>
      <c r="BO45" s="30"/>
      <c r="BS45" s="60" t="s">
        <v>416</v>
      </c>
      <c r="BT45" s="30" t="s">
        <v>576</v>
      </c>
      <c r="BU45" s="30" t="s">
        <v>575</v>
      </c>
      <c r="BV45" s="30"/>
      <c r="CG45" t="s">
        <v>570</v>
      </c>
      <c r="CH45" t="s">
        <v>37</v>
      </c>
      <c r="CI45" s="65" t="s">
        <v>439</v>
      </c>
      <c r="CM45" s="66" t="s">
        <v>440</v>
      </c>
      <c r="CN45">
        <v>60</v>
      </c>
      <c r="CQ45">
        <v>60</v>
      </c>
      <c r="CW45" s="30"/>
      <c r="DC45" s="67" t="s">
        <v>445</v>
      </c>
      <c r="DK45" s="67" t="s">
        <v>579</v>
      </c>
      <c r="DO45" s="30"/>
      <c r="DP45" s="30"/>
      <c r="DQ45" s="30"/>
      <c r="DR45" s="30"/>
      <c r="FD45" s="29" t="s">
        <v>615</v>
      </c>
      <c r="FE45">
        <v>42</v>
      </c>
      <c r="FG45" s="73" t="s">
        <v>582</v>
      </c>
      <c r="FH45" s="30" t="s">
        <v>608</v>
      </c>
      <c r="FQ45" t="s">
        <v>594</v>
      </c>
      <c r="FR45" t="s">
        <v>595</v>
      </c>
      <c r="FU45" s="57" t="s">
        <v>585</v>
      </c>
      <c r="FV45" t="s">
        <v>614</v>
      </c>
      <c r="FX45">
        <v>0</v>
      </c>
      <c r="FY45">
        <v>15</v>
      </c>
      <c r="GF45" t="s">
        <v>587</v>
      </c>
      <c r="GG45" t="s">
        <v>510</v>
      </c>
      <c r="GH45" s="8">
        <v>94</v>
      </c>
      <c r="GI45" s="6" t="s">
        <v>511</v>
      </c>
      <c r="GJ45" s="8">
        <v>69</v>
      </c>
      <c r="GM45">
        <v>4</v>
      </c>
      <c r="GN45" t="s">
        <v>609</v>
      </c>
      <c r="GO45" s="59" t="s">
        <v>154</v>
      </c>
      <c r="GP45">
        <v>1996</v>
      </c>
      <c r="GS45" s="71" t="s">
        <v>560</v>
      </c>
      <c r="GU45" t="s">
        <v>643</v>
      </c>
    </row>
    <row r="46" spans="1:203" ht="15" thickBot="1">
      <c r="A46" s="25" t="s">
        <v>550</v>
      </c>
      <c r="C46" t="s">
        <v>549</v>
      </c>
      <c r="E46" t="s">
        <v>16</v>
      </c>
      <c r="F46" s="6" t="s">
        <v>592</v>
      </c>
      <c r="G46" t="s">
        <v>591</v>
      </c>
      <c r="H46" s="6" t="s">
        <v>4</v>
      </c>
      <c r="I46" s="59" t="s">
        <v>154</v>
      </c>
      <c r="J46" s="59" t="s">
        <v>389</v>
      </c>
      <c r="K46" s="9">
        <v>0.1</v>
      </c>
      <c r="L46" s="9">
        <v>34.566667000000002</v>
      </c>
      <c r="M46" s="30" t="s">
        <v>31</v>
      </c>
      <c r="N46" t="s">
        <v>551</v>
      </c>
      <c r="O46">
        <v>100</v>
      </c>
      <c r="Q46">
        <v>4</v>
      </c>
      <c r="R46" t="s">
        <v>593</v>
      </c>
      <c r="S46">
        <v>1994</v>
      </c>
      <c r="T46">
        <v>1998</v>
      </c>
      <c r="U46" t="s">
        <v>590</v>
      </c>
      <c r="V46" t="s">
        <v>558</v>
      </c>
      <c r="W46" t="s">
        <v>588</v>
      </c>
      <c r="X46" s="9" t="s">
        <v>552</v>
      </c>
      <c r="Y46" t="s">
        <v>478</v>
      </c>
      <c r="Z46" s="59" t="s">
        <v>43</v>
      </c>
      <c r="AA46" t="s">
        <v>559</v>
      </c>
      <c r="AB46" s="60" t="s">
        <v>415</v>
      </c>
      <c r="AC46" s="31">
        <v>53000</v>
      </c>
      <c r="AD46" t="s">
        <v>98</v>
      </c>
      <c r="AO46" t="s">
        <v>47</v>
      </c>
      <c r="AP46" s="60" t="s">
        <v>415</v>
      </c>
      <c r="AQ46" s="31">
        <v>53000</v>
      </c>
      <c r="AX46" t="s">
        <v>574</v>
      </c>
      <c r="AZ46" s="60" t="s">
        <v>398</v>
      </c>
      <c r="BA46">
        <v>1994</v>
      </c>
      <c r="BB46">
        <v>1998</v>
      </c>
      <c r="BL46" s="60"/>
      <c r="BM46" t="s">
        <v>563</v>
      </c>
      <c r="BN46" s="67" t="s">
        <v>561</v>
      </c>
      <c r="BO46" s="30"/>
      <c r="BQ46">
        <v>1995</v>
      </c>
      <c r="BR46" t="s">
        <v>560</v>
      </c>
      <c r="BS46" s="60" t="s">
        <v>416</v>
      </c>
      <c r="BT46" s="30" t="s">
        <v>572</v>
      </c>
      <c r="BU46" s="50" t="s">
        <v>28</v>
      </c>
      <c r="BV46" s="30"/>
      <c r="BX46" s="30" t="s">
        <v>31</v>
      </c>
      <c r="BY46" s="30" t="s">
        <v>31</v>
      </c>
      <c r="BZ46" s="30" t="s">
        <v>31</v>
      </c>
      <c r="CA46" s="30" t="s">
        <v>31</v>
      </c>
      <c r="CB46" s="30" t="s">
        <v>31</v>
      </c>
      <c r="CC46" s="30" t="s">
        <v>31</v>
      </c>
      <c r="CD46" s="30" t="s">
        <v>31</v>
      </c>
      <c r="CE46" s="30" t="s">
        <v>31</v>
      </c>
      <c r="CF46" s="30" t="s">
        <v>31</v>
      </c>
      <c r="CH46" s="50" t="s">
        <v>39</v>
      </c>
      <c r="CM46" s="66" t="s">
        <v>440</v>
      </c>
      <c r="CN46">
        <v>0</v>
      </c>
      <c r="CW46" s="30"/>
      <c r="DC46" s="67" t="s">
        <v>445</v>
      </c>
      <c r="DK46" s="72" t="s">
        <v>577</v>
      </c>
      <c r="DL46" s="56" t="s">
        <v>508</v>
      </c>
      <c r="DM46" s="30"/>
      <c r="DN46" s="30" t="s">
        <v>31</v>
      </c>
      <c r="DO46" s="30"/>
      <c r="DP46" s="30"/>
      <c r="DQ46" s="30"/>
      <c r="DR46" s="30"/>
      <c r="FC46" t="s">
        <v>154</v>
      </c>
      <c r="FD46" s="28" t="s">
        <v>615</v>
      </c>
      <c r="FE46">
        <v>42</v>
      </c>
      <c r="FG46" s="73" t="s">
        <v>582</v>
      </c>
      <c r="FH46" s="30" t="s">
        <v>608</v>
      </c>
      <c r="FQ46" t="s">
        <v>594</v>
      </c>
      <c r="FR46" t="s">
        <v>595</v>
      </c>
      <c r="FU46" s="57" t="s">
        <v>585</v>
      </c>
      <c r="FV46" t="s">
        <v>614</v>
      </c>
      <c r="FX46">
        <v>0</v>
      </c>
      <c r="FY46">
        <v>15</v>
      </c>
      <c r="GG46" t="s">
        <v>510</v>
      </c>
      <c r="GH46" s="8">
        <v>55</v>
      </c>
      <c r="GI46" s="6" t="s">
        <v>511</v>
      </c>
      <c r="GJ46" s="8">
        <v>21</v>
      </c>
      <c r="GM46">
        <v>4</v>
      </c>
      <c r="GN46" t="s">
        <v>610</v>
      </c>
      <c r="GO46" s="59" t="s">
        <v>154</v>
      </c>
      <c r="GP46">
        <v>1996</v>
      </c>
      <c r="GS46" s="71" t="s">
        <v>571</v>
      </c>
      <c r="GU46" t="s">
        <v>643</v>
      </c>
    </row>
    <row r="47" spans="1:203" ht="15" thickBot="1">
      <c r="A47" s="25" t="s">
        <v>550</v>
      </c>
      <c r="C47" t="s">
        <v>549</v>
      </c>
      <c r="E47" t="s">
        <v>16</v>
      </c>
      <c r="F47" s="6" t="s">
        <v>592</v>
      </c>
      <c r="G47" t="s">
        <v>591</v>
      </c>
      <c r="H47" s="6" t="s">
        <v>4</v>
      </c>
      <c r="I47" s="59" t="s">
        <v>154</v>
      </c>
      <c r="J47" s="59" t="s">
        <v>389</v>
      </c>
      <c r="K47" s="9">
        <v>0.1</v>
      </c>
      <c r="L47" s="9">
        <v>34.566667000000002</v>
      </c>
      <c r="M47" s="30" t="s">
        <v>31</v>
      </c>
      <c r="N47" t="s">
        <v>551</v>
      </c>
      <c r="O47">
        <v>100</v>
      </c>
      <c r="Q47">
        <v>4</v>
      </c>
      <c r="R47" t="s">
        <v>593</v>
      </c>
      <c r="S47">
        <v>1994</v>
      </c>
      <c r="T47">
        <v>1998</v>
      </c>
      <c r="U47" t="s">
        <v>590</v>
      </c>
      <c r="V47" t="s">
        <v>558</v>
      </c>
      <c r="W47" t="s">
        <v>588</v>
      </c>
      <c r="X47" s="9" t="s">
        <v>554</v>
      </c>
      <c r="Y47" t="s">
        <v>479</v>
      </c>
      <c r="Z47" s="59" t="s">
        <v>43</v>
      </c>
      <c r="AA47" t="s">
        <v>559</v>
      </c>
      <c r="AB47" s="60" t="s">
        <v>415</v>
      </c>
      <c r="AC47" s="31">
        <v>53000</v>
      </c>
      <c r="AD47" t="s">
        <v>98</v>
      </c>
      <c r="AO47" t="s">
        <v>47</v>
      </c>
      <c r="AP47" s="60" t="s">
        <v>415</v>
      </c>
      <c r="AQ47" s="31">
        <v>53000</v>
      </c>
      <c r="AX47" t="s">
        <v>574</v>
      </c>
      <c r="AZ47" s="60" t="s">
        <v>398</v>
      </c>
      <c r="BA47">
        <v>1994</v>
      </c>
      <c r="BB47">
        <v>1998</v>
      </c>
      <c r="BL47" s="60"/>
      <c r="BM47" t="s">
        <v>564</v>
      </c>
      <c r="BN47" s="67" t="s">
        <v>562</v>
      </c>
      <c r="BO47" s="30"/>
      <c r="BQ47">
        <v>1994</v>
      </c>
      <c r="BR47" t="s">
        <v>571</v>
      </c>
      <c r="BS47" s="60" t="s">
        <v>416</v>
      </c>
      <c r="BT47" s="30" t="s">
        <v>573</v>
      </c>
      <c r="BU47" s="50" t="s">
        <v>28</v>
      </c>
      <c r="BV47" s="30"/>
      <c r="BX47" s="30" t="s">
        <v>31</v>
      </c>
      <c r="BY47" s="30" t="s">
        <v>31</v>
      </c>
      <c r="BZ47" s="30" t="s">
        <v>31</v>
      </c>
      <c r="CA47" s="30" t="s">
        <v>31</v>
      </c>
      <c r="CB47" s="30" t="s">
        <v>31</v>
      </c>
      <c r="CC47" s="30" t="s">
        <v>31</v>
      </c>
      <c r="CD47" s="30" t="s">
        <v>31</v>
      </c>
      <c r="CE47" s="30" t="s">
        <v>31</v>
      </c>
      <c r="CF47" s="30" t="s">
        <v>31</v>
      </c>
      <c r="CH47" s="50" t="s">
        <v>39</v>
      </c>
      <c r="CM47" s="66" t="s">
        <v>440</v>
      </c>
      <c r="CN47">
        <v>0</v>
      </c>
      <c r="CW47" s="30"/>
      <c r="DC47" s="67" t="s">
        <v>445</v>
      </c>
      <c r="DK47" s="72" t="s">
        <v>577</v>
      </c>
      <c r="DL47" s="56" t="s">
        <v>508</v>
      </c>
      <c r="DM47" s="30"/>
      <c r="DN47" s="30" t="s">
        <v>31</v>
      </c>
      <c r="DO47" s="30"/>
      <c r="DP47" s="30"/>
      <c r="DQ47" s="30"/>
      <c r="DR47" s="30"/>
      <c r="FC47" t="s">
        <v>154</v>
      </c>
      <c r="FD47" s="29" t="s">
        <v>615</v>
      </c>
      <c r="FE47">
        <v>42</v>
      </c>
      <c r="FG47" s="73" t="s">
        <v>582</v>
      </c>
      <c r="FH47" s="30" t="s">
        <v>608</v>
      </c>
      <c r="FQ47" t="s">
        <v>594</v>
      </c>
      <c r="FR47" t="s">
        <v>595</v>
      </c>
      <c r="FU47" s="57" t="s">
        <v>585</v>
      </c>
      <c r="FV47" t="s">
        <v>614</v>
      </c>
      <c r="FX47">
        <v>0</v>
      </c>
      <c r="FY47">
        <v>15</v>
      </c>
      <c r="GG47" t="s">
        <v>510</v>
      </c>
      <c r="GH47" s="8">
        <v>111</v>
      </c>
      <c r="GI47" s="6" t="s">
        <v>511</v>
      </c>
      <c r="GJ47" s="8">
        <v>59</v>
      </c>
      <c r="GM47">
        <v>4</v>
      </c>
      <c r="GN47" t="s">
        <v>610</v>
      </c>
      <c r="GO47" s="59" t="s">
        <v>154</v>
      </c>
      <c r="GP47">
        <v>1996</v>
      </c>
      <c r="GS47" s="71" t="s">
        <v>571</v>
      </c>
      <c r="GU47" t="s">
        <v>643</v>
      </c>
    </row>
    <row r="48" spans="1:203" ht="15" thickBot="1">
      <c r="A48" s="25" t="s">
        <v>550</v>
      </c>
      <c r="C48" t="s">
        <v>549</v>
      </c>
      <c r="E48" t="s">
        <v>16</v>
      </c>
      <c r="F48" s="6" t="s">
        <v>592</v>
      </c>
      <c r="G48" t="s">
        <v>591</v>
      </c>
      <c r="H48" s="6" t="s">
        <v>4</v>
      </c>
      <c r="I48" s="59" t="s">
        <v>154</v>
      </c>
      <c r="J48" s="59" t="s">
        <v>389</v>
      </c>
      <c r="K48" s="9">
        <v>0.1</v>
      </c>
      <c r="L48" s="9">
        <v>34.566667000000002</v>
      </c>
      <c r="M48" s="30" t="s">
        <v>31</v>
      </c>
      <c r="N48" t="s">
        <v>551</v>
      </c>
      <c r="O48">
        <v>100</v>
      </c>
      <c r="Q48">
        <v>4</v>
      </c>
      <c r="R48" t="s">
        <v>593</v>
      </c>
      <c r="S48">
        <v>1994</v>
      </c>
      <c r="T48">
        <v>1998</v>
      </c>
      <c r="U48" t="s">
        <v>590</v>
      </c>
      <c r="V48" t="s">
        <v>558</v>
      </c>
      <c r="W48" t="s">
        <v>589</v>
      </c>
      <c r="X48" s="9" t="s">
        <v>553</v>
      </c>
      <c r="Y48" t="s">
        <v>480</v>
      </c>
      <c r="Z48" s="59" t="s">
        <v>43</v>
      </c>
      <c r="AA48" t="s">
        <v>559</v>
      </c>
      <c r="AB48" s="60" t="s">
        <v>415</v>
      </c>
      <c r="AC48" s="31">
        <v>53000</v>
      </c>
      <c r="AP48" s="60"/>
      <c r="AQ48" s="31"/>
      <c r="AX48" t="s">
        <v>574</v>
      </c>
      <c r="AZ48" s="60" t="s">
        <v>398</v>
      </c>
      <c r="BA48">
        <v>1994</v>
      </c>
      <c r="BB48">
        <v>1998</v>
      </c>
      <c r="BM48" t="s">
        <v>565</v>
      </c>
      <c r="BN48" s="49" t="s">
        <v>566</v>
      </c>
      <c r="BO48" s="30"/>
      <c r="BQ48">
        <v>1995</v>
      </c>
      <c r="BR48" t="s">
        <v>571</v>
      </c>
      <c r="BS48" s="60" t="s">
        <v>416</v>
      </c>
      <c r="BT48" s="30" t="s">
        <v>569</v>
      </c>
      <c r="BU48" s="30" t="s">
        <v>575</v>
      </c>
      <c r="BV48" s="30"/>
      <c r="CH48" s="50" t="s">
        <v>39</v>
      </c>
      <c r="CM48" s="66" t="s">
        <v>440</v>
      </c>
      <c r="CN48">
        <v>0</v>
      </c>
      <c r="CW48" s="30"/>
      <c r="DC48" s="67" t="s">
        <v>445</v>
      </c>
      <c r="DK48" s="67" t="s">
        <v>579</v>
      </c>
      <c r="DL48" s="30"/>
      <c r="DM48" s="30"/>
      <c r="DN48" s="30"/>
      <c r="DO48" s="30"/>
      <c r="DP48" s="30"/>
      <c r="DQ48" s="30"/>
      <c r="DR48" s="30"/>
      <c r="FC48" t="s">
        <v>154</v>
      </c>
      <c r="FD48" s="28" t="s">
        <v>615</v>
      </c>
      <c r="FE48">
        <v>42</v>
      </c>
      <c r="FG48" s="73" t="s">
        <v>582</v>
      </c>
      <c r="FH48" s="30" t="s">
        <v>608</v>
      </c>
      <c r="FQ48" t="s">
        <v>594</v>
      </c>
      <c r="FR48" t="s">
        <v>595</v>
      </c>
      <c r="FU48" s="57" t="s">
        <v>585</v>
      </c>
      <c r="FV48" t="s">
        <v>614</v>
      </c>
      <c r="FX48">
        <v>0</v>
      </c>
      <c r="FY48">
        <v>15</v>
      </c>
      <c r="GG48" t="s">
        <v>510</v>
      </c>
      <c r="GH48" s="8">
        <v>99</v>
      </c>
      <c r="GI48" s="6" t="s">
        <v>511</v>
      </c>
      <c r="GJ48" s="8">
        <v>34</v>
      </c>
      <c r="GM48">
        <v>4</v>
      </c>
      <c r="GN48" t="s">
        <v>610</v>
      </c>
      <c r="GO48" s="59" t="s">
        <v>154</v>
      </c>
      <c r="GP48">
        <v>1996</v>
      </c>
      <c r="GS48" s="71" t="s">
        <v>571</v>
      </c>
      <c r="GU48" t="s">
        <v>643</v>
      </c>
    </row>
    <row r="49" spans="1:203" ht="15" thickBot="1">
      <c r="A49" s="25" t="s">
        <v>550</v>
      </c>
      <c r="C49" t="s">
        <v>549</v>
      </c>
      <c r="E49" t="s">
        <v>16</v>
      </c>
      <c r="F49" s="6" t="s">
        <v>592</v>
      </c>
      <c r="G49" t="s">
        <v>591</v>
      </c>
      <c r="H49" s="6" t="s">
        <v>4</v>
      </c>
      <c r="I49" s="59" t="s">
        <v>154</v>
      </c>
      <c r="J49" s="59" t="s">
        <v>389</v>
      </c>
      <c r="K49" s="9">
        <v>0.1</v>
      </c>
      <c r="L49" s="9">
        <v>34.566667000000002</v>
      </c>
      <c r="M49" s="30" t="s">
        <v>31</v>
      </c>
      <c r="N49" t="s">
        <v>551</v>
      </c>
      <c r="O49">
        <v>100</v>
      </c>
      <c r="Q49">
        <v>4</v>
      </c>
      <c r="R49" t="s">
        <v>593</v>
      </c>
      <c r="S49">
        <v>1994</v>
      </c>
      <c r="T49">
        <v>1998</v>
      </c>
      <c r="U49" t="s">
        <v>590</v>
      </c>
      <c r="V49" t="s">
        <v>558</v>
      </c>
      <c r="W49" t="s">
        <v>589</v>
      </c>
      <c r="X49" s="9" t="s">
        <v>555</v>
      </c>
      <c r="Y49" t="s">
        <v>481</v>
      </c>
      <c r="Z49" s="59" t="s">
        <v>43</v>
      </c>
      <c r="AA49" t="s">
        <v>559</v>
      </c>
      <c r="AB49" s="60" t="s">
        <v>415</v>
      </c>
      <c r="AC49" s="31">
        <v>53000</v>
      </c>
      <c r="AP49" s="60"/>
      <c r="AQ49" s="31"/>
      <c r="AX49" t="s">
        <v>574</v>
      </c>
      <c r="AZ49" s="60" t="s">
        <v>398</v>
      </c>
      <c r="BA49">
        <v>1994</v>
      </c>
      <c r="BB49">
        <v>1998</v>
      </c>
      <c r="BM49" t="s">
        <v>567</v>
      </c>
      <c r="BN49" s="49" t="s">
        <v>568</v>
      </c>
      <c r="BO49" s="30"/>
      <c r="BQ49">
        <v>1994</v>
      </c>
      <c r="BR49" t="s">
        <v>571</v>
      </c>
      <c r="BS49" s="60" t="s">
        <v>416</v>
      </c>
      <c r="BT49" s="30" t="s">
        <v>569</v>
      </c>
      <c r="BU49" s="30" t="s">
        <v>575</v>
      </c>
      <c r="BV49" s="30"/>
      <c r="CH49" s="50" t="s">
        <v>39</v>
      </c>
      <c r="CM49" s="66" t="s">
        <v>440</v>
      </c>
      <c r="CN49">
        <v>0</v>
      </c>
      <c r="CW49" s="30"/>
      <c r="DC49" s="67" t="s">
        <v>445</v>
      </c>
      <c r="DK49" s="67" t="s">
        <v>579</v>
      </c>
      <c r="DO49" s="30"/>
      <c r="DP49" s="30"/>
      <c r="DQ49" s="30"/>
      <c r="DR49" s="30"/>
      <c r="FC49" t="s">
        <v>154</v>
      </c>
      <c r="FD49" s="29" t="s">
        <v>615</v>
      </c>
      <c r="FE49">
        <v>42</v>
      </c>
      <c r="FG49" s="73" t="s">
        <v>582</v>
      </c>
      <c r="FH49" s="30" t="s">
        <v>608</v>
      </c>
      <c r="FQ49" t="s">
        <v>594</v>
      </c>
      <c r="FR49" t="s">
        <v>595</v>
      </c>
      <c r="FU49" s="57" t="s">
        <v>585</v>
      </c>
      <c r="FV49" t="s">
        <v>614</v>
      </c>
      <c r="FX49">
        <v>0</v>
      </c>
      <c r="FY49">
        <v>15</v>
      </c>
      <c r="GG49" t="s">
        <v>510</v>
      </c>
      <c r="GH49" s="8">
        <v>125</v>
      </c>
      <c r="GI49" s="6" t="s">
        <v>511</v>
      </c>
      <c r="GJ49" s="8">
        <v>26</v>
      </c>
      <c r="GM49">
        <v>4</v>
      </c>
      <c r="GN49" t="s">
        <v>610</v>
      </c>
      <c r="GO49" s="59" t="s">
        <v>154</v>
      </c>
      <c r="GP49">
        <v>1996</v>
      </c>
      <c r="GS49" s="71" t="s">
        <v>571</v>
      </c>
      <c r="GU49" t="s">
        <v>643</v>
      </c>
    </row>
    <row r="50" spans="1:203" ht="15" thickBot="1">
      <c r="A50" s="25" t="s">
        <v>550</v>
      </c>
      <c r="C50" t="s">
        <v>549</v>
      </c>
      <c r="E50" t="s">
        <v>16</v>
      </c>
      <c r="F50" s="6" t="s">
        <v>592</v>
      </c>
      <c r="G50" t="s">
        <v>591</v>
      </c>
      <c r="H50" s="6" t="s">
        <v>4</v>
      </c>
      <c r="I50" s="59" t="s">
        <v>154</v>
      </c>
      <c r="J50" s="59" t="s">
        <v>389</v>
      </c>
      <c r="K50" s="9">
        <v>0.1</v>
      </c>
      <c r="L50" s="9">
        <v>34.566667000000002</v>
      </c>
      <c r="M50" s="30" t="s">
        <v>31</v>
      </c>
      <c r="N50" t="s">
        <v>551</v>
      </c>
      <c r="O50">
        <v>100</v>
      </c>
      <c r="Q50">
        <v>4</v>
      </c>
      <c r="R50" t="s">
        <v>593</v>
      </c>
      <c r="S50">
        <v>1994</v>
      </c>
      <c r="T50">
        <v>1998</v>
      </c>
      <c r="U50" t="s">
        <v>590</v>
      </c>
      <c r="V50" t="s">
        <v>36</v>
      </c>
      <c r="W50" t="s">
        <v>36</v>
      </c>
      <c r="X50" s="9" t="s">
        <v>556</v>
      </c>
      <c r="Y50" t="s">
        <v>476</v>
      </c>
      <c r="Z50" s="59" t="s">
        <v>43</v>
      </c>
      <c r="AA50" t="s">
        <v>559</v>
      </c>
      <c r="AB50" s="60" t="s">
        <v>415</v>
      </c>
      <c r="AC50" s="31">
        <v>53000</v>
      </c>
      <c r="AX50" t="s">
        <v>574</v>
      </c>
      <c r="AZ50" s="60" t="s">
        <v>398</v>
      </c>
      <c r="BA50">
        <v>1994</v>
      </c>
      <c r="BB50">
        <v>1998</v>
      </c>
      <c r="BM50" t="s">
        <v>569</v>
      </c>
      <c r="BN50" s="49" t="s">
        <v>36</v>
      </c>
      <c r="BO50" s="30"/>
      <c r="BS50" s="60" t="s">
        <v>416</v>
      </c>
      <c r="BT50" s="30" t="s">
        <v>569</v>
      </c>
      <c r="BU50" s="30" t="s">
        <v>575</v>
      </c>
      <c r="BV50" s="30"/>
      <c r="CH50" s="50" t="s">
        <v>39</v>
      </c>
      <c r="CM50" s="66" t="s">
        <v>440</v>
      </c>
      <c r="CN50">
        <v>0</v>
      </c>
      <c r="CW50" s="30"/>
      <c r="DC50" s="67" t="s">
        <v>445</v>
      </c>
      <c r="DK50" s="67" t="s">
        <v>579</v>
      </c>
      <c r="DO50" s="30"/>
      <c r="DP50" s="30"/>
      <c r="DQ50" s="30"/>
      <c r="DR50" s="30"/>
      <c r="FD50" s="28" t="s">
        <v>615</v>
      </c>
      <c r="FE50">
        <v>42</v>
      </c>
      <c r="FG50" s="73" t="s">
        <v>582</v>
      </c>
      <c r="FH50" s="30" t="s">
        <v>608</v>
      </c>
      <c r="FQ50" t="s">
        <v>594</v>
      </c>
      <c r="FR50" t="s">
        <v>595</v>
      </c>
      <c r="FU50" s="57" t="s">
        <v>585</v>
      </c>
      <c r="FV50" t="s">
        <v>614</v>
      </c>
      <c r="FX50">
        <v>0</v>
      </c>
      <c r="FY50">
        <v>15</v>
      </c>
      <c r="GF50" t="s">
        <v>514</v>
      </c>
      <c r="GG50" t="s">
        <v>510</v>
      </c>
      <c r="GH50" s="8">
        <v>57</v>
      </c>
      <c r="GI50" s="6" t="s">
        <v>511</v>
      </c>
      <c r="GJ50" s="8">
        <v>7</v>
      </c>
      <c r="GM50">
        <v>4</v>
      </c>
      <c r="GN50" t="s">
        <v>610</v>
      </c>
      <c r="GO50" s="59" t="s">
        <v>154</v>
      </c>
      <c r="GP50">
        <v>1996</v>
      </c>
      <c r="GS50" s="71" t="s">
        <v>571</v>
      </c>
      <c r="GU50" t="s">
        <v>643</v>
      </c>
    </row>
    <row r="51" spans="1:203" ht="15" thickBot="1">
      <c r="A51" s="25" t="s">
        <v>550</v>
      </c>
      <c r="C51" t="s">
        <v>549</v>
      </c>
      <c r="E51" t="s">
        <v>16</v>
      </c>
      <c r="F51" s="6" t="s">
        <v>592</v>
      </c>
      <c r="G51" t="s">
        <v>591</v>
      </c>
      <c r="H51" s="6" t="s">
        <v>4</v>
      </c>
      <c r="I51" s="59" t="s">
        <v>154</v>
      </c>
      <c r="J51" s="59" t="s">
        <v>389</v>
      </c>
      <c r="K51" s="9">
        <v>0.1</v>
      </c>
      <c r="L51" s="9">
        <v>34.566667000000002</v>
      </c>
      <c r="M51" s="30" t="s">
        <v>31</v>
      </c>
      <c r="N51" t="s">
        <v>551</v>
      </c>
      <c r="O51">
        <v>100</v>
      </c>
      <c r="Q51">
        <v>4</v>
      </c>
      <c r="R51" t="s">
        <v>593</v>
      </c>
      <c r="S51">
        <v>1994</v>
      </c>
      <c r="T51">
        <v>1998</v>
      </c>
      <c r="U51" t="s">
        <v>590</v>
      </c>
      <c r="V51" t="s">
        <v>36</v>
      </c>
      <c r="W51" t="s">
        <v>36</v>
      </c>
      <c r="X51" s="9" t="s">
        <v>557</v>
      </c>
      <c r="Y51" t="s">
        <v>477</v>
      </c>
      <c r="Z51" s="59" t="s">
        <v>43</v>
      </c>
      <c r="AA51" t="s">
        <v>559</v>
      </c>
      <c r="AB51" s="60" t="s">
        <v>415</v>
      </c>
      <c r="AC51" s="31">
        <v>53000</v>
      </c>
      <c r="AX51" t="s">
        <v>574</v>
      </c>
      <c r="AZ51" s="60" t="s">
        <v>398</v>
      </c>
      <c r="BA51">
        <v>1994</v>
      </c>
      <c r="BB51">
        <v>1998</v>
      </c>
      <c r="BM51" t="s">
        <v>570</v>
      </c>
      <c r="BN51" s="49" t="s">
        <v>36</v>
      </c>
      <c r="BO51" s="30"/>
      <c r="BS51" s="60" t="s">
        <v>416</v>
      </c>
      <c r="BT51" s="30" t="s">
        <v>576</v>
      </c>
      <c r="BU51" s="30" t="s">
        <v>575</v>
      </c>
      <c r="BV51" s="30"/>
      <c r="CG51" t="s">
        <v>570</v>
      </c>
      <c r="CH51" t="s">
        <v>37</v>
      </c>
      <c r="CI51" s="65" t="s">
        <v>439</v>
      </c>
      <c r="CM51" s="66" t="s">
        <v>440</v>
      </c>
      <c r="CN51">
        <v>60</v>
      </c>
      <c r="CQ51">
        <v>60</v>
      </c>
      <c r="CW51" s="30"/>
      <c r="DC51" s="67" t="s">
        <v>445</v>
      </c>
      <c r="DK51" s="67" t="s">
        <v>579</v>
      </c>
      <c r="DO51" s="30"/>
      <c r="DP51" s="30"/>
      <c r="DQ51" s="30"/>
      <c r="DR51" s="30"/>
      <c r="FD51" s="29" t="s">
        <v>615</v>
      </c>
      <c r="FE51">
        <v>42</v>
      </c>
      <c r="FG51" s="73" t="s">
        <v>582</v>
      </c>
      <c r="FH51" s="30" t="s">
        <v>608</v>
      </c>
      <c r="FQ51" t="s">
        <v>594</v>
      </c>
      <c r="FR51" t="s">
        <v>595</v>
      </c>
      <c r="FU51" s="57" t="s">
        <v>585</v>
      </c>
      <c r="FV51" t="s">
        <v>614</v>
      </c>
      <c r="FX51">
        <v>0</v>
      </c>
      <c r="FY51">
        <v>15</v>
      </c>
      <c r="GF51" t="s">
        <v>587</v>
      </c>
      <c r="GG51" t="s">
        <v>510</v>
      </c>
      <c r="GH51" s="8">
        <v>37</v>
      </c>
      <c r="GI51" s="6" t="s">
        <v>511</v>
      </c>
      <c r="GJ51" s="8">
        <v>10</v>
      </c>
      <c r="GM51">
        <v>4</v>
      </c>
      <c r="GN51" t="s">
        <v>610</v>
      </c>
      <c r="GO51" s="59" t="s">
        <v>154</v>
      </c>
      <c r="GP51">
        <v>1996</v>
      </c>
      <c r="GS51" s="71" t="s">
        <v>571</v>
      </c>
      <c r="GU51" t="s">
        <v>643</v>
      </c>
    </row>
    <row r="52" spans="1:203" ht="15" thickBot="1">
      <c r="A52" s="25" t="s">
        <v>550</v>
      </c>
      <c r="C52" t="s">
        <v>549</v>
      </c>
      <c r="E52" t="s">
        <v>16</v>
      </c>
      <c r="F52" s="6" t="s">
        <v>592</v>
      </c>
      <c r="G52" t="s">
        <v>591</v>
      </c>
      <c r="H52" s="6" t="s">
        <v>4</v>
      </c>
      <c r="I52" s="59" t="s">
        <v>154</v>
      </c>
      <c r="J52" s="59" t="s">
        <v>389</v>
      </c>
      <c r="K52" s="9">
        <v>0.1</v>
      </c>
      <c r="L52" s="9">
        <v>34.566667000000002</v>
      </c>
      <c r="M52" s="30" t="s">
        <v>31</v>
      </c>
      <c r="N52" t="s">
        <v>551</v>
      </c>
      <c r="O52">
        <v>100</v>
      </c>
      <c r="Q52">
        <v>4</v>
      </c>
      <c r="R52" t="s">
        <v>593</v>
      </c>
      <c r="S52">
        <v>1994</v>
      </c>
      <c r="T52">
        <v>1998</v>
      </c>
      <c r="U52" t="s">
        <v>590</v>
      </c>
      <c r="V52" t="s">
        <v>558</v>
      </c>
      <c r="W52" t="s">
        <v>588</v>
      </c>
      <c r="X52" s="9" t="s">
        <v>552</v>
      </c>
      <c r="Y52" t="s">
        <v>478</v>
      </c>
      <c r="Z52" s="59" t="s">
        <v>43</v>
      </c>
      <c r="AA52" t="s">
        <v>559</v>
      </c>
      <c r="AB52" s="60" t="s">
        <v>415</v>
      </c>
      <c r="AC52" s="31">
        <v>53000</v>
      </c>
      <c r="AD52" t="s">
        <v>98</v>
      </c>
      <c r="AO52" t="s">
        <v>47</v>
      </c>
      <c r="AP52" s="60" t="s">
        <v>415</v>
      </c>
      <c r="AQ52" s="31">
        <v>53000</v>
      </c>
      <c r="AX52" t="s">
        <v>574</v>
      </c>
      <c r="AZ52" s="60" t="s">
        <v>398</v>
      </c>
      <c r="BA52">
        <v>1994</v>
      </c>
      <c r="BB52">
        <v>1998</v>
      </c>
      <c r="BL52" s="60"/>
      <c r="BM52" t="s">
        <v>563</v>
      </c>
      <c r="BN52" s="67" t="s">
        <v>561</v>
      </c>
      <c r="BO52" s="30"/>
      <c r="BQ52">
        <v>1995</v>
      </c>
      <c r="BR52" t="s">
        <v>560</v>
      </c>
      <c r="BS52" s="60" t="s">
        <v>416</v>
      </c>
      <c r="BT52" s="30" t="s">
        <v>572</v>
      </c>
      <c r="BU52" s="50" t="s">
        <v>28</v>
      </c>
      <c r="BV52" s="30"/>
      <c r="BX52" s="30" t="s">
        <v>31</v>
      </c>
      <c r="BY52" s="30" t="s">
        <v>31</v>
      </c>
      <c r="BZ52" s="30" t="s">
        <v>31</v>
      </c>
      <c r="CA52" s="30" t="s">
        <v>31</v>
      </c>
      <c r="CB52" s="30" t="s">
        <v>31</v>
      </c>
      <c r="CC52" s="30" t="s">
        <v>31</v>
      </c>
      <c r="CD52" s="30" t="s">
        <v>31</v>
      </c>
      <c r="CE52" s="30" t="s">
        <v>31</v>
      </c>
      <c r="CF52" s="30" t="s">
        <v>31</v>
      </c>
      <c r="CH52" s="50" t="s">
        <v>39</v>
      </c>
      <c r="CM52" s="66" t="s">
        <v>440</v>
      </c>
      <c r="CN52">
        <v>0</v>
      </c>
      <c r="CW52" s="30"/>
      <c r="DC52" s="67" t="s">
        <v>445</v>
      </c>
      <c r="DK52" s="72" t="s">
        <v>577</v>
      </c>
      <c r="DL52" s="56" t="s">
        <v>508</v>
      </c>
      <c r="DM52" s="30"/>
      <c r="DN52" s="30" t="s">
        <v>31</v>
      </c>
      <c r="DO52" s="30"/>
      <c r="DP52" s="30"/>
      <c r="DQ52" s="30"/>
      <c r="DR52" s="30"/>
      <c r="FC52" t="s">
        <v>154</v>
      </c>
      <c r="FD52" s="28" t="s">
        <v>615</v>
      </c>
      <c r="FE52">
        <v>42</v>
      </c>
      <c r="FG52" s="73" t="s">
        <v>582</v>
      </c>
      <c r="FH52" s="30" t="s">
        <v>608</v>
      </c>
      <c r="FQ52" t="s">
        <v>594</v>
      </c>
      <c r="FR52" t="s">
        <v>595</v>
      </c>
      <c r="FU52" s="57" t="s">
        <v>585</v>
      </c>
      <c r="FV52" t="s">
        <v>614</v>
      </c>
      <c r="FX52">
        <v>15</v>
      </c>
      <c r="FY52">
        <v>30</v>
      </c>
      <c r="GG52" t="s">
        <v>510</v>
      </c>
      <c r="GH52" s="8">
        <v>41</v>
      </c>
      <c r="GI52" s="6" t="s">
        <v>511</v>
      </c>
      <c r="GJ52" s="8">
        <v>6</v>
      </c>
      <c r="GM52">
        <v>4</v>
      </c>
      <c r="GN52" t="s">
        <v>611</v>
      </c>
      <c r="GO52" s="59" t="s">
        <v>154</v>
      </c>
      <c r="GP52">
        <v>1996</v>
      </c>
      <c r="GS52" s="71" t="s">
        <v>560</v>
      </c>
      <c r="GU52" t="s">
        <v>643</v>
      </c>
    </row>
    <row r="53" spans="1:203" ht="15" thickBot="1">
      <c r="A53" s="25" t="s">
        <v>550</v>
      </c>
      <c r="C53" t="s">
        <v>549</v>
      </c>
      <c r="E53" t="s">
        <v>16</v>
      </c>
      <c r="F53" s="6" t="s">
        <v>592</v>
      </c>
      <c r="G53" t="s">
        <v>591</v>
      </c>
      <c r="H53" s="6" t="s">
        <v>4</v>
      </c>
      <c r="I53" s="59" t="s">
        <v>154</v>
      </c>
      <c r="J53" s="59" t="s">
        <v>389</v>
      </c>
      <c r="K53" s="9">
        <v>0.1</v>
      </c>
      <c r="L53" s="9">
        <v>34.566667000000002</v>
      </c>
      <c r="M53" s="30" t="s">
        <v>31</v>
      </c>
      <c r="N53" t="s">
        <v>551</v>
      </c>
      <c r="O53">
        <v>100</v>
      </c>
      <c r="Q53">
        <v>4</v>
      </c>
      <c r="R53" t="s">
        <v>593</v>
      </c>
      <c r="S53">
        <v>1994</v>
      </c>
      <c r="T53">
        <v>1998</v>
      </c>
      <c r="U53" t="s">
        <v>590</v>
      </c>
      <c r="V53" t="s">
        <v>558</v>
      </c>
      <c r="W53" t="s">
        <v>588</v>
      </c>
      <c r="X53" s="9" t="s">
        <v>554</v>
      </c>
      <c r="Y53" t="s">
        <v>479</v>
      </c>
      <c r="Z53" s="59" t="s">
        <v>43</v>
      </c>
      <c r="AA53" t="s">
        <v>559</v>
      </c>
      <c r="AB53" s="60" t="s">
        <v>415</v>
      </c>
      <c r="AC53" s="31">
        <v>53000</v>
      </c>
      <c r="AD53" t="s">
        <v>98</v>
      </c>
      <c r="AO53" t="s">
        <v>47</v>
      </c>
      <c r="AP53" s="60" t="s">
        <v>415</v>
      </c>
      <c r="AQ53" s="31">
        <v>53000</v>
      </c>
      <c r="AX53" t="s">
        <v>574</v>
      </c>
      <c r="AZ53" s="60" t="s">
        <v>398</v>
      </c>
      <c r="BA53">
        <v>1994</v>
      </c>
      <c r="BB53">
        <v>1998</v>
      </c>
      <c r="BL53" s="60"/>
      <c r="BM53" t="s">
        <v>564</v>
      </c>
      <c r="BN53" s="67" t="s">
        <v>562</v>
      </c>
      <c r="BO53" s="30"/>
      <c r="BQ53">
        <v>1994</v>
      </c>
      <c r="BR53" t="s">
        <v>571</v>
      </c>
      <c r="BS53" s="60" t="s">
        <v>416</v>
      </c>
      <c r="BT53" s="30" t="s">
        <v>573</v>
      </c>
      <c r="BU53" s="50" t="s">
        <v>28</v>
      </c>
      <c r="BV53" s="30"/>
      <c r="BX53" s="30" t="s">
        <v>31</v>
      </c>
      <c r="BY53" s="30" t="s">
        <v>31</v>
      </c>
      <c r="BZ53" s="30" t="s">
        <v>31</v>
      </c>
      <c r="CA53" s="30" t="s">
        <v>31</v>
      </c>
      <c r="CB53" s="30" t="s">
        <v>31</v>
      </c>
      <c r="CC53" s="30" t="s">
        <v>31</v>
      </c>
      <c r="CD53" s="30" t="s">
        <v>31</v>
      </c>
      <c r="CE53" s="30" t="s">
        <v>31</v>
      </c>
      <c r="CF53" s="30" t="s">
        <v>31</v>
      </c>
      <c r="CH53" s="50" t="s">
        <v>39</v>
      </c>
      <c r="CM53" s="66" t="s">
        <v>440</v>
      </c>
      <c r="CN53">
        <v>0</v>
      </c>
      <c r="CW53" s="30"/>
      <c r="DC53" s="67" t="s">
        <v>445</v>
      </c>
      <c r="DK53" s="72" t="s">
        <v>577</v>
      </c>
      <c r="DL53" s="56" t="s">
        <v>508</v>
      </c>
      <c r="DM53" s="30"/>
      <c r="DN53" s="30" t="s">
        <v>31</v>
      </c>
      <c r="DO53" s="30"/>
      <c r="DP53" s="30"/>
      <c r="DQ53" s="30"/>
      <c r="DR53" s="30"/>
      <c r="FC53" t="s">
        <v>154</v>
      </c>
      <c r="FD53" s="29" t="s">
        <v>615</v>
      </c>
      <c r="FE53">
        <v>42</v>
      </c>
      <c r="FG53" s="73" t="s">
        <v>582</v>
      </c>
      <c r="FH53" s="30" t="s">
        <v>608</v>
      </c>
      <c r="FQ53" t="s">
        <v>594</v>
      </c>
      <c r="FR53" t="s">
        <v>595</v>
      </c>
      <c r="FU53" s="57" t="s">
        <v>585</v>
      </c>
      <c r="FV53" t="s">
        <v>614</v>
      </c>
      <c r="FX53">
        <v>15</v>
      </c>
      <c r="FY53">
        <v>30</v>
      </c>
      <c r="GG53" t="s">
        <v>510</v>
      </c>
      <c r="GH53" s="8">
        <v>16</v>
      </c>
      <c r="GI53" s="6" t="s">
        <v>511</v>
      </c>
      <c r="GJ53" s="8">
        <v>4</v>
      </c>
      <c r="GM53">
        <v>4</v>
      </c>
      <c r="GN53" t="s">
        <v>611</v>
      </c>
      <c r="GO53" s="59" t="s">
        <v>154</v>
      </c>
      <c r="GP53">
        <v>1996</v>
      </c>
      <c r="GS53" s="71" t="s">
        <v>560</v>
      </c>
      <c r="GU53" t="s">
        <v>643</v>
      </c>
    </row>
    <row r="54" spans="1:203" ht="15" thickBot="1">
      <c r="A54" s="25" t="s">
        <v>550</v>
      </c>
      <c r="C54" t="s">
        <v>549</v>
      </c>
      <c r="E54" t="s">
        <v>16</v>
      </c>
      <c r="F54" s="6" t="s">
        <v>592</v>
      </c>
      <c r="G54" t="s">
        <v>591</v>
      </c>
      <c r="H54" s="6" t="s">
        <v>4</v>
      </c>
      <c r="I54" s="59" t="s">
        <v>154</v>
      </c>
      <c r="J54" s="59" t="s">
        <v>389</v>
      </c>
      <c r="K54" s="9">
        <v>0.1</v>
      </c>
      <c r="L54" s="9">
        <v>34.566667000000002</v>
      </c>
      <c r="M54" s="30" t="s">
        <v>31</v>
      </c>
      <c r="N54" t="s">
        <v>551</v>
      </c>
      <c r="O54">
        <v>100</v>
      </c>
      <c r="Q54">
        <v>4</v>
      </c>
      <c r="R54" t="s">
        <v>593</v>
      </c>
      <c r="S54">
        <v>1994</v>
      </c>
      <c r="T54">
        <v>1998</v>
      </c>
      <c r="U54" t="s">
        <v>590</v>
      </c>
      <c r="V54" t="s">
        <v>558</v>
      </c>
      <c r="W54" t="s">
        <v>589</v>
      </c>
      <c r="X54" s="9" t="s">
        <v>553</v>
      </c>
      <c r="Y54" t="s">
        <v>480</v>
      </c>
      <c r="Z54" s="59" t="s">
        <v>43</v>
      </c>
      <c r="AA54" t="s">
        <v>559</v>
      </c>
      <c r="AB54" s="60" t="s">
        <v>415</v>
      </c>
      <c r="AC54" s="31">
        <v>53000</v>
      </c>
      <c r="AP54" s="60"/>
      <c r="AQ54" s="31"/>
      <c r="AX54" t="s">
        <v>574</v>
      </c>
      <c r="AZ54" s="60" t="s">
        <v>398</v>
      </c>
      <c r="BA54">
        <v>1994</v>
      </c>
      <c r="BB54">
        <v>1998</v>
      </c>
      <c r="BM54" t="s">
        <v>565</v>
      </c>
      <c r="BN54" s="49" t="s">
        <v>566</v>
      </c>
      <c r="BO54" s="30"/>
      <c r="BQ54">
        <v>1995</v>
      </c>
      <c r="BR54" t="s">
        <v>571</v>
      </c>
      <c r="BS54" s="60" t="s">
        <v>416</v>
      </c>
      <c r="BT54" s="30" t="s">
        <v>569</v>
      </c>
      <c r="BU54" s="30" t="s">
        <v>575</v>
      </c>
      <c r="BV54" s="30"/>
      <c r="CH54" s="50" t="s">
        <v>39</v>
      </c>
      <c r="CM54" s="66" t="s">
        <v>440</v>
      </c>
      <c r="CN54">
        <v>0</v>
      </c>
      <c r="CW54" s="30"/>
      <c r="DC54" s="67" t="s">
        <v>445</v>
      </c>
      <c r="DK54" s="67" t="s">
        <v>579</v>
      </c>
      <c r="DL54" s="30"/>
      <c r="DM54" s="30"/>
      <c r="DN54" s="30"/>
      <c r="DO54" s="30"/>
      <c r="DP54" s="30"/>
      <c r="DQ54" s="30"/>
      <c r="DR54" s="30"/>
      <c r="FC54" t="s">
        <v>154</v>
      </c>
      <c r="FD54" s="28" t="s">
        <v>615</v>
      </c>
      <c r="FE54">
        <v>42</v>
      </c>
      <c r="FG54" s="73" t="s">
        <v>582</v>
      </c>
      <c r="FH54" s="30" t="s">
        <v>608</v>
      </c>
      <c r="FQ54" t="s">
        <v>594</v>
      </c>
      <c r="FR54" t="s">
        <v>595</v>
      </c>
      <c r="FU54" s="57" t="s">
        <v>585</v>
      </c>
      <c r="FV54" t="s">
        <v>614</v>
      </c>
      <c r="FX54">
        <v>15</v>
      </c>
      <c r="FY54">
        <v>30</v>
      </c>
      <c r="GG54" t="s">
        <v>510</v>
      </c>
      <c r="GH54" s="8">
        <v>31</v>
      </c>
      <c r="GI54" s="6" t="s">
        <v>511</v>
      </c>
      <c r="GJ54" s="8">
        <v>15</v>
      </c>
      <c r="GM54">
        <v>4</v>
      </c>
      <c r="GN54" t="s">
        <v>611</v>
      </c>
      <c r="GO54" s="59" t="s">
        <v>154</v>
      </c>
      <c r="GP54">
        <v>1996</v>
      </c>
      <c r="GS54" s="71" t="s">
        <v>560</v>
      </c>
      <c r="GU54" t="s">
        <v>643</v>
      </c>
    </row>
    <row r="55" spans="1:203" ht="15" thickBot="1">
      <c r="A55" s="25" t="s">
        <v>550</v>
      </c>
      <c r="C55" t="s">
        <v>549</v>
      </c>
      <c r="E55" t="s">
        <v>16</v>
      </c>
      <c r="F55" s="6" t="s">
        <v>592</v>
      </c>
      <c r="G55" t="s">
        <v>591</v>
      </c>
      <c r="H55" s="6" t="s">
        <v>4</v>
      </c>
      <c r="I55" s="59" t="s">
        <v>154</v>
      </c>
      <c r="J55" s="59" t="s">
        <v>389</v>
      </c>
      <c r="K55" s="9">
        <v>0.1</v>
      </c>
      <c r="L55" s="9">
        <v>34.566667000000002</v>
      </c>
      <c r="M55" s="30" t="s">
        <v>31</v>
      </c>
      <c r="N55" t="s">
        <v>551</v>
      </c>
      <c r="O55">
        <v>100</v>
      </c>
      <c r="Q55">
        <v>4</v>
      </c>
      <c r="R55" t="s">
        <v>593</v>
      </c>
      <c r="S55">
        <v>1994</v>
      </c>
      <c r="T55">
        <v>1998</v>
      </c>
      <c r="U55" t="s">
        <v>590</v>
      </c>
      <c r="V55" t="s">
        <v>558</v>
      </c>
      <c r="W55" t="s">
        <v>589</v>
      </c>
      <c r="X55" s="9" t="s">
        <v>555</v>
      </c>
      <c r="Y55" t="s">
        <v>481</v>
      </c>
      <c r="Z55" s="59" t="s">
        <v>43</v>
      </c>
      <c r="AA55" t="s">
        <v>559</v>
      </c>
      <c r="AB55" s="60" t="s">
        <v>415</v>
      </c>
      <c r="AC55" s="31">
        <v>53000</v>
      </c>
      <c r="AP55" s="60"/>
      <c r="AQ55" s="31"/>
      <c r="AX55" t="s">
        <v>574</v>
      </c>
      <c r="AZ55" s="60" t="s">
        <v>398</v>
      </c>
      <c r="BA55">
        <v>1994</v>
      </c>
      <c r="BB55">
        <v>1998</v>
      </c>
      <c r="BM55" t="s">
        <v>567</v>
      </c>
      <c r="BN55" s="49" t="s">
        <v>568</v>
      </c>
      <c r="BO55" s="30"/>
      <c r="BQ55">
        <v>1994</v>
      </c>
      <c r="BR55" t="s">
        <v>571</v>
      </c>
      <c r="BS55" s="60" t="s">
        <v>416</v>
      </c>
      <c r="BT55" s="30" t="s">
        <v>569</v>
      </c>
      <c r="BU55" s="30" t="s">
        <v>575</v>
      </c>
      <c r="BV55" s="30"/>
      <c r="CH55" s="50" t="s">
        <v>39</v>
      </c>
      <c r="CM55" s="66" t="s">
        <v>440</v>
      </c>
      <c r="CN55">
        <v>0</v>
      </c>
      <c r="CW55" s="30"/>
      <c r="DC55" s="67" t="s">
        <v>445</v>
      </c>
      <c r="DK55" s="67" t="s">
        <v>579</v>
      </c>
      <c r="DO55" s="30"/>
      <c r="DP55" s="30"/>
      <c r="DQ55" s="30"/>
      <c r="DR55" s="30"/>
      <c r="FC55" t="s">
        <v>154</v>
      </c>
      <c r="FD55" s="29" t="s">
        <v>615</v>
      </c>
      <c r="FE55">
        <v>42</v>
      </c>
      <c r="FG55" s="73" t="s">
        <v>582</v>
      </c>
      <c r="FH55" s="30" t="s">
        <v>608</v>
      </c>
      <c r="FQ55" t="s">
        <v>594</v>
      </c>
      <c r="FR55" t="s">
        <v>595</v>
      </c>
      <c r="FU55" s="57" t="s">
        <v>585</v>
      </c>
      <c r="FV55" t="s">
        <v>614</v>
      </c>
      <c r="FX55">
        <v>15</v>
      </c>
      <c r="FY55">
        <v>30</v>
      </c>
      <c r="GG55" t="s">
        <v>510</v>
      </c>
      <c r="GH55" s="8">
        <v>58</v>
      </c>
      <c r="GI55" s="6" t="s">
        <v>511</v>
      </c>
      <c r="GJ55" s="8">
        <v>17</v>
      </c>
      <c r="GM55">
        <v>4</v>
      </c>
      <c r="GN55" t="s">
        <v>611</v>
      </c>
      <c r="GO55" s="59" t="s">
        <v>154</v>
      </c>
      <c r="GP55">
        <v>1996</v>
      </c>
      <c r="GS55" s="71" t="s">
        <v>560</v>
      </c>
      <c r="GU55" t="s">
        <v>643</v>
      </c>
    </row>
    <row r="56" spans="1:203" ht="15" thickBot="1">
      <c r="A56" s="25" t="s">
        <v>550</v>
      </c>
      <c r="C56" t="s">
        <v>549</v>
      </c>
      <c r="E56" t="s">
        <v>16</v>
      </c>
      <c r="F56" s="6" t="s">
        <v>592</v>
      </c>
      <c r="G56" t="s">
        <v>591</v>
      </c>
      <c r="H56" s="6" t="s">
        <v>4</v>
      </c>
      <c r="I56" s="59" t="s">
        <v>154</v>
      </c>
      <c r="J56" s="59" t="s">
        <v>389</v>
      </c>
      <c r="K56" s="9">
        <v>0.1</v>
      </c>
      <c r="L56" s="9">
        <v>34.566667000000002</v>
      </c>
      <c r="M56" s="30" t="s">
        <v>31</v>
      </c>
      <c r="N56" t="s">
        <v>551</v>
      </c>
      <c r="O56">
        <v>100</v>
      </c>
      <c r="Q56">
        <v>4</v>
      </c>
      <c r="R56" t="s">
        <v>593</v>
      </c>
      <c r="S56">
        <v>1994</v>
      </c>
      <c r="T56">
        <v>1998</v>
      </c>
      <c r="U56" t="s">
        <v>590</v>
      </c>
      <c r="V56" t="s">
        <v>36</v>
      </c>
      <c r="W56" t="s">
        <v>36</v>
      </c>
      <c r="X56" s="9" t="s">
        <v>556</v>
      </c>
      <c r="Y56" t="s">
        <v>476</v>
      </c>
      <c r="Z56" s="59" t="s">
        <v>43</v>
      </c>
      <c r="AA56" t="s">
        <v>559</v>
      </c>
      <c r="AB56" s="60" t="s">
        <v>415</v>
      </c>
      <c r="AC56" s="31">
        <v>53000</v>
      </c>
      <c r="AX56" t="s">
        <v>574</v>
      </c>
      <c r="AZ56" s="60" t="s">
        <v>398</v>
      </c>
      <c r="BA56">
        <v>1994</v>
      </c>
      <c r="BB56">
        <v>1998</v>
      </c>
      <c r="BM56" t="s">
        <v>569</v>
      </c>
      <c r="BN56" s="49" t="s">
        <v>36</v>
      </c>
      <c r="BO56" s="30"/>
      <c r="BS56" s="60" t="s">
        <v>416</v>
      </c>
      <c r="BT56" s="30" t="s">
        <v>569</v>
      </c>
      <c r="BU56" s="30" t="s">
        <v>575</v>
      </c>
      <c r="BV56" s="30"/>
      <c r="CH56" s="50" t="s">
        <v>39</v>
      </c>
      <c r="CM56" s="66" t="s">
        <v>440</v>
      </c>
      <c r="CN56">
        <v>0</v>
      </c>
      <c r="CW56" s="30"/>
      <c r="DC56" s="67" t="s">
        <v>445</v>
      </c>
      <c r="DK56" s="67" t="s">
        <v>579</v>
      </c>
      <c r="DO56" s="30"/>
      <c r="DP56" s="30"/>
      <c r="DQ56" s="30"/>
      <c r="DR56" s="30"/>
      <c r="FD56" s="28" t="s">
        <v>615</v>
      </c>
      <c r="FE56">
        <v>42</v>
      </c>
      <c r="FG56" s="73" t="s">
        <v>582</v>
      </c>
      <c r="FH56" s="30" t="s">
        <v>608</v>
      </c>
      <c r="FQ56" t="s">
        <v>594</v>
      </c>
      <c r="FR56" t="s">
        <v>595</v>
      </c>
      <c r="FU56" s="57" t="s">
        <v>585</v>
      </c>
      <c r="FV56" t="s">
        <v>614</v>
      </c>
      <c r="FX56">
        <v>15</v>
      </c>
      <c r="FY56">
        <v>30</v>
      </c>
      <c r="GF56" t="s">
        <v>514</v>
      </c>
      <c r="GG56" t="s">
        <v>510</v>
      </c>
      <c r="GH56" s="8">
        <v>38</v>
      </c>
      <c r="GI56" s="6" t="s">
        <v>511</v>
      </c>
      <c r="GJ56" s="8">
        <v>2</v>
      </c>
      <c r="GM56">
        <v>4</v>
      </c>
      <c r="GN56" t="s">
        <v>611</v>
      </c>
      <c r="GO56" s="59" t="s">
        <v>154</v>
      </c>
      <c r="GP56">
        <v>1996</v>
      </c>
      <c r="GS56" s="71" t="s">
        <v>560</v>
      </c>
      <c r="GU56" t="s">
        <v>643</v>
      </c>
    </row>
    <row r="57" spans="1:203" ht="15" thickBot="1">
      <c r="A57" s="25" t="s">
        <v>550</v>
      </c>
      <c r="C57" t="s">
        <v>549</v>
      </c>
      <c r="E57" t="s">
        <v>16</v>
      </c>
      <c r="F57" s="6" t="s">
        <v>592</v>
      </c>
      <c r="G57" t="s">
        <v>591</v>
      </c>
      <c r="H57" s="6" t="s">
        <v>4</v>
      </c>
      <c r="I57" s="59" t="s">
        <v>154</v>
      </c>
      <c r="J57" s="59" t="s">
        <v>389</v>
      </c>
      <c r="K57" s="9">
        <v>0.1</v>
      </c>
      <c r="L57" s="9">
        <v>34.566667000000002</v>
      </c>
      <c r="M57" s="30" t="s">
        <v>31</v>
      </c>
      <c r="N57" t="s">
        <v>551</v>
      </c>
      <c r="O57">
        <v>100</v>
      </c>
      <c r="Q57">
        <v>4</v>
      </c>
      <c r="R57" t="s">
        <v>593</v>
      </c>
      <c r="S57">
        <v>1994</v>
      </c>
      <c r="T57">
        <v>1998</v>
      </c>
      <c r="U57" t="s">
        <v>590</v>
      </c>
      <c r="V57" t="s">
        <v>36</v>
      </c>
      <c r="W57" t="s">
        <v>36</v>
      </c>
      <c r="X57" s="9" t="s">
        <v>557</v>
      </c>
      <c r="Y57" t="s">
        <v>477</v>
      </c>
      <c r="Z57" s="59" t="s">
        <v>43</v>
      </c>
      <c r="AA57" t="s">
        <v>559</v>
      </c>
      <c r="AB57" s="60" t="s">
        <v>415</v>
      </c>
      <c r="AC57" s="31">
        <v>53000</v>
      </c>
      <c r="AX57" t="s">
        <v>574</v>
      </c>
      <c r="AZ57" s="60" t="s">
        <v>398</v>
      </c>
      <c r="BA57">
        <v>1994</v>
      </c>
      <c r="BB57">
        <v>1998</v>
      </c>
      <c r="BM57" t="s">
        <v>570</v>
      </c>
      <c r="BN57" s="49" t="s">
        <v>36</v>
      </c>
      <c r="BO57" s="30"/>
      <c r="BS57" s="60" t="s">
        <v>416</v>
      </c>
      <c r="BT57" s="30" t="s">
        <v>576</v>
      </c>
      <c r="BU57" s="30" t="s">
        <v>575</v>
      </c>
      <c r="BV57" s="30"/>
      <c r="CG57" t="s">
        <v>570</v>
      </c>
      <c r="CH57" t="s">
        <v>37</v>
      </c>
      <c r="CI57" s="65" t="s">
        <v>439</v>
      </c>
      <c r="CM57" s="66" t="s">
        <v>440</v>
      </c>
      <c r="CN57">
        <v>60</v>
      </c>
      <c r="CQ57">
        <v>60</v>
      </c>
      <c r="CW57" s="30"/>
      <c r="DC57" s="67" t="s">
        <v>445</v>
      </c>
      <c r="DK57" s="67" t="s">
        <v>579</v>
      </c>
      <c r="DO57" s="30"/>
      <c r="DP57" s="30"/>
      <c r="DQ57" s="30"/>
      <c r="DR57" s="30"/>
      <c r="FD57" s="29" t="s">
        <v>615</v>
      </c>
      <c r="FE57">
        <v>42</v>
      </c>
      <c r="FG57" s="73" t="s">
        <v>582</v>
      </c>
      <c r="FH57" s="30" t="s">
        <v>608</v>
      </c>
      <c r="FQ57" t="s">
        <v>594</v>
      </c>
      <c r="FR57" t="s">
        <v>595</v>
      </c>
      <c r="FU57" s="57" t="s">
        <v>585</v>
      </c>
      <c r="FV57" t="s">
        <v>614</v>
      </c>
      <c r="FX57">
        <v>15</v>
      </c>
      <c r="FY57">
        <v>30</v>
      </c>
      <c r="GF57" t="s">
        <v>587</v>
      </c>
      <c r="GG57" t="s">
        <v>510</v>
      </c>
      <c r="GH57" s="8">
        <v>26</v>
      </c>
      <c r="GI57" s="6" t="s">
        <v>511</v>
      </c>
      <c r="GJ57" s="8">
        <v>6</v>
      </c>
      <c r="GM57">
        <v>4</v>
      </c>
      <c r="GN57" t="s">
        <v>611</v>
      </c>
      <c r="GO57" s="59" t="s">
        <v>154</v>
      </c>
      <c r="GP57">
        <v>1996</v>
      </c>
      <c r="GS57" s="71" t="s">
        <v>560</v>
      </c>
      <c r="GU57" t="s">
        <v>643</v>
      </c>
    </row>
    <row r="58" spans="1:203" ht="15" thickBot="1">
      <c r="A58" s="25" t="s">
        <v>550</v>
      </c>
      <c r="C58" t="s">
        <v>549</v>
      </c>
      <c r="E58" t="s">
        <v>16</v>
      </c>
      <c r="F58" s="6" t="s">
        <v>592</v>
      </c>
      <c r="G58" t="s">
        <v>591</v>
      </c>
      <c r="H58" s="6" t="s">
        <v>4</v>
      </c>
      <c r="I58" s="59" t="s">
        <v>154</v>
      </c>
      <c r="J58" s="59" t="s">
        <v>389</v>
      </c>
      <c r="K58" s="9">
        <v>0.1</v>
      </c>
      <c r="L58" s="9">
        <v>34.566667000000002</v>
      </c>
      <c r="M58" s="30" t="s">
        <v>31</v>
      </c>
      <c r="N58" t="s">
        <v>551</v>
      </c>
      <c r="O58">
        <v>100</v>
      </c>
      <c r="Q58">
        <v>4</v>
      </c>
      <c r="R58" t="s">
        <v>593</v>
      </c>
      <c r="S58">
        <v>1994</v>
      </c>
      <c r="T58">
        <v>1998</v>
      </c>
      <c r="U58" t="s">
        <v>590</v>
      </c>
      <c r="V58" t="s">
        <v>558</v>
      </c>
      <c r="W58" t="s">
        <v>588</v>
      </c>
      <c r="X58" s="9" t="s">
        <v>552</v>
      </c>
      <c r="Y58" t="s">
        <v>478</v>
      </c>
      <c r="Z58" s="59" t="s">
        <v>43</v>
      </c>
      <c r="AA58" t="s">
        <v>559</v>
      </c>
      <c r="AB58" s="60" t="s">
        <v>415</v>
      </c>
      <c r="AC58" s="31">
        <v>53000</v>
      </c>
      <c r="AD58" t="s">
        <v>98</v>
      </c>
      <c r="AO58" t="s">
        <v>47</v>
      </c>
      <c r="AP58" s="60" t="s">
        <v>415</v>
      </c>
      <c r="AQ58" s="31">
        <v>53000</v>
      </c>
      <c r="AX58" t="s">
        <v>574</v>
      </c>
      <c r="AZ58" s="60" t="s">
        <v>398</v>
      </c>
      <c r="BA58">
        <v>1994</v>
      </c>
      <c r="BB58">
        <v>1998</v>
      </c>
      <c r="BL58" s="60"/>
      <c r="BM58" t="s">
        <v>563</v>
      </c>
      <c r="BN58" s="67" t="s">
        <v>561</v>
      </c>
      <c r="BO58" s="30"/>
      <c r="BQ58">
        <v>1995</v>
      </c>
      <c r="BR58" t="s">
        <v>560</v>
      </c>
      <c r="BS58" s="60" t="s">
        <v>416</v>
      </c>
      <c r="BT58" s="30" t="s">
        <v>572</v>
      </c>
      <c r="BU58" s="50" t="s">
        <v>28</v>
      </c>
      <c r="BV58" s="30"/>
      <c r="BX58" s="30" t="s">
        <v>31</v>
      </c>
      <c r="BY58" s="30" t="s">
        <v>31</v>
      </c>
      <c r="BZ58" s="30" t="s">
        <v>31</v>
      </c>
      <c r="CA58" s="30" t="s">
        <v>31</v>
      </c>
      <c r="CB58" s="30" t="s">
        <v>31</v>
      </c>
      <c r="CC58" s="30" t="s">
        <v>31</v>
      </c>
      <c r="CD58" s="30" t="s">
        <v>31</v>
      </c>
      <c r="CE58" s="30" t="s">
        <v>31</v>
      </c>
      <c r="CF58" s="30" t="s">
        <v>31</v>
      </c>
      <c r="CH58" s="50" t="s">
        <v>39</v>
      </c>
      <c r="CM58" s="66" t="s">
        <v>440</v>
      </c>
      <c r="CN58">
        <v>0</v>
      </c>
      <c r="CW58" s="30"/>
      <c r="DC58" s="67" t="s">
        <v>445</v>
      </c>
      <c r="DK58" s="72" t="s">
        <v>577</v>
      </c>
      <c r="DL58" s="56" t="s">
        <v>508</v>
      </c>
      <c r="DM58" s="30"/>
      <c r="DN58" s="30" t="s">
        <v>31</v>
      </c>
      <c r="DO58" s="30"/>
      <c r="DP58" s="30"/>
      <c r="DQ58" s="30"/>
      <c r="DR58" s="30"/>
      <c r="FC58" t="s">
        <v>154</v>
      </c>
      <c r="FD58" s="28" t="s">
        <v>615</v>
      </c>
      <c r="FE58">
        <v>42</v>
      </c>
      <c r="FG58" s="73" t="s">
        <v>582</v>
      </c>
      <c r="FH58" s="30" t="s">
        <v>608</v>
      </c>
      <c r="FQ58" t="s">
        <v>594</v>
      </c>
      <c r="FR58" t="s">
        <v>595</v>
      </c>
      <c r="FU58" s="57" t="s">
        <v>585</v>
      </c>
      <c r="FV58" t="s">
        <v>614</v>
      </c>
      <c r="FX58">
        <v>15</v>
      </c>
      <c r="FY58">
        <v>30</v>
      </c>
      <c r="GG58" t="s">
        <v>510</v>
      </c>
      <c r="GH58" s="8">
        <v>64</v>
      </c>
      <c r="GI58" s="6" t="s">
        <v>511</v>
      </c>
      <c r="GJ58" s="8">
        <v>16</v>
      </c>
      <c r="GM58">
        <v>4</v>
      </c>
      <c r="GN58" t="s">
        <v>612</v>
      </c>
      <c r="GO58" s="59" t="s">
        <v>154</v>
      </c>
      <c r="GP58">
        <v>1996</v>
      </c>
      <c r="GS58" s="71" t="s">
        <v>571</v>
      </c>
      <c r="GU58" t="s">
        <v>643</v>
      </c>
    </row>
    <row r="59" spans="1:203" ht="15" thickBot="1">
      <c r="A59" s="25" t="s">
        <v>550</v>
      </c>
      <c r="C59" t="s">
        <v>549</v>
      </c>
      <c r="E59" t="s">
        <v>16</v>
      </c>
      <c r="F59" s="6" t="s">
        <v>592</v>
      </c>
      <c r="G59" t="s">
        <v>591</v>
      </c>
      <c r="H59" s="6" t="s">
        <v>4</v>
      </c>
      <c r="I59" s="59" t="s">
        <v>154</v>
      </c>
      <c r="J59" s="59" t="s">
        <v>389</v>
      </c>
      <c r="K59" s="9">
        <v>0.1</v>
      </c>
      <c r="L59" s="9">
        <v>34.566667000000002</v>
      </c>
      <c r="M59" s="30" t="s">
        <v>31</v>
      </c>
      <c r="N59" t="s">
        <v>551</v>
      </c>
      <c r="O59">
        <v>100</v>
      </c>
      <c r="Q59">
        <v>4</v>
      </c>
      <c r="R59" t="s">
        <v>593</v>
      </c>
      <c r="S59">
        <v>1994</v>
      </c>
      <c r="T59">
        <v>1998</v>
      </c>
      <c r="U59" t="s">
        <v>590</v>
      </c>
      <c r="V59" t="s">
        <v>558</v>
      </c>
      <c r="W59" t="s">
        <v>588</v>
      </c>
      <c r="X59" s="9" t="s">
        <v>554</v>
      </c>
      <c r="Y59" t="s">
        <v>479</v>
      </c>
      <c r="Z59" s="59" t="s">
        <v>43</v>
      </c>
      <c r="AA59" t="s">
        <v>559</v>
      </c>
      <c r="AB59" s="60" t="s">
        <v>415</v>
      </c>
      <c r="AC59" s="31">
        <v>53000</v>
      </c>
      <c r="AD59" t="s">
        <v>98</v>
      </c>
      <c r="AO59" t="s">
        <v>47</v>
      </c>
      <c r="AP59" s="60" t="s">
        <v>415</v>
      </c>
      <c r="AQ59" s="31">
        <v>53000</v>
      </c>
      <c r="AX59" t="s">
        <v>574</v>
      </c>
      <c r="AZ59" s="60" t="s">
        <v>398</v>
      </c>
      <c r="BA59">
        <v>1994</v>
      </c>
      <c r="BB59">
        <v>1998</v>
      </c>
      <c r="BL59" s="60"/>
      <c r="BM59" t="s">
        <v>564</v>
      </c>
      <c r="BN59" s="67" t="s">
        <v>562</v>
      </c>
      <c r="BO59" s="30"/>
      <c r="BQ59">
        <v>1994</v>
      </c>
      <c r="BR59" t="s">
        <v>571</v>
      </c>
      <c r="BS59" s="60" t="s">
        <v>416</v>
      </c>
      <c r="BT59" s="30" t="s">
        <v>573</v>
      </c>
      <c r="BU59" s="50" t="s">
        <v>28</v>
      </c>
      <c r="BV59" s="30"/>
      <c r="BX59" s="30" t="s">
        <v>31</v>
      </c>
      <c r="BY59" s="30" t="s">
        <v>31</v>
      </c>
      <c r="BZ59" s="30" t="s">
        <v>31</v>
      </c>
      <c r="CA59" s="30" t="s">
        <v>31</v>
      </c>
      <c r="CB59" s="30" t="s">
        <v>31</v>
      </c>
      <c r="CC59" s="30" t="s">
        <v>31</v>
      </c>
      <c r="CD59" s="30" t="s">
        <v>31</v>
      </c>
      <c r="CE59" s="30" t="s">
        <v>31</v>
      </c>
      <c r="CF59" s="30" t="s">
        <v>31</v>
      </c>
      <c r="CH59" s="50" t="s">
        <v>39</v>
      </c>
      <c r="CM59" s="66" t="s">
        <v>440</v>
      </c>
      <c r="CN59">
        <v>0</v>
      </c>
      <c r="CW59" s="30"/>
      <c r="DC59" s="67" t="s">
        <v>445</v>
      </c>
      <c r="DK59" s="72" t="s">
        <v>577</v>
      </c>
      <c r="DL59" s="56" t="s">
        <v>508</v>
      </c>
      <c r="DM59" s="30"/>
      <c r="DN59" s="30" t="s">
        <v>31</v>
      </c>
      <c r="DO59" s="30"/>
      <c r="DP59" s="30"/>
      <c r="DQ59" s="30"/>
      <c r="DR59" s="30"/>
      <c r="FC59" t="s">
        <v>154</v>
      </c>
      <c r="FD59" s="29" t="s">
        <v>615</v>
      </c>
      <c r="FE59">
        <v>42</v>
      </c>
      <c r="FG59" s="73" t="s">
        <v>582</v>
      </c>
      <c r="FH59" s="30" t="s">
        <v>608</v>
      </c>
      <c r="FQ59" t="s">
        <v>594</v>
      </c>
      <c r="FR59" t="s">
        <v>595</v>
      </c>
      <c r="FU59" s="57" t="s">
        <v>585</v>
      </c>
      <c r="FV59" t="s">
        <v>614</v>
      </c>
      <c r="FX59">
        <v>15</v>
      </c>
      <c r="FY59">
        <v>30</v>
      </c>
      <c r="GG59" t="s">
        <v>510</v>
      </c>
      <c r="GH59" s="8">
        <v>67</v>
      </c>
      <c r="GI59" s="6" t="s">
        <v>511</v>
      </c>
      <c r="GJ59" s="8">
        <v>29</v>
      </c>
      <c r="GM59">
        <v>4</v>
      </c>
      <c r="GN59" t="s">
        <v>612</v>
      </c>
      <c r="GO59" s="59" t="s">
        <v>154</v>
      </c>
      <c r="GP59">
        <v>1996</v>
      </c>
      <c r="GS59" s="71" t="s">
        <v>571</v>
      </c>
      <c r="GU59" t="s">
        <v>643</v>
      </c>
    </row>
    <row r="60" spans="1:203" ht="15" thickBot="1">
      <c r="A60" s="25" t="s">
        <v>550</v>
      </c>
      <c r="C60" t="s">
        <v>549</v>
      </c>
      <c r="E60" t="s">
        <v>16</v>
      </c>
      <c r="F60" s="6" t="s">
        <v>592</v>
      </c>
      <c r="G60" t="s">
        <v>591</v>
      </c>
      <c r="H60" s="6" t="s">
        <v>4</v>
      </c>
      <c r="I60" s="59" t="s">
        <v>154</v>
      </c>
      <c r="J60" s="59" t="s">
        <v>389</v>
      </c>
      <c r="K60" s="9">
        <v>0.1</v>
      </c>
      <c r="L60" s="9">
        <v>34.566667000000002</v>
      </c>
      <c r="M60" s="30" t="s">
        <v>31</v>
      </c>
      <c r="N60" t="s">
        <v>551</v>
      </c>
      <c r="O60">
        <v>100</v>
      </c>
      <c r="Q60">
        <v>4</v>
      </c>
      <c r="R60" t="s">
        <v>593</v>
      </c>
      <c r="S60">
        <v>1994</v>
      </c>
      <c r="T60">
        <v>1998</v>
      </c>
      <c r="U60" t="s">
        <v>590</v>
      </c>
      <c r="V60" t="s">
        <v>558</v>
      </c>
      <c r="W60" t="s">
        <v>589</v>
      </c>
      <c r="X60" s="9" t="s">
        <v>553</v>
      </c>
      <c r="Y60" t="s">
        <v>480</v>
      </c>
      <c r="Z60" s="59" t="s">
        <v>43</v>
      </c>
      <c r="AA60" t="s">
        <v>559</v>
      </c>
      <c r="AB60" s="60" t="s">
        <v>415</v>
      </c>
      <c r="AC60" s="31">
        <v>53000</v>
      </c>
      <c r="AP60" s="60"/>
      <c r="AQ60" s="31"/>
      <c r="AX60" t="s">
        <v>574</v>
      </c>
      <c r="AZ60" s="60" t="s">
        <v>398</v>
      </c>
      <c r="BA60">
        <v>1994</v>
      </c>
      <c r="BB60">
        <v>1998</v>
      </c>
      <c r="BM60" t="s">
        <v>565</v>
      </c>
      <c r="BN60" s="49" t="s">
        <v>566</v>
      </c>
      <c r="BO60" s="30"/>
      <c r="BQ60">
        <v>1995</v>
      </c>
      <c r="BR60" t="s">
        <v>571</v>
      </c>
      <c r="BS60" s="60" t="s">
        <v>416</v>
      </c>
      <c r="BT60" s="30" t="s">
        <v>569</v>
      </c>
      <c r="BU60" s="30" t="s">
        <v>575</v>
      </c>
      <c r="BV60" s="30"/>
      <c r="CH60" s="50" t="s">
        <v>39</v>
      </c>
      <c r="CM60" s="66" t="s">
        <v>440</v>
      </c>
      <c r="CN60">
        <v>0</v>
      </c>
      <c r="CW60" s="30"/>
      <c r="DC60" s="67" t="s">
        <v>445</v>
      </c>
      <c r="DK60" s="67" t="s">
        <v>579</v>
      </c>
      <c r="DL60" s="30"/>
      <c r="DM60" s="30"/>
      <c r="DN60" s="30"/>
      <c r="DO60" s="30"/>
      <c r="DP60" s="30"/>
      <c r="DQ60" s="30"/>
      <c r="DR60" s="30"/>
      <c r="FC60" t="s">
        <v>154</v>
      </c>
      <c r="FD60" s="28" t="s">
        <v>615</v>
      </c>
      <c r="FE60">
        <v>42</v>
      </c>
      <c r="FG60" s="73" t="s">
        <v>582</v>
      </c>
      <c r="FH60" s="30" t="s">
        <v>608</v>
      </c>
      <c r="FQ60" t="s">
        <v>594</v>
      </c>
      <c r="FR60" t="s">
        <v>595</v>
      </c>
      <c r="FU60" s="57" t="s">
        <v>585</v>
      </c>
      <c r="FV60" t="s">
        <v>614</v>
      </c>
      <c r="FX60">
        <v>15</v>
      </c>
      <c r="FY60">
        <v>30</v>
      </c>
      <c r="GG60" t="s">
        <v>510</v>
      </c>
      <c r="GH60" s="8">
        <v>61</v>
      </c>
      <c r="GI60" s="6" t="s">
        <v>511</v>
      </c>
      <c r="GJ60" s="8">
        <v>19</v>
      </c>
      <c r="GM60">
        <v>4</v>
      </c>
      <c r="GN60" t="s">
        <v>612</v>
      </c>
      <c r="GO60" s="59" t="s">
        <v>154</v>
      </c>
      <c r="GP60">
        <v>1996</v>
      </c>
      <c r="GS60" s="71" t="s">
        <v>571</v>
      </c>
      <c r="GU60" t="s">
        <v>643</v>
      </c>
    </row>
    <row r="61" spans="1:203" ht="15" thickBot="1">
      <c r="A61" s="25" t="s">
        <v>550</v>
      </c>
      <c r="C61" t="s">
        <v>549</v>
      </c>
      <c r="E61" t="s">
        <v>16</v>
      </c>
      <c r="F61" s="6" t="s">
        <v>592</v>
      </c>
      <c r="G61" t="s">
        <v>591</v>
      </c>
      <c r="H61" s="6" t="s">
        <v>4</v>
      </c>
      <c r="I61" s="59" t="s">
        <v>154</v>
      </c>
      <c r="J61" s="59" t="s">
        <v>389</v>
      </c>
      <c r="K61" s="9">
        <v>0.1</v>
      </c>
      <c r="L61" s="9">
        <v>34.566667000000002</v>
      </c>
      <c r="M61" s="30" t="s">
        <v>31</v>
      </c>
      <c r="N61" t="s">
        <v>551</v>
      </c>
      <c r="O61">
        <v>100</v>
      </c>
      <c r="Q61">
        <v>4</v>
      </c>
      <c r="R61" t="s">
        <v>593</v>
      </c>
      <c r="S61">
        <v>1994</v>
      </c>
      <c r="T61">
        <v>1998</v>
      </c>
      <c r="U61" t="s">
        <v>590</v>
      </c>
      <c r="V61" t="s">
        <v>558</v>
      </c>
      <c r="W61" t="s">
        <v>589</v>
      </c>
      <c r="X61" s="9" t="s">
        <v>555</v>
      </c>
      <c r="Y61" t="s">
        <v>481</v>
      </c>
      <c r="Z61" s="59" t="s">
        <v>43</v>
      </c>
      <c r="AA61" t="s">
        <v>559</v>
      </c>
      <c r="AB61" s="60" t="s">
        <v>415</v>
      </c>
      <c r="AC61" s="31">
        <v>53000</v>
      </c>
      <c r="AP61" s="60"/>
      <c r="AQ61" s="31"/>
      <c r="AX61" t="s">
        <v>574</v>
      </c>
      <c r="AZ61" s="60" t="s">
        <v>398</v>
      </c>
      <c r="BA61">
        <v>1994</v>
      </c>
      <c r="BB61">
        <v>1998</v>
      </c>
      <c r="BM61" t="s">
        <v>567</v>
      </c>
      <c r="BN61" s="49" t="s">
        <v>568</v>
      </c>
      <c r="BO61" s="30"/>
      <c r="BQ61">
        <v>1994</v>
      </c>
      <c r="BR61" t="s">
        <v>571</v>
      </c>
      <c r="BS61" s="60" t="s">
        <v>416</v>
      </c>
      <c r="BT61" s="30" t="s">
        <v>569</v>
      </c>
      <c r="BU61" s="30" t="s">
        <v>575</v>
      </c>
      <c r="BV61" s="30"/>
      <c r="CH61" s="50" t="s">
        <v>39</v>
      </c>
      <c r="CM61" s="66" t="s">
        <v>440</v>
      </c>
      <c r="CN61">
        <v>0</v>
      </c>
      <c r="CW61" s="30"/>
      <c r="DC61" s="67" t="s">
        <v>445</v>
      </c>
      <c r="DK61" s="67" t="s">
        <v>579</v>
      </c>
      <c r="DO61" s="30"/>
      <c r="DP61" s="30"/>
      <c r="DQ61" s="30"/>
      <c r="DR61" s="30"/>
      <c r="FC61" t="s">
        <v>154</v>
      </c>
      <c r="FD61" s="29" t="s">
        <v>615</v>
      </c>
      <c r="FE61">
        <v>42</v>
      </c>
      <c r="FG61" s="73" t="s">
        <v>582</v>
      </c>
      <c r="FH61" s="30" t="s">
        <v>608</v>
      </c>
      <c r="FQ61" t="s">
        <v>594</v>
      </c>
      <c r="FR61" t="s">
        <v>595</v>
      </c>
      <c r="FU61" s="57" t="s">
        <v>585</v>
      </c>
      <c r="FV61" t="s">
        <v>614</v>
      </c>
      <c r="FX61">
        <v>15</v>
      </c>
      <c r="FY61">
        <v>30</v>
      </c>
      <c r="GG61" t="s">
        <v>510</v>
      </c>
      <c r="GH61" s="8">
        <v>119</v>
      </c>
      <c r="GI61" s="6" t="s">
        <v>511</v>
      </c>
      <c r="GJ61" s="8">
        <v>61</v>
      </c>
      <c r="GM61">
        <v>4</v>
      </c>
      <c r="GN61" t="s">
        <v>612</v>
      </c>
      <c r="GO61" s="59" t="s">
        <v>154</v>
      </c>
      <c r="GP61">
        <v>1996</v>
      </c>
      <c r="GS61" s="71" t="s">
        <v>571</v>
      </c>
      <c r="GU61" t="s">
        <v>643</v>
      </c>
    </row>
    <row r="62" spans="1:203" ht="15" thickBot="1">
      <c r="A62" s="25" t="s">
        <v>550</v>
      </c>
      <c r="C62" t="s">
        <v>549</v>
      </c>
      <c r="E62" t="s">
        <v>16</v>
      </c>
      <c r="F62" s="6" t="s">
        <v>592</v>
      </c>
      <c r="G62" t="s">
        <v>591</v>
      </c>
      <c r="H62" s="6" t="s">
        <v>4</v>
      </c>
      <c r="I62" s="59" t="s">
        <v>154</v>
      </c>
      <c r="J62" s="59" t="s">
        <v>389</v>
      </c>
      <c r="K62" s="9">
        <v>0.1</v>
      </c>
      <c r="L62" s="9">
        <v>34.566667000000002</v>
      </c>
      <c r="M62" s="30" t="s">
        <v>31</v>
      </c>
      <c r="N62" t="s">
        <v>551</v>
      </c>
      <c r="O62">
        <v>100</v>
      </c>
      <c r="Q62">
        <v>4</v>
      </c>
      <c r="R62" t="s">
        <v>593</v>
      </c>
      <c r="S62">
        <v>1994</v>
      </c>
      <c r="T62">
        <v>1998</v>
      </c>
      <c r="U62" t="s">
        <v>590</v>
      </c>
      <c r="V62" t="s">
        <v>36</v>
      </c>
      <c r="W62" t="s">
        <v>36</v>
      </c>
      <c r="X62" s="9" t="s">
        <v>556</v>
      </c>
      <c r="Y62" t="s">
        <v>476</v>
      </c>
      <c r="Z62" s="59" t="s">
        <v>43</v>
      </c>
      <c r="AA62" t="s">
        <v>559</v>
      </c>
      <c r="AB62" s="60" t="s">
        <v>415</v>
      </c>
      <c r="AC62" s="31">
        <v>53000</v>
      </c>
      <c r="AX62" t="s">
        <v>574</v>
      </c>
      <c r="AZ62" s="60" t="s">
        <v>398</v>
      </c>
      <c r="BA62">
        <v>1994</v>
      </c>
      <c r="BB62">
        <v>1998</v>
      </c>
      <c r="BM62" t="s">
        <v>569</v>
      </c>
      <c r="BN62" s="49" t="s">
        <v>36</v>
      </c>
      <c r="BO62" s="30"/>
      <c r="BS62" s="60" t="s">
        <v>416</v>
      </c>
      <c r="BT62" s="30" t="s">
        <v>569</v>
      </c>
      <c r="BU62" s="30" t="s">
        <v>575</v>
      </c>
      <c r="BV62" s="30"/>
      <c r="CH62" s="50" t="s">
        <v>39</v>
      </c>
      <c r="CM62" s="66" t="s">
        <v>440</v>
      </c>
      <c r="CN62">
        <v>0</v>
      </c>
      <c r="CW62" s="30"/>
      <c r="DC62" s="67" t="s">
        <v>445</v>
      </c>
      <c r="DK62" s="67" t="s">
        <v>579</v>
      </c>
      <c r="DO62" s="30"/>
      <c r="DP62" s="30"/>
      <c r="DQ62" s="30"/>
      <c r="DR62" s="30"/>
      <c r="FD62" s="28" t="s">
        <v>615</v>
      </c>
      <c r="FE62">
        <v>42</v>
      </c>
      <c r="FG62" s="73" t="s">
        <v>582</v>
      </c>
      <c r="FH62" s="30" t="s">
        <v>608</v>
      </c>
      <c r="FQ62" t="s">
        <v>594</v>
      </c>
      <c r="FR62" t="s">
        <v>595</v>
      </c>
      <c r="FU62" s="57" t="s">
        <v>585</v>
      </c>
      <c r="FV62" t="s">
        <v>614</v>
      </c>
      <c r="FX62">
        <v>15</v>
      </c>
      <c r="FY62">
        <v>30</v>
      </c>
      <c r="GF62" t="s">
        <v>514</v>
      </c>
      <c r="GG62" t="s">
        <v>510</v>
      </c>
      <c r="GH62" s="8">
        <v>70</v>
      </c>
      <c r="GI62" s="6" t="s">
        <v>511</v>
      </c>
      <c r="GJ62" s="8">
        <v>21</v>
      </c>
      <c r="GM62">
        <v>4</v>
      </c>
      <c r="GN62" t="s">
        <v>612</v>
      </c>
      <c r="GO62" s="59" t="s">
        <v>154</v>
      </c>
      <c r="GP62">
        <v>1996</v>
      </c>
      <c r="GS62" s="71" t="s">
        <v>571</v>
      </c>
      <c r="GU62" t="s">
        <v>643</v>
      </c>
    </row>
    <row r="63" spans="1:203" ht="15" thickBot="1">
      <c r="A63" s="76" t="s">
        <v>550</v>
      </c>
      <c r="B63" s="59"/>
      <c r="C63" s="59" t="s">
        <v>549</v>
      </c>
      <c r="D63" s="59"/>
      <c r="E63" s="59" t="s">
        <v>16</v>
      </c>
      <c r="F63" s="60" t="s">
        <v>592</v>
      </c>
      <c r="G63" s="59" t="s">
        <v>591</v>
      </c>
      <c r="H63" s="60" t="s">
        <v>4</v>
      </c>
      <c r="I63" s="59" t="s">
        <v>154</v>
      </c>
      <c r="J63" s="59" t="s">
        <v>389</v>
      </c>
      <c r="K63" s="77">
        <v>0.1</v>
      </c>
      <c r="L63" s="77">
        <v>34.566667000000002</v>
      </c>
      <c r="M63" s="61" t="s">
        <v>31</v>
      </c>
      <c r="N63" s="59" t="s">
        <v>551</v>
      </c>
      <c r="O63" s="59">
        <v>100</v>
      </c>
      <c r="P63" s="59"/>
      <c r="Q63" s="59">
        <v>4</v>
      </c>
      <c r="R63" s="59" t="s">
        <v>593</v>
      </c>
      <c r="S63" s="59">
        <v>1994</v>
      </c>
      <c r="T63" s="59">
        <v>1998</v>
      </c>
      <c r="U63" s="59" t="s">
        <v>590</v>
      </c>
      <c r="V63" s="59" t="s">
        <v>36</v>
      </c>
      <c r="W63" s="59" t="s">
        <v>36</v>
      </c>
      <c r="X63" s="77" t="s">
        <v>557</v>
      </c>
      <c r="Y63" s="59" t="s">
        <v>477</v>
      </c>
      <c r="Z63" s="59" t="s">
        <v>43</v>
      </c>
      <c r="AA63" s="59" t="s">
        <v>559</v>
      </c>
      <c r="AB63" s="60" t="s">
        <v>415</v>
      </c>
      <c r="AC63" s="62">
        <v>53000</v>
      </c>
      <c r="AD63" s="59"/>
      <c r="AE63" s="59"/>
      <c r="AF63" s="59"/>
      <c r="AG63" s="59"/>
      <c r="AH63" s="59"/>
      <c r="AI63" s="59"/>
      <c r="AJ63" s="59"/>
      <c r="AK63" s="59"/>
      <c r="AL63" s="59"/>
      <c r="AM63" s="59"/>
      <c r="AN63" s="59"/>
      <c r="AO63" s="59"/>
      <c r="AP63" s="59"/>
      <c r="AQ63" s="59"/>
      <c r="AR63" s="59"/>
      <c r="AS63" s="59"/>
      <c r="AT63" s="59"/>
      <c r="AU63" s="59"/>
      <c r="AV63" s="59"/>
      <c r="AW63" s="59"/>
      <c r="AX63" s="59" t="s">
        <v>574</v>
      </c>
      <c r="AY63" s="59"/>
      <c r="AZ63" s="60" t="s">
        <v>398</v>
      </c>
      <c r="BA63" s="59">
        <v>1994</v>
      </c>
      <c r="BB63" s="59">
        <v>1998</v>
      </c>
      <c r="BC63" s="59"/>
      <c r="BD63" s="59"/>
      <c r="BE63" s="59"/>
      <c r="BF63" s="59"/>
      <c r="BG63" s="59"/>
      <c r="BH63" s="59"/>
      <c r="BI63" s="59"/>
      <c r="BJ63" s="59"/>
      <c r="BK63" s="59"/>
      <c r="BL63" s="59"/>
      <c r="BM63" s="59" t="s">
        <v>570</v>
      </c>
      <c r="BN63" s="67" t="s">
        <v>36</v>
      </c>
      <c r="BO63" s="61"/>
      <c r="BP63" s="59"/>
      <c r="BQ63" s="59"/>
      <c r="BR63" s="59"/>
      <c r="BS63" s="60" t="s">
        <v>416</v>
      </c>
      <c r="BT63" s="59" t="s">
        <v>576</v>
      </c>
      <c r="BU63" s="59" t="s">
        <v>575</v>
      </c>
      <c r="BV63" s="59"/>
      <c r="BW63" s="59"/>
      <c r="BX63" s="59"/>
      <c r="BY63" s="59"/>
      <c r="BZ63" s="59"/>
      <c r="CA63" s="59"/>
      <c r="CB63" s="59"/>
      <c r="CC63" s="59"/>
      <c r="CD63" s="59"/>
      <c r="CE63" s="59"/>
      <c r="CF63" s="59"/>
      <c r="CG63" s="59" t="s">
        <v>570</v>
      </c>
      <c r="CH63" s="59" t="s">
        <v>37</v>
      </c>
      <c r="CI63" s="65" t="s">
        <v>439</v>
      </c>
      <c r="CJ63" s="59"/>
      <c r="CK63" s="59"/>
      <c r="CL63" s="59"/>
      <c r="CM63" s="66" t="s">
        <v>440</v>
      </c>
      <c r="CN63" s="59">
        <v>60</v>
      </c>
      <c r="CO63" s="59"/>
      <c r="CP63" s="59"/>
      <c r="CQ63" s="59">
        <v>60</v>
      </c>
      <c r="CR63" s="59"/>
      <c r="CS63" s="59"/>
      <c r="CT63" s="59"/>
      <c r="CU63" s="59"/>
      <c r="CV63" s="59"/>
      <c r="CW63" s="61"/>
      <c r="CX63" s="59"/>
      <c r="CY63" s="59"/>
      <c r="CZ63" s="59"/>
      <c r="DA63" s="59"/>
      <c r="DB63" s="59"/>
      <c r="DC63" s="67" t="s">
        <v>445</v>
      </c>
      <c r="DD63" s="59"/>
      <c r="DE63" s="59"/>
      <c r="DF63" s="59"/>
      <c r="DG63" s="59"/>
      <c r="DH63" s="59"/>
      <c r="DI63" s="59"/>
      <c r="DJ63" s="59"/>
      <c r="DK63" s="67" t="s">
        <v>579</v>
      </c>
      <c r="DL63" s="59"/>
      <c r="DM63" s="59"/>
      <c r="DN63" s="59"/>
      <c r="DO63" s="61"/>
      <c r="DP63" s="61"/>
      <c r="DQ63" s="61"/>
      <c r="DR63" s="61"/>
      <c r="DS63" s="59"/>
      <c r="DT63" s="59"/>
      <c r="DU63" s="59"/>
      <c r="DV63" s="59"/>
      <c r="DW63" s="59"/>
      <c r="DX63" s="59"/>
      <c r="DY63" s="59"/>
      <c r="DZ63" s="59"/>
      <c r="EA63" s="59"/>
      <c r="EB63" s="59"/>
      <c r="EC63" s="59"/>
      <c r="ED63" s="59"/>
      <c r="EE63" s="59"/>
      <c r="EF63" s="59"/>
      <c r="EG63" s="59"/>
      <c r="EH63" s="59"/>
      <c r="EI63" s="59"/>
      <c r="EJ63" s="59"/>
      <c r="EK63" s="59"/>
      <c r="EL63" s="59"/>
      <c r="EM63" s="59"/>
      <c r="EN63" s="59"/>
      <c r="EO63" s="59"/>
      <c r="EP63" s="59"/>
      <c r="EQ63" s="59"/>
      <c r="ER63" s="59"/>
      <c r="ES63" s="59"/>
      <c r="ET63" s="59"/>
      <c r="EU63" s="59"/>
      <c r="EV63" s="59"/>
      <c r="EW63" s="59"/>
      <c r="EX63" s="59"/>
      <c r="EY63" s="59"/>
      <c r="EZ63" s="59"/>
      <c r="FA63" s="59"/>
      <c r="FB63" s="59"/>
      <c r="FC63" s="59"/>
      <c r="FD63" s="71" t="s">
        <v>615</v>
      </c>
      <c r="FE63" s="59">
        <v>42</v>
      </c>
      <c r="FF63" s="59"/>
      <c r="FG63" s="78" t="s">
        <v>582</v>
      </c>
      <c r="FH63" s="61" t="s">
        <v>608</v>
      </c>
      <c r="FI63" s="59"/>
      <c r="FJ63" s="59"/>
      <c r="FK63" s="59"/>
      <c r="FL63" s="59"/>
      <c r="FM63" s="59"/>
      <c r="FN63" s="59"/>
      <c r="FO63" s="59"/>
      <c r="FP63" s="59"/>
      <c r="FQ63" s="59" t="s">
        <v>594</v>
      </c>
      <c r="FR63" s="59" t="s">
        <v>595</v>
      </c>
      <c r="FS63" s="59"/>
      <c r="FT63" s="59"/>
      <c r="FU63" s="66" t="s">
        <v>585</v>
      </c>
      <c r="FV63" s="59" t="s">
        <v>614</v>
      </c>
      <c r="FW63" s="59"/>
      <c r="FX63" s="59">
        <v>15</v>
      </c>
      <c r="FY63" s="59">
        <v>30</v>
      </c>
      <c r="FZ63" s="59"/>
      <c r="GA63" s="59"/>
      <c r="GB63" s="59"/>
      <c r="GC63" s="59"/>
      <c r="GD63" s="59"/>
      <c r="GE63" s="59"/>
      <c r="GF63" s="59" t="s">
        <v>587</v>
      </c>
      <c r="GG63" s="59" t="s">
        <v>510</v>
      </c>
      <c r="GH63" s="79">
        <v>57</v>
      </c>
      <c r="GI63" s="60" t="s">
        <v>511</v>
      </c>
      <c r="GJ63" s="79">
        <v>26</v>
      </c>
      <c r="GK63" s="59"/>
      <c r="GL63" s="59"/>
      <c r="GM63" s="59">
        <v>4</v>
      </c>
      <c r="GN63" s="59" t="s">
        <v>612</v>
      </c>
      <c r="GO63" s="59" t="s">
        <v>154</v>
      </c>
      <c r="GP63" s="59">
        <v>1996</v>
      </c>
      <c r="GQ63" s="59"/>
      <c r="GR63" s="59"/>
      <c r="GS63" s="71" t="s">
        <v>571</v>
      </c>
      <c r="GT63" s="59"/>
      <c r="GU63" t="s">
        <v>643</v>
      </c>
    </row>
    <row r="64" spans="1:203" ht="15" thickBot="1">
      <c r="A64" s="25" t="s">
        <v>550</v>
      </c>
      <c r="C64" t="s">
        <v>549</v>
      </c>
      <c r="E64" t="s">
        <v>16</v>
      </c>
      <c r="F64" s="6" t="s">
        <v>592</v>
      </c>
      <c r="G64" t="s">
        <v>591</v>
      </c>
      <c r="H64" s="6" t="s">
        <v>4</v>
      </c>
      <c r="I64" s="59" t="s">
        <v>154</v>
      </c>
      <c r="J64" s="59" t="s">
        <v>389</v>
      </c>
      <c r="K64" s="9">
        <v>0.1</v>
      </c>
      <c r="L64" s="9">
        <v>34.566667000000002</v>
      </c>
      <c r="M64" s="30" t="s">
        <v>31</v>
      </c>
      <c r="N64" t="s">
        <v>551</v>
      </c>
      <c r="O64">
        <v>100</v>
      </c>
      <c r="Q64">
        <v>4</v>
      </c>
      <c r="R64" t="s">
        <v>593</v>
      </c>
      <c r="S64">
        <v>1994</v>
      </c>
      <c r="T64">
        <v>1998</v>
      </c>
      <c r="U64" t="s">
        <v>590</v>
      </c>
      <c r="V64" t="s">
        <v>558</v>
      </c>
      <c r="W64" t="s">
        <v>588</v>
      </c>
      <c r="X64" s="9" t="s">
        <v>552</v>
      </c>
      <c r="Y64" t="s">
        <v>478</v>
      </c>
      <c r="Z64" s="59" t="s">
        <v>43</v>
      </c>
      <c r="AA64" t="s">
        <v>559</v>
      </c>
      <c r="AB64" s="60" t="s">
        <v>415</v>
      </c>
      <c r="AC64" s="31">
        <v>53000</v>
      </c>
      <c r="AD64" t="s">
        <v>98</v>
      </c>
      <c r="AO64" t="s">
        <v>47</v>
      </c>
      <c r="AP64" s="60" t="s">
        <v>415</v>
      </c>
      <c r="AQ64" s="31">
        <v>53000</v>
      </c>
      <c r="AX64" t="s">
        <v>574</v>
      </c>
      <c r="AZ64" s="60" t="s">
        <v>398</v>
      </c>
      <c r="BA64">
        <v>1994</v>
      </c>
      <c r="BB64">
        <v>1998</v>
      </c>
      <c r="BL64" s="60"/>
      <c r="BM64" t="s">
        <v>563</v>
      </c>
      <c r="BN64" s="67" t="s">
        <v>561</v>
      </c>
      <c r="BO64" s="30"/>
      <c r="BQ64">
        <v>1995</v>
      </c>
      <c r="BR64" t="s">
        <v>560</v>
      </c>
      <c r="BS64" s="60" t="s">
        <v>416</v>
      </c>
      <c r="BT64" s="30" t="s">
        <v>572</v>
      </c>
      <c r="BU64" s="50" t="s">
        <v>28</v>
      </c>
      <c r="BV64" s="30"/>
      <c r="BX64" s="30" t="s">
        <v>31</v>
      </c>
      <c r="BY64" s="30" t="s">
        <v>31</v>
      </c>
      <c r="BZ64" s="30" t="s">
        <v>31</v>
      </c>
      <c r="CA64" s="30" t="s">
        <v>31</v>
      </c>
      <c r="CB64" s="30" t="s">
        <v>31</v>
      </c>
      <c r="CC64" s="30" t="s">
        <v>31</v>
      </c>
      <c r="CD64" s="30" t="s">
        <v>31</v>
      </c>
      <c r="CE64" s="30" t="s">
        <v>31</v>
      </c>
      <c r="CF64" s="30" t="s">
        <v>31</v>
      </c>
      <c r="CH64" s="50" t="s">
        <v>39</v>
      </c>
      <c r="CM64" s="66" t="s">
        <v>440</v>
      </c>
      <c r="CN64">
        <v>0</v>
      </c>
      <c r="CW64" s="30"/>
      <c r="DC64" s="67" t="s">
        <v>445</v>
      </c>
      <c r="DK64" s="72" t="s">
        <v>577</v>
      </c>
      <c r="DL64" s="56" t="s">
        <v>508</v>
      </c>
      <c r="DM64" s="30"/>
      <c r="DN64" s="30" t="s">
        <v>31</v>
      </c>
      <c r="DO64" s="30"/>
      <c r="DP64" s="30"/>
      <c r="DQ64" s="30"/>
      <c r="DR64" s="30"/>
      <c r="FC64" t="s">
        <v>154</v>
      </c>
      <c r="FD64" s="28" t="s">
        <v>615</v>
      </c>
      <c r="FE64">
        <v>42</v>
      </c>
      <c r="FG64" s="73" t="s">
        <v>616</v>
      </c>
      <c r="FH64" s="6" t="s">
        <v>44</v>
      </c>
      <c r="FR64" t="s">
        <v>617</v>
      </c>
      <c r="FU64" s="6" t="s">
        <v>27</v>
      </c>
      <c r="FV64" s="52" t="s">
        <v>420</v>
      </c>
      <c r="GG64" t="s">
        <v>510</v>
      </c>
      <c r="GH64" s="80" t="s">
        <v>647</v>
      </c>
      <c r="GI64" s="6" t="s">
        <v>511</v>
      </c>
      <c r="GJ64" s="8">
        <v>0.27362216468398071</v>
      </c>
      <c r="GM64">
        <v>4</v>
      </c>
      <c r="GN64" t="s">
        <v>618</v>
      </c>
      <c r="GO64" s="59" t="s">
        <v>154</v>
      </c>
      <c r="GP64">
        <v>1996</v>
      </c>
      <c r="GS64" s="71" t="s">
        <v>560</v>
      </c>
      <c r="GU64" t="s">
        <v>643</v>
      </c>
    </row>
    <row r="65" spans="1:203" ht="15" thickBot="1">
      <c r="A65" s="25" t="s">
        <v>550</v>
      </c>
      <c r="C65" t="s">
        <v>549</v>
      </c>
      <c r="E65" t="s">
        <v>16</v>
      </c>
      <c r="F65" s="6" t="s">
        <v>592</v>
      </c>
      <c r="G65" t="s">
        <v>591</v>
      </c>
      <c r="H65" s="6" t="s">
        <v>4</v>
      </c>
      <c r="I65" s="59" t="s">
        <v>154</v>
      </c>
      <c r="J65" s="59" t="s">
        <v>389</v>
      </c>
      <c r="K65" s="9">
        <v>0.1</v>
      </c>
      <c r="L65" s="9">
        <v>34.566667000000002</v>
      </c>
      <c r="M65" s="30" t="s">
        <v>31</v>
      </c>
      <c r="N65" t="s">
        <v>551</v>
      </c>
      <c r="O65">
        <v>100</v>
      </c>
      <c r="Q65">
        <v>4</v>
      </c>
      <c r="R65" t="s">
        <v>593</v>
      </c>
      <c r="S65">
        <v>1994</v>
      </c>
      <c r="T65">
        <v>1998</v>
      </c>
      <c r="U65" t="s">
        <v>590</v>
      </c>
      <c r="V65" t="s">
        <v>558</v>
      </c>
      <c r="W65" t="s">
        <v>588</v>
      </c>
      <c r="X65" s="9" t="s">
        <v>554</v>
      </c>
      <c r="Y65" t="s">
        <v>479</v>
      </c>
      <c r="Z65" s="59" t="s">
        <v>43</v>
      </c>
      <c r="AA65" t="s">
        <v>559</v>
      </c>
      <c r="AB65" s="60" t="s">
        <v>415</v>
      </c>
      <c r="AC65" s="31">
        <v>53000</v>
      </c>
      <c r="AD65" t="s">
        <v>98</v>
      </c>
      <c r="AO65" t="s">
        <v>47</v>
      </c>
      <c r="AP65" s="60" t="s">
        <v>415</v>
      </c>
      <c r="AQ65" s="31">
        <v>53000</v>
      </c>
      <c r="AX65" t="s">
        <v>574</v>
      </c>
      <c r="AZ65" s="60" t="s">
        <v>398</v>
      </c>
      <c r="BA65">
        <v>1994</v>
      </c>
      <c r="BB65">
        <v>1998</v>
      </c>
      <c r="BL65" s="60"/>
      <c r="BM65" t="s">
        <v>564</v>
      </c>
      <c r="BN65" s="67" t="s">
        <v>562</v>
      </c>
      <c r="BO65" s="30"/>
      <c r="BQ65">
        <v>1994</v>
      </c>
      <c r="BR65" t="s">
        <v>571</v>
      </c>
      <c r="BS65" s="60" t="s">
        <v>416</v>
      </c>
      <c r="BT65" s="30" t="s">
        <v>573</v>
      </c>
      <c r="BU65" s="50" t="s">
        <v>28</v>
      </c>
      <c r="BV65" s="30"/>
      <c r="BX65" s="30" t="s">
        <v>31</v>
      </c>
      <c r="BY65" s="30" t="s">
        <v>31</v>
      </c>
      <c r="BZ65" s="30" t="s">
        <v>31</v>
      </c>
      <c r="CA65" s="30" t="s">
        <v>31</v>
      </c>
      <c r="CB65" s="30" t="s">
        <v>31</v>
      </c>
      <c r="CC65" s="30" t="s">
        <v>31</v>
      </c>
      <c r="CD65" s="30" t="s">
        <v>31</v>
      </c>
      <c r="CE65" s="30" t="s">
        <v>31</v>
      </c>
      <c r="CF65" s="30" t="s">
        <v>31</v>
      </c>
      <c r="CH65" s="50" t="s">
        <v>39</v>
      </c>
      <c r="CM65" s="66" t="s">
        <v>440</v>
      </c>
      <c r="CN65">
        <v>0</v>
      </c>
      <c r="CW65" s="30"/>
      <c r="DC65" s="67" t="s">
        <v>445</v>
      </c>
      <c r="DK65" s="72" t="s">
        <v>577</v>
      </c>
      <c r="DL65" s="56" t="s">
        <v>508</v>
      </c>
      <c r="DM65" s="30"/>
      <c r="DN65" s="30" t="s">
        <v>31</v>
      </c>
      <c r="DO65" s="30"/>
      <c r="DP65" s="30"/>
      <c r="DQ65" s="30"/>
      <c r="DR65" s="30"/>
      <c r="FC65" t="s">
        <v>154</v>
      </c>
      <c r="FD65" s="29" t="s">
        <v>615</v>
      </c>
      <c r="FE65">
        <v>42</v>
      </c>
      <c r="FG65" s="73" t="s">
        <v>616</v>
      </c>
      <c r="FH65" s="6" t="s">
        <v>44</v>
      </c>
      <c r="FR65" t="s">
        <v>617</v>
      </c>
      <c r="FU65" s="6" t="s">
        <v>27</v>
      </c>
      <c r="FV65" s="52" t="s">
        <v>420</v>
      </c>
      <c r="GG65" t="s">
        <v>510</v>
      </c>
      <c r="GH65" s="80" t="s">
        <v>648</v>
      </c>
      <c r="GI65" s="6" t="s">
        <v>511</v>
      </c>
      <c r="GJ65" s="8">
        <v>0.27362216468397982</v>
      </c>
      <c r="GM65">
        <v>4</v>
      </c>
      <c r="GN65" t="s">
        <v>618</v>
      </c>
      <c r="GO65" s="59" t="s">
        <v>154</v>
      </c>
      <c r="GP65">
        <v>1996</v>
      </c>
      <c r="GS65" s="71" t="s">
        <v>560</v>
      </c>
      <c r="GU65" t="s">
        <v>643</v>
      </c>
    </row>
    <row r="66" spans="1:203" ht="15" thickBot="1">
      <c r="A66" s="25" t="s">
        <v>550</v>
      </c>
      <c r="C66" t="s">
        <v>549</v>
      </c>
      <c r="E66" t="s">
        <v>16</v>
      </c>
      <c r="F66" s="6" t="s">
        <v>592</v>
      </c>
      <c r="G66" t="s">
        <v>591</v>
      </c>
      <c r="H66" s="6" t="s">
        <v>4</v>
      </c>
      <c r="I66" s="59" t="s">
        <v>154</v>
      </c>
      <c r="J66" s="59" t="s">
        <v>389</v>
      </c>
      <c r="K66" s="9">
        <v>0.1</v>
      </c>
      <c r="L66" s="9">
        <v>34.566667000000002</v>
      </c>
      <c r="M66" s="30" t="s">
        <v>31</v>
      </c>
      <c r="N66" t="s">
        <v>551</v>
      </c>
      <c r="O66">
        <v>100</v>
      </c>
      <c r="Q66">
        <v>4</v>
      </c>
      <c r="R66" t="s">
        <v>593</v>
      </c>
      <c r="S66">
        <v>1994</v>
      </c>
      <c r="T66">
        <v>1998</v>
      </c>
      <c r="U66" t="s">
        <v>590</v>
      </c>
      <c r="V66" t="s">
        <v>558</v>
      </c>
      <c r="W66" t="s">
        <v>589</v>
      </c>
      <c r="X66" s="9" t="s">
        <v>553</v>
      </c>
      <c r="Y66" t="s">
        <v>480</v>
      </c>
      <c r="Z66" s="59" t="s">
        <v>43</v>
      </c>
      <c r="AA66" t="s">
        <v>559</v>
      </c>
      <c r="AB66" s="60" t="s">
        <v>415</v>
      </c>
      <c r="AC66" s="31">
        <v>53000</v>
      </c>
      <c r="AP66" s="60"/>
      <c r="AQ66" s="31"/>
      <c r="AX66" t="s">
        <v>574</v>
      </c>
      <c r="AZ66" s="60" t="s">
        <v>398</v>
      </c>
      <c r="BA66">
        <v>1994</v>
      </c>
      <c r="BB66">
        <v>1998</v>
      </c>
      <c r="BM66" t="s">
        <v>565</v>
      </c>
      <c r="BN66" s="49" t="s">
        <v>566</v>
      </c>
      <c r="BO66" s="30"/>
      <c r="BQ66">
        <v>1995</v>
      </c>
      <c r="BR66" t="s">
        <v>571</v>
      </c>
      <c r="BS66" s="60" t="s">
        <v>416</v>
      </c>
      <c r="BT66" s="30" t="s">
        <v>569</v>
      </c>
      <c r="BU66" s="30" t="s">
        <v>575</v>
      </c>
      <c r="BV66" s="30"/>
      <c r="CH66" s="50" t="s">
        <v>39</v>
      </c>
      <c r="CM66" s="66" t="s">
        <v>440</v>
      </c>
      <c r="CN66">
        <v>0</v>
      </c>
      <c r="CW66" s="30"/>
      <c r="DC66" s="67" t="s">
        <v>445</v>
      </c>
      <c r="DK66" s="67" t="s">
        <v>579</v>
      </c>
      <c r="DL66" s="30"/>
      <c r="DM66" s="30"/>
      <c r="DN66" s="30"/>
      <c r="DO66" s="30"/>
      <c r="DP66" s="30"/>
      <c r="DQ66" s="30"/>
      <c r="DR66" s="30"/>
      <c r="FC66" t="s">
        <v>154</v>
      </c>
      <c r="FD66" s="28" t="s">
        <v>615</v>
      </c>
      <c r="FE66">
        <v>42</v>
      </c>
      <c r="FG66" s="73" t="s">
        <v>616</v>
      </c>
      <c r="FH66" s="6" t="s">
        <v>44</v>
      </c>
      <c r="FR66" t="s">
        <v>617</v>
      </c>
      <c r="FU66" s="6" t="s">
        <v>27</v>
      </c>
      <c r="FV66" s="52" t="s">
        <v>420</v>
      </c>
      <c r="GG66" t="s">
        <v>510</v>
      </c>
      <c r="GH66" s="80" t="s">
        <v>649</v>
      </c>
      <c r="GI66" s="6" t="s">
        <v>511</v>
      </c>
      <c r="GJ66" s="8">
        <v>0.25400613299288022</v>
      </c>
      <c r="GM66">
        <v>4</v>
      </c>
      <c r="GN66" t="s">
        <v>618</v>
      </c>
      <c r="GO66" s="59" t="s">
        <v>154</v>
      </c>
      <c r="GP66">
        <v>1996</v>
      </c>
      <c r="GS66" s="71" t="s">
        <v>560</v>
      </c>
      <c r="GU66" t="s">
        <v>643</v>
      </c>
    </row>
    <row r="67" spans="1:203" ht="15" thickBot="1">
      <c r="A67" s="25" t="s">
        <v>550</v>
      </c>
      <c r="C67" t="s">
        <v>549</v>
      </c>
      <c r="E67" t="s">
        <v>16</v>
      </c>
      <c r="F67" s="6" t="s">
        <v>592</v>
      </c>
      <c r="G67" t="s">
        <v>591</v>
      </c>
      <c r="H67" s="6" t="s">
        <v>4</v>
      </c>
      <c r="I67" s="59" t="s">
        <v>154</v>
      </c>
      <c r="J67" s="59" t="s">
        <v>389</v>
      </c>
      <c r="K67" s="9">
        <v>0.1</v>
      </c>
      <c r="L67" s="9">
        <v>34.566667000000002</v>
      </c>
      <c r="M67" s="30" t="s">
        <v>31</v>
      </c>
      <c r="N67" t="s">
        <v>551</v>
      </c>
      <c r="O67">
        <v>100</v>
      </c>
      <c r="Q67">
        <v>4</v>
      </c>
      <c r="R67" t="s">
        <v>593</v>
      </c>
      <c r="S67">
        <v>1994</v>
      </c>
      <c r="T67">
        <v>1998</v>
      </c>
      <c r="U67" t="s">
        <v>590</v>
      </c>
      <c r="V67" t="s">
        <v>558</v>
      </c>
      <c r="W67" t="s">
        <v>589</v>
      </c>
      <c r="X67" s="9" t="s">
        <v>555</v>
      </c>
      <c r="Y67" t="s">
        <v>481</v>
      </c>
      <c r="Z67" s="59" t="s">
        <v>43</v>
      </c>
      <c r="AA67" t="s">
        <v>559</v>
      </c>
      <c r="AB67" s="60" t="s">
        <v>415</v>
      </c>
      <c r="AC67" s="31">
        <v>53000</v>
      </c>
      <c r="AP67" s="60"/>
      <c r="AQ67" s="31"/>
      <c r="AX67" t="s">
        <v>574</v>
      </c>
      <c r="AZ67" s="60" t="s">
        <v>398</v>
      </c>
      <c r="BA67">
        <v>1994</v>
      </c>
      <c r="BB67">
        <v>1998</v>
      </c>
      <c r="BM67" t="s">
        <v>567</v>
      </c>
      <c r="BN67" s="49" t="s">
        <v>568</v>
      </c>
      <c r="BO67" s="30"/>
      <c r="BQ67">
        <v>1994</v>
      </c>
      <c r="BR67" t="s">
        <v>571</v>
      </c>
      <c r="BS67" s="60" t="s">
        <v>416</v>
      </c>
      <c r="BT67" s="30" t="s">
        <v>569</v>
      </c>
      <c r="BU67" s="30" t="s">
        <v>575</v>
      </c>
      <c r="BV67" s="30"/>
      <c r="CH67" s="50" t="s">
        <v>39</v>
      </c>
      <c r="CM67" s="66" t="s">
        <v>440</v>
      </c>
      <c r="CN67">
        <v>0</v>
      </c>
      <c r="CW67" s="30"/>
      <c r="DC67" s="67" t="s">
        <v>445</v>
      </c>
      <c r="DK67" s="67" t="s">
        <v>579</v>
      </c>
      <c r="DO67" s="30"/>
      <c r="DP67" s="30"/>
      <c r="DQ67" s="30"/>
      <c r="DR67" s="30"/>
      <c r="FC67" t="s">
        <v>154</v>
      </c>
      <c r="FD67" s="29" t="s">
        <v>615</v>
      </c>
      <c r="FE67">
        <v>42</v>
      </c>
      <c r="FG67" s="73" t="s">
        <v>616</v>
      </c>
      <c r="FH67" s="6" t="s">
        <v>44</v>
      </c>
      <c r="FR67" t="s">
        <v>617</v>
      </c>
      <c r="FU67" s="6" t="s">
        <v>27</v>
      </c>
      <c r="FV67" s="52" t="s">
        <v>420</v>
      </c>
      <c r="GG67" t="s">
        <v>510</v>
      </c>
      <c r="GH67" s="80" t="s">
        <v>650</v>
      </c>
      <c r="GI67" s="6" t="s">
        <v>511</v>
      </c>
      <c r="GJ67" s="8">
        <v>0.29316660501855019</v>
      </c>
      <c r="GM67">
        <v>4</v>
      </c>
      <c r="GN67" t="s">
        <v>618</v>
      </c>
      <c r="GO67" s="59" t="s">
        <v>154</v>
      </c>
      <c r="GP67">
        <v>1996</v>
      </c>
      <c r="GS67" s="71" t="s">
        <v>560</v>
      </c>
      <c r="GU67" t="s">
        <v>643</v>
      </c>
    </row>
    <row r="68" spans="1:203" ht="15" thickBot="1">
      <c r="A68" s="25" t="s">
        <v>550</v>
      </c>
      <c r="C68" t="s">
        <v>549</v>
      </c>
      <c r="E68" t="s">
        <v>16</v>
      </c>
      <c r="F68" s="6" t="s">
        <v>592</v>
      </c>
      <c r="G68" t="s">
        <v>591</v>
      </c>
      <c r="H68" s="6" t="s">
        <v>4</v>
      </c>
      <c r="I68" s="59" t="s">
        <v>154</v>
      </c>
      <c r="J68" s="59" t="s">
        <v>389</v>
      </c>
      <c r="K68" s="9">
        <v>0.1</v>
      </c>
      <c r="L68" s="9">
        <v>34.566667000000002</v>
      </c>
      <c r="M68" s="30" t="s">
        <v>31</v>
      </c>
      <c r="N68" t="s">
        <v>551</v>
      </c>
      <c r="O68">
        <v>100</v>
      </c>
      <c r="Q68">
        <v>4</v>
      </c>
      <c r="R68" t="s">
        <v>593</v>
      </c>
      <c r="S68">
        <v>1994</v>
      </c>
      <c r="T68">
        <v>1998</v>
      </c>
      <c r="U68" t="s">
        <v>590</v>
      </c>
      <c r="V68" t="s">
        <v>36</v>
      </c>
      <c r="W68" t="s">
        <v>36</v>
      </c>
      <c r="X68" s="9" t="s">
        <v>556</v>
      </c>
      <c r="Y68" t="s">
        <v>476</v>
      </c>
      <c r="Z68" s="59" t="s">
        <v>43</v>
      </c>
      <c r="AA68" t="s">
        <v>559</v>
      </c>
      <c r="AB68" s="60" t="s">
        <v>415</v>
      </c>
      <c r="AC68" s="31">
        <v>53000</v>
      </c>
      <c r="AX68" t="s">
        <v>574</v>
      </c>
      <c r="AZ68" s="60" t="s">
        <v>398</v>
      </c>
      <c r="BA68">
        <v>1994</v>
      </c>
      <c r="BB68">
        <v>1998</v>
      </c>
      <c r="BM68" t="s">
        <v>569</v>
      </c>
      <c r="BN68" s="49" t="s">
        <v>36</v>
      </c>
      <c r="BO68" s="30"/>
      <c r="BS68" s="60" t="s">
        <v>416</v>
      </c>
      <c r="BT68" s="30" t="s">
        <v>569</v>
      </c>
      <c r="BU68" s="30" t="s">
        <v>575</v>
      </c>
      <c r="BV68" s="30"/>
      <c r="CH68" s="50" t="s">
        <v>39</v>
      </c>
      <c r="CM68" s="66" t="s">
        <v>440</v>
      </c>
      <c r="CN68">
        <v>0</v>
      </c>
      <c r="CW68" s="30"/>
      <c r="DC68" s="67" t="s">
        <v>445</v>
      </c>
      <c r="DK68" s="67" t="s">
        <v>579</v>
      </c>
      <c r="DO68" s="30"/>
      <c r="DP68" s="30"/>
      <c r="DQ68" s="30"/>
      <c r="DR68" s="30"/>
      <c r="FD68" s="28" t="s">
        <v>615</v>
      </c>
      <c r="FE68">
        <v>42</v>
      </c>
      <c r="FG68" s="73" t="s">
        <v>616</v>
      </c>
      <c r="FH68" s="6" t="s">
        <v>44</v>
      </c>
      <c r="FR68" t="s">
        <v>617</v>
      </c>
      <c r="FU68" s="6" t="s">
        <v>27</v>
      </c>
      <c r="FV68" s="52" t="s">
        <v>420</v>
      </c>
      <c r="GF68" t="s">
        <v>514</v>
      </c>
      <c r="GG68" t="s">
        <v>510</v>
      </c>
      <c r="GH68" s="80" t="s">
        <v>651</v>
      </c>
      <c r="GI68" s="6" t="s">
        <v>511</v>
      </c>
      <c r="GJ68" s="8">
        <v>0.23439010130176996</v>
      </c>
      <c r="GM68">
        <v>4</v>
      </c>
      <c r="GN68" t="s">
        <v>618</v>
      </c>
      <c r="GO68" s="59" t="s">
        <v>154</v>
      </c>
      <c r="GP68">
        <v>1996</v>
      </c>
      <c r="GS68" s="71" t="s">
        <v>560</v>
      </c>
      <c r="GU68" t="s">
        <v>643</v>
      </c>
    </row>
    <row r="69" spans="1:203" ht="15" thickBot="1">
      <c r="A69" s="25" t="s">
        <v>550</v>
      </c>
      <c r="C69" t="s">
        <v>549</v>
      </c>
      <c r="E69" t="s">
        <v>16</v>
      </c>
      <c r="F69" s="6" t="s">
        <v>592</v>
      </c>
      <c r="G69" t="s">
        <v>591</v>
      </c>
      <c r="H69" s="6" t="s">
        <v>4</v>
      </c>
      <c r="I69" s="59" t="s">
        <v>154</v>
      </c>
      <c r="J69" s="59" t="s">
        <v>389</v>
      </c>
      <c r="K69" s="9">
        <v>0.1</v>
      </c>
      <c r="L69" s="9">
        <v>34.566667000000002</v>
      </c>
      <c r="M69" s="30" t="s">
        <v>31</v>
      </c>
      <c r="N69" t="s">
        <v>551</v>
      </c>
      <c r="O69">
        <v>100</v>
      </c>
      <c r="Q69">
        <v>4</v>
      </c>
      <c r="R69" t="s">
        <v>593</v>
      </c>
      <c r="S69">
        <v>1994</v>
      </c>
      <c r="T69">
        <v>1998</v>
      </c>
      <c r="U69" t="s">
        <v>590</v>
      </c>
      <c r="V69" t="s">
        <v>36</v>
      </c>
      <c r="W69" t="s">
        <v>36</v>
      </c>
      <c r="X69" s="9" t="s">
        <v>557</v>
      </c>
      <c r="Y69" t="s">
        <v>477</v>
      </c>
      <c r="Z69" s="59" t="s">
        <v>43</v>
      </c>
      <c r="AA69" t="s">
        <v>559</v>
      </c>
      <c r="AB69" s="60" t="s">
        <v>415</v>
      </c>
      <c r="AC69" s="31">
        <v>53000</v>
      </c>
      <c r="AX69" t="s">
        <v>574</v>
      </c>
      <c r="AZ69" s="60" t="s">
        <v>398</v>
      </c>
      <c r="BA69">
        <v>1994</v>
      </c>
      <c r="BB69">
        <v>1998</v>
      </c>
      <c r="BM69" t="s">
        <v>570</v>
      </c>
      <c r="BN69" s="49" t="s">
        <v>36</v>
      </c>
      <c r="BO69" s="30"/>
      <c r="BS69" s="60" t="s">
        <v>416</v>
      </c>
      <c r="BT69" s="30" t="s">
        <v>576</v>
      </c>
      <c r="BU69" s="30" t="s">
        <v>575</v>
      </c>
      <c r="BV69" s="30"/>
      <c r="CG69" t="s">
        <v>570</v>
      </c>
      <c r="CH69" t="s">
        <v>37</v>
      </c>
      <c r="CI69" s="65" t="s">
        <v>439</v>
      </c>
      <c r="CM69" s="66" t="s">
        <v>440</v>
      </c>
      <c r="CN69">
        <v>60</v>
      </c>
      <c r="CQ69">
        <v>60</v>
      </c>
      <c r="CW69" s="30"/>
      <c r="DC69" s="67" t="s">
        <v>445</v>
      </c>
      <c r="DK69" s="67" t="s">
        <v>579</v>
      </c>
      <c r="DO69" s="30"/>
      <c r="DP69" s="30"/>
      <c r="DQ69" s="30"/>
      <c r="DR69" s="30"/>
      <c r="FD69" s="29" t="s">
        <v>615</v>
      </c>
      <c r="FE69">
        <v>42</v>
      </c>
      <c r="FG69" s="73" t="s">
        <v>616</v>
      </c>
      <c r="FH69" s="6" t="s">
        <v>44</v>
      </c>
      <c r="FR69" t="s">
        <v>617</v>
      </c>
      <c r="FU69" s="6" t="s">
        <v>27</v>
      </c>
      <c r="FV69" s="52" t="s">
        <v>420</v>
      </c>
      <c r="GF69" t="s">
        <v>587</v>
      </c>
      <c r="GG69" t="s">
        <v>510</v>
      </c>
      <c r="GH69" s="80" t="s">
        <v>652</v>
      </c>
      <c r="GI69" s="6" t="s">
        <v>511</v>
      </c>
      <c r="GJ69" s="8">
        <v>0.15628393132001994</v>
      </c>
      <c r="GM69">
        <v>4</v>
      </c>
      <c r="GN69" t="s">
        <v>618</v>
      </c>
      <c r="GO69" s="59" t="s">
        <v>154</v>
      </c>
      <c r="GP69">
        <v>1996</v>
      </c>
      <c r="GS69" s="71" t="s">
        <v>560</v>
      </c>
      <c r="GU69" t="s">
        <v>643</v>
      </c>
    </row>
    <row r="70" spans="1:203" ht="15" thickBot="1">
      <c r="A70" s="25" t="s">
        <v>550</v>
      </c>
      <c r="C70" t="s">
        <v>549</v>
      </c>
      <c r="E70" t="s">
        <v>16</v>
      </c>
      <c r="F70" s="6" t="s">
        <v>592</v>
      </c>
      <c r="G70" t="s">
        <v>591</v>
      </c>
      <c r="H70" s="6" t="s">
        <v>4</v>
      </c>
      <c r="I70" s="59" t="s">
        <v>154</v>
      </c>
      <c r="J70" s="59" t="s">
        <v>389</v>
      </c>
      <c r="K70" s="9">
        <v>0.1</v>
      </c>
      <c r="L70" s="9">
        <v>34.566667000000002</v>
      </c>
      <c r="M70" s="30" t="s">
        <v>31</v>
      </c>
      <c r="N70" t="s">
        <v>551</v>
      </c>
      <c r="O70">
        <v>100</v>
      </c>
      <c r="Q70">
        <v>4</v>
      </c>
      <c r="R70" t="s">
        <v>593</v>
      </c>
      <c r="S70">
        <v>1994</v>
      </c>
      <c r="T70">
        <v>1998</v>
      </c>
      <c r="U70" t="s">
        <v>590</v>
      </c>
      <c r="V70" t="s">
        <v>558</v>
      </c>
      <c r="W70" t="s">
        <v>588</v>
      </c>
      <c r="X70" s="9" t="s">
        <v>552</v>
      </c>
      <c r="Y70" t="s">
        <v>478</v>
      </c>
      <c r="Z70" s="59" t="s">
        <v>43</v>
      </c>
      <c r="AA70" t="s">
        <v>559</v>
      </c>
      <c r="AB70" s="60" t="s">
        <v>415</v>
      </c>
      <c r="AC70" s="31">
        <v>53000</v>
      </c>
      <c r="AD70" t="s">
        <v>98</v>
      </c>
      <c r="AO70" t="s">
        <v>47</v>
      </c>
      <c r="AP70" s="60" t="s">
        <v>415</v>
      </c>
      <c r="AQ70" s="31">
        <v>53000</v>
      </c>
      <c r="AX70" t="s">
        <v>574</v>
      </c>
      <c r="AZ70" s="60" t="s">
        <v>398</v>
      </c>
      <c r="BA70">
        <v>1994</v>
      </c>
      <c r="BB70">
        <v>1998</v>
      </c>
      <c r="BL70" s="60"/>
      <c r="BM70" t="s">
        <v>563</v>
      </c>
      <c r="BN70" s="67" t="s">
        <v>561</v>
      </c>
      <c r="BO70" s="30"/>
      <c r="BQ70">
        <v>1995</v>
      </c>
      <c r="BR70" t="s">
        <v>560</v>
      </c>
      <c r="BS70" s="60" t="s">
        <v>416</v>
      </c>
      <c r="BT70" s="30" t="s">
        <v>572</v>
      </c>
      <c r="BU70" s="50" t="s">
        <v>28</v>
      </c>
      <c r="BV70" s="30"/>
      <c r="BX70" s="30" t="s">
        <v>31</v>
      </c>
      <c r="BY70" s="30" t="s">
        <v>31</v>
      </c>
      <c r="BZ70" s="30" t="s">
        <v>31</v>
      </c>
      <c r="CA70" s="30" t="s">
        <v>31</v>
      </c>
      <c r="CB70" s="30" t="s">
        <v>31</v>
      </c>
      <c r="CC70" s="30" t="s">
        <v>31</v>
      </c>
      <c r="CD70" s="30" t="s">
        <v>31</v>
      </c>
      <c r="CE70" s="30" t="s">
        <v>31</v>
      </c>
      <c r="CF70" s="30" t="s">
        <v>31</v>
      </c>
      <c r="CH70" s="50" t="s">
        <v>39</v>
      </c>
      <c r="CM70" s="66" t="s">
        <v>440</v>
      </c>
      <c r="CN70">
        <v>0</v>
      </c>
      <c r="CW70" s="30"/>
      <c r="DC70" s="67" t="s">
        <v>445</v>
      </c>
      <c r="DK70" s="72" t="s">
        <v>577</v>
      </c>
      <c r="DL70" s="56" t="s">
        <v>508</v>
      </c>
      <c r="DM70" s="30"/>
      <c r="DN70" s="30" t="s">
        <v>31</v>
      </c>
      <c r="DO70" s="30"/>
      <c r="DP70" s="30"/>
      <c r="DQ70" s="30"/>
      <c r="DR70" s="30"/>
      <c r="FC70" t="s">
        <v>154</v>
      </c>
      <c r="FD70" s="28" t="s">
        <v>615</v>
      </c>
      <c r="FE70">
        <v>42</v>
      </c>
      <c r="FG70" s="73" t="s">
        <v>616</v>
      </c>
      <c r="FH70" s="6" t="s">
        <v>44</v>
      </c>
      <c r="FR70" t="s">
        <v>617</v>
      </c>
      <c r="FU70" s="6" t="s">
        <v>27</v>
      </c>
      <c r="FV70" s="52" t="s">
        <v>420</v>
      </c>
      <c r="GG70" t="s">
        <v>510</v>
      </c>
      <c r="GH70" s="80" t="s">
        <v>653</v>
      </c>
      <c r="GI70" s="6" t="s">
        <v>511</v>
      </c>
      <c r="GJ70" s="8">
        <v>0.48868259972078976</v>
      </c>
      <c r="GM70">
        <v>4</v>
      </c>
      <c r="GN70" t="s">
        <v>619</v>
      </c>
      <c r="GO70" s="59" t="s">
        <v>154</v>
      </c>
      <c r="GP70">
        <v>1997</v>
      </c>
      <c r="GS70" s="71" t="s">
        <v>560</v>
      </c>
      <c r="GU70" t="s">
        <v>644</v>
      </c>
    </row>
    <row r="71" spans="1:203" ht="15" thickBot="1">
      <c r="A71" s="25" t="s">
        <v>550</v>
      </c>
      <c r="C71" t="s">
        <v>549</v>
      </c>
      <c r="E71" t="s">
        <v>16</v>
      </c>
      <c r="F71" s="6" t="s">
        <v>592</v>
      </c>
      <c r="G71" t="s">
        <v>591</v>
      </c>
      <c r="H71" s="6" t="s">
        <v>4</v>
      </c>
      <c r="I71" s="59" t="s">
        <v>154</v>
      </c>
      <c r="J71" s="59" t="s">
        <v>389</v>
      </c>
      <c r="K71" s="9">
        <v>0.1</v>
      </c>
      <c r="L71" s="9">
        <v>34.566667000000002</v>
      </c>
      <c r="M71" s="30" t="s">
        <v>31</v>
      </c>
      <c r="N71" t="s">
        <v>551</v>
      </c>
      <c r="O71">
        <v>100</v>
      </c>
      <c r="Q71">
        <v>4</v>
      </c>
      <c r="R71" t="s">
        <v>593</v>
      </c>
      <c r="S71">
        <v>1994</v>
      </c>
      <c r="T71">
        <v>1998</v>
      </c>
      <c r="U71" t="s">
        <v>590</v>
      </c>
      <c r="V71" t="s">
        <v>558</v>
      </c>
      <c r="W71" t="s">
        <v>588</v>
      </c>
      <c r="X71" s="9" t="s">
        <v>554</v>
      </c>
      <c r="Y71" t="s">
        <v>479</v>
      </c>
      <c r="Z71" s="59" t="s">
        <v>43</v>
      </c>
      <c r="AA71" t="s">
        <v>559</v>
      </c>
      <c r="AB71" s="60" t="s">
        <v>415</v>
      </c>
      <c r="AC71" s="31">
        <v>53000</v>
      </c>
      <c r="AD71" t="s">
        <v>98</v>
      </c>
      <c r="AO71" t="s">
        <v>47</v>
      </c>
      <c r="AP71" s="60" t="s">
        <v>415</v>
      </c>
      <c r="AQ71" s="31">
        <v>53000</v>
      </c>
      <c r="AX71" t="s">
        <v>574</v>
      </c>
      <c r="AZ71" s="60" t="s">
        <v>398</v>
      </c>
      <c r="BA71">
        <v>1994</v>
      </c>
      <c r="BB71">
        <v>1998</v>
      </c>
      <c r="BL71" s="60"/>
      <c r="BM71" t="s">
        <v>564</v>
      </c>
      <c r="BN71" s="67" t="s">
        <v>562</v>
      </c>
      <c r="BO71" s="30"/>
      <c r="BQ71">
        <v>1994</v>
      </c>
      <c r="BR71" t="s">
        <v>571</v>
      </c>
      <c r="BS71" s="60" t="s">
        <v>416</v>
      </c>
      <c r="BT71" s="30" t="s">
        <v>573</v>
      </c>
      <c r="BU71" s="50" t="s">
        <v>28</v>
      </c>
      <c r="BV71" s="30"/>
      <c r="BX71" s="30" t="s">
        <v>31</v>
      </c>
      <c r="BY71" s="30" t="s">
        <v>31</v>
      </c>
      <c r="BZ71" s="30" t="s">
        <v>31</v>
      </c>
      <c r="CA71" s="30" t="s">
        <v>31</v>
      </c>
      <c r="CB71" s="30" t="s">
        <v>31</v>
      </c>
      <c r="CC71" s="30" t="s">
        <v>31</v>
      </c>
      <c r="CD71" s="30" t="s">
        <v>31</v>
      </c>
      <c r="CE71" s="30" t="s">
        <v>31</v>
      </c>
      <c r="CF71" s="30" t="s">
        <v>31</v>
      </c>
      <c r="CH71" s="50" t="s">
        <v>39</v>
      </c>
      <c r="CM71" s="66" t="s">
        <v>440</v>
      </c>
      <c r="CN71">
        <v>0</v>
      </c>
      <c r="CW71" s="30"/>
      <c r="DC71" s="67" t="s">
        <v>445</v>
      </c>
      <c r="DK71" s="72" t="s">
        <v>577</v>
      </c>
      <c r="DL71" s="56" t="s">
        <v>508</v>
      </c>
      <c r="DM71" s="30"/>
      <c r="DN71" s="30" t="s">
        <v>31</v>
      </c>
      <c r="DO71" s="30"/>
      <c r="DP71" s="30"/>
      <c r="DQ71" s="30"/>
      <c r="DR71" s="30"/>
      <c r="FC71" t="s">
        <v>154</v>
      </c>
      <c r="FD71" s="29" t="s">
        <v>615</v>
      </c>
      <c r="FE71">
        <v>42</v>
      </c>
      <c r="FG71" s="73" t="s">
        <v>616</v>
      </c>
      <c r="FH71" s="6" t="s">
        <v>44</v>
      </c>
      <c r="FR71" t="s">
        <v>617</v>
      </c>
      <c r="FU71" s="6" t="s">
        <v>27</v>
      </c>
      <c r="FV71" s="52" t="s">
        <v>420</v>
      </c>
      <c r="GG71" t="s">
        <v>510</v>
      </c>
      <c r="GH71" s="80" t="s">
        <v>654</v>
      </c>
      <c r="GI71" s="6" t="s">
        <v>511</v>
      </c>
      <c r="GJ71" s="8">
        <v>0.25393454163634033</v>
      </c>
      <c r="GM71">
        <v>4</v>
      </c>
      <c r="GN71" t="s">
        <v>619</v>
      </c>
      <c r="GO71" s="59" t="s">
        <v>154</v>
      </c>
      <c r="GP71">
        <v>1997</v>
      </c>
      <c r="GS71" s="71" t="s">
        <v>560</v>
      </c>
      <c r="GU71" t="s">
        <v>644</v>
      </c>
    </row>
    <row r="72" spans="1:203" ht="15" thickBot="1">
      <c r="A72" s="25" t="s">
        <v>550</v>
      </c>
      <c r="C72" t="s">
        <v>549</v>
      </c>
      <c r="E72" t="s">
        <v>16</v>
      </c>
      <c r="F72" s="6" t="s">
        <v>592</v>
      </c>
      <c r="G72" t="s">
        <v>591</v>
      </c>
      <c r="H72" s="6" t="s">
        <v>4</v>
      </c>
      <c r="I72" s="59" t="s">
        <v>154</v>
      </c>
      <c r="J72" s="59" t="s">
        <v>389</v>
      </c>
      <c r="K72" s="9">
        <v>0.1</v>
      </c>
      <c r="L72" s="9">
        <v>34.566667000000002</v>
      </c>
      <c r="M72" s="30" t="s">
        <v>31</v>
      </c>
      <c r="N72" t="s">
        <v>551</v>
      </c>
      <c r="O72">
        <v>100</v>
      </c>
      <c r="Q72">
        <v>4</v>
      </c>
      <c r="R72" t="s">
        <v>593</v>
      </c>
      <c r="S72">
        <v>1994</v>
      </c>
      <c r="T72">
        <v>1998</v>
      </c>
      <c r="U72" t="s">
        <v>590</v>
      </c>
      <c r="V72" t="s">
        <v>558</v>
      </c>
      <c r="W72" t="s">
        <v>589</v>
      </c>
      <c r="X72" s="9" t="s">
        <v>553</v>
      </c>
      <c r="Y72" t="s">
        <v>480</v>
      </c>
      <c r="Z72" s="59" t="s">
        <v>43</v>
      </c>
      <c r="AA72" t="s">
        <v>559</v>
      </c>
      <c r="AB72" s="60" t="s">
        <v>415</v>
      </c>
      <c r="AC72" s="31">
        <v>53000</v>
      </c>
      <c r="AP72" s="60"/>
      <c r="AQ72" s="31"/>
      <c r="AX72" t="s">
        <v>574</v>
      </c>
      <c r="AZ72" s="60" t="s">
        <v>398</v>
      </c>
      <c r="BA72">
        <v>1994</v>
      </c>
      <c r="BB72">
        <v>1998</v>
      </c>
      <c r="BM72" t="s">
        <v>565</v>
      </c>
      <c r="BN72" s="49" t="s">
        <v>566</v>
      </c>
      <c r="BO72" s="30"/>
      <c r="BQ72">
        <v>1995</v>
      </c>
      <c r="BR72" t="s">
        <v>571</v>
      </c>
      <c r="BS72" s="60" t="s">
        <v>416</v>
      </c>
      <c r="BT72" s="30" t="s">
        <v>569</v>
      </c>
      <c r="BU72" s="30" t="s">
        <v>575</v>
      </c>
      <c r="BV72" s="30"/>
      <c r="CH72" s="50" t="s">
        <v>39</v>
      </c>
      <c r="CM72" s="66" t="s">
        <v>440</v>
      </c>
      <c r="CN72">
        <v>0</v>
      </c>
      <c r="CW72" s="30"/>
      <c r="DC72" s="67" t="s">
        <v>445</v>
      </c>
      <c r="DK72" s="67" t="s">
        <v>579</v>
      </c>
      <c r="DL72" s="30"/>
      <c r="DM72" s="30"/>
      <c r="DN72" s="30"/>
      <c r="DO72" s="30"/>
      <c r="DP72" s="30"/>
      <c r="DQ72" s="30"/>
      <c r="DR72" s="30"/>
      <c r="FC72" t="s">
        <v>154</v>
      </c>
      <c r="FD72" s="28" t="s">
        <v>615</v>
      </c>
      <c r="FE72">
        <v>42</v>
      </c>
      <c r="FG72" s="73" t="s">
        <v>616</v>
      </c>
      <c r="FH72" s="6" t="s">
        <v>44</v>
      </c>
      <c r="FR72" t="s">
        <v>617</v>
      </c>
      <c r="FU72" s="6" t="s">
        <v>27</v>
      </c>
      <c r="FV72" s="52" t="s">
        <v>420</v>
      </c>
      <c r="GG72" t="s">
        <v>510</v>
      </c>
      <c r="GH72" s="80" t="s">
        <v>655</v>
      </c>
      <c r="GI72" s="6" t="s">
        <v>511</v>
      </c>
      <c r="GJ72" s="8">
        <v>0.29323819637508963</v>
      </c>
      <c r="GM72">
        <v>4</v>
      </c>
      <c r="GN72" t="s">
        <v>619</v>
      </c>
      <c r="GO72" s="59" t="s">
        <v>154</v>
      </c>
      <c r="GP72">
        <v>1997</v>
      </c>
      <c r="GS72" s="71" t="s">
        <v>560</v>
      </c>
      <c r="GU72" t="s">
        <v>644</v>
      </c>
    </row>
    <row r="73" spans="1:203" ht="15" thickBot="1">
      <c r="A73" s="25" t="s">
        <v>550</v>
      </c>
      <c r="C73" t="s">
        <v>549</v>
      </c>
      <c r="E73" t="s">
        <v>16</v>
      </c>
      <c r="F73" s="6" t="s">
        <v>592</v>
      </c>
      <c r="G73" t="s">
        <v>591</v>
      </c>
      <c r="H73" s="6" t="s">
        <v>4</v>
      </c>
      <c r="I73" s="59" t="s">
        <v>154</v>
      </c>
      <c r="J73" s="59" t="s">
        <v>389</v>
      </c>
      <c r="K73" s="9">
        <v>0.1</v>
      </c>
      <c r="L73" s="9">
        <v>34.566667000000002</v>
      </c>
      <c r="M73" s="30" t="s">
        <v>31</v>
      </c>
      <c r="N73" t="s">
        <v>551</v>
      </c>
      <c r="O73">
        <v>100</v>
      </c>
      <c r="Q73">
        <v>4</v>
      </c>
      <c r="R73" t="s">
        <v>593</v>
      </c>
      <c r="S73">
        <v>1994</v>
      </c>
      <c r="T73">
        <v>1998</v>
      </c>
      <c r="U73" t="s">
        <v>590</v>
      </c>
      <c r="V73" t="s">
        <v>558</v>
      </c>
      <c r="W73" t="s">
        <v>589</v>
      </c>
      <c r="X73" s="9" t="s">
        <v>555</v>
      </c>
      <c r="Y73" t="s">
        <v>481</v>
      </c>
      <c r="Z73" s="59" t="s">
        <v>43</v>
      </c>
      <c r="AA73" t="s">
        <v>559</v>
      </c>
      <c r="AB73" s="60" t="s">
        <v>415</v>
      </c>
      <c r="AC73" s="31">
        <v>53000</v>
      </c>
      <c r="AP73" s="60"/>
      <c r="AQ73" s="31"/>
      <c r="AX73" t="s">
        <v>574</v>
      </c>
      <c r="AZ73" s="60" t="s">
        <v>398</v>
      </c>
      <c r="BA73">
        <v>1994</v>
      </c>
      <c r="BB73">
        <v>1998</v>
      </c>
      <c r="BM73" t="s">
        <v>567</v>
      </c>
      <c r="BN73" s="49" t="s">
        <v>568</v>
      </c>
      <c r="BO73" s="30"/>
      <c r="BQ73">
        <v>1994</v>
      </c>
      <c r="BR73" t="s">
        <v>571</v>
      </c>
      <c r="BS73" s="60" t="s">
        <v>416</v>
      </c>
      <c r="BT73" s="30" t="s">
        <v>569</v>
      </c>
      <c r="BU73" s="30" t="s">
        <v>575</v>
      </c>
      <c r="BV73" s="30"/>
      <c r="CH73" s="50" t="s">
        <v>39</v>
      </c>
      <c r="CM73" s="66" t="s">
        <v>440</v>
      </c>
      <c r="CN73">
        <v>0</v>
      </c>
      <c r="CW73" s="30"/>
      <c r="DC73" s="67" t="s">
        <v>445</v>
      </c>
      <c r="DK73" s="67" t="s">
        <v>579</v>
      </c>
      <c r="DO73" s="30"/>
      <c r="DP73" s="30"/>
      <c r="DQ73" s="30"/>
      <c r="DR73" s="30"/>
      <c r="FC73" t="s">
        <v>154</v>
      </c>
      <c r="FD73" s="29" t="s">
        <v>615</v>
      </c>
      <c r="FE73">
        <v>42</v>
      </c>
      <c r="FG73" s="73" t="s">
        <v>616</v>
      </c>
      <c r="FH73" s="6" t="s">
        <v>44</v>
      </c>
      <c r="FR73" t="s">
        <v>617</v>
      </c>
      <c r="FU73" s="6" t="s">
        <v>27</v>
      </c>
      <c r="FV73" s="52" t="s">
        <v>420</v>
      </c>
      <c r="GG73" t="s">
        <v>510</v>
      </c>
      <c r="GH73" s="80" t="s">
        <v>656</v>
      </c>
      <c r="GI73" s="6" t="s">
        <v>511</v>
      </c>
      <c r="GJ73" s="8">
        <v>0.44973690176473013</v>
      </c>
      <c r="GM73">
        <v>4</v>
      </c>
      <c r="GN73" t="s">
        <v>619</v>
      </c>
      <c r="GO73" s="59" t="s">
        <v>154</v>
      </c>
      <c r="GP73">
        <v>1997</v>
      </c>
      <c r="GS73" s="71" t="s">
        <v>560</v>
      </c>
      <c r="GU73" t="s">
        <v>644</v>
      </c>
    </row>
    <row r="74" spans="1:203" ht="15" thickBot="1">
      <c r="A74" s="25" t="s">
        <v>550</v>
      </c>
      <c r="C74" t="s">
        <v>549</v>
      </c>
      <c r="E74" t="s">
        <v>16</v>
      </c>
      <c r="F74" s="6" t="s">
        <v>592</v>
      </c>
      <c r="G74" t="s">
        <v>591</v>
      </c>
      <c r="H74" s="6" t="s">
        <v>4</v>
      </c>
      <c r="I74" s="59" t="s">
        <v>154</v>
      </c>
      <c r="J74" s="59" t="s">
        <v>389</v>
      </c>
      <c r="K74" s="9">
        <v>0.1</v>
      </c>
      <c r="L74" s="9">
        <v>34.566667000000002</v>
      </c>
      <c r="M74" s="30" t="s">
        <v>31</v>
      </c>
      <c r="N74" t="s">
        <v>551</v>
      </c>
      <c r="O74">
        <v>100</v>
      </c>
      <c r="Q74">
        <v>4</v>
      </c>
      <c r="R74" t="s">
        <v>593</v>
      </c>
      <c r="S74">
        <v>1994</v>
      </c>
      <c r="T74">
        <v>1998</v>
      </c>
      <c r="U74" t="s">
        <v>590</v>
      </c>
      <c r="V74" t="s">
        <v>36</v>
      </c>
      <c r="W74" t="s">
        <v>36</v>
      </c>
      <c r="X74" s="9" t="s">
        <v>556</v>
      </c>
      <c r="Y74" t="s">
        <v>476</v>
      </c>
      <c r="Z74" s="59" t="s">
        <v>43</v>
      </c>
      <c r="AA74" t="s">
        <v>559</v>
      </c>
      <c r="AB74" s="60" t="s">
        <v>415</v>
      </c>
      <c r="AC74" s="31">
        <v>53000</v>
      </c>
      <c r="AX74" t="s">
        <v>574</v>
      </c>
      <c r="AZ74" s="60" t="s">
        <v>398</v>
      </c>
      <c r="BA74">
        <v>1994</v>
      </c>
      <c r="BB74">
        <v>1998</v>
      </c>
      <c r="BM74" t="s">
        <v>569</v>
      </c>
      <c r="BN74" s="49" t="s">
        <v>36</v>
      </c>
      <c r="BO74" s="30"/>
      <c r="BS74" s="60" t="s">
        <v>416</v>
      </c>
      <c r="BT74" s="30" t="s">
        <v>569</v>
      </c>
      <c r="BU74" s="30" t="s">
        <v>575</v>
      </c>
      <c r="BV74" s="30"/>
      <c r="CH74" s="50" t="s">
        <v>39</v>
      </c>
      <c r="CM74" s="66" t="s">
        <v>440</v>
      </c>
      <c r="CN74">
        <v>0</v>
      </c>
      <c r="CW74" s="30"/>
      <c r="DC74" s="67" t="s">
        <v>445</v>
      </c>
      <c r="DK74" s="67" t="s">
        <v>579</v>
      </c>
      <c r="DO74" s="30"/>
      <c r="DP74" s="30"/>
      <c r="DQ74" s="30"/>
      <c r="DR74" s="30"/>
      <c r="FD74" s="28" t="s">
        <v>615</v>
      </c>
      <c r="FE74">
        <v>42</v>
      </c>
      <c r="FG74" s="73" t="s">
        <v>616</v>
      </c>
      <c r="FH74" s="6" t="s">
        <v>44</v>
      </c>
      <c r="FR74" t="s">
        <v>617</v>
      </c>
      <c r="FU74" s="6" t="s">
        <v>27</v>
      </c>
      <c r="FV74" s="52" t="s">
        <v>420</v>
      </c>
      <c r="GF74" t="s">
        <v>514</v>
      </c>
      <c r="GG74" t="s">
        <v>510</v>
      </c>
      <c r="GH74" s="80" t="s">
        <v>657</v>
      </c>
      <c r="GI74" s="6" t="s">
        <v>511</v>
      </c>
      <c r="GJ74" s="8">
        <v>0.15621233996348982</v>
      </c>
      <c r="GM74">
        <v>4</v>
      </c>
      <c r="GN74" t="s">
        <v>619</v>
      </c>
      <c r="GO74" s="59" t="s">
        <v>154</v>
      </c>
      <c r="GP74">
        <v>1997</v>
      </c>
      <c r="GS74" s="71" t="s">
        <v>560</v>
      </c>
      <c r="GU74" t="s">
        <v>644</v>
      </c>
    </row>
    <row r="75" spans="1:203" ht="15" thickBot="1">
      <c r="A75" s="25" t="s">
        <v>550</v>
      </c>
      <c r="C75" t="s">
        <v>549</v>
      </c>
      <c r="E75" t="s">
        <v>16</v>
      </c>
      <c r="F75" s="6" t="s">
        <v>592</v>
      </c>
      <c r="G75" t="s">
        <v>591</v>
      </c>
      <c r="H75" s="6" t="s">
        <v>4</v>
      </c>
      <c r="I75" s="59" t="s">
        <v>154</v>
      </c>
      <c r="J75" s="59" t="s">
        <v>389</v>
      </c>
      <c r="K75" s="9">
        <v>0.1</v>
      </c>
      <c r="L75" s="9">
        <v>34.566667000000002</v>
      </c>
      <c r="M75" s="30" t="s">
        <v>31</v>
      </c>
      <c r="N75" t="s">
        <v>551</v>
      </c>
      <c r="O75">
        <v>100</v>
      </c>
      <c r="Q75">
        <v>4</v>
      </c>
      <c r="R75" t="s">
        <v>593</v>
      </c>
      <c r="S75">
        <v>1994</v>
      </c>
      <c r="T75">
        <v>1998</v>
      </c>
      <c r="U75" t="s">
        <v>590</v>
      </c>
      <c r="V75" t="s">
        <v>36</v>
      </c>
      <c r="W75" t="s">
        <v>36</v>
      </c>
      <c r="X75" s="9" t="s">
        <v>557</v>
      </c>
      <c r="Y75" t="s">
        <v>477</v>
      </c>
      <c r="Z75" s="59" t="s">
        <v>43</v>
      </c>
      <c r="AA75" t="s">
        <v>559</v>
      </c>
      <c r="AB75" s="60" t="s">
        <v>415</v>
      </c>
      <c r="AC75" s="31">
        <v>53000</v>
      </c>
      <c r="AX75" t="s">
        <v>574</v>
      </c>
      <c r="AZ75" s="60" t="s">
        <v>398</v>
      </c>
      <c r="BA75">
        <v>1994</v>
      </c>
      <c r="BB75">
        <v>1998</v>
      </c>
      <c r="BM75" t="s">
        <v>570</v>
      </c>
      <c r="BN75" s="49" t="s">
        <v>36</v>
      </c>
      <c r="BO75" s="30"/>
      <c r="BS75" s="60" t="s">
        <v>416</v>
      </c>
      <c r="BT75" s="30" t="s">
        <v>576</v>
      </c>
      <c r="BU75" s="30" t="s">
        <v>575</v>
      </c>
      <c r="BV75" s="30"/>
      <c r="CG75" t="s">
        <v>570</v>
      </c>
      <c r="CH75" t="s">
        <v>37</v>
      </c>
      <c r="CI75" s="65" t="s">
        <v>439</v>
      </c>
      <c r="CM75" s="66" t="s">
        <v>440</v>
      </c>
      <c r="CN75">
        <v>60</v>
      </c>
      <c r="CQ75">
        <v>60</v>
      </c>
      <c r="CW75" s="30"/>
      <c r="DC75" s="67" t="s">
        <v>445</v>
      </c>
      <c r="DK75" s="67" t="s">
        <v>579</v>
      </c>
      <c r="DO75" s="30"/>
      <c r="DP75" s="30"/>
      <c r="DQ75" s="30"/>
      <c r="DR75" s="30"/>
      <c r="FD75" s="29" t="s">
        <v>615</v>
      </c>
      <c r="FE75">
        <v>42</v>
      </c>
      <c r="FG75" s="73" t="s">
        <v>616</v>
      </c>
      <c r="FH75" s="6" t="s">
        <v>44</v>
      </c>
      <c r="FR75" t="s">
        <v>617</v>
      </c>
      <c r="FU75" s="6" t="s">
        <v>27</v>
      </c>
      <c r="FV75" s="52" t="s">
        <v>420</v>
      </c>
      <c r="GF75" t="s">
        <v>587</v>
      </c>
      <c r="GG75" t="s">
        <v>510</v>
      </c>
      <c r="GH75" s="80" t="s">
        <v>658</v>
      </c>
      <c r="GI75" s="6" t="s">
        <v>511</v>
      </c>
      <c r="GJ75" s="8">
        <v>0.19544440334570012</v>
      </c>
      <c r="GM75">
        <v>4</v>
      </c>
      <c r="GN75" t="s">
        <v>619</v>
      </c>
      <c r="GO75" s="59" t="s">
        <v>154</v>
      </c>
      <c r="GP75">
        <v>1997</v>
      </c>
      <c r="GS75" s="71" t="s">
        <v>560</v>
      </c>
      <c r="GU75" t="s">
        <v>644</v>
      </c>
    </row>
    <row r="76" spans="1:203" ht="15" thickBot="1">
      <c r="A76" s="25" t="s">
        <v>550</v>
      </c>
      <c r="C76" t="s">
        <v>549</v>
      </c>
      <c r="E76" t="s">
        <v>16</v>
      </c>
      <c r="F76" s="6" t="s">
        <v>592</v>
      </c>
      <c r="G76" t="s">
        <v>591</v>
      </c>
      <c r="H76" s="6" t="s">
        <v>4</v>
      </c>
      <c r="I76" s="59" t="s">
        <v>154</v>
      </c>
      <c r="J76" s="59" t="s">
        <v>389</v>
      </c>
      <c r="K76" s="9">
        <v>0.1</v>
      </c>
      <c r="L76" s="9">
        <v>34.566667000000002</v>
      </c>
      <c r="M76" s="30" t="s">
        <v>31</v>
      </c>
      <c r="N76" t="s">
        <v>551</v>
      </c>
      <c r="O76">
        <v>100</v>
      </c>
      <c r="Q76">
        <v>4</v>
      </c>
      <c r="R76" t="s">
        <v>593</v>
      </c>
      <c r="S76">
        <v>1994</v>
      </c>
      <c r="T76">
        <v>1998</v>
      </c>
      <c r="U76" t="s">
        <v>590</v>
      </c>
      <c r="V76" t="s">
        <v>558</v>
      </c>
      <c r="W76" t="s">
        <v>588</v>
      </c>
      <c r="X76" s="9" t="s">
        <v>552</v>
      </c>
      <c r="Y76" t="s">
        <v>478</v>
      </c>
      <c r="Z76" s="59" t="s">
        <v>43</v>
      </c>
      <c r="AA76" t="s">
        <v>559</v>
      </c>
      <c r="AB76" s="60" t="s">
        <v>415</v>
      </c>
      <c r="AC76" s="31">
        <v>53000</v>
      </c>
      <c r="AD76" t="s">
        <v>98</v>
      </c>
      <c r="AO76" t="s">
        <v>47</v>
      </c>
      <c r="AP76" s="60" t="s">
        <v>415</v>
      </c>
      <c r="AQ76" s="31">
        <v>53000</v>
      </c>
      <c r="AX76" t="s">
        <v>574</v>
      </c>
      <c r="AZ76" s="60" t="s">
        <v>398</v>
      </c>
      <c r="BA76">
        <v>1994</v>
      </c>
      <c r="BB76">
        <v>1998</v>
      </c>
      <c r="BL76" s="60"/>
      <c r="BM76" t="s">
        <v>563</v>
      </c>
      <c r="BN76" s="67" t="s">
        <v>561</v>
      </c>
      <c r="BO76" s="30"/>
      <c r="BQ76">
        <v>1995</v>
      </c>
      <c r="BR76" t="s">
        <v>560</v>
      </c>
      <c r="BS76" s="60" t="s">
        <v>416</v>
      </c>
      <c r="BT76" s="30" t="s">
        <v>572</v>
      </c>
      <c r="BU76" s="50" t="s">
        <v>28</v>
      </c>
      <c r="BV76" s="30"/>
      <c r="BX76" s="30" t="s">
        <v>31</v>
      </c>
      <c r="BY76" s="30" t="s">
        <v>31</v>
      </c>
      <c r="BZ76" s="30" t="s">
        <v>31</v>
      </c>
      <c r="CA76" s="30" t="s">
        <v>31</v>
      </c>
      <c r="CB76" s="30" t="s">
        <v>31</v>
      </c>
      <c r="CC76" s="30" t="s">
        <v>31</v>
      </c>
      <c r="CD76" s="30" t="s">
        <v>31</v>
      </c>
      <c r="CE76" s="30" t="s">
        <v>31</v>
      </c>
      <c r="CF76" s="30" t="s">
        <v>31</v>
      </c>
      <c r="CH76" s="50" t="s">
        <v>39</v>
      </c>
      <c r="CM76" s="66" t="s">
        <v>440</v>
      </c>
      <c r="CN76">
        <v>0</v>
      </c>
      <c r="CW76" s="30"/>
      <c r="DC76" s="67" t="s">
        <v>445</v>
      </c>
      <c r="DK76" s="72" t="s">
        <v>577</v>
      </c>
      <c r="DL76" s="56" t="s">
        <v>508</v>
      </c>
      <c r="DM76" s="30"/>
      <c r="DN76" s="30" t="s">
        <v>31</v>
      </c>
      <c r="DO76" s="30"/>
      <c r="DP76" s="30"/>
      <c r="DQ76" s="30"/>
      <c r="DR76" s="30"/>
      <c r="FC76" t="s">
        <v>154</v>
      </c>
      <c r="FD76" s="28" t="s">
        <v>615</v>
      </c>
      <c r="FE76">
        <v>42</v>
      </c>
      <c r="FG76" s="73" t="s">
        <v>616</v>
      </c>
      <c r="FH76" s="6" t="s">
        <v>44</v>
      </c>
      <c r="FR76" t="s">
        <v>617</v>
      </c>
      <c r="FU76" s="6" t="s">
        <v>27</v>
      </c>
      <c r="FV76" s="52" t="s">
        <v>420</v>
      </c>
      <c r="GG76" t="s">
        <v>510</v>
      </c>
      <c r="GH76" s="80" t="s">
        <v>659</v>
      </c>
      <c r="GI76" s="6" t="s">
        <v>511</v>
      </c>
      <c r="GJ76" s="8">
        <v>0.17582837165459986</v>
      </c>
      <c r="GM76">
        <v>4</v>
      </c>
      <c r="GN76" t="s">
        <v>620</v>
      </c>
      <c r="GO76" s="59" t="s">
        <v>154</v>
      </c>
      <c r="GP76">
        <v>1998</v>
      </c>
      <c r="GS76" s="71" t="s">
        <v>560</v>
      </c>
      <c r="GU76" t="s">
        <v>645</v>
      </c>
    </row>
    <row r="77" spans="1:203" ht="15" thickBot="1">
      <c r="A77" s="25" t="s">
        <v>550</v>
      </c>
      <c r="C77" t="s">
        <v>549</v>
      </c>
      <c r="E77" t="s">
        <v>16</v>
      </c>
      <c r="F77" s="6" t="s">
        <v>592</v>
      </c>
      <c r="G77" t="s">
        <v>591</v>
      </c>
      <c r="H77" s="6" t="s">
        <v>4</v>
      </c>
      <c r="I77" s="59" t="s">
        <v>154</v>
      </c>
      <c r="J77" s="59" t="s">
        <v>389</v>
      </c>
      <c r="K77" s="9">
        <v>0.1</v>
      </c>
      <c r="L77" s="9">
        <v>34.566667000000002</v>
      </c>
      <c r="M77" s="30" t="s">
        <v>31</v>
      </c>
      <c r="N77" t="s">
        <v>551</v>
      </c>
      <c r="O77">
        <v>100</v>
      </c>
      <c r="Q77">
        <v>4</v>
      </c>
      <c r="R77" t="s">
        <v>593</v>
      </c>
      <c r="S77">
        <v>1994</v>
      </c>
      <c r="T77">
        <v>1998</v>
      </c>
      <c r="U77" t="s">
        <v>590</v>
      </c>
      <c r="V77" t="s">
        <v>558</v>
      </c>
      <c r="W77" t="s">
        <v>588</v>
      </c>
      <c r="X77" s="9" t="s">
        <v>554</v>
      </c>
      <c r="Y77" t="s">
        <v>479</v>
      </c>
      <c r="Z77" s="59" t="s">
        <v>43</v>
      </c>
      <c r="AA77" t="s">
        <v>559</v>
      </c>
      <c r="AB77" s="60" t="s">
        <v>415</v>
      </c>
      <c r="AC77" s="31">
        <v>53000</v>
      </c>
      <c r="AD77" t="s">
        <v>98</v>
      </c>
      <c r="AO77" t="s">
        <v>47</v>
      </c>
      <c r="AP77" s="60" t="s">
        <v>415</v>
      </c>
      <c r="AQ77" s="31">
        <v>53000</v>
      </c>
      <c r="AX77" t="s">
        <v>574</v>
      </c>
      <c r="AZ77" s="60" t="s">
        <v>398</v>
      </c>
      <c r="BA77">
        <v>1994</v>
      </c>
      <c r="BB77">
        <v>1998</v>
      </c>
      <c r="BL77" s="60"/>
      <c r="BM77" t="s">
        <v>564</v>
      </c>
      <c r="BN77" s="67" t="s">
        <v>562</v>
      </c>
      <c r="BO77" s="30"/>
      <c r="BQ77">
        <v>1994</v>
      </c>
      <c r="BR77" t="s">
        <v>571</v>
      </c>
      <c r="BS77" s="60" t="s">
        <v>416</v>
      </c>
      <c r="BT77" s="30" t="s">
        <v>573</v>
      </c>
      <c r="BU77" s="50" t="s">
        <v>28</v>
      </c>
      <c r="BV77" s="30"/>
      <c r="BX77" s="30" t="s">
        <v>31</v>
      </c>
      <c r="BY77" s="30" t="s">
        <v>31</v>
      </c>
      <c r="BZ77" s="30" t="s">
        <v>31</v>
      </c>
      <c r="CA77" s="30" t="s">
        <v>31</v>
      </c>
      <c r="CB77" s="30" t="s">
        <v>31</v>
      </c>
      <c r="CC77" s="30" t="s">
        <v>31</v>
      </c>
      <c r="CD77" s="30" t="s">
        <v>31</v>
      </c>
      <c r="CE77" s="30" t="s">
        <v>31</v>
      </c>
      <c r="CF77" s="30" t="s">
        <v>31</v>
      </c>
      <c r="CH77" s="50" t="s">
        <v>39</v>
      </c>
      <c r="CM77" s="66" t="s">
        <v>440</v>
      </c>
      <c r="CN77">
        <v>0</v>
      </c>
      <c r="CW77" s="30"/>
      <c r="DC77" s="67" t="s">
        <v>445</v>
      </c>
      <c r="DK77" s="72" t="s">
        <v>577</v>
      </c>
      <c r="DL77" s="56" t="s">
        <v>508</v>
      </c>
      <c r="DM77" s="30"/>
      <c r="DN77" s="30" t="s">
        <v>31</v>
      </c>
      <c r="DO77" s="30"/>
      <c r="DP77" s="30"/>
      <c r="DQ77" s="30"/>
      <c r="DR77" s="30"/>
      <c r="FC77" t="s">
        <v>154</v>
      </c>
      <c r="FD77" s="29" t="s">
        <v>615</v>
      </c>
      <c r="FE77">
        <v>42</v>
      </c>
      <c r="FG77" s="73" t="s">
        <v>616</v>
      </c>
      <c r="FH77" s="6" t="s">
        <v>44</v>
      </c>
      <c r="FR77" t="s">
        <v>617</v>
      </c>
      <c r="FU77" s="6" t="s">
        <v>27</v>
      </c>
      <c r="FV77" s="52" t="s">
        <v>420</v>
      </c>
      <c r="GG77" t="s">
        <v>510</v>
      </c>
      <c r="GH77" s="80" t="s">
        <v>660</v>
      </c>
      <c r="GI77" s="6" t="s">
        <v>511</v>
      </c>
      <c r="GJ77" s="8">
        <v>0.11733823336394988</v>
      </c>
      <c r="GM77">
        <v>4</v>
      </c>
      <c r="GN77" t="s">
        <v>620</v>
      </c>
      <c r="GO77" s="59" t="s">
        <v>154</v>
      </c>
      <c r="GP77">
        <v>1998</v>
      </c>
      <c r="GS77" s="71" t="s">
        <v>560</v>
      </c>
      <c r="GU77" t="s">
        <v>645</v>
      </c>
    </row>
    <row r="78" spans="1:203" ht="15" thickBot="1">
      <c r="A78" s="25" t="s">
        <v>550</v>
      </c>
      <c r="C78" t="s">
        <v>549</v>
      </c>
      <c r="E78" t="s">
        <v>16</v>
      </c>
      <c r="F78" s="6" t="s">
        <v>592</v>
      </c>
      <c r="G78" t="s">
        <v>591</v>
      </c>
      <c r="H78" s="6" t="s">
        <v>4</v>
      </c>
      <c r="I78" s="59" t="s">
        <v>154</v>
      </c>
      <c r="J78" s="59" t="s">
        <v>389</v>
      </c>
      <c r="K78" s="9">
        <v>0.1</v>
      </c>
      <c r="L78" s="9">
        <v>34.566667000000002</v>
      </c>
      <c r="M78" s="30" t="s">
        <v>31</v>
      </c>
      <c r="N78" t="s">
        <v>551</v>
      </c>
      <c r="O78">
        <v>100</v>
      </c>
      <c r="Q78">
        <v>4</v>
      </c>
      <c r="R78" t="s">
        <v>593</v>
      </c>
      <c r="S78">
        <v>1994</v>
      </c>
      <c r="T78">
        <v>1998</v>
      </c>
      <c r="U78" t="s">
        <v>590</v>
      </c>
      <c r="V78" t="s">
        <v>558</v>
      </c>
      <c r="W78" t="s">
        <v>589</v>
      </c>
      <c r="X78" s="9" t="s">
        <v>553</v>
      </c>
      <c r="Y78" t="s">
        <v>480</v>
      </c>
      <c r="Z78" s="59" t="s">
        <v>43</v>
      </c>
      <c r="AA78" t="s">
        <v>559</v>
      </c>
      <c r="AB78" s="60" t="s">
        <v>415</v>
      </c>
      <c r="AC78" s="31">
        <v>53000</v>
      </c>
      <c r="AP78" s="60"/>
      <c r="AQ78" s="31"/>
      <c r="AX78" t="s">
        <v>574</v>
      </c>
      <c r="AZ78" s="60" t="s">
        <v>398</v>
      </c>
      <c r="BA78">
        <v>1994</v>
      </c>
      <c r="BB78">
        <v>1998</v>
      </c>
      <c r="BM78" t="s">
        <v>565</v>
      </c>
      <c r="BN78" s="49" t="s">
        <v>566</v>
      </c>
      <c r="BO78" s="30"/>
      <c r="BQ78">
        <v>1995</v>
      </c>
      <c r="BR78" t="s">
        <v>571</v>
      </c>
      <c r="BS78" s="60" t="s">
        <v>416</v>
      </c>
      <c r="BT78" s="30" t="s">
        <v>569</v>
      </c>
      <c r="BU78" s="30" t="s">
        <v>575</v>
      </c>
      <c r="BV78" s="30"/>
      <c r="CH78" s="50" t="s">
        <v>39</v>
      </c>
      <c r="CM78" s="66" t="s">
        <v>440</v>
      </c>
      <c r="CN78">
        <v>0</v>
      </c>
      <c r="CW78" s="30"/>
      <c r="DC78" s="67" t="s">
        <v>445</v>
      </c>
      <c r="DK78" s="67" t="s">
        <v>579</v>
      </c>
      <c r="DL78" s="30"/>
      <c r="DM78" s="30"/>
      <c r="DN78" s="30"/>
      <c r="DO78" s="30"/>
      <c r="DP78" s="30"/>
      <c r="DQ78" s="30"/>
      <c r="DR78" s="30"/>
      <c r="FC78" t="s">
        <v>154</v>
      </c>
      <c r="FD78" s="28" t="s">
        <v>615</v>
      </c>
      <c r="FE78">
        <v>42</v>
      </c>
      <c r="FG78" s="73" t="s">
        <v>616</v>
      </c>
      <c r="FH78" s="6" t="s">
        <v>44</v>
      </c>
      <c r="FR78" t="s">
        <v>617</v>
      </c>
      <c r="FU78" s="6" t="s">
        <v>27</v>
      </c>
      <c r="FV78" s="52" t="s">
        <v>420</v>
      </c>
      <c r="GG78" t="s">
        <v>510</v>
      </c>
      <c r="GH78" s="80" t="s">
        <v>661</v>
      </c>
      <c r="GI78" s="6" t="s">
        <v>511</v>
      </c>
      <c r="GJ78" s="8">
        <v>0.25414931570594979</v>
      </c>
      <c r="GM78">
        <v>4</v>
      </c>
      <c r="GN78" t="s">
        <v>620</v>
      </c>
      <c r="GO78" s="59" t="s">
        <v>154</v>
      </c>
      <c r="GP78">
        <v>1998</v>
      </c>
      <c r="GS78" s="71" t="s">
        <v>560</v>
      </c>
      <c r="GU78" t="s">
        <v>645</v>
      </c>
    </row>
    <row r="79" spans="1:203" ht="15" thickBot="1">
      <c r="A79" s="25" t="s">
        <v>550</v>
      </c>
      <c r="C79" t="s">
        <v>549</v>
      </c>
      <c r="E79" t="s">
        <v>16</v>
      </c>
      <c r="F79" s="6" t="s">
        <v>592</v>
      </c>
      <c r="G79" t="s">
        <v>591</v>
      </c>
      <c r="H79" s="6" t="s">
        <v>4</v>
      </c>
      <c r="I79" s="59" t="s">
        <v>154</v>
      </c>
      <c r="J79" s="59" t="s">
        <v>389</v>
      </c>
      <c r="K79" s="9">
        <v>0.1</v>
      </c>
      <c r="L79" s="9">
        <v>34.566667000000002</v>
      </c>
      <c r="M79" s="30" t="s">
        <v>31</v>
      </c>
      <c r="N79" t="s">
        <v>551</v>
      </c>
      <c r="O79">
        <v>100</v>
      </c>
      <c r="Q79">
        <v>4</v>
      </c>
      <c r="R79" t="s">
        <v>593</v>
      </c>
      <c r="S79">
        <v>1994</v>
      </c>
      <c r="T79">
        <v>1998</v>
      </c>
      <c r="U79" t="s">
        <v>590</v>
      </c>
      <c r="V79" t="s">
        <v>558</v>
      </c>
      <c r="W79" t="s">
        <v>589</v>
      </c>
      <c r="X79" s="9" t="s">
        <v>555</v>
      </c>
      <c r="Y79" t="s">
        <v>481</v>
      </c>
      <c r="Z79" s="59" t="s">
        <v>43</v>
      </c>
      <c r="AA79" t="s">
        <v>559</v>
      </c>
      <c r="AB79" s="60" t="s">
        <v>415</v>
      </c>
      <c r="AC79" s="31">
        <v>53000</v>
      </c>
      <c r="AP79" s="60"/>
      <c r="AQ79" s="31"/>
      <c r="AX79" t="s">
        <v>574</v>
      </c>
      <c r="AZ79" s="60" t="s">
        <v>398</v>
      </c>
      <c r="BA79">
        <v>1994</v>
      </c>
      <c r="BB79">
        <v>1998</v>
      </c>
      <c r="BM79" t="s">
        <v>567</v>
      </c>
      <c r="BN79" s="49" t="s">
        <v>568</v>
      </c>
      <c r="BO79" s="30"/>
      <c r="BQ79">
        <v>1994</v>
      </c>
      <c r="BR79" t="s">
        <v>571</v>
      </c>
      <c r="BS79" s="60" t="s">
        <v>416</v>
      </c>
      <c r="BT79" s="30" t="s">
        <v>569</v>
      </c>
      <c r="BU79" s="30" t="s">
        <v>575</v>
      </c>
      <c r="BV79" s="30"/>
      <c r="CH79" s="50" t="s">
        <v>39</v>
      </c>
      <c r="CM79" s="66" t="s">
        <v>440</v>
      </c>
      <c r="CN79">
        <v>0</v>
      </c>
      <c r="CW79" s="30"/>
      <c r="DC79" s="67" t="s">
        <v>445</v>
      </c>
      <c r="DK79" s="67" t="s">
        <v>579</v>
      </c>
      <c r="DO79" s="30"/>
      <c r="DP79" s="30"/>
      <c r="DQ79" s="30"/>
      <c r="DR79" s="30"/>
      <c r="FC79" t="s">
        <v>154</v>
      </c>
      <c r="FD79" s="29" t="s">
        <v>615</v>
      </c>
      <c r="FE79">
        <v>42</v>
      </c>
      <c r="FG79" s="73" t="s">
        <v>616</v>
      </c>
      <c r="FH79" s="6" t="s">
        <v>44</v>
      </c>
      <c r="FR79" t="s">
        <v>617</v>
      </c>
      <c r="FU79" s="6" t="s">
        <v>27</v>
      </c>
      <c r="FV79" s="52" t="s">
        <v>420</v>
      </c>
      <c r="GG79" t="s">
        <v>510</v>
      </c>
      <c r="GH79" s="80" t="s">
        <v>662</v>
      </c>
      <c r="GI79" s="6" t="s">
        <v>511</v>
      </c>
      <c r="GJ79" s="8">
        <v>0.3320407116180899</v>
      </c>
      <c r="GM79">
        <v>4</v>
      </c>
      <c r="GN79" t="s">
        <v>620</v>
      </c>
      <c r="GO79" s="59" t="s">
        <v>154</v>
      </c>
      <c r="GP79">
        <v>1998</v>
      </c>
      <c r="GS79" s="71" t="s">
        <v>560</v>
      </c>
      <c r="GU79" t="s">
        <v>645</v>
      </c>
    </row>
    <row r="80" spans="1:203" ht="15" thickBot="1">
      <c r="A80" s="25" t="s">
        <v>550</v>
      </c>
      <c r="C80" t="s">
        <v>549</v>
      </c>
      <c r="E80" t="s">
        <v>16</v>
      </c>
      <c r="F80" s="6" t="s">
        <v>592</v>
      </c>
      <c r="G80" t="s">
        <v>591</v>
      </c>
      <c r="H80" s="6" t="s">
        <v>4</v>
      </c>
      <c r="I80" s="59" t="s">
        <v>154</v>
      </c>
      <c r="J80" s="59" t="s">
        <v>389</v>
      </c>
      <c r="K80" s="9">
        <v>0.1</v>
      </c>
      <c r="L80" s="9">
        <v>34.566667000000002</v>
      </c>
      <c r="M80" s="30" t="s">
        <v>31</v>
      </c>
      <c r="N80" t="s">
        <v>551</v>
      </c>
      <c r="O80">
        <v>100</v>
      </c>
      <c r="Q80">
        <v>4</v>
      </c>
      <c r="R80" t="s">
        <v>593</v>
      </c>
      <c r="S80">
        <v>1994</v>
      </c>
      <c r="T80">
        <v>1998</v>
      </c>
      <c r="U80" t="s">
        <v>590</v>
      </c>
      <c r="V80" t="s">
        <v>36</v>
      </c>
      <c r="W80" t="s">
        <v>36</v>
      </c>
      <c r="X80" s="9" t="s">
        <v>556</v>
      </c>
      <c r="Y80" t="s">
        <v>476</v>
      </c>
      <c r="Z80" s="59" t="s">
        <v>43</v>
      </c>
      <c r="AA80" t="s">
        <v>559</v>
      </c>
      <c r="AB80" s="60" t="s">
        <v>415</v>
      </c>
      <c r="AC80" s="31">
        <v>53000</v>
      </c>
      <c r="AX80" t="s">
        <v>574</v>
      </c>
      <c r="AZ80" s="60" t="s">
        <v>398</v>
      </c>
      <c r="BA80">
        <v>1994</v>
      </c>
      <c r="BB80">
        <v>1998</v>
      </c>
      <c r="BM80" t="s">
        <v>569</v>
      </c>
      <c r="BN80" s="49" t="s">
        <v>36</v>
      </c>
      <c r="BO80" s="30"/>
      <c r="BS80" s="60" t="s">
        <v>416</v>
      </c>
      <c r="BT80" s="30" t="s">
        <v>569</v>
      </c>
      <c r="BU80" s="30" t="s">
        <v>575</v>
      </c>
      <c r="BV80" s="30"/>
      <c r="CH80" s="50" t="s">
        <v>39</v>
      </c>
      <c r="CM80" s="66" t="s">
        <v>440</v>
      </c>
      <c r="CN80">
        <v>0</v>
      </c>
      <c r="CW80" s="30"/>
      <c r="DC80" s="67" t="s">
        <v>445</v>
      </c>
      <c r="DK80" s="67" t="s">
        <v>579</v>
      </c>
      <c r="DO80" s="30"/>
      <c r="DP80" s="30"/>
      <c r="DQ80" s="30"/>
      <c r="DR80" s="30"/>
      <c r="FD80" s="28" t="s">
        <v>615</v>
      </c>
      <c r="FE80">
        <v>42</v>
      </c>
      <c r="FG80" s="73" t="s">
        <v>616</v>
      </c>
      <c r="FH80" s="6" t="s">
        <v>44</v>
      </c>
      <c r="FR80" t="s">
        <v>617</v>
      </c>
      <c r="FU80" s="6" t="s">
        <v>27</v>
      </c>
      <c r="FV80" s="52" t="s">
        <v>420</v>
      </c>
      <c r="GF80" t="s">
        <v>514</v>
      </c>
      <c r="GG80" t="s">
        <v>510</v>
      </c>
      <c r="GH80" s="80" t="s">
        <v>663</v>
      </c>
      <c r="GI80" s="6" t="s">
        <v>511</v>
      </c>
      <c r="GJ80" s="8">
        <v>0.19558758605877991</v>
      </c>
      <c r="GM80">
        <v>4</v>
      </c>
      <c r="GN80" t="s">
        <v>620</v>
      </c>
      <c r="GO80" s="59" t="s">
        <v>154</v>
      </c>
      <c r="GP80">
        <v>1998</v>
      </c>
      <c r="GS80" s="71" t="s">
        <v>560</v>
      </c>
      <c r="GU80" t="s">
        <v>645</v>
      </c>
    </row>
    <row r="81" spans="1:203" ht="15" thickBot="1">
      <c r="A81" s="25" t="s">
        <v>550</v>
      </c>
      <c r="C81" t="s">
        <v>549</v>
      </c>
      <c r="E81" t="s">
        <v>16</v>
      </c>
      <c r="F81" s="6" t="s">
        <v>592</v>
      </c>
      <c r="G81" t="s">
        <v>591</v>
      </c>
      <c r="H81" s="6" t="s">
        <v>4</v>
      </c>
      <c r="I81" s="59" t="s">
        <v>154</v>
      </c>
      <c r="J81" s="59" t="s">
        <v>389</v>
      </c>
      <c r="K81" s="9">
        <v>0.1</v>
      </c>
      <c r="L81" s="9">
        <v>34.566667000000002</v>
      </c>
      <c r="M81" s="30" t="s">
        <v>31</v>
      </c>
      <c r="N81" t="s">
        <v>551</v>
      </c>
      <c r="O81">
        <v>100</v>
      </c>
      <c r="Q81">
        <v>4</v>
      </c>
      <c r="R81" t="s">
        <v>593</v>
      </c>
      <c r="S81">
        <v>1994</v>
      </c>
      <c r="T81">
        <v>1998</v>
      </c>
      <c r="U81" t="s">
        <v>590</v>
      </c>
      <c r="V81" t="s">
        <v>36</v>
      </c>
      <c r="W81" t="s">
        <v>36</v>
      </c>
      <c r="X81" s="9" t="s">
        <v>557</v>
      </c>
      <c r="Y81" t="s">
        <v>477</v>
      </c>
      <c r="Z81" s="59" t="s">
        <v>43</v>
      </c>
      <c r="AA81" t="s">
        <v>559</v>
      </c>
      <c r="AB81" s="60" t="s">
        <v>415</v>
      </c>
      <c r="AC81" s="31">
        <v>53000</v>
      </c>
      <c r="AX81" t="s">
        <v>574</v>
      </c>
      <c r="AZ81" s="60" t="s">
        <v>398</v>
      </c>
      <c r="BA81">
        <v>1994</v>
      </c>
      <c r="BB81">
        <v>1998</v>
      </c>
      <c r="BM81" t="s">
        <v>570</v>
      </c>
      <c r="BN81" s="49" t="s">
        <v>36</v>
      </c>
      <c r="BO81" s="30"/>
      <c r="BS81" s="60" t="s">
        <v>416</v>
      </c>
      <c r="BT81" s="30" t="s">
        <v>576</v>
      </c>
      <c r="BU81" s="30" t="s">
        <v>575</v>
      </c>
      <c r="BV81" s="30"/>
      <c r="CG81" t="s">
        <v>570</v>
      </c>
      <c r="CH81" t="s">
        <v>37</v>
      </c>
      <c r="CI81" s="65" t="s">
        <v>439</v>
      </c>
      <c r="CM81" s="66" t="s">
        <v>440</v>
      </c>
      <c r="CN81">
        <v>60</v>
      </c>
      <c r="CQ81">
        <v>60</v>
      </c>
      <c r="CW81" s="30"/>
      <c r="DC81" s="67" t="s">
        <v>445</v>
      </c>
      <c r="DK81" s="67" t="s">
        <v>579</v>
      </c>
      <c r="DO81" s="30"/>
      <c r="DP81" s="30"/>
      <c r="DQ81" s="30"/>
      <c r="DR81" s="30"/>
      <c r="FD81" s="29" t="s">
        <v>615</v>
      </c>
      <c r="FE81">
        <v>42</v>
      </c>
      <c r="FG81" s="73" t="s">
        <v>616</v>
      </c>
      <c r="FH81" s="6" t="s">
        <v>44</v>
      </c>
      <c r="FR81" t="s">
        <v>617</v>
      </c>
      <c r="FU81" s="6" t="s">
        <v>27</v>
      </c>
      <c r="FV81" s="52" t="s">
        <v>420</v>
      </c>
      <c r="GF81" t="s">
        <v>587</v>
      </c>
      <c r="GG81" t="s">
        <v>510</v>
      </c>
      <c r="GH81" s="80" t="s">
        <v>664</v>
      </c>
      <c r="GI81" s="6" t="s">
        <v>511</v>
      </c>
      <c r="GJ81" s="8">
        <v>9.7793793029389953E-2</v>
      </c>
      <c r="GM81">
        <v>4</v>
      </c>
      <c r="GN81" t="s">
        <v>620</v>
      </c>
      <c r="GO81" s="59" t="s">
        <v>154</v>
      </c>
      <c r="GP81">
        <v>1998</v>
      </c>
      <c r="GS81" s="71" t="s">
        <v>560</v>
      </c>
      <c r="GU81" t="s">
        <v>645</v>
      </c>
    </row>
    <row r="82" spans="1:203" ht="15" thickBot="1">
      <c r="A82" s="25" t="s">
        <v>550</v>
      </c>
      <c r="C82" t="s">
        <v>549</v>
      </c>
      <c r="E82" t="s">
        <v>16</v>
      </c>
      <c r="F82" s="6" t="s">
        <v>592</v>
      </c>
      <c r="G82" t="s">
        <v>591</v>
      </c>
      <c r="H82" s="6" t="s">
        <v>4</v>
      </c>
      <c r="I82" s="59" t="s">
        <v>154</v>
      </c>
      <c r="J82" s="59" t="s">
        <v>389</v>
      </c>
      <c r="K82" s="9">
        <v>0.1</v>
      </c>
      <c r="L82" s="9">
        <v>34.566667000000002</v>
      </c>
      <c r="M82" s="30" t="s">
        <v>31</v>
      </c>
      <c r="N82" t="s">
        <v>551</v>
      </c>
      <c r="O82">
        <v>100</v>
      </c>
      <c r="Q82">
        <v>4</v>
      </c>
      <c r="R82" t="s">
        <v>593</v>
      </c>
      <c r="S82">
        <v>1994</v>
      </c>
      <c r="T82">
        <v>1998</v>
      </c>
      <c r="U82" t="s">
        <v>590</v>
      </c>
      <c r="V82" t="s">
        <v>558</v>
      </c>
      <c r="W82" t="s">
        <v>588</v>
      </c>
      <c r="X82" s="9" t="s">
        <v>552</v>
      </c>
      <c r="Y82" t="s">
        <v>478</v>
      </c>
      <c r="Z82" s="59" t="s">
        <v>43</v>
      </c>
      <c r="AA82" t="s">
        <v>559</v>
      </c>
      <c r="AB82" s="60" t="s">
        <v>415</v>
      </c>
      <c r="AC82" s="31">
        <v>53000</v>
      </c>
      <c r="AD82" t="s">
        <v>98</v>
      </c>
      <c r="AO82" t="s">
        <v>47</v>
      </c>
      <c r="AP82" s="60" t="s">
        <v>415</v>
      </c>
      <c r="AQ82" s="31">
        <v>53000</v>
      </c>
      <c r="AX82" t="s">
        <v>574</v>
      </c>
      <c r="AZ82" s="60" t="s">
        <v>398</v>
      </c>
      <c r="BA82">
        <v>1994</v>
      </c>
      <c r="BB82">
        <v>1998</v>
      </c>
      <c r="BL82" s="60"/>
      <c r="BM82" t="s">
        <v>563</v>
      </c>
      <c r="BN82" s="67" t="s">
        <v>561</v>
      </c>
      <c r="BO82" s="30"/>
      <c r="BQ82">
        <v>1995</v>
      </c>
      <c r="BR82" t="s">
        <v>560</v>
      </c>
      <c r="BS82" s="60" t="s">
        <v>416</v>
      </c>
      <c r="BT82" s="30" t="s">
        <v>572</v>
      </c>
      <c r="BU82" s="50" t="s">
        <v>28</v>
      </c>
      <c r="BV82" s="30"/>
      <c r="BX82" s="30" t="s">
        <v>31</v>
      </c>
      <c r="BY82" s="30" t="s">
        <v>31</v>
      </c>
      <c r="BZ82" s="30" t="s">
        <v>31</v>
      </c>
      <c r="CA82" s="30" t="s">
        <v>31</v>
      </c>
      <c r="CB82" s="30" t="s">
        <v>31</v>
      </c>
      <c r="CC82" s="30" t="s">
        <v>31</v>
      </c>
      <c r="CD82" s="30" t="s">
        <v>31</v>
      </c>
      <c r="CE82" s="30" t="s">
        <v>31</v>
      </c>
      <c r="CF82" s="30" t="s">
        <v>31</v>
      </c>
      <c r="CH82" s="50" t="s">
        <v>39</v>
      </c>
      <c r="CM82" s="66" t="s">
        <v>440</v>
      </c>
      <c r="CN82">
        <v>0</v>
      </c>
      <c r="CW82" s="30"/>
      <c r="DC82" s="67" t="s">
        <v>445</v>
      </c>
      <c r="DK82" s="72" t="s">
        <v>577</v>
      </c>
      <c r="DL82" s="56" t="s">
        <v>508</v>
      </c>
      <c r="DM82" s="30"/>
      <c r="DN82" s="30" t="s">
        <v>31</v>
      </c>
      <c r="DO82" s="30"/>
      <c r="DP82" s="30"/>
      <c r="DQ82" s="30"/>
      <c r="DR82" s="30"/>
      <c r="FC82" t="s">
        <v>154</v>
      </c>
      <c r="FD82" s="28" t="s">
        <v>615</v>
      </c>
      <c r="FE82">
        <v>42</v>
      </c>
      <c r="FG82" s="73" t="s">
        <v>616</v>
      </c>
      <c r="FH82" s="6" t="s">
        <v>44</v>
      </c>
      <c r="FR82" t="s">
        <v>617</v>
      </c>
      <c r="FU82" s="6" t="s">
        <v>27</v>
      </c>
      <c r="FV82" s="52" t="s">
        <v>420</v>
      </c>
      <c r="GG82" t="s">
        <v>510</v>
      </c>
      <c r="GH82" s="80" t="s">
        <v>665</v>
      </c>
      <c r="GI82" s="6" t="s">
        <v>511</v>
      </c>
      <c r="GJ82" s="8">
        <v>0.4952380952380997</v>
      </c>
      <c r="GM82">
        <v>4</v>
      </c>
      <c r="GN82" t="s">
        <v>621</v>
      </c>
      <c r="GO82" s="59" t="s">
        <v>154</v>
      </c>
      <c r="GP82">
        <v>1996</v>
      </c>
      <c r="GS82" s="71" t="s">
        <v>571</v>
      </c>
      <c r="GU82" t="s">
        <v>643</v>
      </c>
    </row>
    <row r="83" spans="1:203" ht="15" thickBot="1">
      <c r="A83" s="25" t="s">
        <v>550</v>
      </c>
      <c r="C83" t="s">
        <v>549</v>
      </c>
      <c r="E83" t="s">
        <v>16</v>
      </c>
      <c r="F83" s="6" t="s">
        <v>592</v>
      </c>
      <c r="G83" t="s">
        <v>591</v>
      </c>
      <c r="H83" s="6" t="s">
        <v>4</v>
      </c>
      <c r="I83" s="59" t="s">
        <v>154</v>
      </c>
      <c r="J83" s="59" t="s">
        <v>389</v>
      </c>
      <c r="K83" s="9">
        <v>0.1</v>
      </c>
      <c r="L83" s="9">
        <v>34.566667000000002</v>
      </c>
      <c r="M83" s="30" t="s">
        <v>31</v>
      </c>
      <c r="N83" t="s">
        <v>551</v>
      </c>
      <c r="O83">
        <v>100</v>
      </c>
      <c r="Q83">
        <v>4</v>
      </c>
      <c r="R83" t="s">
        <v>593</v>
      </c>
      <c r="S83">
        <v>1994</v>
      </c>
      <c r="T83">
        <v>1998</v>
      </c>
      <c r="U83" t="s">
        <v>590</v>
      </c>
      <c r="V83" t="s">
        <v>558</v>
      </c>
      <c r="W83" t="s">
        <v>588</v>
      </c>
      <c r="X83" s="9" t="s">
        <v>554</v>
      </c>
      <c r="Y83" t="s">
        <v>479</v>
      </c>
      <c r="Z83" s="59" t="s">
        <v>43</v>
      </c>
      <c r="AA83" t="s">
        <v>559</v>
      </c>
      <c r="AB83" s="60" t="s">
        <v>415</v>
      </c>
      <c r="AC83" s="31">
        <v>53000</v>
      </c>
      <c r="AD83" t="s">
        <v>98</v>
      </c>
      <c r="AO83" t="s">
        <v>47</v>
      </c>
      <c r="AP83" s="60" t="s">
        <v>415</v>
      </c>
      <c r="AQ83" s="31">
        <v>53000</v>
      </c>
      <c r="AX83" t="s">
        <v>574</v>
      </c>
      <c r="AZ83" s="60" t="s">
        <v>398</v>
      </c>
      <c r="BA83">
        <v>1994</v>
      </c>
      <c r="BB83">
        <v>1998</v>
      </c>
      <c r="BL83" s="60"/>
      <c r="BM83" t="s">
        <v>564</v>
      </c>
      <c r="BN83" s="67" t="s">
        <v>562</v>
      </c>
      <c r="BO83" s="30"/>
      <c r="BQ83">
        <v>1994</v>
      </c>
      <c r="BR83" t="s">
        <v>571</v>
      </c>
      <c r="BS83" s="60" t="s">
        <v>416</v>
      </c>
      <c r="BT83" s="30" t="s">
        <v>573</v>
      </c>
      <c r="BU83" s="50" t="s">
        <v>28</v>
      </c>
      <c r="BV83" s="30"/>
      <c r="BX83" s="30" t="s">
        <v>31</v>
      </c>
      <c r="BY83" s="30" t="s">
        <v>31</v>
      </c>
      <c r="BZ83" s="30" t="s">
        <v>31</v>
      </c>
      <c r="CA83" s="30" t="s">
        <v>31</v>
      </c>
      <c r="CB83" s="30" t="s">
        <v>31</v>
      </c>
      <c r="CC83" s="30" t="s">
        <v>31</v>
      </c>
      <c r="CD83" s="30" t="s">
        <v>31</v>
      </c>
      <c r="CE83" s="30" t="s">
        <v>31</v>
      </c>
      <c r="CF83" s="30" t="s">
        <v>31</v>
      </c>
      <c r="CH83" s="50" t="s">
        <v>39</v>
      </c>
      <c r="CM83" s="66" t="s">
        <v>440</v>
      </c>
      <c r="CN83">
        <v>0</v>
      </c>
      <c r="CW83" s="30"/>
      <c r="DC83" s="67" t="s">
        <v>445</v>
      </c>
      <c r="DK83" s="72" t="s">
        <v>577</v>
      </c>
      <c r="DL83" s="56" t="s">
        <v>508</v>
      </c>
      <c r="DM83" s="30"/>
      <c r="DN83" s="30" t="s">
        <v>31</v>
      </c>
      <c r="DO83" s="30"/>
      <c r="DP83" s="30"/>
      <c r="DQ83" s="30"/>
      <c r="DR83" s="30"/>
      <c r="FC83" t="s">
        <v>154</v>
      </c>
      <c r="FD83" s="29" t="s">
        <v>615</v>
      </c>
      <c r="FE83">
        <v>42</v>
      </c>
      <c r="FG83" s="73" t="s">
        <v>616</v>
      </c>
      <c r="FH83" s="6" t="s">
        <v>44</v>
      </c>
      <c r="FR83" t="s">
        <v>617</v>
      </c>
      <c r="FU83" s="6" t="s">
        <v>27</v>
      </c>
      <c r="FV83" s="52" t="s">
        <v>420</v>
      </c>
      <c r="GG83" t="s">
        <v>510</v>
      </c>
      <c r="GH83" s="80" t="s">
        <v>666</v>
      </c>
      <c r="GI83" s="6" t="s">
        <v>511</v>
      </c>
      <c r="GJ83" s="8">
        <v>0.19047619047619002</v>
      </c>
      <c r="GM83">
        <v>4</v>
      </c>
      <c r="GN83" t="s">
        <v>621</v>
      </c>
      <c r="GO83" s="59" t="s">
        <v>154</v>
      </c>
      <c r="GP83">
        <v>1996</v>
      </c>
      <c r="GS83" s="71" t="s">
        <v>571</v>
      </c>
      <c r="GU83" t="s">
        <v>643</v>
      </c>
    </row>
    <row r="84" spans="1:203" ht="15" thickBot="1">
      <c r="A84" s="25" t="s">
        <v>550</v>
      </c>
      <c r="C84" t="s">
        <v>549</v>
      </c>
      <c r="E84" t="s">
        <v>16</v>
      </c>
      <c r="F84" s="6" t="s">
        <v>592</v>
      </c>
      <c r="G84" t="s">
        <v>591</v>
      </c>
      <c r="H84" s="6" t="s">
        <v>4</v>
      </c>
      <c r="I84" s="59" t="s">
        <v>154</v>
      </c>
      <c r="J84" s="59" t="s">
        <v>389</v>
      </c>
      <c r="K84" s="9">
        <v>0.1</v>
      </c>
      <c r="L84" s="9">
        <v>34.566667000000002</v>
      </c>
      <c r="M84" s="30" t="s">
        <v>31</v>
      </c>
      <c r="N84" t="s">
        <v>551</v>
      </c>
      <c r="O84">
        <v>100</v>
      </c>
      <c r="Q84">
        <v>4</v>
      </c>
      <c r="R84" t="s">
        <v>593</v>
      </c>
      <c r="S84">
        <v>1994</v>
      </c>
      <c r="T84">
        <v>1998</v>
      </c>
      <c r="U84" t="s">
        <v>590</v>
      </c>
      <c r="V84" t="s">
        <v>558</v>
      </c>
      <c r="W84" t="s">
        <v>589</v>
      </c>
      <c r="X84" s="9" t="s">
        <v>553</v>
      </c>
      <c r="Y84" t="s">
        <v>480</v>
      </c>
      <c r="Z84" s="59" t="s">
        <v>43</v>
      </c>
      <c r="AA84" t="s">
        <v>559</v>
      </c>
      <c r="AB84" s="60" t="s">
        <v>415</v>
      </c>
      <c r="AC84" s="31">
        <v>53000</v>
      </c>
      <c r="AP84" s="60"/>
      <c r="AQ84" s="31"/>
      <c r="AX84" t="s">
        <v>574</v>
      </c>
      <c r="AZ84" s="60" t="s">
        <v>398</v>
      </c>
      <c r="BA84">
        <v>1994</v>
      </c>
      <c r="BB84">
        <v>1998</v>
      </c>
      <c r="BM84" t="s">
        <v>565</v>
      </c>
      <c r="BN84" s="49" t="s">
        <v>566</v>
      </c>
      <c r="BO84" s="30"/>
      <c r="BQ84">
        <v>1995</v>
      </c>
      <c r="BR84" t="s">
        <v>571</v>
      </c>
      <c r="BS84" s="60" t="s">
        <v>416</v>
      </c>
      <c r="BT84" s="30" t="s">
        <v>569</v>
      </c>
      <c r="BU84" s="30" t="s">
        <v>575</v>
      </c>
      <c r="BV84" s="30"/>
      <c r="CH84" s="50" t="s">
        <v>39</v>
      </c>
      <c r="CM84" s="66" t="s">
        <v>440</v>
      </c>
      <c r="CN84">
        <v>0</v>
      </c>
      <c r="CW84" s="30"/>
      <c r="DC84" s="67" t="s">
        <v>445</v>
      </c>
      <c r="DK84" s="67" t="s">
        <v>579</v>
      </c>
      <c r="DL84" s="30"/>
      <c r="DM84" s="30"/>
      <c r="DN84" s="30"/>
      <c r="DO84" s="30"/>
      <c r="DP84" s="30"/>
      <c r="DQ84" s="30"/>
      <c r="DR84" s="30"/>
      <c r="FC84" t="s">
        <v>154</v>
      </c>
      <c r="FD84" s="28" t="s">
        <v>615</v>
      </c>
      <c r="FE84">
        <v>42</v>
      </c>
      <c r="FG84" s="73" t="s">
        <v>616</v>
      </c>
      <c r="FH84" s="6" t="s">
        <v>44</v>
      </c>
      <c r="FR84" t="s">
        <v>617</v>
      </c>
      <c r="FU84" s="6" t="s">
        <v>27</v>
      </c>
      <c r="FV84" s="52" t="s">
        <v>420</v>
      </c>
      <c r="GG84" t="s">
        <v>510</v>
      </c>
      <c r="GH84" s="80" t="s">
        <v>667</v>
      </c>
      <c r="GI84" s="6" t="s">
        <v>511</v>
      </c>
      <c r="GJ84" s="8">
        <v>0.20952380952380989</v>
      </c>
      <c r="GM84">
        <v>4</v>
      </c>
      <c r="GN84" t="s">
        <v>621</v>
      </c>
      <c r="GO84" s="59" t="s">
        <v>154</v>
      </c>
      <c r="GP84">
        <v>1996</v>
      </c>
      <c r="GS84" s="71" t="s">
        <v>571</v>
      </c>
      <c r="GU84" t="s">
        <v>643</v>
      </c>
    </row>
    <row r="85" spans="1:203" ht="15" thickBot="1">
      <c r="A85" s="25" t="s">
        <v>550</v>
      </c>
      <c r="C85" t="s">
        <v>549</v>
      </c>
      <c r="E85" t="s">
        <v>16</v>
      </c>
      <c r="F85" s="6" t="s">
        <v>592</v>
      </c>
      <c r="G85" t="s">
        <v>591</v>
      </c>
      <c r="H85" s="6" t="s">
        <v>4</v>
      </c>
      <c r="I85" s="59" t="s">
        <v>154</v>
      </c>
      <c r="J85" s="59" t="s">
        <v>389</v>
      </c>
      <c r="K85" s="9">
        <v>0.1</v>
      </c>
      <c r="L85" s="9">
        <v>34.566667000000002</v>
      </c>
      <c r="M85" s="30" t="s">
        <v>31</v>
      </c>
      <c r="N85" t="s">
        <v>551</v>
      </c>
      <c r="O85">
        <v>100</v>
      </c>
      <c r="Q85">
        <v>4</v>
      </c>
      <c r="R85" t="s">
        <v>593</v>
      </c>
      <c r="S85">
        <v>1994</v>
      </c>
      <c r="T85">
        <v>1998</v>
      </c>
      <c r="U85" t="s">
        <v>590</v>
      </c>
      <c r="V85" t="s">
        <v>558</v>
      </c>
      <c r="W85" t="s">
        <v>589</v>
      </c>
      <c r="X85" s="9" t="s">
        <v>555</v>
      </c>
      <c r="Y85" t="s">
        <v>481</v>
      </c>
      <c r="Z85" s="59" t="s">
        <v>43</v>
      </c>
      <c r="AA85" t="s">
        <v>559</v>
      </c>
      <c r="AB85" s="60" t="s">
        <v>415</v>
      </c>
      <c r="AC85" s="31">
        <v>53000</v>
      </c>
      <c r="AP85" s="60"/>
      <c r="AQ85" s="31"/>
      <c r="AX85" t="s">
        <v>574</v>
      </c>
      <c r="AZ85" s="60" t="s">
        <v>398</v>
      </c>
      <c r="BA85">
        <v>1994</v>
      </c>
      <c r="BB85">
        <v>1998</v>
      </c>
      <c r="BM85" t="s">
        <v>567</v>
      </c>
      <c r="BN85" s="49" t="s">
        <v>568</v>
      </c>
      <c r="BO85" s="30"/>
      <c r="BQ85">
        <v>1994</v>
      </c>
      <c r="BR85" t="s">
        <v>571</v>
      </c>
      <c r="BS85" s="60" t="s">
        <v>416</v>
      </c>
      <c r="BT85" s="30" t="s">
        <v>569</v>
      </c>
      <c r="BU85" s="30" t="s">
        <v>575</v>
      </c>
      <c r="BV85" s="30"/>
      <c r="CH85" s="50" t="s">
        <v>39</v>
      </c>
      <c r="CM85" s="66" t="s">
        <v>440</v>
      </c>
      <c r="CN85">
        <v>0</v>
      </c>
      <c r="CW85" s="30"/>
      <c r="DC85" s="67" t="s">
        <v>445</v>
      </c>
      <c r="DK85" s="67" t="s">
        <v>579</v>
      </c>
      <c r="DO85" s="30"/>
      <c r="DP85" s="30"/>
      <c r="DQ85" s="30"/>
      <c r="DR85" s="30"/>
      <c r="FC85" t="s">
        <v>154</v>
      </c>
      <c r="FD85" s="29" t="s">
        <v>615</v>
      </c>
      <c r="FE85">
        <v>42</v>
      </c>
      <c r="FG85" s="73" t="s">
        <v>616</v>
      </c>
      <c r="FH85" s="6" t="s">
        <v>44</v>
      </c>
      <c r="FR85" t="s">
        <v>617</v>
      </c>
      <c r="FU85" s="6" t="s">
        <v>27</v>
      </c>
      <c r="FV85" s="52" t="s">
        <v>420</v>
      </c>
      <c r="GG85" t="s">
        <v>510</v>
      </c>
      <c r="GH85" s="80" t="s">
        <v>668</v>
      </c>
      <c r="GI85" s="6" t="s">
        <v>511</v>
      </c>
      <c r="GJ85" s="8">
        <v>0.19047619047620001</v>
      </c>
      <c r="GM85">
        <v>4</v>
      </c>
      <c r="GN85" t="s">
        <v>621</v>
      </c>
      <c r="GO85" s="59" t="s">
        <v>154</v>
      </c>
      <c r="GP85">
        <v>1996</v>
      </c>
      <c r="GS85" s="71" t="s">
        <v>571</v>
      </c>
      <c r="GU85" t="s">
        <v>643</v>
      </c>
    </row>
    <row r="86" spans="1:203" ht="15" thickBot="1">
      <c r="A86" s="25" t="s">
        <v>550</v>
      </c>
      <c r="C86" t="s">
        <v>549</v>
      </c>
      <c r="E86" t="s">
        <v>16</v>
      </c>
      <c r="F86" s="6" t="s">
        <v>592</v>
      </c>
      <c r="G86" t="s">
        <v>591</v>
      </c>
      <c r="H86" s="6" t="s">
        <v>4</v>
      </c>
      <c r="I86" s="59" t="s">
        <v>154</v>
      </c>
      <c r="J86" s="59" t="s">
        <v>389</v>
      </c>
      <c r="K86" s="9">
        <v>0.1</v>
      </c>
      <c r="L86" s="9">
        <v>34.566667000000002</v>
      </c>
      <c r="M86" s="30" t="s">
        <v>31</v>
      </c>
      <c r="N86" t="s">
        <v>551</v>
      </c>
      <c r="O86">
        <v>100</v>
      </c>
      <c r="Q86">
        <v>4</v>
      </c>
      <c r="R86" t="s">
        <v>593</v>
      </c>
      <c r="S86">
        <v>1994</v>
      </c>
      <c r="T86">
        <v>1998</v>
      </c>
      <c r="U86" t="s">
        <v>590</v>
      </c>
      <c r="V86" t="s">
        <v>36</v>
      </c>
      <c r="W86" t="s">
        <v>36</v>
      </c>
      <c r="X86" s="9" t="s">
        <v>556</v>
      </c>
      <c r="Y86" t="s">
        <v>476</v>
      </c>
      <c r="Z86" s="59" t="s">
        <v>43</v>
      </c>
      <c r="AA86" t="s">
        <v>559</v>
      </c>
      <c r="AB86" s="60" t="s">
        <v>415</v>
      </c>
      <c r="AC86" s="31">
        <v>53000</v>
      </c>
      <c r="AX86" t="s">
        <v>574</v>
      </c>
      <c r="AZ86" s="60" t="s">
        <v>398</v>
      </c>
      <c r="BA86">
        <v>1994</v>
      </c>
      <c r="BB86">
        <v>1998</v>
      </c>
      <c r="BM86" t="s">
        <v>569</v>
      </c>
      <c r="BN86" s="49" t="s">
        <v>36</v>
      </c>
      <c r="BO86" s="30"/>
      <c r="BS86" s="60" t="s">
        <v>416</v>
      </c>
      <c r="BT86" s="30" t="s">
        <v>569</v>
      </c>
      <c r="BU86" s="30" t="s">
        <v>575</v>
      </c>
      <c r="BV86" s="30"/>
      <c r="CH86" s="50" t="s">
        <v>39</v>
      </c>
      <c r="CM86" s="66" t="s">
        <v>440</v>
      </c>
      <c r="CN86">
        <v>0</v>
      </c>
      <c r="CW86" s="30"/>
      <c r="DC86" s="67" t="s">
        <v>445</v>
      </c>
      <c r="DK86" s="67" t="s">
        <v>579</v>
      </c>
      <c r="DO86" s="30"/>
      <c r="DP86" s="30"/>
      <c r="DQ86" s="30"/>
      <c r="DR86" s="30"/>
      <c r="FD86" s="28" t="s">
        <v>615</v>
      </c>
      <c r="FE86">
        <v>42</v>
      </c>
      <c r="FG86" s="73" t="s">
        <v>616</v>
      </c>
      <c r="FH86" s="6" t="s">
        <v>44</v>
      </c>
      <c r="FR86" t="s">
        <v>617</v>
      </c>
      <c r="FU86" s="6" t="s">
        <v>27</v>
      </c>
      <c r="FV86" s="52" t="s">
        <v>420</v>
      </c>
      <c r="GF86" t="s">
        <v>514</v>
      </c>
      <c r="GG86" t="s">
        <v>510</v>
      </c>
      <c r="GH86" s="80" t="s">
        <v>669</v>
      </c>
      <c r="GI86" s="6" t="s">
        <v>511</v>
      </c>
      <c r="GJ86" s="8">
        <v>5.7142857142850056E-2</v>
      </c>
      <c r="GM86">
        <v>4</v>
      </c>
      <c r="GN86" t="s">
        <v>621</v>
      </c>
      <c r="GO86" s="59" t="s">
        <v>154</v>
      </c>
      <c r="GP86">
        <v>1996</v>
      </c>
      <c r="GS86" s="71" t="s">
        <v>571</v>
      </c>
      <c r="GU86" t="s">
        <v>643</v>
      </c>
    </row>
    <row r="87" spans="1:203" ht="15" thickBot="1">
      <c r="A87" s="76" t="s">
        <v>550</v>
      </c>
      <c r="B87" s="59"/>
      <c r="C87" s="59" t="s">
        <v>549</v>
      </c>
      <c r="D87" s="59"/>
      <c r="E87" s="59" t="s">
        <v>16</v>
      </c>
      <c r="F87" s="60" t="s">
        <v>592</v>
      </c>
      <c r="G87" s="59" t="s">
        <v>591</v>
      </c>
      <c r="H87" s="60" t="s">
        <v>4</v>
      </c>
      <c r="I87" s="59" t="s">
        <v>154</v>
      </c>
      <c r="J87" s="59" t="s">
        <v>389</v>
      </c>
      <c r="K87" s="77">
        <v>0.1</v>
      </c>
      <c r="L87" s="77">
        <v>34.566667000000002</v>
      </c>
      <c r="M87" s="61" t="s">
        <v>31</v>
      </c>
      <c r="N87" s="59" t="s">
        <v>551</v>
      </c>
      <c r="O87" s="59">
        <v>100</v>
      </c>
      <c r="P87" s="59"/>
      <c r="Q87" s="59">
        <v>4</v>
      </c>
      <c r="R87" s="59" t="s">
        <v>593</v>
      </c>
      <c r="S87" s="59">
        <v>1994</v>
      </c>
      <c r="T87" s="59">
        <v>1998</v>
      </c>
      <c r="U87" s="59" t="s">
        <v>590</v>
      </c>
      <c r="V87" s="59" t="s">
        <v>36</v>
      </c>
      <c r="W87" s="59" t="s">
        <v>36</v>
      </c>
      <c r="X87" s="77" t="s">
        <v>557</v>
      </c>
      <c r="Y87" s="59" t="s">
        <v>477</v>
      </c>
      <c r="Z87" s="59" t="s">
        <v>43</v>
      </c>
      <c r="AA87" s="59" t="s">
        <v>559</v>
      </c>
      <c r="AB87" s="60" t="s">
        <v>415</v>
      </c>
      <c r="AC87" s="62">
        <v>53000</v>
      </c>
      <c r="AD87" s="59"/>
      <c r="AE87" s="59"/>
      <c r="AF87" s="59"/>
      <c r="AG87" s="59"/>
      <c r="AH87" s="59"/>
      <c r="AI87" s="59"/>
      <c r="AJ87" s="59"/>
      <c r="AK87" s="59"/>
      <c r="AL87" s="59"/>
      <c r="AM87" s="59"/>
      <c r="AN87" s="59"/>
      <c r="AO87" s="59"/>
      <c r="AP87" s="59"/>
      <c r="AQ87" s="59"/>
      <c r="AR87" s="59"/>
      <c r="AS87" s="59"/>
      <c r="AT87" s="59"/>
      <c r="AU87" s="59"/>
      <c r="AV87" s="59"/>
      <c r="AW87" s="59"/>
      <c r="AX87" s="59" t="s">
        <v>574</v>
      </c>
      <c r="AY87" s="59"/>
      <c r="AZ87" s="60" t="s">
        <v>398</v>
      </c>
      <c r="BA87" s="59">
        <v>1994</v>
      </c>
      <c r="BB87" s="59">
        <v>1998</v>
      </c>
      <c r="BC87" s="59"/>
      <c r="BD87" s="59"/>
      <c r="BE87" s="59"/>
      <c r="BF87" s="59"/>
      <c r="BG87" s="59"/>
      <c r="BH87" s="59"/>
      <c r="BI87" s="59"/>
      <c r="BJ87" s="59"/>
      <c r="BK87" s="59"/>
      <c r="BL87" s="59"/>
      <c r="BM87" s="59" t="s">
        <v>570</v>
      </c>
      <c r="BN87" s="67" t="s">
        <v>36</v>
      </c>
      <c r="BO87" s="61"/>
      <c r="BP87" s="59"/>
      <c r="BQ87" s="59"/>
      <c r="BR87" s="59"/>
      <c r="BS87" s="60" t="s">
        <v>416</v>
      </c>
      <c r="BT87" s="59" t="s">
        <v>576</v>
      </c>
      <c r="BU87" s="59" t="s">
        <v>575</v>
      </c>
      <c r="BV87" s="59"/>
      <c r="BW87" s="59"/>
      <c r="BX87" s="59"/>
      <c r="BY87" s="59"/>
      <c r="BZ87" s="59"/>
      <c r="CA87" s="59"/>
      <c r="CB87" s="59"/>
      <c r="CC87" s="59"/>
      <c r="CD87" s="59"/>
      <c r="CE87" s="59"/>
      <c r="CF87" s="59"/>
      <c r="CG87" s="59" t="s">
        <v>570</v>
      </c>
      <c r="CH87" s="59" t="s">
        <v>37</v>
      </c>
      <c r="CI87" s="65" t="s">
        <v>439</v>
      </c>
      <c r="CJ87" s="59"/>
      <c r="CK87" s="59"/>
      <c r="CL87" s="59"/>
      <c r="CM87" s="66" t="s">
        <v>440</v>
      </c>
      <c r="CN87" s="59">
        <v>60</v>
      </c>
      <c r="CO87" s="59"/>
      <c r="CP87" s="59"/>
      <c r="CQ87" s="59">
        <v>60</v>
      </c>
      <c r="CR87" s="59"/>
      <c r="CS87" s="59"/>
      <c r="CT87" s="59"/>
      <c r="CU87" s="59"/>
      <c r="CV87" s="59"/>
      <c r="CW87" s="61"/>
      <c r="CX87" s="59"/>
      <c r="CY87" s="59"/>
      <c r="CZ87" s="59"/>
      <c r="DA87" s="59"/>
      <c r="DB87" s="59"/>
      <c r="DC87" s="67" t="s">
        <v>445</v>
      </c>
      <c r="DD87" s="59"/>
      <c r="DE87" s="59"/>
      <c r="DF87" s="59"/>
      <c r="DG87" s="59"/>
      <c r="DH87" s="59"/>
      <c r="DI87" s="59"/>
      <c r="DJ87" s="59"/>
      <c r="DK87" s="67" t="s">
        <v>579</v>
      </c>
      <c r="DL87" s="59"/>
      <c r="DM87" s="59"/>
      <c r="DN87" s="59"/>
      <c r="DO87" s="61"/>
      <c r="DP87" s="61"/>
      <c r="DQ87" s="61"/>
      <c r="DR87" s="61"/>
      <c r="DS87" s="59"/>
      <c r="DT87" s="59"/>
      <c r="DU87" s="59"/>
      <c r="DV87" s="59"/>
      <c r="DW87" s="59"/>
      <c r="DX87" s="59"/>
      <c r="DY87" s="59"/>
      <c r="DZ87" s="59"/>
      <c r="EA87" s="59"/>
      <c r="EB87" s="59"/>
      <c r="EC87" s="59"/>
      <c r="ED87" s="59"/>
      <c r="EE87" s="59"/>
      <c r="EF87" s="59"/>
      <c r="EG87" s="59"/>
      <c r="EH87" s="59"/>
      <c r="EI87" s="59"/>
      <c r="EJ87" s="59"/>
      <c r="EK87" s="59"/>
      <c r="EL87" s="59"/>
      <c r="EM87" s="59"/>
      <c r="EN87" s="59"/>
      <c r="EO87" s="59"/>
      <c r="EP87" s="59"/>
      <c r="EQ87" s="59"/>
      <c r="ER87" s="59"/>
      <c r="ES87" s="59"/>
      <c r="ET87" s="59"/>
      <c r="EU87" s="59"/>
      <c r="EV87" s="59"/>
      <c r="EW87" s="59"/>
      <c r="EX87" s="59"/>
      <c r="EY87" s="59"/>
      <c r="EZ87" s="59"/>
      <c r="FA87" s="59"/>
      <c r="FB87" s="59"/>
      <c r="FC87" s="59"/>
      <c r="FD87" s="71" t="s">
        <v>615</v>
      </c>
      <c r="FE87" s="59">
        <v>42</v>
      </c>
      <c r="FF87" s="59"/>
      <c r="FG87" s="73" t="s">
        <v>616</v>
      </c>
      <c r="FH87" s="6" t="s">
        <v>44</v>
      </c>
      <c r="FI87" s="59"/>
      <c r="FJ87" s="59"/>
      <c r="FK87" s="59"/>
      <c r="FL87" s="59"/>
      <c r="FM87" s="59"/>
      <c r="FN87" s="59"/>
      <c r="FO87" s="59"/>
      <c r="FP87" s="59"/>
      <c r="FQ87" s="59"/>
      <c r="FR87" t="s">
        <v>617</v>
      </c>
      <c r="FS87" s="59"/>
      <c r="FT87" s="59"/>
      <c r="FU87" s="6" t="s">
        <v>27</v>
      </c>
      <c r="FV87" s="52" t="s">
        <v>420</v>
      </c>
      <c r="FW87" s="59"/>
      <c r="FX87" s="59"/>
      <c r="FY87" s="59"/>
      <c r="FZ87" s="59"/>
      <c r="GA87" s="59"/>
      <c r="GB87" s="59"/>
      <c r="GC87" s="59"/>
      <c r="GD87" s="59"/>
      <c r="GE87" s="59"/>
      <c r="GF87" s="59" t="s">
        <v>587</v>
      </c>
      <c r="GG87" s="59" t="s">
        <v>510</v>
      </c>
      <c r="GH87" s="80" t="s">
        <v>668</v>
      </c>
      <c r="GI87" s="60" t="s">
        <v>511</v>
      </c>
      <c r="GJ87" s="79">
        <v>0.17142857142857992</v>
      </c>
      <c r="GK87" s="59"/>
      <c r="GL87" s="59"/>
      <c r="GM87" s="59">
        <v>4</v>
      </c>
      <c r="GN87" t="s">
        <v>621</v>
      </c>
      <c r="GO87" s="59" t="s">
        <v>154</v>
      </c>
      <c r="GP87" s="59">
        <v>1996</v>
      </c>
      <c r="GQ87" s="59"/>
      <c r="GR87" s="59"/>
      <c r="GS87" s="71" t="s">
        <v>571</v>
      </c>
      <c r="GT87" s="59"/>
      <c r="GU87" t="s">
        <v>643</v>
      </c>
    </row>
    <row r="88" spans="1:203" ht="15" thickBot="1">
      <c r="A88" s="25" t="s">
        <v>550</v>
      </c>
      <c r="C88" t="s">
        <v>549</v>
      </c>
      <c r="E88" t="s">
        <v>16</v>
      </c>
      <c r="F88" s="6" t="s">
        <v>592</v>
      </c>
      <c r="G88" t="s">
        <v>591</v>
      </c>
      <c r="H88" s="6" t="s">
        <v>4</v>
      </c>
      <c r="I88" s="59" t="s">
        <v>154</v>
      </c>
      <c r="J88" s="59" t="s">
        <v>389</v>
      </c>
      <c r="K88" s="9">
        <v>0.1</v>
      </c>
      <c r="L88" s="9">
        <v>34.566667000000002</v>
      </c>
      <c r="M88" s="30" t="s">
        <v>31</v>
      </c>
      <c r="N88" t="s">
        <v>551</v>
      </c>
      <c r="O88">
        <v>100</v>
      </c>
      <c r="Q88">
        <v>4</v>
      </c>
      <c r="R88" t="s">
        <v>593</v>
      </c>
      <c r="S88">
        <v>1994</v>
      </c>
      <c r="T88">
        <v>1998</v>
      </c>
      <c r="U88" t="s">
        <v>590</v>
      </c>
      <c r="V88" t="s">
        <v>558</v>
      </c>
      <c r="W88" t="s">
        <v>588</v>
      </c>
      <c r="X88" s="9" t="s">
        <v>552</v>
      </c>
      <c r="Y88" t="s">
        <v>478</v>
      </c>
      <c r="Z88" s="59" t="s">
        <v>43</v>
      </c>
      <c r="AA88" t="s">
        <v>559</v>
      </c>
      <c r="AB88" s="60" t="s">
        <v>415</v>
      </c>
      <c r="AC88" s="31">
        <v>53000</v>
      </c>
      <c r="AD88" t="s">
        <v>98</v>
      </c>
      <c r="AO88" t="s">
        <v>47</v>
      </c>
      <c r="AP88" s="60" t="s">
        <v>415</v>
      </c>
      <c r="AQ88" s="31">
        <v>53000</v>
      </c>
      <c r="AX88" t="s">
        <v>574</v>
      </c>
      <c r="AZ88" s="60" t="s">
        <v>398</v>
      </c>
      <c r="BA88">
        <v>1994</v>
      </c>
      <c r="BB88">
        <v>1998</v>
      </c>
      <c r="BL88" s="60"/>
      <c r="BM88" t="s">
        <v>563</v>
      </c>
      <c r="BN88" s="67" t="s">
        <v>561</v>
      </c>
      <c r="BO88" s="30"/>
      <c r="BQ88">
        <v>1995</v>
      </c>
      <c r="BR88" t="s">
        <v>560</v>
      </c>
      <c r="BS88" s="60" t="s">
        <v>416</v>
      </c>
      <c r="BT88" s="30" t="s">
        <v>572</v>
      </c>
      <c r="BU88" s="50" t="s">
        <v>28</v>
      </c>
      <c r="BV88" s="30"/>
      <c r="BX88" s="30" t="s">
        <v>31</v>
      </c>
      <c r="BY88" s="30" t="s">
        <v>31</v>
      </c>
      <c r="BZ88" s="30" t="s">
        <v>31</v>
      </c>
      <c r="CA88" s="30" t="s">
        <v>31</v>
      </c>
      <c r="CB88" s="30" t="s">
        <v>31</v>
      </c>
      <c r="CC88" s="30" t="s">
        <v>31</v>
      </c>
      <c r="CD88" s="30" t="s">
        <v>31</v>
      </c>
      <c r="CE88" s="30" t="s">
        <v>31</v>
      </c>
      <c r="CF88" s="30" t="s">
        <v>31</v>
      </c>
      <c r="CH88" s="50" t="s">
        <v>39</v>
      </c>
      <c r="CM88" s="66" t="s">
        <v>440</v>
      </c>
      <c r="CN88">
        <v>0</v>
      </c>
      <c r="CW88" s="30"/>
      <c r="DC88" s="67" t="s">
        <v>445</v>
      </c>
      <c r="DK88" s="72" t="s">
        <v>577</v>
      </c>
      <c r="DL88" s="56" t="s">
        <v>508</v>
      </c>
      <c r="DM88" s="30"/>
      <c r="DN88" s="30" t="s">
        <v>31</v>
      </c>
      <c r="DO88" s="30"/>
      <c r="DP88" s="30"/>
      <c r="DQ88" s="30"/>
      <c r="DR88" s="30"/>
      <c r="FC88" t="s">
        <v>154</v>
      </c>
      <c r="FD88" s="28" t="s">
        <v>615</v>
      </c>
      <c r="FE88">
        <v>42</v>
      </c>
      <c r="FG88" s="73" t="s">
        <v>616</v>
      </c>
      <c r="FH88" s="6" t="s">
        <v>44</v>
      </c>
      <c r="FR88" t="s">
        <v>617</v>
      </c>
      <c r="FU88" s="6" t="s">
        <v>27</v>
      </c>
      <c r="FV88" s="52" t="s">
        <v>420</v>
      </c>
      <c r="GG88" t="s">
        <v>510</v>
      </c>
      <c r="GH88" s="80" t="s">
        <v>670</v>
      </c>
      <c r="GI88" s="6" t="s">
        <v>511</v>
      </c>
      <c r="GJ88" s="8">
        <v>0.15238095238094984</v>
      </c>
      <c r="GM88">
        <v>4</v>
      </c>
      <c r="GN88" t="s">
        <v>622</v>
      </c>
      <c r="GO88" s="59" t="s">
        <v>154</v>
      </c>
      <c r="GP88">
        <v>1997</v>
      </c>
      <c r="GS88" s="71" t="s">
        <v>571</v>
      </c>
      <c r="GU88" t="s">
        <v>644</v>
      </c>
    </row>
    <row r="89" spans="1:203" ht="15" thickBot="1">
      <c r="A89" s="25" t="s">
        <v>550</v>
      </c>
      <c r="C89" t="s">
        <v>549</v>
      </c>
      <c r="E89" t="s">
        <v>16</v>
      </c>
      <c r="F89" s="6" t="s">
        <v>592</v>
      </c>
      <c r="G89" t="s">
        <v>591</v>
      </c>
      <c r="H89" s="6" t="s">
        <v>4</v>
      </c>
      <c r="I89" s="59" t="s">
        <v>154</v>
      </c>
      <c r="J89" s="59" t="s">
        <v>389</v>
      </c>
      <c r="K89" s="9">
        <v>0.1</v>
      </c>
      <c r="L89" s="9">
        <v>34.566667000000002</v>
      </c>
      <c r="M89" s="30" t="s">
        <v>31</v>
      </c>
      <c r="N89" t="s">
        <v>551</v>
      </c>
      <c r="O89">
        <v>100</v>
      </c>
      <c r="Q89">
        <v>4</v>
      </c>
      <c r="R89" t="s">
        <v>593</v>
      </c>
      <c r="S89">
        <v>1994</v>
      </c>
      <c r="T89">
        <v>1998</v>
      </c>
      <c r="U89" t="s">
        <v>590</v>
      </c>
      <c r="V89" t="s">
        <v>558</v>
      </c>
      <c r="W89" t="s">
        <v>588</v>
      </c>
      <c r="X89" s="9" t="s">
        <v>554</v>
      </c>
      <c r="Y89" t="s">
        <v>479</v>
      </c>
      <c r="Z89" s="59" t="s">
        <v>43</v>
      </c>
      <c r="AA89" t="s">
        <v>559</v>
      </c>
      <c r="AB89" s="60" t="s">
        <v>415</v>
      </c>
      <c r="AC89" s="31">
        <v>53000</v>
      </c>
      <c r="AD89" t="s">
        <v>98</v>
      </c>
      <c r="AO89" t="s">
        <v>47</v>
      </c>
      <c r="AP89" s="60" t="s">
        <v>415</v>
      </c>
      <c r="AQ89" s="31">
        <v>53000</v>
      </c>
      <c r="AX89" t="s">
        <v>574</v>
      </c>
      <c r="AZ89" s="60" t="s">
        <v>398</v>
      </c>
      <c r="BA89">
        <v>1994</v>
      </c>
      <c r="BB89">
        <v>1998</v>
      </c>
      <c r="BL89" s="60"/>
      <c r="BM89" t="s">
        <v>564</v>
      </c>
      <c r="BN89" s="67" t="s">
        <v>562</v>
      </c>
      <c r="BO89" s="30"/>
      <c r="BQ89">
        <v>1994</v>
      </c>
      <c r="BR89" t="s">
        <v>571</v>
      </c>
      <c r="BS89" s="60" t="s">
        <v>416</v>
      </c>
      <c r="BT89" s="30" t="s">
        <v>573</v>
      </c>
      <c r="BU89" s="50" t="s">
        <v>28</v>
      </c>
      <c r="BV89" s="30"/>
      <c r="BX89" s="30" t="s">
        <v>31</v>
      </c>
      <c r="BY89" s="30" t="s">
        <v>31</v>
      </c>
      <c r="BZ89" s="30" t="s">
        <v>31</v>
      </c>
      <c r="CA89" s="30" t="s">
        <v>31</v>
      </c>
      <c r="CB89" s="30" t="s">
        <v>31</v>
      </c>
      <c r="CC89" s="30" t="s">
        <v>31</v>
      </c>
      <c r="CD89" s="30" t="s">
        <v>31</v>
      </c>
      <c r="CE89" s="30" t="s">
        <v>31</v>
      </c>
      <c r="CF89" s="30" t="s">
        <v>31</v>
      </c>
      <c r="CH89" s="50" t="s">
        <v>39</v>
      </c>
      <c r="CM89" s="66" t="s">
        <v>440</v>
      </c>
      <c r="CN89">
        <v>0</v>
      </c>
      <c r="CW89" s="30"/>
      <c r="DC89" s="67" t="s">
        <v>445</v>
      </c>
      <c r="DK89" s="72" t="s">
        <v>577</v>
      </c>
      <c r="DL89" s="56" t="s">
        <v>508</v>
      </c>
      <c r="DM89" s="30"/>
      <c r="DN89" s="30" t="s">
        <v>31</v>
      </c>
      <c r="DO89" s="30"/>
      <c r="DP89" s="30"/>
      <c r="DQ89" s="30"/>
      <c r="DR89" s="30"/>
      <c r="FC89" t="s">
        <v>154</v>
      </c>
      <c r="FD89" s="29" t="s">
        <v>615</v>
      </c>
      <c r="FE89">
        <v>42</v>
      </c>
      <c r="FG89" s="73" t="s">
        <v>616</v>
      </c>
      <c r="FH89" s="6" t="s">
        <v>44</v>
      </c>
      <c r="FR89" t="s">
        <v>617</v>
      </c>
      <c r="FU89" s="6" t="s">
        <v>27</v>
      </c>
      <c r="FV89" s="52" t="s">
        <v>420</v>
      </c>
      <c r="GG89" t="s">
        <v>510</v>
      </c>
      <c r="GH89" s="80" t="s">
        <v>671</v>
      </c>
      <c r="GI89" s="6" t="s">
        <v>511</v>
      </c>
      <c r="GJ89" s="8">
        <v>0.11428571428571399</v>
      </c>
      <c r="GM89">
        <v>4</v>
      </c>
      <c r="GN89" t="s">
        <v>622</v>
      </c>
      <c r="GO89" s="59" t="s">
        <v>154</v>
      </c>
      <c r="GP89">
        <v>1997</v>
      </c>
      <c r="GS89" s="71" t="s">
        <v>571</v>
      </c>
      <c r="GU89" t="s">
        <v>644</v>
      </c>
    </row>
    <row r="90" spans="1:203" ht="15" thickBot="1">
      <c r="A90" s="25" t="s">
        <v>550</v>
      </c>
      <c r="C90" t="s">
        <v>549</v>
      </c>
      <c r="E90" t="s">
        <v>16</v>
      </c>
      <c r="F90" s="6" t="s">
        <v>592</v>
      </c>
      <c r="G90" t="s">
        <v>591</v>
      </c>
      <c r="H90" s="6" t="s">
        <v>4</v>
      </c>
      <c r="I90" s="59" t="s">
        <v>154</v>
      </c>
      <c r="J90" s="59" t="s">
        <v>389</v>
      </c>
      <c r="K90" s="9">
        <v>0.1</v>
      </c>
      <c r="L90" s="9">
        <v>34.566667000000002</v>
      </c>
      <c r="M90" s="30" t="s">
        <v>31</v>
      </c>
      <c r="N90" t="s">
        <v>551</v>
      </c>
      <c r="O90">
        <v>100</v>
      </c>
      <c r="Q90">
        <v>4</v>
      </c>
      <c r="R90" t="s">
        <v>593</v>
      </c>
      <c r="S90">
        <v>1994</v>
      </c>
      <c r="T90">
        <v>1998</v>
      </c>
      <c r="U90" t="s">
        <v>590</v>
      </c>
      <c r="V90" t="s">
        <v>558</v>
      </c>
      <c r="W90" t="s">
        <v>589</v>
      </c>
      <c r="X90" s="9" t="s">
        <v>553</v>
      </c>
      <c r="Y90" t="s">
        <v>480</v>
      </c>
      <c r="Z90" s="59" t="s">
        <v>43</v>
      </c>
      <c r="AA90" t="s">
        <v>559</v>
      </c>
      <c r="AB90" s="60" t="s">
        <v>415</v>
      </c>
      <c r="AC90" s="31">
        <v>53000</v>
      </c>
      <c r="AP90" s="60"/>
      <c r="AQ90" s="31"/>
      <c r="AX90" t="s">
        <v>574</v>
      </c>
      <c r="AZ90" s="60" t="s">
        <v>398</v>
      </c>
      <c r="BA90">
        <v>1994</v>
      </c>
      <c r="BB90">
        <v>1998</v>
      </c>
      <c r="BM90" t="s">
        <v>565</v>
      </c>
      <c r="BN90" s="49" t="s">
        <v>566</v>
      </c>
      <c r="BO90" s="30"/>
      <c r="BQ90">
        <v>1995</v>
      </c>
      <c r="BR90" t="s">
        <v>571</v>
      </c>
      <c r="BS90" s="60" t="s">
        <v>416</v>
      </c>
      <c r="BT90" s="30" t="s">
        <v>569</v>
      </c>
      <c r="BU90" s="30" t="s">
        <v>575</v>
      </c>
      <c r="BV90" s="30"/>
      <c r="CH90" s="50" t="s">
        <v>39</v>
      </c>
      <c r="CM90" s="66" t="s">
        <v>440</v>
      </c>
      <c r="CN90">
        <v>0</v>
      </c>
      <c r="CW90" s="30"/>
      <c r="DC90" s="67" t="s">
        <v>445</v>
      </c>
      <c r="DK90" s="67" t="s">
        <v>579</v>
      </c>
      <c r="DL90" s="30"/>
      <c r="DM90" s="30"/>
      <c r="DN90" s="30"/>
      <c r="DO90" s="30"/>
      <c r="DP90" s="30"/>
      <c r="DQ90" s="30"/>
      <c r="DR90" s="30"/>
      <c r="FC90" t="s">
        <v>154</v>
      </c>
      <c r="FD90" s="28" t="s">
        <v>615</v>
      </c>
      <c r="FE90">
        <v>42</v>
      </c>
      <c r="FG90" s="73" t="s">
        <v>616</v>
      </c>
      <c r="FH90" s="6" t="s">
        <v>44</v>
      </c>
      <c r="FR90" t="s">
        <v>617</v>
      </c>
      <c r="FU90" s="6" t="s">
        <v>27</v>
      </c>
      <c r="FV90" s="52" t="s">
        <v>420</v>
      </c>
      <c r="GG90" t="s">
        <v>510</v>
      </c>
      <c r="GH90" s="80" t="s">
        <v>672</v>
      </c>
      <c r="GI90" s="6" t="s">
        <v>511</v>
      </c>
      <c r="GJ90" s="8">
        <v>0.17142857142857093</v>
      </c>
      <c r="GM90">
        <v>4</v>
      </c>
      <c r="GN90" t="s">
        <v>622</v>
      </c>
      <c r="GO90" s="59" t="s">
        <v>154</v>
      </c>
      <c r="GP90">
        <v>1997</v>
      </c>
      <c r="GS90" s="71" t="s">
        <v>571</v>
      </c>
      <c r="GU90" t="s">
        <v>644</v>
      </c>
    </row>
    <row r="91" spans="1:203" ht="15" thickBot="1">
      <c r="A91" s="25" t="s">
        <v>550</v>
      </c>
      <c r="C91" t="s">
        <v>549</v>
      </c>
      <c r="E91" t="s">
        <v>16</v>
      </c>
      <c r="F91" s="6" t="s">
        <v>592</v>
      </c>
      <c r="G91" t="s">
        <v>591</v>
      </c>
      <c r="H91" s="6" t="s">
        <v>4</v>
      </c>
      <c r="I91" s="59" t="s">
        <v>154</v>
      </c>
      <c r="J91" s="59" t="s">
        <v>389</v>
      </c>
      <c r="K91" s="9">
        <v>0.1</v>
      </c>
      <c r="L91" s="9">
        <v>34.566667000000002</v>
      </c>
      <c r="M91" s="30" t="s">
        <v>31</v>
      </c>
      <c r="N91" t="s">
        <v>551</v>
      </c>
      <c r="O91">
        <v>100</v>
      </c>
      <c r="Q91">
        <v>4</v>
      </c>
      <c r="R91" t="s">
        <v>593</v>
      </c>
      <c r="S91">
        <v>1994</v>
      </c>
      <c r="T91">
        <v>1998</v>
      </c>
      <c r="U91" t="s">
        <v>590</v>
      </c>
      <c r="V91" t="s">
        <v>558</v>
      </c>
      <c r="W91" t="s">
        <v>589</v>
      </c>
      <c r="X91" s="9" t="s">
        <v>555</v>
      </c>
      <c r="Y91" t="s">
        <v>481</v>
      </c>
      <c r="Z91" s="59" t="s">
        <v>43</v>
      </c>
      <c r="AA91" t="s">
        <v>559</v>
      </c>
      <c r="AB91" s="60" t="s">
        <v>415</v>
      </c>
      <c r="AC91" s="31">
        <v>53000</v>
      </c>
      <c r="AP91" s="60"/>
      <c r="AQ91" s="31"/>
      <c r="AX91" t="s">
        <v>574</v>
      </c>
      <c r="AZ91" s="60" t="s">
        <v>398</v>
      </c>
      <c r="BA91">
        <v>1994</v>
      </c>
      <c r="BB91">
        <v>1998</v>
      </c>
      <c r="BM91" t="s">
        <v>567</v>
      </c>
      <c r="BN91" s="49" t="s">
        <v>568</v>
      </c>
      <c r="BO91" s="30"/>
      <c r="BQ91">
        <v>1994</v>
      </c>
      <c r="BR91" t="s">
        <v>571</v>
      </c>
      <c r="BS91" s="60" t="s">
        <v>416</v>
      </c>
      <c r="BT91" s="30" t="s">
        <v>569</v>
      </c>
      <c r="BU91" s="30" t="s">
        <v>575</v>
      </c>
      <c r="BV91" s="30"/>
      <c r="CH91" s="50" t="s">
        <v>39</v>
      </c>
      <c r="CM91" s="66" t="s">
        <v>440</v>
      </c>
      <c r="CN91">
        <v>0</v>
      </c>
      <c r="CW91" s="30"/>
      <c r="DC91" s="67" t="s">
        <v>445</v>
      </c>
      <c r="DK91" s="67" t="s">
        <v>579</v>
      </c>
      <c r="DO91" s="30"/>
      <c r="DP91" s="30"/>
      <c r="DQ91" s="30"/>
      <c r="DR91" s="30"/>
      <c r="FC91" t="s">
        <v>154</v>
      </c>
      <c r="FD91" s="29" t="s">
        <v>615</v>
      </c>
      <c r="FE91">
        <v>42</v>
      </c>
      <c r="FG91" s="73" t="s">
        <v>616</v>
      </c>
      <c r="FH91" s="6" t="s">
        <v>44</v>
      </c>
      <c r="FR91" t="s">
        <v>617</v>
      </c>
      <c r="FU91" s="6" t="s">
        <v>27</v>
      </c>
      <c r="FV91" s="52" t="s">
        <v>420</v>
      </c>
      <c r="GG91" t="s">
        <v>510</v>
      </c>
      <c r="GH91" s="80" t="s">
        <v>673</v>
      </c>
      <c r="GI91" s="6" t="s">
        <v>511</v>
      </c>
      <c r="GJ91" s="8">
        <v>0.15238095238094995</v>
      </c>
      <c r="GM91">
        <v>4</v>
      </c>
      <c r="GN91" t="s">
        <v>622</v>
      </c>
      <c r="GO91" s="59" t="s">
        <v>154</v>
      </c>
      <c r="GP91">
        <v>1997</v>
      </c>
      <c r="GS91" s="71" t="s">
        <v>571</v>
      </c>
      <c r="GU91" t="s">
        <v>644</v>
      </c>
    </row>
    <row r="92" spans="1:203" ht="15" thickBot="1">
      <c r="A92" s="25" t="s">
        <v>550</v>
      </c>
      <c r="C92" t="s">
        <v>549</v>
      </c>
      <c r="E92" t="s">
        <v>16</v>
      </c>
      <c r="F92" s="6" t="s">
        <v>592</v>
      </c>
      <c r="G92" t="s">
        <v>591</v>
      </c>
      <c r="H92" s="6" t="s">
        <v>4</v>
      </c>
      <c r="I92" s="59" t="s">
        <v>154</v>
      </c>
      <c r="J92" s="59" t="s">
        <v>389</v>
      </c>
      <c r="K92" s="9">
        <v>0.1</v>
      </c>
      <c r="L92" s="9">
        <v>34.566667000000002</v>
      </c>
      <c r="M92" s="30" t="s">
        <v>31</v>
      </c>
      <c r="N92" t="s">
        <v>551</v>
      </c>
      <c r="O92">
        <v>100</v>
      </c>
      <c r="Q92">
        <v>4</v>
      </c>
      <c r="R92" t="s">
        <v>593</v>
      </c>
      <c r="S92">
        <v>1994</v>
      </c>
      <c r="T92">
        <v>1998</v>
      </c>
      <c r="U92" t="s">
        <v>590</v>
      </c>
      <c r="V92" t="s">
        <v>36</v>
      </c>
      <c r="W92" t="s">
        <v>36</v>
      </c>
      <c r="X92" s="9" t="s">
        <v>556</v>
      </c>
      <c r="Y92" t="s">
        <v>476</v>
      </c>
      <c r="Z92" s="59" t="s">
        <v>43</v>
      </c>
      <c r="AA92" t="s">
        <v>559</v>
      </c>
      <c r="AB92" s="60" t="s">
        <v>415</v>
      </c>
      <c r="AC92" s="31">
        <v>53000</v>
      </c>
      <c r="AX92" t="s">
        <v>574</v>
      </c>
      <c r="AZ92" s="60" t="s">
        <v>398</v>
      </c>
      <c r="BA92">
        <v>1994</v>
      </c>
      <c r="BB92">
        <v>1998</v>
      </c>
      <c r="BM92" t="s">
        <v>569</v>
      </c>
      <c r="BN92" s="49" t="s">
        <v>36</v>
      </c>
      <c r="BO92" s="30"/>
      <c r="BS92" s="60" t="s">
        <v>416</v>
      </c>
      <c r="BT92" s="30" t="s">
        <v>569</v>
      </c>
      <c r="BU92" s="30" t="s">
        <v>575</v>
      </c>
      <c r="BV92" s="30"/>
      <c r="CH92" s="50" t="s">
        <v>39</v>
      </c>
      <c r="CM92" s="66" t="s">
        <v>440</v>
      </c>
      <c r="CN92">
        <v>0</v>
      </c>
      <c r="CW92" s="30"/>
      <c r="DC92" s="67" t="s">
        <v>445</v>
      </c>
      <c r="DK92" s="67" t="s">
        <v>579</v>
      </c>
      <c r="DO92" s="30"/>
      <c r="DP92" s="30"/>
      <c r="DQ92" s="30"/>
      <c r="DR92" s="30"/>
      <c r="FD92" s="28" t="s">
        <v>615</v>
      </c>
      <c r="FE92">
        <v>42</v>
      </c>
      <c r="FG92" s="73" t="s">
        <v>616</v>
      </c>
      <c r="FH92" s="6" t="s">
        <v>44</v>
      </c>
      <c r="FR92" t="s">
        <v>617</v>
      </c>
      <c r="FU92" s="6" t="s">
        <v>27</v>
      </c>
      <c r="FV92" s="52" t="s">
        <v>420</v>
      </c>
      <c r="GF92" t="s">
        <v>514</v>
      </c>
      <c r="GG92" t="s">
        <v>510</v>
      </c>
      <c r="GH92" s="80" t="s">
        <v>674</v>
      </c>
      <c r="GI92" s="6" t="s">
        <v>511</v>
      </c>
      <c r="GJ92" s="8">
        <v>0.20952380952380201</v>
      </c>
      <c r="GM92">
        <v>4</v>
      </c>
      <c r="GN92" t="s">
        <v>622</v>
      </c>
      <c r="GO92" s="59" t="s">
        <v>154</v>
      </c>
      <c r="GP92">
        <v>1997</v>
      </c>
      <c r="GS92" s="71" t="s">
        <v>571</v>
      </c>
      <c r="GU92" t="s">
        <v>644</v>
      </c>
    </row>
    <row r="93" spans="1:203" ht="15" thickBot="1">
      <c r="A93" s="76" t="s">
        <v>550</v>
      </c>
      <c r="B93" s="59"/>
      <c r="C93" s="59" t="s">
        <v>549</v>
      </c>
      <c r="D93" s="59"/>
      <c r="E93" s="59" t="s">
        <v>16</v>
      </c>
      <c r="F93" s="60" t="s">
        <v>592</v>
      </c>
      <c r="G93" s="59" t="s">
        <v>591</v>
      </c>
      <c r="H93" s="60" t="s">
        <v>4</v>
      </c>
      <c r="I93" s="59" t="s">
        <v>154</v>
      </c>
      <c r="J93" s="59" t="s">
        <v>389</v>
      </c>
      <c r="K93" s="77">
        <v>0.1</v>
      </c>
      <c r="L93" s="77">
        <v>34.566667000000002</v>
      </c>
      <c r="M93" s="61" t="s">
        <v>31</v>
      </c>
      <c r="N93" s="59" t="s">
        <v>551</v>
      </c>
      <c r="O93" s="59">
        <v>100</v>
      </c>
      <c r="P93" s="59"/>
      <c r="Q93" s="59">
        <v>4</v>
      </c>
      <c r="R93" s="59" t="s">
        <v>593</v>
      </c>
      <c r="S93" s="59">
        <v>1994</v>
      </c>
      <c r="T93" s="59">
        <v>1998</v>
      </c>
      <c r="U93" s="59" t="s">
        <v>590</v>
      </c>
      <c r="V93" s="59" t="s">
        <v>36</v>
      </c>
      <c r="W93" s="59" t="s">
        <v>36</v>
      </c>
      <c r="X93" s="77" t="s">
        <v>557</v>
      </c>
      <c r="Y93" s="59" t="s">
        <v>477</v>
      </c>
      <c r="Z93" s="59" t="s">
        <v>43</v>
      </c>
      <c r="AA93" s="59" t="s">
        <v>559</v>
      </c>
      <c r="AB93" s="60" t="s">
        <v>415</v>
      </c>
      <c r="AC93" s="62">
        <v>53000</v>
      </c>
      <c r="AD93" s="59"/>
      <c r="AE93" s="59"/>
      <c r="AF93" s="59"/>
      <c r="AG93" s="59"/>
      <c r="AH93" s="59"/>
      <c r="AI93" s="59"/>
      <c r="AJ93" s="59"/>
      <c r="AK93" s="59"/>
      <c r="AL93" s="59"/>
      <c r="AM93" s="59"/>
      <c r="AN93" s="59"/>
      <c r="AO93" s="59"/>
      <c r="AP93" s="59"/>
      <c r="AQ93" s="59"/>
      <c r="AR93" s="59"/>
      <c r="AS93" s="59"/>
      <c r="AT93" s="59"/>
      <c r="AU93" s="59"/>
      <c r="AV93" s="59"/>
      <c r="AW93" s="59"/>
      <c r="AX93" s="59" t="s">
        <v>574</v>
      </c>
      <c r="AY93" s="59"/>
      <c r="AZ93" s="60" t="s">
        <v>398</v>
      </c>
      <c r="BA93" s="59">
        <v>1994</v>
      </c>
      <c r="BB93" s="59">
        <v>1998</v>
      </c>
      <c r="BC93" s="59"/>
      <c r="BD93" s="59"/>
      <c r="BE93" s="59"/>
      <c r="BF93" s="59"/>
      <c r="BG93" s="59"/>
      <c r="BH93" s="59"/>
      <c r="BI93" s="59"/>
      <c r="BJ93" s="59"/>
      <c r="BK93" s="59"/>
      <c r="BL93" s="59"/>
      <c r="BM93" s="59" t="s">
        <v>570</v>
      </c>
      <c r="BN93" s="67" t="s">
        <v>36</v>
      </c>
      <c r="BO93" s="61"/>
      <c r="BP93" s="59"/>
      <c r="BQ93" s="59"/>
      <c r="BR93" s="59"/>
      <c r="BS93" s="60" t="s">
        <v>416</v>
      </c>
      <c r="BT93" s="59" t="s">
        <v>576</v>
      </c>
      <c r="BU93" s="59" t="s">
        <v>575</v>
      </c>
      <c r="BV93" s="59"/>
      <c r="BW93" s="59"/>
      <c r="BX93" s="59"/>
      <c r="BY93" s="59"/>
      <c r="BZ93" s="59"/>
      <c r="CA93" s="59"/>
      <c r="CB93" s="59"/>
      <c r="CC93" s="59"/>
      <c r="CD93" s="59"/>
      <c r="CE93" s="59"/>
      <c r="CF93" s="59"/>
      <c r="CG93" s="59" t="s">
        <v>570</v>
      </c>
      <c r="CH93" s="59" t="s">
        <v>37</v>
      </c>
      <c r="CI93" s="65" t="s">
        <v>439</v>
      </c>
      <c r="CJ93" s="59"/>
      <c r="CK93" s="59"/>
      <c r="CL93" s="59"/>
      <c r="CM93" s="66" t="s">
        <v>440</v>
      </c>
      <c r="CN93" s="59">
        <v>60</v>
      </c>
      <c r="CO93" s="59"/>
      <c r="CP93" s="59"/>
      <c r="CQ93" s="59">
        <v>60</v>
      </c>
      <c r="CR93" s="59"/>
      <c r="CS93" s="59"/>
      <c r="CT93" s="59"/>
      <c r="CU93" s="59"/>
      <c r="CV93" s="59"/>
      <c r="CW93" s="61"/>
      <c r="CX93" s="59"/>
      <c r="CY93" s="59"/>
      <c r="CZ93" s="59"/>
      <c r="DA93" s="59"/>
      <c r="DB93" s="59"/>
      <c r="DC93" s="67" t="s">
        <v>445</v>
      </c>
      <c r="DD93" s="59"/>
      <c r="DE93" s="59"/>
      <c r="DF93" s="59"/>
      <c r="DG93" s="59"/>
      <c r="DH93" s="59"/>
      <c r="DI93" s="59"/>
      <c r="DJ93" s="59"/>
      <c r="DK93" s="67" t="s">
        <v>579</v>
      </c>
      <c r="DL93" s="59"/>
      <c r="DM93" s="59"/>
      <c r="DN93" s="59"/>
      <c r="DO93" s="61"/>
      <c r="DP93" s="61"/>
      <c r="DQ93" s="61"/>
      <c r="DR93" s="61"/>
      <c r="DS93" s="59"/>
      <c r="DT93" s="59"/>
      <c r="DU93" s="59"/>
      <c r="DV93" s="59"/>
      <c r="DW93" s="59"/>
      <c r="DX93" s="59"/>
      <c r="DY93" s="59"/>
      <c r="DZ93" s="59"/>
      <c r="EA93" s="59"/>
      <c r="EB93" s="59"/>
      <c r="EC93" s="59"/>
      <c r="ED93" s="59"/>
      <c r="EE93" s="59"/>
      <c r="EF93" s="59"/>
      <c r="EG93" s="59"/>
      <c r="EH93" s="59"/>
      <c r="EI93" s="59"/>
      <c r="EJ93" s="59"/>
      <c r="EK93" s="59"/>
      <c r="EL93" s="59"/>
      <c r="EM93" s="59"/>
      <c r="EN93" s="59"/>
      <c r="EO93" s="59"/>
      <c r="EP93" s="59"/>
      <c r="EQ93" s="59"/>
      <c r="ER93" s="59"/>
      <c r="ES93" s="59"/>
      <c r="ET93" s="59"/>
      <c r="EU93" s="59"/>
      <c r="EV93" s="59"/>
      <c r="EW93" s="59"/>
      <c r="EX93" s="59"/>
      <c r="EY93" s="59"/>
      <c r="EZ93" s="59"/>
      <c r="FA93" s="59"/>
      <c r="FB93" s="59"/>
      <c r="FC93" s="59"/>
      <c r="FD93" s="71" t="s">
        <v>615</v>
      </c>
      <c r="FE93" s="59">
        <v>42</v>
      </c>
      <c r="FF93" s="59"/>
      <c r="FG93" s="73" t="s">
        <v>616</v>
      </c>
      <c r="FH93" s="6" t="s">
        <v>44</v>
      </c>
      <c r="FI93" s="59"/>
      <c r="FJ93" s="59"/>
      <c r="FK93" s="59"/>
      <c r="FL93" s="59"/>
      <c r="FM93" s="59"/>
      <c r="FN93" s="59"/>
      <c r="FO93" s="59"/>
      <c r="FP93" s="59"/>
      <c r="FQ93" s="59"/>
      <c r="FR93" t="s">
        <v>617</v>
      </c>
      <c r="FS93" s="59"/>
      <c r="FT93" s="59"/>
      <c r="FU93" s="6" t="s">
        <v>27</v>
      </c>
      <c r="FV93" s="52" t="s">
        <v>420</v>
      </c>
      <c r="FW93" s="59"/>
      <c r="FX93" s="59"/>
      <c r="FY93" s="59"/>
      <c r="FZ93" s="59"/>
      <c r="GA93" s="59"/>
      <c r="GB93" s="59"/>
      <c r="GC93" s="59"/>
      <c r="GD93" s="59"/>
      <c r="GE93" s="59"/>
      <c r="GF93" s="59" t="s">
        <v>587</v>
      </c>
      <c r="GG93" s="59" t="s">
        <v>510</v>
      </c>
      <c r="GH93" s="80" t="s">
        <v>675</v>
      </c>
      <c r="GI93" s="60" t="s">
        <v>511</v>
      </c>
      <c r="GJ93" s="79">
        <v>0.15238095238095006</v>
      </c>
      <c r="GK93" s="59"/>
      <c r="GL93" s="59"/>
      <c r="GM93" s="59">
        <v>4</v>
      </c>
      <c r="GN93" t="s">
        <v>622</v>
      </c>
      <c r="GO93" s="59" t="s">
        <v>154</v>
      </c>
      <c r="GP93">
        <v>1997</v>
      </c>
      <c r="GQ93" s="59"/>
      <c r="GR93" s="59"/>
      <c r="GS93" s="71" t="s">
        <v>571</v>
      </c>
      <c r="GT93" s="59"/>
      <c r="GU93" t="s">
        <v>644</v>
      </c>
    </row>
    <row r="94" spans="1:203" ht="15" thickBot="1">
      <c r="A94" s="25" t="s">
        <v>550</v>
      </c>
      <c r="C94" t="s">
        <v>549</v>
      </c>
      <c r="E94" t="s">
        <v>16</v>
      </c>
      <c r="F94" s="6" t="s">
        <v>592</v>
      </c>
      <c r="G94" t="s">
        <v>591</v>
      </c>
      <c r="H94" s="6" t="s">
        <v>4</v>
      </c>
      <c r="I94" s="59" t="s">
        <v>154</v>
      </c>
      <c r="J94" s="59" t="s">
        <v>389</v>
      </c>
      <c r="K94" s="9">
        <v>0.1</v>
      </c>
      <c r="L94" s="9">
        <v>34.566667000000002</v>
      </c>
      <c r="M94" s="30" t="s">
        <v>31</v>
      </c>
      <c r="N94" t="s">
        <v>551</v>
      </c>
      <c r="O94">
        <v>100</v>
      </c>
      <c r="Q94">
        <v>4</v>
      </c>
      <c r="R94" t="s">
        <v>593</v>
      </c>
      <c r="S94">
        <v>1994</v>
      </c>
      <c r="T94">
        <v>1998</v>
      </c>
      <c r="U94" t="s">
        <v>590</v>
      </c>
      <c r="V94" t="s">
        <v>558</v>
      </c>
      <c r="W94" t="s">
        <v>588</v>
      </c>
      <c r="X94" s="9" t="s">
        <v>552</v>
      </c>
      <c r="Y94" t="s">
        <v>478</v>
      </c>
      <c r="Z94" s="59" t="s">
        <v>43</v>
      </c>
      <c r="AA94" t="s">
        <v>559</v>
      </c>
      <c r="AB94" s="60" t="s">
        <v>415</v>
      </c>
      <c r="AC94" s="31">
        <v>53000</v>
      </c>
      <c r="AD94" t="s">
        <v>98</v>
      </c>
      <c r="AO94" t="s">
        <v>47</v>
      </c>
      <c r="AP94" s="60" t="s">
        <v>415</v>
      </c>
      <c r="AQ94" s="31">
        <v>53000</v>
      </c>
      <c r="AX94" t="s">
        <v>574</v>
      </c>
      <c r="AZ94" s="60" t="s">
        <v>398</v>
      </c>
      <c r="BA94">
        <v>1994</v>
      </c>
      <c r="BB94">
        <v>1998</v>
      </c>
      <c r="BL94" s="60"/>
      <c r="BM94" t="s">
        <v>563</v>
      </c>
      <c r="BN94" s="67" t="s">
        <v>561</v>
      </c>
      <c r="BO94" s="30"/>
      <c r="BQ94">
        <v>1995</v>
      </c>
      <c r="BR94" t="s">
        <v>560</v>
      </c>
      <c r="BS94" s="60" t="s">
        <v>416</v>
      </c>
      <c r="BT94" s="30" t="s">
        <v>572</v>
      </c>
      <c r="BU94" s="50" t="s">
        <v>28</v>
      </c>
      <c r="BV94" s="30"/>
      <c r="BX94" s="30" t="s">
        <v>31</v>
      </c>
      <c r="BY94" s="30" t="s">
        <v>31</v>
      </c>
      <c r="BZ94" s="30" t="s">
        <v>31</v>
      </c>
      <c r="CA94" s="30" t="s">
        <v>31</v>
      </c>
      <c r="CB94" s="30" t="s">
        <v>31</v>
      </c>
      <c r="CC94" s="30" t="s">
        <v>31</v>
      </c>
      <c r="CD94" s="30" t="s">
        <v>31</v>
      </c>
      <c r="CE94" s="30" t="s">
        <v>31</v>
      </c>
      <c r="CF94" s="30" t="s">
        <v>31</v>
      </c>
      <c r="CH94" s="50" t="s">
        <v>39</v>
      </c>
      <c r="CM94" s="66" t="s">
        <v>440</v>
      </c>
      <c r="CN94">
        <v>0</v>
      </c>
      <c r="CW94" s="30"/>
      <c r="DC94" s="67" t="s">
        <v>445</v>
      </c>
      <c r="DK94" s="72" t="s">
        <v>577</v>
      </c>
      <c r="DL94" s="56" t="s">
        <v>508</v>
      </c>
      <c r="DM94" s="30"/>
      <c r="DN94" s="30" t="s">
        <v>31</v>
      </c>
      <c r="DO94" s="30"/>
      <c r="DP94" s="30"/>
      <c r="DQ94" s="30"/>
      <c r="DR94" s="30"/>
      <c r="FC94" t="s">
        <v>154</v>
      </c>
      <c r="FD94" s="28" t="s">
        <v>615</v>
      </c>
      <c r="FE94">
        <v>42</v>
      </c>
      <c r="FG94" s="73" t="s">
        <v>616</v>
      </c>
      <c r="FH94" s="6" t="s">
        <v>624</v>
      </c>
      <c r="FR94" t="s">
        <v>623</v>
      </c>
      <c r="FU94" s="6" t="s">
        <v>27</v>
      </c>
      <c r="FV94" s="52" t="s">
        <v>420</v>
      </c>
      <c r="GG94" t="s">
        <v>510</v>
      </c>
      <c r="GH94" s="80" t="s">
        <v>676</v>
      </c>
      <c r="GI94" s="6" t="s">
        <v>511</v>
      </c>
      <c r="GJ94" s="8">
        <v>0.1080981327487569</v>
      </c>
      <c r="GM94">
        <v>4</v>
      </c>
      <c r="GN94" t="s">
        <v>625</v>
      </c>
      <c r="GO94" s="59" t="s">
        <v>154</v>
      </c>
      <c r="GP94">
        <v>1996</v>
      </c>
      <c r="GS94" s="71" t="s">
        <v>560</v>
      </c>
      <c r="GU94" t="s">
        <v>643</v>
      </c>
    </row>
    <row r="95" spans="1:203" ht="15" thickBot="1">
      <c r="A95" s="25" t="s">
        <v>550</v>
      </c>
      <c r="C95" t="s">
        <v>549</v>
      </c>
      <c r="E95" t="s">
        <v>16</v>
      </c>
      <c r="F95" s="6" t="s">
        <v>592</v>
      </c>
      <c r="G95" t="s">
        <v>591</v>
      </c>
      <c r="H95" s="6" t="s">
        <v>4</v>
      </c>
      <c r="I95" s="59" t="s">
        <v>154</v>
      </c>
      <c r="J95" s="59" t="s">
        <v>389</v>
      </c>
      <c r="K95" s="9">
        <v>0.1</v>
      </c>
      <c r="L95" s="9">
        <v>34.566667000000002</v>
      </c>
      <c r="M95" s="30" t="s">
        <v>31</v>
      </c>
      <c r="N95" t="s">
        <v>551</v>
      </c>
      <c r="O95">
        <v>100</v>
      </c>
      <c r="Q95">
        <v>4</v>
      </c>
      <c r="R95" t="s">
        <v>593</v>
      </c>
      <c r="S95">
        <v>1994</v>
      </c>
      <c r="T95">
        <v>1998</v>
      </c>
      <c r="U95" t="s">
        <v>590</v>
      </c>
      <c r="V95" t="s">
        <v>558</v>
      </c>
      <c r="W95" t="s">
        <v>588</v>
      </c>
      <c r="X95" s="9" t="s">
        <v>554</v>
      </c>
      <c r="Y95" t="s">
        <v>479</v>
      </c>
      <c r="Z95" s="59" t="s">
        <v>43</v>
      </c>
      <c r="AA95" t="s">
        <v>559</v>
      </c>
      <c r="AB95" s="60" t="s">
        <v>415</v>
      </c>
      <c r="AC95" s="31">
        <v>53000</v>
      </c>
      <c r="AD95" t="s">
        <v>98</v>
      </c>
      <c r="AO95" t="s">
        <v>47</v>
      </c>
      <c r="AP95" s="60" t="s">
        <v>415</v>
      </c>
      <c r="AQ95" s="31">
        <v>53000</v>
      </c>
      <c r="AX95" t="s">
        <v>574</v>
      </c>
      <c r="AZ95" s="60" t="s">
        <v>398</v>
      </c>
      <c r="BA95">
        <v>1994</v>
      </c>
      <c r="BB95">
        <v>1998</v>
      </c>
      <c r="BL95" s="60"/>
      <c r="BM95" t="s">
        <v>564</v>
      </c>
      <c r="BN95" s="67" t="s">
        <v>562</v>
      </c>
      <c r="BO95" s="30"/>
      <c r="BQ95">
        <v>1994</v>
      </c>
      <c r="BR95" t="s">
        <v>571</v>
      </c>
      <c r="BS95" s="60" t="s">
        <v>416</v>
      </c>
      <c r="BT95" s="30" t="s">
        <v>573</v>
      </c>
      <c r="BU95" s="50" t="s">
        <v>28</v>
      </c>
      <c r="BV95" s="30"/>
      <c r="BX95" s="30" t="s">
        <v>31</v>
      </c>
      <c r="BY95" s="30" t="s">
        <v>31</v>
      </c>
      <c r="BZ95" s="30" t="s">
        <v>31</v>
      </c>
      <c r="CA95" s="30" t="s">
        <v>31</v>
      </c>
      <c r="CB95" s="30" t="s">
        <v>31</v>
      </c>
      <c r="CC95" s="30" t="s">
        <v>31</v>
      </c>
      <c r="CD95" s="30" t="s">
        <v>31</v>
      </c>
      <c r="CE95" s="30" t="s">
        <v>31</v>
      </c>
      <c r="CF95" s="30" t="s">
        <v>31</v>
      </c>
      <c r="CH95" s="50" t="s">
        <v>39</v>
      </c>
      <c r="CM95" s="66" t="s">
        <v>440</v>
      </c>
      <c r="CN95">
        <v>0</v>
      </c>
      <c r="CW95" s="30"/>
      <c r="DC95" s="67" t="s">
        <v>445</v>
      </c>
      <c r="DK95" s="72" t="s">
        <v>577</v>
      </c>
      <c r="DL95" s="56" t="s">
        <v>508</v>
      </c>
      <c r="DM95" s="30"/>
      <c r="DN95" s="30" t="s">
        <v>31</v>
      </c>
      <c r="DO95" s="30"/>
      <c r="DP95" s="30"/>
      <c r="DQ95" s="30"/>
      <c r="DR95" s="30"/>
      <c r="FC95" t="s">
        <v>154</v>
      </c>
      <c r="FD95" s="29" t="s">
        <v>615</v>
      </c>
      <c r="FE95">
        <v>42</v>
      </c>
      <c r="FG95" s="73" t="s">
        <v>616</v>
      </c>
      <c r="FH95" s="6" t="s">
        <v>624</v>
      </c>
      <c r="FR95" t="s">
        <v>623</v>
      </c>
      <c r="FU95" s="6" t="s">
        <v>27</v>
      </c>
      <c r="FV95" s="52" t="s">
        <v>420</v>
      </c>
      <c r="GG95" t="s">
        <v>510</v>
      </c>
      <c r="GH95" s="80" t="s">
        <v>677</v>
      </c>
      <c r="GI95" s="6" t="s">
        <v>511</v>
      </c>
      <c r="GJ95" s="8">
        <v>3.6025254587040978E-2</v>
      </c>
      <c r="GM95">
        <v>4</v>
      </c>
      <c r="GN95" t="s">
        <v>625</v>
      </c>
      <c r="GO95" s="59" t="s">
        <v>154</v>
      </c>
      <c r="GP95">
        <v>1996</v>
      </c>
      <c r="GS95" s="71" t="s">
        <v>560</v>
      </c>
      <c r="GU95" t="s">
        <v>643</v>
      </c>
    </row>
    <row r="96" spans="1:203" ht="15" thickBot="1">
      <c r="A96" s="25" t="s">
        <v>550</v>
      </c>
      <c r="C96" t="s">
        <v>549</v>
      </c>
      <c r="E96" t="s">
        <v>16</v>
      </c>
      <c r="F96" s="6" t="s">
        <v>592</v>
      </c>
      <c r="G96" t="s">
        <v>591</v>
      </c>
      <c r="H96" s="6" t="s">
        <v>4</v>
      </c>
      <c r="I96" s="59" t="s">
        <v>154</v>
      </c>
      <c r="J96" s="59" t="s">
        <v>389</v>
      </c>
      <c r="K96" s="9">
        <v>0.1</v>
      </c>
      <c r="L96" s="9">
        <v>34.566667000000002</v>
      </c>
      <c r="M96" s="30" t="s">
        <v>31</v>
      </c>
      <c r="N96" t="s">
        <v>551</v>
      </c>
      <c r="O96">
        <v>100</v>
      </c>
      <c r="Q96">
        <v>4</v>
      </c>
      <c r="R96" t="s">
        <v>593</v>
      </c>
      <c r="S96">
        <v>1994</v>
      </c>
      <c r="T96">
        <v>1998</v>
      </c>
      <c r="U96" t="s">
        <v>590</v>
      </c>
      <c r="V96" t="s">
        <v>558</v>
      </c>
      <c r="W96" t="s">
        <v>589</v>
      </c>
      <c r="X96" s="9" t="s">
        <v>553</v>
      </c>
      <c r="Y96" t="s">
        <v>480</v>
      </c>
      <c r="Z96" s="59" t="s">
        <v>43</v>
      </c>
      <c r="AA96" t="s">
        <v>559</v>
      </c>
      <c r="AB96" s="60" t="s">
        <v>415</v>
      </c>
      <c r="AC96" s="31">
        <v>53000</v>
      </c>
      <c r="AP96" s="60"/>
      <c r="AQ96" s="31"/>
      <c r="AX96" t="s">
        <v>574</v>
      </c>
      <c r="AZ96" s="60" t="s">
        <v>398</v>
      </c>
      <c r="BA96">
        <v>1994</v>
      </c>
      <c r="BB96">
        <v>1998</v>
      </c>
      <c r="BM96" t="s">
        <v>565</v>
      </c>
      <c r="BN96" s="49" t="s">
        <v>566</v>
      </c>
      <c r="BO96" s="30"/>
      <c r="BQ96">
        <v>1995</v>
      </c>
      <c r="BR96" t="s">
        <v>571</v>
      </c>
      <c r="BS96" s="60" t="s">
        <v>416</v>
      </c>
      <c r="BT96" s="30" t="s">
        <v>569</v>
      </c>
      <c r="BU96" s="30" t="s">
        <v>575</v>
      </c>
      <c r="BV96" s="30"/>
      <c r="CH96" s="50" t="s">
        <v>39</v>
      </c>
      <c r="CM96" s="66" t="s">
        <v>440</v>
      </c>
      <c r="CN96">
        <v>0</v>
      </c>
      <c r="CW96" s="30"/>
      <c r="DC96" s="67" t="s">
        <v>445</v>
      </c>
      <c r="DK96" s="67" t="s">
        <v>579</v>
      </c>
      <c r="DL96" s="30"/>
      <c r="DM96" s="30"/>
      <c r="DN96" s="30"/>
      <c r="DO96" s="30"/>
      <c r="DP96" s="30"/>
      <c r="DQ96" s="30"/>
      <c r="DR96" s="30"/>
      <c r="FC96" t="s">
        <v>154</v>
      </c>
      <c r="FD96" s="28" t="s">
        <v>615</v>
      </c>
      <c r="FE96">
        <v>42</v>
      </c>
      <c r="FG96" s="73" t="s">
        <v>616</v>
      </c>
      <c r="FH96" s="6" t="s">
        <v>624</v>
      </c>
      <c r="FR96" t="s">
        <v>623</v>
      </c>
      <c r="FU96" s="6" t="s">
        <v>27</v>
      </c>
      <c r="FV96" s="52" t="s">
        <v>420</v>
      </c>
      <c r="GG96" t="s">
        <v>510</v>
      </c>
      <c r="GH96" s="80" t="s">
        <v>678</v>
      </c>
      <c r="GI96" s="6" t="s">
        <v>511</v>
      </c>
      <c r="GJ96" s="8">
        <v>3.9061844658564993E-2</v>
      </c>
      <c r="GM96">
        <v>4</v>
      </c>
      <c r="GN96" t="s">
        <v>625</v>
      </c>
      <c r="GO96" s="59" t="s">
        <v>154</v>
      </c>
      <c r="GP96">
        <v>1996</v>
      </c>
      <c r="GS96" s="71" t="s">
        <v>560</v>
      </c>
      <c r="GU96" t="s">
        <v>643</v>
      </c>
    </row>
    <row r="97" spans="1:203" ht="15" thickBot="1">
      <c r="A97" s="25" t="s">
        <v>550</v>
      </c>
      <c r="C97" t="s">
        <v>549</v>
      </c>
      <c r="E97" t="s">
        <v>16</v>
      </c>
      <c r="F97" s="6" t="s">
        <v>592</v>
      </c>
      <c r="G97" t="s">
        <v>591</v>
      </c>
      <c r="H97" s="6" t="s">
        <v>4</v>
      </c>
      <c r="I97" s="59" t="s">
        <v>154</v>
      </c>
      <c r="J97" s="59" t="s">
        <v>389</v>
      </c>
      <c r="K97" s="9">
        <v>0.1</v>
      </c>
      <c r="L97" s="9">
        <v>34.566667000000002</v>
      </c>
      <c r="M97" s="30" t="s">
        <v>31</v>
      </c>
      <c r="N97" t="s">
        <v>551</v>
      </c>
      <c r="O97">
        <v>100</v>
      </c>
      <c r="Q97">
        <v>4</v>
      </c>
      <c r="R97" t="s">
        <v>593</v>
      </c>
      <c r="S97">
        <v>1994</v>
      </c>
      <c r="T97">
        <v>1998</v>
      </c>
      <c r="U97" t="s">
        <v>590</v>
      </c>
      <c r="V97" t="s">
        <v>558</v>
      </c>
      <c r="W97" t="s">
        <v>589</v>
      </c>
      <c r="X97" s="9" t="s">
        <v>555</v>
      </c>
      <c r="Y97" t="s">
        <v>481</v>
      </c>
      <c r="Z97" s="59" t="s">
        <v>43</v>
      </c>
      <c r="AA97" t="s">
        <v>559</v>
      </c>
      <c r="AB97" s="60" t="s">
        <v>415</v>
      </c>
      <c r="AC97" s="31">
        <v>53000</v>
      </c>
      <c r="AP97" s="60"/>
      <c r="AQ97" s="31"/>
      <c r="AX97" t="s">
        <v>574</v>
      </c>
      <c r="AZ97" s="60" t="s">
        <v>398</v>
      </c>
      <c r="BA97">
        <v>1994</v>
      </c>
      <c r="BB97">
        <v>1998</v>
      </c>
      <c r="BM97" t="s">
        <v>567</v>
      </c>
      <c r="BN97" s="49" t="s">
        <v>568</v>
      </c>
      <c r="BO97" s="30"/>
      <c r="BQ97">
        <v>1994</v>
      </c>
      <c r="BR97" t="s">
        <v>571</v>
      </c>
      <c r="BS97" s="60" t="s">
        <v>416</v>
      </c>
      <c r="BT97" s="30" t="s">
        <v>569</v>
      </c>
      <c r="BU97" s="30" t="s">
        <v>575</v>
      </c>
      <c r="BV97" s="30"/>
      <c r="CH97" s="50" t="s">
        <v>39</v>
      </c>
      <c r="CM97" s="66" t="s">
        <v>440</v>
      </c>
      <c r="CN97">
        <v>0</v>
      </c>
      <c r="CW97" s="30"/>
      <c r="DC97" s="67" t="s">
        <v>445</v>
      </c>
      <c r="DK97" s="67" t="s">
        <v>579</v>
      </c>
      <c r="DO97" s="30"/>
      <c r="DP97" s="30"/>
      <c r="DQ97" s="30"/>
      <c r="DR97" s="30"/>
      <c r="FC97" t="s">
        <v>154</v>
      </c>
      <c r="FD97" s="29" t="s">
        <v>615</v>
      </c>
      <c r="FE97">
        <v>42</v>
      </c>
      <c r="FG97" s="73" t="s">
        <v>616</v>
      </c>
      <c r="FH97" s="6" t="s">
        <v>624</v>
      </c>
      <c r="FR97" t="s">
        <v>623</v>
      </c>
      <c r="FU97" s="6" t="s">
        <v>27</v>
      </c>
      <c r="FV97" s="52" t="s">
        <v>420</v>
      </c>
      <c r="GG97" t="s">
        <v>510</v>
      </c>
      <c r="GH97" s="80" t="s">
        <v>679</v>
      </c>
      <c r="GI97" s="6" t="s">
        <v>511</v>
      </c>
      <c r="GJ97" s="8">
        <v>6.3086137379137985E-2</v>
      </c>
      <c r="GM97">
        <v>4</v>
      </c>
      <c r="GN97" t="s">
        <v>625</v>
      </c>
      <c r="GO97" s="59" t="s">
        <v>154</v>
      </c>
      <c r="GP97">
        <v>1996</v>
      </c>
      <c r="GS97" s="71" t="s">
        <v>560</v>
      </c>
      <c r="GU97" t="s">
        <v>643</v>
      </c>
    </row>
    <row r="98" spans="1:203" ht="15" thickBot="1">
      <c r="A98" s="25" t="s">
        <v>550</v>
      </c>
      <c r="C98" t="s">
        <v>549</v>
      </c>
      <c r="E98" t="s">
        <v>16</v>
      </c>
      <c r="F98" s="6" t="s">
        <v>592</v>
      </c>
      <c r="G98" t="s">
        <v>591</v>
      </c>
      <c r="H98" s="6" t="s">
        <v>4</v>
      </c>
      <c r="I98" s="59" t="s">
        <v>154</v>
      </c>
      <c r="J98" s="59" t="s">
        <v>389</v>
      </c>
      <c r="K98" s="9">
        <v>0.1</v>
      </c>
      <c r="L98" s="9">
        <v>34.566667000000002</v>
      </c>
      <c r="M98" s="30" t="s">
        <v>31</v>
      </c>
      <c r="N98" t="s">
        <v>551</v>
      </c>
      <c r="O98">
        <v>100</v>
      </c>
      <c r="Q98">
        <v>4</v>
      </c>
      <c r="R98" t="s">
        <v>593</v>
      </c>
      <c r="S98">
        <v>1994</v>
      </c>
      <c r="T98">
        <v>1998</v>
      </c>
      <c r="U98" t="s">
        <v>590</v>
      </c>
      <c r="V98" t="s">
        <v>36</v>
      </c>
      <c r="W98" t="s">
        <v>36</v>
      </c>
      <c r="X98" s="9" t="s">
        <v>556</v>
      </c>
      <c r="Y98" t="s">
        <v>476</v>
      </c>
      <c r="Z98" s="59" t="s">
        <v>43</v>
      </c>
      <c r="AA98" t="s">
        <v>559</v>
      </c>
      <c r="AB98" s="60" t="s">
        <v>415</v>
      </c>
      <c r="AC98" s="31">
        <v>53000</v>
      </c>
      <c r="AX98" t="s">
        <v>574</v>
      </c>
      <c r="AZ98" s="60" t="s">
        <v>398</v>
      </c>
      <c r="BA98">
        <v>1994</v>
      </c>
      <c r="BB98">
        <v>1998</v>
      </c>
      <c r="BM98" t="s">
        <v>569</v>
      </c>
      <c r="BN98" s="49" t="s">
        <v>36</v>
      </c>
      <c r="BO98" s="30"/>
      <c r="BS98" s="60" t="s">
        <v>416</v>
      </c>
      <c r="BT98" s="30" t="s">
        <v>569</v>
      </c>
      <c r="BU98" s="30" t="s">
        <v>575</v>
      </c>
      <c r="BV98" s="30"/>
      <c r="CH98" s="50" t="s">
        <v>39</v>
      </c>
      <c r="CM98" s="66" t="s">
        <v>440</v>
      </c>
      <c r="CN98">
        <v>0</v>
      </c>
      <c r="CW98" s="30"/>
      <c r="DC98" s="67" t="s">
        <v>445</v>
      </c>
      <c r="DK98" s="67" t="s">
        <v>579</v>
      </c>
      <c r="DO98" s="30"/>
      <c r="DP98" s="30"/>
      <c r="DQ98" s="30"/>
      <c r="DR98" s="30"/>
      <c r="FD98" s="28" t="s">
        <v>615</v>
      </c>
      <c r="FE98">
        <v>42</v>
      </c>
      <c r="FG98" s="73" t="s">
        <v>616</v>
      </c>
      <c r="FH98" s="6" t="s">
        <v>624</v>
      </c>
      <c r="FR98" t="s">
        <v>623</v>
      </c>
      <c r="FU98" s="6" t="s">
        <v>27</v>
      </c>
      <c r="FV98" s="52" t="s">
        <v>420</v>
      </c>
      <c r="GF98" t="s">
        <v>514</v>
      </c>
      <c r="GG98" t="s">
        <v>510</v>
      </c>
      <c r="GH98" s="80" t="s">
        <v>680</v>
      </c>
      <c r="GI98" s="6" t="s">
        <v>511</v>
      </c>
      <c r="GJ98" s="8">
        <v>3.601407009322305E-2</v>
      </c>
      <c r="GM98">
        <v>4</v>
      </c>
      <c r="GN98" t="s">
        <v>625</v>
      </c>
      <c r="GO98" s="59" t="s">
        <v>154</v>
      </c>
      <c r="GP98">
        <v>1996</v>
      </c>
      <c r="GS98" s="71" t="s">
        <v>560</v>
      </c>
      <c r="GU98" t="s">
        <v>643</v>
      </c>
    </row>
    <row r="99" spans="1:203" ht="15" thickBot="1">
      <c r="A99" s="25" t="s">
        <v>550</v>
      </c>
      <c r="C99" t="s">
        <v>549</v>
      </c>
      <c r="E99" t="s">
        <v>16</v>
      </c>
      <c r="F99" s="6" t="s">
        <v>592</v>
      </c>
      <c r="G99" t="s">
        <v>591</v>
      </c>
      <c r="H99" s="6" t="s">
        <v>4</v>
      </c>
      <c r="I99" s="59" t="s">
        <v>154</v>
      </c>
      <c r="J99" s="59" t="s">
        <v>389</v>
      </c>
      <c r="K99" s="9">
        <v>0.1</v>
      </c>
      <c r="L99" s="9">
        <v>34.566667000000002</v>
      </c>
      <c r="M99" s="30" t="s">
        <v>31</v>
      </c>
      <c r="N99" t="s">
        <v>551</v>
      </c>
      <c r="O99">
        <v>100</v>
      </c>
      <c r="Q99">
        <v>4</v>
      </c>
      <c r="R99" t="s">
        <v>593</v>
      </c>
      <c r="S99">
        <v>1994</v>
      </c>
      <c r="T99">
        <v>1998</v>
      </c>
      <c r="U99" t="s">
        <v>590</v>
      </c>
      <c r="V99" t="s">
        <v>36</v>
      </c>
      <c r="W99" t="s">
        <v>36</v>
      </c>
      <c r="X99" s="9" t="s">
        <v>557</v>
      </c>
      <c r="Y99" t="s">
        <v>477</v>
      </c>
      <c r="Z99" s="59" t="s">
        <v>43</v>
      </c>
      <c r="AA99" t="s">
        <v>559</v>
      </c>
      <c r="AB99" s="60" t="s">
        <v>415</v>
      </c>
      <c r="AC99" s="31">
        <v>53000</v>
      </c>
      <c r="AX99" t="s">
        <v>574</v>
      </c>
      <c r="AZ99" s="60" t="s">
        <v>398</v>
      </c>
      <c r="BA99">
        <v>1994</v>
      </c>
      <c r="BB99">
        <v>1998</v>
      </c>
      <c r="BM99" t="s">
        <v>570</v>
      </c>
      <c r="BN99" s="49" t="s">
        <v>36</v>
      </c>
      <c r="BO99" s="30"/>
      <c r="BS99" s="60" t="s">
        <v>416</v>
      </c>
      <c r="BT99" s="30" t="s">
        <v>576</v>
      </c>
      <c r="BU99" s="30" t="s">
        <v>575</v>
      </c>
      <c r="BV99" s="30"/>
      <c r="CG99" t="s">
        <v>570</v>
      </c>
      <c r="CH99" t="s">
        <v>37</v>
      </c>
      <c r="CI99" s="65" t="s">
        <v>439</v>
      </c>
      <c r="CM99" s="66" t="s">
        <v>440</v>
      </c>
      <c r="CN99">
        <v>60</v>
      </c>
      <c r="CQ99">
        <v>60</v>
      </c>
      <c r="CW99" s="30"/>
      <c r="DC99" s="67" t="s">
        <v>445</v>
      </c>
      <c r="DK99" s="67" t="s">
        <v>579</v>
      </c>
      <c r="DO99" s="30"/>
      <c r="DP99" s="30"/>
      <c r="DQ99" s="30"/>
      <c r="DR99" s="30"/>
      <c r="FD99" s="29" t="s">
        <v>615</v>
      </c>
      <c r="FE99">
        <v>42</v>
      </c>
      <c r="FG99" s="73" t="s">
        <v>616</v>
      </c>
      <c r="FH99" s="6" t="s">
        <v>624</v>
      </c>
      <c r="FR99" t="s">
        <v>623</v>
      </c>
      <c r="FU99" s="6" t="s">
        <v>27</v>
      </c>
      <c r="FV99" s="52" t="s">
        <v>420</v>
      </c>
      <c r="GF99" t="s">
        <v>587</v>
      </c>
      <c r="GG99" t="s">
        <v>510</v>
      </c>
      <c r="GH99" s="80" t="s">
        <v>681</v>
      </c>
      <c r="GI99" s="6" t="s">
        <v>511</v>
      </c>
      <c r="GJ99" s="8">
        <v>3.0019181406897966E-2</v>
      </c>
      <c r="GM99">
        <v>4</v>
      </c>
      <c r="GN99" t="s">
        <v>625</v>
      </c>
      <c r="GO99" s="59" t="s">
        <v>154</v>
      </c>
      <c r="GP99">
        <v>1996</v>
      </c>
      <c r="GS99" s="71" t="s">
        <v>560</v>
      </c>
      <c r="GU99" t="s">
        <v>643</v>
      </c>
    </row>
    <row r="100" spans="1:203" ht="15" thickBot="1">
      <c r="A100" s="25" t="s">
        <v>550</v>
      </c>
      <c r="C100" t="s">
        <v>549</v>
      </c>
      <c r="E100" t="s">
        <v>16</v>
      </c>
      <c r="F100" s="6" t="s">
        <v>592</v>
      </c>
      <c r="G100" t="s">
        <v>591</v>
      </c>
      <c r="H100" s="6" t="s">
        <v>4</v>
      </c>
      <c r="I100" s="59" t="s">
        <v>154</v>
      </c>
      <c r="J100" s="59" t="s">
        <v>389</v>
      </c>
      <c r="K100" s="9">
        <v>0.1</v>
      </c>
      <c r="L100" s="9">
        <v>34.566667000000002</v>
      </c>
      <c r="M100" s="30" t="s">
        <v>31</v>
      </c>
      <c r="N100" t="s">
        <v>551</v>
      </c>
      <c r="O100">
        <v>100</v>
      </c>
      <c r="Q100">
        <v>4</v>
      </c>
      <c r="R100" t="s">
        <v>593</v>
      </c>
      <c r="S100">
        <v>1994</v>
      </c>
      <c r="T100">
        <v>1998</v>
      </c>
      <c r="U100" t="s">
        <v>590</v>
      </c>
      <c r="V100" t="s">
        <v>558</v>
      </c>
      <c r="W100" t="s">
        <v>588</v>
      </c>
      <c r="X100" s="9" t="s">
        <v>552</v>
      </c>
      <c r="Y100" t="s">
        <v>478</v>
      </c>
      <c r="Z100" s="59" t="s">
        <v>43</v>
      </c>
      <c r="AA100" t="s">
        <v>559</v>
      </c>
      <c r="AB100" s="60" t="s">
        <v>415</v>
      </c>
      <c r="AC100" s="31">
        <v>53000</v>
      </c>
      <c r="AD100" t="s">
        <v>98</v>
      </c>
      <c r="AO100" t="s">
        <v>47</v>
      </c>
      <c r="AP100" s="60" t="s">
        <v>415</v>
      </c>
      <c r="AQ100" s="31">
        <v>53000</v>
      </c>
      <c r="AX100" t="s">
        <v>574</v>
      </c>
      <c r="AZ100" s="60" t="s">
        <v>398</v>
      </c>
      <c r="BA100">
        <v>1994</v>
      </c>
      <c r="BB100">
        <v>1998</v>
      </c>
      <c r="BL100" s="60"/>
      <c r="BM100" t="s">
        <v>563</v>
      </c>
      <c r="BN100" s="67" t="s">
        <v>561</v>
      </c>
      <c r="BO100" s="30"/>
      <c r="BQ100">
        <v>1995</v>
      </c>
      <c r="BR100" t="s">
        <v>560</v>
      </c>
      <c r="BS100" s="60" t="s">
        <v>416</v>
      </c>
      <c r="BT100" s="30" t="s">
        <v>572</v>
      </c>
      <c r="BU100" s="50" t="s">
        <v>28</v>
      </c>
      <c r="BV100" s="30"/>
      <c r="BX100" s="30" t="s">
        <v>31</v>
      </c>
      <c r="BY100" s="30" t="s">
        <v>31</v>
      </c>
      <c r="BZ100" s="30" t="s">
        <v>31</v>
      </c>
      <c r="CA100" s="30" t="s">
        <v>31</v>
      </c>
      <c r="CB100" s="30" t="s">
        <v>31</v>
      </c>
      <c r="CC100" s="30" t="s">
        <v>31</v>
      </c>
      <c r="CD100" s="30" t="s">
        <v>31</v>
      </c>
      <c r="CE100" s="30" t="s">
        <v>31</v>
      </c>
      <c r="CF100" s="30" t="s">
        <v>31</v>
      </c>
      <c r="CH100" s="50" t="s">
        <v>39</v>
      </c>
      <c r="CM100" s="66" t="s">
        <v>440</v>
      </c>
      <c r="CN100">
        <v>0</v>
      </c>
      <c r="CW100" s="30"/>
      <c r="DC100" s="67" t="s">
        <v>445</v>
      </c>
      <c r="DK100" s="72" t="s">
        <v>577</v>
      </c>
      <c r="DL100" s="56" t="s">
        <v>508</v>
      </c>
      <c r="DM100" s="30"/>
      <c r="DN100" s="30" t="s">
        <v>31</v>
      </c>
      <c r="DO100" s="30"/>
      <c r="DP100" s="30"/>
      <c r="DQ100" s="30"/>
      <c r="DR100" s="30"/>
      <c r="FC100" t="s">
        <v>154</v>
      </c>
      <c r="FD100" s="28" t="s">
        <v>615</v>
      </c>
      <c r="FE100">
        <v>42</v>
      </c>
      <c r="FG100" s="73" t="s">
        <v>616</v>
      </c>
      <c r="FH100" s="6" t="s">
        <v>624</v>
      </c>
      <c r="FR100" t="s">
        <v>623</v>
      </c>
      <c r="FU100" s="6" t="s">
        <v>27</v>
      </c>
      <c r="FV100" s="52" t="s">
        <v>420</v>
      </c>
      <c r="GG100" t="s">
        <v>510</v>
      </c>
      <c r="GH100" s="80" t="s">
        <v>682</v>
      </c>
      <c r="GI100" s="6" t="s">
        <v>511</v>
      </c>
      <c r="GJ100" s="8">
        <v>7.2095247149352004E-2</v>
      </c>
      <c r="GM100">
        <v>4</v>
      </c>
      <c r="GN100" t="s">
        <v>626</v>
      </c>
      <c r="GO100" s="59" t="s">
        <v>154</v>
      </c>
      <c r="GP100">
        <v>1997</v>
      </c>
      <c r="GS100" s="71" t="s">
        <v>560</v>
      </c>
      <c r="GU100" t="s">
        <v>644</v>
      </c>
    </row>
    <row r="101" spans="1:203" ht="15" thickBot="1">
      <c r="A101" s="25" t="s">
        <v>550</v>
      </c>
      <c r="C101" t="s">
        <v>549</v>
      </c>
      <c r="E101" t="s">
        <v>16</v>
      </c>
      <c r="F101" s="6" t="s">
        <v>592</v>
      </c>
      <c r="G101" t="s">
        <v>591</v>
      </c>
      <c r="H101" s="6" t="s">
        <v>4</v>
      </c>
      <c r="I101" s="59" t="s">
        <v>154</v>
      </c>
      <c r="J101" s="59" t="s">
        <v>389</v>
      </c>
      <c r="K101" s="9">
        <v>0.1</v>
      </c>
      <c r="L101" s="9">
        <v>34.566667000000002</v>
      </c>
      <c r="M101" s="30" t="s">
        <v>31</v>
      </c>
      <c r="N101" t="s">
        <v>551</v>
      </c>
      <c r="O101">
        <v>100</v>
      </c>
      <c r="Q101">
        <v>4</v>
      </c>
      <c r="R101" t="s">
        <v>593</v>
      </c>
      <c r="S101">
        <v>1994</v>
      </c>
      <c r="T101">
        <v>1998</v>
      </c>
      <c r="U101" t="s">
        <v>590</v>
      </c>
      <c r="V101" t="s">
        <v>558</v>
      </c>
      <c r="W101" t="s">
        <v>588</v>
      </c>
      <c r="X101" s="9" t="s">
        <v>554</v>
      </c>
      <c r="Y101" t="s">
        <v>479</v>
      </c>
      <c r="Z101" s="59" t="s">
        <v>43</v>
      </c>
      <c r="AA101" t="s">
        <v>559</v>
      </c>
      <c r="AB101" s="60" t="s">
        <v>415</v>
      </c>
      <c r="AC101" s="31">
        <v>53000</v>
      </c>
      <c r="AD101" t="s">
        <v>98</v>
      </c>
      <c r="AO101" t="s">
        <v>47</v>
      </c>
      <c r="AP101" s="60" t="s">
        <v>415</v>
      </c>
      <c r="AQ101" s="31">
        <v>53000</v>
      </c>
      <c r="AX101" t="s">
        <v>574</v>
      </c>
      <c r="AZ101" s="60" t="s">
        <v>398</v>
      </c>
      <c r="BA101">
        <v>1994</v>
      </c>
      <c r="BB101">
        <v>1998</v>
      </c>
      <c r="BL101" s="60"/>
      <c r="BM101" t="s">
        <v>564</v>
      </c>
      <c r="BN101" s="67" t="s">
        <v>562</v>
      </c>
      <c r="BO101" s="30"/>
      <c r="BQ101">
        <v>1994</v>
      </c>
      <c r="BR101" t="s">
        <v>571</v>
      </c>
      <c r="BS101" s="60" t="s">
        <v>416</v>
      </c>
      <c r="BT101" s="30" t="s">
        <v>573</v>
      </c>
      <c r="BU101" s="50" t="s">
        <v>28</v>
      </c>
      <c r="BV101" s="30"/>
      <c r="BX101" s="30" t="s">
        <v>31</v>
      </c>
      <c r="BY101" s="30" t="s">
        <v>31</v>
      </c>
      <c r="BZ101" s="30" t="s">
        <v>31</v>
      </c>
      <c r="CA101" s="30" t="s">
        <v>31</v>
      </c>
      <c r="CB101" s="30" t="s">
        <v>31</v>
      </c>
      <c r="CC101" s="30" t="s">
        <v>31</v>
      </c>
      <c r="CD101" s="30" t="s">
        <v>31</v>
      </c>
      <c r="CE101" s="30" t="s">
        <v>31</v>
      </c>
      <c r="CF101" s="30" t="s">
        <v>31</v>
      </c>
      <c r="CH101" s="50" t="s">
        <v>39</v>
      </c>
      <c r="CM101" s="66" t="s">
        <v>440</v>
      </c>
      <c r="CN101">
        <v>0</v>
      </c>
      <c r="CW101" s="30"/>
      <c r="DC101" s="67" t="s">
        <v>445</v>
      </c>
      <c r="DK101" s="72" t="s">
        <v>577</v>
      </c>
      <c r="DL101" s="56" t="s">
        <v>508</v>
      </c>
      <c r="DM101" s="30"/>
      <c r="DN101" s="30" t="s">
        <v>31</v>
      </c>
      <c r="DO101" s="30"/>
      <c r="DP101" s="30"/>
      <c r="DQ101" s="30"/>
      <c r="DR101" s="30"/>
      <c r="FC101" t="s">
        <v>154</v>
      </c>
      <c r="FD101" s="29" t="s">
        <v>615</v>
      </c>
      <c r="FE101">
        <v>42</v>
      </c>
      <c r="FG101" s="73" t="s">
        <v>616</v>
      </c>
      <c r="FH101" s="6" t="s">
        <v>624</v>
      </c>
      <c r="FR101" t="s">
        <v>623</v>
      </c>
      <c r="FU101" s="6" t="s">
        <v>27</v>
      </c>
      <c r="FV101" s="52" t="s">
        <v>420</v>
      </c>
      <c r="GG101" t="s">
        <v>510</v>
      </c>
      <c r="GH101">
        <v>0.44946566080785599</v>
      </c>
      <c r="GI101" s="6" t="s">
        <v>511</v>
      </c>
      <c r="GJ101" s="8">
        <v>3.3011033503150988E-2</v>
      </c>
      <c r="GM101">
        <v>4</v>
      </c>
      <c r="GN101" t="s">
        <v>626</v>
      </c>
      <c r="GO101" s="59" t="s">
        <v>154</v>
      </c>
      <c r="GP101">
        <v>1997</v>
      </c>
      <c r="GS101" s="71" t="s">
        <v>560</v>
      </c>
      <c r="GU101" t="s">
        <v>644</v>
      </c>
    </row>
    <row r="102" spans="1:203" ht="15" thickBot="1">
      <c r="A102" s="25" t="s">
        <v>550</v>
      </c>
      <c r="C102" t="s">
        <v>549</v>
      </c>
      <c r="E102" t="s">
        <v>16</v>
      </c>
      <c r="F102" s="6" t="s">
        <v>592</v>
      </c>
      <c r="G102" t="s">
        <v>591</v>
      </c>
      <c r="H102" s="6" t="s">
        <v>4</v>
      </c>
      <c r="I102" s="59" t="s">
        <v>154</v>
      </c>
      <c r="J102" s="59" t="s">
        <v>389</v>
      </c>
      <c r="K102" s="9">
        <v>0.1</v>
      </c>
      <c r="L102" s="9">
        <v>34.566667000000002</v>
      </c>
      <c r="M102" s="30" t="s">
        <v>31</v>
      </c>
      <c r="N102" t="s">
        <v>551</v>
      </c>
      <c r="O102">
        <v>100</v>
      </c>
      <c r="Q102">
        <v>4</v>
      </c>
      <c r="R102" t="s">
        <v>593</v>
      </c>
      <c r="S102">
        <v>1994</v>
      </c>
      <c r="T102">
        <v>1998</v>
      </c>
      <c r="U102" t="s">
        <v>590</v>
      </c>
      <c r="V102" t="s">
        <v>558</v>
      </c>
      <c r="W102" t="s">
        <v>589</v>
      </c>
      <c r="X102" s="9" t="s">
        <v>553</v>
      </c>
      <c r="Y102" t="s">
        <v>480</v>
      </c>
      <c r="Z102" s="59" t="s">
        <v>43</v>
      </c>
      <c r="AA102" t="s">
        <v>559</v>
      </c>
      <c r="AB102" s="60" t="s">
        <v>415</v>
      </c>
      <c r="AC102" s="31">
        <v>53000</v>
      </c>
      <c r="AP102" s="60"/>
      <c r="AQ102" s="31"/>
      <c r="AX102" t="s">
        <v>574</v>
      </c>
      <c r="AZ102" s="60" t="s">
        <v>398</v>
      </c>
      <c r="BA102">
        <v>1994</v>
      </c>
      <c r="BB102">
        <v>1998</v>
      </c>
      <c r="BM102" t="s">
        <v>565</v>
      </c>
      <c r="BN102" s="49" t="s">
        <v>566</v>
      </c>
      <c r="BO102" s="30"/>
      <c r="BQ102">
        <v>1995</v>
      </c>
      <c r="BR102" t="s">
        <v>571</v>
      </c>
      <c r="BS102" s="60" t="s">
        <v>416</v>
      </c>
      <c r="BT102" s="30" t="s">
        <v>569</v>
      </c>
      <c r="BU102" s="30" t="s">
        <v>575</v>
      </c>
      <c r="BV102" s="30"/>
      <c r="CH102" s="50" t="s">
        <v>39</v>
      </c>
      <c r="CM102" s="66" t="s">
        <v>440</v>
      </c>
      <c r="CN102">
        <v>0</v>
      </c>
      <c r="CW102" s="30"/>
      <c r="DC102" s="67" t="s">
        <v>445</v>
      </c>
      <c r="DK102" s="67" t="s">
        <v>579</v>
      </c>
      <c r="DL102" s="30"/>
      <c r="DM102" s="30"/>
      <c r="DN102" s="30"/>
      <c r="DO102" s="30"/>
      <c r="DP102" s="30"/>
      <c r="DQ102" s="30"/>
      <c r="DR102" s="30"/>
      <c r="FC102" t="s">
        <v>154</v>
      </c>
      <c r="FD102" s="28" t="s">
        <v>615</v>
      </c>
      <c r="FE102">
        <v>42</v>
      </c>
      <c r="FG102" s="73" t="s">
        <v>616</v>
      </c>
      <c r="FH102" s="6" t="s">
        <v>624</v>
      </c>
      <c r="FR102" t="s">
        <v>623</v>
      </c>
      <c r="FU102" s="6" t="s">
        <v>27</v>
      </c>
      <c r="FV102" s="52" t="s">
        <v>420</v>
      </c>
      <c r="GG102" t="s">
        <v>510</v>
      </c>
      <c r="GH102" s="80" t="s">
        <v>683</v>
      </c>
      <c r="GI102" s="6" t="s">
        <v>511</v>
      </c>
      <c r="GJ102" s="8">
        <v>5.7057695211359005E-2</v>
      </c>
      <c r="GM102">
        <v>4</v>
      </c>
      <c r="GN102" t="s">
        <v>626</v>
      </c>
      <c r="GO102" s="59" t="s">
        <v>154</v>
      </c>
      <c r="GP102">
        <v>1997</v>
      </c>
      <c r="GS102" s="71" t="s">
        <v>560</v>
      </c>
      <c r="GU102" t="s">
        <v>644</v>
      </c>
    </row>
    <row r="103" spans="1:203" ht="15" thickBot="1">
      <c r="A103" s="25" t="s">
        <v>550</v>
      </c>
      <c r="C103" t="s">
        <v>549</v>
      </c>
      <c r="E103" t="s">
        <v>16</v>
      </c>
      <c r="F103" s="6" t="s">
        <v>592</v>
      </c>
      <c r="G103" t="s">
        <v>591</v>
      </c>
      <c r="H103" s="6" t="s">
        <v>4</v>
      </c>
      <c r="I103" s="59" t="s">
        <v>154</v>
      </c>
      <c r="J103" s="59" t="s">
        <v>389</v>
      </c>
      <c r="K103" s="9">
        <v>0.1</v>
      </c>
      <c r="L103" s="9">
        <v>34.566667000000002</v>
      </c>
      <c r="M103" s="30" t="s">
        <v>31</v>
      </c>
      <c r="N103" t="s">
        <v>551</v>
      </c>
      <c r="O103">
        <v>100</v>
      </c>
      <c r="Q103">
        <v>4</v>
      </c>
      <c r="R103" t="s">
        <v>593</v>
      </c>
      <c r="S103">
        <v>1994</v>
      </c>
      <c r="T103">
        <v>1998</v>
      </c>
      <c r="U103" t="s">
        <v>590</v>
      </c>
      <c r="V103" t="s">
        <v>558</v>
      </c>
      <c r="W103" t="s">
        <v>589</v>
      </c>
      <c r="X103" s="9" t="s">
        <v>555</v>
      </c>
      <c r="Y103" t="s">
        <v>481</v>
      </c>
      <c r="Z103" s="59" t="s">
        <v>43</v>
      </c>
      <c r="AA103" t="s">
        <v>559</v>
      </c>
      <c r="AB103" s="60" t="s">
        <v>415</v>
      </c>
      <c r="AC103" s="31">
        <v>53000</v>
      </c>
      <c r="AP103" s="60"/>
      <c r="AQ103" s="31"/>
      <c r="AX103" t="s">
        <v>574</v>
      </c>
      <c r="AZ103" s="60" t="s">
        <v>398</v>
      </c>
      <c r="BA103">
        <v>1994</v>
      </c>
      <c r="BB103">
        <v>1998</v>
      </c>
      <c r="BM103" t="s">
        <v>567</v>
      </c>
      <c r="BN103" s="49" t="s">
        <v>568</v>
      </c>
      <c r="BO103" s="30"/>
      <c r="BQ103">
        <v>1994</v>
      </c>
      <c r="BR103" t="s">
        <v>571</v>
      </c>
      <c r="BS103" s="60" t="s">
        <v>416</v>
      </c>
      <c r="BT103" s="30" t="s">
        <v>569</v>
      </c>
      <c r="BU103" s="30" t="s">
        <v>575</v>
      </c>
      <c r="BV103" s="30"/>
      <c r="CH103" s="50" t="s">
        <v>39</v>
      </c>
      <c r="CM103" s="66" t="s">
        <v>440</v>
      </c>
      <c r="CN103">
        <v>0</v>
      </c>
      <c r="CW103" s="30"/>
      <c r="DC103" s="67" t="s">
        <v>445</v>
      </c>
      <c r="DK103" s="67" t="s">
        <v>579</v>
      </c>
      <c r="DO103" s="30"/>
      <c r="DP103" s="30"/>
      <c r="DQ103" s="30"/>
      <c r="DR103" s="30"/>
      <c r="FC103" t="s">
        <v>154</v>
      </c>
      <c r="FD103" s="29" t="s">
        <v>615</v>
      </c>
      <c r="FE103">
        <v>42</v>
      </c>
      <c r="FG103" s="73" t="s">
        <v>616</v>
      </c>
      <c r="FH103" s="6" t="s">
        <v>624</v>
      </c>
      <c r="FR103" t="s">
        <v>623</v>
      </c>
      <c r="FU103" s="6" t="s">
        <v>27</v>
      </c>
      <c r="FV103" s="52" t="s">
        <v>420</v>
      </c>
      <c r="GG103" t="s">
        <v>510</v>
      </c>
      <c r="GH103" s="80" t="s">
        <v>684</v>
      </c>
      <c r="GI103" s="6" t="s">
        <v>511</v>
      </c>
      <c r="GJ103" s="8">
        <v>8.4073840028185021E-2</v>
      </c>
      <c r="GM103">
        <v>4</v>
      </c>
      <c r="GN103" t="s">
        <v>626</v>
      </c>
      <c r="GO103" s="59" t="s">
        <v>154</v>
      </c>
      <c r="GP103">
        <v>1997</v>
      </c>
      <c r="GS103" s="71" t="s">
        <v>560</v>
      </c>
      <c r="GU103" t="s">
        <v>644</v>
      </c>
    </row>
    <row r="104" spans="1:203" ht="15" thickBot="1">
      <c r="A104" s="25" t="s">
        <v>550</v>
      </c>
      <c r="C104" t="s">
        <v>549</v>
      </c>
      <c r="E104" t="s">
        <v>16</v>
      </c>
      <c r="F104" s="6" t="s">
        <v>592</v>
      </c>
      <c r="G104" t="s">
        <v>591</v>
      </c>
      <c r="H104" s="6" t="s">
        <v>4</v>
      </c>
      <c r="I104" s="59" t="s">
        <v>154</v>
      </c>
      <c r="J104" s="59" t="s">
        <v>389</v>
      </c>
      <c r="K104" s="9">
        <v>0.1</v>
      </c>
      <c r="L104" s="9">
        <v>34.566667000000002</v>
      </c>
      <c r="M104" s="30" t="s">
        <v>31</v>
      </c>
      <c r="N104" t="s">
        <v>551</v>
      </c>
      <c r="O104">
        <v>100</v>
      </c>
      <c r="Q104">
        <v>4</v>
      </c>
      <c r="R104" t="s">
        <v>593</v>
      </c>
      <c r="S104">
        <v>1994</v>
      </c>
      <c r="T104">
        <v>1998</v>
      </c>
      <c r="U104" t="s">
        <v>590</v>
      </c>
      <c r="V104" t="s">
        <v>36</v>
      </c>
      <c r="W104" t="s">
        <v>36</v>
      </c>
      <c r="X104" s="9" t="s">
        <v>556</v>
      </c>
      <c r="Y104" t="s">
        <v>476</v>
      </c>
      <c r="Z104" s="59" t="s">
        <v>43</v>
      </c>
      <c r="AA104" t="s">
        <v>559</v>
      </c>
      <c r="AB104" s="60" t="s">
        <v>415</v>
      </c>
      <c r="AC104" s="31">
        <v>53000</v>
      </c>
      <c r="AX104" t="s">
        <v>574</v>
      </c>
      <c r="AZ104" s="60" t="s">
        <v>398</v>
      </c>
      <c r="BA104">
        <v>1994</v>
      </c>
      <c r="BB104">
        <v>1998</v>
      </c>
      <c r="BM104" t="s">
        <v>569</v>
      </c>
      <c r="BN104" s="49" t="s">
        <v>36</v>
      </c>
      <c r="BO104" s="30"/>
      <c r="BS104" s="60" t="s">
        <v>416</v>
      </c>
      <c r="BT104" s="30" t="s">
        <v>569</v>
      </c>
      <c r="BU104" s="30" t="s">
        <v>575</v>
      </c>
      <c r="BV104" s="30"/>
      <c r="CH104" s="50" t="s">
        <v>39</v>
      </c>
      <c r="CM104" s="66" t="s">
        <v>440</v>
      </c>
      <c r="CN104">
        <v>0</v>
      </c>
      <c r="CW104" s="30"/>
      <c r="DC104" s="67" t="s">
        <v>445</v>
      </c>
      <c r="DK104" s="67" t="s">
        <v>579</v>
      </c>
      <c r="DO104" s="30"/>
      <c r="DP104" s="30"/>
      <c r="DQ104" s="30"/>
      <c r="DR104" s="30"/>
      <c r="FD104" s="28" t="s">
        <v>615</v>
      </c>
      <c r="FE104">
        <v>42</v>
      </c>
      <c r="FG104" s="73" t="s">
        <v>616</v>
      </c>
      <c r="FH104" s="6" t="s">
        <v>624</v>
      </c>
      <c r="FR104" t="s">
        <v>623</v>
      </c>
      <c r="FU104" s="6" t="s">
        <v>27</v>
      </c>
      <c r="FV104" s="52" t="s">
        <v>420</v>
      </c>
      <c r="GF104" t="s">
        <v>514</v>
      </c>
      <c r="GG104" t="s">
        <v>510</v>
      </c>
      <c r="GH104" s="80" t="s">
        <v>685</v>
      </c>
      <c r="GI104" s="6" t="s">
        <v>511</v>
      </c>
      <c r="GJ104" s="8">
        <v>4.8093323416414979E-2</v>
      </c>
      <c r="GM104">
        <v>4</v>
      </c>
      <c r="GN104" t="s">
        <v>626</v>
      </c>
      <c r="GO104" s="59" t="s">
        <v>154</v>
      </c>
      <c r="GP104">
        <v>1997</v>
      </c>
      <c r="GS104" s="71" t="s">
        <v>560</v>
      </c>
      <c r="GU104" t="s">
        <v>644</v>
      </c>
    </row>
    <row r="105" spans="1:203" ht="15" thickBot="1">
      <c r="A105" s="25" t="s">
        <v>550</v>
      </c>
      <c r="C105" t="s">
        <v>549</v>
      </c>
      <c r="E105" t="s">
        <v>16</v>
      </c>
      <c r="F105" s="6" t="s">
        <v>592</v>
      </c>
      <c r="G105" t="s">
        <v>591</v>
      </c>
      <c r="H105" s="6" t="s">
        <v>4</v>
      </c>
      <c r="I105" s="59" t="s">
        <v>154</v>
      </c>
      <c r="J105" s="59" t="s">
        <v>389</v>
      </c>
      <c r="K105" s="9">
        <v>0.1</v>
      </c>
      <c r="L105" s="9">
        <v>34.566667000000002</v>
      </c>
      <c r="M105" s="30" t="s">
        <v>31</v>
      </c>
      <c r="N105" t="s">
        <v>551</v>
      </c>
      <c r="O105">
        <v>100</v>
      </c>
      <c r="Q105">
        <v>4</v>
      </c>
      <c r="R105" t="s">
        <v>593</v>
      </c>
      <c r="S105">
        <v>1994</v>
      </c>
      <c r="T105">
        <v>1998</v>
      </c>
      <c r="U105" t="s">
        <v>590</v>
      </c>
      <c r="V105" t="s">
        <v>36</v>
      </c>
      <c r="W105" t="s">
        <v>36</v>
      </c>
      <c r="X105" s="9" t="s">
        <v>557</v>
      </c>
      <c r="Y105" t="s">
        <v>477</v>
      </c>
      <c r="Z105" s="59" t="s">
        <v>43</v>
      </c>
      <c r="AA105" t="s">
        <v>559</v>
      </c>
      <c r="AB105" s="60" t="s">
        <v>415</v>
      </c>
      <c r="AC105" s="31">
        <v>53000</v>
      </c>
      <c r="AX105" t="s">
        <v>574</v>
      </c>
      <c r="AZ105" s="60" t="s">
        <v>398</v>
      </c>
      <c r="BA105">
        <v>1994</v>
      </c>
      <c r="BB105">
        <v>1998</v>
      </c>
      <c r="BM105" t="s">
        <v>570</v>
      </c>
      <c r="BN105" s="49" t="s">
        <v>36</v>
      </c>
      <c r="BO105" s="30"/>
      <c r="BS105" s="60" t="s">
        <v>416</v>
      </c>
      <c r="BT105" s="30" t="s">
        <v>576</v>
      </c>
      <c r="BU105" s="30" t="s">
        <v>575</v>
      </c>
      <c r="BV105" s="30"/>
      <c r="CG105" t="s">
        <v>570</v>
      </c>
      <c r="CH105" t="s">
        <v>37</v>
      </c>
      <c r="CI105" s="65" t="s">
        <v>439</v>
      </c>
      <c r="CM105" s="66" t="s">
        <v>440</v>
      </c>
      <c r="CN105">
        <v>60</v>
      </c>
      <c r="CQ105">
        <v>60</v>
      </c>
      <c r="CW105" s="30"/>
      <c r="DC105" s="67" t="s">
        <v>445</v>
      </c>
      <c r="DK105" s="67" t="s">
        <v>579</v>
      </c>
      <c r="DO105" s="30"/>
      <c r="DP105" s="30"/>
      <c r="DQ105" s="30"/>
      <c r="DR105" s="30"/>
      <c r="FD105" s="29" t="s">
        <v>615</v>
      </c>
      <c r="FE105">
        <v>42</v>
      </c>
      <c r="FG105" s="73" t="s">
        <v>616</v>
      </c>
      <c r="FH105" s="6" t="s">
        <v>624</v>
      </c>
      <c r="FR105" t="s">
        <v>623</v>
      </c>
      <c r="FU105" s="6" t="s">
        <v>27</v>
      </c>
      <c r="FV105" s="52" t="s">
        <v>420</v>
      </c>
      <c r="GF105" t="s">
        <v>587</v>
      </c>
      <c r="GG105" t="s">
        <v>510</v>
      </c>
      <c r="GH105" s="80" t="s">
        <v>686</v>
      </c>
      <c r="GI105" s="6" t="s">
        <v>511</v>
      </c>
      <c r="GJ105" s="8">
        <v>2.1021256130499988E-2</v>
      </c>
      <c r="GM105">
        <v>4</v>
      </c>
      <c r="GN105" t="s">
        <v>626</v>
      </c>
      <c r="GO105" s="59" t="s">
        <v>154</v>
      </c>
      <c r="GP105">
        <v>1997</v>
      </c>
      <c r="GS105" s="71" t="s">
        <v>560</v>
      </c>
      <c r="GU105" t="s">
        <v>644</v>
      </c>
    </row>
    <row r="106" spans="1:203" ht="15" thickBot="1">
      <c r="A106" s="25" t="s">
        <v>550</v>
      </c>
      <c r="C106" t="s">
        <v>549</v>
      </c>
      <c r="E106" t="s">
        <v>16</v>
      </c>
      <c r="F106" s="6" t="s">
        <v>592</v>
      </c>
      <c r="G106" t="s">
        <v>591</v>
      </c>
      <c r="H106" s="6" t="s">
        <v>4</v>
      </c>
      <c r="I106" s="59" t="s">
        <v>154</v>
      </c>
      <c r="J106" s="59" t="s">
        <v>389</v>
      </c>
      <c r="K106" s="9">
        <v>0.1</v>
      </c>
      <c r="L106" s="9">
        <v>34.566667000000002</v>
      </c>
      <c r="M106" s="30" t="s">
        <v>31</v>
      </c>
      <c r="N106" t="s">
        <v>551</v>
      </c>
      <c r="O106">
        <v>100</v>
      </c>
      <c r="Q106">
        <v>4</v>
      </c>
      <c r="R106" t="s">
        <v>593</v>
      </c>
      <c r="S106">
        <v>1994</v>
      </c>
      <c r="T106">
        <v>1998</v>
      </c>
      <c r="U106" t="s">
        <v>590</v>
      </c>
      <c r="V106" t="s">
        <v>558</v>
      </c>
      <c r="W106" t="s">
        <v>588</v>
      </c>
      <c r="X106" s="9" t="s">
        <v>552</v>
      </c>
      <c r="Y106" t="s">
        <v>478</v>
      </c>
      <c r="Z106" s="59" t="s">
        <v>43</v>
      </c>
      <c r="AA106" t="s">
        <v>559</v>
      </c>
      <c r="AB106" s="60" t="s">
        <v>415</v>
      </c>
      <c r="AC106" s="31">
        <v>53000</v>
      </c>
      <c r="AD106" t="s">
        <v>98</v>
      </c>
      <c r="AO106" t="s">
        <v>47</v>
      </c>
      <c r="AP106" s="60" t="s">
        <v>415</v>
      </c>
      <c r="AQ106" s="31">
        <v>53000</v>
      </c>
      <c r="AX106" t="s">
        <v>574</v>
      </c>
      <c r="AZ106" s="60" t="s">
        <v>398</v>
      </c>
      <c r="BA106">
        <v>1994</v>
      </c>
      <c r="BB106">
        <v>1998</v>
      </c>
      <c r="BL106" s="60"/>
      <c r="BM106" t="s">
        <v>563</v>
      </c>
      <c r="BN106" s="67" t="s">
        <v>561</v>
      </c>
      <c r="BO106" s="30"/>
      <c r="BQ106">
        <v>1995</v>
      </c>
      <c r="BR106" t="s">
        <v>560</v>
      </c>
      <c r="BS106" s="60" t="s">
        <v>416</v>
      </c>
      <c r="BT106" s="30" t="s">
        <v>572</v>
      </c>
      <c r="BU106" s="50" t="s">
        <v>28</v>
      </c>
      <c r="BV106" s="30"/>
      <c r="BX106" s="30" t="s">
        <v>31</v>
      </c>
      <c r="BY106" s="30" t="s">
        <v>31</v>
      </c>
      <c r="BZ106" s="30" t="s">
        <v>31</v>
      </c>
      <c r="CA106" s="30" t="s">
        <v>31</v>
      </c>
      <c r="CB106" s="30" t="s">
        <v>31</v>
      </c>
      <c r="CC106" s="30" t="s">
        <v>31</v>
      </c>
      <c r="CD106" s="30" t="s">
        <v>31</v>
      </c>
      <c r="CE106" s="30" t="s">
        <v>31</v>
      </c>
      <c r="CF106" s="30" t="s">
        <v>31</v>
      </c>
      <c r="CH106" s="50" t="s">
        <v>39</v>
      </c>
      <c r="CM106" s="66" t="s">
        <v>440</v>
      </c>
      <c r="CN106">
        <v>0</v>
      </c>
      <c r="CW106" s="30"/>
      <c r="DC106" s="67" t="s">
        <v>445</v>
      </c>
      <c r="DK106" s="72" t="s">
        <v>577</v>
      </c>
      <c r="DL106" s="56" t="s">
        <v>508</v>
      </c>
      <c r="DM106" s="30"/>
      <c r="DN106" s="30" t="s">
        <v>31</v>
      </c>
      <c r="DO106" s="30"/>
      <c r="DP106" s="30"/>
      <c r="DQ106" s="30"/>
      <c r="DR106" s="30"/>
      <c r="FC106" t="s">
        <v>154</v>
      </c>
      <c r="FD106" s="28" t="s">
        <v>615</v>
      </c>
      <c r="FE106">
        <v>42</v>
      </c>
      <c r="FG106" s="73" t="s">
        <v>616</v>
      </c>
      <c r="FH106" s="6" t="s">
        <v>624</v>
      </c>
      <c r="FR106" t="s">
        <v>623</v>
      </c>
      <c r="FU106" s="6" t="s">
        <v>27</v>
      </c>
      <c r="FV106" s="52" t="s">
        <v>420</v>
      </c>
      <c r="GG106" t="s">
        <v>510</v>
      </c>
      <c r="GH106" s="80" t="s">
        <v>687</v>
      </c>
      <c r="GI106" s="6" t="s">
        <v>511</v>
      </c>
      <c r="GJ106" s="8">
        <v>6.0038362813794988E-2</v>
      </c>
      <c r="GM106">
        <v>4</v>
      </c>
      <c r="GN106" t="s">
        <v>627</v>
      </c>
      <c r="GO106" s="59" t="s">
        <v>154</v>
      </c>
      <c r="GP106">
        <v>1998</v>
      </c>
      <c r="GS106" s="71" t="s">
        <v>560</v>
      </c>
      <c r="GU106" t="s">
        <v>645</v>
      </c>
    </row>
    <row r="107" spans="1:203" ht="15" thickBot="1">
      <c r="A107" s="25" t="s">
        <v>550</v>
      </c>
      <c r="C107" t="s">
        <v>549</v>
      </c>
      <c r="E107" t="s">
        <v>16</v>
      </c>
      <c r="F107" s="6" t="s">
        <v>592</v>
      </c>
      <c r="G107" t="s">
        <v>591</v>
      </c>
      <c r="H107" s="6" t="s">
        <v>4</v>
      </c>
      <c r="I107" s="59" t="s">
        <v>154</v>
      </c>
      <c r="J107" s="59" t="s">
        <v>389</v>
      </c>
      <c r="K107" s="9">
        <v>0.1</v>
      </c>
      <c r="L107" s="9">
        <v>34.566667000000002</v>
      </c>
      <c r="M107" s="30" t="s">
        <v>31</v>
      </c>
      <c r="N107" t="s">
        <v>551</v>
      </c>
      <c r="O107">
        <v>100</v>
      </c>
      <c r="Q107">
        <v>4</v>
      </c>
      <c r="R107" t="s">
        <v>593</v>
      </c>
      <c r="S107">
        <v>1994</v>
      </c>
      <c r="T107">
        <v>1998</v>
      </c>
      <c r="U107" t="s">
        <v>590</v>
      </c>
      <c r="V107" t="s">
        <v>558</v>
      </c>
      <c r="W107" t="s">
        <v>588</v>
      </c>
      <c r="X107" s="9" t="s">
        <v>554</v>
      </c>
      <c r="Y107" t="s">
        <v>479</v>
      </c>
      <c r="Z107" s="59" t="s">
        <v>43</v>
      </c>
      <c r="AA107" t="s">
        <v>559</v>
      </c>
      <c r="AB107" s="60" t="s">
        <v>415</v>
      </c>
      <c r="AC107" s="31">
        <v>53000</v>
      </c>
      <c r="AD107" t="s">
        <v>98</v>
      </c>
      <c r="AO107" t="s">
        <v>47</v>
      </c>
      <c r="AP107" s="60" t="s">
        <v>415</v>
      </c>
      <c r="AQ107" s="31">
        <v>53000</v>
      </c>
      <c r="AX107" t="s">
        <v>574</v>
      </c>
      <c r="AZ107" s="60" t="s">
        <v>398</v>
      </c>
      <c r="BA107">
        <v>1994</v>
      </c>
      <c r="BB107">
        <v>1998</v>
      </c>
      <c r="BL107" s="60"/>
      <c r="BM107" t="s">
        <v>564</v>
      </c>
      <c r="BN107" s="67" t="s">
        <v>562</v>
      </c>
      <c r="BO107" s="30"/>
      <c r="BQ107">
        <v>1994</v>
      </c>
      <c r="BR107" t="s">
        <v>571</v>
      </c>
      <c r="BS107" s="60" t="s">
        <v>416</v>
      </c>
      <c r="BT107" s="30" t="s">
        <v>573</v>
      </c>
      <c r="BU107" s="50" t="s">
        <v>28</v>
      </c>
      <c r="BV107" s="30"/>
      <c r="BX107" s="30" t="s">
        <v>31</v>
      </c>
      <c r="BY107" s="30" t="s">
        <v>31</v>
      </c>
      <c r="BZ107" s="30" t="s">
        <v>31</v>
      </c>
      <c r="CA107" s="30" t="s">
        <v>31</v>
      </c>
      <c r="CB107" s="30" t="s">
        <v>31</v>
      </c>
      <c r="CC107" s="30" t="s">
        <v>31</v>
      </c>
      <c r="CD107" s="30" t="s">
        <v>31</v>
      </c>
      <c r="CE107" s="30" t="s">
        <v>31</v>
      </c>
      <c r="CF107" s="30" t="s">
        <v>31</v>
      </c>
      <c r="CH107" s="50" t="s">
        <v>39</v>
      </c>
      <c r="CM107" s="66" t="s">
        <v>440</v>
      </c>
      <c r="CN107">
        <v>0</v>
      </c>
      <c r="CW107" s="30"/>
      <c r="DC107" s="67" t="s">
        <v>445</v>
      </c>
      <c r="DK107" s="72" t="s">
        <v>577</v>
      </c>
      <c r="DL107" s="56" t="s">
        <v>508</v>
      </c>
      <c r="DM107" s="30"/>
      <c r="DN107" s="30" t="s">
        <v>31</v>
      </c>
      <c r="DO107" s="30"/>
      <c r="DP107" s="30"/>
      <c r="DQ107" s="30"/>
      <c r="DR107" s="30"/>
      <c r="FC107" t="s">
        <v>154</v>
      </c>
      <c r="FD107" s="29" t="s">
        <v>615</v>
      </c>
      <c r="FE107">
        <v>42</v>
      </c>
      <c r="FG107" s="73" t="s">
        <v>616</v>
      </c>
      <c r="FH107" s="6" t="s">
        <v>624</v>
      </c>
      <c r="FR107" t="s">
        <v>623</v>
      </c>
      <c r="FU107" s="6" t="s">
        <v>27</v>
      </c>
      <c r="FV107" s="52" t="s">
        <v>420</v>
      </c>
      <c r="GG107" t="s">
        <v>510</v>
      </c>
      <c r="GH107" s="80" t="s">
        <v>688</v>
      </c>
      <c r="GI107" s="6" t="s">
        <v>511</v>
      </c>
      <c r="GJ107" s="8">
        <v>3.000799691307901E-2</v>
      </c>
      <c r="GM107">
        <v>4</v>
      </c>
      <c r="GN107" t="s">
        <v>627</v>
      </c>
      <c r="GO107" s="59" t="s">
        <v>154</v>
      </c>
      <c r="GP107">
        <v>1998</v>
      </c>
      <c r="GS107" s="71" t="s">
        <v>560</v>
      </c>
      <c r="GU107" t="s">
        <v>645</v>
      </c>
    </row>
    <row r="108" spans="1:203" ht="15" thickBot="1">
      <c r="A108" s="25" t="s">
        <v>550</v>
      </c>
      <c r="C108" t="s">
        <v>549</v>
      </c>
      <c r="E108" t="s">
        <v>16</v>
      </c>
      <c r="F108" s="6" t="s">
        <v>592</v>
      </c>
      <c r="G108" t="s">
        <v>591</v>
      </c>
      <c r="H108" s="6" t="s">
        <v>4</v>
      </c>
      <c r="I108" s="59" t="s">
        <v>154</v>
      </c>
      <c r="J108" s="59" t="s">
        <v>389</v>
      </c>
      <c r="K108" s="9">
        <v>0.1</v>
      </c>
      <c r="L108" s="9">
        <v>34.566667000000002</v>
      </c>
      <c r="M108" s="30" t="s">
        <v>31</v>
      </c>
      <c r="N108" t="s">
        <v>551</v>
      </c>
      <c r="O108">
        <v>100</v>
      </c>
      <c r="Q108">
        <v>4</v>
      </c>
      <c r="R108" t="s">
        <v>593</v>
      </c>
      <c r="S108">
        <v>1994</v>
      </c>
      <c r="T108">
        <v>1998</v>
      </c>
      <c r="U108" t="s">
        <v>590</v>
      </c>
      <c r="V108" t="s">
        <v>558</v>
      </c>
      <c r="W108" t="s">
        <v>589</v>
      </c>
      <c r="X108" s="9" t="s">
        <v>553</v>
      </c>
      <c r="Y108" t="s">
        <v>480</v>
      </c>
      <c r="Z108" s="59" t="s">
        <v>43</v>
      </c>
      <c r="AA108" t="s">
        <v>559</v>
      </c>
      <c r="AB108" s="60" t="s">
        <v>415</v>
      </c>
      <c r="AC108" s="31">
        <v>53000</v>
      </c>
      <c r="AP108" s="60"/>
      <c r="AQ108" s="31"/>
      <c r="AX108" t="s">
        <v>574</v>
      </c>
      <c r="AZ108" s="60" t="s">
        <v>398</v>
      </c>
      <c r="BA108">
        <v>1994</v>
      </c>
      <c r="BB108">
        <v>1998</v>
      </c>
      <c r="BM108" t="s">
        <v>565</v>
      </c>
      <c r="BN108" s="49" t="s">
        <v>566</v>
      </c>
      <c r="BO108" s="30"/>
      <c r="BQ108">
        <v>1995</v>
      </c>
      <c r="BR108" t="s">
        <v>571</v>
      </c>
      <c r="BS108" s="60" t="s">
        <v>416</v>
      </c>
      <c r="BT108" s="30" t="s">
        <v>569</v>
      </c>
      <c r="BU108" s="30" t="s">
        <v>575</v>
      </c>
      <c r="BV108" s="30"/>
      <c r="CH108" s="50" t="s">
        <v>39</v>
      </c>
      <c r="CM108" s="66" t="s">
        <v>440</v>
      </c>
      <c r="CN108">
        <v>0</v>
      </c>
      <c r="CW108" s="30"/>
      <c r="DC108" s="67" t="s">
        <v>445</v>
      </c>
      <c r="DK108" s="67" t="s">
        <v>579</v>
      </c>
      <c r="DL108" s="30"/>
      <c r="DM108" s="30"/>
      <c r="DN108" s="30"/>
      <c r="DO108" s="30"/>
      <c r="DP108" s="30"/>
      <c r="DQ108" s="30"/>
      <c r="DR108" s="30"/>
      <c r="FC108" t="s">
        <v>154</v>
      </c>
      <c r="FD108" s="28" t="s">
        <v>615</v>
      </c>
      <c r="FE108">
        <v>42</v>
      </c>
      <c r="FG108" s="73" t="s">
        <v>616</v>
      </c>
      <c r="FH108" s="6" t="s">
        <v>624</v>
      </c>
      <c r="FR108" t="s">
        <v>623</v>
      </c>
      <c r="FU108" s="6" t="s">
        <v>27</v>
      </c>
      <c r="FV108" s="52" t="s">
        <v>420</v>
      </c>
      <c r="GG108" t="s">
        <v>510</v>
      </c>
      <c r="GH108" s="80" t="s">
        <v>689</v>
      </c>
      <c r="GI108" s="6" t="s">
        <v>511</v>
      </c>
      <c r="GJ108" s="8">
        <v>4.2076065742454982E-2</v>
      </c>
      <c r="GM108">
        <v>4</v>
      </c>
      <c r="GN108" t="s">
        <v>627</v>
      </c>
      <c r="GO108" s="59" t="s">
        <v>154</v>
      </c>
      <c r="GP108">
        <v>1998</v>
      </c>
      <c r="GS108" s="71" t="s">
        <v>560</v>
      </c>
      <c r="GU108" t="s">
        <v>645</v>
      </c>
    </row>
    <row r="109" spans="1:203" ht="15" thickBot="1">
      <c r="A109" s="25" t="s">
        <v>550</v>
      </c>
      <c r="C109" t="s">
        <v>549</v>
      </c>
      <c r="E109" t="s">
        <v>16</v>
      </c>
      <c r="F109" s="6" t="s">
        <v>592</v>
      </c>
      <c r="G109" t="s">
        <v>591</v>
      </c>
      <c r="H109" s="6" t="s">
        <v>4</v>
      </c>
      <c r="I109" s="59" t="s">
        <v>154</v>
      </c>
      <c r="J109" s="59" t="s">
        <v>389</v>
      </c>
      <c r="K109" s="9">
        <v>0.1</v>
      </c>
      <c r="L109" s="9">
        <v>34.566667000000002</v>
      </c>
      <c r="M109" s="30" t="s">
        <v>31</v>
      </c>
      <c r="N109" t="s">
        <v>551</v>
      </c>
      <c r="O109">
        <v>100</v>
      </c>
      <c r="Q109">
        <v>4</v>
      </c>
      <c r="R109" t="s">
        <v>593</v>
      </c>
      <c r="S109">
        <v>1994</v>
      </c>
      <c r="T109">
        <v>1998</v>
      </c>
      <c r="U109" t="s">
        <v>590</v>
      </c>
      <c r="V109" t="s">
        <v>558</v>
      </c>
      <c r="W109" t="s">
        <v>589</v>
      </c>
      <c r="X109" s="9" t="s">
        <v>555</v>
      </c>
      <c r="Y109" t="s">
        <v>481</v>
      </c>
      <c r="Z109" s="59" t="s">
        <v>43</v>
      </c>
      <c r="AA109" t="s">
        <v>559</v>
      </c>
      <c r="AB109" s="60" t="s">
        <v>415</v>
      </c>
      <c r="AC109" s="31">
        <v>53000</v>
      </c>
      <c r="AP109" s="60"/>
      <c r="AQ109" s="31"/>
      <c r="AX109" t="s">
        <v>574</v>
      </c>
      <c r="AZ109" s="60" t="s">
        <v>398</v>
      </c>
      <c r="BA109">
        <v>1994</v>
      </c>
      <c r="BB109">
        <v>1998</v>
      </c>
      <c r="BM109" t="s">
        <v>567</v>
      </c>
      <c r="BN109" s="49" t="s">
        <v>568</v>
      </c>
      <c r="BO109" s="30"/>
      <c r="BQ109">
        <v>1994</v>
      </c>
      <c r="BR109" t="s">
        <v>571</v>
      </c>
      <c r="BS109" s="60" t="s">
        <v>416</v>
      </c>
      <c r="BT109" s="30" t="s">
        <v>569</v>
      </c>
      <c r="BU109" s="30" t="s">
        <v>575</v>
      </c>
      <c r="BV109" s="30"/>
      <c r="CH109" s="50" t="s">
        <v>39</v>
      </c>
      <c r="CM109" s="66" t="s">
        <v>440</v>
      </c>
      <c r="CN109">
        <v>0</v>
      </c>
      <c r="CW109" s="30"/>
      <c r="DC109" s="67" t="s">
        <v>445</v>
      </c>
      <c r="DK109" s="67" t="s">
        <v>579</v>
      </c>
      <c r="DO109" s="30"/>
      <c r="DP109" s="30"/>
      <c r="DQ109" s="30"/>
      <c r="DR109" s="30"/>
      <c r="FC109" t="s">
        <v>154</v>
      </c>
      <c r="FD109" s="29" t="s">
        <v>615</v>
      </c>
      <c r="FE109">
        <v>42</v>
      </c>
      <c r="FG109" s="73" t="s">
        <v>616</v>
      </c>
      <c r="FH109" s="6" t="s">
        <v>624</v>
      </c>
      <c r="FR109" t="s">
        <v>623</v>
      </c>
      <c r="FU109" s="6" t="s">
        <v>27</v>
      </c>
      <c r="FV109" s="52" t="s">
        <v>420</v>
      </c>
      <c r="GG109" t="s">
        <v>510</v>
      </c>
      <c r="GH109" s="80" t="s">
        <v>690</v>
      </c>
      <c r="GI109" s="6" t="s">
        <v>511</v>
      </c>
      <c r="GJ109" s="8">
        <v>6.306376839150199E-2</v>
      </c>
      <c r="GM109">
        <v>4</v>
      </c>
      <c r="GN109" t="s">
        <v>627</v>
      </c>
      <c r="GO109" s="59" t="s">
        <v>154</v>
      </c>
      <c r="GP109">
        <v>1998</v>
      </c>
      <c r="GS109" s="71" t="s">
        <v>560</v>
      </c>
      <c r="GU109" t="s">
        <v>645</v>
      </c>
    </row>
    <row r="110" spans="1:203" ht="15" thickBot="1">
      <c r="A110" s="25" t="s">
        <v>550</v>
      </c>
      <c r="C110" t="s">
        <v>549</v>
      </c>
      <c r="E110" t="s">
        <v>16</v>
      </c>
      <c r="F110" s="6" t="s">
        <v>592</v>
      </c>
      <c r="G110" t="s">
        <v>591</v>
      </c>
      <c r="H110" s="6" t="s">
        <v>4</v>
      </c>
      <c r="I110" s="59" t="s">
        <v>154</v>
      </c>
      <c r="J110" s="59" t="s">
        <v>389</v>
      </c>
      <c r="K110" s="9">
        <v>0.1</v>
      </c>
      <c r="L110" s="9">
        <v>34.566667000000002</v>
      </c>
      <c r="M110" s="30" t="s">
        <v>31</v>
      </c>
      <c r="N110" t="s">
        <v>551</v>
      </c>
      <c r="O110">
        <v>100</v>
      </c>
      <c r="Q110">
        <v>4</v>
      </c>
      <c r="R110" t="s">
        <v>593</v>
      </c>
      <c r="S110">
        <v>1994</v>
      </c>
      <c r="T110">
        <v>1998</v>
      </c>
      <c r="U110" t="s">
        <v>590</v>
      </c>
      <c r="V110" t="s">
        <v>36</v>
      </c>
      <c r="W110" t="s">
        <v>36</v>
      </c>
      <c r="X110" s="9" t="s">
        <v>556</v>
      </c>
      <c r="Y110" t="s">
        <v>476</v>
      </c>
      <c r="Z110" s="59" t="s">
        <v>43</v>
      </c>
      <c r="AA110" t="s">
        <v>559</v>
      </c>
      <c r="AB110" s="60" t="s">
        <v>415</v>
      </c>
      <c r="AC110" s="31">
        <v>53000</v>
      </c>
      <c r="AX110" t="s">
        <v>574</v>
      </c>
      <c r="AZ110" s="60" t="s">
        <v>398</v>
      </c>
      <c r="BA110">
        <v>1994</v>
      </c>
      <c r="BB110">
        <v>1998</v>
      </c>
      <c r="BM110" t="s">
        <v>569</v>
      </c>
      <c r="BN110" s="49" t="s">
        <v>36</v>
      </c>
      <c r="BO110" s="30"/>
      <c r="BS110" s="60" t="s">
        <v>416</v>
      </c>
      <c r="BT110" s="30" t="s">
        <v>569</v>
      </c>
      <c r="BU110" s="30" t="s">
        <v>575</v>
      </c>
      <c r="BV110" s="30"/>
      <c r="CH110" s="50" t="s">
        <v>39</v>
      </c>
      <c r="CM110" s="66" t="s">
        <v>440</v>
      </c>
      <c r="CN110">
        <v>0</v>
      </c>
      <c r="CW110" s="30"/>
      <c r="DC110" s="67" t="s">
        <v>445</v>
      </c>
      <c r="DK110" s="67" t="s">
        <v>579</v>
      </c>
      <c r="DO110" s="30"/>
      <c r="DP110" s="30"/>
      <c r="DQ110" s="30"/>
      <c r="DR110" s="30"/>
      <c r="FD110" s="28" t="s">
        <v>615</v>
      </c>
      <c r="FE110">
        <v>42</v>
      </c>
      <c r="FG110" s="73" t="s">
        <v>616</v>
      </c>
      <c r="FH110" s="6" t="s">
        <v>624</v>
      </c>
      <c r="FR110" t="s">
        <v>623</v>
      </c>
      <c r="FU110" s="6" t="s">
        <v>27</v>
      </c>
      <c r="FV110" s="52" t="s">
        <v>420</v>
      </c>
      <c r="GF110" t="s">
        <v>514</v>
      </c>
      <c r="GG110" t="s">
        <v>510</v>
      </c>
      <c r="GH110" s="80" t="s">
        <v>691</v>
      </c>
      <c r="GI110" s="6" t="s">
        <v>511</v>
      </c>
      <c r="GJ110" s="8">
        <v>5.7068879705177045E-2</v>
      </c>
      <c r="GM110">
        <v>4</v>
      </c>
      <c r="GN110" t="s">
        <v>627</v>
      </c>
      <c r="GO110" s="59" t="s">
        <v>154</v>
      </c>
      <c r="GP110">
        <v>1998</v>
      </c>
      <c r="GS110" s="71" t="s">
        <v>560</v>
      </c>
      <c r="GU110" t="s">
        <v>645</v>
      </c>
    </row>
    <row r="111" spans="1:203" ht="15" thickBot="1">
      <c r="A111" s="76" t="s">
        <v>550</v>
      </c>
      <c r="B111" s="59"/>
      <c r="C111" s="59" t="s">
        <v>549</v>
      </c>
      <c r="D111" s="59"/>
      <c r="E111" s="59" t="s">
        <v>16</v>
      </c>
      <c r="F111" s="60" t="s">
        <v>592</v>
      </c>
      <c r="G111" s="59" t="s">
        <v>591</v>
      </c>
      <c r="H111" s="60" t="s">
        <v>4</v>
      </c>
      <c r="I111" s="59" t="s">
        <v>154</v>
      </c>
      <c r="J111" s="59" t="s">
        <v>389</v>
      </c>
      <c r="K111" s="77">
        <v>0.1</v>
      </c>
      <c r="L111" s="77">
        <v>34.566667000000002</v>
      </c>
      <c r="M111" s="61" t="s">
        <v>31</v>
      </c>
      <c r="N111" s="59" t="s">
        <v>551</v>
      </c>
      <c r="O111" s="59">
        <v>100</v>
      </c>
      <c r="P111" s="59"/>
      <c r="Q111" s="59">
        <v>4</v>
      </c>
      <c r="R111" s="59" t="s">
        <v>593</v>
      </c>
      <c r="S111" s="59">
        <v>1994</v>
      </c>
      <c r="T111" s="59">
        <v>1998</v>
      </c>
      <c r="U111" s="59" t="s">
        <v>590</v>
      </c>
      <c r="V111" s="59" t="s">
        <v>36</v>
      </c>
      <c r="W111" s="59" t="s">
        <v>36</v>
      </c>
      <c r="X111" s="77" t="s">
        <v>557</v>
      </c>
      <c r="Y111" s="59" t="s">
        <v>477</v>
      </c>
      <c r="Z111" s="59" t="s">
        <v>43</v>
      </c>
      <c r="AA111" s="59" t="s">
        <v>559</v>
      </c>
      <c r="AB111" s="60" t="s">
        <v>415</v>
      </c>
      <c r="AC111" s="62">
        <v>53000</v>
      </c>
      <c r="AD111" s="59"/>
      <c r="AE111" s="59"/>
      <c r="AF111" s="59"/>
      <c r="AG111" s="59"/>
      <c r="AH111" s="59"/>
      <c r="AI111" s="59"/>
      <c r="AJ111" s="59"/>
      <c r="AK111" s="59"/>
      <c r="AL111" s="59"/>
      <c r="AM111" s="59"/>
      <c r="AN111" s="59"/>
      <c r="AO111" s="59"/>
      <c r="AP111" s="59"/>
      <c r="AQ111" s="59"/>
      <c r="AR111" s="59"/>
      <c r="AS111" s="59"/>
      <c r="AT111" s="59"/>
      <c r="AU111" s="59"/>
      <c r="AV111" s="59"/>
      <c r="AW111" s="59"/>
      <c r="AX111" s="59" t="s">
        <v>574</v>
      </c>
      <c r="AY111" s="59"/>
      <c r="AZ111" s="60" t="s">
        <v>398</v>
      </c>
      <c r="BA111" s="59">
        <v>1994</v>
      </c>
      <c r="BB111" s="59">
        <v>1998</v>
      </c>
      <c r="BC111" s="59"/>
      <c r="BD111" s="59"/>
      <c r="BE111" s="59"/>
      <c r="BF111" s="59"/>
      <c r="BG111" s="59"/>
      <c r="BH111" s="59"/>
      <c r="BI111" s="59"/>
      <c r="BJ111" s="59"/>
      <c r="BK111" s="59"/>
      <c r="BL111" s="59"/>
      <c r="BM111" s="59" t="s">
        <v>570</v>
      </c>
      <c r="BN111" s="67" t="s">
        <v>36</v>
      </c>
      <c r="BO111" s="61"/>
      <c r="BP111" s="59"/>
      <c r="BQ111" s="59"/>
      <c r="BR111" s="59"/>
      <c r="BS111" s="60" t="s">
        <v>416</v>
      </c>
      <c r="BT111" s="61" t="s">
        <v>576</v>
      </c>
      <c r="BU111" s="61" t="s">
        <v>575</v>
      </c>
      <c r="BV111" s="61"/>
      <c r="BW111" s="59"/>
      <c r="BX111" s="59"/>
      <c r="BY111" s="59"/>
      <c r="BZ111" s="59"/>
      <c r="CA111" s="59"/>
      <c r="CB111" s="59"/>
      <c r="CC111" s="59"/>
      <c r="CD111" s="59"/>
      <c r="CE111" s="59"/>
      <c r="CF111" s="59"/>
      <c r="CG111" s="59" t="s">
        <v>570</v>
      </c>
      <c r="CH111" s="59" t="s">
        <v>37</v>
      </c>
      <c r="CI111" s="65" t="s">
        <v>439</v>
      </c>
      <c r="CJ111" s="59"/>
      <c r="CK111" s="59"/>
      <c r="CL111" s="59"/>
      <c r="CM111" s="66" t="s">
        <v>440</v>
      </c>
      <c r="CN111" s="59">
        <v>60</v>
      </c>
      <c r="CO111" s="59"/>
      <c r="CP111" s="59"/>
      <c r="CQ111" s="59">
        <v>60</v>
      </c>
      <c r="CR111" s="59"/>
      <c r="CS111" s="59"/>
      <c r="CT111" s="59"/>
      <c r="CU111" s="59"/>
      <c r="CV111" s="59"/>
      <c r="CW111" s="61"/>
      <c r="CX111" s="59"/>
      <c r="CY111" s="59"/>
      <c r="CZ111" s="59"/>
      <c r="DA111" s="59"/>
      <c r="DB111" s="59"/>
      <c r="DC111" s="67" t="s">
        <v>445</v>
      </c>
      <c r="DD111" s="59"/>
      <c r="DE111" s="59"/>
      <c r="DF111" s="59"/>
      <c r="DG111" s="59"/>
      <c r="DH111" s="59"/>
      <c r="DI111" s="59"/>
      <c r="DJ111" s="59"/>
      <c r="DK111" s="67" t="s">
        <v>579</v>
      </c>
      <c r="DL111" s="59"/>
      <c r="DM111" s="59"/>
      <c r="DN111" s="59"/>
      <c r="DO111" s="61"/>
      <c r="DP111" s="61"/>
      <c r="DQ111" s="61"/>
      <c r="DR111" s="61"/>
      <c r="DS111" s="59"/>
      <c r="DT111" s="59"/>
      <c r="DU111" s="59"/>
      <c r="DV111" s="59"/>
      <c r="DW111" s="59"/>
      <c r="DX111" s="59"/>
      <c r="DY111" s="59"/>
      <c r="DZ111" s="59"/>
      <c r="EA111" s="59"/>
      <c r="EB111" s="59"/>
      <c r="EC111" s="59"/>
      <c r="ED111" s="59"/>
      <c r="EE111" s="59"/>
      <c r="EF111" s="59"/>
      <c r="EG111" s="59"/>
      <c r="EH111" s="59"/>
      <c r="EI111" s="59"/>
      <c r="EJ111" s="59"/>
      <c r="EK111" s="59"/>
      <c r="EL111" s="59"/>
      <c r="EM111" s="59"/>
      <c r="EN111" s="59"/>
      <c r="EO111" s="59"/>
      <c r="EP111" s="59"/>
      <c r="EQ111" s="59"/>
      <c r="ER111" s="59"/>
      <c r="ES111" s="59"/>
      <c r="ET111" s="59"/>
      <c r="EU111" s="59"/>
      <c r="EV111" s="59"/>
      <c r="EW111" s="59"/>
      <c r="EX111" s="59"/>
      <c r="EY111" s="59"/>
      <c r="EZ111" s="59"/>
      <c r="FA111" s="59"/>
      <c r="FB111" s="59"/>
      <c r="FC111" s="59"/>
      <c r="FD111" s="71" t="s">
        <v>615</v>
      </c>
      <c r="FE111" s="59">
        <v>42</v>
      </c>
      <c r="FF111" s="59"/>
      <c r="FG111" s="78" t="s">
        <v>616</v>
      </c>
      <c r="FH111" s="60" t="s">
        <v>624</v>
      </c>
      <c r="FI111" s="59"/>
      <c r="FJ111" s="59"/>
      <c r="FK111" s="59"/>
      <c r="FL111" s="59"/>
      <c r="FM111" s="59"/>
      <c r="FN111" s="59"/>
      <c r="FO111" s="59"/>
      <c r="FP111" s="59"/>
      <c r="FQ111" s="59"/>
      <c r="FR111" s="59" t="s">
        <v>623</v>
      </c>
      <c r="FS111" s="59"/>
      <c r="FT111" s="59"/>
      <c r="FU111" s="60" t="s">
        <v>27</v>
      </c>
      <c r="FV111" s="70" t="s">
        <v>420</v>
      </c>
      <c r="FW111" s="59"/>
      <c r="FX111" s="59"/>
      <c r="FY111" s="59"/>
      <c r="FZ111" s="59"/>
      <c r="GA111" s="59"/>
      <c r="GB111" s="59"/>
      <c r="GC111" s="59"/>
      <c r="GD111" s="59"/>
      <c r="GE111" s="59"/>
      <c r="GF111" s="59" t="s">
        <v>587</v>
      </c>
      <c r="GG111" s="59" t="s">
        <v>510</v>
      </c>
      <c r="GH111" s="81" t="s">
        <v>692</v>
      </c>
      <c r="GI111" s="60" t="s">
        <v>511</v>
      </c>
      <c r="GJ111" s="79">
        <v>7.2050509174081068E-2</v>
      </c>
      <c r="GK111" s="59"/>
      <c r="GL111" s="59"/>
      <c r="GM111" s="59">
        <v>4</v>
      </c>
      <c r="GN111" s="59" t="s">
        <v>627</v>
      </c>
      <c r="GO111" s="59" t="s">
        <v>154</v>
      </c>
      <c r="GP111" s="59">
        <v>1998</v>
      </c>
      <c r="GQ111" s="59"/>
      <c r="GR111" s="59"/>
      <c r="GS111" s="71" t="s">
        <v>560</v>
      </c>
      <c r="GT111" s="59"/>
      <c r="GU111" s="59" t="s">
        <v>645</v>
      </c>
    </row>
    <row r="112" spans="1:203" ht="15" thickBot="1">
      <c r="A112" s="25" t="s">
        <v>550</v>
      </c>
      <c r="C112" t="s">
        <v>549</v>
      </c>
      <c r="E112" t="s">
        <v>16</v>
      </c>
      <c r="F112" s="6" t="s">
        <v>592</v>
      </c>
      <c r="G112" t="s">
        <v>591</v>
      </c>
      <c r="H112" s="6" t="s">
        <v>4</v>
      </c>
      <c r="I112" s="59" t="s">
        <v>154</v>
      </c>
      <c r="J112" s="59" t="s">
        <v>389</v>
      </c>
      <c r="K112" s="9">
        <v>0.1</v>
      </c>
      <c r="L112" s="9">
        <v>34.566667000000002</v>
      </c>
      <c r="M112" s="30" t="s">
        <v>31</v>
      </c>
      <c r="N112" t="s">
        <v>551</v>
      </c>
      <c r="O112">
        <v>100</v>
      </c>
      <c r="Q112">
        <v>4</v>
      </c>
      <c r="R112" t="s">
        <v>593</v>
      </c>
      <c r="S112">
        <v>1994</v>
      </c>
      <c r="T112">
        <v>1998</v>
      </c>
      <c r="U112" t="s">
        <v>590</v>
      </c>
      <c r="V112" t="s">
        <v>558</v>
      </c>
      <c r="W112" t="s">
        <v>588</v>
      </c>
      <c r="X112" s="9" t="s">
        <v>552</v>
      </c>
      <c r="Y112" t="s">
        <v>478</v>
      </c>
      <c r="Z112" s="59" t="s">
        <v>43</v>
      </c>
      <c r="AA112" t="s">
        <v>559</v>
      </c>
      <c r="AB112" s="60" t="s">
        <v>415</v>
      </c>
      <c r="AC112" s="31">
        <v>53000</v>
      </c>
      <c r="AD112" t="s">
        <v>98</v>
      </c>
      <c r="AO112" t="s">
        <v>47</v>
      </c>
      <c r="AP112" s="60" t="s">
        <v>415</v>
      </c>
      <c r="AQ112" s="31">
        <v>53000</v>
      </c>
      <c r="AX112" t="s">
        <v>574</v>
      </c>
      <c r="AZ112" s="60" t="s">
        <v>398</v>
      </c>
      <c r="BA112">
        <v>1994</v>
      </c>
      <c r="BB112">
        <v>1998</v>
      </c>
      <c r="BL112" s="60"/>
      <c r="BM112" t="s">
        <v>563</v>
      </c>
      <c r="BN112" s="67" t="s">
        <v>561</v>
      </c>
      <c r="BO112" s="30"/>
      <c r="BQ112">
        <v>1995</v>
      </c>
      <c r="BR112" t="s">
        <v>560</v>
      </c>
      <c r="BS112" s="60" t="s">
        <v>416</v>
      </c>
      <c r="BT112" s="30" t="s">
        <v>572</v>
      </c>
      <c r="BU112" s="50" t="s">
        <v>28</v>
      </c>
      <c r="BV112" s="30"/>
      <c r="BX112" s="30" t="s">
        <v>31</v>
      </c>
      <c r="BY112" s="30" t="s">
        <v>31</v>
      </c>
      <c r="BZ112" s="30" t="s">
        <v>31</v>
      </c>
      <c r="CA112" s="30" t="s">
        <v>31</v>
      </c>
      <c r="CB112" s="30" t="s">
        <v>31</v>
      </c>
      <c r="CC112" s="30" t="s">
        <v>31</v>
      </c>
      <c r="CD112" s="30" t="s">
        <v>31</v>
      </c>
      <c r="CE112" s="30" t="s">
        <v>31</v>
      </c>
      <c r="CF112" s="30" t="s">
        <v>31</v>
      </c>
      <c r="CH112" s="50" t="s">
        <v>39</v>
      </c>
      <c r="CM112" s="66" t="s">
        <v>440</v>
      </c>
      <c r="CN112">
        <v>0</v>
      </c>
      <c r="CW112" s="30"/>
      <c r="DC112" s="67" t="s">
        <v>445</v>
      </c>
      <c r="DK112" s="72" t="s">
        <v>577</v>
      </c>
      <c r="DL112" s="56" t="s">
        <v>508</v>
      </c>
      <c r="DM112" s="30"/>
      <c r="DN112" s="30" t="s">
        <v>31</v>
      </c>
      <c r="DO112" s="30"/>
      <c r="DP112" s="30"/>
      <c r="DQ112" s="30"/>
      <c r="DR112" s="30"/>
      <c r="FC112" t="s">
        <v>154</v>
      </c>
      <c r="FD112" s="28" t="s">
        <v>615</v>
      </c>
      <c r="FE112">
        <v>42</v>
      </c>
      <c r="FG112" s="73" t="s">
        <v>616</v>
      </c>
      <c r="FH112" s="6" t="s">
        <v>624</v>
      </c>
      <c r="FR112" t="s">
        <v>623</v>
      </c>
      <c r="FU112" s="6" t="s">
        <v>27</v>
      </c>
      <c r="FV112" s="52" t="s">
        <v>420</v>
      </c>
      <c r="GG112" t="s">
        <v>510</v>
      </c>
      <c r="GH112" s="80" t="s">
        <v>693</v>
      </c>
      <c r="GI112" s="6" t="s">
        <v>511</v>
      </c>
      <c r="GJ112" s="8">
        <v>5.7576404974476025E-2</v>
      </c>
      <c r="GM112">
        <v>4</v>
      </c>
      <c r="GN112" t="s">
        <v>628</v>
      </c>
      <c r="GO112" s="59" t="s">
        <v>154</v>
      </c>
      <c r="GP112">
        <v>1996</v>
      </c>
      <c r="GS112" s="71" t="s">
        <v>571</v>
      </c>
      <c r="GU112" t="s">
        <v>643</v>
      </c>
    </row>
    <row r="113" spans="1:203" ht="15" thickBot="1">
      <c r="A113" s="25" t="s">
        <v>550</v>
      </c>
      <c r="C113" t="s">
        <v>549</v>
      </c>
      <c r="E113" t="s">
        <v>16</v>
      </c>
      <c r="F113" s="6" t="s">
        <v>592</v>
      </c>
      <c r="G113" t="s">
        <v>591</v>
      </c>
      <c r="H113" s="6" t="s">
        <v>4</v>
      </c>
      <c r="I113" s="59" t="s">
        <v>154</v>
      </c>
      <c r="J113" s="59" t="s">
        <v>389</v>
      </c>
      <c r="K113" s="9">
        <v>0.1</v>
      </c>
      <c r="L113" s="9">
        <v>34.566667000000002</v>
      </c>
      <c r="M113" s="30" t="s">
        <v>31</v>
      </c>
      <c r="N113" t="s">
        <v>551</v>
      </c>
      <c r="O113">
        <v>100</v>
      </c>
      <c r="Q113">
        <v>4</v>
      </c>
      <c r="R113" t="s">
        <v>593</v>
      </c>
      <c r="S113">
        <v>1994</v>
      </c>
      <c r="T113">
        <v>1998</v>
      </c>
      <c r="U113" t="s">
        <v>590</v>
      </c>
      <c r="V113" t="s">
        <v>558</v>
      </c>
      <c r="W113" t="s">
        <v>588</v>
      </c>
      <c r="X113" s="9" t="s">
        <v>554</v>
      </c>
      <c r="Y113" t="s">
        <v>479</v>
      </c>
      <c r="Z113" s="59" t="s">
        <v>43</v>
      </c>
      <c r="AA113" t="s">
        <v>559</v>
      </c>
      <c r="AB113" s="60" t="s">
        <v>415</v>
      </c>
      <c r="AC113" s="31">
        <v>53000</v>
      </c>
      <c r="AD113" t="s">
        <v>98</v>
      </c>
      <c r="AO113" t="s">
        <v>47</v>
      </c>
      <c r="AP113" s="60" t="s">
        <v>415</v>
      </c>
      <c r="AQ113" s="31">
        <v>53000</v>
      </c>
      <c r="AX113" t="s">
        <v>574</v>
      </c>
      <c r="AZ113" s="60" t="s">
        <v>398</v>
      </c>
      <c r="BA113">
        <v>1994</v>
      </c>
      <c r="BB113">
        <v>1998</v>
      </c>
      <c r="BL113" s="60"/>
      <c r="BM113" t="s">
        <v>564</v>
      </c>
      <c r="BN113" s="67" t="s">
        <v>562</v>
      </c>
      <c r="BO113" s="30"/>
      <c r="BQ113">
        <v>1994</v>
      </c>
      <c r="BR113" t="s">
        <v>571</v>
      </c>
      <c r="BS113" s="60" t="s">
        <v>416</v>
      </c>
      <c r="BT113" s="30" t="s">
        <v>573</v>
      </c>
      <c r="BU113" s="50" t="s">
        <v>28</v>
      </c>
      <c r="BV113" s="30"/>
      <c r="BX113" s="30" t="s">
        <v>31</v>
      </c>
      <c r="BY113" s="30" t="s">
        <v>31</v>
      </c>
      <c r="BZ113" s="30" t="s">
        <v>31</v>
      </c>
      <c r="CA113" s="30" t="s">
        <v>31</v>
      </c>
      <c r="CB113" s="30" t="s">
        <v>31</v>
      </c>
      <c r="CC113" s="30" t="s">
        <v>31</v>
      </c>
      <c r="CD113" s="30" t="s">
        <v>31</v>
      </c>
      <c r="CE113" s="30" t="s">
        <v>31</v>
      </c>
      <c r="CF113" s="30" t="s">
        <v>31</v>
      </c>
      <c r="CH113" s="50" t="s">
        <v>39</v>
      </c>
      <c r="CM113" s="66" t="s">
        <v>440</v>
      </c>
      <c r="CN113">
        <v>0</v>
      </c>
      <c r="CW113" s="30"/>
      <c r="DC113" s="67" t="s">
        <v>445</v>
      </c>
      <c r="DK113" s="72" t="s">
        <v>577</v>
      </c>
      <c r="DL113" s="56" t="s">
        <v>508</v>
      </c>
      <c r="DM113" s="30"/>
      <c r="DN113" s="30" t="s">
        <v>31</v>
      </c>
      <c r="DO113" s="30"/>
      <c r="DP113" s="30"/>
      <c r="DQ113" s="30"/>
      <c r="DR113" s="30"/>
      <c r="FC113" t="s">
        <v>154</v>
      </c>
      <c r="FD113" s="29" t="s">
        <v>615</v>
      </c>
      <c r="FE113">
        <v>42</v>
      </c>
      <c r="FG113" s="73" t="s">
        <v>616</v>
      </c>
      <c r="FH113" s="6" t="s">
        <v>624</v>
      </c>
      <c r="FR113" t="s">
        <v>623</v>
      </c>
      <c r="FU113" s="6" t="s">
        <v>27</v>
      </c>
      <c r="FV113" s="52" t="s">
        <v>420</v>
      </c>
      <c r="GG113" t="s">
        <v>510</v>
      </c>
      <c r="GH113" s="80" t="s">
        <v>694</v>
      </c>
      <c r="GI113" s="6" t="s">
        <v>511</v>
      </c>
      <c r="GJ113" s="8">
        <v>3.9428115231519956E-2</v>
      </c>
      <c r="GM113">
        <v>4</v>
      </c>
      <c r="GN113" t="s">
        <v>628</v>
      </c>
      <c r="GO113" s="59" t="s">
        <v>154</v>
      </c>
      <c r="GP113">
        <v>1996</v>
      </c>
      <c r="GS113" s="71" t="s">
        <v>571</v>
      </c>
      <c r="GU113" t="s">
        <v>643</v>
      </c>
    </row>
    <row r="114" spans="1:203" ht="15" thickBot="1">
      <c r="A114" s="25" t="s">
        <v>550</v>
      </c>
      <c r="C114" t="s">
        <v>549</v>
      </c>
      <c r="E114" t="s">
        <v>16</v>
      </c>
      <c r="F114" s="6" t="s">
        <v>592</v>
      </c>
      <c r="G114" t="s">
        <v>591</v>
      </c>
      <c r="H114" s="6" t="s">
        <v>4</v>
      </c>
      <c r="I114" s="59" t="s">
        <v>154</v>
      </c>
      <c r="J114" s="59" t="s">
        <v>389</v>
      </c>
      <c r="K114" s="9">
        <v>0.1</v>
      </c>
      <c r="L114" s="9">
        <v>34.566667000000002</v>
      </c>
      <c r="M114" s="30" t="s">
        <v>31</v>
      </c>
      <c r="N114" t="s">
        <v>551</v>
      </c>
      <c r="O114">
        <v>100</v>
      </c>
      <c r="Q114">
        <v>4</v>
      </c>
      <c r="R114" t="s">
        <v>593</v>
      </c>
      <c r="S114">
        <v>1994</v>
      </c>
      <c r="T114">
        <v>1998</v>
      </c>
      <c r="U114" t="s">
        <v>590</v>
      </c>
      <c r="V114" t="s">
        <v>558</v>
      </c>
      <c r="W114" t="s">
        <v>589</v>
      </c>
      <c r="X114" s="9" t="s">
        <v>553</v>
      </c>
      <c r="Y114" t="s">
        <v>480</v>
      </c>
      <c r="Z114" s="59" t="s">
        <v>43</v>
      </c>
      <c r="AA114" t="s">
        <v>559</v>
      </c>
      <c r="AB114" s="60" t="s">
        <v>415</v>
      </c>
      <c r="AC114" s="31">
        <v>53000</v>
      </c>
      <c r="AP114" s="60"/>
      <c r="AQ114" s="31"/>
      <c r="AX114" t="s">
        <v>574</v>
      </c>
      <c r="AZ114" s="60" t="s">
        <v>398</v>
      </c>
      <c r="BA114">
        <v>1994</v>
      </c>
      <c r="BB114">
        <v>1998</v>
      </c>
      <c r="BM114" t="s">
        <v>565</v>
      </c>
      <c r="BN114" s="49" t="s">
        <v>566</v>
      </c>
      <c r="BO114" s="30"/>
      <c r="BQ114">
        <v>1995</v>
      </c>
      <c r="BR114" t="s">
        <v>571</v>
      </c>
      <c r="BS114" s="60" t="s">
        <v>416</v>
      </c>
      <c r="BT114" s="30" t="s">
        <v>569</v>
      </c>
      <c r="BU114" s="30" t="s">
        <v>575</v>
      </c>
      <c r="BV114" s="30"/>
      <c r="CH114" s="50" t="s">
        <v>39</v>
      </c>
      <c r="CM114" s="66" t="s">
        <v>440</v>
      </c>
      <c r="CN114">
        <v>0</v>
      </c>
      <c r="CW114" s="30"/>
      <c r="DC114" s="67" t="s">
        <v>445</v>
      </c>
      <c r="DK114" s="67" t="s">
        <v>579</v>
      </c>
      <c r="DL114" s="30"/>
      <c r="DM114" s="30"/>
      <c r="DN114" s="30"/>
      <c r="DO114" s="30"/>
      <c r="DP114" s="30"/>
      <c r="DQ114" s="30"/>
      <c r="DR114" s="30"/>
      <c r="FC114" t="s">
        <v>154</v>
      </c>
      <c r="FD114" s="28" t="s">
        <v>615</v>
      </c>
      <c r="FE114">
        <v>42</v>
      </c>
      <c r="FG114" s="73" t="s">
        <v>616</v>
      </c>
      <c r="FH114" s="6" t="s">
        <v>624</v>
      </c>
      <c r="FR114" t="s">
        <v>623</v>
      </c>
      <c r="FU114" s="6" t="s">
        <v>27</v>
      </c>
      <c r="FV114" s="52" t="s">
        <v>420</v>
      </c>
      <c r="GG114" t="s">
        <v>510</v>
      </c>
      <c r="GH114" s="80" t="s">
        <v>695</v>
      </c>
      <c r="GI114" s="6" t="s">
        <v>511</v>
      </c>
      <c r="GJ114" s="8">
        <v>2.7306766815840988E-2</v>
      </c>
      <c r="GM114">
        <v>4</v>
      </c>
      <c r="GN114" t="s">
        <v>628</v>
      </c>
      <c r="GO114" s="59" t="s">
        <v>154</v>
      </c>
      <c r="GP114">
        <v>1996</v>
      </c>
      <c r="GS114" s="71" t="s">
        <v>571</v>
      </c>
      <c r="GU114" t="s">
        <v>643</v>
      </c>
    </row>
    <row r="115" spans="1:203" ht="15" thickBot="1">
      <c r="A115" s="25" t="s">
        <v>550</v>
      </c>
      <c r="C115" t="s">
        <v>549</v>
      </c>
      <c r="E115" t="s">
        <v>16</v>
      </c>
      <c r="F115" s="6" t="s">
        <v>592</v>
      </c>
      <c r="G115" t="s">
        <v>591</v>
      </c>
      <c r="H115" s="6" t="s">
        <v>4</v>
      </c>
      <c r="I115" s="59" t="s">
        <v>154</v>
      </c>
      <c r="J115" s="59" t="s">
        <v>389</v>
      </c>
      <c r="K115" s="9">
        <v>0.1</v>
      </c>
      <c r="L115" s="9">
        <v>34.566667000000002</v>
      </c>
      <c r="M115" s="30" t="s">
        <v>31</v>
      </c>
      <c r="N115" t="s">
        <v>551</v>
      </c>
      <c r="O115">
        <v>100</v>
      </c>
      <c r="Q115">
        <v>4</v>
      </c>
      <c r="R115" t="s">
        <v>593</v>
      </c>
      <c r="S115">
        <v>1994</v>
      </c>
      <c r="T115">
        <v>1998</v>
      </c>
      <c r="U115" t="s">
        <v>590</v>
      </c>
      <c r="V115" t="s">
        <v>558</v>
      </c>
      <c r="W115" t="s">
        <v>589</v>
      </c>
      <c r="X115" s="9" t="s">
        <v>555</v>
      </c>
      <c r="Y115" t="s">
        <v>481</v>
      </c>
      <c r="Z115" s="59" t="s">
        <v>43</v>
      </c>
      <c r="AA115" t="s">
        <v>559</v>
      </c>
      <c r="AB115" s="60" t="s">
        <v>415</v>
      </c>
      <c r="AC115" s="31">
        <v>53000</v>
      </c>
      <c r="AP115" s="60"/>
      <c r="AQ115" s="31"/>
      <c r="AX115" t="s">
        <v>574</v>
      </c>
      <c r="AZ115" s="60" t="s">
        <v>398</v>
      </c>
      <c r="BA115">
        <v>1994</v>
      </c>
      <c r="BB115">
        <v>1998</v>
      </c>
      <c r="BM115" t="s">
        <v>567</v>
      </c>
      <c r="BN115" s="49" t="s">
        <v>568</v>
      </c>
      <c r="BO115" s="30"/>
      <c r="BQ115">
        <v>1994</v>
      </c>
      <c r="BR115" t="s">
        <v>571</v>
      </c>
      <c r="BS115" s="60" t="s">
        <v>416</v>
      </c>
      <c r="BT115" s="30" t="s">
        <v>569</v>
      </c>
      <c r="BU115" s="30" t="s">
        <v>575</v>
      </c>
      <c r="BV115" s="30"/>
      <c r="CH115" s="50" t="s">
        <v>39</v>
      </c>
      <c r="CM115" s="66" t="s">
        <v>440</v>
      </c>
      <c r="CN115">
        <v>0</v>
      </c>
      <c r="CW115" s="30"/>
      <c r="DC115" s="67" t="s">
        <v>445</v>
      </c>
      <c r="DK115" s="67" t="s">
        <v>579</v>
      </c>
      <c r="DO115" s="30"/>
      <c r="DP115" s="30"/>
      <c r="DQ115" s="30"/>
      <c r="DR115" s="30"/>
      <c r="FC115" t="s">
        <v>154</v>
      </c>
      <c r="FD115" s="29" t="s">
        <v>615</v>
      </c>
      <c r="FE115">
        <v>42</v>
      </c>
      <c r="FG115" s="73" t="s">
        <v>616</v>
      </c>
      <c r="FH115" s="6" t="s">
        <v>624</v>
      </c>
      <c r="FR115" t="s">
        <v>623</v>
      </c>
      <c r="FU115" s="6" t="s">
        <v>27</v>
      </c>
      <c r="FV115" s="52" t="s">
        <v>420</v>
      </c>
      <c r="GG115" t="s">
        <v>510</v>
      </c>
      <c r="GH115" s="80" t="s">
        <v>696</v>
      </c>
      <c r="GI115" s="6" t="s">
        <v>511</v>
      </c>
      <c r="GJ115" s="8">
        <v>4.5488789439359967E-2</v>
      </c>
      <c r="GM115">
        <v>4</v>
      </c>
      <c r="GN115" t="s">
        <v>628</v>
      </c>
      <c r="GO115" s="59" t="s">
        <v>154</v>
      </c>
      <c r="GP115">
        <v>1996</v>
      </c>
      <c r="GS115" s="71" t="s">
        <v>571</v>
      </c>
      <c r="GU115" t="s">
        <v>643</v>
      </c>
    </row>
    <row r="116" spans="1:203" ht="15" thickBot="1">
      <c r="A116" s="25" t="s">
        <v>550</v>
      </c>
      <c r="C116" t="s">
        <v>549</v>
      </c>
      <c r="E116" t="s">
        <v>16</v>
      </c>
      <c r="F116" s="6" t="s">
        <v>592</v>
      </c>
      <c r="G116" t="s">
        <v>591</v>
      </c>
      <c r="H116" s="6" t="s">
        <v>4</v>
      </c>
      <c r="I116" s="59" t="s">
        <v>154</v>
      </c>
      <c r="J116" s="59" t="s">
        <v>389</v>
      </c>
      <c r="K116" s="9">
        <v>0.1</v>
      </c>
      <c r="L116" s="9">
        <v>34.566667000000002</v>
      </c>
      <c r="M116" s="30" t="s">
        <v>31</v>
      </c>
      <c r="N116" t="s">
        <v>551</v>
      </c>
      <c r="O116">
        <v>100</v>
      </c>
      <c r="Q116">
        <v>4</v>
      </c>
      <c r="R116" t="s">
        <v>593</v>
      </c>
      <c r="S116">
        <v>1994</v>
      </c>
      <c r="T116">
        <v>1998</v>
      </c>
      <c r="U116" t="s">
        <v>590</v>
      </c>
      <c r="V116" t="s">
        <v>36</v>
      </c>
      <c r="W116" t="s">
        <v>36</v>
      </c>
      <c r="X116" s="9" t="s">
        <v>556</v>
      </c>
      <c r="Y116" t="s">
        <v>476</v>
      </c>
      <c r="Z116" s="59" t="s">
        <v>43</v>
      </c>
      <c r="AA116" t="s">
        <v>559</v>
      </c>
      <c r="AB116" s="60" t="s">
        <v>415</v>
      </c>
      <c r="AC116" s="31">
        <v>53000</v>
      </c>
      <c r="AX116" t="s">
        <v>574</v>
      </c>
      <c r="AZ116" s="60" t="s">
        <v>398</v>
      </c>
      <c r="BA116">
        <v>1994</v>
      </c>
      <c r="BB116">
        <v>1998</v>
      </c>
      <c r="BM116" t="s">
        <v>569</v>
      </c>
      <c r="BN116" s="49" t="s">
        <v>36</v>
      </c>
      <c r="BO116" s="30"/>
      <c r="BS116" s="60" t="s">
        <v>416</v>
      </c>
      <c r="BT116" s="30" t="s">
        <v>569</v>
      </c>
      <c r="BU116" s="30" t="s">
        <v>575</v>
      </c>
      <c r="BV116" s="30"/>
      <c r="CH116" s="50" t="s">
        <v>39</v>
      </c>
      <c r="CM116" s="66" t="s">
        <v>440</v>
      </c>
      <c r="CN116">
        <v>0</v>
      </c>
      <c r="CW116" s="30"/>
      <c r="DC116" s="67" t="s">
        <v>445</v>
      </c>
      <c r="DK116" s="67" t="s">
        <v>579</v>
      </c>
      <c r="DO116" s="30"/>
      <c r="DP116" s="30"/>
      <c r="DQ116" s="30"/>
      <c r="DR116" s="30"/>
      <c r="FD116" s="28" t="s">
        <v>615</v>
      </c>
      <c r="FE116">
        <v>42</v>
      </c>
      <c r="FG116" s="73" t="s">
        <v>616</v>
      </c>
      <c r="FH116" s="6" t="s">
        <v>624</v>
      </c>
      <c r="FR116" t="s">
        <v>623</v>
      </c>
      <c r="FU116" s="6" t="s">
        <v>27</v>
      </c>
      <c r="FV116" s="52" t="s">
        <v>420</v>
      </c>
      <c r="GF116" t="s">
        <v>514</v>
      </c>
      <c r="GG116" t="s">
        <v>510</v>
      </c>
      <c r="GH116" s="80" t="s">
        <v>697</v>
      </c>
      <c r="GI116" s="6" t="s">
        <v>511</v>
      </c>
      <c r="GJ116" s="8">
        <v>1.8170778329998E-2</v>
      </c>
      <c r="GM116">
        <v>4</v>
      </c>
      <c r="GN116" t="s">
        <v>628</v>
      </c>
      <c r="GO116" s="59" t="s">
        <v>154</v>
      </c>
      <c r="GP116">
        <v>1996</v>
      </c>
      <c r="GS116" s="71" t="s">
        <v>571</v>
      </c>
      <c r="GU116" t="s">
        <v>643</v>
      </c>
    </row>
    <row r="117" spans="1:203" ht="15" thickBot="1">
      <c r="A117" s="76" t="s">
        <v>550</v>
      </c>
      <c r="B117" s="59"/>
      <c r="C117" s="59" t="s">
        <v>549</v>
      </c>
      <c r="D117" s="59"/>
      <c r="E117" s="59" t="s">
        <v>16</v>
      </c>
      <c r="F117" s="60" t="s">
        <v>592</v>
      </c>
      <c r="G117" s="59" t="s">
        <v>591</v>
      </c>
      <c r="H117" s="60" t="s">
        <v>4</v>
      </c>
      <c r="I117" s="59" t="s">
        <v>154</v>
      </c>
      <c r="J117" s="59" t="s">
        <v>389</v>
      </c>
      <c r="K117" s="77">
        <v>0.1</v>
      </c>
      <c r="L117" s="77">
        <v>34.566667000000002</v>
      </c>
      <c r="M117" s="61" t="s">
        <v>31</v>
      </c>
      <c r="N117" s="59" t="s">
        <v>551</v>
      </c>
      <c r="O117" s="59">
        <v>100</v>
      </c>
      <c r="P117" s="59"/>
      <c r="Q117" s="59">
        <v>4</v>
      </c>
      <c r="R117" s="59" t="s">
        <v>593</v>
      </c>
      <c r="S117" s="59">
        <v>1994</v>
      </c>
      <c r="T117" s="59">
        <v>1998</v>
      </c>
      <c r="U117" s="59" t="s">
        <v>590</v>
      </c>
      <c r="V117" s="59" t="s">
        <v>36</v>
      </c>
      <c r="W117" s="59" t="s">
        <v>36</v>
      </c>
      <c r="X117" s="77" t="s">
        <v>557</v>
      </c>
      <c r="Y117" s="59" t="s">
        <v>477</v>
      </c>
      <c r="Z117" s="59" t="s">
        <v>43</v>
      </c>
      <c r="AA117" s="59" t="s">
        <v>559</v>
      </c>
      <c r="AB117" s="60" t="s">
        <v>415</v>
      </c>
      <c r="AC117" s="62">
        <v>53000</v>
      </c>
      <c r="AD117" s="59"/>
      <c r="AE117" s="59"/>
      <c r="AF117" s="59"/>
      <c r="AG117" s="59"/>
      <c r="AH117" s="59"/>
      <c r="AI117" s="59"/>
      <c r="AJ117" s="59"/>
      <c r="AK117" s="59"/>
      <c r="AL117" s="59"/>
      <c r="AM117" s="59"/>
      <c r="AN117" s="59"/>
      <c r="AO117" s="59"/>
      <c r="AP117" s="59"/>
      <c r="AQ117" s="59"/>
      <c r="AR117" s="59"/>
      <c r="AS117" s="59"/>
      <c r="AT117" s="59"/>
      <c r="AU117" s="59"/>
      <c r="AV117" s="59"/>
      <c r="AW117" s="59"/>
      <c r="AX117" s="59" t="s">
        <v>574</v>
      </c>
      <c r="AY117" s="59"/>
      <c r="AZ117" s="60" t="s">
        <v>398</v>
      </c>
      <c r="BA117" s="59">
        <v>1994</v>
      </c>
      <c r="BB117" s="59">
        <v>1998</v>
      </c>
      <c r="BC117" s="59"/>
      <c r="BD117" s="59"/>
      <c r="BE117" s="59"/>
      <c r="BF117" s="59"/>
      <c r="BG117" s="59"/>
      <c r="BH117" s="59"/>
      <c r="BI117" s="59"/>
      <c r="BJ117" s="59"/>
      <c r="BK117" s="59"/>
      <c r="BL117" s="59"/>
      <c r="BM117" s="59" t="s">
        <v>570</v>
      </c>
      <c r="BN117" s="67" t="s">
        <v>36</v>
      </c>
      <c r="BO117" s="61"/>
      <c r="BP117" s="59"/>
      <c r="BQ117" s="59"/>
      <c r="BR117" s="59"/>
      <c r="BS117" s="60" t="s">
        <v>416</v>
      </c>
      <c r="BT117" s="59" t="s">
        <v>576</v>
      </c>
      <c r="BU117" s="59" t="s">
        <v>575</v>
      </c>
      <c r="BV117" s="59"/>
      <c r="BW117" s="59"/>
      <c r="BX117" s="59"/>
      <c r="BY117" s="59"/>
      <c r="BZ117" s="59"/>
      <c r="CA117" s="59"/>
      <c r="CB117" s="59"/>
      <c r="CC117" s="59"/>
      <c r="CD117" s="59"/>
      <c r="CE117" s="59"/>
      <c r="CF117" s="59"/>
      <c r="CG117" s="59" t="s">
        <v>570</v>
      </c>
      <c r="CH117" s="59" t="s">
        <v>37</v>
      </c>
      <c r="CI117" s="65" t="s">
        <v>439</v>
      </c>
      <c r="CJ117" s="59"/>
      <c r="CK117" s="59"/>
      <c r="CL117" s="59"/>
      <c r="CM117" s="66" t="s">
        <v>440</v>
      </c>
      <c r="CN117" s="59">
        <v>60</v>
      </c>
      <c r="CO117" s="59"/>
      <c r="CP117" s="59"/>
      <c r="CQ117" s="59">
        <v>60</v>
      </c>
      <c r="CR117" s="59"/>
      <c r="CS117" s="59"/>
      <c r="CT117" s="59"/>
      <c r="CU117" s="59"/>
      <c r="CV117" s="59"/>
      <c r="CW117" s="61"/>
      <c r="CX117" s="59"/>
      <c r="CY117" s="59"/>
      <c r="CZ117" s="59"/>
      <c r="DA117" s="59"/>
      <c r="DB117" s="59"/>
      <c r="DC117" s="67" t="s">
        <v>445</v>
      </c>
      <c r="DD117" s="59"/>
      <c r="DE117" s="59"/>
      <c r="DF117" s="59"/>
      <c r="DG117" s="59"/>
      <c r="DH117" s="59"/>
      <c r="DI117" s="59"/>
      <c r="DJ117" s="59"/>
      <c r="DK117" s="67" t="s">
        <v>579</v>
      </c>
      <c r="DL117" s="59"/>
      <c r="DM117" s="59"/>
      <c r="DN117" s="59"/>
      <c r="DO117" s="61"/>
      <c r="DP117" s="61"/>
      <c r="DQ117" s="61"/>
      <c r="DR117" s="61"/>
      <c r="DS117" s="59"/>
      <c r="DT117" s="59"/>
      <c r="DU117" s="59"/>
      <c r="DV117" s="59"/>
      <c r="DW117" s="59"/>
      <c r="DX117" s="59"/>
      <c r="DY117" s="59"/>
      <c r="DZ117" s="59"/>
      <c r="EA117" s="59"/>
      <c r="EB117" s="59"/>
      <c r="EC117" s="59"/>
      <c r="ED117" s="59"/>
      <c r="EE117" s="59"/>
      <c r="EF117" s="59"/>
      <c r="EG117" s="59"/>
      <c r="EH117" s="59"/>
      <c r="EI117" s="59"/>
      <c r="EJ117" s="59"/>
      <c r="EK117" s="59"/>
      <c r="EL117" s="59"/>
      <c r="EM117" s="59"/>
      <c r="EN117" s="59"/>
      <c r="EO117" s="59"/>
      <c r="EP117" s="59"/>
      <c r="EQ117" s="59"/>
      <c r="ER117" s="59"/>
      <c r="ES117" s="59"/>
      <c r="ET117" s="59"/>
      <c r="EU117" s="59"/>
      <c r="EV117" s="59"/>
      <c r="EW117" s="59"/>
      <c r="EX117" s="59"/>
      <c r="EY117" s="59"/>
      <c r="EZ117" s="59"/>
      <c r="FA117" s="59"/>
      <c r="FB117" s="59"/>
      <c r="FC117" s="59"/>
      <c r="FD117" s="71" t="s">
        <v>615</v>
      </c>
      <c r="FE117" s="59">
        <v>42</v>
      </c>
      <c r="FF117" s="59"/>
      <c r="FG117" s="73" t="s">
        <v>616</v>
      </c>
      <c r="FH117" s="6" t="s">
        <v>624</v>
      </c>
      <c r="FR117" t="s">
        <v>623</v>
      </c>
      <c r="FT117" s="59"/>
      <c r="FU117" s="6" t="s">
        <v>27</v>
      </c>
      <c r="FV117" s="52" t="s">
        <v>420</v>
      </c>
      <c r="FW117" s="59"/>
      <c r="FX117" s="59"/>
      <c r="FY117" s="59"/>
      <c r="FZ117" s="59"/>
      <c r="GA117" s="59"/>
      <c r="GB117" s="59"/>
      <c r="GC117" s="59"/>
      <c r="GD117" s="59"/>
      <c r="GE117" s="59"/>
      <c r="GF117" s="59" t="s">
        <v>587</v>
      </c>
      <c r="GG117" s="59" t="s">
        <v>510</v>
      </c>
      <c r="GH117">
        <v>0.28012346234286101</v>
      </c>
      <c r="GI117" s="60" t="s">
        <v>511</v>
      </c>
      <c r="GJ117" s="79">
        <v>2.7228056761192998E-2</v>
      </c>
      <c r="GK117" s="59"/>
      <c r="GL117" s="59"/>
      <c r="GM117" s="59">
        <v>4</v>
      </c>
      <c r="GN117" t="s">
        <v>628</v>
      </c>
      <c r="GO117" s="59" t="s">
        <v>154</v>
      </c>
      <c r="GP117" s="59">
        <v>1996</v>
      </c>
      <c r="GQ117" s="59"/>
      <c r="GR117" s="59"/>
      <c r="GS117" s="71" t="s">
        <v>571</v>
      </c>
      <c r="GT117" s="59"/>
      <c r="GU117" t="s">
        <v>643</v>
      </c>
    </row>
    <row r="118" spans="1:203" ht="15" thickBot="1">
      <c r="A118" s="25" t="s">
        <v>550</v>
      </c>
      <c r="C118" t="s">
        <v>549</v>
      </c>
      <c r="E118" t="s">
        <v>16</v>
      </c>
      <c r="F118" s="6" t="s">
        <v>592</v>
      </c>
      <c r="G118" t="s">
        <v>591</v>
      </c>
      <c r="H118" s="6" t="s">
        <v>4</v>
      </c>
      <c r="I118" s="59" t="s">
        <v>154</v>
      </c>
      <c r="J118" s="59" t="s">
        <v>389</v>
      </c>
      <c r="K118" s="9">
        <v>0.1</v>
      </c>
      <c r="L118" s="9">
        <v>34.566667000000002</v>
      </c>
      <c r="M118" s="30" t="s">
        <v>31</v>
      </c>
      <c r="N118" t="s">
        <v>551</v>
      </c>
      <c r="O118">
        <v>100</v>
      </c>
      <c r="Q118">
        <v>4</v>
      </c>
      <c r="R118" t="s">
        <v>593</v>
      </c>
      <c r="S118">
        <v>1994</v>
      </c>
      <c r="T118">
        <v>1998</v>
      </c>
      <c r="U118" t="s">
        <v>590</v>
      </c>
      <c r="V118" t="s">
        <v>558</v>
      </c>
      <c r="W118" t="s">
        <v>588</v>
      </c>
      <c r="X118" s="9" t="s">
        <v>552</v>
      </c>
      <c r="Y118" t="s">
        <v>478</v>
      </c>
      <c r="Z118" s="59" t="s">
        <v>43</v>
      </c>
      <c r="AA118" t="s">
        <v>559</v>
      </c>
      <c r="AB118" s="60" t="s">
        <v>415</v>
      </c>
      <c r="AC118" s="31">
        <v>53000</v>
      </c>
      <c r="AD118" t="s">
        <v>98</v>
      </c>
      <c r="AO118" t="s">
        <v>47</v>
      </c>
      <c r="AP118" s="60" t="s">
        <v>415</v>
      </c>
      <c r="AQ118" s="31">
        <v>53000</v>
      </c>
      <c r="AX118" t="s">
        <v>574</v>
      </c>
      <c r="AZ118" s="60" t="s">
        <v>398</v>
      </c>
      <c r="BA118">
        <v>1994</v>
      </c>
      <c r="BB118">
        <v>1998</v>
      </c>
      <c r="BL118" s="60"/>
      <c r="BM118" t="s">
        <v>563</v>
      </c>
      <c r="BN118" s="67" t="s">
        <v>561</v>
      </c>
      <c r="BO118" s="30"/>
      <c r="BQ118">
        <v>1995</v>
      </c>
      <c r="BR118" t="s">
        <v>560</v>
      </c>
      <c r="BS118" s="60" t="s">
        <v>416</v>
      </c>
      <c r="BT118" s="30" t="s">
        <v>572</v>
      </c>
      <c r="BU118" s="50" t="s">
        <v>28</v>
      </c>
      <c r="BV118" s="30"/>
      <c r="BX118" s="30" t="s">
        <v>31</v>
      </c>
      <c r="BY118" s="30" t="s">
        <v>31</v>
      </c>
      <c r="BZ118" s="30" t="s">
        <v>31</v>
      </c>
      <c r="CA118" s="30" t="s">
        <v>31</v>
      </c>
      <c r="CB118" s="30" t="s">
        <v>31</v>
      </c>
      <c r="CC118" s="30" t="s">
        <v>31</v>
      </c>
      <c r="CD118" s="30" t="s">
        <v>31</v>
      </c>
      <c r="CE118" s="30" t="s">
        <v>31</v>
      </c>
      <c r="CF118" s="30" t="s">
        <v>31</v>
      </c>
      <c r="CH118" s="50" t="s">
        <v>39</v>
      </c>
      <c r="CM118" s="66" t="s">
        <v>440</v>
      </c>
      <c r="CN118">
        <v>0</v>
      </c>
      <c r="CW118" s="30"/>
      <c r="DC118" s="67" t="s">
        <v>445</v>
      </c>
      <c r="DK118" s="72" t="s">
        <v>577</v>
      </c>
      <c r="DL118" s="56" t="s">
        <v>508</v>
      </c>
      <c r="DM118" s="30"/>
      <c r="DN118" s="30" t="s">
        <v>31</v>
      </c>
      <c r="DO118" s="30"/>
      <c r="DP118" s="30"/>
      <c r="DQ118" s="30"/>
      <c r="DR118" s="30"/>
      <c r="FC118" t="s">
        <v>154</v>
      </c>
      <c r="FD118" s="28" t="s">
        <v>615</v>
      </c>
      <c r="FE118">
        <v>42</v>
      </c>
      <c r="FG118" s="73" t="s">
        <v>616</v>
      </c>
      <c r="FH118" s="6" t="s">
        <v>624</v>
      </c>
      <c r="FR118" t="s">
        <v>623</v>
      </c>
      <c r="FU118" s="6" t="s">
        <v>27</v>
      </c>
      <c r="FV118" s="52" t="s">
        <v>420</v>
      </c>
      <c r="GG118" t="s">
        <v>510</v>
      </c>
      <c r="GH118" s="80" t="s">
        <v>698</v>
      </c>
      <c r="GI118" s="6" t="s">
        <v>511</v>
      </c>
      <c r="GJ118" s="8">
        <v>2.1189871140396999E-2</v>
      </c>
      <c r="GM118">
        <v>4</v>
      </c>
      <c r="GN118" t="s">
        <v>629</v>
      </c>
      <c r="GO118" s="59" t="s">
        <v>154</v>
      </c>
      <c r="GP118">
        <v>1997</v>
      </c>
      <c r="GS118" s="71" t="s">
        <v>571</v>
      </c>
      <c r="GU118" t="s">
        <v>644</v>
      </c>
    </row>
    <row r="119" spans="1:203" ht="15" thickBot="1">
      <c r="A119" s="25" t="s">
        <v>550</v>
      </c>
      <c r="C119" t="s">
        <v>549</v>
      </c>
      <c r="E119" t="s">
        <v>16</v>
      </c>
      <c r="F119" s="6" t="s">
        <v>592</v>
      </c>
      <c r="G119" t="s">
        <v>591</v>
      </c>
      <c r="H119" s="6" t="s">
        <v>4</v>
      </c>
      <c r="I119" s="59" t="s">
        <v>154</v>
      </c>
      <c r="J119" s="59" t="s">
        <v>389</v>
      </c>
      <c r="K119" s="9">
        <v>0.1</v>
      </c>
      <c r="L119" s="9">
        <v>34.566667000000002</v>
      </c>
      <c r="M119" s="30" t="s">
        <v>31</v>
      </c>
      <c r="N119" t="s">
        <v>551</v>
      </c>
      <c r="O119">
        <v>100</v>
      </c>
      <c r="Q119">
        <v>4</v>
      </c>
      <c r="R119" t="s">
        <v>593</v>
      </c>
      <c r="S119">
        <v>1994</v>
      </c>
      <c r="T119">
        <v>1998</v>
      </c>
      <c r="U119" t="s">
        <v>590</v>
      </c>
      <c r="V119" t="s">
        <v>558</v>
      </c>
      <c r="W119" t="s">
        <v>588</v>
      </c>
      <c r="X119" s="9" t="s">
        <v>554</v>
      </c>
      <c r="Y119" t="s">
        <v>479</v>
      </c>
      <c r="Z119" s="59" t="s">
        <v>43</v>
      </c>
      <c r="AA119" t="s">
        <v>559</v>
      </c>
      <c r="AB119" s="60" t="s">
        <v>415</v>
      </c>
      <c r="AC119" s="31">
        <v>53000</v>
      </c>
      <c r="AD119" t="s">
        <v>98</v>
      </c>
      <c r="AO119" t="s">
        <v>47</v>
      </c>
      <c r="AP119" s="60" t="s">
        <v>415</v>
      </c>
      <c r="AQ119" s="31">
        <v>53000</v>
      </c>
      <c r="AX119" t="s">
        <v>574</v>
      </c>
      <c r="AZ119" s="60" t="s">
        <v>398</v>
      </c>
      <c r="BA119">
        <v>1994</v>
      </c>
      <c r="BB119">
        <v>1998</v>
      </c>
      <c r="BL119" s="60"/>
      <c r="BM119" t="s">
        <v>564</v>
      </c>
      <c r="BN119" s="67" t="s">
        <v>562</v>
      </c>
      <c r="BO119" s="30"/>
      <c r="BQ119">
        <v>1994</v>
      </c>
      <c r="BR119" t="s">
        <v>571</v>
      </c>
      <c r="BS119" s="60" t="s">
        <v>416</v>
      </c>
      <c r="BT119" s="30" t="s">
        <v>573</v>
      </c>
      <c r="BU119" s="50" t="s">
        <v>28</v>
      </c>
      <c r="BV119" s="30"/>
      <c r="BX119" s="30" t="s">
        <v>31</v>
      </c>
      <c r="BY119" s="30" t="s">
        <v>31</v>
      </c>
      <c r="BZ119" s="30" t="s">
        <v>31</v>
      </c>
      <c r="CA119" s="30" t="s">
        <v>31</v>
      </c>
      <c r="CB119" s="30" t="s">
        <v>31</v>
      </c>
      <c r="CC119" s="30" t="s">
        <v>31</v>
      </c>
      <c r="CD119" s="30" t="s">
        <v>31</v>
      </c>
      <c r="CE119" s="30" t="s">
        <v>31</v>
      </c>
      <c r="CF119" s="30" t="s">
        <v>31</v>
      </c>
      <c r="CH119" s="50" t="s">
        <v>39</v>
      </c>
      <c r="CM119" s="66" t="s">
        <v>440</v>
      </c>
      <c r="CN119">
        <v>0</v>
      </c>
      <c r="CW119" s="30"/>
      <c r="DC119" s="67" t="s">
        <v>445</v>
      </c>
      <c r="DK119" s="72" t="s">
        <v>577</v>
      </c>
      <c r="DL119" s="56" t="s">
        <v>508</v>
      </c>
      <c r="DM119" s="30"/>
      <c r="DN119" s="30" t="s">
        <v>31</v>
      </c>
      <c r="DO119" s="30"/>
      <c r="DP119" s="30"/>
      <c r="DQ119" s="30"/>
      <c r="DR119" s="30"/>
      <c r="FC119" t="s">
        <v>154</v>
      </c>
      <c r="FD119" s="29" t="s">
        <v>615</v>
      </c>
      <c r="FE119">
        <v>42</v>
      </c>
      <c r="FG119" s="73" t="s">
        <v>616</v>
      </c>
      <c r="FH119" s="6" t="s">
        <v>624</v>
      </c>
      <c r="FR119" t="s">
        <v>623</v>
      </c>
      <c r="FU119" s="6" t="s">
        <v>27</v>
      </c>
      <c r="FV119" s="52" t="s">
        <v>420</v>
      </c>
      <c r="GG119" t="s">
        <v>510</v>
      </c>
      <c r="GH119" s="80" t="s">
        <v>699</v>
      </c>
      <c r="GI119" s="6" t="s">
        <v>511</v>
      </c>
      <c r="GJ119" s="8">
        <v>2.4242696831358018E-2</v>
      </c>
      <c r="GM119">
        <v>4</v>
      </c>
      <c r="GN119" t="s">
        <v>629</v>
      </c>
      <c r="GO119" s="59" t="s">
        <v>154</v>
      </c>
      <c r="GP119">
        <v>1997</v>
      </c>
      <c r="GS119" s="71" t="s">
        <v>571</v>
      </c>
      <c r="GU119" t="s">
        <v>644</v>
      </c>
    </row>
    <row r="120" spans="1:203" ht="15" thickBot="1">
      <c r="A120" s="25" t="s">
        <v>550</v>
      </c>
      <c r="C120" t="s">
        <v>549</v>
      </c>
      <c r="E120" t="s">
        <v>16</v>
      </c>
      <c r="F120" s="6" t="s">
        <v>592</v>
      </c>
      <c r="G120" t="s">
        <v>591</v>
      </c>
      <c r="H120" s="6" t="s">
        <v>4</v>
      </c>
      <c r="I120" s="59" t="s">
        <v>154</v>
      </c>
      <c r="J120" s="59" t="s">
        <v>389</v>
      </c>
      <c r="K120" s="9">
        <v>0.1</v>
      </c>
      <c r="L120" s="9">
        <v>34.566667000000002</v>
      </c>
      <c r="M120" s="30" t="s">
        <v>31</v>
      </c>
      <c r="N120" t="s">
        <v>551</v>
      </c>
      <c r="O120">
        <v>100</v>
      </c>
      <c r="Q120">
        <v>4</v>
      </c>
      <c r="R120" t="s">
        <v>593</v>
      </c>
      <c r="S120">
        <v>1994</v>
      </c>
      <c r="T120">
        <v>1998</v>
      </c>
      <c r="U120" t="s">
        <v>590</v>
      </c>
      <c r="V120" t="s">
        <v>558</v>
      </c>
      <c r="W120" t="s">
        <v>589</v>
      </c>
      <c r="X120" s="9" t="s">
        <v>553</v>
      </c>
      <c r="Y120" t="s">
        <v>480</v>
      </c>
      <c r="Z120" s="59" t="s">
        <v>43</v>
      </c>
      <c r="AA120" t="s">
        <v>559</v>
      </c>
      <c r="AB120" s="60" t="s">
        <v>415</v>
      </c>
      <c r="AC120" s="31">
        <v>53000</v>
      </c>
      <c r="AP120" s="60"/>
      <c r="AQ120" s="31"/>
      <c r="AX120" t="s">
        <v>574</v>
      </c>
      <c r="AZ120" s="60" t="s">
        <v>398</v>
      </c>
      <c r="BA120">
        <v>1994</v>
      </c>
      <c r="BB120">
        <v>1998</v>
      </c>
      <c r="BM120" t="s">
        <v>565</v>
      </c>
      <c r="BN120" s="49" t="s">
        <v>566</v>
      </c>
      <c r="BO120" s="30"/>
      <c r="BQ120">
        <v>1995</v>
      </c>
      <c r="BR120" t="s">
        <v>571</v>
      </c>
      <c r="BS120" s="60" t="s">
        <v>416</v>
      </c>
      <c r="BT120" s="30" t="s">
        <v>569</v>
      </c>
      <c r="BU120" s="30" t="s">
        <v>575</v>
      </c>
      <c r="BV120" s="30"/>
      <c r="CH120" s="50" t="s">
        <v>39</v>
      </c>
      <c r="CM120" s="66" t="s">
        <v>440</v>
      </c>
      <c r="CN120">
        <v>0</v>
      </c>
      <c r="CW120" s="30"/>
      <c r="DC120" s="67" t="s">
        <v>445</v>
      </c>
      <c r="DK120" s="67" t="s">
        <v>579</v>
      </c>
      <c r="DL120" s="30"/>
      <c r="DM120" s="30"/>
      <c r="DN120" s="30"/>
      <c r="DO120" s="30"/>
      <c r="DP120" s="30"/>
      <c r="DQ120" s="30"/>
      <c r="DR120" s="30"/>
      <c r="FC120" t="s">
        <v>154</v>
      </c>
      <c r="FD120" s="28" t="s">
        <v>615</v>
      </c>
      <c r="FE120">
        <v>42</v>
      </c>
      <c r="FG120" s="73" t="s">
        <v>616</v>
      </c>
      <c r="FH120" s="6" t="s">
        <v>624</v>
      </c>
      <c r="FR120" t="s">
        <v>623</v>
      </c>
      <c r="FU120" s="6" t="s">
        <v>27</v>
      </c>
      <c r="FV120" s="52" t="s">
        <v>420</v>
      </c>
      <c r="GG120" t="s">
        <v>510</v>
      </c>
      <c r="GH120" s="80" t="s">
        <v>700</v>
      </c>
      <c r="GI120" s="6" t="s">
        <v>511</v>
      </c>
      <c r="GJ120" s="8">
        <v>3.0303371039197002E-2</v>
      </c>
      <c r="GM120">
        <v>4</v>
      </c>
      <c r="GN120" t="s">
        <v>629</v>
      </c>
      <c r="GO120" s="59" t="s">
        <v>154</v>
      </c>
      <c r="GP120">
        <v>1997</v>
      </c>
      <c r="GS120" s="71" t="s">
        <v>571</v>
      </c>
      <c r="GU120" t="s">
        <v>644</v>
      </c>
    </row>
    <row r="121" spans="1:203" ht="15" thickBot="1">
      <c r="A121" s="25" t="s">
        <v>550</v>
      </c>
      <c r="C121" t="s">
        <v>549</v>
      </c>
      <c r="E121" t="s">
        <v>16</v>
      </c>
      <c r="F121" s="6" t="s">
        <v>592</v>
      </c>
      <c r="G121" t="s">
        <v>591</v>
      </c>
      <c r="H121" s="6" t="s">
        <v>4</v>
      </c>
      <c r="I121" s="59" t="s">
        <v>154</v>
      </c>
      <c r="J121" s="59" t="s">
        <v>389</v>
      </c>
      <c r="K121" s="9">
        <v>0.1</v>
      </c>
      <c r="L121" s="9">
        <v>34.566667000000002</v>
      </c>
      <c r="M121" s="30" t="s">
        <v>31</v>
      </c>
      <c r="N121" t="s">
        <v>551</v>
      </c>
      <c r="O121">
        <v>100</v>
      </c>
      <c r="Q121">
        <v>4</v>
      </c>
      <c r="R121" t="s">
        <v>593</v>
      </c>
      <c r="S121">
        <v>1994</v>
      </c>
      <c r="T121">
        <v>1998</v>
      </c>
      <c r="U121" t="s">
        <v>590</v>
      </c>
      <c r="V121" t="s">
        <v>558</v>
      </c>
      <c r="W121" t="s">
        <v>589</v>
      </c>
      <c r="X121" s="9" t="s">
        <v>555</v>
      </c>
      <c r="Y121" t="s">
        <v>481</v>
      </c>
      <c r="Z121" s="59" t="s">
        <v>43</v>
      </c>
      <c r="AA121" t="s">
        <v>559</v>
      </c>
      <c r="AB121" s="60" t="s">
        <v>415</v>
      </c>
      <c r="AC121" s="31">
        <v>53000</v>
      </c>
      <c r="AP121" s="60"/>
      <c r="AQ121" s="31"/>
      <c r="AX121" t="s">
        <v>574</v>
      </c>
      <c r="AZ121" s="60" t="s">
        <v>398</v>
      </c>
      <c r="BA121">
        <v>1994</v>
      </c>
      <c r="BB121">
        <v>1998</v>
      </c>
      <c r="BM121" t="s">
        <v>567</v>
      </c>
      <c r="BN121" s="49" t="s">
        <v>568</v>
      </c>
      <c r="BO121" s="30"/>
      <c r="BQ121">
        <v>1994</v>
      </c>
      <c r="BR121" t="s">
        <v>571</v>
      </c>
      <c r="BS121" s="60" t="s">
        <v>416</v>
      </c>
      <c r="BT121" s="30" t="s">
        <v>569</v>
      </c>
      <c r="BU121" s="30" t="s">
        <v>575</v>
      </c>
      <c r="BV121" s="30"/>
      <c r="CH121" s="50" t="s">
        <v>39</v>
      </c>
      <c r="CM121" s="66" t="s">
        <v>440</v>
      </c>
      <c r="CN121">
        <v>0</v>
      </c>
      <c r="CW121" s="30"/>
      <c r="DC121" s="67" t="s">
        <v>445</v>
      </c>
      <c r="DK121" s="67" t="s">
        <v>579</v>
      </c>
      <c r="DO121" s="30"/>
      <c r="DP121" s="30"/>
      <c r="DQ121" s="30"/>
      <c r="DR121" s="30"/>
      <c r="FC121" t="s">
        <v>154</v>
      </c>
      <c r="FD121" s="29" t="s">
        <v>615</v>
      </c>
      <c r="FE121">
        <v>42</v>
      </c>
      <c r="FG121" s="73" t="s">
        <v>616</v>
      </c>
      <c r="FH121" s="6" t="s">
        <v>624</v>
      </c>
      <c r="FR121" t="s">
        <v>623</v>
      </c>
      <c r="FU121" s="6" t="s">
        <v>27</v>
      </c>
      <c r="FV121" s="52" t="s">
        <v>420</v>
      </c>
      <c r="GG121" t="s">
        <v>510</v>
      </c>
      <c r="GH121" s="80" t="s">
        <v>701</v>
      </c>
      <c r="GI121" s="6" t="s">
        <v>511</v>
      </c>
      <c r="GJ121" s="8">
        <v>2.7318011109362994E-2</v>
      </c>
      <c r="GM121">
        <v>4</v>
      </c>
      <c r="GN121" t="s">
        <v>629</v>
      </c>
      <c r="GO121" s="59" t="s">
        <v>154</v>
      </c>
      <c r="GP121">
        <v>1997</v>
      </c>
      <c r="GS121" s="71" t="s">
        <v>571</v>
      </c>
      <c r="GU121" t="s">
        <v>644</v>
      </c>
    </row>
    <row r="122" spans="1:203" ht="15" thickBot="1">
      <c r="A122" s="25" t="s">
        <v>550</v>
      </c>
      <c r="C122" t="s">
        <v>549</v>
      </c>
      <c r="E122" t="s">
        <v>16</v>
      </c>
      <c r="F122" s="6" t="s">
        <v>592</v>
      </c>
      <c r="G122" t="s">
        <v>591</v>
      </c>
      <c r="H122" s="6" t="s">
        <v>4</v>
      </c>
      <c r="I122" s="59" t="s">
        <v>154</v>
      </c>
      <c r="J122" s="59" t="s">
        <v>389</v>
      </c>
      <c r="K122" s="9">
        <v>0.1</v>
      </c>
      <c r="L122" s="9">
        <v>34.566667000000002</v>
      </c>
      <c r="M122" s="30" t="s">
        <v>31</v>
      </c>
      <c r="N122" t="s">
        <v>551</v>
      </c>
      <c r="O122">
        <v>100</v>
      </c>
      <c r="Q122">
        <v>4</v>
      </c>
      <c r="R122" t="s">
        <v>593</v>
      </c>
      <c r="S122">
        <v>1994</v>
      </c>
      <c r="T122">
        <v>1998</v>
      </c>
      <c r="U122" t="s">
        <v>590</v>
      </c>
      <c r="V122" t="s">
        <v>36</v>
      </c>
      <c r="W122" t="s">
        <v>36</v>
      </c>
      <c r="X122" s="9" t="s">
        <v>556</v>
      </c>
      <c r="Y122" t="s">
        <v>476</v>
      </c>
      <c r="Z122" s="59" t="s">
        <v>43</v>
      </c>
      <c r="AA122" t="s">
        <v>559</v>
      </c>
      <c r="AB122" s="60" t="s">
        <v>415</v>
      </c>
      <c r="AC122" s="31">
        <v>53000</v>
      </c>
      <c r="AX122" t="s">
        <v>574</v>
      </c>
      <c r="AZ122" s="60" t="s">
        <v>398</v>
      </c>
      <c r="BA122">
        <v>1994</v>
      </c>
      <c r="BB122">
        <v>1998</v>
      </c>
      <c r="BM122" t="s">
        <v>569</v>
      </c>
      <c r="BN122" s="49" t="s">
        <v>36</v>
      </c>
      <c r="BO122" s="30"/>
      <c r="BS122" s="60" t="s">
        <v>416</v>
      </c>
      <c r="BT122" s="30" t="s">
        <v>569</v>
      </c>
      <c r="BU122" s="30" t="s">
        <v>575</v>
      </c>
      <c r="BV122" s="30"/>
      <c r="CH122" s="50" t="s">
        <v>39</v>
      </c>
      <c r="CM122" s="66" t="s">
        <v>440</v>
      </c>
      <c r="CN122">
        <v>0</v>
      </c>
      <c r="CW122" s="30"/>
      <c r="DC122" s="67" t="s">
        <v>445</v>
      </c>
      <c r="DK122" s="67" t="s">
        <v>579</v>
      </c>
      <c r="DO122" s="30"/>
      <c r="DP122" s="30"/>
      <c r="DQ122" s="30"/>
      <c r="DR122" s="30"/>
      <c r="FD122" s="28" t="s">
        <v>615</v>
      </c>
      <c r="FE122">
        <v>42</v>
      </c>
      <c r="FG122" s="73" t="s">
        <v>616</v>
      </c>
      <c r="FH122" s="6" t="s">
        <v>624</v>
      </c>
      <c r="FR122" t="s">
        <v>623</v>
      </c>
      <c r="FU122" s="6" t="s">
        <v>27</v>
      </c>
      <c r="FV122" s="52" t="s">
        <v>420</v>
      </c>
      <c r="GF122" t="s">
        <v>514</v>
      </c>
      <c r="GG122" t="s">
        <v>510</v>
      </c>
      <c r="GH122" s="80" t="s">
        <v>702</v>
      </c>
      <c r="GI122" s="6" t="s">
        <v>511</v>
      </c>
      <c r="GJ122" s="8">
        <v>4.2435963748398003E-2</v>
      </c>
      <c r="GM122">
        <v>4</v>
      </c>
      <c r="GN122" t="s">
        <v>629</v>
      </c>
      <c r="GO122" s="59" t="s">
        <v>154</v>
      </c>
      <c r="GP122">
        <v>1997</v>
      </c>
      <c r="GS122" s="71" t="s">
        <v>571</v>
      </c>
      <c r="GU122" t="s">
        <v>644</v>
      </c>
    </row>
    <row r="123" spans="1:203" ht="15" thickBot="1">
      <c r="A123" s="76" t="s">
        <v>550</v>
      </c>
      <c r="B123" s="59"/>
      <c r="C123" s="59" t="s">
        <v>549</v>
      </c>
      <c r="D123" s="59"/>
      <c r="E123" s="59" t="s">
        <v>16</v>
      </c>
      <c r="F123" s="60" t="s">
        <v>592</v>
      </c>
      <c r="G123" s="59" t="s">
        <v>591</v>
      </c>
      <c r="H123" s="60" t="s">
        <v>4</v>
      </c>
      <c r="I123" s="59" t="s">
        <v>154</v>
      </c>
      <c r="J123" s="59" t="s">
        <v>389</v>
      </c>
      <c r="K123" s="77">
        <v>0.1</v>
      </c>
      <c r="L123" s="77">
        <v>34.566667000000002</v>
      </c>
      <c r="M123" s="61" t="s">
        <v>31</v>
      </c>
      <c r="N123" s="59" t="s">
        <v>551</v>
      </c>
      <c r="O123" s="59">
        <v>100</v>
      </c>
      <c r="P123" s="59"/>
      <c r="Q123" s="59">
        <v>4</v>
      </c>
      <c r="R123" s="59" t="s">
        <v>593</v>
      </c>
      <c r="S123" s="59">
        <v>1994</v>
      </c>
      <c r="T123" s="59">
        <v>1998</v>
      </c>
      <c r="U123" s="59" t="s">
        <v>590</v>
      </c>
      <c r="V123" s="59" t="s">
        <v>36</v>
      </c>
      <c r="W123" s="59" t="s">
        <v>36</v>
      </c>
      <c r="X123" s="77" t="s">
        <v>557</v>
      </c>
      <c r="Y123" s="59" t="s">
        <v>477</v>
      </c>
      <c r="Z123" s="59" t="s">
        <v>43</v>
      </c>
      <c r="AA123" s="59" t="s">
        <v>559</v>
      </c>
      <c r="AB123" s="60" t="s">
        <v>415</v>
      </c>
      <c r="AC123" s="62">
        <v>53000</v>
      </c>
      <c r="AD123" s="59"/>
      <c r="AE123" s="59"/>
      <c r="AF123" s="59"/>
      <c r="AG123" s="59"/>
      <c r="AH123" s="59"/>
      <c r="AI123" s="59"/>
      <c r="AJ123" s="59"/>
      <c r="AK123" s="59"/>
      <c r="AL123" s="59"/>
      <c r="AM123" s="59"/>
      <c r="AN123" s="59"/>
      <c r="AO123" s="59"/>
      <c r="AP123" s="59"/>
      <c r="AQ123" s="59"/>
      <c r="AR123" s="59"/>
      <c r="AS123" s="59"/>
      <c r="AT123" s="59"/>
      <c r="AU123" s="59"/>
      <c r="AV123" s="59"/>
      <c r="AW123" s="59"/>
      <c r="AX123" s="59" t="s">
        <v>574</v>
      </c>
      <c r="AY123" s="59"/>
      <c r="AZ123" s="60" t="s">
        <v>398</v>
      </c>
      <c r="BA123" s="59">
        <v>1994</v>
      </c>
      <c r="BB123" s="59">
        <v>1998</v>
      </c>
      <c r="BC123" s="59"/>
      <c r="BD123" s="59"/>
      <c r="BE123" s="59"/>
      <c r="BF123" s="59"/>
      <c r="BG123" s="59"/>
      <c r="BH123" s="59"/>
      <c r="BI123" s="59"/>
      <c r="BJ123" s="59"/>
      <c r="BK123" s="59"/>
      <c r="BL123" s="59"/>
      <c r="BM123" s="59" t="s">
        <v>570</v>
      </c>
      <c r="BN123" s="67" t="s">
        <v>36</v>
      </c>
      <c r="BO123" s="61"/>
      <c r="BP123" s="59"/>
      <c r="BQ123" s="59"/>
      <c r="BR123" s="59"/>
      <c r="BS123" s="60" t="s">
        <v>416</v>
      </c>
      <c r="BT123" s="59" t="s">
        <v>576</v>
      </c>
      <c r="BU123" s="59" t="s">
        <v>575</v>
      </c>
      <c r="BV123" s="59"/>
      <c r="BW123" s="59"/>
      <c r="BX123" s="59"/>
      <c r="BY123" s="59"/>
      <c r="BZ123" s="59"/>
      <c r="CA123" s="59"/>
      <c r="CB123" s="59"/>
      <c r="CC123" s="59"/>
      <c r="CD123" s="59"/>
      <c r="CE123" s="59"/>
      <c r="CF123" s="59"/>
      <c r="CG123" s="59" t="s">
        <v>570</v>
      </c>
      <c r="CH123" s="59" t="s">
        <v>37</v>
      </c>
      <c r="CI123" s="65" t="s">
        <v>439</v>
      </c>
      <c r="CJ123" s="59"/>
      <c r="CK123" s="59"/>
      <c r="CL123" s="59"/>
      <c r="CM123" s="66" t="s">
        <v>440</v>
      </c>
      <c r="CN123" s="59">
        <v>60</v>
      </c>
      <c r="CO123" s="59"/>
      <c r="CP123" s="59"/>
      <c r="CQ123" s="59">
        <v>60</v>
      </c>
      <c r="CR123" s="59"/>
      <c r="CS123" s="59"/>
      <c r="CT123" s="59"/>
      <c r="CU123" s="59"/>
      <c r="CV123" s="59"/>
      <c r="CW123" s="61"/>
      <c r="CX123" s="59"/>
      <c r="CY123" s="59"/>
      <c r="CZ123" s="59"/>
      <c r="DA123" s="59"/>
      <c r="DB123" s="59"/>
      <c r="DC123" s="67" t="s">
        <v>445</v>
      </c>
      <c r="DD123" s="59"/>
      <c r="DE123" s="59"/>
      <c r="DF123" s="59"/>
      <c r="DG123" s="59"/>
      <c r="DH123" s="59"/>
      <c r="DI123" s="59"/>
      <c r="DJ123" s="59"/>
      <c r="DK123" s="67" t="s">
        <v>579</v>
      </c>
      <c r="DL123" s="59"/>
      <c r="DM123" s="59"/>
      <c r="DN123" s="59"/>
      <c r="DO123" s="61"/>
      <c r="DP123" s="61"/>
      <c r="DQ123" s="61"/>
      <c r="DR123" s="61"/>
      <c r="DS123" s="59"/>
      <c r="DT123" s="59"/>
      <c r="DU123" s="59"/>
      <c r="DV123" s="59"/>
      <c r="DW123" s="59"/>
      <c r="DX123" s="59"/>
      <c r="DY123" s="59"/>
      <c r="DZ123" s="59"/>
      <c r="EA123" s="59"/>
      <c r="EB123" s="59"/>
      <c r="EC123" s="59"/>
      <c r="ED123" s="59"/>
      <c r="EE123" s="59"/>
      <c r="EF123" s="59"/>
      <c r="EG123" s="59"/>
      <c r="EH123" s="59"/>
      <c r="EI123" s="59"/>
      <c r="EJ123" s="59"/>
      <c r="EK123" s="59"/>
      <c r="EL123" s="59"/>
      <c r="EM123" s="59"/>
      <c r="EN123" s="59"/>
      <c r="EO123" s="59"/>
      <c r="EP123" s="59"/>
      <c r="EQ123" s="59"/>
      <c r="ER123" s="59"/>
      <c r="ES123" s="59"/>
      <c r="ET123" s="59"/>
      <c r="EU123" s="59"/>
      <c r="EV123" s="59"/>
      <c r="EW123" s="59"/>
      <c r="EX123" s="59"/>
      <c r="EY123" s="59"/>
      <c r="EZ123" s="59"/>
      <c r="FA123" s="59"/>
      <c r="FB123" s="59"/>
      <c r="FC123" s="59"/>
      <c r="FD123" s="71" t="s">
        <v>615</v>
      </c>
      <c r="FE123" s="59">
        <v>42</v>
      </c>
      <c r="FF123" s="59"/>
      <c r="FG123" s="73" t="s">
        <v>616</v>
      </c>
      <c r="FH123" s="6" t="s">
        <v>624</v>
      </c>
      <c r="FR123" t="s">
        <v>623</v>
      </c>
      <c r="FT123" s="59"/>
      <c r="FU123" s="6" t="s">
        <v>27</v>
      </c>
      <c r="FV123" s="52" t="s">
        <v>420</v>
      </c>
      <c r="FW123" s="59"/>
      <c r="FX123" s="59"/>
      <c r="FY123" s="59"/>
      <c r="FZ123" s="59"/>
      <c r="GA123" s="59"/>
      <c r="GB123" s="59"/>
      <c r="GC123" s="59"/>
      <c r="GD123" s="59"/>
      <c r="GE123" s="59"/>
      <c r="GF123" s="59" t="s">
        <v>587</v>
      </c>
      <c r="GG123" s="59" t="s">
        <v>510</v>
      </c>
      <c r="GH123" s="80" t="s">
        <v>703</v>
      </c>
      <c r="GI123" s="60" t="s">
        <v>511</v>
      </c>
      <c r="GJ123" s="79">
        <v>3.0325859626239016E-2</v>
      </c>
      <c r="GK123" s="59"/>
      <c r="GL123" s="59"/>
      <c r="GM123" s="59">
        <v>4</v>
      </c>
      <c r="GN123" t="s">
        <v>629</v>
      </c>
      <c r="GO123" s="59" t="s">
        <v>154</v>
      </c>
      <c r="GP123">
        <v>1997</v>
      </c>
      <c r="GQ123" s="59"/>
      <c r="GR123" s="59"/>
      <c r="GS123" s="71" t="s">
        <v>571</v>
      </c>
      <c r="GT123" s="59"/>
      <c r="GU123" t="s">
        <v>644</v>
      </c>
    </row>
    <row r="124" spans="1:203" ht="15" thickBot="1">
      <c r="A124" s="25" t="s">
        <v>550</v>
      </c>
      <c r="C124" t="s">
        <v>549</v>
      </c>
      <c r="E124" t="s">
        <v>16</v>
      </c>
      <c r="F124" s="6" t="s">
        <v>592</v>
      </c>
      <c r="G124" t="s">
        <v>591</v>
      </c>
      <c r="H124" s="6" t="s">
        <v>4</v>
      </c>
      <c r="I124" s="59" t="s">
        <v>154</v>
      </c>
      <c r="J124" s="59" t="s">
        <v>389</v>
      </c>
      <c r="K124" s="9">
        <v>0.1</v>
      </c>
      <c r="L124" s="9">
        <v>34.566667000000002</v>
      </c>
      <c r="M124" s="30" t="s">
        <v>31</v>
      </c>
      <c r="N124" t="s">
        <v>551</v>
      </c>
      <c r="O124">
        <v>100</v>
      </c>
      <c r="Q124">
        <v>4</v>
      </c>
      <c r="R124" t="s">
        <v>593</v>
      </c>
      <c r="S124">
        <v>1994</v>
      </c>
      <c r="T124">
        <v>1998</v>
      </c>
      <c r="U124" t="s">
        <v>590</v>
      </c>
      <c r="V124" t="s">
        <v>558</v>
      </c>
      <c r="W124" t="s">
        <v>588</v>
      </c>
      <c r="X124" s="9" t="s">
        <v>552</v>
      </c>
      <c r="Y124" t="s">
        <v>478</v>
      </c>
      <c r="Z124" s="59" t="s">
        <v>43</v>
      </c>
      <c r="AA124" t="s">
        <v>559</v>
      </c>
      <c r="AB124" s="60" t="s">
        <v>415</v>
      </c>
      <c r="AC124" s="31">
        <v>53000</v>
      </c>
      <c r="AD124" t="s">
        <v>98</v>
      </c>
      <c r="AO124" t="s">
        <v>47</v>
      </c>
      <c r="AP124" s="60" t="s">
        <v>415</v>
      </c>
      <c r="AQ124" s="31">
        <v>53000</v>
      </c>
      <c r="AX124" t="s">
        <v>574</v>
      </c>
      <c r="AZ124" s="60" t="s">
        <v>398</v>
      </c>
      <c r="BA124">
        <v>1994</v>
      </c>
      <c r="BB124">
        <v>1998</v>
      </c>
      <c r="BL124" s="60"/>
      <c r="BM124" t="s">
        <v>563</v>
      </c>
      <c r="BN124" s="67" t="s">
        <v>561</v>
      </c>
      <c r="BO124" s="30"/>
      <c r="BQ124">
        <v>1995</v>
      </c>
      <c r="BR124" t="s">
        <v>560</v>
      </c>
      <c r="BS124" s="60" t="s">
        <v>416</v>
      </c>
      <c r="BT124" s="30" t="s">
        <v>572</v>
      </c>
      <c r="BU124" s="50" t="s">
        <v>28</v>
      </c>
      <c r="BV124" s="30"/>
      <c r="BX124" s="30" t="s">
        <v>31</v>
      </c>
      <c r="BY124" s="30" t="s">
        <v>31</v>
      </c>
      <c r="BZ124" s="30" t="s">
        <v>31</v>
      </c>
      <c r="CA124" s="30" t="s">
        <v>31</v>
      </c>
      <c r="CB124" s="30" t="s">
        <v>31</v>
      </c>
      <c r="CC124" s="30" t="s">
        <v>31</v>
      </c>
      <c r="CD124" s="30" t="s">
        <v>31</v>
      </c>
      <c r="CE124" s="30" t="s">
        <v>31</v>
      </c>
      <c r="CF124" s="30" t="s">
        <v>31</v>
      </c>
      <c r="CH124" s="50" t="s">
        <v>39</v>
      </c>
      <c r="CM124" s="66" t="s">
        <v>440</v>
      </c>
      <c r="CN124">
        <v>0</v>
      </c>
      <c r="CW124" s="30"/>
      <c r="DC124" s="67" t="s">
        <v>445</v>
      </c>
      <c r="DK124" s="72" t="s">
        <v>577</v>
      </c>
      <c r="DL124" s="56" t="s">
        <v>508</v>
      </c>
      <c r="DM124" s="30"/>
      <c r="DN124" s="30" t="s">
        <v>31</v>
      </c>
      <c r="DO124" s="30"/>
      <c r="DP124" s="30"/>
      <c r="DQ124" s="30"/>
      <c r="DR124" s="30"/>
      <c r="FC124" t="s">
        <v>154</v>
      </c>
      <c r="FD124" s="28" t="s">
        <v>615</v>
      </c>
      <c r="FE124">
        <v>42</v>
      </c>
      <c r="FG124" s="73" t="s">
        <v>616</v>
      </c>
      <c r="FH124" s="6" t="s">
        <v>630</v>
      </c>
      <c r="FR124" t="s">
        <v>631</v>
      </c>
      <c r="FU124" s="6" t="s">
        <v>27</v>
      </c>
      <c r="FV124" s="52" t="s">
        <v>420</v>
      </c>
      <c r="GG124" t="s">
        <v>510</v>
      </c>
      <c r="GH124" s="80" t="s">
        <v>704</v>
      </c>
      <c r="GI124" s="6" t="s">
        <v>511</v>
      </c>
      <c r="GJ124" s="8">
        <v>0.27494262741666997</v>
      </c>
      <c r="GM124">
        <v>4</v>
      </c>
      <c r="GN124" t="s">
        <v>632</v>
      </c>
      <c r="GO124" s="59" t="s">
        <v>154</v>
      </c>
      <c r="GP124">
        <v>1996</v>
      </c>
      <c r="GS124" s="71" t="s">
        <v>560</v>
      </c>
      <c r="GU124" t="s">
        <v>643</v>
      </c>
    </row>
    <row r="125" spans="1:203" ht="15" thickBot="1">
      <c r="A125" s="25" t="s">
        <v>550</v>
      </c>
      <c r="C125" t="s">
        <v>549</v>
      </c>
      <c r="E125" t="s">
        <v>16</v>
      </c>
      <c r="F125" s="6" t="s">
        <v>592</v>
      </c>
      <c r="G125" t="s">
        <v>591</v>
      </c>
      <c r="H125" s="6" t="s">
        <v>4</v>
      </c>
      <c r="I125" s="59" t="s">
        <v>154</v>
      </c>
      <c r="J125" s="59" t="s">
        <v>389</v>
      </c>
      <c r="K125" s="9">
        <v>0.1</v>
      </c>
      <c r="L125" s="9">
        <v>34.566667000000002</v>
      </c>
      <c r="M125" s="30" t="s">
        <v>31</v>
      </c>
      <c r="N125" t="s">
        <v>551</v>
      </c>
      <c r="O125">
        <v>100</v>
      </c>
      <c r="Q125">
        <v>4</v>
      </c>
      <c r="R125" t="s">
        <v>593</v>
      </c>
      <c r="S125">
        <v>1994</v>
      </c>
      <c r="T125">
        <v>1998</v>
      </c>
      <c r="U125" t="s">
        <v>590</v>
      </c>
      <c r="V125" t="s">
        <v>558</v>
      </c>
      <c r="W125" t="s">
        <v>588</v>
      </c>
      <c r="X125" s="9" t="s">
        <v>554</v>
      </c>
      <c r="Y125" t="s">
        <v>479</v>
      </c>
      <c r="Z125" s="59" t="s">
        <v>43</v>
      </c>
      <c r="AA125" t="s">
        <v>559</v>
      </c>
      <c r="AB125" s="60" t="s">
        <v>415</v>
      </c>
      <c r="AC125" s="31">
        <v>53000</v>
      </c>
      <c r="AD125" t="s">
        <v>98</v>
      </c>
      <c r="AO125" t="s">
        <v>47</v>
      </c>
      <c r="AP125" s="60" t="s">
        <v>415</v>
      </c>
      <c r="AQ125" s="31">
        <v>53000</v>
      </c>
      <c r="AX125" t="s">
        <v>574</v>
      </c>
      <c r="AZ125" s="60" t="s">
        <v>398</v>
      </c>
      <c r="BA125">
        <v>1994</v>
      </c>
      <c r="BB125">
        <v>1998</v>
      </c>
      <c r="BL125" s="60"/>
      <c r="BM125" t="s">
        <v>564</v>
      </c>
      <c r="BN125" s="67" t="s">
        <v>562</v>
      </c>
      <c r="BO125" s="30"/>
      <c r="BQ125">
        <v>1994</v>
      </c>
      <c r="BR125" t="s">
        <v>571</v>
      </c>
      <c r="BS125" s="60" t="s">
        <v>416</v>
      </c>
      <c r="BT125" s="30" t="s">
        <v>573</v>
      </c>
      <c r="BU125" s="50" t="s">
        <v>28</v>
      </c>
      <c r="BV125" s="30"/>
      <c r="BX125" s="30" t="s">
        <v>31</v>
      </c>
      <c r="BY125" s="30" t="s">
        <v>31</v>
      </c>
      <c r="BZ125" s="30" t="s">
        <v>31</v>
      </c>
      <c r="CA125" s="30" t="s">
        <v>31</v>
      </c>
      <c r="CB125" s="30" t="s">
        <v>31</v>
      </c>
      <c r="CC125" s="30" t="s">
        <v>31</v>
      </c>
      <c r="CD125" s="30" t="s">
        <v>31</v>
      </c>
      <c r="CE125" s="30" t="s">
        <v>31</v>
      </c>
      <c r="CF125" s="30" t="s">
        <v>31</v>
      </c>
      <c r="CH125" s="50" t="s">
        <v>39</v>
      </c>
      <c r="CM125" s="66" t="s">
        <v>440</v>
      </c>
      <c r="CN125">
        <v>0</v>
      </c>
      <c r="CW125" s="30"/>
      <c r="DC125" s="67" t="s">
        <v>445</v>
      </c>
      <c r="DK125" s="72" t="s">
        <v>577</v>
      </c>
      <c r="DL125" s="56" t="s">
        <v>508</v>
      </c>
      <c r="DM125" s="30"/>
      <c r="DN125" s="30" t="s">
        <v>31</v>
      </c>
      <c r="DO125" s="30"/>
      <c r="DP125" s="30"/>
      <c r="DQ125" s="30"/>
      <c r="DR125" s="30"/>
      <c r="FC125" t="s">
        <v>154</v>
      </c>
      <c r="FD125" s="29" t="s">
        <v>615</v>
      </c>
      <c r="FE125">
        <v>42</v>
      </c>
      <c r="FG125" s="73" t="s">
        <v>616</v>
      </c>
      <c r="FH125" s="6" t="s">
        <v>630</v>
      </c>
      <c r="FR125" t="s">
        <v>631</v>
      </c>
      <c r="FU125" s="6" t="s">
        <v>27</v>
      </c>
      <c r="FV125" s="52" t="s">
        <v>420</v>
      </c>
      <c r="GG125" t="s">
        <v>510</v>
      </c>
      <c r="GH125" s="80" t="s">
        <v>705</v>
      </c>
      <c r="GI125" s="6" t="s">
        <v>511</v>
      </c>
      <c r="GJ125" s="8">
        <v>0.29593796606625</v>
      </c>
      <c r="GM125">
        <v>4</v>
      </c>
      <c r="GN125" t="s">
        <v>632</v>
      </c>
      <c r="GO125" s="59" t="s">
        <v>154</v>
      </c>
      <c r="GP125">
        <v>1996</v>
      </c>
      <c r="GS125" s="71" t="s">
        <v>560</v>
      </c>
      <c r="GU125" t="s">
        <v>643</v>
      </c>
    </row>
    <row r="126" spans="1:203" ht="15" thickBot="1">
      <c r="A126" s="25" t="s">
        <v>550</v>
      </c>
      <c r="C126" t="s">
        <v>549</v>
      </c>
      <c r="E126" t="s">
        <v>16</v>
      </c>
      <c r="F126" s="6" t="s">
        <v>592</v>
      </c>
      <c r="G126" t="s">
        <v>591</v>
      </c>
      <c r="H126" s="6" t="s">
        <v>4</v>
      </c>
      <c r="I126" s="59" t="s">
        <v>154</v>
      </c>
      <c r="J126" s="59" t="s">
        <v>389</v>
      </c>
      <c r="K126" s="9">
        <v>0.1</v>
      </c>
      <c r="L126" s="9">
        <v>34.566667000000002</v>
      </c>
      <c r="M126" s="30" t="s">
        <v>31</v>
      </c>
      <c r="N126" t="s">
        <v>551</v>
      </c>
      <c r="O126">
        <v>100</v>
      </c>
      <c r="Q126">
        <v>4</v>
      </c>
      <c r="R126" t="s">
        <v>593</v>
      </c>
      <c r="S126">
        <v>1994</v>
      </c>
      <c r="T126">
        <v>1998</v>
      </c>
      <c r="U126" t="s">
        <v>590</v>
      </c>
      <c r="V126" t="s">
        <v>558</v>
      </c>
      <c r="W126" t="s">
        <v>589</v>
      </c>
      <c r="X126" s="9" t="s">
        <v>553</v>
      </c>
      <c r="Y126" t="s">
        <v>480</v>
      </c>
      <c r="Z126" s="59" t="s">
        <v>43</v>
      </c>
      <c r="AA126" t="s">
        <v>559</v>
      </c>
      <c r="AB126" s="60" t="s">
        <v>415</v>
      </c>
      <c r="AC126" s="31">
        <v>53000</v>
      </c>
      <c r="AP126" s="60"/>
      <c r="AQ126" s="31"/>
      <c r="AX126" t="s">
        <v>574</v>
      </c>
      <c r="AZ126" s="60" t="s">
        <v>398</v>
      </c>
      <c r="BA126">
        <v>1994</v>
      </c>
      <c r="BB126">
        <v>1998</v>
      </c>
      <c r="BM126" t="s">
        <v>565</v>
      </c>
      <c r="BN126" s="49" t="s">
        <v>566</v>
      </c>
      <c r="BO126" s="30"/>
      <c r="BQ126">
        <v>1995</v>
      </c>
      <c r="BR126" t="s">
        <v>571</v>
      </c>
      <c r="BS126" s="60" t="s">
        <v>416</v>
      </c>
      <c r="BT126" s="30" t="s">
        <v>569</v>
      </c>
      <c r="BU126" s="30" t="s">
        <v>575</v>
      </c>
      <c r="BV126" s="30"/>
      <c r="CH126" s="50" t="s">
        <v>39</v>
      </c>
      <c r="CM126" s="66" t="s">
        <v>440</v>
      </c>
      <c r="CN126">
        <v>0</v>
      </c>
      <c r="CW126" s="30"/>
      <c r="DC126" s="67" t="s">
        <v>445</v>
      </c>
      <c r="DK126" s="67" t="s">
        <v>579</v>
      </c>
      <c r="DL126" s="30"/>
      <c r="DM126" s="30"/>
      <c r="DN126" s="30"/>
      <c r="DO126" s="30"/>
      <c r="DP126" s="30"/>
      <c r="DQ126" s="30"/>
      <c r="DR126" s="30"/>
      <c r="FC126" t="s">
        <v>154</v>
      </c>
      <c r="FD126" s="28" t="s">
        <v>615</v>
      </c>
      <c r="FE126">
        <v>42</v>
      </c>
      <c r="FG126" s="73" t="s">
        <v>616</v>
      </c>
      <c r="FH126" s="6" t="s">
        <v>630</v>
      </c>
      <c r="FR126" t="s">
        <v>631</v>
      </c>
      <c r="FU126" s="6" t="s">
        <v>27</v>
      </c>
      <c r="FV126" s="52" t="s">
        <v>420</v>
      </c>
      <c r="GG126" t="s">
        <v>510</v>
      </c>
      <c r="GH126" s="80" t="s">
        <v>706</v>
      </c>
      <c r="GI126" s="6" t="s">
        <v>511</v>
      </c>
      <c r="GJ126" s="8">
        <v>0.27509672164527998</v>
      </c>
      <c r="GM126">
        <v>4</v>
      </c>
      <c r="GN126" t="s">
        <v>632</v>
      </c>
      <c r="GO126" s="59" t="s">
        <v>154</v>
      </c>
      <c r="GP126">
        <v>1996</v>
      </c>
      <c r="GS126" s="71" t="s">
        <v>560</v>
      </c>
      <c r="GU126" t="s">
        <v>643</v>
      </c>
    </row>
    <row r="127" spans="1:203" ht="15" thickBot="1">
      <c r="A127" s="25" t="s">
        <v>550</v>
      </c>
      <c r="C127" t="s">
        <v>549</v>
      </c>
      <c r="E127" t="s">
        <v>16</v>
      </c>
      <c r="F127" s="6" t="s">
        <v>592</v>
      </c>
      <c r="G127" t="s">
        <v>591</v>
      </c>
      <c r="H127" s="6" t="s">
        <v>4</v>
      </c>
      <c r="I127" s="59" t="s">
        <v>154</v>
      </c>
      <c r="J127" s="59" t="s">
        <v>389</v>
      </c>
      <c r="K127" s="9">
        <v>0.1</v>
      </c>
      <c r="L127" s="9">
        <v>34.566667000000002</v>
      </c>
      <c r="M127" s="30" t="s">
        <v>31</v>
      </c>
      <c r="N127" t="s">
        <v>551</v>
      </c>
      <c r="O127">
        <v>100</v>
      </c>
      <c r="Q127">
        <v>4</v>
      </c>
      <c r="R127" t="s">
        <v>593</v>
      </c>
      <c r="S127">
        <v>1994</v>
      </c>
      <c r="T127">
        <v>1998</v>
      </c>
      <c r="U127" t="s">
        <v>590</v>
      </c>
      <c r="V127" t="s">
        <v>558</v>
      </c>
      <c r="W127" t="s">
        <v>589</v>
      </c>
      <c r="X127" s="9" t="s">
        <v>555</v>
      </c>
      <c r="Y127" t="s">
        <v>481</v>
      </c>
      <c r="Z127" s="59" t="s">
        <v>43</v>
      </c>
      <c r="AA127" t="s">
        <v>559</v>
      </c>
      <c r="AB127" s="60" t="s">
        <v>415</v>
      </c>
      <c r="AC127" s="31">
        <v>53000</v>
      </c>
      <c r="AP127" s="60"/>
      <c r="AQ127" s="31"/>
      <c r="AX127" t="s">
        <v>574</v>
      </c>
      <c r="AZ127" s="60" t="s">
        <v>398</v>
      </c>
      <c r="BA127">
        <v>1994</v>
      </c>
      <c r="BB127">
        <v>1998</v>
      </c>
      <c r="BM127" t="s">
        <v>567</v>
      </c>
      <c r="BN127" s="49" t="s">
        <v>568</v>
      </c>
      <c r="BO127" s="30"/>
      <c r="BQ127">
        <v>1994</v>
      </c>
      <c r="BR127" t="s">
        <v>571</v>
      </c>
      <c r="BS127" s="60" t="s">
        <v>416</v>
      </c>
      <c r="BT127" s="30" t="s">
        <v>569</v>
      </c>
      <c r="BU127" s="30" t="s">
        <v>575</v>
      </c>
      <c r="BV127" s="30"/>
      <c r="CH127" s="50" t="s">
        <v>39</v>
      </c>
      <c r="CM127" s="66" t="s">
        <v>440</v>
      </c>
      <c r="CN127">
        <v>0</v>
      </c>
      <c r="CW127" s="30"/>
      <c r="DC127" s="67" t="s">
        <v>445</v>
      </c>
      <c r="DK127" s="67" t="s">
        <v>579</v>
      </c>
      <c r="DO127" s="30"/>
      <c r="DP127" s="30"/>
      <c r="DQ127" s="30"/>
      <c r="DR127" s="30"/>
      <c r="FC127" t="s">
        <v>154</v>
      </c>
      <c r="FD127" s="29" t="s">
        <v>615</v>
      </c>
      <c r="FE127">
        <v>42</v>
      </c>
      <c r="FG127" s="73" t="s">
        <v>616</v>
      </c>
      <c r="FH127" s="6" t="s">
        <v>630</v>
      </c>
      <c r="FR127" t="s">
        <v>631</v>
      </c>
      <c r="FU127" s="6" t="s">
        <v>27</v>
      </c>
      <c r="FV127" s="52" t="s">
        <v>420</v>
      </c>
      <c r="GG127" t="s">
        <v>510</v>
      </c>
      <c r="GH127" s="80" t="s">
        <v>707</v>
      </c>
      <c r="GI127" s="6" t="s">
        <v>511</v>
      </c>
      <c r="GJ127" s="8">
        <v>0.38076683892200025</v>
      </c>
      <c r="GM127">
        <v>4</v>
      </c>
      <c r="GN127" t="s">
        <v>632</v>
      </c>
      <c r="GO127" s="59" t="s">
        <v>154</v>
      </c>
      <c r="GP127">
        <v>1996</v>
      </c>
      <c r="GS127" s="71" t="s">
        <v>560</v>
      </c>
      <c r="GU127" t="s">
        <v>643</v>
      </c>
    </row>
    <row r="128" spans="1:203" ht="15" thickBot="1">
      <c r="A128" s="25" t="s">
        <v>550</v>
      </c>
      <c r="C128" t="s">
        <v>549</v>
      </c>
      <c r="E128" t="s">
        <v>16</v>
      </c>
      <c r="F128" s="6" t="s">
        <v>592</v>
      </c>
      <c r="G128" t="s">
        <v>591</v>
      </c>
      <c r="H128" s="6" t="s">
        <v>4</v>
      </c>
      <c r="I128" s="59" t="s">
        <v>154</v>
      </c>
      <c r="J128" s="59" t="s">
        <v>389</v>
      </c>
      <c r="K128" s="9">
        <v>0.1</v>
      </c>
      <c r="L128" s="9">
        <v>34.566667000000002</v>
      </c>
      <c r="M128" s="30" t="s">
        <v>31</v>
      </c>
      <c r="N128" t="s">
        <v>551</v>
      </c>
      <c r="O128">
        <v>100</v>
      </c>
      <c r="Q128">
        <v>4</v>
      </c>
      <c r="R128" t="s">
        <v>593</v>
      </c>
      <c r="S128">
        <v>1994</v>
      </c>
      <c r="T128">
        <v>1998</v>
      </c>
      <c r="U128" t="s">
        <v>590</v>
      </c>
      <c r="V128" t="s">
        <v>36</v>
      </c>
      <c r="W128" t="s">
        <v>36</v>
      </c>
      <c r="X128" s="9" t="s">
        <v>556</v>
      </c>
      <c r="Y128" t="s">
        <v>476</v>
      </c>
      <c r="Z128" s="59" t="s">
        <v>43</v>
      </c>
      <c r="AA128" t="s">
        <v>559</v>
      </c>
      <c r="AB128" s="60" t="s">
        <v>415</v>
      </c>
      <c r="AC128" s="31">
        <v>53000</v>
      </c>
      <c r="AX128" t="s">
        <v>574</v>
      </c>
      <c r="AZ128" s="60" t="s">
        <v>398</v>
      </c>
      <c r="BA128">
        <v>1994</v>
      </c>
      <c r="BB128">
        <v>1998</v>
      </c>
      <c r="BM128" t="s">
        <v>569</v>
      </c>
      <c r="BN128" s="49" t="s">
        <v>36</v>
      </c>
      <c r="BO128" s="30"/>
      <c r="BS128" s="60" t="s">
        <v>416</v>
      </c>
      <c r="BT128" s="30" t="s">
        <v>569</v>
      </c>
      <c r="BU128" s="30" t="s">
        <v>575</v>
      </c>
      <c r="BV128" s="30"/>
      <c r="CH128" s="50" t="s">
        <v>39</v>
      </c>
      <c r="CM128" s="66" t="s">
        <v>440</v>
      </c>
      <c r="CN128">
        <v>0</v>
      </c>
      <c r="CW128" s="30"/>
      <c r="DC128" s="67" t="s">
        <v>445</v>
      </c>
      <c r="DK128" s="67" t="s">
        <v>579</v>
      </c>
      <c r="DO128" s="30"/>
      <c r="DP128" s="30"/>
      <c r="DQ128" s="30"/>
      <c r="DR128" s="30"/>
      <c r="FD128" s="28" t="s">
        <v>615</v>
      </c>
      <c r="FE128">
        <v>42</v>
      </c>
      <c r="FG128" s="73" t="s">
        <v>616</v>
      </c>
      <c r="FH128" s="6" t="s">
        <v>630</v>
      </c>
      <c r="FR128" t="s">
        <v>631</v>
      </c>
      <c r="FU128" s="6" t="s">
        <v>27</v>
      </c>
      <c r="FV128" s="52" t="s">
        <v>420</v>
      </c>
      <c r="GF128" t="s">
        <v>514</v>
      </c>
      <c r="GG128" t="s">
        <v>510</v>
      </c>
      <c r="GH128" s="80" t="s">
        <v>708</v>
      </c>
      <c r="GI128" s="6" t="s">
        <v>511</v>
      </c>
      <c r="GJ128" s="8">
        <v>0.29601501318055989</v>
      </c>
      <c r="GM128">
        <v>4</v>
      </c>
      <c r="GN128" t="s">
        <v>632</v>
      </c>
      <c r="GO128" s="59" t="s">
        <v>154</v>
      </c>
      <c r="GP128">
        <v>1996</v>
      </c>
      <c r="GS128" s="71" t="s">
        <v>560</v>
      </c>
      <c r="GU128" t="s">
        <v>643</v>
      </c>
    </row>
    <row r="129" spans="1:203" ht="15" thickBot="1">
      <c r="A129" s="25" t="s">
        <v>550</v>
      </c>
      <c r="C129" t="s">
        <v>549</v>
      </c>
      <c r="E129" t="s">
        <v>16</v>
      </c>
      <c r="F129" s="6" t="s">
        <v>592</v>
      </c>
      <c r="G129" t="s">
        <v>591</v>
      </c>
      <c r="H129" s="6" t="s">
        <v>4</v>
      </c>
      <c r="I129" s="59" t="s">
        <v>154</v>
      </c>
      <c r="J129" s="59" t="s">
        <v>389</v>
      </c>
      <c r="K129" s="9">
        <v>0.1</v>
      </c>
      <c r="L129" s="9">
        <v>34.566667000000002</v>
      </c>
      <c r="M129" s="30" t="s">
        <v>31</v>
      </c>
      <c r="N129" t="s">
        <v>551</v>
      </c>
      <c r="O129">
        <v>100</v>
      </c>
      <c r="Q129">
        <v>4</v>
      </c>
      <c r="R129" t="s">
        <v>593</v>
      </c>
      <c r="S129">
        <v>1994</v>
      </c>
      <c r="T129">
        <v>1998</v>
      </c>
      <c r="U129" t="s">
        <v>590</v>
      </c>
      <c r="V129" t="s">
        <v>36</v>
      </c>
      <c r="W129" t="s">
        <v>36</v>
      </c>
      <c r="X129" s="9" t="s">
        <v>557</v>
      </c>
      <c r="Y129" t="s">
        <v>477</v>
      </c>
      <c r="Z129" s="59" t="s">
        <v>43</v>
      </c>
      <c r="AA129" t="s">
        <v>559</v>
      </c>
      <c r="AB129" s="60" t="s">
        <v>415</v>
      </c>
      <c r="AC129" s="31">
        <v>53000</v>
      </c>
      <c r="AX129" t="s">
        <v>574</v>
      </c>
      <c r="AZ129" s="60" t="s">
        <v>398</v>
      </c>
      <c r="BA129">
        <v>1994</v>
      </c>
      <c r="BB129">
        <v>1998</v>
      </c>
      <c r="BM129" t="s">
        <v>570</v>
      </c>
      <c r="BN129" s="49" t="s">
        <v>36</v>
      </c>
      <c r="BO129" s="30"/>
      <c r="BS129" s="60" t="s">
        <v>416</v>
      </c>
      <c r="BT129" s="30" t="s">
        <v>576</v>
      </c>
      <c r="BU129" s="30" t="s">
        <v>575</v>
      </c>
      <c r="BV129" s="30"/>
      <c r="CG129" t="s">
        <v>570</v>
      </c>
      <c r="CH129" t="s">
        <v>37</v>
      </c>
      <c r="CI129" s="65" t="s">
        <v>439</v>
      </c>
      <c r="CM129" s="66" t="s">
        <v>440</v>
      </c>
      <c r="CN129">
        <v>60</v>
      </c>
      <c r="CQ129">
        <v>60</v>
      </c>
      <c r="CW129" s="30"/>
      <c r="DC129" s="67" t="s">
        <v>445</v>
      </c>
      <c r="DK129" s="67" t="s">
        <v>579</v>
      </c>
      <c r="DO129" s="30"/>
      <c r="DP129" s="30"/>
      <c r="DQ129" s="30"/>
      <c r="DR129" s="30"/>
      <c r="FD129" s="29" t="s">
        <v>615</v>
      </c>
      <c r="FE129">
        <v>42</v>
      </c>
      <c r="FG129" s="73" t="s">
        <v>616</v>
      </c>
      <c r="FH129" s="6" t="s">
        <v>630</v>
      </c>
      <c r="FR129" t="s">
        <v>631</v>
      </c>
      <c r="FU129" s="6" t="s">
        <v>27</v>
      </c>
      <c r="FV129" s="52" t="s">
        <v>420</v>
      </c>
      <c r="GF129" t="s">
        <v>587</v>
      </c>
      <c r="GG129" t="s">
        <v>510</v>
      </c>
      <c r="GH129" s="80" t="s">
        <v>709</v>
      </c>
      <c r="GI129" s="6" t="s">
        <v>511</v>
      </c>
      <c r="GJ129" s="8">
        <v>0.16911841591132992</v>
      </c>
      <c r="GM129">
        <v>4</v>
      </c>
      <c r="GN129" t="s">
        <v>632</v>
      </c>
      <c r="GO129" s="59" t="s">
        <v>154</v>
      </c>
      <c r="GP129">
        <v>1996</v>
      </c>
      <c r="GS129" s="71" t="s">
        <v>560</v>
      </c>
      <c r="GU129" t="s">
        <v>643</v>
      </c>
    </row>
    <row r="130" spans="1:203" ht="15" thickBot="1">
      <c r="A130" s="25" t="s">
        <v>550</v>
      </c>
      <c r="C130" t="s">
        <v>549</v>
      </c>
      <c r="E130" t="s">
        <v>16</v>
      </c>
      <c r="F130" s="6" t="s">
        <v>592</v>
      </c>
      <c r="G130" t="s">
        <v>591</v>
      </c>
      <c r="H130" s="6" t="s">
        <v>4</v>
      </c>
      <c r="I130" s="59" t="s">
        <v>154</v>
      </c>
      <c r="J130" s="59" t="s">
        <v>389</v>
      </c>
      <c r="K130" s="9">
        <v>0.1</v>
      </c>
      <c r="L130" s="9">
        <v>34.566667000000002</v>
      </c>
      <c r="M130" s="30" t="s">
        <v>31</v>
      </c>
      <c r="N130" t="s">
        <v>551</v>
      </c>
      <c r="O130">
        <v>100</v>
      </c>
      <c r="Q130">
        <v>4</v>
      </c>
      <c r="R130" t="s">
        <v>593</v>
      </c>
      <c r="S130">
        <v>1994</v>
      </c>
      <c r="T130">
        <v>1998</v>
      </c>
      <c r="U130" t="s">
        <v>590</v>
      </c>
      <c r="V130" t="s">
        <v>558</v>
      </c>
      <c r="W130" t="s">
        <v>588</v>
      </c>
      <c r="X130" s="9" t="s">
        <v>552</v>
      </c>
      <c r="Y130" t="s">
        <v>478</v>
      </c>
      <c r="Z130" s="59" t="s">
        <v>43</v>
      </c>
      <c r="AA130" t="s">
        <v>559</v>
      </c>
      <c r="AB130" s="60" t="s">
        <v>415</v>
      </c>
      <c r="AC130" s="31">
        <v>53000</v>
      </c>
      <c r="AD130" t="s">
        <v>98</v>
      </c>
      <c r="AO130" t="s">
        <v>47</v>
      </c>
      <c r="AP130" s="60" t="s">
        <v>415</v>
      </c>
      <c r="AQ130" s="31">
        <v>53000</v>
      </c>
      <c r="AX130" t="s">
        <v>574</v>
      </c>
      <c r="AZ130" s="60" t="s">
        <v>398</v>
      </c>
      <c r="BA130">
        <v>1994</v>
      </c>
      <c r="BB130">
        <v>1998</v>
      </c>
      <c r="BL130" s="60"/>
      <c r="BM130" t="s">
        <v>563</v>
      </c>
      <c r="BN130" s="67" t="s">
        <v>561</v>
      </c>
      <c r="BO130" s="30"/>
      <c r="BQ130">
        <v>1995</v>
      </c>
      <c r="BR130" t="s">
        <v>560</v>
      </c>
      <c r="BS130" s="60" t="s">
        <v>416</v>
      </c>
      <c r="BT130" s="30" t="s">
        <v>572</v>
      </c>
      <c r="BU130" s="50" t="s">
        <v>28</v>
      </c>
      <c r="BV130" s="30"/>
      <c r="BX130" s="30" t="s">
        <v>31</v>
      </c>
      <c r="BY130" s="30" t="s">
        <v>31</v>
      </c>
      <c r="BZ130" s="30" t="s">
        <v>31</v>
      </c>
      <c r="CA130" s="30" t="s">
        <v>31</v>
      </c>
      <c r="CB130" s="30" t="s">
        <v>31</v>
      </c>
      <c r="CC130" s="30" t="s">
        <v>31</v>
      </c>
      <c r="CD130" s="30" t="s">
        <v>31</v>
      </c>
      <c r="CE130" s="30" t="s">
        <v>31</v>
      </c>
      <c r="CF130" s="30" t="s">
        <v>31</v>
      </c>
      <c r="CH130" s="50" t="s">
        <v>39</v>
      </c>
      <c r="CM130" s="66" t="s">
        <v>440</v>
      </c>
      <c r="CN130">
        <v>0</v>
      </c>
      <c r="CW130" s="30"/>
      <c r="DC130" s="67" t="s">
        <v>445</v>
      </c>
      <c r="DK130" s="72" t="s">
        <v>577</v>
      </c>
      <c r="DL130" s="56" t="s">
        <v>508</v>
      </c>
      <c r="DM130" s="30"/>
      <c r="DN130" s="30" t="s">
        <v>31</v>
      </c>
      <c r="DO130" s="30"/>
      <c r="DP130" s="30"/>
      <c r="DQ130" s="30"/>
      <c r="DR130" s="30"/>
      <c r="FC130" t="s">
        <v>154</v>
      </c>
      <c r="FD130" s="28" t="s">
        <v>615</v>
      </c>
      <c r="FE130">
        <v>42</v>
      </c>
      <c r="FG130" s="73" t="s">
        <v>616</v>
      </c>
      <c r="FH130" s="6" t="s">
        <v>630</v>
      </c>
      <c r="FR130" t="s">
        <v>631</v>
      </c>
      <c r="FU130" s="6" t="s">
        <v>27</v>
      </c>
      <c r="FV130" s="52" t="s">
        <v>420</v>
      </c>
      <c r="GG130" t="s">
        <v>510</v>
      </c>
      <c r="GH130" s="80" t="s">
        <v>710</v>
      </c>
      <c r="GI130" s="6" t="s">
        <v>511</v>
      </c>
      <c r="GJ130" s="8">
        <v>0.52888991618373993</v>
      </c>
      <c r="GM130">
        <v>4</v>
      </c>
      <c r="GN130" t="s">
        <v>633</v>
      </c>
      <c r="GO130" s="59" t="s">
        <v>154</v>
      </c>
      <c r="GP130">
        <v>1997</v>
      </c>
      <c r="GS130" s="71" t="s">
        <v>560</v>
      </c>
      <c r="GU130" t="s">
        <v>644</v>
      </c>
    </row>
    <row r="131" spans="1:203" ht="15" thickBot="1">
      <c r="A131" s="25" t="s">
        <v>550</v>
      </c>
      <c r="C131" t="s">
        <v>549</v>
      </c>
      <c r="E131" t="s">
        <v>16</v>
      </c>
      <c r="F131" s="6" t="s">
        <v>592</v>
      </c>
      <c r="G131" t="s">
        <v>591</v>
      </c>
      <c r="H131" s="6" t="s">
        <v>4</v>
      </c>
      <c r="I131" s="59" t="s">
        <v>154</v>
      </c>
      <c r="J131" s="59" t="s">
        <v>389</v>
      </c>
      <c r="K131" s="9">
        <v>0.1</v>
      </c>
      <c r="L131" s="9">
        <v>34.566667000000002</v>
      </c>
      <c r="M131" s="30" t="s">
        <v>31</v>
      </c>
      <c r="N131" t="s">
        <v>551</v>
      </c>
      <c r="O131">
        <v>100</v>
      </c>
      <c r="Q131">
        <v>4</v>
      </c>
      <c r="R131" t="s">
        <v>593</v>
      </c>
      <c r="S131">
        <v>1994</v>
      </c>
      <c r="T131">
        <v>1998</v>
      </c>
      <c r="U131" t="s">
        <v>590</v>
      </c>
      <c r="V131" t="s">
        <v>558</v>
      </c>
      <c r="W131" t="s">
        <v>588</v>
      </c>
      <c r="X131" s="9" t="s">
        <v>554</v>
      </c>
      <c r="Y131" t="s">
        <v>479</v>
      </c>
      <c r="Z131" s="59" t="s">
        <v>43</v>
      </c>
      <c r="AA131" t="s">
        <v>559</v>
      </c>
      <c r="AB131" s="60" t="s">
        <v>415</v>
      </c>
      <c r="AC131" s="31">
        <v>53000</v>
      </c>
      <c r="AD131" t="s">
        <v>98</v>
      </c>
      <c r="AO131" t="s">
        <v>47</v>
      </c>
      <c r="AP131" s="60" t="s">
        <v>415</v>
      </c>
      <c r="AQ131" s="31">
        <v>53000</v>
      </c>
      <c r="AX131" t="s">
        <v>574</v>
      </c>
      <c r="AZ131" s="60" t="s">
        <v>398</v>
      </c>
      <c r="BA131">
        <v>1994</v>
      </c>
      <c r="BB131">
        <v>1998</v>
      </c>
      <c r="BL131" s="60"/>
      <c r="BM131" t="s">
        <v>564</v>
      </c>
      <c r="BN131" s="67" t="s">
        <v>562</v>
      </c>
      <c r="BO131" s="30"/>
      <c r="BQ131">
        <v>1994</v>
      </c>
      <c r="BR131" t="s">
        <v>571</v>
      </c>
      <c r="BS131" s="60" t="s">
        <v>416</v>
      </c>
      <c r="BT131" s="30" t="s">
        <v>573</v>
      </c>
      <c r="BU131" s="50" t="s">
        <v>28</v>
      </c>
      <c r="BV131" s="30"/>
      <c r="BX131" s="30" t="s">
        <v>31</v>
      </c>
      <c r="BY131" s="30" t="s">
        <v>31</v>
      </c>
      <c r="BZ131" s="30" t="s">
        <v>31</v>
      </c>
      <c r="CA131" s="30" t="s">
        <v>31</v>
      </c>
      <c r="CB131" s="30" t="s">
        <v>31</v>
      </c>
      <c r="CC131" s="30" t="s">
        <v>31</v>
      </c>
      <c r="CD131" s="30" t="s">
        <v>31</v>
      </c>
      <c r="CE131" s="30" t="s">
        <v>31</v>
      </c>
      <c r="CF131" s="30" t="s">
        <v>31</v>
      </c>
      <c r="CH131" s="50" t="s">
        <v>39</v>
      </c>
      <c r="CM131" s="66" t="s">
        <v>440</v>
      </c>
      <c r="CN131">
        <v>0</v>
      </c>
      <c r="CW131" s="30"/>
      <c r="DC131" s="67" t="s">
        <v>445</v>
      </c>
      <c r="DK131" s="72" t="s">
        <v>577</v>
      </c>
      <c r="DL131" s="56" t="s">
        <v>508</v>
      </c>
      <c r="DM131" s="30"/>
      <c r="DN131" s="30" t="s">
        <v>31</v>
      </c>
      <c r="DO131" s="30"/>
      <c r="DP131" s="30"/>
      <c r="DQ131" s="30"/>
      <c r="DR131" s="30"/>
      <c r="FC131" t="s">
        <v>154</v>
      </c>
      <c r="FD131" s="29" t="s">
        <v>615</v>
      </c>
      <c r="FE131">
        <v>42</v>
      </c>
      <c r="FG131" s="73" t="s">
        <v>616</v>
      </c>
      <c r="FH131" s="6" t="s">
        <v>630</v>
      </c>
      <c r="FR131" t="s">
        <v>631</v>
      </c>
      <c r="FU131" s="6" t="s">
        <v>27</v>
      </c>
      <c r="FV131" s="52" t="s">
        <v>420</v>
      </c>
      <c r="GG131" t="s">
        <v>510</v>
      </c>
      <c r="GH131" s="80" t="s">
        <v>711</v>
      </c>
      <c r="GI131" s="6" t="s">
        <v>511</v>
      </c>
      <c r="GJ131" s="8">
        <v>0.29586091895194011</v>
      </c>
      <c r="GM131">
        <v>4</v>
      </c>
      <c r="GN131" t="s">
        <v>633</v>
      </c>
      <c r="GO131" s="59" t="s">
        <v>154</v>
      </c>
      <c r="GP131">
        <v>1997</v>
      </c>
      <c r="GS131" s="71" t="s">
        <v>560</v>
      </c>
      <c r="GU131" t="s">
        <v>644</v>
      </c>
    </row>
    <row r="132" spans="1:203" ht="15" thickBot="1">
      <c r="A132" s="25" t="s">
        <v>550</v>
      </c>
      <c r="C132" t="s">
        <v>549</v>
      </c>
      <c r="E132" t="s">
        <v>16</v>
      </c>
      <c r="F132" s="6" t="s">
        <v>592</v>
      </c>
      <c r="G132" t="s">
        <v>591</v>
      </c>
      <c r="H132" s="6" t="s">
        <v>4</v>
      </c>
      <c r="I132" s="59" t="s">
        <v>154</v>
      </c>
      <c r="J132" s="59" t="s">
        <v>389</v>
      </c>
      <c r="K132" s="9">
        <v>0.1</v>
      </c>
      <c r="L132" s="9">
        <v>34.566667000000002</v>
      </c>
      <c r="M132" s="30" t="s">
        <v>31</v>
      </c>
      <c r="N132" t="s">
        <v>551</v>
      </c>
      <c r="O132">
        <v>100</v>
      </c>
      <c r="Q132">
        <v>4</v>
      </c>
      <c r="R132" t="s">
        <v>593</v>
      </c>
      <c r="S132">
        <v>1994</v>
      </c>
      <c r="T132">
        <v>1998</v>
      </c>
      <c r="U132" t="s">
        <v>590</v>
      </c>
      <c r="V132" t="s">
        <v>558</v>
      </c>
      <c r="W132" t="s">
        <v>589</v>
      </c>
      <c r="X132" s="9" t="s">
        <v>553</v>
      </c>
      <c r="Y132" t="s">
        <v>480</v>
      </c>
      <c r="Z132" s="59" t="s">
        <v>43</v>
      </c>
      <c r="AA132" t="s">
        <v>559</v>
      </c>
      <c r="AB132" s="60" t="s">
        <v>415</v>
      </c>
      <c r="AC132" s="31">
        <v>53000</v>
      </c>
      <c r="AP132" s="60"/>
      <c r="AQ132" s="31"/>
      <c r="AX132" t="s">
        <v>574</v>
      </c>
      <c r="AZ132" s="60" t="s">
        <v>398</v>
      </c>
      <c r="BA132">
        <v>1994</v>
      </c>
      <c r="BB132">
        <v>1998</v>
      </c>
      <c r="BM132" t="s">
        <v>565</v>
      </c>
      <c r="BN132" s="49" t="s">
        <v>566</v>
      </c>
      <c r="BO132" s="30"/>
      <c r="BQ132">
        <v>1995</v>
      </c>
      <c r="BR132" t="s">
        <v>571</v>
      </c>
      <c r="BS132" s="60" t="s">
        <v>416</v>
      </c>
      <c r="BT132" s="30" t="s">
        <v>569</v>
      </c>
      <c r="BU132" s="30" t="s">
        <v>575</v>
      </c>
      <c r="BV132" s="30"/>
      <c r="CH132" s="50" t="s">
        <v>39</v>
      </c>
      <c r="CM132" s="66" t="s">
        <v>440</v>
      </c>
      <c r="CN132">
        <v>0</v>
      </c>
      <c r="CW132" s="30"/>
      <c r="DC132" s="67" t="s">
        <v>445</v>
      </c>
      <c r="DK132" s="67" t="s">
        <v>579</v>
      </c>
      <c r="DL132" s="30"/>
      <c r="DM132" s="30"/>
      <c r="DN132" s="30"/>
      <c r="DO132" s="30"/>
      <c r="DP132" s="30"/>
      <c r="DQ132" s="30"/>
      <c r="DR132" s="30"/>
      <c r="FC132" t="s">
        <v>154</v>
      </c>
      <c r="FD132" s="28" t="s">
        <v>615</v>
      </c>
      <c r="FE132">
        <v>42</v>
      </c>
      <c r="FG132" s="73" t="s">
        <v>616</v>
      </c>
      <c r="FH132" s="6" t="s">
        <v>630</v>
      </c>
      <c r="FR132" t="s">
        <v>631</v>
      </c>
      <c r="FU132" s="6" t="s">
        <v>27</v>
      </c>
      <c r="FV132" s="52" t="s">
        <v>420</v>
      </c>
      <c r="GG132" t="s">
        <v>510</v>
      </c>
      <c r="GH132" s="80" t="s">
        <v>712</v>
      </c>
      <c r="GI132" s="6" t="s">
        <v>511</v>
      </c>
      <c r="GJ132" s="8">
        <v>0.3595403589294901</v>
      </c>
      <c r="GM132">
        <v>4</v>
      </c>
      <c r="GN132" t="s">
        <v>633</v>
      </c>
      <c r="GO132" s="59" t="s">
        <v>154</v>
      </c>
      <c r="GP132">
        <v>1997</v>
      </c>
      <c r="GS132" s="71" t="s">
        <v>560</v>
      </c>
      <c r="GU132" t="s">
        <v>644</v>
      </c>
    </row>
    <row r="133" spans="1:203" ht="15" thickBot="1">
      <c r="A133" s="25" t="s">
        <v>550</v>
      </c>
      <c r="C133" t="s">
        <v>549</v>
      </c>
      <c r="E133" t="s">
        <v>16</v>
      </c>
      <c r="F133" s="6" t="s">
        <v>592</v>
      </c>
      <c r="G133" t="s">
        <v>591</v>
      </c>
      <c r="H133" s="6" t="s">
        <v>4</v>
      </c>
      <c r="I133" s="59" t="s">
        <v>154</v>
      </c>
      <c r="J133" s="59" t="s">
        <v>389</v>
      </c>
      <c r="K133" s="9">
        <v>0.1</v>
      </c>
      <c r="L133" s="9">
        <v>34.566667000000002</v>
      </c>
      <c r="M133" s="30" t="s">
        <v>31</v>
      </c>
      <c r="N133" t="s">
        <v>551</v>
      </c>
      <c r="O133">
        <v>100</v>
      </c>
      <c r="Q133">
        <v>4</v>
      </c>
      <c r="R133" t="s">
        <v>593</v>
      </c>
      <c r="S133">
        <v>1994</v>
      </c>
      <c r="T133">
        <v>1998</v>
      </c>
      <c r="U133" t="s">
        <v>590</v>
      </c>
      <c r="V133" t="s">
        <v>558</v>
      </c>
      <c r="W133" t="s">
        <v>589</v>
      </c>
      <c r="X133" s="9" t="s">
        <v>555</v>
      </c>
      <c r="Y133" t="s">
        <v>481</v>
      </c>
      <c r="Z133" s="59" t="s">
        <v>43</v>
      </c>
      <c r="AA133" t="s">
        <v>559</v>
      </c>
      <c r="AB133" s="60" t="s">
        <v>415</v>
      </c>
      <c r="AC133" s="31">
        <v>53000</v>
      </c>
      <c r="AP133" s="60"/>
      <c r="AQ133" s="31"/>
      <c r="AX133" t="s">
        <v>574</v>
      </c>
      <c r="AZ133" s="60" t="s">
        <v>398</v>
      </c>
      <c r="BA133">
        <v>1994</v>
      </c>
      <c r="BB133">
        <v>1998</v>
      </c>
      <c r="BM133" t="s">
        <v>567</v>
      </c>
      <c r="BN133" s="49" t="s">
        <v>568</v>
      </c>
      <c r="BO133" s="30"/>
      <c r="BQ133">
        <v>1994</v>
      </c>
      <c r="BR133" t="s">
        <v>571</v>
      </c>
      <c r="BS133" s="60" t="s">
        <v>416</v>
      </c>
      <c r="BT133" s="30" t="s">
        <v>569</v>
      </c>
      <c r="BU133" s="30" t="s">
        <v>575</v>
      </c>
      <c r="BV133" s="30"/>
      <c r="CH133" s="50" t="s">
        <v>39</v>
      </c>
      <c r="CM133" s="66" t="s">
        <v>440</v>
      </c>
      <c r="CN133">
        <v>0</v>
      </c>
      <c r="CW133" s="30"/>
      <c r="DC133" s="67" t="s">
        <v>445</v>
      </c>
      <c r="DK133" s="67" t="s">
        <v>579</v>
      </c>
      <c r="DO133" s="30"/>
      <c r="DP133" s="30"/>
      <c r="DQ133" s="30"/>
      <c r="DR133" s="30"/>
      <c r="FC133" t="s">
        <v>154</v>
      </c>
      <c r="FD133" s="29" t="s">
        <v>615</v>
      </c>
      <c r="FE133">
        <v>42</v>
      </c>
      <c r="FG133" s="73" t="s">
        <v>616</v>
      </c>
      <c r="FH133" s="6" t="s">
        <v>630</v>
      </c>
      <c r="FR133" t="s">
        <v>631</v>
      </c>
      <c r="FU133" s="6" t="s">
        <v>27</v>
      </c>
      <c r="FV133" s="52" t="s">
        <v>420</v>
      </c>
      <c r="GG133" t="s">
        <v>510</v>
      </c>
      <c r="GH133" s="80" t="s">
        <v>713</v>
      </c>
      <c r="GI133" s="6" t="s">
        <v>511</v>
      </c>
      <c r="GJ133" s="8">
        <v>0.48635990908440041</v>
      </c>
      <c r="GM133">
        <v>4</v>
      </c>
      <c r="GN133" t="s">
        <v>633</v>
      </c>
      <c r="GO133" s="59" t="s">
        <v>154</v>
      </c>
      <c r="GP133">
        <v>1997</v>
      </c>
      <c r="GS133" s="71" t="s">
        <v>560</v>
      </c>
      <c r="GU133" t="s">
        <v>644</v>
      </c>
    </row>
    <row r="134" spans="1:203" ht="15" thickBot="1">
      <c r="A134" s="25" t="s">
        <v>550</v>
      </c>
      <c r="C134" t="s">
        <v>549</v>
      </c>
      <c r="E134" t="s">
        <v>16</v>
      </c>
      <c r="F134" s="6" t="s">
        <v>592</v>
      </c>
      <c r="G134" t="s">
        <v>591</v>
      </c>
      <c r="H134" s="6" t="s">
        <v>4</v>
      </c>
      <c r="I134" s="59" t="s">
        <v>154</v>
      </c>
      <c r="J134" s="59" t="s">
        <v>389</v>
      </c>
      <c r="K134" s="9">
        <v>0.1</v>
      </c>
      <c r="L134" s="9">
        <v>34.566667000000002</v>
      </c>
      <c r="M134" s="30" t="s">
        <v>31</v>
      </c>
      <c r="N134" t="s">
        <v>551</v>
      </c>
      <c r="O134">
        <v>100</v>
      </c>
      <c r="Q134">
        <v>4</v>
      </c>
      <c r="R134" t="s">
        <v>593</v>
      </c>
      <c r="S134">
        <v>1994</v>
      </c>
      <c r="T134">
        <v>1998</v>
      </c>
      <c r="U134" t="s">
        <v>590</v>
      </c>
      <c r="V134" t="s">
        <v>36</v>
      </c>
      <c r="W134" t="s">
        <v>36</v>
      </c>
      <c r="X134" s="9" t="s">
        <v>556</v>
      </c>
      <c r="Y134" t="s">
        <v>476</v>
      </c>
      <c r="Z134" s="59" t="s">
        <v>43</v>
      </c>
      <c r="AA134" t="s">
        <v>559</v>
      </c>
      <c r="AB134" s="60" t="s">
        <v>415</v>
      </c>
      <c r="AC134" s="31">
        <v>53000</v>
      </c>
      <c r="AX134" t="s">
        <v>574</v>
      </c>
      <c r="AZ134" s="60" t="s">
        <v>398</v>
      </c>
      <c r="BA134">
        <v>1994</v>
      </c>
      <c r="BB134">
        <v>1998</v>
      </c>
      <c r="BM134" t="s">
        <v>569</v>
      </c>
      <c r="BN134" s="49" t="s">
        <v>36</v>
      </c>
      <c r="BO134" s="30"/>
      <c r="BS134" s="60" t="s">
        <v>416</v>
      </c>
      <c r="BT134" s="30" t="s">
        <v>569</v>
      </c>
      <c r="BU134" s="30" t="s">
        <v>575</v>
      </c>
      <c r="BV134" s="30"/>
      <c r="CH134" s="50" t="s">
        <v>39</v>
      </c>
      <c r="CM134" s="66" t="s">
        <v>440</v>
      </c>
      <c r="CN134">
        <v>0</v>
      </c>
      <c r="CW134" s="30"/>
      <c r="DC134" s="67" t="s">
        <v>445</v>
      </c>
      <c r="DK134" s="67" t="s">
        <v>579</v>
      </c>
      <c r="DO134" s="30"/>
      <c r="DP134" s="30"/>
      <c r="DQ134" s="30"/>
      <c r="DR134" s="30"/>
      <c r="FD134" s="28" t="s">
        <v>615</v>
      </c>
      <c r="FE134">
        <v>42</v>
      </c>
      <c r="FG134" s="73" t="s">
        <v>616</v>
      </c>
      <c r="FH134" s="6" t="s">
        <v>630</v>
      </c>
      <c r="FR134" t="s">
        <v>631</v>
      </c>
      <c r="FU134" s="6" t="s">
        <v>27</v>
      </c>
      <c r="FV134" s="52" t="s">
        <v>420</v>
      </c>
      <c r="GF134" t="s">
        <v>514</v>
      </c>
      <c r="GG134" t="s">
        <v>510</v>
      </c>
      <c r="GH134" s="80" t="s">
        <v>714</v>
      </c>
      <c r="GI134" s="6" t="s">
        <v>511</v>
      </c>
      <c r="GJ134" s="8">
        <v>0.25356205319553027</v>
      </c>
      <c r="GM134">
        <v>4</v>
      </c>
      <c r="GN134" t="s">
        <v>633</v>
      </c>
      <c r="GO134" s="59" t="s">
        <v>154</v>
      </c>
      <c r="GP134">
        <v>1997</v>
      </c>
      <c r="GS134" s="71" t="s">
        <v>560</v>
      </c>
      <c r="GU134" t="s">
        <v>644</v>
      </c>
    </row>
    <row r="135" spans="1:203" ht="15" thickBot="1">
      <c r="A135" s="25" t="s">
        <v>550</v>
      </c>
      <c r="C135" t="s">
        <v>549</v>
      </c>
      <c r="E135" t="s">
        <v>16</v>
      </c>
      <c r="F135" s="6" t="s">
        <v>592</v>
      </c>
      <c r="G135" t="s">
        <v>591</v>
      </c>
      <c r="H135" s="6" t="s">
        <v>4</v>
      </c>
      <c r="I135" s="59" t="s">
        <v>154</v>
      </c>
      <c r="J135" s="59" t="s">
        <v>389</v>
      </c>
      <c r="K135" s="9">
        <v>0.1</v>
      </c>
      <c r="L135" s="9">
        <v>34.566667000000002</v>
      </c>
      <c r="M135" s="30" t="s">
        <v>31</v>
      </c>
      <c r="N135" t="s">
        <v>551</v>
      </c>
      <c r="O135">
        <v>100</v>
      </c>
      <c r="Q135">
        <v>4</v>
      </c>
      <c r="R135" t="s">
        <v>593</v>
      </c>
      <c r="S135">
        <v>1994</v>
      </c>
      <c r="T135">
        <v>1998</v>
      </c>
      <c r="U135" t="s">
        <v>590</v>
      </c>
      <c r="V135" t="s">
        <v>36</v>
      </c>
      <c r="W135" t="s">
        <v>36</v>
      </c>
      <c r="X135" s="9" t="s">
        <v>557</v>
      </c>
      <c r="Y135" t="s">
        <v>477</v>
      </c>
      <c r="Z135" s="59" t="s">
        <v>43</v>
      </c>
      <c r="AA135" t="s">
        <v>559</v>
      </c>
      <c r="AB135" s="60" t="s">
        <v>415</v>
      </c>
      <c r="AC135" s="31">
        <v>53000</v>
      </c>
      <c r="AX135" t="s">
        <v>574</v>
      </c>
      <c r="AZ135" s="60" t="s">
        <v>398</v>
      </c>
      <c r="BA135">
        <v>1994</v>
      </c>
      <c r="BB135">
        <v>1998</v>
      </c>
      <c r="BM135" t="s">
        <v>570</v>
      </c>
      <c r="BN135" s="49" t="s">
        <v>36</v>
      </c>
      <c r="BO135" s="30"/>
      <c r="BS135" s="60" t="s">
        <v>416</v>
      </c>
      <c r="BT135" s="30" t="s">
        <v>576</v>
      </c>
      <c r="BU135" s="30" t="s">
        <v>575</v>
      </c>
      <c r="BV135" s="30"/>
      <c r="CG135" t="s">
        <v>570</v>
      </c>
      <c r="CH135" t="s">
        <v>37</v>
      </c>
      <c r="CI135" s="65" t="s">
        <v>439</v>
      </c>
      <c r="CM135" s="66" t="s">
        <v>440</v>
      </c>
      <c r="CN135">
        <v>60</v>
      </c>
      <c r="CQ135">
        <v>60</v>
      </c>
      <c r="CW135" s="30"/>
      <c r="DC135" s="67" t="s">
        <v>445</v>
      </c>
      <c r="DK135" s="67" t="s">
        <v>579</v>
      </c>
      <c r="DO135" s="30"/>
      <c r="DP135" s="30"/>
      <c r="DQ135" s="30"/>
      <c r="DR135" s="30"/>
      <c r="FD135" s="29" t="s">
        <v>615</v>
      </c>
      <c r="FE135">
        <v>42</v>
      </c>
      <c r="FG135" s="73" t="s">
        <v>616</v>
      </c>
      <c r="FH135" s="6" t="s">
        <v>630</v>
      </c>
      <c r="FR135" t="s">
        <v>631</v>
      </c>
      <c r="FU135" s="6" t="s">
        <v>27</v>
      </c>
      <c r="FV135" s="52" t="s">
        <v>420</v>
      </c>
      <c r="GF135" t="s">
        <v>587</v>
      </c>
      <c r="GG135" t="s">
        <v>510</v>
      </c>
      <c r="GH135" s="80" t="s">
        <v>715</v>
      </c>
      <c r="GI135" s="6" t="s">
        <v>511</v>
      </c>
      <c r="GJ135" s="8">
        <v>0.29586091895194055</v>
      </c>
      <c r="GM135">
        <v>4</v>
      </c>
      <c r="GN135" t="s">
        <v>633</v>
      </c>
      <c r="GO135" s="59" t="s">
        <v>154</v>
      </c>
      <c r="GP135">
        <v>1997</v>
      </c>
      <c r="GS135" s="71" t="s">
        <v>560</v>
      </c>
      <c r="GU135" t="s">
        <v>644</v>
      </c>
    </row>
    <row r="136" spans="1:203" ht="15" thickBot="1">
      <c r="A136" s="25" t="s">
        <v>550</v>
      </c>
      <c r="C136" t="s">
        <v>549</v>
      </c>
      <c r="E136" t="s">
        <v>16</v>
      </c>
      <c r="F136" s="6" t="s">
        <v>592</v>
      </c>
      <c r="G136" t="s">
        <v>591</v>
      </c>
      <c r="H136" s="6" t="s">
        <v>4</v>
      </c>
      <c r="I136" s="59" t="s">
        <v>154</v>
      </c>
      <c r="J136" s="59" t="s">
        <v>389</v>
      </c>
      <c r="K136" s="9">
        <v>0.1</v>
      </c>
      <c r="L136" s="9">
        <v>34.566667000000002</v>
      </c>
      <c r="M136" s="30" t="s">
        <v>31</v>
      </c>
      <c r="N136" t="s">
        <v>551</v>
      </c>
      <c r="O136">
        <v>100</v>
      </c>
      <c r="Q136">
        <v>4</v>
      </c>
      <c r="R136" t="s">
        <v>593</v>
      </c>
      <c r="S136">
        <v>1994</v>
      </c>
      <c r="T136">
        <v>1998</v>
      </c>
      <c r="U136" t="s">
        <v>590</v>
      </c>
      <c r="V136" t="s">
        <v>558</v>
      </c>
      <c r="W136" t="s">
        <v>588</v>
      </c>
      <c r="X136" s="9" t="s">
        <v>552</v>
      </c>
      <c r="Y136" t="s">
        <v>478</v>
      </c>
      <c r="Z136" s="59" t="s">
        <v>43</v>
      </c>
      <c r="AA136" t="s">
        <v>559</v>
      </c>
      <c r="AB136" s="60" t="s">
        <v>415</v>
      </c>
      <c r="AC136" s="31">
        <v>53000</v>
      </c>
      <c r="AD136" t="s">
        <v>98</v>
      </c>
      <c r="AO136" t="s">
        <v>47</v>
      </c>
      <c r="AP136" s="60" t="s">
        <v>415</v>
      </c>
      <c r="AQ136" s="31">
        <v>53000</v>
      </c>
      <c r="AX136" t="s">
        <v>574</v>
      </c>
      <c r="AZ136" s="60" t="s">
        <v>398</v>
      </c>
      <c r="BA136">
        <v>1994</v>
      </c>
      <c r="BB136">
        <v>1998</v>
      </c>
      <c r="BL136" s="60"/>
      <c r="BM136" t="s">
        <v>563</v>
      </c>
      <c r="BN136" s="67" t="s">
        <v>561</v>
      </c>
      <c r="BO136" s="30"/>
      <c r="BQ136">
        <v>1995</v>
      </c>
      <c r="BR136" t="s">
        <v>560</v>
      </c>
      <c r="BS136" s="60" t="s">
        <v>416</v>
      </c>
      <c r="BT136" s="30" t="s">
        <v>572</v>
      </c>
      <c r="BU136" s="50" t="s">
        <v>28</v>
      </c>
      <c r="BV136" s="30"/>
      <c r="BX136" s="30" t="s">
        <v>31</v>
      </c>
      <c r="BY136" s="30" t="s">
        <v>31</v>
      </c>
      <c r="BZ136" s="30" t="s">
        <v>31</v>
      </c>
      <c r="CA136" s="30" t="s">
        <v>31</v>
      </c>
      <c r="CB136" s="30" t="s">
        <v>31</v>
      </c>
      <c r="CC136" s="30" t="s">
        <v>31</v>
      </c>
      <c r="CD136" s="30" t="s">
        <v>31</v>
      </c>
      <c r="CE136" s="30" t="s">
        <v>31</v>
      </c>
      <c r="CF136" s="30" t="s">
        <v>31</v>
      </c>
      <c r="CH136" s="50" t="s">
        <v>39</v>
      </c>
      <c r="CM136" s="66" t="s">
        <v>440</v>
      </c>
      <c r="CN136">
        <v>0</v>
      </c>
      <c r="CW136" s="30"/>
      <c r="DC136" s="67" t="s">
        <v>445</v>
      </c>
      <c r="DK136" s="72" t="s">
        <v>577</v>
      </c>
      <c r="DL136" s="56" t="s">
        <v>508</v>
      </c>
      <c r="DM136" s="30"/>
      <c r="DN136" s="30" t="s">
        <v>31</v>
      </c>
      <c r="DO136" s="30"/>
      <c r="DP136" s="30"/>
      <c r="DQ136" s="30"/>
      <c r="DR136" s="30"/>
      <c r="FC136" t="s">
        <v>154</v>
      </c>
      <c r="FD136" s="28" t="s">
        <v>615</v>
      </c>
      <c r="FE136">
        <v>42</v>
      </c>
      <c r="FG136" s="73" t="s">
        <v>616</v>
      </c>
      <c r="FH136" s="6" t="s">
        <v>630</v>
      </c>
      <c r="FR136" t="s">
        <v>631</v>
      </c>
      <c r="FU136" s="6" t="s">
        <v>27</v>
      </c>
      <c r="FV136" s="52" t="s">
        <v>420</v>
      </c>
      <c r="GG136" t="s">
        <v>510</v>
      </c>
      <c r="GH136" s="80" t="s">
        <v>716</v>
      </c>
      <c r="GI136" s="6" t="s">
        <v>511</v>
      </c>
      <c r="GJ136" s="8">
        <v>0.25356205319553005</v>
      </c>
      <c r="GM136">
        <v>4</v>
      </c>
      <c r="GN136" t="s">
        <v>634</v>
      </c>
      <c r="GO136" s="59" t="s">
        <v>154</v>
      </c>
      <c r="GP136">
        <v>1998</v>
      </c>
      <c r="GS136" s="71" t="s">
        <v>560</v>
      </c>
      <c r="GU136" t="s">
        <v>645</v>
      </c>
    </row>
    <row r="137" spans="1:203" ht="15" thickBot="1">
      <c r="A137" s="25" t="s">
        <v>550</v>
      </c>
      <c r="C137" t="s">
        <v>549</v>
      </c>
      <c r="E137" t="s">
        <v>16</v>
      </c>
      <c r="F137" s="6" t="s">
        <v>592</v>
      </c>
      <c r="G137" t="s">
        <v>591</v>
      </c>
      <c r="H137" s="6" t="s">
        <v>4</v>
      </c>
      <c r="I137" s="59" t="s">
        <v>154</v>
      </c>
      <c r="J137" s="59" t="s">
        <v>389</v>
      </c>
      <c r="K137" s="9">
        <v>0.1</v>
      </c>
      <c r="L137" s="9">
        <v>34.566667000000002</v>
      </c>
      <c r="M137" s="30" t="s">
        <v>31</v>
      </c>
      <c r="N137" t="s">
        <v>551</v>
      </c>
      <c r="O137">
        <v>100</v>
      </c>
      <c r="Q137">
        <v>4</v>
      </c>
      <c r="R137" t="s">
        <v>593</v>
      </c>
      <c r="S137">
        <v>1994</v>
      </c>
      <c r="T137">
        <v>1998</v>
      </c>
      <c r="U137" t="s">
        <v>590</v>
      </c>
      <c r="V137" t="s">
        <v>558</v>
      </c>
      <c r="W137" t="s">
        <v>588</v>
      </c>
      <c r="X137" s="9" t="s">
        <v>554</v>
      </c>
      <c r="Y137" t="s">
        <v>479</v>
      </c>
      <c r="Z137" s="59" t="s">
        <v>43</v>
      </c>
      <c r="AA137" t="s">
        <v>559</v>
      </c>
      <c r="AB137" s="60" t="s">
        <v>415</v>
      </c>
      <c r="AC137" s="31">
        <v>53000</v>
      </c>
      <c r="AD137" t="s">
        <v>98</v>
      </c>
      <c r="AO137" t="s">
        <v>47</v>
      </c>
      <c r="AP137" s="60" t="s">
        <v>415</v>
      </c>
      <c r="AQ137" s="31">
        <v>53000</v>
      </c>
      <c r="AX137" t="s">
        <v>574</v>
      </c>
      <c r="AZ137" s="60" t="s">
        <v>398</v>
      </c>
      <c r="BA137">
        <v>1994</v>
      </c>
      <c r="BB137">
        <v>1998</v>
      </c>
      <c r="BL137" s="60"/>
      <c r="BM137" t="s">
        <v>564</v>
      </c>
      <c r="BN137" s="67" t="s">
        <v>562</v>
      </c>
      <c r="BO137" s="30"/>
      <c r="BQ137">
        <v>1994</v>
      </c>
      <c r="BR137" t="s">
        <v>571</v>
      </c>
      <c r="BS137" s="60" t="s">
        <v>416</v>
      </c>
      <c r="BT137" s="30" t="s">
        <v>573</v>
      </c>
      <c r="BU137" s="50" t="s">
        <v>28</v>
      </c>
      <c r="BV137" s="30"/>
      <c r="BX137" s="30" t="s">
        <v>31</v>
      </c>
      <c r="BY137" s="30" t="s">
        <v>31</v>
      </c>
      <c r="BZ137" s="30" t="s">
        <v>31</v>
      </c>
      <c r="CA137" s="30" t="s">
        <v>31</v>
      </c>
      <c r="CB137" s="30" t="s">
        <v>31</v>
      </c>
      <c r="CC137" s="30" t="s">
        <v>31</v>
      </c>
      <c r="CD137" s="30" t="s">
        <v>31</v>
      </c>
      <c r="CE137" s="30" t="s">
        <v>31</v>
      </c>
      <c r="CF137" s="30" t="s">
        <v>31</v>
      </c>
      <c r="CH137" s="50" t="s">
        <v>39</v>
      </c>
      <c r="CM137" s="66" t="s">
        <v>440</v>
      </c>
      <c r="CN137">
        <v>0</v>
      </c>
      <c r="CW137" s="30"/>
      <c r="DC137" s="67" t="s">
        <v>445</v>
      </c>
      <c r="DK137" s="72" t="s">
        <v>577</v>
      </c>
      <c r="DL137" s="56" t="s">
        <v>508</v>
      </c>
      <c r="DM137" s="30"/>
      <c r="DN137" s="30" t="s">
        <v>31</v>
      </c>
      <c r="DO137" s="30"/>
      <c r="DP137" s="30"/>
      <c r="DQ137" s="30"/>
      <c r="DR137" s="30"/>
      <c r="FC137" t="s">
        <v>154</v>
      </c>
      <c r="FD137" s="29" t="s">
        <v>615</v>
      </c>
      <c r="FE137">
        <v>42</v>
      </c>
      <c r="FG137" s="73" t="s">
        <v>616</v>
      </c>
      <c r="FH137" s="6" t="s">
        <v>630</v>
      </c>
      <c r="FR137" t="s">
        <v>631</v>
      </c>
      <c r="FU137" s="6" t="s">
        <v>27</v>
      </c>
      <c r="FV137" s="52" t="s">
        <v>420</v>
      </c>
      <c r="GG137" t="s">
        <v>510</v>
      </c>
      <c r="GH137" s="80" t="s">
        <v>717</v>
      </c>
      <c r="GI137" s="6" t="s">
        <v>511</v>
      </c>
      <c r="GJ137" s="8">
        <v>0.31693330471583003</v>
      </c>
      <c r="GM137">
        <v>4</v>
      </c>
      <c r="GN137" t="s">
        <v>634</v>
      </c>
      <c r="GO137" s="59" t="s">
        <v>154</v>
      </c>
      <c r="GP137">
        <v>1998</v>
      </c>
      <c r="GS137" s="71" t="s">
        <v>560</v>
      </c>
      <c r="GU137" t="s">
        <v>645</v>
      </c>
    </row>
    <row r="138" spans="1:203" ht="15" thickBot="1">
      <c r="A138" s="25" t="s">
        <v>550</v>
      </c>
      <c r="C138" t="s">
        <v>549</v>
      </c>
      <c r="E138" t="s">
        <v>16</v>
      </c>
      <c r="F138" s="6" t="s">
        <v>592</v>
      </c>
      <c r="G138" t="s">
        <v>591</v>
      </c>
      <c r="H138" s="6" t="s">
        <v>4</v>
      </c>
      <c r="I138" s="59" t="s">
        <v>154</v>
      </c>
      <c r="J138" s="59" t="s">
        <v>389</v>
      </c>
      <c r="K138" s="9">
        <v>0.1</v>
      </c>
      <c r="L138" s="9">
        <v>34.566667000000002</v>
      </c>
      <c r="M138" s="30" t="s">
        <v>31</v>
      </c>
      <c r="N138" t="s">
        <v>551</v>
      </c>
      <c r="O138">
        <v>100</v>
      </c>
      <c r="Q138">
        <v>4</v>
      </c>
      <c r="R138" t="s">
        <v>593</v>
      </c>
      <c r="S138">
        <v>1994</v>
      </c>
      <c r="T138">
        <v>1998</v>
      </c>
      <c r="U138" t="s">
        <v>590</v>
      </c>
      <c r="V138" t="s">
        <v>558</v>
      </c>
      <c r="W138" t="s">
        <v>589</v>
      </c>
      <c r="X138" s="9" t="s">
        <v>553</v>
      </c>
      <c r="Y138" t="s">
        <v>480</v>
      </c>
      <c r="Z138" s="59" t="s">
        <v>43</v>
      </c>
      <c r="AA138" t="s">
        <v>559</v>
      </c>
      <c r="AB138" s="60" t="s">
        <v>415</v>
      </c>
      <c r="AC138" s="31">
        <v>53000</v>
      </c>
      <c r="AP138" s="60"/>
      <c r="AQ138" s="31"/>
      <c r="AX138" t="s">
        <v>574</v>
      </c>
      <c r="AZ138" s="60" t="s">
        <v>398</v>
      </c>
      <c r="BA138">
        <v>1994</v>
      </c>
      <c r="BB138">
        <v>1998</v>
      </c>
      <c r="BM138" t="s">
        <v>565</v>
      </c>
      <c r="BN138" s="49" t="s">
        <v>566</v>
      </c>
      <c r="BO138" s="30"/>
      <c r="BQ138">
        <v>1995</v>
      </c>
      <c r="BR138" t="s">
        <v>571</v>
      </c>
      <c r="BS138" s="60" t="s">
        <v>416</v>
      </c>
      <c r="BT138" s="30" t="s">
        <v>569</v>
      </c>
      <c r="BU138" s="30" t="s">
        <v>575</v>
      </c>
      <c r="BV138" s="30"/>
      <c r="CH138" s="50" t="s">
        <v>39</v>
      </c>
      <c r="CM138" s="66" t="s">
        <v>440</v>
      </c>
      <c r="CN138">
        <v>0</v>
      </c>
      <c r="CW138" s="30"/>
      <c r="DC138" s="67" t="s">
        <v>445</v>
      </c>
      <c r="DK138" s="67" t="s">
        <v>579</v>
      </c>
      <c r="DL138" s="30"/>
      <c r="DM138" s="30"/>
      <c r="DN138" s="30"/>
      <c r="DO138" s="30"/>
      <c r="DP138" s="30"/>
      <c r="DQ138" s="30"/>
      <c r="DR138" s="30"/>
      <c r="FC138" t="s">
        <v>154</v>
      </c>
      <c r="FD138" s="28" t="s">
        <v>615</v>
      </c>
      <c r="FE138">
        <v>42</v>
      </c>
      <c r="FG138" s="73" t="s">
        <v>616</v>
      </c>
      <c r="FH138" s="6" t="s">
        <v>630</v>
      </c>
      <c r="FR138" t="s">
        <v>631</v>
      </c>
      <c r="FU138" s="6" t="s">
        <v>27</v>
      </c>
      <c r="FV138" s="52" t="s">
        <v>420</v>
      </c>
      <c r="GG138" t="s">
        <v>510</v>
      </c>
      <c r="GH138" s="80" t="s">
        <v>718</v>
      </c>
      <c r="GI138" s="6" t="s">
        <v>511</v>
      </c>
      <c r="GJ138" s="8">
        <v>0.42314275179272021</v>
      </c>
      <c r="GM138">
        <v>4</v>
      </c>
      <c r="GN138" t="s">
        <v>634</v>
      </c>
      <c r="GO138" s="59" t="s">
        <v>154</v>
      </c>
      <c r="GP138">
        <v>1998</v>
      </c>
      <c r="GS138" s="71" t="s">
        <v>560</v>
      </c>
      <c r="GU138" t="s">
        <v>645</v>
      </c>
    </row>
    <row r="139" spans="1:203" ht="15" thickBot="1">
      <c r="A139" s="25" t="s">
        <v>550</v>
      </c>
      <c r="C139" t="s">
        <v>549</v>
      </c>
      <c r="E139" t="s">
        <v>16</v>
      </c>
      <c r="F139" s="6" t="s">
        <v>592</v>
      </c>
      <c r="G139" t="s">
        <v>591</v>
      </c>
      <c r="H139" s="6" t="s">
        <v>4</v>
      </c>
      <c r="I139" s="59" t="s">
        <v>154</v>
      </c>
      <c r="J139" s="59" t="s">
        <v>389</v>
      </c>
      <c r="K139" s="9">
        <v>0.1</v>
      </c>
      <c r="L139" s="9">
        <v>34.566667000000002</v>
      </c>
      <c r="M139" s="30" t="s">
        <v>31</v>
      </c>
      <c r="N139" t="s">
        <v>551</v>
      </c>
      <c r="O139">
        <v>100</v>
      </c>
      <c r="Q139">
        <v>4</v>
      </c>
      <c r="R139" t="s">
        <v>593</v>
      </c>
      <c r="S139">
        <v>1994</v>
      </c>
      <c r="T139">
        <v>1998</v>
      </c>
      <c r="U139" t="s">
        <v>590</v>
      </c>
      <c r="V139" t="s">
        <v>558</v>
      </c>
      <c r="W139" t="s">
        <v>589</v>
      </c>
      <c r="X139" s="9" t="s">
        <v>555</v>
      </c>
      <c r="Y139" t="s">
        <v>481</v>
      </c>
      <c r="Z139" s="59" t="s">
        <v>43</v>
      </c>
      <c r="AA139" t="s">
        <v>559</v>
      </c>
      <c r="AB139" s="60" t="s">
        <v>415</v>
      </c>
      <c r="AC139" s="31">
        <v>53000</v>
      </c>
      <c r="AP139" s="60"/>
      <c r="AQ139" s="31"/>
      <c r="AX139" t="s">
        <v>574</v>
      </c>
      <c r="AZ139" s="60" t="s">
        <v>398</v>
      </c>
      <c r="BA139">
        <v>1994</v>
      </c>
      <c r="BB139">
        <v>1998</v>
      </c>
      <c r="BM139" t="s">
        <v>567</v>
      </c>
      <c r="BN139" s="49" t="s">
        <v>568</v>
      </c>
      <c r="BO139" s="30"/>
      <c r="BQ139">
        <v>1994</v>
      </c>
      <c r="BR139" t="s">
        <v>571</v>
      </c>
      <c r="BS139" s="60" t="s">
        <v>416</v>
      </c>
      <c r="BT139" s="30" t="s">
        <v>569</v>
      </c>
      <c r="BU139" s="30" t="s">
        <v>575</v>
      </c>
      <c r="BV139" s="30"/>
      <c r="CH139" s="50" t="s">
        <v>39</v>
      </c>
      <c r="CM139" s="66" t="s">
        <v>440</v>
      </c>
      <c r="CN139">
        <v>0</v>
      </c>
      <c r="CW139" s="30"/>
      <c r="DC139" s="67" t="s">
        <v>445</v>
      </c>
      <c r="DK139" s="67" t="s">
        <v>579</v>
      </c>
      <c r="DO139" s="30"/>
      <c r="DP139" s="30"/>
      <c r="DQ139" s="30"/>
      <c r="DR139" s="30"/>
      <c r="FC139" t="s">
        <v>154</v>
      </c>
      <c r="FD139" s="29" t="s">
        <v>615</v>
      </c>
      <c r="FE139">
        <v>42</v>
      </c>
      <c r="FG139" s="73" t="s">
        <v>616</v>
      </c>
      <c r="FH139" s="6" t="s">
        <v>630</v>
      </c>
      <c r="FR139" t="s">
        <v>631</v>
      </c>
      <c r="FU139" s="6" t="s">
        <v>27</v>
      </c>
      <c r="FV139" s="52" t="s">
        <v>420</v>
      </c>
      <c r="GG139" t="s">
        <v>510</v>
      </c>
      <c r="GH139" s="80" t="s">
        <v>719</v>
      </c>
      <c r="GI139" s="6" t="s">
        <v>511</v>
      </c>
      <c r="GJ139" s="8">
        <v>0.38076683892201002</v>
      </c>
      <c r="GM139">
        <v>4</v>
      </c>
      <c r="GN139" t="s">
        <v>634</v>
      </c>
      <c r="GO139" s="59" t="s">
        <v>154</v>
      </c>
      <c r="GP139">
        <v>1998</v>
      </c>
      <c r="GS139" s="71" t="s">
        <v>560</v>
      </c>
      <c r="GU139" t="s">
        <v>645</v>
      </c>
    </row>
    <row r="140" spans="1:203" ht="15" thickBot="1">
      <c r="A140" s="25" t="s">
        <v>550</v>
      </c>
      <c r="C140" t="s">
        <v>549</v>
      </c>
      <c r="E140" t="s">
        <v>16</v>
      </c>
      <c r="F140" s="6" t="s">
        <v>592</v>
      </c>
      <c r="G140" t="s">
        <v>591</v>
      </c>
      <c r="H140" s="6" t="s">
        <v>4</v>
      </c>
      <c r="I140" s="59" t="s">
        <v>154</v>
      </c>
      <c r="J140" s="59" t="s">
        <v>389</v>
      </c>
      <c r="K140" s="9">
        <v>0.1</v>
      </c>
      <c r="L140" s="9">
        <v>34.566667000000002</v>
      </c>
      <c r="M140" s="30" t="s">
        <v>31</v>
      </c>
      <c r="N140" t="s">
        <v>551</v>
      </c>
      <c r="O140">
        <v>100</v>
      </c>
      <c r="Q140">
        <v>4</v>
      </c>
      <c r="R140" t="s">
        <v>593</v>
      </c>
      <c r="S140">
        <v>1994</v>
      </c>
      <c r="T140">
        <v>1998</v>
      </c>
      <c r="U140" t="s">
        <v>590</v>
      </c>
      <c r="V140" t="s">
        <v>36</v>
      </c>
      <c r="W140" t="s">
        <v>36</v>
      </c>
      <c r="X140" s="9" t="s">
        <v>556</v>
      </c>
      <c r="Y140" t="s">
        <v>476</v>
      </c>
      <c r="Z140" s="59" t="s">
        <v>43</v>
      </c>
      <c r="AA140" t="s">
        <v>559</v>
      </c>
      <c r="AB140" s="60" t="s">
        <v>415</v>
      </c>
      <c r="AC140" s="31">
        <v>53000</v>
      </c>
      <c r="AX140" t="s">
        <v>574</v>
      </c>
      <c r="AZ140" s="60" t="s">
        <v>398</v>
      </c>
      <c r="BA140">
        <v>1994</v>
      </c>
      <c r="BB140">
        <v>1998</v>
      </c>
      <c r="BM140" t="s">
        <v>569</v>
      </c>
      <c r="BN140" s="49" t="s">
        <v>36</v>
      </c>
      <c r="BO140" s="30"/>
      <c r="BS140" s="60" t="s">
        <v>416</v>
      </c>
      <c r="BT140" s="30" t="s">
        <v>569</v>
      </c>
      <c r="BU140" s="30" t="s">
        <v>575</v>
      </c>
      <c r="BV140" s="30"/>
      <c r="CH140" s="50" t="s">
        <v>39</v>
      </c>
      <c r="CM140" s="66" t="s">
        <v>440</v>
      </c>
      <c r="CN140">
        <v>0</v>
      </c>
      <c r="CW140" s="30"/>
      <c r="DC140" s="67" t="s">
        <v>445</v>
      </c>
      <c r="DK140" s="67" t="s">
        <v>579</v>
      </c>
      <c r="DO140" s="30"/>
      <c r="DP140" s="30"/>
      <c r="DQ140" s="30"/>
      <c r="DR140" s="30"/>
      <c r="FD140" s="28" t="s">
        <v>615</v>
      </c>
      <c r="FE140">
        <v>42</v>
      </c>
      <c r="FG140" s="73" t="s">
        <v>616</v>
      </c>
      <c r="FH140" s="6" t="s">
        <v>630</v>
      </c>
      <c r="FR140" t="s">
        <v>631</v>
      </c>
      <c r="FU140" s="6" t="s">
        <v>27</v>
      </c>
      <c r="FV140" s="52" t="s">
        <v>420</v>
      </c>
      <c r="GF140" t="s">
        <v>514</v>
      </c>
      <c r="GG140" t="s">
        <v>510</v>
      </c>
      <c r="GH140" s="80" t="s">
        <v>720</v>
      </c>
      <c r="GI140" s="6" t="s">
        <v>511</v>
      </c>
      <c r="GJ140" s="8">
        <v>0.38045865046476002</v>
      </c>
      <c r="GM140">
        <v>4</v>
      </c>
      <c r="GN140" t="s">
        <v>634</v>
      </c>
      <c r="GO140" s="59" t="s">
        <v>154</v>
      </c>
      <c r="GP140">
        <v>1998</v>
      </c>
      <c r="GS140" s="71" t="s">
        <v>560</v>
      </c>
      <c r="GU140" t="s">
        <v>645</v>
      </c>
    </row>
    <row r="141" spans="1:203" ht="15" thickBot="1">
      <c r="A141" s="76" t="s">
        <v>550</v>
      </c>
      <c r="B141" s="59"/>
      <c r="C141" s="59" t="s">
        <v>549</v>
      </c>
      <c r="D141" s="59"/>
      <c r="E141" s="59" t="s">
        <v>16</v>
      </c>
      <c r="F141" s="60" t="s">
        <v>592</v>
      </c>
      <c r="G141" s="59" t="s">
        <v>591</v>
      </c>
      <c r="H141" s="60" t="s">
        <v>4</v>
      </c>
      <c r="I141" s="59" t="s">
        <v>154</v>
      </c>
      <c r="J141" s="59" t="s">
        <v>389</v>
      </c>
      <c r="K141" s="77">
        <v>0.1</v>
      </c>
      <c r="L141" s="77">
        <v>34.566667000000002</v>
      </c>
      <c r="M141" s="61" t="s">
        <v>31</v>
      </c>
      <c r="N141" s="59" t="s">
        <v>551</v>
      </c>
      <c r="O141" s="59">
        <v>100</v>
      </c>
      <c r="P141" s="59"/>
      <c r="Q141" s="59">
        <v>4</v>
      </c>
      <c r="R141" s="59" t="s">
        <v>593</v>
      </c>
      <c r="S141" s="59">
        <v>1994</v>
      </c>
      <c r="T141" s="59">
        <v>1998</v>
      </c>
      <c r="U141" s="59" t="s">
        <v>590</v>
      </c>
      <c r="V141" s="59" t="s">
        <v>36</v>
      </c>
      <c r="W141" s="59" t="s">
        <v>36</v>
      </c>
      <c r="X141" s="77" t="s">
        <v>557</v>
      </c>
      <c r="Y141" s="59" t="s">
        <v>477</v>
      </c>
      <c r="Z141" s="59" t="s">
        <v>43</v>
      </c>
      <c r="AA141" s="59" t="s">
        <v>559</v>
      </c>
      <c r="AB141" s="60" t="s">
        <v>415</v>
      </c>
      <c r="AC141" s="62">
        <v>53000</v>
      </c>
      <c r="AD141" s="59"/>
      <c r="AE141" s="59"/>
      <c r="AF141" s="59"/>
      <c r="AG141" s="59"/>
      <c r="AH141" s="59"/>
      <c r="AI141" s="59"/>
      <c r="AJ141" s="59"/>
      <c r="AK141" s="59"/>
      <c r="AL141" s="59"/>
      <c r="AM141" s="59"/>
      <c r="AN141" s="59"/>
      <c r="AO141" s="59"/>
      <c r="AP141" s="59"/>
      <c r="AQ141" s="59"/>
      <c r="AR141" s="59"/>
      <c r="AS141" s="59"/>
      <c r="AT141" s="59"/>
      <c r="AU141" s="59"/>
      <c r="AV141" s="59"/>
      <c r="AW141" s="59"/>
      <c r="AX141" s="59" t="s">
        <v>574</v>
      </c>
      <c r="AY141" s="59"/>
      <c r="AZ141" s="60" t="s">
        <v>398</v>
      </c>
      <c r="BA141" s="59">
        <v>1994</v>
      </c>
      <c r="BB141" s="59">
        <v>1998</v>
      </c>
      <c r="BC141" s="59"/>
      <c r="BD141" s="59"/>
      <c r="BE141" s="59"/>
      <c r="BF141" s="59"/>
      <c r="BG141" s="59"/>
      <c r="BH141" s="59"/>
      <c r="BI141" s="59"/>
      <c r="BJ141" s="59"/>
      <c r="BK141" s="59"/>
      <c r="BL141" s="59"/>
      <c r="BM141" s="59" t="s">
        <v>570</v>
      </c>
      <c r="BN141" s="67" t="s">
        <v>36</v>
      </c>
      <c r="BO141" s="61"/>
      <c r="BP141" s="59"/>
      <c r="BQ141" s="59"/>
      <c r="BR141" s="59"/>
      <c r="BS141" s="60" t="s">
        <v>416</v>
      </c>
      <c r="BT141" s="61" t="s">
        <v>576</v>
      </c>
      <c r="BU141" s="61" t="s">
        <v>575</v>
      </c>
      <c r="BV141" s="61"/>
      <c r="BW141" s="59"/>
      <c r="BX141" s="59"/>
      <c r="BY141" s="59"/>
      <c r="BZ141" s="59"/>
      <c r="CA141" s="59"/>
      <c r="CB141" s="59"/>
      <c r="CC141" s="59"/>
      <c r="CD141" s="59"/>
      <c r="CE141" s="59"/>
      <c r="CF141" s="59"/>
      <c r="CG141" s="59" t="s">
        <v>570</v>
      </c>
      <c r="CH141" s="59" t="s">
        <v>37</v>
      </c>
      <c r="CI141" s="65" t="s">
        <v>439</v>
      </c>
      <c r="CJ141" s="59"/>
      <c r="CK141" s="59"/>
      <c r="CL141" s="59"/>
      <c r="CM141" s="66" t="s">
        <v>440</v>
      </c>
      <c r="CN141" s="59">
        <v>60</v>
      </c>
      <c r="CO141" s="59"/>
      <c r="CP141" s="59"/>
      <c r="CQ141" s="59">
        <v>60</v>
      </c>
      <c r="CR141" s="59"/>
      <c r="CS141" s="59"/>
      <c r="CT141" s="59"/>
      <c r="CU141" s="59"/>
      <c r="CV141" s="59"/>
      <c r="CW141" s="61"/>
      <c r="CX141" s="59"/>
      <c r="CY141" s="59"/>
      <c r="CZ141" s="59"/>
      <c r="DA141" s="59"/>
      <c r="DB141" s="59"/>
      <c r="DC141" s="67" t="s">
        <v>445</v>
      </c>
      <c r="DD141" s="59"/>
      <c r="DE141" s="59"/>
      <c r="DF141" s="59"/>
      <c r="DG141" s="59"/>
      <c r="DH141" s="59"/>
      <c r="DI141" s="59"/>
      <c r="DJ141" s="59"/>
      <c r="DK141" s="67" t="s">
        <v>579</v>
      </c>
      <c r="DL141" s="59"/>
      <c r="DM141" s="59"/>
      <c r="DN141" s="59"/>
      <c r="DO141" s="61"/>
      <c r="DP141" s="61"/>
      <c r="DQ141" s="61"/>
      <c r="DR141" s="61"/>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71" t="s">
        <v>615</v>
      </c>
      <c r="FE141" s="59">
        <v>42</v>
      </c>
      <c r="FF141" s="59"/>
      <c r="FG141" s="78" t="s">
        <v>616</v>
      </c>
      <c r="FH141" s="60" t="s">
        <v>630</v>
      </c>
      <c r="FI141" s="59"/>
      <c r="FJ141" s="59"/>
      <c r="FK141" s="59"/>
      <c r="FL141" s="59"/>
      <c r="FM141" s="59"/>
      <c r="FN141" s="59"/>
      <c r="FO141" s="59"/>
      <c r="FP141" s="59"/>
      <c r="FQ141" s="59"/>
      <c r="FR141" s="59" t="s">
        <v>631</v>
      </c>
      <c r="FS141" s="59"/>
      <c r="FT141" s="59"/>
      <c r="FU141" s="60" t="s">
        <v>27</v>
      </c>
      <c r="FV141" s="70" t="s">
        <v>420</v>
      </c>
      <c r="FW141" s="59"/>
      <c r="FX141" s="59"/>
      <c r="FY141" s="59"/>
      <c r="FZ141" s="59"/>
      <c r="GA141" s="59"/>
      <c r="GB141" s="59"/>
      <c r="GC141" s="59"/>
      <c r="GD141" s="59"/>
      <c r="GE141" s="59"/>
      <c r="GF141" s="59" t="s">
        <v>587</v>
      </c>
      <c r="GG141" s="59" t="s">
        <v>510</v>
      </c>
      <c r="GH141" s="81" t="s">
        <v>721</v>
      </c>
      <c r="GI141" s="60" t="s">
        <v>511</v>
      </c>
      <c r="GJ141" s="79">
        <v>0.16881022745408991</v>
      </c>
      <c r="GK141" s="59"/>
      <c r="GL141" s="59"/>
      <c r="GM141" s="59">
        <v>4</v>
      </c>
      <c r="GN141" s="59" t="s">
        <v>634</v>
      </c>
      <c r="GO141" s="59" t="s">
        <v>154</v>
      </c>
      <c r="GP141" s="59">
        <v>1998</v>
      </c>
      <c r="GQ141" s="59"/>
      <c r="GR141" s="59"/>
      <c r="GS141" s="71" t="s">
        <v>560</v>
      </c>
      <c r="GT141" s="59"/>
      <c r="GU141" s="59" t="s">
        <v>645</v>
      </c>
    </row>
    <row r="142" spans="1:203" ht="15" thickBot="1">
      <c r="A142" s="25" t="s">
        <v>550</v>
      </c>
      <c r="C142" t="s">
        <v>549</v>
      </c>
      <c r="E142" t="s">
        <v>16</v>
      </c>
      <c r="F142" s="6" t="s">
        <v>592</v>
      </c>
      <c r="G142" t="s">
        <v>591</v>
      </c>
      <c r="H142" s="6" t="s">
        <v>4</v>
      </c>
      <c r="I142" s="59" t="s">
        <v>154</v>
      </c>
      <c r="J142" s="59" t="s">
        <v>389</v>
      </c>
      <c r="K142" s="9">
        <v>0.1</v>
      </c>
      <c r="L142" s="9">
        <v>34.566667000000002</v>
      </c>
      <c r="M142" s="30" t="s">
        <v>31</v>
      </c>
      <c r="N142" t="s">
        <v>551</v>
      </c>
      <c r="O142">
        <v>100</v>
      </c>
      <c r="Q142">
        <v>4</v>
      </c>
      <c r="R142" t="s">
        <v>593</v>
      </c>
      <c r="S142">
        <v>1994</v>
      </c>
      <c r="T142">
        <v>1998</v>
      </c>
      <c r="U142" t="s">
        <v>590</v>
      </c>
      <c r="V142" t="s">
        <v>558</v>
      </c>
      <c r="W142" t="s">
        <v>588</v>
      </c>
      <c r="X142" s="9" t="s">
        <v>552</v>
      </c>
      <c r="Y142" t="s">
        <v>478</v>
      </c>
      <c r="Z142" s="59" t="s">
        <v>43</v>
      </c>
      <c r="AA142" t="s">
        <v>559</v>
      </c>
      <c r="AB142" s="60" t="s">
        <v>415</v>
      </c>
      <c r="AC142" s="31">
        <v>53000</v>
      </c>
      <c r="AD142" t="s">
        <v>98</v>
      </c>
      <c r="AO142" t="s">
        <v>47</v>
      </c>
      <c r="AP142" s="60" t="s">
        <v>415</v>
      </c>
      <c r="AQ142" s="31">
        <v>53000</v>
      </c>
      <c r="AX142" t="s">
        <v>574</v>
      </c>
      <c r="AZ142" s="60" t="s">
        <v>398</v>
      </c>
      <c r="BA142">
        <v>1994</v>
      </c>
      <c r="BB142">
        <v>1998</v>
      </c>
      <c r="BL142" s="60"/>
      <c r="BM142" t="s">
        <v>563</v>
      </c>
      <c r="BN142" s="67" t="s">
        <v>561</v>
      </c>
      <c r="BO142" s="30"/>
      <c r="BQ142">
        <v>1995</v>
      </c>
      <c r="BR142" t="s">
        <v>560</v>
      </c>
      <c r="BS142" s="60" t="s">
        <v>416</v>
      </c>
      <c r="BT142" s="30" t="s">
        <v>572</v>
      </c>
      <c r="BU142" s="50" t="s">
        <v>28</v>
      </c>
      <c r="BV142" s="30"/>
      <c r="BX142" s="30" t="s">
        <v>31</v>
      </c>
      <c r="BY142" s="30" t="s">
        <v>31</v>
      </c>
      <c r="BZ142" s="30" t="s">
        <v>31</v>
      </c>
      <c r="CA142" s="30" t="s">
        <v>31</v>
      </c>
      <c r="CB142" s="30" t="s">
        <v>31</v>
      </c>
      <c r="CC142" s="30" t="s">
        <v>31</v>
      </c>
      <c r="CD142" s="30" t="s">
        <v>31</v>
      </c>
      <c r="CE142" s="30" t="s">
        <v>31</v>
      </c>
      <c r="CF142" s="30" t="s">
        <v>31</v>
      </c>
      <c r="CH142" s="50" t="s">
        <v>39</v>
      </c>
      <c r="CM142" s="66" t="s">
        <v>440</v>
      </c>
      <c r="CN142">
        <v>0</v>
      </c>
      <c r="CW142" s="30"/>
      <c r="DC142" s="67" t="s">
        <v>445</v>
      </c>
      <c r="DK142" s="72" t="s">
        <v>577</v>
      </c>
      <c r="DL142" s="56" t="s">
        <v>508</v>
      </c>
      <c r="DM142" s="30"/>
      <c r="DN142" s="30" t="s">
        <v>31</v>
      </c>
      <c r="DO142" s="30"/>
      <c r="DP142" s="30"/>
      <c r="DQ142" s="30"/>
      <c r="DR142" s="30"/>
      <c r="FC142" t="s">
        <v>154</v>
      </c>
      <c r="FD142" s="28" t="s">
        <v>615</v>
      </c>
      <c r="FE142">
        <v>42</v>
      </c>
      <c r="FG142" s="73" t="s">
        <v>616</v>
      </c>
      <c r="FH142" s="6" t="s">
        <v>630</v>
      </c>
      <c r="FR142" t="s">
        <v>631</v>
      </c>
      <c r="FU142" s="6" t="s">
        <v>27</v>
      </c>
      <c r="FV142" s="52" t="s">
        <v>420</v>
      </c>
      <c r="GG142" t="s">
        <v>510</v>
      </c>
      <c r="GH142" s="80" t="s">
        <v>722</v>
      </c>
      <c r="GI142" s="6" t="s">
        <v>511</v>
      </c>
      <c r="GJ142" s="8">
        <v>0.57416550362152963</v>
      </c>
      <c r="GM142">
        <v>4</v>
      </c>
      <c r="GN142" t="s">
        <v>635</v>
      </c>
      <c r="GO142" s="59" t="s">
        <v>154</v>
      </c>
      <c r="GP142">
        <v>1996</v>
      </c>
      <c r="GS142" s="71" t="s">
        <v>571</v>
      </c>
      <c r="GU142" t="s">
        <v>643</v>
      </c>
    </row>
    <row r="143" spans="1:203" ht="15" thickBot="1">
      <c r="A143" s="25" t="s">
        <v>550</v>
      </c>
      <c r="C143" t="s">
        <v>549</v>
      </c>
      <c r="E143" t="s">
        <v>16</v>
      </c>
      <c r="F143" s="6" t="s">
        <v>592</v>
      </c>
      <c r="G143" t="s">
        <v>591</v>
      </c>
      <c r="H143" s="6" t="s">
        <v>4</v>
      </c>
      <c r="I143" s="59" t="s">
        <v>154</v>
      </c>
      <c r="J143" s="59" t="s">
        <v>389</v>
      </c>
      <c r="K143" s="9">
        <v>0.1</v>
      </c>
      <c r="L143" s="9">
        <v>34.566667000000002</v>
      </c>
      <c r="M143" s="30" t="s">
        <v>31</v>
      </c>
      <c r="N143" t="s">
        <v>551</v>
      </c>
      <c r="O143">
        <v>100</v>
      </c>
      <c r="Q143">
        <v>4</v>
      </c>
      <c r="R143" t="s">
        <v>593</v>
      </c>
      <c r="S143">
        <v>1994</v>
      </c>
      <c r="T143">
        <v>1998</v>
      </c>
      <c r="U143" t="s">
        <v>590</v>
      </c>
      <c r="V143" t="s">
        <v>558</v>
      </c>
      <c r="W143" t="s">
        <v>588</v>
      </c>
      <c r="X143" s="9" t="s">
        <v>554</v>
      </c>
      <c r="Y143" t="s">
        <v>479</v>
      </c>
      <c r="Z143" s="59" t="s">
        <v>43</v>
      </c>
      <c r="AA143" t="s">
        <v>559</v>
      </c>
      <c r="AB143" s="60" t="s">
        <v>415</v>
      </c>
      <c r="AC143" s="31">
        <v>53000</v>
      </c>
      <c r="AD143" t="s">
        <v>98</v>
      </c>
      <c r="AO143" t="s">
        <v>47</v>
      </c>
      <c r="AP143" s="60" t="s">
        <v>415</v>
      </c>
      <c r="AQ143" s="31">
        <v>53000</v>
      </c>
      <c r="AX143" t="s">
        <v>574</v>
      </c>
      <c r="AZ143" s="60" t="s">
        <v>398</v>
      </c>
      <c r="BA143">
        <v>1994</v>
      </c>
      <c r="BB143">
        <v>1998</v>
      </c>
      <c r="BL143" s="60"/>
      <c r="BM143" t="s">
        <v>564</v>
      </c>
      <c r="BN143" s="67" t="s">
        <v>562</v>
      </c>
      <c r="BO143" s="30"/>
      <c r="BQ143">
        <v>1994</v>
      </c>
      <c r="BR143" t="s">
        <v>571</v>
      </c>
      <c r="BS143" s="60" t="s">
        <v>416</v>
      </c>
      <c r="BT143" s="30" t="s">
        <v>573</v>
      </c>
      <c r="BU143" s="50" t="s">
        <v>28</v>
      </c>
      <c r="BV143" s="30"/>
      <c r="BX143" s="30" t="s">
        <v>31</v>
      </c>
      <c r="BY143" s="30" t="s">
        <v>31</v>
      </c>
      <c r="BZ143" s="30" t="s">
        <v>31</v>
      </c>
      <c r="CA143" s="30" t="s">
        <v>31</v>
      </c>
      <c r="CB143" s="30" t="s">
        <v>31</v>
      </c>
      <c r="CC143" s="30" t="s">
        <v>31</v>
      </c>
      <c r="CD143" s="30" t="s">
        <v>31</v>
      </c>
      <c r="CE143" s="30" t="s">
        <v>31</v>
      </c>
      <c r="CF143" s="30" t="s">
        <v>31</v>
      </c>
      <c r="CH143" s="50" t="s">
        <v>39</v>
      </c>
      <c r="CM143" s="66" t="s">
        <v>440</v>
      </c>
      <c r="CN143">
        <v>0</v>
      </c>
      <c r="CW143" s="30"/>
      <c r="DC143" s="67" t="s">
        <v>445</v>
      </c>
      <c r="DK143" s="72" t="s">
        <v>577</v>
      </c>
      <c r="DL143" s="56" t="s">
        <v>508</v>
      </c>
      <c r="DM143" s="30"/>
      <c r="DN143" s="30" t="s">
        <v>31</v>
      </c>
      <c r="DO143" s="30"/>
      <c r="DP143" s="30"/>
      <c r="DQ143" s="30"/>
      <c r="DR143" s="30"/>
      <c r="FC143" t="s">
        <v>154</v>
      </c>
      <c r="FD143" s="29" t="s">
        <v>615</v>
      </c>
      <c r="FE143">
        <v>42</v>
      </c>
      <c r="FG143" s="73" t="s">
        <v>616</v>
      </c>
      <c r="FH143" s="6" t="s">
        <v>630</v>
      </c>
      <c r="FR143" t="s">
        <v>631</v>
      </c>
      <c r="FU143" s="6" t="s">
        <v>27</v>
      </c>
      <c r="FV143" s="52" t="s">
        <v>420</v>
      </c>
      <c r="GG143" t="s">
        <v>510</v>
      </c>
      <c r="GH143" s="80" t="s">
        <v>723</v>
      </c>
      <c r="GI143" s="6" t="s">
        <v>511</v>
      </c>
      <c r="GJ143" s="8">
        <v>0.27675325606668011</v>
      </c>
      <c r="GM143">
        <v>4</v>
      </c>
      <c r="GN143" t="s">
        <v>635</v>
      </c>
      <c r="GO143" s="59" t="s">
        <v>154</v>
      </c>
      <c r="GP143">
        <v>1996</v>
      </c>
      <c r="GS143" s="71" t="s">
        <v>571</v>
      </c>
      <c r="GU143" t="s">
        <v>643</v>
      </c>
    </row>
    <row r="144" spans="1:203" ht="15" thickBot="1">
      <c r="A144" s="25" t="s">
        <v>550</v>
      </c>
      <c r="C144" t="s">
        <v>549</v>
      </c>
      <c r="E144" t="s">
        <v>16</v>
      </c>
      <c r="F144" s="6" t="s">
        <v>592</v>
      </c>
      <c r="G144" t="s">
        <v>591</v>
      </c>
      <c r="H144" s="6" t="s">
        <v>4</v>
      </c>
      <c r="I144" s="59" t="s">
        <v>154</v>
      </c>
      <c r="J144" s="59" t="s">
        <v>389</v>
      </c>
      <c r="K144" s="9">
        <v>0.1</v>
      </c>
      <c r="L144" s="9">
        <v>34.566667000000002</v>
      </c>
      <c r="M144" s="30" t="s">
        <v>31</v>
      </c>
      <c r="N144" t="s">
        <v>551</v>
      </c>
      <c r="O144">
        <v>100</v>
      </c>
      <c r="Q144">
        <v>4</v>
      </c>
      <c r="R144" t="s">
        <v>593</v>
      </c>
      <c r="S144">
        <v>1994</v>
      </c>
      <c r="T144">
        <v>1998</v>
      </c>
      <c r="U144" t="s">
        <v>590</v>
      </c>
      <c r="V144" t="s">
        <v>558</v>
      </c>
      <c r="W144" t="s">
        <v>589</v>
      </c>
      <c r="X144" s="9" t="s">
        <v>553</v>
      </c>
      <c r="Y144" t="s">
        <v>480</v>
      </c>
      <c r="Z144" s="59" t="s">
        <v>43</v>
      </c>
      <c r="AA144" t="s">
        <v>559</v>
      </c>
      <c r="AB144" s="60" t="s">
        <v>415</v>
      </c>
      <c r="AC144" s="31">
        <v>53000</v>
      </c>
      <c r="AP144" s="60"/>
      <c r="AQ144" s="31"/>
      <c r="AX144" t="s">
        <v>574</v>
      </c>
      <c r="AZ144" s="60" t="s">
        <v>398</v>
      </c>
      <c r="BA144">
        <v>1994</v>
      </c>
      <c r="BB144">
        <v>1998</v>
      </c>
      <c r="BM144" t="s">
        <v>565</v>
      </c>
      <c r="BN144" s="49" t="s">
        <v>566</v>
      </c>
      <c r="BO144" s="30"/>
      <c r="BQ144">
        <v>1995</v>
      </c>
      <c r="BR144" t="s">
        <v>571</v>
      </c>
      <c r="BS144" s="60" t="s">
        <v>416</v>
      </c>
      <c r="BT144" s="30" t="s">
        <v>569</v>
      </c>
      <c r="BU144" s="30" t="s">
        <v>575</v>
      </c>
      <c r="BV144" s="30"/>
      <c r="CH144" s="50" t="s">
        <v>39</v>
      </c>
      <c r="CM144" s="66" t="s">
        <v>440</v>
      </c>
      <c r="CN144">
        <v>0</v>
      </c>
      <c r="CW144" s="30"/>
      <c r="DC144" s="67" t="s">
        <v>445</v>
      </c>
      <c r="DK144" s="67" t="s">
        <v>579</v>
      </c>
      <c r="DL144" s="30"/>
      <c r="DM144" s="30"/>
      <c r="DN144" s="30"/>
      <c r="DO144" s="30"/>
      <c r="DP144" s="30"/>
      <c r="DQ144" s="30"/>
      <c r="DR144" s="30"/>
      <c r="FC144" t="s">
        <v>154</v>
      </c>
      <c r="FD144" s="28" t="s">
        <v>615</v>
      </c>
      <c r="FE144">
        <v>42</v>
      </c>
      <c r="FG144" s="73" t="s">
        <v>616</v>
      </c>
      <c r="FH144" s="6" t="s">
        <v>630</v>
      </c>
      <c r="FR144" t="s">
        <v>631</v>
      </c>
      <c r="FU144" s="6" t="s">
        <v>27</v>
      </c>
      <c r="FV144" s="52" t="s">
        <v>420</v>
      </c>
      <c r="GG144" t="s">
        <v>510</v>
      </c>
      <c r="GH144" s="80" t="s">
        <v>724</v>
      </c>
      <c r="GI144" s="6" t="s">
        <v>511</v>
      </c>
      <c r="GJ144" s="8">
        <v>0.21261384510997017</v>
      </c>
      <c r="GM144">
        <v>4</v>
      </c>
      <c r="GN144" t="s">
        <v>635</v>
      </c>
      <c r="GO144" s="59" t="s">
        <v>154</v>
      </c>
      <c r="GP144">
        <v>1996</v>
      </c>
      <c r="GS144" s="71" t="s">
        <v>571</v>
      </c>
      <c r="GU144" t="s">
        <v>643</v>
      </c>
    </row>
    <row r="145" spans="1:203" ht="15" thickBot="1">
      <c r="A145" s="25" t="s">
        <v>550</v>
      </c>
      <c r="C145" t="s">
        <v>549</v>
      </c>
      <c r="E145" t="s">
        <v>16</v>
      </c>
      <c r="F145" s="6" t="s">
        <v>592</v>
      </c>
      <c r="G145" t="s">
        <v>591</v>
      </c>
      <c r="H145" s="6" t="s">
        <v>4</v>
      </c>
      <c r="I145" s="59" t="s">
        <v>154</v>
      </c>
      <c r="J145" s="59" t="s">
        <v>389</v>
      </c>
      <c r="K145" s="9">
        <v>0.1</v>
      </c>
      <c r="L145" s="9">
        <v>34.566667000000002</v>
      </c>
      <c r="M145" s="30" t="s">
        <v>31</v>
      </c>
      <c r="N145" t="s">
        <v>551</v>
      </c>
      <c r="O145">
        <v>100</v>
      </c>
      <c r="Q145">
        <v>4</v>
      </c>
      <c r="R145" t="s">
        <v>593</v>
      </c>
      <c r="S145">
        <v>1994</v>
      </c>
      <c r="T145">
        <v>1998</v>
      </c>
      <c r="U145" t="s">
        <v>590</v>
      </c>
      <c r="V145" t="s">
        <v>558</v>
      </c>
      <c r="W145" t="s">
        <v>589</v>
      </c>
      <c r="X145" s="9" t="s">
        <v>555</v>
      </c>
      <c r="Y145" t="s">
        <v>481</v>
      </c>
      <c r="Z145" s="59" t="s">
        <v>43</v>
      </c>
      <c r="AA145" t="s">
        <v>559</v>
      </c>
      <c r="AB145" s="60" t="s">
        <v>415</v>
      </c>
      <c r="AC145" s="31">
        <v>53000</v>
      </c>
      <c r="AP145" s="60"/>
      <c r="AQ145" s="31"/>
      <c r="AX145" t="s">
        <v>574</v>
      </c>
      <c r="AZ145" s="60" t="s">
        <v>398</v>
      </c>
      <c r="BA145">
        <v>1994</v>
      </c>
      <c r="BB145">
        <v>1998</v>
      </c>
      <c r="BM145" t="s">
        <v>567</v>
      </c>
      <c r="BN145" s="49" t="s">
        <v>568</v>
      </c>
      <c r="BO145" s="30"/>
      <c r="BQ145">
        <v>1994</v>
      </c>
      <c r="BR145" t="s">
        <v>571</v>
      </c>
      <c r="BS145" s="60" t="s">
        <v>416</v>
      </c>
      <c r="BT145" s="30" t="s">
        <v>569</v>
      </c>
      <c r="BU145" s="30" t="s">
        <v>575</v>
      </c>
      <c r="BV145" s="30"/>
      <c r="CH145" s="50" t="s">
        <v>39</v>
      </c>
      <c r="CM145" s="66" t="s">
        <v>440</v>
      </c>
      <c r="CN145">
        <v>0</v>
      </c>
      <c r="CW145" s="30"/>
      <c r="DC145" s="67" t="s">
        <v>445</v>
      </c>
      <c r="DK145" s="67" t="s">
        <v>579</v>
      </c>
      <c r="DO145" s="30"/>
      <c r="DP145" s="30"/>
      <c r="DQ145" s="30"/>
      <c r="DR145" s="30"/>
      <c r="FC145" t="s">
        <v>154</v>
      </c>
      <c r="FD145" s="29" t="s">
        <v>615</v>
      </c>
      <c r="FE145">
        <v>42</v>
      </c>
      <c r="FG145" s="73" t="s">
        <v>616</v>
      </c>
      <c r="FH145" s="6" t="s">
        <v>630</v>
      </c>
      <c r="FR145" t="s">
        <v>631</v>
      </c>
      <c r="FU145" s="6" t="s">
        <v>27</v>
      </c>
      <c r="FV145" s="52" t="s">
        <v>420</v>
      </c>
      <c r="GG145" t="s">
        <v>510</v>
      </c>
      <c r="GH145" s="80" t="s">
        <v>725</v>
      </c>
      <c r="GI145" s="6" t="s">
        <v>511</v>
      </c>
      <c r="GJ145" s="8">
        <v>0.21330891398247021</v>
      </c>
      <c r="GM145">
        <v>4</v>
      </c>
      <c r="GN145" t="s">
        <v>635</v>
      </c>
      <c r="GO145" s="59" t="s">
        <v>154</v>
      </c>
      <c r="GP145">
        <v>1996</v>
      </c>
      <c r="GS145" s="71" t="s">
        <v>571</v>
      </c>
      <c r="GU145" t="s">
        <v>643</v>
      </c>
    </row>
    <row r="146" spans="1:203" ht="15" thickBot="1">
      <c r="A146" s="25" t="s">
        <v>550</v>
      </c>
      <c r="C146" t="s">
        <v>549</v>
      </c>
      <c r="E146" t="s">
        <v>16</v>
      </c>
      <c r="F146" s="6" t="s">
        <v>592</v>
      </c>
      <c r="G146" t="s">
        <v>591</v>
      </c>
      <c r="H146" s="6" t="s">
        <v>4</v>
      </c>
      <c r="I146" s="59" t="s">
        <v>154</v>
      </c>
      <c r="J146" s="59" t="s">
        <v>389</v>
      </c>
      <c r="K146" s="9">
        <v>0.1</v>
      </c>
      <c r="L146" s="9">
        <v>34.566667000000002</v>
      </c>
      <c r="M146" s="30" t="s">
        <v>31</v>
      </c>
      <c r="N146" t="s">
        <v>551</v>
      </c>
      <c r="O146">
        <v>100</v>
      </c>
      <c r="Q146">
        <v>4</v>
      </c>
      <c r="R146" t="s">
        <v>593</v>
      </c>
      <c r="S146">
        <v>1994</v>
      </c>
      <c r="T146">
        <v>1998</v>
      </c>
      <c r="U146" t="s">
        <v>590</v>
      </c>
      <c r="V146" t="s">
        <v>36</v>
      </c>
      <c r="W146" t="s">
        <v>36</v>
      </c>
      <c r="X146" s="9" t="s">
        <v>556</v>
      </c>
      <c r="Y146" t="s">
        <v>476</v>
      </c>
      <c r="Z146" s="59" t="s">
        <v>43</v>
      </c>
      <c r="AA146" t="s">
        <v>559</v>
      </c>
      <c r="AB146" s="60" t="s">
        <v>415</v>
      </c>
      <c r="AC146" s="31">
        <v>53000</v>
      </c>
      <c r="AX146" t="s">
        <v>574</v>
      </c>
      <c r="AZ146" s="60" t="s">
        <v>398</v>
      </c>
      <c r="BA146">
        <v>1994</v>
      </c>
      <c r="BB146">
        <v>1998</v>
      </c>
      <c r="BM146" t="s">
        <v>569</v>
      </c>
      <c r="BN146" s="49" t="s">
        <v>36</v>
      </c>
      <c r="BO146" s="30"/>
      <c r="BS146" s="60" t="s">
        <v>416</v>
      </c>
      <c r="BT146" s="30" t="s">
        <v>569</v>
      </c>
      <c r="BU146" s="30" t="s">
        <v>575</v>
      </c>
      <c r="BV146" s="30"/>
      <c r="CH146" s="50" t="s">
        <v>39</v>
      </c>
      <c r="CM146" s="66" t="s">
        <v>440</v>
      </c>
      <c r="CN146">
        <v>0</v>
      </c>
      <c r="CW146" s="30"/>
      <c r="DC146" s="67" t="s">
        <v>445</v>
      </c>
      <c r="DK146" s="67" t="s">
        <v>579</v>
      </c>
      <c r="DO146" s="30"/>
      <c r="DP146" s="30"/>
      <c r="DQ146" s="30"/>
      <c r="DR146" s="30"/>
      <c r="FD146" s="28" t="s">
        <v>615</v>
      </c>
      <c r="FE146">
        <v>42</v>
      </c>
      <c r="FG146" s="73" t="s">
        <v>616</v>
      </c>
      <c r="FH146" s="6" t="s">
        <v>630</v>
      </c>
      <c r="FR146" t="s">
        <v>631</v>
      </c>
      <c r="FU146" s="6" t="s">
        <v>27</v>
      </c>
      <c r="FV146" s="52" t="s">
        <v>420</v>
      </c>
      <c r="GF146" t="s">
        <v>514</v>
      </c>
      <c r="GG146" t="s">
        <v>510</v>
      </c>
      <c r="GH146" s="80" t="s">
        <v>726</v>
      </c>
      <c r="GI146" s="6" t="s">
        <v>511</v>
      </c>
      <c r="GJ146" s="8">
        <v>8.5107321943770131E-2</v>
      </c>
      <c r="GM146">
        <v>4</v>
      </c>
      <c r="GN146" t="s">
        <v>635</v>
      </c>
      <c r="GO146" s="59" t="s">
        <v>154</v>
      </c>
      <c r="GP146">
        <v>1996</v>
      </c>
      <c r="GS146" s="71" t="s">
        <v>571</v>
      </c>
      <c r="GU146" t="s">
        <v>643</v>
      </c>
    </row>
    <row r="147" spans="1:203" ht="15" thickBot="1">
      <c r="A147" s="76" t="s">
        <v>550</v>
      </c>
      <c r="B147" s="59"/>
      <c r="C147" s="59" t="s">
        <v>549</v>
      </c>
      <c r="D147" s="59"/>
      <c r="E147" s="59" t="s">
        <v>16</v>
      </c>
      <c r="F147" s="60" t="s">
        <v>592</v>
      </c>
      <c r="G147" s="59" t="s">
        <v>591</v>
      </c>
      <c r="H147" s="60" t="s">
        <v>4</v>
      </c>
      <c r="I147" s="59" t="s">
        <v>154</v>
      </c>
      <c r="J147" s="59" t="s">
        <v>389</v>
      </c>
      <c r="K147" s="77">
        <v>0.1</v>
      </c>
      <c r="L147" s="77">
        <v>34.566667000000002</v>
      </c>
      <c r="M147" s="61" t="s">
        <v>31</v>
      </c>
      <c r="N147" s="59" t="s">
        <v>551</v>
      </c>
      <c r="O147" s="59">
        <v>100</v>
      </c>
      <c r="P147" s="59"/>
      <c r="Q147" s="59">
        <v>4</v>
      </c>
      <c r="R147" s="59" t="s">
        <v>593</v>
      </c>
      <c r="S147" s="59">
        <v>1994</v>
      </c>
      <c r="T147" s="59">
        <v>1998</v>
      </c>
      <c r="U147" s="59" t="s">
        <v>590</v>
      </c>
      <c r="V147" s="59" t="s">
        <v>36</v>
      </c>
      <c r="W147" s="59" t="s">
        <v>36</v>
      </c>
      <c r="X147" s="77" t="s">
        <v>557</v>
      </c>
      <c r="Y147" s="59" t="s">
        <v>477</v>
      </c>
      <c r="Z147" s="59" t="s">
        <v>43</v>
      </c>
      <c r="AA147" s="59" t="s">
        <v>559</v>
      </c>
      <c r="AB147" s="60" t="s">
        <v>415</v>
      </c>
      <c r="AC147" s="62">
        <v>53000</v>
      </c>
      <c r="AD147" s="59"/>
      <c r="AE147" s="59"/>
      <c r="AF147" s="59"/>
      <c r="AG147" s="59"/>
      <c r="AH147" s="59"/>
      <c r="AI147" s="59"/>
      <c r="AJ147" s="59"/>
      <c r="AK147" s="59"/>
      <c r="AL147" s="59"/>
      <c r="AM147" s="59"/>
      <c r="AN147" s="59"/>
      <c r="AO147" s="59"/>
      <c r="AP147" s="59"/>
      <c r="AQ147" s="59"/>
      <c r="AR147" s="59"/>
      <c r="AS147" s="59"/>
      <c r="AT147" s="59"/>
      <c r="AU147" s="59"/>
      <c r="AV147" s="59"/>
      <c r="AW147" s="59"/>
      <c r="AX147" s="59" t="s">
        <v>574</v>
      </c>
      <c r="AY147" s="59"/>
      <c r="AZ147" s="60" t="s">
        <v>398</v>
      </c>
      <c r="BA147" s="59">
        <v>1994</v>
      </c>
      <c r="BB147" s="59">
        <v>1998</v>
      </c>
      <c r="BC147" s="59"/>
      <c r="BD147" s="59"/>
      <c r="BE147" s="59"/>
      <c r="BF147" s="59"/>
      <c r="BG147" s="59"/>
      <c r="BH147" s="59"/>
      <c r="BI147" s="59"/>
      <c r="BJ147" s="59"/>
      <c r="BK147" s="59"/>
      <c r="BL147" s="59"/>
      <c r="BM147" s="59" t="s">
        <v>570</v>
      </c>
      <c r="BN147" s="67" t="s">
        <v>36</v>
      </c>
      <c r="BO147" s="61"/>
      <c r="BP147" s="59"/>
      <c r="BQ147" s="59"/>
      <c r="BR147" s="59"/>
      <c r="BS147" s="60" t="s">
        <v>416</v>
      </c>
      <c r="BT147" s="59" t="s">
        <v>576</v>
      </c>
      <c r="BU147" s="59" t="s">
        <v>575</v>
      </c>
      <c r="BV147" s="59"/>
      <c r="BW147" s="59"/>
      <c r="BX147" s="59"/>
      <c r="BY147" s="59"/>
      <c r="BZ147" s="59"/>
      <c r="CA147" s="59"/>
      <c r="CB147" s="59"/>
      <c r="CC147" s="59"/>
      <c r="CD147" s="59"/>
      <c r="CE147" s="59"/>
      <c r="CF147" s="59"/>
      <c r="CG147" s="59" t="s">
        <v>570</v>
      </c>
      <c r="CH147" s="59" t="s">
        <v>37</v>
      </c>
      <c r="CI147" s="65" t="s">
        <v>439</v>
      </c>
      <c r="CJ147" s="59"/>
      <c r="CK147" s="59"/>
      <c r="CL147" s="59"/>
      <c r="CM147" s="66" t="s">
        <v>440</v>
      </c>
      <c r="CN147" s="59">
        <v>60</v>
      </c>
      <c r="CO147" s="59"/>
      <c r="CP147" s="59"/>
      <c r="CQ147" s="59">
        <v>60</v>
      </c>
      <c r="CR147" s="59"/>
      <c r="CS147" s="59"/>
      <c r="CT147" s="59"/>
      <c r="CU147" s="59"/>
      <c r="CV147" s="59"/>
      <c r="CW147" s="61"/>
      <c r="CX147" s="59"/>
      <c r="CY147" s="59"/>
      <c r="CZ147" s="59"/>
      <c r="DA147" s="59"/>
      <c r="DB147" s="59"/>
      <c r="DC147" s="67" t="s">
        <v>445</v>
      </c>
      <c r="DD147" s="59"/>
      <c r="DE147" s="59"/>
      <c r="DF147" s="59"/>
      <c r="DG147" s="59"/>
      <c r="DH147" s="59"/>
      <c r="DI147" s="59"/>
      <c r="DJ147" s="59"/>
      <c r="DK147" s="67" t="s">
        <v>579</v>
      </c>
      <c r="DL147" s="59"/>
      <c r="DM147" s="59"/>
      <c r="DN147" s="59"/>
      <c r="DO147" s="61"/>
      <c r="DP147" s="61"/>
      <c r="DQ147" s="61"/>
      <c r="DR147" s="61"/>
      <c r="DS147" s="59"/>
      <c r="DT147" s="59"/>
      <c r="DU147" s="59"/>
      <c r="DV147" s="59"/>
      <c r="DW147" s="59"/>
      <c r="DX147" s="59"/>
      <c r="DY147" s="59"/>
      <c r="DZ147" s="59"/>
      <c r="EA147" s="59"/>
      <c r="EB147" s="59"/>
      <c r="EC147" s="59"/>
      <c r="ED147" s="59"/>
      <c r="EE147" s="59"/>
      <c r="EF147" s="59"/>
      <c r="EG147" s="59"/>
      <c r="EH147" s="59"/>
      <c r="EI147" s="59"/>
      <c r="EJ147" s="59"/>
      <c r="EK147" s="59"/>
      <c r="EL147" s="59"/>
      <c r="EM147" s="59"/>
      <c r="EN147" s="59"/>
      <c r="EO147" s="59"/>
      <c r="EP147" s="59"/>
      <c r="EQ147" s="59"/>
      <c r="ER147" s="59"/>
      <c r="ES147" s="59"/>
      <c r="ET147" s="59"/>
      <c r="EU147" s="59"/>
      <c r="EV147" s="59"/>
      <c r="EW147" s="59"/>
      <c r="EX147" s="59"/>
      <c r="EY147" s="59"/>
      <c r="EZ147" s="59"/>
      <c r="FA147" s="59"/>
      <c r="FB147" s="59"/>
      <c r="FC147" s="59"/>
      <c r="FD147" s="71" t="s">
        <v>615</v>
      </c>
      <c r="FE147" s="59">
        <v>42</v>
      </c>
      <c r="FF147" s="59"/>
      <c r="FG147" s="73" t="s">
        <v>616</v>
      </c>
      <c r="FH147" s="6" t="s">
        <v>630</v>
      </c>
      <c r="FR147" t="s">
        <v>631</v>
      </c>
      <c r="FT147" s="59"/>
      <c r="FU147" s="6" t="s">
        <v>27</v>
      </c>
      <c r="FV147" s="52" t="s">
        <v>420</v>
      </c>
      <c r="FW147" s="59"/>
      <c r="FX147" s="59"/>
      <c r="FY147" s="59"/>
      <c r="FZ147" s="59"/>
      <c r="GA147" s="59"/>
      <c r="GB147" s="59"/>
      <c r="GC147" s="59"/>
      <c r="GD147" s="59"/>
      <c r="GE147" s="59"/>
      <c r="GF147" s="59" t="s">
        <v>587</v>
      </c>
      <c r="GG147" s="59" t="s">
        <v>510</v>
      </c>
      <c r="GH147" s="80" t="s">
        <v>727</v>
      </c>
      <c r="GI147" s="60" t="s">
        <v>511</v>
      </c>
      <c r="GJ147" s="79">
        <v>0.12781544266508993</v>
      </c>
      <c r="GK147" s="59"/>
      <c r="GL147" s="59"/>
      <c r="GM147" s="59">
        <v>4</v>
      </c>
      <c r="GN147" t="s">
        <v>635</v>
      </c>
      <c r="GO147" s="59" t="s">
        <v>154</v>
      </c>
      <c r="GP147" s="59">
        <v>1996</v>
      </c>
      <c r="GQ147" s="59"/>
      <c r="GR147" s="59"/>
      <c r="GS147" s="71" t="s">
        <v>571</v>
      </c>
      <c r="GT147" s="59"/>
      <c r="GU147" t="s">
        <v>643</v>
      </c>
    </row>
    <row r="148" spans="1:203" ht="15" thickBot="1">
      <c r="A148" s="25" t="s">
        <v>550</v>
      </c>
      <c r="C148" t="s">
        <v>549</v>
      </c>
      <c r="E148" t="s">
        <v>16</v>
      </c>
      <c r="F148" s="6" t="s">
        <v>592</v>
      </c>
      <c r="G148" t="s">
        <v>591</v>
      </c>
      <c r="H148" s="6" t="s">
        <v>4</v>
      </c>
      <c r="I148" s="59" t="s">
        <v>154</v>
      </c>
      <c r="J148" s="59" t="s">
        <v>389</v>
      </c>
      <c r="K148" s="9">
        <v>0.1</v>
      </c>
      <c r="L148" s="9">
        <v>34.566667000000002</v>
      </c>
      <c r="M148" s="30" t="s">
        <v>31</v>
      </c>
      <c r="N148" t="s">
        <v>551</v>
      </c>
      <c r="O148">
        <v>100</v>
      </c>
      <c r="Q148">
        <v>4</v>
      </c>
      <c r="R148" t="s">
        <v>593</v>
      </c>
      <c r="S148">
        <v>1994</v>
      </c>
      <c r="T148">
        <v>1998</v>
      </c>
      <c r="U148" t="s">
        <v>590</v>
      </c>
      <c r="V148" t="s">
        <v>558</v>
      </c>
      <c r="W148" t="s">
        <v>588</v>
      </c>
      <c r="X148" s="9" t="s">
        <v>552</v>
      </c>
      <c r="Y148" t="s">
        <v>478</v>
      </c>
      <c r="Z148" s="59" t="s">
        <v>43</v>
      </c>
      <c r="AA148" t="s">
        <v>559</v>
      </c>
      <c r="AB148" s="60" t="s">
        <v>415</v>
      </c>
      <c r="AC148" s="31">
        <v>53000</v>
      </c>
      <c r="AD148" t="s">
        <v>98</v>
      </c>
      <c r="AO148" t="s">
        <v>47</v>
      </c>
      <c r="AP148" s="60" t="s">
        <v>415</v>
      </c>
      <c r="AQ148" s="31">
        <v>53000</v>
      </c>
      <c r="AX148" t="s">
        <v>574</v>
      </c>
      <c r="AZ148" s="60" t="s">
        <v>398</v>
      </c>
      <c r="BA148">
        <v>1994</v>
      </c>
      <c r="BB148">
        <v>1998</v>
      </c>
      <c r="BL148" s="60"/>
      <c r="BM148" t="s">
        <v>563</v>
      </c>
      <c r="BN148" s="67" t="s">
        <v>561</v>
      </c>
      <c r="BO148" s="30"/>
      <c r="BQ148">
        <v>1995</v>
      </c>
      <c r="BR148" t="s">
        <v>560</v>
      </c>
      <c r="BS148" s="60" t="s">
        <v>416</v>
      </c>
      <c r="BT148" s="30" t="s">
        <v>572</v>
      </c>
      <c r="BU148" s="50" t="s">
        <v>28</v>
      </c>
      <c r="BV148" s="30"/>
      <c r="BX148" s="30" t="s">
        <v>31</v>
      </c>
      <c r="BY148" s="30" t="s">
        <v>31</v>
      </c>
      <c r="BZ148" s="30" t="s">
        <v>31</v>
      </c>
      <c r="CA148" s="30" t="s">
        <v>31</v>
      </c>
      <c r="CB148" s="30" t="s">
        <v>31</v>
      </c>
      <c r="CC148" s="30" t="s">
        <v>31</v>
      </c>
      <c r="CD148" s="30" t="s">
        <v>31</v>
      </c>
      <c r="CE148" s="30" t="s">
        <v>31</v>
      </c>
      <c r="CF148" s="30" t="s">
        <v>31</v>
      </c>
      <c r="CH148" s="50" t="s">
        <v>39</v>
      </c>
      <c r="CM148" s="66" t="s">
        <v>440</v>
      </c>
      <c r="CN148">
        <v>0</v>
      </c>
      <c r="CW148" s="30"/>
      <c r="DC148" s="67" t="s">
        <v>445</v>
      </c>
      <c r="DK148" s="72" t="s">
        <v>577</v>
      </c>
      <c r="DL148" s="56" t="s">
        <v>508</v>
      </c>
      <c r="DM148" s="30"/>
      <c r="DN148" s="30" t="s">
        <v>31</v>
      </c>
      <c r="DO148" s="30"/>
      <c r="DP148" s="30"/>
      <c r="DQ148" s="30"/>
      <c r="DR148" s="30"/>
      <c r="FC148" t="s">
        <v>154</v>
      </c>
      <c r="FD148" s="28" t="s">
        <v>615</v>
      </c>
      <c r="FE148">
        <v>42</v>
      </c>
      <c r="FG148" s="73" t="s">
        <v>616</v>
      </c>
      <c r="FH148" s="6" t="s">
        <v>630</v>
      </c>
      <c r="FR148" t="s">
        <v>631</v>
      </c>
      <c r="FU148" s="6" t="s">
        <v>27</v>
      </c>
      <c r="FV148" s="52" t="s">
        <v>420</v>
      </c>
      <c r="GG148" t="s">
        <v>510</v>
      </c>
      <c r="GH148" s="80" t="s">
        <v>728</v>
      </c>
      <c r="GI148" s="6" t="s">
        <v>511</v>
      </c>
      <c r="GJ148" s="8">
        <v>0.16982849451392013</v>
      </c>
      <c r="GM148">
        <v>4</v>
      </c>
      <c r="GN148" t="s">
        <v>636</v>
      </c>
      <c r="GO148" s="59" t="s">
        <v>154</v>
      </c>
      <c r="GP148">
        <v>1997</v>
      </c>
      <c r="GS148" s="71" t="s">
        <v>571</v>
      </c>
      <c r="GU148" t="s">
        <v>644</v>
      </c>
    </row>
    <row r="149" spans="1:203" ht="15" thickBot="1">
      <c r="A149" s="25" t="s">
        <v>550</v>
      </c>
      <c r="C149" t="s">
        <v>549</v>
      </c>
      <c r="E149" t="s">
        <v>16</v>
      </c>
      <c r="F149" s="6" t="s">
        <v>592</v>
      </c>
      <c r="G149" t="s">
        <v>591</v>
      </c>
      <c r="H149" s="6" t="s">
        <v>4</v>
      </c>
      <c r="I149" s="59" t="s">
        <v>154</v>
      </c>
      <c r="J149" s="59" t="s">
        <v>389</v>
      </c>
      <c r="K149" s="9">
        <v>0.1</v>
      </c>
      <c r="L149" s="9">
        <v>34.566667000000002</v>
      </c>
      <c r="M149" s="30" t="s">
        <v>31</v>
      </c>
      <c r="N149" t="s">
        <v>551</v>
      </c>
      <c r="O149">
        <v>100</v>
      </c>
      <c r="Q149">
        <v>4</v>
      </c>
      <c r="R149" t="s">
        <v>593</v>
      </c>
      <c r="S149">
        <v>1994</v>
      </c>
      <c r="T149">
        <v>1998</v>
      </c>
      <c r="U149" t="s">
        <v>590</v>
      </c>
      <c r="V149" t="s">
        <v>558</v>
      </c>
      <c r="W149" t="s">
        <v>588</v>
      </c>
      <c r="X149" s="9" t="s">
        <v>554</v>
      </c>
      <c r="Y149" t="s">
        <v>479</v>
      </c>
      <c r="Z149" s="59" t="s">
        <v>43</v>
      </c>
      <c r="AA149" t="s">
        <v>559</v>
      </c>
      <c r="AB149" s="60" t="s">
        <v>415</v>
      </c>
      <c r="AC149" s="31">
        <v>53000</v>
      </c>
      <c r="AD149" t="s">
        <v>98</v>
      </c>
      <c r="AO149" t="s">
        <v>47</v>
      </c>
      <c r="AP149" s="60" t="s">
        <v>415</v>
      </c>
      <c r="AQ149" s="31">
        <v>53000</v>
      </c>
      <c r="AX149" t="s">
        <v>574</v>
      </c>
      <c r="AZ149" s="60" t="s">
        <v>398</v>
      </c>
      <c r="BA149">
        <v>1994</v>
      </c>
      <c r="BB149">
        <v>1998</v>
      </c>
      <c r="BL149" s="60"/>
      <c r="BM149" t="s">
        <v>564</v>
      </c>
      <c r="BN149" s="67" t="s">
        <v>562</v>
      </c>
      <c r="BO149" s="30"/>
      <c r="BQ149">
        <v>1994</v>
      </c>
      <c r="BR149" t="s">
        <v>571</v>
      </c>
      <c r="BS149" s="60" t="s">
        <v>416</v>
      </c>
      <c r="BT149" s="30" t="s">
        <v>573</v>
      </c>
      <c r="BU149" s="50" t="s">
        <v>28</v>
      </c>
      <c r="BV149" s="30"/>
      <c r="BX149" s="30" t="s">
        <v>31</v>
      </c>
      <c r="BY149" s="30" t="s">
        <v>31</v>
      </c>
      <c r="BZ149" s="30" t="s">
        <v>31</v>
      </c>
      <c r="CA149" s="30" t="s">
        <v>31</v>
      </c>
      <c r="CB149" s="30" t="s">
        <v>31</v>
      </c>
      <c r="CC149" s="30" t="s">
        <v>31</v>
      </c>
      <c r="CD149" s="30" t="s">
        <v>31</v>
      </c>
      <c r="CE149" s="30" t="s">
        <v>31</v>
      </c>
      <c r="CF149" s="30" t="s">
        <v>31</v>
      </c>
      <c r="CH149" s="50" t="s">
        <v>39</v>
      </c>
      <c r="CM149" s="66" t="s">
        <v>440</v>
      </c>
      <c r="CN149">
        <v>0</v>
      </c>
      <c r="CW149" s="30"/>
      <c r="DC149" s="67" t="s">
        <v>445</v>
      </c>
      <c r="DK149" s="72" t="s">
        <v>577</v>
      </c>
      <c r="DL149" s="56" t="s">
        <v>508</v>
      </c>
      <c r="DM149" s="30"/>
      <c r="DN149" s="30" t="s">
        <v>31</v>
      </c>
      <c r="DO149" s="30"/>
      <c r="DP149" s="30"/>
      <c r="DQ149" s="30"/>
      <c r="DR149" s="30"/>
      <c r="FC149" t="s">
        <v>154</v>
      </c>
      <c r="FD149" s="29" t="s">
        <v>615</v>
      </c>
      <c r="FE149">
        <v>42</v>
      </c>
      <c r="FG149" s="73" t="s">
        <v>616</v>
      </c>
      <c r="FH149" s="6" t="s">
        <v>630</v>
      </c>
      <c r="FR149" t="s">
        <v>631</v>
      </c>
      <c r="FU149" s="6" t="s">
        <v>27</v>
      </c>
      <c r="FV149" s="52" t="s">
        <v>420</v>
      </c>
      <c r="GG149" t="s">
        <v>510</v>
      </c>
      <c r="GH149" s="80" t="s">
        <v>729</v>
      </c>
      <c r="GI149" s="6" t="s">
        <v>511</v>
      </c>
      <c r="GJ149" s="8">
        <v>8.5030092069049878E-2</v>
      </c>
      <c r="GM149">
        <v>4</v>
      </c>
      <c r="GN149" t="s">
        <v>636</v>
      </c>
      <c r="GO149" s="59" t="s">
        <v>154</v>
      </c>
      <c r="GP149">
        <v>1997</v>
      </c>
      <c r="GS149" s="71" t="s">
        <v>571</v>
      </c>
      <c r="GU149" t="s">
        <v>644</v>
      </c>
    </row>
    <row r="150" spans="1:203" ht="15" thickBot="1">
      <c r="A150" s="25" t="s">
        <v>550</v>
      </c>
      <c r="C150" t="s">
        <v>549</v>
      </c>
      <c r="E150" t="s">
        <v>16</v>
      </c>
      <c r="F150" s="6" t="s">
        <v>592</v>
      </c>
      <c r="G150" t="s">
        <v>591</v>
      </c>
      <c r="H150" s="6" t="s">
        <v>4</v>
      </c>
      <c r="I150" s="59" t="s">
        <v>154</v>
      </c>
      <c r="J150" s="59" t="s">
        <v>389</v>
      </c>
      <c r="K150" s="9">
        <v>0.1</v>
      </c>
      <c r="L150" s="9">
        <v>34.566667000000002</v>
      </c>
      <c r="M150" s="30" t="s">
        <v>31</v>
      </c>
      <c r="N150" t="s">
        <v>551</v>
      </c>
      <c r="O150">
        <v>100</v>
      </c>
      <c r="Q150">
        <v>4</v>
      </c>
      <c r="R150" t="s">
        <v>593</v>
      </c>
      <c r="S150">
        <v>1994</v>
      </c>
      <c r="T150">
        <v>1998</v>
      </c>
      <c r="U150" t="s">
        <v>590</v>
      </c>
      <c r="V150" t="s">
        <v>558</v>
      </c>
      <c r="W150" t="s">
        <v>589</v>
      </c>
      <c r="X150" s="9" t="s">
        <v>553</v>
      </c>
      <c r="Y150" t="s">
        <v>480</v>
      </c>
      <c r="Z150" s="59" t="s">
        <v>43</v>
      </c>
      <c r="AA150" t="s">
        <v>559</v>
      </c>
      <c r="AB150" s="60" t="s">
        <v>415</v>
      </c>
      <c r="AC150" s="31">
        <v>53000</v>
      </c>
      <c r="AP150" s="60"/>
      <c r="AQ150" s="31"/>
      <c r="AX150" t="s">
        <v>574</v>
      </c>
      <c r="AZ150" s="60" t="s">
        <v>398</v>
      </c>
      <c r="BA150">
        <v>1994</v>
      </c>
      <c r="BB150">
        <v>1998</v>
      </c>
      <c r="BM150" t="s">
        <v>565</v>
      </c>
      <c r="BN150" s="49" t="s">
        <v>566</v>
      </c>
      <c r="BO150" s="30"/>
      <c r="BQ150">
        <v>1995</v>
      </c>
      <c r="BR150" t="s">
        <v>571</v>
      </c>
      <c r="BS150" s="60" t="s">
        <v>416</v>
      </c>
      <c r="BT150" s="30" t="s">
        <v>569</v>
      </c>
      <c r="BU150" s="30" t="s">
        <v>575</v>
      </c>
      <c r="BV150" s="30"/>
      <c r="CH150" s="50" t="s">
        <v>39</v>
      </c>
      <c r="CM150" s="66" t="s">
        <v>440</v>
      </c>
      <c r="CN150">
        <v>0</v>
      </c>
      <c r="CW150" s="30"/>
      <c r="DC150" s="67" t="s">
        <v>445</v>
      </c>
      <c r="DK150" s="67" t="s">
        <v>579</v>
      </c>
      <c r="DL150" s="30"/>
      <c r="DM150" s="30"/>
      <c r="DN150" s="30"/>
      <c r="DO150" s="30"/>
      <c r="DP150" s="30"/>
      <c r="DQ150" s="30"/>
      <c r="DR150" s="30"/>
      <c r="FC150" t="s">
        <v>154</v>
      </c>
      <c r="FD150" s="28" t="s">
        <v>615</v>
      </c>
      <c r="FE150">
        <v>42</v>
      </c>
      <c r="FG150" s="73" t="s">
        <v>616</v>
      </c>
      <c r="FH150" s="6" t="s">
        <v>630</v>
      </c>
      <c r="FR150" t="s">
        <v>631</v>
      </c>
      <c r="FU150" s="6" t="s">
        <v>27</v>
      </c>
      <c r="FV150" s="52" t="s">
        <v>420</v>
      </c>
      <c r="GG150" t="s">
        <v>510</v>
      </c>
      <c r="GH150" s="80" t="s">
        <v>730</v>
      </c>
      <c r="GI150" s="6" t="s">
        <v>511</v>
      </c>
      <c r="GJ150" s="8">
        <v>0.1487833536521499</v>
      </c>
      <c r="GM150">
        <v>4</v>
      </c>
      <c r="GN150" t="s">
        <v>636</v>
      </c>
      <c r="GO150" s="59" t="s">
        <v>154</v>
      </c>
      <c r="GP150">
        <v>1997</v>
      </c>
      <c r="GS150" s="71" t="s">
        <v>571</v>
      </c>
      <c r="GU150" t="s">
        <v>644</v>
      </c>
    </row>
    <row r="151" spans="1:203" ht="15" thickBot="1">
      <c r="A151" s="25" t="s">
        <v>550</v>
      </c>
      <c r="C151" t="s">
        <v>549</v>
      </c>
      <c r="E151" t="s">
        <v>16</v>
      </c>
      <c r="F151" s="6" t="s">
        <v>592</v>
      </c>
      <c r="G151" t="s">
        <v>591</v>
      </c>
      <c r="H151" s="6" t="s">
        <v>4</v>
      </c>
      <c r="I151" s="59" t="s">
        <v>154</v>
      </c>
      <c r="J151" s="59" t="s">
        <v>389</v>
      </c>
      <c r="K151" s="9">
        <v>0.1</v>
      </c>
      <c r="L151" s="9">
        <v>34.566667000000002</v>
      </c>
      <c r="M151" s="30" t="s">
        <v>31</v>
      </c>
      <c r="N151" t="s">
        <v>551</v>
      </c>
      <c r="O151">
        <v>100</v>
      </c>
      <c r="Q151">
        <v>4</v>
      </c>
      <c r="R151" t="s">
        <v>593</v>
      </c>
      <c r="S151">
        <v>1994</v>
      </c>
      <c r="T151">
        <v>1998</v>
      </c>
      <c r="U151" t="s">
        <v>590</v>
      </c>
      <c r="V151" t="s">
        <v>558</v>
      </c>
      <c r="W151" t="s">
        <v>589</v>
      </c>
      <c r="X151" s="9" t="s">
        <v>555</v>
      </c>
      <c r="Y151" t="s">
        <v>481</v>
      </c>
      <c r="Z151" s="59" t="s">
        <v>43</v>
      </c>
      <c r="AA151" t="s">
        <v>559</v>
      </c>
      <c r="AB151" s="60" t="s">
        <v>415</v>
      </c>
      <c r="AC151" s="31">
        <v>53000</v>
      </c>
      <c r="AP151" s="60"/>
      <c r="AQ151" s="31"/>
      <c r="AX151" t="s">
        <v>574</v>
      </c>
      <c r="AZ151" s="60" t="s">
        <v>398</v>
      </c>
      <c r="BA151">
        <v>1994</v>
      </c>
      <c r="BB151">
        <v>1998</v>
      </c>
      <c r="BM151" t="s">
        <v>567</v>
      </c>
      <c r="BN151" s="49" t="s">
        <v>568</v>
      </c>
      <c r="BO151" s="30"/>
      <c r="BQ151">
        <v>1994</v>
      </c>
      <c r="BR151" t="s">
        <v>571</v>
      </c>
      <c r="BS151" s="60" t="s">
        <v>416</v>
      </c>
      <c r="BT151" s="30" t="s">
        <v>569</v>
      </c>
      <c r="BU151" s="30" t="s">
        <v>575</v>
      </c>
      <c r="BV151" s="30"/>
      <c r="CH151" s="50" t="s">
        <v>39</v>
      </c>
      <c r="CM151" s="66" t="s">
        <v>440</v>
      </c>
      <c r="CN151">
        <v>0</v>
      </c>
      <c r="CW151" s="30"/>
      <c r="DC151" s="67" t="s">
        <v>445</v>
      </c>
      <c r="DK151" s="67" t="s">
        <v>579</v>
      </c>
      <c r="DO151" s="30"/>
      <c r="DP151" s="30"/>
      <c r="DQ151" s="30"/>
      <c r="DR151" s="30"/>
      <c r="FC151" t="s">
        <v>154</v>
      </c>
      <c r="FD151" s="29" t="s">
        <v>615</v>
      </c>
      <c r="FE151">
        <v>42</v>
      </c>
      <c r="FG151" s="73" t="s">
        <v>616</v>
      </c>
      <c r="FH151" s="6" t="s">
        <v>630</v>
      </c>
      <c r="FR151" t="s">
        <v>631</v>
      </c>
      <c r="FU151" s="6" t="s">
        <v>27</v>
      </c>
      <c r="FV151" s="52" t="s">
        <v>420</v>
      </c>
      <c r="GG151" t="s">
        <v>510</v>
      </c>
      <c r="GH151" s="80" t="s">
        <v>731</v>
      </c>
      <c r="GI151" s="6" t="s">
        <v>511</v>
      </c>
      <c r="GJ151" s="8">
        <v>0.16990572438863993</v>
      </c>
      <c r="GM151">
        <v>4</v>
      </c>
      <c r="GN151" t="s">
        <v>636</v>
      </c>
      <c r="GO151" s="59" t="s">
        <v>154</v>
      </c>
      <c r="GP151">
        <v>1997</v>
      </c>
      <c r="GS151" s="71" t="s">
        <v>571</v>
      </c>
      <c r="GU151" t="s">
        <v>644</v>
      </c>
    </row>
    <row r="152" spans="1:203" ht="15" thickBot="1">
      <c r="A152" s="25" t="s">
        <v>550</v>
      </c>
      <c r="C152" t="s">
        <v>549</v>
      </c>
      <c r="E152" t="s">
        <v>16</v>
      </c>
      <c r="F152" s="6" t="s">
        <v>592</v>
      </c>
      <c r="G152" t="s">
        <v>591</v>
      </c>
      <c r="H152" s="6" t="s">
        <v>4</v>
      </c>
      <c r="I152" s="59" t="s">
        <v>154</v>
      </c>
      <c r="J152" s="59" t="s">
        <v>389</v>
      </c>
      <c r="K152" s="9">
        <v>0.1</v>
      </c>
      <c r="L152" s="9">
        <v>34.566667000000002</v>
      </c>
      <c r="M152" s="30" t="s">
        <v>31</v>
      </c>
      <c r="N152" t="s">
        <v>551</v>
      </c>
      <c r="O152">
        <v>100</v>
      </c>
      <c r="Q152">
        <v>4</v>
      </c>
      <c r="R152" t="s">
        <v>593</v>
      </c>
      <c r="S152">
        <v>1994</v>
      </c>
      <c r="T152">
        <v>1998</v>
      </c>
      <c r="U152" t="s">
        <v>590</v>
      </c>
      <c r="V152" t="s">
        <v>36</v>
      </c>
      <c r="W152" t="s">
        <v>36</v>
      </c>
      <c r="X152" s="9" t="s">
        <v>556</v>
      </c>
      <c r="Y152" t="s">
        <v>476</v>
      </c>
      <c r="Z152" s="59" t="s">
        <v>43</v>
      </c>
      <c r="AA152" t="s">
        <v>559</v>
      </c>
      <c r="AB152" s="60" t="s">
        <v>415</v>
      </c>
      <c r="AC152" s="31">
        <v>53000</v>
      </c>
      <c r="AX152" t="s">
        <v>574</v>
      </c>
      <c r="AZ152" s="60" t="s">
        <v>398</v>
      </c>
      <c r="BA152">
        <v>1994</v>
      </c>
      <c r="BB152">
        <v>1998</v>
      </c>
      <c r="BM152" t="s">
        <v>569</v>
      </c>
      <c r="BN152" s="49" t="s">
        <v>36</v>
      </c>
      <c r="BO152" s="30"/>
      <c r="BS152" s="60" t="s">
        <v>416</v>
      </c>
      <c r="BT152" s="30" t="s">
        <v>569</v>
      </c>
      <c r="BU152" s="30" t="s">
        <v>575</v>
      </c>
      <c r="BV152" s="30"/>
      <c r="CH152" s="50" t="s">
        <v>39</v>
      </c>
      <c r="CM152" s="66" t="s">
        <v>440</v>
      </c>
      <c r="CN152">
        <v>0</v>
      </c>
      <c r="CW152" s="30"/>
      <c r="DC152" s="67" t="s">
        <v>445</v>
      </c>
      <c r="DK152" s="67" t="s">
        <v>579</v>
      </c>
      <c r="DO152" s="30"/>
      <c r="DP152" s="30"/>
      <c r="DQ152" s="30"/>
      <c r="DR152" s="30"/>
      <c r="FD152" s="28" t="s">
        <v>615</v>
      </c>
      <c r="FE152">
        <v>42</v>
      </c>
      <c r="FG152" s="73" t="s">
        <v>616</v>
      </c>
      <c r="FH152" s="6" t="s">
        <v>630</v>
      </c>
      <c r="FR152" t="s">
        <v>631</v>
      </c>
      <c r="FU152" s="6" t="s">
        <v>27</v>
      </c>
      <c r="FV152" s="52" t="s">
        <v>420</v>
      </c>
      <c r="GF152" t="s">
        <v>514</v>
      </c>
      <c r="GG152" t="s">
        <v>510</v>
      </c>
      <c r="GH152" s="80" t="s">
        <v>732</v>
      </c>
      <c r="GI152" s="6" t="s">
        <v>511</v>
      </c>
      <c r="GJ152" s="8">
        <v>0.17006018413809021</v>
      </c>
      <c r="GM152">
        <v>4</v>
      </c>
      <c r="GN152" t="s">
        <v>636</v>
      </c>
      <c r="GO152" s="59" t="s">
        <v>154</v>
      </c>
      <c r="GP152">
        <v>1997</v>
      </c>
      <c r="GS152" s="71" t="s">
        <v>571</v>
      </c>
      <c r="GU152" t="s">
        <v>644</v>
      </c>
    </row>
    <row r="153" spans="1:203" ht="15" thickBot="1">
      <c r="A153" s="76" t="s">
        <v>550</v>
      </c>
      <c r="B153" s="59"/>
      <c r="C153" s="59" t="s">
        <v>549</v>
      </c>
      <c r="D153" s="59"/>
      <c r="E153" s="59" t="s">
        <v>16</v>
      </c>
      <c r="F153" s="60" t="s">
        <v>592</v>
      </c>
      <c r="G153" s="59" t="s">
        <v>591</v>
      </c>
      <c r="H153" s="60" t="s">
        <v>4</v>
      </c>
      <c r="I153" s="59" t="s">
        <v>154</v>
      </c>
      <c r="J153" s="59" t="s">
        <v>389</v>
      </c>
      <c r="K153" s="77">
        <v>0.1</v>
      </c>
      <c r="L153" s="77">
        <v>34.566667000000002</v>
      </c>
      <c r="M153" s="61" t="s">
        <v>31</v>
      </c>
      <c r="N153" s="59" t="s">
        <v>551</v>
      </c>
      <c r="O153" s="59">
        <v>100</v>
      </c>
      <c r="P153" s="59"/>
      <c r="Q153" s="59">
        <v>4</v>
      </c>
      <c r="R153" s="59" t="s">
        <v>593</v>
      </c>
      <c r="S153" s="59">
        <v>1994</v>
      </c>
      <c r="T153" s="59">
        <v>1998</v>
      </c>
      <c r="U153" s="59" t="s">
        <v>590</v>
      </c>
      <c r="V153" s="59" t="s">
        <v>36</v>
      </c>
      <c r="W153" s="59" t="s">
        <v>36</v>
      </c>
      <c r="X153" s="77" t="s">
        <v>557</v>
      </c>
      <c r="Y153" s="59" t="s">
        <v>477</v>
      </c>
      <c r="Z153" s="59" t="s">
        <v>43</v>
      </c>
      <c r="AA153" s="59" t="s">
        <v>559</v>
      </c>
      <c r="AB153" s="60" t="s">
        <v>415</v>
      </c>
      <c r="AC153" s="62">
        <v>53000</v>
      </c>
      <c r="AD153" s="59"/>
      <c r="AE153" s="59"/>
      <c r="AF153" s="59"/>
      <c r="AG153" s="59"/>
      <c r="AH153" s="59"/>
      <c r="AI153" s="59"/>
      <c r="AJ153" s="59"/>
      <c r="AK153" s="59"/>
      <c r="AL153" s="59"/>
      <c r="AM153" s="59"/>
      <c r="AN153" s="59"/>
      <c r="AO153" s="59"/>
      <c r="AP153" s="59"/>
      <c r="AQ153" s="59"/>
      <c r="AR153" s="59"/>
      <c r="AS153" s="59"/>
      <c r="AT153" s="59"/>
      <c r="AU153" s="59"/>
      <c r="AV153" s="59"/>
      <c r="AW153" s="59"/>
      <c r="AX153" s="59" t="s">
        <v>574</v>
      </c>
      <c r="AY153" s="59"/>
      <c r="AZ153" s="60" t="s">
        <v>398</v>
      </c>
      <c r="BA153" s="59">
        <v>1994</v>
      </c>
      <c r="BB153" s="59">
        <v>1998</v>
      </c>
      <c r="BC153" s="59"/>
      <c r="BD153" s="59"/>
      <c r="BE153" s="59"/>
      <c r="BF153" s="59"/>
      <c r="BG153" s="59"/>
      <c r="BH153" s="59"/>
      <c r="BI153" s="59"/>
      <c r="BJ153" s="59"/>
      <c r="BK153" s="59"/>
      <c r="BL153" s="59"/>
      <c r="BM153" s="59" t="s">
        <v>570</v>
      </c>
      <c r="BN153" s="67" t="s">
        <v>36</v>
      </c>
      <c r="BO153" s="61"/>
      <c r="BP153" s="59"/>
      <c r="BQ153" s="59"/>
      <c r="BR153" s="59"/>
      <c r="BS153" s="60" t="s">
        <v>416</v>
      </c>
      <c r="BT153" s="59" t="s">
        <v>576</v>
      </c>
      <c r="BU153" s="59" t="s">
        <v>575</v>
      </c>
      <c r="BV153" s="59"/>
      <c r="BW153" s="59"/>
      <c r="BX153" s="59"/>
      <c r="BY153" s="59"/>
      <c r="BZ153" s="59"/>
      <c r="CA153" s="59"/>
      <c r="CB153" s="59"/>
      <c r="CC153" s="59"/>
      <c r="CD153" s="59"/>
      <c r="CE153" s="59"/>
      <c r="CF153" s="59"/>
      <c r="CG153" s="59" t="s">
        <v>570</v>
      </c>
      <c r="CH153" s="59" t="s">
        <v>37</v>
      </c>
      <c r="CI153" s="65" t="s">
        <v>439</v>
      </c>
      <c r="CJ153" s="59"/>
      <c r="CK153" s="59"/>
      <c r="CL153" s="59"/>
      <c r="CM153" s="66" t="s">
        <v>440</v>
      </c>
      <c r="CN153" s="59">
        <v>60</v>
      </c>
      <c r="CO153" s="59"/>
      <c r="CP153" s="59"/>
      <c r="CQ153" s="59">
        <v>60</v>
      </c>
      <c r="CR153" s="59"/>
      <c r="CS153" s="59"/>
      <c r="CT153" s="59"/>
      <c r="CU153" s="59"/>
      <c r="CV153" s="59"/>
      <c r="CW153" s="61"/>
      <c r="CX153" s="59"/>
      <c r="CY153" s="59"/>
      <c r="CZ153" s="59"/>
      <c r="DA153" s="59"/>
      <c r="DB153" s="59"/>
      <c r="DC153" s="67" t="s">
        <v>445</v>
      </c>
      <c r="DD153" s="59"/>
      <c r="DE153" s="59"/>
      <c r="DF153" s="59"/>
      <c r="DG153" s="59"/>
      <c r="DH153" s="59"/>
      <c r="DI153" s="59"/>
      <c r="DJ153" s="59"/>
      <c r="DK153" s="67" t="s">
        <v>579</v>
      </c>
      <c r="DL153" s="59"/>
      <c r="DM153" s="59"/>
      <c r="DN153" s="59"/>
      <c r="DO153" s="61"/>
      <c r="DP153" s="61"/>
      <c r="DQ153" s="61"/>
      <c r="DR153" s="61"/>
      <c r="DS153" s="59"/>
      <c r="DT153" s="59"/>
      <c r="DU153" s="59"/>
      <c r="DV153" s="59"/>
      <c r="DW153" s="59"/>
      <c r="DX153" s="59"/>
      <c r="DY153" s="59"/>
      <c r="DZ153" s="59"/>
      <c r="EA153" s="59"/>
      <c r="EB153" s="59"/>
      <c r="EC153" s="59"/>
      <c r="ED153" s="59"/>
      <c r="EE153" s="59"/>
      <c r="EF153" s="59"/>
      <c r="EG153" s="59"/>
      <c r="EH153" s="59"/>
      <c r="EI153" s="59"/>
      <c r="EJ153" s="59"/>
      <c r="EK153" s="59"/>
      <c r="EL153" s="59"/>
      <c r="EM153" s="59"/>
      <c r="EN153" s="59"/>
      <c r="EO153" s="59"/>
      <c r="EP153" s="59"/>
      <c r="EQ153" s="59"/>
      <c r="ER153" s="59"/>
      <c r="ES153" s="59"/>
      <c r="ET153" s="59"/>
      <c r="EU153" s="59"/>
      <c r="EV153" s="59"/>
      <c r="EW153" s="59"/>
      <c r="EX153" s="59"/>
      <c r="EY153" s="59"/>
      <c r="EZ153" s="59"/>
      <c r="FA153" s="59"/>
      <c r="FB153" s="59"/>
      <c r="FC153" s="59"/>
      <c r="FD153" s="71" t="s">
        <v>615</v>
      </c>
      <c r="FE153" s="59">
        <v>42</v>
      </c>
      <c r="FF153" s="59"/>
      <c r="FG153" s="73" t="s">
        <v>616</v>
      </c>
      <c r="FH153" s="6" t="s">
        <v>630</v>
      </c>
      <c r="FR153" t="s">
        <v>631</v>
      </c>
      <c r="FT153" s="59"/>
      <c r="FU153" s="6" t="s">
        <v>27</v>
      </c>
      <c r="FV153" s="52" t="s">
        <v>420</v>
      </c>
      <c r="FW153" s="59"/>
      <c r="FX153" s="59"/>
      <c r="FY153" s="59"/>
      <c r="FZ153" s="59"/>
      <c r="GA153" s="59"/>
      <c r="GB153" s="59"/>
      <c r="GC153" s="59"/>
      <c r="GD153" s="59"/>
      <c r="GE153" s="59"/>
      <c r="GF153" s="59" t="s">
        <v>587</v>
      </c>
      <c r="GG153" s="59" t="s">
        <v>510</v>
      </c>
      <c r="GH153" s="80" t="s">
        <v>733</v>
      </c>
      <c r="GI153" s="60" t="s">
        <v>511</v>
      </c>
      <c r="GJ153" s="79">
        <v>0.17006018413808999</v>
      </c>
      <c r="GK153" s="59"/>
      <c r="GL153" s="59"/>
      <c r="GM153" s="59">
        <v>4</v>
      </c>
      <c r="GN153" t="s">
        <v>636</v>
      </c>
      <c r="GO153" s="59" t="s">
        <v>154</v>
      </c>
      <c r="GP153">
        <v>1997</v>
      </c>
      <c r="GQ153" s="59"/>
      <c r="GR153" s="59"/>
      <c r="GS153" s="71" t="s">
        <v>571</v>
      </c>
      <c r="GT153" s="59"/>
      <c r="GU153" t="s">
        <v>644</v>
      </c>
    </row>
    <row r="154" spans="1:203" ht="15" thickBot="1">
      <c r="A154" s="25" t="s">
        <v>550</v>
      </c>
      <c r="C154" t="s">
        <v>549</v>
      </c>
      <c r="E154" t="s">
        <v>16</v>
      </c>
      <c r="F154" s="6" t="s">
        <v>592</v>
      </c>
      <c r="G154" t="s">
        <v>591</v>
      </c>
      <c r="H154" s="6" t="s">
        <v>4</v>
      </c>
      <c r="I154" s="59" t="s">
        <v>154</v>
      </c>
      <c r="J154" s="59" t="s">
        <v>389</v>
      </c>
      <c r="K154" s="9">
        <v>0.1</v>
      </c>
      <c r="L154" s="9">
        <v>34.566667000000002</v>
      </c>
      <c r="M154" s="30" t="s">
        <v>31</v>
      </c>
      <c r="N154" t="s">
        <v>551</v>
      </c>
      <c r="O154">
        <v>100</v>
      </c>
      <c r="Q154">
        <v>4</v>
      </c>
      <c r="R154" t="s">
        <v>593</v>
      </c>
      <c r="S154">
        <v>1994</v>
      </c>
      <c r="T154">
        <v>1998</v>
      </c>
      <c r="U154" t="s">
        <v>590</v>
      </c>
      <c r="V154" t="s">
        <v>558</v>
      </c>
      <c r="W154" t="s">
        <v>588</v>
      </c>
      <c r="X154" s="9" t="s">
        <v>552</v>
      </c>
      <c r="Y154" t="s">
        <v>478</v>
      </c>
      <c r="Z154" s="59" t="s">
        <v>43</v>
      </c>
      <c r="AA154" t="s">
        <v>559</v>
      </c>
      <c r="AB154" s="60" t="s">
        <v>415</v>
      </c>
      <c r="AC154" s="31">
        <v>53000</v>
      </c>
      <c r="AD154" t="s">
        <v>98</v>
      </c>
      <c r="AO154" t="s">
        <v>47</v>
      </c>
      <c r="AP154" s="60" t="s">
        <v>415</v>
      </c>
      <c r="AQ154" s="31">
        <v>53000</v>
      </c>
      <c r="AX154" t="s">
        <v>574</v>
      </c>
      <c r="AZ154" s="60" t="s">
        <v>398</v>
      </c>
      <c r="BA154">
        <v>1994</v>
      </c>
      <c r="BB154">
        <v>1998</v>
      </c>
      <c r="BL154" s="60"/>
      <c r="BM154" t="s">
        <v>563</v>
      </c>
      <c r="BN154" s="67" t="s">
        <v>561</v>
      </c>
      <c r="BO154" s="30"/>
      <c r="BQ154">
        <v>1995</v>
      </c>
      <c r="BR154" t="s">
        <v>560</v>
      </c>
      <c r="BS154" s="60" t="s">
        <v>416</v>
      </c>
      <c r="BT154" s="30" t="s">
        <v>572</v>
      </c>
      <c r="BU154" s="50" t="s">
        <v>28</v>
      </c>
      <c r="BV154" s="30"/>
      <c r="BX154" s="30" t="s">
        <v>31</v>
      </c>
      <c r="BY154" s="30" t="s">
        <v>31</v>
      </c>
      <c r="BZ154" s="30" t="s">
        <v>31</v>
      </c>
      <c r="CA154" s="30" t="s">
        <v>31</v>
      </c>
      <c r="CB154" s="30" t="s">
        <v>31</v>
      </c>
      <c r="CC154" s="30" t="s">
        <v>31</v>
      </c>
      <c r="CD154" s="30" t="s">
        <v>31</v>
      </c>
      <c r="CE154" s="30" t="s">
        <v>31</v>
      </c>
      <c r="CF154" s="30" t="s">
        <v>31</v>
      </c>
      <c r="CH154" s="50" t="s">
        <v>39</v>
      </c>
      <c r="CM154" s="66" t="s">
        <v>440</v>
      </c>
      <c r="CN154">
        <v>0</v>
      </c>
      <c r="CW154" s="30"/>
      <c r="DC154" s="67" t="s">
        <v>445</v>
      </c>
      <c r="DK154" s="72" t="s">
        <v>577</v>
      </c>
      <c r="DL154" s="56" t="s">
        <v>508</v>
      </c>
      <c r="DM154" s="30"/>
      <c r="DN154" s="30" t="s">
        <v>31</v>
      </c>
      <c r="DO154" s="30"/>
      <c r="DP154" s="30"/>
      <c r="DQ154" s="30"/>
      <c r="DR154" s="30"/>
      <c r="FC154" t="s">
        <v>154</v>
      </c>
      <c r="FD154" s="28" t="s">
        <v>615</v>
      </c>
      <c r="FE154">
        <v>42</v>
      </c>
      <c r="FG154" s="73" t="s">
        <v>616</v>
      </c>
      <c r="FH154" s="6" t="s">
        <v>470</v>
      </c>
      <c r="FR154" t="s">
        <v>642</v>
      </c>
      <c r="FU154" s="6" t="s">
        <v>27</v>
      </c>
      <c r="FV154" s="52" t="s">
        <v>420</v>
      </c>
      <c r="GG154" t="s">
        <v>510</v>
      </c>
      <c r="GH154" s="80" t="s">
        <v>734</v>
      </c>
      <c r="GI154" s="6" t="s">
        <v>511</v>
      </c>
      <c r="GJ154" s="8">
        <v>0.83925673437070003</v>
      </c>
      <c r="GM154">
        <v>4</v>
      </c>
      <c r="GN154" t="s">
        <v>639</v>
      </c>
      <c r="GO154" s="59" t="s">
        <v>154</v>
      </c>
      <c r="GP154">
        <v>1996</v>
      </c>
      <c r="GS154" s="71" t="s">
        <v>560</v>
      </c>
      <c r="GU154" t="s">
        <v>643</v>
      </c>
    </row>
    <row r="155" spans="1:203" ht="15" thickBot="1">
      <c r="A155" s="25" t="s">
        <v>550</v>
      </c>
      <c r="C155" t="s">
        <v>549</v>
      </c>
      <c r="E155" t="s">
        <v>16</v>
      </c>
      <c r="F155" s="6" t="s">
        <v>592</v>
      </c>
      <c r="G155" t="s">
        <v>591</v>
      </c>
      <c r="H155" s="6" t="s">
        <v>4</v>
      </c>
      <c r="I155" s="59" t="s">
        <v>154</v>
      </c>
      <c r="J155" s="59" t="s">
        <v>389</v>
      </c>
      <c r="K155" s="9">
        <v>0.1</v>
      </c>
      <c r="L155" s="9">
        <v>34.566667000000002</v>
      </c>
      <c r="M155" s="30" t="s">
        <v>31</v>
      </c>
      <c r="N155" t="s">
        <v>551</v>
      </c>
      <c r="O155">
        <v>100</v>
      </c>
      <c r="Q155">
        <v>4</v>
      </c>
      <c r="R155" t="s">
        <v>593</v>
      </c>
      <c r="S155">
        <v>1994</v>
      </c>
      <c r="T155">
        <v>1998</v>
      </c>
      <c r="U155" t="s">
        <v>590</v>
      </c>
      <c r="V155" t="s">
        <v>558</v>
      </c>
      <c r="W155" t="s">
        <v>588</v>
      </c>
      <c r="X155" s="9" t="s">
        <v>554</v>
      </c>
      <c r="Y155" t="s">
        <v>479</v>
      </c>
      <c r="Z155" s="59" t="s">
        <v>43</v>
      </c>
      <c r="AA155" t="s">
        <v>559</v>
      </c>
      <c r="AB155" s="60" t="s">
        <v>415</v>
      </c>
      <c r="AC155" s="31">
        <v>53000</v>
      </c>
      <c r="AD155" t="s">
        <v>98</v>
      </c>
      <c r="AO155" t="s">
        <v>47</v>
      </c>
      <c r="AP155" s="60" t="s">
        <v>415</v>
      </c>
      <c r="AQ155" s="31">
        <v>53000</v>
      </c>
      <c r="AX155" t="s">
        <v>574</v>
      </c>
      <c r="AZ155" s="60" t="s">
        <v>398</v>
      </c>
      <c r="BA155">
        <v>1994</v>
      </c>
      <c r="BB155">
        <v>1998</v>
      </c>
      <c r="BL155" s="60"/>
      <c r="BM155" t="s">
        <v>564</v>
      </c>
      <c r="BN155" s="67" t="s">
        <v>562</v>
      </c>
      <c r="BO155" s="30"/>
      <c r="BQ155">
        <v>1994</v>
      </c>
      <c r="BR155" t="s">
        <v>571</v>
      </c>
      <c r="BS155" s="60" t="s">
        <v>416</v>
      </c>
      <c r="BT155" s="30" t="s">
        <v>573</v>
      </c>
      <c r="BU155" s="50" t="s">
        <v>28</v>
      </c>
      <c r="BV155" s="30"/>
      <c r="BX155" s="30" t="s">
        <v>31</v>
      </c>
      <c r="BY155" s="30" t="s">
        <v>31</v>
      </c>
      <c r="BZ155" s="30" t="s">
        <v>31</v>
      </c>
      <c r="CA155" s="30" t="s">
        <v>31</v>
      </c>
      <c r="CB155" s="30" t="s">
        <v>31</v>
      </c>
      <c r="CC155" s="30" t="s">
        <v>31</v>
      </c>
      <c r="CD155" s="30" t="s">
        <v>31</v>
      </c>
      <c r="CE155" s="30" t="s">
        <v>31</v>
      </c>
      <c r="CF155" s="30" t="s">
        <v>31</v>
      </c>
      <c r="CH155" s="50" t="s">
        <v>39</v>
      </c>
      <c r="CM155" s="66" t="s">
        <v>440</v>
      </c>
      <c r="CN155">
        <v>0</v>
      </c>
      <c r="CW155" s="30"/>
      <c r="DC155" s="67" t="s">
        <v>445</v>
      </c>
      <c r="DK155" s="72" t="s">
        <v>577</v>
      </c>
      <c r="DL155" s="56" t="s">
        <v>508</v>
      </c>
      <c r="DM155" s="30"/>
      <c r="DN155" s="30" t="s">
        <v>31</v>
      </c>
      <c r="DO155" s="30"/>
      <c r="DP155" s="30"/>
      <c r="DQ155" s="30"/>
      <c r="DR155" s="30"/>
      <c r="FC155" t="s">
        <v>154</v>
      </c>
      <c r="FD155" s="29" t="s">
        <v>615</v>
      </c>
      <c r="FE155">
        <v>42</v>
      </c>
      <c r="FG155" s="73" t="s">
        <v>616</v>
      </c>
      <c r="FH155" s="6" t="s">
        <v>470</v>
      </c>
      <c r="FR155" t="s">
        <v>642</v>
      </c>
      <c r="FU155" s="6" t="s">
        <v>27</v>
      </c>
      <c r="FV155" s="52" t="s">
        <v>420</v>
      </c>
      <c r="GG155" t="s">
        <v>510</v>
      </c>
      <c r="GH155" s="80" t="s">
        <v>735</v>
      </c>
      <c r="GI155" s="6" t="s">
        <v>511</v>
      </c>
      <c r="GJ155" s="8">
        <v>0.14295902380403991</v>
      </c>
      <c r="GM155">
        <v>4</v>
      </c>
      <c r="GN155" t="s">
        <v>639</v>
      </c>
      <c r="GO155" s="59" t="s">
        <v>154</v>
      </c>
      <c r="GP155">
        <v>1996</v>
      </c>
      <c r="GS155" s="71" t="s">
        <v>560</v>
      </c>
      <c r="GU155" t="s">
        <v>643</v>
      </c>
    </row>
    <row r="156" spans="1:203" ht="15" thickBot="1">
      <c r="A156" s="25" t="s">
        <v>550</v>
      </c>
      <c r="C156" t="s">
        <v>549</v>
      </c>
      <c r="E156" t="s">
        <v>16</v>
      </c>
      <c r="F156" s="6" t="s">
        <v>592</v>
      </c>
      <c r="G156" t="s">
        <v>591</v>
      </c>
      <c r="H156" s="6" t="s">
        <v>4</v>
      </c>
      <c r="I156" s="59" t="s">
        <v>154</v>
      </c>
      <c r="J156" s="59" t="s">
        <v>389</v>
      </c>
      <c r="K156" s="9">
        <v>0.1</v>
      </c>
      <c r="L156" s="9">
        <v>34.566667000000002</v>
      </c>
      <c r="M156" s="30" t="s">
        <v>31</v>
      </c>
      <c r="N156" t="s">
        <v>551</v>
      </c>
      <c r="O156">
        <v>100</v>
      </c>
      <c r="Q156">
        <v>4</v>
      </c>
      <c r="R156" t="s">
        <v>593</v>
      </c>
      <c r="S156">
        <v>1994</v>
      </c>
      <c r="T156">
        <v>1998</v>
      </c>
      <c r="U156" t="s">
        <v>590</v>
      </c>
      <c r="V156" t="s">
        <v>558</v>
      </c>
      <c r="W156" t="s">
        <v>589</v>
      </c>
      <c r="X156" s="9" t="s">
        <v>553</v>
      </c>
      <c r="Y156" t="s">
        <v>480</v>
      </c>
      <c r="Z156" s="59" t="s">
        <v>43</v>
      </c>
      <c r="AA156" t="s">
        <v>559</v>
      </c>
      <c r="AB156" s="60" t="s">
        <v>415</v>
      </c>
      <c r="AC156" s="31">
        <v>53000</v>
      </c>
      <c r="AP156" s="60"/>
      <c r="AQ156" s="31"/>
      <c r="AX156" t="s">
        <v>574</v>
      </c>
      <c r="AZ156" s="60" t="s">
        <v>398</v>
      </c>
      <c r="BA156">
        <v>1994</v>
      </c>
      <c r="BB156">
        <v>1998</v>
      </c>
      <c r="BM156" t="s">
        <v>565</v>
      </c>
      <c r="BN156" s="49" t="s">
        <v>566</v>
      </c>
      <c r="BO156" s="30"/>
      <c r="BQ156">
        <v>1995</v>
      </c>
      <c r="BR156" t="s">
        <v>571</v>
      </c>
      <c r="BS156" s="60" t="s">
        <v>416</v>
      </c>
      <c r="BT156" s="30" t="s">
        <v>569</v>
      </c>
      <c r="BU156" s="30" t="s">
        <v>575</v>
      </c>
      <c r="BV156" s="30"/>
      <c r="CH156" s="50" t="s">
        <v>39</v>
      </c>
      <c r="CM156" s="66" t="s">
        <v>440</v>
      </c>
      <c r="CN156">
        <v>0</v>
      </c>
      <c r="CW156" s="30"/>
      <c r="DC156" s="67" t="s">
        <v>445</v>
      </c>
      <c r="DK156" s="67" t="s">
        <v>579</v>
      </c>
      <c r="DL156" s="30"/>
      <c r="DM156" s="30"/>
      <c r="DN156" s="30"/>
      <c r="DO156" s="30"/>
      <c r="DP156" s="30"/>
      <c r="DQ156" s="30"/>
      <c r="DR156" s="30"/>
      <c r="FC156" t="s">
        <v>154</v>
      </c>
      <c r="FD156" s="28" t="s">
        <v>615</v>
      </c>
      <c r="FE156">
        <v>42</v>
      </c>
      <c r="FG156" s="73" t="s">
        <v>616</v>
      </c>
      <c r="FH156" s="6" t="s">
        <v>470</v>
      </c>
      <c r="FR156" t="s">
        <v>642</v>
      </c>
      <c r="FU156" s="6" t="s">
        <v>27</v>
      </c>
      <c r="FV156" s="52" t="s">
        <v>420</v>
      </c>
      <c r="GG156" t="s">
        <v>510</v>
      </c>
      <c r="GH156" s="80" t="s">
        <v>736</v>
      </c>
      <c r="GI156" s="6" t="s">
        <v>511</v>
      </c>
      <c r="GJ156" s="8">
        <v>0.83952627766328014</v>
      </c>
      <c r="GM156">
        <v>4</v>
      </c>
      <c r="GN156" t="s">
        <v>639</v>
      </c>
      <c r="GO156" s="59" t="s">
        <v>154</v>
      </c>
      <c r="GP156">
        <v>1996</v>
      </c>
      <c r="GS156" s="71" t="s">
        <v>560</v>
      </c>
      <c r="GU156" t="s">
        <v>643</v>
      </c>
    </row>
    <row r="157" spans="1:203" ht="15" thickBot="1">
      <c r="A157" s="25" t="s">
        <v>550</v>
      </c>
      <c r="C157" t="s">
        <v>549</v>
      </c>
      <c r="E157" t="s">
        <v>16</v>
      </c>
      <c r="F157" s="6" t="s">
        <v>592</v>
      </c>
      <c r="G157" t="s">
        <v>591</v>
      </c>
      <c r="H157" s="6" t="s">
        <v>4</v>
      </c>
      <c r="I157" s="59" t="s">
        <v>154</v>
      </c>
      <c r="J157" s="59" t="s">
        <v>389</v>
      </c>
      <c r="K157" s="9">
        <v>0.1</v>
      </c>
      <c r="L157" s="9">
        <v>34.566667000000002</v>
      </c>
      <c r="M157" s="30" t="s">
        <v>31</v>
      </c>
      <c r="N157" t="s">
        <v>551</v>
      </c>
      <c r="O157">
        <v>100</v>
      </c>
      <c r="Q157">
        <v>4</v>
      </c>
      <c r="R157" t="s">
        <v>593</v>
      </c>
      <c r="S157">
        <v>1994</v>
      </c>
      <c r="T157">
        <v>1998</v>
      </c>
      <c r="U157" t="s">
        <v>590</v>
      </c>
      <c r="V157" t="s">
        <v>558</v>
      </c>
      <c r="W157" t="s">
        <v>589</v>
      </c>
      <c r="X157" s="9" t="s">
        <v>555</v>
      </c>
      <c r="Y157" t="s">
        <v>481</v>
      </c>
      <c r="Z157" s="59" t="s">
        <v>43</v>
      </c>
      <c r="AA157" t="s">
        <v>559</v>
      </c>
      <c r="AB157" s="60" t="s">
        <v>415</v>
      </c>
      <c r="AC157" s="31">
        <v>53000</v>
      </c>
      <c r="AP157" s="60"/>
      <c r="AQ157" s="31"/>
      <c r="AX157" t="s">
        <v>574</v>
      </c>
      <c r="AZ157" s="60" t="s">
        <v>398</v>
      </c>
      <c r="BA157">
        <v>1994</v>
      </c>
      <c r="BB157">
        <v>1998</v>
      </c>
      <c r="BM157" t="s">
        <v>567</v>
      </c>
      <c r="BN157" s="49" t="s">
        <v>568</v>
      </c>
      <c r="BO157" s="30"/>
      <c r="BQ157">
        <v>1994</v>
      </c>
      <c r="BR157" t="s">
        <v>571</v>
      </c>
      <c r="BS157" s="60" t="s">
        <v>416</v>
      </c>
      <c r="BT157" s="30" t="s">
        <v>569</v>
      </c>
      <c r="BU157" s="30" t="s">
        <v>575</v>
      </c>
      <c r="BV157" s="30"/>
      <c r="CH157" s="50" t="s">
        <v>39</v>
      </c>
      <c r="CM157" s="66" t="s">
        <v>440</v>
      </c>
      <c r="CN157">
        <v>0</v>
      </c>
      <c r="CW157" s="30"/>
      <c r="DC157" s="67" t="s">
        <v>445</v>
      </c>
      <c r="DK157" s="67" t="s">
        <v>579</v>
      </c>
      <c r="DO157" s="30"/>
      <c r="DP157" s="30"/>
      <c r="DQ157" s="30"/>
      <c r="DR157" s="30"/>
      <c r="FC157" t="s">
        <v>154</v>
      </c>
      <c r="FD157" s="29" t="s">
        <v>615</v>
      </c>
      <c r="FE157">
        <v>42</v>
      </c>
      <c r="FG157" s="73" t="s">
        <v>616</v>
      </c>
      <c r="FH157" s="6" t="s">
        <v>470</v>
      </c>
      <c r="FR157" t="s">
        <v>642</v>
      </c>
      <c r="FU157" s="6" t="s">
        <v>27</v>
      </c>
      <c r="FV157" s="52" t="s">
        <v>420</v>
      </c>
      <c r="GG157" t="s">
        <v>510</v>
      </c>
      <c r="GH157" s="80" t="s">
        <v>737</v>
      </c>
      <c r="GI157" s="6" t="s">
        <v>511</v>
      </c>
      <c r="GJ157" s="8">
        <v>0.24993401804816995</v>
      </c>
      <c r="GM157">
        <v>4</v>
      </c>
      <c r="GN157" t="s">
        <v>639</v>
      </c>
      <c r="GO157" s="59" t="s">
        <v>154</v>
      </c>
      <c r="GP157">
        <v>1996</v>
      </c>
      <c r="GS157" s="71" t="s">
        <v>560</v>
      </c>
      <c r="GU157" t="s">
        <v>643</v>
      </c>
    </row>
    <row r="158" spans="1:203" ht="15" thickBot="1">
      <c r="A158" s="25" t="s">
        <v>550</v>
      </c>
      <c r="C158" t="s">
        <v>549</v>
      </c>
      <c r="E158" t="s">
        <v>16</v>
      </c>
      <c r="F158" s="6" t="s">
        <v>592</v>
      </c>
      <c r="G158" t="s">
        <v>591</v>
      </c>
      <c r="H158" s="6" t="s">
        <v>4</v>
      </c>
      <c r="I158" s="59" t="s">
        <v>154</v>
      </c>
      <c r="J158" s="59" t="s">
        <v>389</v>
      </c>
      <c r="K158" s="9">
        <v>0.1</v>
      </c>
      <c r="L158" s="9">
        <v>34.566667000000002</v>
      </c>
      <c r="M158" s="30" t="s">
        <v>31</v>
      </c>
      <c r="N158" t="s">
        <v>551</v>
      </c>
      <c r="O158">
        <v>100</v>
      </c>
      <c r="Q158">
        <v>4</v>
      </c>
      <c r="R158" t="s">
        <v>593</v>
      </c>
      <c r="S158">
        <v>1994</v>
      </c>
      <c r="T158">
        <v>1998</v>
      </c>
      <c r="U158" t="s">
        <v>590</v>
      </c>
      <c r="V158" t="s">
        <v>36</v>
      </c>
      <c r="W158" t="s">
        <v>36</v>
      </c>
      <c r="X158" s="9" t="s">
        <v>556</v>
      </c>
      <c r="Y158" t="s">
        <v>476</v>
      </c>
      <c r="Z158" s="59" t="s">
        <v>43</v>
      </c>
      <c r="AA158" t="s">
        <v>559</v>
      </c>
      <c r="AB158" s="60" t="s">
        <v>415</v>
      </c>
      <c r="AC158" s="31">
        <v>53000</v>
      </c>
      <c r="AX158" t="s">
        <v>574</v>
      </c>
      <c r="AZ158" s="60" t="s">
        <v>398</v>
      </c>
      <c r="BA158">
        <v>1994</v>
      </c>
      <c r="BB158">
        <v>1998</v>
      </c>
      <c r="BM158" t="s">
        <v>569</v>
      </c>
      <c r="BN158" s="49" t="s">
        <v>36</v>
      </c>
      <c r="BO158" s="30"/>
      <c r="BS158" s="60" t="s">
        <v>416</v>
      </c>
      <c r="BT158" s="30" t="s">
        <v>569</v>
      </c>
      <c r="BU158" s="30" t="s">
        <v>575</v>
      </c>
      <c r="BV158" s="30"/>
      <c r="CH158" s="50" t="s">
        <v>39</v>
      </c>
      <c r="CM158" s="66" t="s">
        <v>440</v>
      </c>
      <c r="CN158">
        <v>0</v>
      </c>
      <c r="CW158" s="30"/>
      <c r="DC158" s="67" t="s">
        <v>445</v>
      </c>
      <c r="DK158" s="67" t="s">
        <v>579</v>
      </c>
      <c r="DO158" s="30"/>
      <c r="DP158" s="30"/>
      <c r="DQ158" s="30"/>
      <c r="DR158" s="30"/>
      <c r="FD158" s="28" t="s">
        <v>615</v>
      </c>
      <c r="FE158">
        <v>42</v>
      </c>
      <c r="FG158" s="73" t="s">
        <v>616</v>
      </c>
      <c r="FH158" s="6" t="s">
        <v>470</v>
      </c>
      <c r="FR158" t="s">
        <v>642</v>
      </c>
      <c r="FU158" s="6" t="s">
        <v>27</v>
      </c>
      <c r="FV158" s="52" t="s">
        <v>420</v>
      </c>
      <c r="GF158" t="s">
        <v>514</v>
      </c>
      <c r="GG158" t="s">
        <v>510</v>
      </c>
      <c r="GH158" s="80" t="s">
        <v>738</v>
      </c>
      <c r="GI158" s="6" t="s">
        <v>511</v>
      </c>
      <c r="GJ158" s="8">
        <v>0.44632999960691988</v>
      </c>
      <c r="GM158">
        <v>4</v>
      </c>
      <c r="GN158" t="s">
        <v>639</v>
      </c>
      <c r="GO158" s="59" t="s">
        <v>154</v>
      </c>
      <c r="GP158">
        <v>1996</v>
      </c>
      <c r="GS158" s="71" t="s">
        <v>560</v>
      </c>
      <c r="GU158" t="s">
        <v>643</v>
      </c>
    </row>
    <row r="159" spans="1:203" ht="15" thickBot="1">
      <c r="A159" s="25" t="s">
        <v>550</v>
      </c>
      <c r="C159" t="s">
        <v>549</v>
      </c>
      <c r="E159" t="s">
        <v>16</v>
      </c>
      <c r="F159" s="6" t="s">
        <v>592</v>
      </c>
      <c r="G159" t="s">
        <v>591</v>
      </c>
      <c r="H159" s="6" t="s">
        <v>4</v>
      </c>
      <c r="I159" s="59" t="s">
        <v>154</v>
      </c>
      <c r="J159" s="59" t="s">
        <v>389</v>
      </c>
      <c r="K159" s="9">
        <v>0.1</v>
      </c>
      <c r="L159" s="9">
        <v>34.566667000000002</v>
      </c>
      <c r="M159" s="30" t="s">
        <v>31</v>
      </c>
      <c r="N159" t="s">
        <v>551</v>
      </c>
      <c r="O159">
        <v>100</v>
      </c>
      <c r="Q159">
        <v>4</v>
      </c>
      <c r="R159" t="s">
        <v>593</v>
      </c>
      <c r="S159">
        <v>1994</v>
      </c>
      <c r="T159">
        <v>1998</v>
      </c>
      <c r="U159" t="s">
        <v>590</v>
      </c>
      <c r="V159" t="s">
        <v>36</v>
      </c>
      <c r="W159" t="s">
        <v>36</v>
      </c>
      <c r="X159" s="9" t="s">
        <v>557</v>
      </c>
      <c r="Y159" t="s">
        <v>477</v>
      </c>
      <c r="Z159" s="59" t="s">
        <v>43</v>
      </c>
      <c r="AA159" t="s">
        <v>559</v>
      </c>
      <c r="AB159" s="60" t="s">
        <v>415</v>
      </c>
      <c r="AC159" s="31">
        <v>53000</v>
      </c>
      <c r="AX159" t="s">
        <v>574</v>
      </c>
      <c r="AZ159" s="60" t="s">
        <v>398</v>
      </c>
      <c r="BA159">
        <v>1994</v>
      </c>
      <c r="BB159">
        <v>1998</v>
      </c>
      <c r="BM159" t="s">
        <v>570</v>
      </c>
      <c r="BN159" s="49" t="s">
        <v>36</v>
      </c>
      <c r="BO159" s="30"/>
      <c r="BS159" s="60" t="s">
        <v>416</v>
      </c>
      <c r="BT159" s="30" t="s">
        <v>576</v>
      </c>
      <c r="BU159" s="30" t="s">
        <v>575</v>
      </c>
      <c r="BV159" s="30"/>
      <c r="CG159" t="s">
        <v>570</v>
      </c>
      <c r="CH159" t="s">
        <v>37</v>
      </c>
      <c r="CI159" s="65" t="s">
        <v>439</v>
      </c>
      <c r="CM159" s="66" t="s">
        <v>440</v>
      </c>
      <c r="CN159">
        <v>60</v>
      </c>
      <c r="CQ159">
        <v>60</v>
      </c>
      <c r="CW159" s="30"/>
      <c r="DC159" s="67" t="s">
        <v>445</v>
      </c>
      <c r="DK159" s="67" t="s">
        <v>579</v>
      </c>
      <c r="DO159" s="30"/>
      <c r="DP159" s="30"/>
      <c r="DQ159" s="30"/>
      <c r="DR159" s="30"/>
      <c r="FD159" s="29" t="s">
        <v>615</v>
      </c>
      <c r="FE159">
        <v>42</v>
      </c>
      <c r="FG159" s="73" t="s">
        <v>616</v>
      </c>
      <c r="FH159" s="6" t="s">
        <v>470</v>
      </c>
      <c r="FR159" t="s">
        <v>642</v>
      </c>
      <c r="FU159" s="6" t="s">
        <v>27</v>
      </c>
      <c r="FV159" s="52" t="s">
        <v>420</v>
      </c>
      <c r="GF159" t="s">
        <v>587</v>
      </c>
      <c r="GG159" t="s">
        <v>510</v>
      </c>
      <c r="GH159" s="80" t="s">
        <v>739</v>
      </c>
      <c r="GI159" s="6" t="s">
        <v>511</v>
      </c>
      <c r="GJ159" s="8">
        <v>0.53578467983310984</v>
      </c>
      <c r="GM159">
        <v>4</v>
      </c>
      <c r="GN159" t="s">
        <v>639</v>
      </c>
      <c r="GO159" s="59" t="s">
        <v>154</v>
      </c>
      <c r="GP159">
        <v>1996</v>
      </c>
      <c r="GS159" s="71" t="s">
        <v>560</v>
      </c>
      <c r="GU159" t="s">
        <v>643</v>
      </c>
    </row>
    <row r="160" spans="1:203" ht="15" thickBot="1">
      <c r="A160" s="25" t="s">
        <v>550</v>
      </c>
      <c r="C160" t="s">
        <v>549</v>
      </c>
      <c r="E160" t="s">
        <v>16</v>
      </c>
      <c r="F160" s="6" t="s">
        <v>592</v>
      </c>
      <c r="G160" t="s">
        <v>591</v>
      </c>
      <c r="H160" s="6" t="s">
        <v>4</v>
      </c>
      <c r="I160" s="59" t="s">
        <v>154</v>
      </c>
      <c r="J160" s="59" t="s">
        <v>389</v>
      </c>
      <c r="K160" s="9">
        <v>0.1</v>
      </c>
      <c r="L160" s="9">
        <v>34.566667000000002</v>
      </c>
      <c r="M160" s="30" t="s">
        <v>31</v>
      </c>
      <c r="N160" t="s">
        <v>551</v>
      </c>
      <c r="O160">
        <v>100</v>
      </c>
      <c r="Q160">
        <v>4</v>
      </c>
      <c r="R160" t="s">
        <v>593</v>
      </c>
      <c r="S160">
        <v>1994</v>
      </c>
      <c r="T160">
        <v>1998</v>
      </c>
      <c r="U160" t="s">
        <v>590</v>
      </c>
      <c r="V160" t="s">
        <v>558</v>
      </c>
      <c r="W160" t="s">
        <v>588</v>
      </c>
      <c r="X160" s="9" t="s">
        <v>552</v>
      </c>
      <c r="Y160" t="s">
        <v>478</v>
      </c>
      <c r="Z160" s="59" t="s">
        <v>43</v>
      </c>
      <c r="AA160" t="s">
        <v>559</v>
      </c>
      <c r="AB160" s="60" t="s">
        <v>415</v>
      </c>
      <c r="AC160" s="31">
        <v>53000</v>
      </c>
      <c r="AD160" t="s">
        <v>98</v>
      </c>
      <c r="AO160" t="s">
        <v>47</v>
      </c>
      <c r="AP160" s="60" t="s">
        <v>415</v>
      </c>
      <c r="AQ160" s="31">
        <v>53000</v>
      </c>
      <c r="AX160" t="s">
        <v>574</v>
      </c>
      <c r="AZ160" s="60" t="s">
        <v>398</v>
      </c>
      <c r="BA160">
        <v>1994</v>
      </c>
      <c r="BB160">
        <v>1998</v>
      </c>
      <c r="BL160" s="60"/>
      <c r="BM160" t="s">
        <v>563</v>
      </c>
      <c r="BN160" s="67" t="s">
        <v>561</v>
      </c>
      <c r="BO160" s="30"/>
      <c r="BQ160">
        <v>1995</v>
      </c>
      <c r="BR160" t="s">
        <v>560</v>
      </c>
      <c r="BS160" s="60" t="s">
        <v>416</v>
      </c>
      <c r="BT160" s="30" t="s">
        <v>572</v>
      </c>
      <c r="BU160" s="50" t="s">
        <v>28</v>
      </c>
      <c r="BV160" s="30"/>
      <c r="BX160" s="30" t="s">
        <v>31</v>
      </c>
      <c r="BY160" s="30" t="s">
        <v>31</v>
      </c>
      <c r="BZ160" s="30" t="s">
        <v>31</v>
      </c>
      <c r="CA160" s="30" t="s">
        <v>31</v>
      </c>
      <c r="CB160" s="30" t="s">
        <v>31</v>
      </c>
      <c r="CC160" s="30" t="s">
        <v>31</v>
      </c>
      <c r="CD160" s="30" t="s">
        <v>31</v>
      </c>
      <c r="CE160" s="30" t="s">
        <v>31</v>
      </c>
      <c r="CF160" s="30" t="s">
        <v>31</v>
      </c>
      <c r="CH160" s="50" t="s">
        <v>39</v>
      </c>
      <c r="CM160" s="66" t="s">
        <v>440</v>
      </c>
      <c r="CN160">
        <v>0</v>
      </c>
      <c r="CW160" s="30"/>
      <c r="DC160" s="67" t="s">
        <v>445</v>
      </c>
      <c r="DK160" s="72" t="s">
        <v>577</v>
      </c>
      <c r="DL160" s="56" t="s">
        <v>508</v>
      </c>
      <c r="DM160" s="30"/>
      <c r="DN160" s="30" t="s">
        <v>31</v>
      </c>
      <c r="DO160" s="30"/>
      <c r="DP160" s="30"/>
      <c r="DQ160" s="30"/>
      <c r="DR160" s="30"/>
      <c r="FC160" t="s">
        <v>154</v>
      </c>
      <c r="FD160" s="28" t="s">
        <v>615</v>
      </c>
      <c r="FE160">
        <v>42</v>
      </c>
      <c r="FG160" s="73" t="s">
        <v>616</v>
      </c>
      <c r="FH160" s="6" t="s">
        <v>470</v>
      </c>
      <c r="FR160" t="s">
        <v>642</v>
      </c>
      <c r="FU160" s="6" t="s">
        <v>27</v>
      </c>
      <c r="FV160" s="52" t="s">
        <v>420</v>
      </c>
      <c r="GG160" t="s">
        <v>510</v>
      </c>
      <c r="GH160" s="80" t="s">
        <v>740</v>
      </c>
      <c r="GI160" s="6" t="s">
        <v>511</v>
      </c>
      <c r="GJ160" s="8">
        <v>0.21432061051555973</v>
      </c>
      <c r="GM160">
        <v>4</v>
      </c>
      <c r="GN160" t="s">
        <v>640</v>
      </c>
      <c r="GO160" s="59" t="s">
        <v>154</v>
      </c>
      <c r="GP160">
        <v>1997</v>
      </c>
      <c r="GS160" s="71" t="s">
        <v>560</v>
      </c>
      <c r="GU160" t="s">
        <v>644</v>
      </c>
    </row>
    <row r="161" spans="1:203" ht="15" thickBot="1">
      <c r="A161" s="25" t="s">
        <v>550</v>
      </c>
      <c r="C161" t="s">
        <v>549</v>
      </c>
      <c r="E161" t="s">
        <v>16</v>
      </c>
      <c r="F161" s="6" t="s">
        <v>592</v>
      </c>
      <c r="G161" t="s">
        <v>591</v>
      </c>
      <c r="H161" s="6" t="s">
        <v>4</v>
      </c>
      <c r="I161" s="59" t="s">
        <v>154</v>
      </c>
      <c r="J161" s="59" t="s">
        <v>389</v>
      </c>
      <c r="K161" s="9">
        <v>0.1</v>
      </c>
      <c r="L161" s="9">
        <v>34.566667000000002</v>
      </c>
      <c r="M161" s="30" t="s">
        <v>31</v>
      </c>
      <c r="N161" t="s">
        <v>551</v>
      </c>
      <c r="O161">
        <v>100</v>
      </c>
      <c r="Q161">
        <v>4</v>
      </c>
      <c r="R161" t="s">
        <v>593</v>
      </c>
      <c r="S161">
        <v>1994</v>
      </c>
      <c r="T161">
        <v>1998</v>
      </c>
      <c r="U161" t="s">
        <v>590</v>
      </c>
      <c r="V161" t="s">
        <v>558</v>
      </c>
      <c r="W161" t="s">
        <v>588</v>
      </c>
      <c r="X161" s="9" t="s">
        <v>554</v>
      </c>
      <c r="Y161" t="s">
        <v>479</v>
      </c>
      <c r="Z161" s="59" t="s">
        <v>43</v>
      </c>
      <c r="AA161" t="s">
        <v>559</v>
      </c>
      <c r="AB161" s="60" t="s">
        <v>415</v>
      </c>
      <c r="AC161" s="31">
        <v>53000</v>
      </c>
      <c r="AD161" t="s">
        <v>98</v>
      </c>
      <c r="AO161" t="s">
        <v>47</v>
      </c>
      <c r="AP161" s="60" t="s">
        <v>415</v>
      </c>
      <c r="AQ161" s="31">
        <v>53000</v>
      </c>
      <c r="AX161" t="s">
        <v>574</v>
      </c>
      <c r="AZ161" s="60" t="s">
        <v>398</v>
      </c>
      <c r="BA161">
        <v>1994</v>
      </c>
      <c r="BB161">
        <v>1998</v>
      </c>
      <c r="BL161" s="60"/>
      <c r="BM161" t="s">
        <v>564</v>
      </c>
      <c r="BN161" s="67" t="s">
        <v>562</v>
      </c>
      <c r="BO161" s="30"/>
      <c r="BQ161">
        <v>1994</v>
      </c>
      <c r="BR161" t="s">
        <v>571</v>
      </c>
      <c r="BS161" s="60" t="s">
        <v>416</v>
      </c>
      <c r="BT161" s="30" t="s">
        <v>573</v>
      </c>
      <c r="BU161" s="50" t="s">
        <v>28</v>
      </c>
      <c r="BV161" s="30"/>
      <c r="BX161" s="30" t="s">
        <v>31</v>
      </c>
      <c r="BY161" s="30" t="s">
        <v>31</v>
      </c>
      <c r="BZ161" s="30" t="s">
        <v>31</v>
      </c>
      <c r="CA161" s="30" t="s">
        <v>31</v>
      </c>
      <c r="CB161" s="30" t="s">
        <v>31</v>
      </c>
      <c r="CC161" s="30" t="s">
        <v>31</v>
      </c>
      <c r="CD161" s="30" t="s">
        <v>31</v>
      </c>
      <c r="CE161" s="30" t="s">
        <v>31</v>
      </c>
      <c r="CF161" s="30" t="s">
        <v>31</v>
      </c>
      <c r="CH161" s="50" t="s">
        <v>39</v>
      </c>
      <c r="CM161" s="66" t="s">
        <v>440</v>
      </c>
      <c r="CN161">
        <v>0</v>
      </c>
      <c r="CW161" s="30"/>
      <c r="DC161" s="67" t="s">
        <v>445</v>
      </c>
      <c r="DK161" s="72" t="s">
        <v>577</v>
      </c>
      <c r="DL161" s="56" t="s">
        <v>508</v>
      </c>
      <c r="DM161" s="30"/>
      <c r="DN161" s="30" t="s">
        <v>31</v>
      </c>
      <c r="DO161" s="30"/>
      <c r="DP161" s="30"/>
      <c r="DQ161" s="30"/>
      <c r="DR161" s="30"/>
      <c r="FC161" t="s">
        <v>154</v>
      </c>
      <c r="FD161" s="29" t="s">
        <v>615</v>
      </c>
      <c r="FE161">
        <v>42</v>
      </c>
      <c r="FG161" s="73" t="s">
        <v>616</v>
      </c>
      <c r="FH161" s="6" t="s">
        <v>470</v>
      </c>
      <c r="FR161" t="s">
        <v>642</v>
      </c>
      <c r="FU161" s="6" t="s">
        <v>27</v>
      </c>
      <c r="FV161" s="52" t="s">
        <v>420</v>
      </c>
      <c r="GG161" t="s">
        <v>510</v>
      </c>
      <c r="GH161" s="80" t="s">
        <v>741</v>
      </c>
      <c r="GI161" s="6" t="s">
        <v>511</v>
      </c>
      <c r="GJ161" s="8">
        <v>0.23221154656080012</v>
      </c>
      <c r="GM161">
        <v>4</v>
      </c>
      <c r="GN161" t="s">
        <v>640</v>
      </c>
      <c r="GO161" s="59" t="s">
        <v>154</v>
      </c>
      <c r="GP161">
        <v>1997</v>
      </c>
      <c r="GS161" s="71" t="s">
        <v>560</v>
      </c>
      <c r="GU161" t="s">
        <v>644</v>
      </c>
    </row>
    <row r="162" spans="1:203" ht="15" thickBot="1">
      <c r="A162" s="25" t="s">
        <v>550</v>
      </c>
      <c r="C162" t="s">
        <v>549</v>
      </c>
      <c r="E162" t="s">
        <v>16</v>
      </c>
      <c r="F162" s="6" t="s">
        <v>592</v>
      </c>
      <c r="G162" t="s">
        <v>591</v>
      </c>
      <c r="H162" s="6" t="s">
        <v>4</v>
      </c>
      <c r="I162" s="59" t="s">
        <v>154</v>
      </c>
      <c r="J162" s="59" t="s">
        <v>389</v>
      </c>
      <c r="K162" s="9">
        <v>0.1</v>
      </c>
      <c r="L162" s="9">
        <v>34.566667000000002</v>
      </c>
      <c r="M162" s="30" t="s">
        <v>31</v>
      </c>
      <c r="N162" t="s">
        <v>551</v>
      </c>
      <c r="O162">
        <v>100</v>
      </c>
      <c r="Q162">
        <v>4</v>
      </c>
      <c r="R162" t="s">
        <v>593</v>
      </c>
      <c r="S162">
        <v>1994</v>
      </c>
      <c r="T162">
        <v>1998</v>
      </c>
      <c r="U162" t="s">
        <v>590</v>
      </c>
      <c r="V162" t="s">
        <v>558</v>
      </c>
      <c r="W162" t="s">
        <v>589</v>
      </c>
      <c r="X162" s="9" t="s">
        <v>553</v>
      </c>
      <c r="Y162" t="s">
        <v>480</v>
      </c>
      <c r="Z162" s="59" t="s">
        <v>43</v>
      </c>
      <c r="AA162" t="s">
        <v>559</v>
      </c>
      <c r="AB162" s="60" t="s">
        <v>415</v>
      </c>
      <c r="AC162" s="31">
        <v>53000</v>
      </c>
      <c r="AP162" s="60"/>
      <c r="AQ162" s="31"/>
      <c r="AX162" t="s">
        <v>574</v>
      </c>
      <c r="AZ162" s="60" t="s">
        <v>398</v>
      </c>
      <c r="BA162">
        <v>1994</v>
      </c>
      <c r="BB162">
        <v>1998</v>
      </c>
      <c r="BM162" t="s">
        <v>565</v>
      </c>
      <c r="BN162" s="49" t="s">
        <v>566</v>
      </c>
      <c r="BO162" s="30"/>
      <c r="BQ162">
        <v>1995</v>
      </c>
      <c r="BR162" t="s">
        <v>571</v>
      </c>
      <c r="BS162" s="60" t="s">
        <v>416</v>
      </c>
      <c r="BT162" s="30" t="s">
        <v>569</v>
      </c>
      <c r="BU162" s="30" t="s">
        <v>575</v>
      </c>
      <c r="BV162" s="30"/>
      <c r="CH162" s="50" t="s">
        <v>39</v>
      </c>
      <c r="CM162" s="66" t="s">
        <v>440</v>
      </c>
      <c r="CN162">
        <v>0</v>
      </c>
      <c r="CW162" s="30"/>
      <c r="DC162" s="67" t="s">
        <v>445</v>
      </c>
      <c r="DK162" s="67" t="s">
        <v>579</v>
      </c>
      <c r="DL162" s="30"/>
      <c r="DM162" s="30"/>
      <c r="DN162" s="30"/>
      <c r="DO162" s="30"/>
      <c r="DP162" s="30"/>
      <c r="DQ162" s="30"/>
      <c r="DR162" s="30"/>
      <c r="FC162" t="s">
        <v>154</v>
      </c>
      <c r="FD162" s="28" t="s">
        <v>615</v>
      </c>
      <c r="FE162">
        <v>42</v>
      </c>
      <c r="FG162" s="73" t="s">
        <v>616</v>
      </c>
      <c r="FH162" s="6" t="s">
        <v>470</v>
      </c>
      <c r="FR162" t="s">
        <v>642</v>
      </c>
      <c r="FU162" s="6" t="s">
        <v>27</v>
      </c>
      <c r="FV162" s="52" t="s">
        <v>420</v>
      </c>
      <c r="GG162" t="s">
        <v>510</v>
      </c>
      <c r="GH162">
        <v>2.2021013145851001</v>
      </c>
      <c r="GI162" s="6" t="s">
        <v>511</v>
      </c>
      <c r="GJ162" s="8">
        <v>0.21442168925026994</v>
      </c>
      <c r="GM162">
        <v>4</v>
      </c>
      <c r="GN162" t="s">
        <v>640</v>
      </c>
      <c r="GO162" s="59" t="s">
        <v>154</v>
      </c>
      <c r="GP162">
        <v>1997</v>
      </c>
      <c r="GS162" s="71" t="s">
        <v>560</v>
      </c>
      <c r="GU162" t="s">
        <v>644</v>
      </c>
    </row>
    <row r="163" spans="1:203" ht="15" thickBot="1">
      <c r="A163" s="25" t="s">
        <v>550</v>
      </c>
      <c r="C163" t="s">
        <v>549</v>
      </c>
      <c r="E163" t="s">
        <v>16</v>
      </c>
      <c r="F163" s="6" t="s">
        <v>592</v>
      </c>
      <c r="G163" t="s">
        <v>591</v>
      </c>
      <c r="H163" s="6" t="s">
        <v>4</v>
      </c>
      <c r="I163" s="59" t="s">
        <v>154</v>
      </c>
      <c r="J163" s="59" t="s">
        <v>389</v>
      </c>
      <c r="K163" s="9">
        <v>0.1</v>
      </c>
      <c r="L163" s="9">
        <v>34.566667000000002</v>
      </c>
      <c r="M163" s="30" t="s">
        <v>31</v>
      </c>
      <c r="N163" t="s">
        <v>551</v>
      </c>
      <c r="O163">
        <v>100</v>
      </c>
      <c r="Q163">
        <v>4</v>
      </c>
      <c r="R163" t="s">
        <v>593</v>
      </c>
      <c r="S163">
        <v>1994</v>
      </c>
      <c r="T163">
        <v>1998</v>
      </c>
      <c r="U163" t="s">
        <v>590</v>
      </c>
      <c r="V163" t="s">
        <v>558</v>
      </c>
      <c r="W163" t="s">
        <v>589</v>
      </c>
      <c r="X163" s="9" t="s">
        <v>555</v>
      </c>
      <c r="Y163" t="s">
        <v>481</v>
      </c>
      <c r="Z163" s="59" t="s">
        <v>43</v>
      </c>
      <c r="AA163" t="s">
        <v>559</v>
      </c>
      <c r="AB163" s="60" t="s">
        <v>415</v>
      </c>
      <c r="AC163" s="31">
        <v>53000</v>
      </c>
      <c r="AP163" s="60"/>
      <c r="AQ163" s="31"/>
      <c r="AX163" t="s">
        <v>574</v>
      </c>
      <c r="AZ163" s="60" t="s">
        <v>398</v>
      </c>
      <c r="BA163">
        <v>1994</v>
      </c>
      <c r="BB163">
        <v>1998</v>
      </c>
      <c r="BM163" t="s">
        <v>567</v>
      </c>
      <c r="BN163" s="49" t="s">
        <v>568</v>
      </c>
      <c r="BO163" s="30"/>
      <c r="BQ163">
        <v>1994</v>
      </c>
      <c r="BR163" t="s">
        <v>571</v>
      </c>
      <c r="BS163" s="60" t="s">
        <v>416</v>
      </c>
      <c r="BT163" s="30" t="s">
        <v>569</v>
      </c>
      <c r="BU163" s="30" t="s">
        <v>575</v>
      </c>
      <c r="BV163" s="30"/>
      <c r="CH163" s="50" t="s">
        <v>39</v>
      </c>
      <c r="CM163" s="66" t="s">
        <v>440</v>
      </c>
      <c r="CN163">
        <v>0</v>
      </c>
      <c r="CW163" s="30"/>
      <c r="DC163" s="67" t="s">
        <v>445</v>
      </c>
      <c r="DK163" s="67" t="s">
        <v>579</v>
      </c>
      <c r="DO163" s="30"/>
      <c r="DP163" s="30"/>
      <c r="DQ163" s="30"/>
      <c r="DR163" s="30"/>
      <c r="FC163" t="s">
        <v>154</v>
      </c>
      <c r="FD163" s="29" t="s">
        <v>615</v>
      </c>
      <c r="FE163">
        <v>42</v>
      </c>
      <c r="FG163" s="73" t="s">
        <v>616</v>
      </c>
      <c r="FH163" s="6" t="s">
        <v>470</v>
      </c>
      <c r="FR163" t="s">
        <v>642</v>
      </c>
      <c r="FU163" s="6" t="s">
        <v>27</v>
      </c>
      <c r="FV163" s="52" t="s">
        <v>420</v>
      </c>
      <c r="GG163" t="s">
        <v>510</v>
      </c>
      <c r="GH163" s="80" t="s">
        <v>742</v>
      </c>
      <c r="GI163" s="6" t="s">
        <v>511</v>
      </c>
      <c r="GJ163" s="8">
        <v>0.21432061051556017</v>
      </c>
      <c r="GM163">
        <v>4</v>
      </c>
      <c r="GN163" t="s">
        <v>640</v>
      </c>
      <c r="GO163" s="59" t="s">
        <v>154</v>
      </c>
      <c r="GP163">
        <v>1997</v>
      </c>
      <c r="GS163" s="71" t="s">
        <v>560</v>
      </c>
      <c r="GU163" t="s">
        <v>644</v>
      </c>
    </row>
    <row r="164" spans="1:203" ht="15" thickBot="1">
      <c r="A164" s="25" t="s">
        <v>550</v>
      </c>
      <c r="C164" t="s">
        <v>549</v>
      </c>
      <c r="E164" t="s">
        <v>16</v>
      </c>
      <c r="F164" s="6" t="s">
        <v>592</v>
      </c>
      <c r="G164" t="s">
        <v>591</v>
      </c>
      <c r="H164" s="6" t="s">
        <v>4</v>
      </c>
      <c r="I164" s="59" t="s">
        <v>154</v>
      </c>
      <c r="J164" s="59" t="s">
        <v>389</v>
      </c>
      <c r="K164" s="9">
        <v>0.1</v>
      </c>
      <c r="L164" s="9">
        <v>34.566667000000002</v>
      </c>
      <c r="M164" s="30" t="s">
        <v>31</v>
      </c>
      <c r="N164" t="s">
        <v>551</v>
      </c>
      <c r="O164">
        <v>100</v>
      </c>
      <c r="Q164">
        <v>4</v>
      </c>
      <c r="R164" t="s">
        <v>593</v>
      </c>
      <c r="S164">
        <v>1994</v>
      </c>
      <c r="T164">
        <v>1998</v>
      </c>
      <c r="U164" t="s">
        <v>590</v>
      </c>
      <c r="V164" t="s">
        <v>36</v>
      </c>
      <c r="W164" t="s">
        <v>36</v>
      </c>
      <c r="X164" s="9" t="s">
        <v>556</v>
      </c>
      <c r="Y164" t="s">
        <v>476</v>
      </c>
      <c r="Z164" s="59" t="s">
        <v>43</v>
      </c>
      <c r="AA164" t="s">
        <v>559</v>
      </c>
      <c r="AB164" s="60" t="s">
        <v>415</v>
      </c>
      <c r="AC164" s="31">
        <v>53000</v>
      </c>
      <c r="AX164" t="s">
        <v>574</v>
      </c>
      <c r="AZ164" s="60" t="s">
        <v>398</v>
      </c>
      <c r="BA164">
        <v>1994</v>
      </c>
      <c r="BB164">
        <v>1998</v>
      </c>
      <c r="BM164" t="s">
        <v>569</v>
      </c>
      <c r="BN164" s="49" t="s">
        <v>36</v>
      </c>
      <c r="BO164" s="30"/>
      <c r="BS164" s="60" t="s">
        <v>416</v>
      </c>
      <c r="BT164" s="30" t="s">
        <v>569</v>
      </c>
      <c r="BU164" s="30" t="s">
        <v>575</v>
      </c>
      <c r="BV164" s="30"/>
      <c r="CH164" s="50" t="s">
        <v>39</v>
      </c>
      <c r="CM164" s="66" t="s">
        <v>440</v>
      </c>
      <c r="CN164">
        <v>0</v>
      </c>
      <c r="CW164" s="30"/>
      <c r="DC164" s="67" t="s">
        <v>445</v>
      </c>
      <c r="DK164" s="67" t="s">
        <v>579</v>
      </c>
      <c r="DO164" s="30"/>
      <c r="DP164" s="30"/>
      <c r="DQ164" s="30"/>
      <c r="DR164" s="30"/>
      <c r="FD164" s="28" t="s">
        <v>615</v>
      </c>
      <c r="FE164">
        <v>42</v>
      </c>
      <c r="FG164" s="73" t="s">
        <v>616</v>
      </c>
      <c r="FH164" s="6" t="s">
        <v>470</v>
      </c>
      <c r="FR164" t="s">
        <v>642</v>
      </c>
      <c r="FU164" s="6" t="s">
        <v>27</v>
      </c>
      <c r="FV164" s="52" t="s">
        <v>420</v>
      </c>
      <c r="GF164" t="s">
        <v>514</v>
      </c>
      <c r="GG164" t="s">
        <v>510</v>
      </c>
      <c r="GH164" s="80" t="s">
        <v>743</v>
      </c>
      <c r="GI164" s="6" t="s">
        <v>511</v>
      </c>
      <c r="GJ164" s="8">
        <v>0.23217785364921983</v>
      </c>
      <c r="GM164">
        <v>4</v>
      </c>
      <c r="GN164" t="s">
        <v>640</v>
      </c>
      <c r="GO164" s="59" t="s">
        <v>154</v>
      </c>
      <c r="GP164">
        <v>1997</v>
      </c>
      <c r="GS164" s="71" t="s">
        <v>560</v>
      </c>
      <c r="GU164" t="s">
        <v>644</v>
      </c>
    </row>
    <row r="165" spans="1:203" ht="15" thickBot="1">
      <c r="A165" s="25" t="s">
        <v>550</v>
      </c>
      <c r="C165" t="s">
        <v>549</v>
      </c>
      <c r="E165" t="s">
        <v>16</v>
      </c>
      <c r="F165" s="6" t="s">
        <v>592</v>
      </c>
      <c r="G165" t="s">
        <v>591</v>
      </c>
      <c r="H165" s="6" t="s">
        <v>4</v>
      </c>
      <c r="I165" s="59" t="s">
        <v>154</v>
      </c>
      <c r="J165" s="59" t="s">
        <v>389</v>
      </c>
      <c r="K165" s="9">
        <v>0.1</v>
      </c>
      <c r="L165" s="9">
        <v>34.566667000000002</v>
      </c>
      <c r="M165" s="30" t="s">
        <v>31</v>
      </c>
      <c r="N165" t="s">
        <v>551</v>
      </c>
      <c r="O165">
        <v>100</v>
      </c>
      <c r="Q165">
        <v>4</v>
      </c>
      <c r="R165" t="s">
        <v>593</v>
      </c>
      <c r="S165">
        <v>1994</v>
      </c>
      <c r="T165">
        <v>1998</v>
      </c>
      <c r="U165" t="s">
        <v>590</v>
      </c>
      <c r="V165" t="s">
        <v>36</v>
      </c>
      <c r="W165" t="s">
        <v>36</v>
      </c>
      <c r="X165" s="9" t="s">
        <v>557</v>
      </c>
      <c r="Y165" t="s">
        <v>477</v>
      </c>
      <c r="Z165" s="59" t="s">
        <v>43</v>
      </c>
      <c r="AA165" t="s">
        <v>559</v>
      </c>
      <c r="AB165" s="60" t="s">
        <v>415</v>
      </c>
      <c r="AC165" s="31">
        <v>53000</v>
      </c>
      <c r="AX165" t="s">
        <v>574</v>
      </c>
      <c r="AZ165" s="60" t="s">
        <v>398</v>
      </c>
      <c r="BA165">
        <v>1994</v>
      </c>
      <c r="BB165">
        <v>1998</v>
      </c>
      <c r="BM165" t="s">
        <v>570</v>
      </c>
      <c r="BN165" s="49" t="s">
        <v>36</v>
      </c>
      <c r="BO165" s="30"/>
      <c r="BS165" s="60" t="s">
        <v>416</v>
      </c>
      <c r="BT165" s="30" t="s">
        <v>576</v>
      </c>
      <c r="BU165" s="30" t="s">
        <v>575</v>
      </c>
      <c r="BV165" s="30"/>
      <c r="CG165" t="s">
        <v>570</v>
      </c>
      <c r="CH165" t="s">
        <v>37</v>
      </c>
      <c r="CI165" s="65" t="s">
        <v>439</v>
      </c>
      <c r="CM165" s="66" t="s">
        <v>440</v>
      </c>
      <c r="CN165">
        <v>60</v>
      </c>
      <c r="CQ165">
        <v>60</v>
      </c>
      <c r="CW165" s="30"/>
      <c r="DC165" s="67" t="s">
        <v>445</v>
      </c>
      <c r="DK165" s="67" t="s">
        <v>579</v>
      </c>
      <c r="DO165" s="30"/>
      <c r="DP165" s="30"/>
      <c r="DQ165" s="30"/>
      <c r="DR165" s="30"/>
      <c r="FD165" s="29" t="s">
        <v>615</v>
      </c>
      <c r="FE165">
        <v>42</v>
      </c>
      <c r="FG165" s="73" t="s">
        <v>616</v>
      </c>
      <c r="FH165" s="6" t="s">
        <v>470</v>
      </c>
      <c r="FR165" t="s">
        <v>642</v>
      </c>
      <c r="FU165" s="6" t="s">
        <v>27</v>
      </c>
      <c r="FV165" s="52" t="s">
        <v>420</v>
      </c>
      <c r="GF165" t="s">
        <v>587</v>
      </c>
      <c r="GG165" t="s">
        <v>510</v>
      </c>
      <c r="GH165" s="80" t="s">
        <v>744</v>
      </c>
      <c r="GI165" s="6" t="s">
        <v>511</v>
      </c>
      <c r="GJ165" s="8">
        <v>0.30367421200702971</v>
      </c>
      <c r="GM165">
        <v>4</v>
      </c>
      <c r="GN165" t="s">
        <v>640</v>
      </c>
      <c r="GO165" s="59" t="s">
        <v>154</v>
      </c>
      <c r="GP165">
        <v>1997</v>
      </c>
      <c r="GS165" s="71" t="s">
        <v>560</v>
      </c>
      <c r="GU165" t="s">
        <v>644</v>
      </c>
    </row>
    <row r="166" spans="1:203" ht="15" thickBot="1">
      <c r="A166" s="25" t="s">
        <v>550</v>
      </c>
      <c r="C166" t="s">
        <v>549</v>
      </c>
      <c r="E166" t="s">
        <v>16</v>
      </c>
      <c r="F166" s="6" t="s">
        <v>592</v>
      </c>
      <c r="G166" t="s">
        <v>591</v>
      </c>
      <c r="H166" s="6" t="s">
        <v>4</v>
      </c>
      <c r="I166" s="59" t="s">
        <v>154</v>
      </c>
      <c r="J166" s="59" t="s">
        <v>389</v>
      </c>
      <c r="K166" s="9">
        <v>0.1</v>
      </c>
      <c r="L166" s="9">
        <v>34.566667000000002</v>
      </c>
      <c r="M166" s="30" t="s">
        <v>31</v>
      </c>
      <c r="N166" t="s">
        <v>551</v>
      </c>
      <c r="O166">
        <v>100</v>
      </c>
      <c r="Q166">
        <v>4</v>
      </c>
      <c r="R166" t="s">
        <v>593</v>
      </c>
      <c r="S166">
        <v>1994</v>
      </c>
      <c r="T166">
        <v>1998</v>
      </c>
      <c r="U166" t="s">
        <v>590</v>
      </c>
      <c r="V166" t="s">
        <v>558</v>
      </c>
      <c r="W166" t="s">
        <v>588</v>
      </c>
      <c r="X166" s="9" t="s">
        <v>552</v>
      </c>
      <c r="Y166" t="s">
        <v>478</v>
      </c>
      <c r="Z166" s="59" t="s">
        <v>43</v>
      </c>
      <c r="AA166" t="s">
        <v>559</v>
      </c>
      <c r="AB166" s="60" t="s">
        <v>415</v>
      </c>
      <c r="AC166" s="31">
        <v>53000</v>
      </c>
      <c r="AD166" t="s">
        <v>98</v>
      </c>
      <c r="AO166" t="s">
        <v>47</v>
      </c>
      <c r="AP166" s="60" t="s">
        <v>415</v>
      </c>
      <c r="AQ166" s="31">
        <v>53000</v>
      </c>
      <c r="AX166" t="s">
        <v>574</v>
      </c>
      <c r="AZ166" s="60" t="s">
        <v>398</v>
      </c>
      <c r="BA166">
        <v>1994</v>
      </c>
      <c r="BB166">
        <v>1998</v>
      </c>
      <c r="BL166" s="60"/>
      <c r="BM166" t="s">
        <v>563</v>
      </c>
      <c r="BN166" s="67" t="s">
        <v>561</v>
      </c>
      <c r="BO166" s="30"/>
      <c r="BQ166">
        <v>1995</v>
      </c>
      <c r="BR166" t="s">
        <v>560</v>
      </c>
      <c r="BS166" s="60" t="s">
        <v>416</v>
      </c>
      <c r="BT166" s="30" t="s">
        <v>572</v>
      </c>
      <c r="BU166" s="50" t="s">
        <v>28</v>
      </c>
      <c r="BV166" s="30"/>
      <c r="BX166" s="30" t="s">
        <v>31</v>
      </c>
      <c r="BY166" s="30" t="s">
        <v>31</v>
      </c>
      <c r="BZ166" s="30" t="s">
        <v>31</v>
      </c>
      <c r="CA166" s="30" t="s">
        <v>31</v>
      </c>
      <c r="CB166" s="30" t="s">
        <v>31</v>
      </c>
      <c r="CC166" s="30" t="s">
        <v>31</v>
      </c>
      <c r="CD166" s="30" t="s">
        <v>31</v>
      </c>
      <c r="CE166" s="30" t="s">
        <v>31</v>
      </c>
      <c r="CF166" s="30" t="s">
        <v>31</v>
      </c>
      <c r="CH166" s="50" t="s">
        <v>39</v>
      </c>
      <c r="CM166" s="66" t="s">
        <v>440</v>
      </c>
      <c r="CN166">
        <v>0</v>
      </c>
      <c r="CW166" s="30"/>
      <c r="DC166" s="67" t="s">
        <v>445</v>
      </c>
      <c r="DK166" s="72" t="s">
        <v>577</v>
      </c>
      <c r="DL166" s="56" t="s">
        <v>508</v>
      </c>
      <c r="DM166" s="30"/>
      <c r="DN166" s="30" t="s">
        <v>31</v>
      </c>
      <c r="DO166" s="30"/>
      <c r="DP166" s="30"/>
      <c r="DQ166" s="30"/>
      <c r="DR166" s="30"/>
      <c r="FC166" t="s">
        <v>154</v>
      </c>
      <c r="FD166" s="28" t="s">
        <v>615</v>
      </c>
      <c r="FE166">
        <v>42</v>
      </c>
      <c r="FG166" s="73" t="s">
        <v>616</v>
      </c>
      <c r="FH166" s="6" t="s">
        <v>470</v>
      </c>
      <c r="FR166" t="s">
        <v>642</v>
      </c>
      <c r="FU166" s="6" t="s">
        <v>27</v>
      </c>
      <c r="FV166" s="52" t="s">
        <v>420</v>
      </c>
      <c r="GG166" t="s">
        <v>510</v>
      </c>
      <c r="GH166" s="80" t="s">
        <v>745</v>
      </c>
      <c r="GI166" s="6" t="s">
        <v>511</v>
      </c>
      <c r="GJ166" s="8">
        <v>0.19639598155875015</v>
      </c>
      <c r="GM166">
        <v>4</v>
      </c>
      <c r="GN166" t="s">
        <v>641</v>
      </c>
      <c r="GO166" s="59" t="s">
        <v>154</v>
      </c>
      <c r="GP166">
        <v>1998</v>
      </c>
      <c r="GS166" s="71" t="s">
        <v>560</v>
      </c>
      <c r="GU166" t="s">
        <v>645</v>
      </c>
    </row>
    <row r="167" spans="1:203" ht="15" thickBot="1">
      <c r="A167" s="25" t="s">
        <v>550</v>
      </c>
      <c r="C167" t="s">
        <v>549</v>
      </c>
      <c r="E167" t="s">
        <v>16</v>
      </c>
      <c r="F167" s="6" t="s">
        <v>592</v>
      </c>
      <c r="G167" t="s">
        <v>591</v>
      </c>
      <c r="H167" s="6" t="s">
        <v>4</v>
      </c>
      <c r="I167" s="59" t="s">
        <v>154</v>
      </c>
      <c r="J167" s="59" t="s">
        <v>389</v>
      </c>
      <c r="K167" s="9">
        <v>0.1</v>
      </c>
      <c r="L167" s="9">
        <v>34.566667000000002</v>
      </c>
      <c r="M167" s="30" t="s">
        <v>31</v>
      </c>
      <c r="N167" t="s">
        <v>551</v>
      </c>
      <c r="O167">
        <v>100</v>
      </c>
      <c r="Q167">
        <v>4</v>
      </c>
      <c r="R167" t="s">
        <v>593</v>
      </c>
      <c r="S167">
        <v>1994</v>
      </c>
      <c r="T167">
        <v>1998</v>
      </c>
      <c r="U167" t="s">
        <v>590</v>
      </c>
      <c r="V167" t="s">
        <v>558</v>
      </c>
      <c r="W167" t="s">
        <v>588</v>
      </c>
      <c r="X167" s="9" t="s">
        <v>554</v>
      </c>
      <c r="Y167" t="s">
        <v>479</v>
      </c>
      <c r="Z167" s="59" t="s">
        <v>43</v>
      </c>
      <c r="AA167" t="s">
        <v>559</v>
      </c>
      <c r="AB167" s="60" t="s">
        <v>415</v>
      </c>
      <c r="AC167" s="31">
        <v>53000</v>
      </c>
      <c r="AD167" t="s">
        <v>98</v>
      </c>
      <c r="AO167" t="s">
        <v>47</v>
      </c>
      <c r="AP167" s="60" t="s">
        <v>415</v>
      </c>
      <c r="AQ167" s="31">
        <v>53000</v>
      </c>
      <c r="AX167" t="s">
        <v>574</v>
      </c>
      <c r="AZ167" s="60" t="s">
        <v>398</v>
      </c>
      <c r="BA167">
        <v>1994</v>
      </c>
      <c r="BB167">
        <v>1998</v>
      </c>
      <c r="BL167" s="60"/>
      <c r="BM167" t="s">
        <v>564</v>
      </c>
      <c r="BN167" s="67" t="s">
        <v>562</v>
      </c>
      <c r="BO167" s="30"/>
      <c r="BQ167">
        <v>1994</v>
      </c>
      <c r="BR167" t="s">
        <v>571</v>
      </c>
      <c r="BS167" s="60" t="s">
        <v>416</v>
      </c>
      <c r="BT167" s="30" t="s">
        <v>573</v>
      </c>
      <c r="BU167" s="50" t="s">
        <v>28</v>
      </c>
      <c r="BV167" s="30"/>
      <c r="BX167" s="30" t="s">
        <v>31</v>
      </c>
      <c r="BY167" s="30" t="s">
        <v>31</v>
      </c>
      <c r="BZ167" s="30" t="s">
        <v>31</v>
      </c>
      <c r="CA167" s="30" t="s">
        <v>31</v>
      </c>
      <c r="CB167" s="30" t="s">
        <v>31</v>
      </c>
      <c r="CC167" s="30" t="s">
        <v>31</v>
      </c>
      <c r="CD167" s="30" t="s">
        <v>31</v>
      </c>
      <c r="CE167" s="30" t="s">
        <v>31</v>
      </c>
      <c r="CF167" s="30" t="s">
        <v>31</v>
      </c>
      <c r="CH167" s="50" t="s">
        <v>39</v>
      </c>
      <c r="CM167" s="66" t="s">
        <v>440</v>
      </c>
      <c r="CN167">
        <v>0</v>
      </c>
      <c r="CW167" s="30"/>
      <c r="DC167" s="67" t="s">
        <v>445</v>
      </c>
      <c r="DK167" s="72" t="s">
        <v>577</v>
      </c>
      <c r="DL167" s="56" t="s">
        <v>508</v>
      </c>
      <c r="DM167" s="30"/>
      <c r="DN167" s="30" t="s">
        <v>31</v>
      </c>
      <c r="DO167" s="30"/>
      <c r="DP167" s="30"/>
      <c r="DQ167" s="30"/>
      <c r="DR167" s="30"/>
      <c r="FC167" t="s">
        <v>154</v>
      </c>
      <c r="FD167" s="29" t="s">
        <v>615</v>
      </c>
      <c r="FE167">
        <v>42</v>
      </c>
      <c r="FG167" s="73" t="s">
        <v>616</v>
      </c>
      <c r="FH167" s="6" t="s">
        <v>470</v>
      </c>
      <c r="FR167" t="s">
        <v>642</v>
      </c>
      <c r="FU167" s="6" t="s">
        <v>27</v>
      </c>
      <c r="FV167" s="52" t="s">
        <v>420</v>
      </c>
      <c r="GG167" t="s">
        <v>510</v>
      </c>
      <c r="GH167" s="80" t="s">
        <v>746</v>
      </c>
      <c r="GI167" s="6" t="s">
        <v>511</v>
      </c>
      <c r="GJ167" s="8">
        <v>0.19649706029347014</v>
      </c>
      <c r="GM167">
        <v>4</v>
      </c>
      <c r="GN167" t="s">
        <v>641</v>
      </c>
      <c r="GO167" s="59" t="s">
        <v>154</v>
      </c>
      <c r="GP167">
        <v>1998</v>
      </c>
      <c r="GS167" s="71" t="s">
        <v>560</v>
      </c>
      <c r="GU167" t="s">
        <v>645</v>
      </c>
    </row>
    <row r="168" spans="1:203" ht="15" thickBot="1">
      <c r="A168" s="25" t="s">
        <v>550</v>
      </c>
      <c r="C168" t="s">
        <v>549</v>
      </c>
      <c r="E168" t="s">
        <v>16</v>
      </c>
      <c r="F168" s="6" t="s">
        <v>592</v>
      </c>
      <c r="G168" t="s">
        <v>591</v>
      </c>
      <c r="H168" s="6" t="s">
        <v>4</v>
      </c>
      <c r="I168" s="59" t="s">
        <v>154</v>
      </c>
      <c r="J168" s="59" t="s">
        <v>389</v>
      </c>
      <c r="K168" s="9">
        <v>0.1</v>
      </c>
      <c r="L168" s="9">
        <v>34.566667000000002</v>
      </c>
      <c r="M168" s="30" t="s">
        <v>31</v>
      </c>
      <c r="N168" t="s">
        <v>551</v>
      </c>
      <c r="O168">
        <v>100</v>
      </c>
      <c r="Q168">
        <v>4</v>
      </c>
      <c r="R168" t="s">
        <v>593</v>
      </c>
      <c r="S168">
        <v>1994</v>
      </c>
      <c r="T168">
        <v>1998</v>
      </c>
      <c r="U168" t="s">
        <v>590</v>
      </c>
      <c r="V168" t="s">
        <v>558</v>
      </c>
      <c r="W168" t="s">
        <v>589</v>
      </c>
      <c r="X168" s="9" t="s">
        <v>553</v>
      </c>
      <c r="Y168" t="s">
        <v>480</v>
      </c>
      <c r="Z168" s="59" t="s">
        <v>43</v>
      </c>
      <c r="AA168" t="s">
        <v>559</v>
      </c>
      <c r="AB168" s="60" t="s">
        <v>415</v>
      </c>
      <c r="AC168" s="31">
        <v>53000</v>
      </c>
      <c r="AP168" s="60"/>
      <c r="AQ168" s="31"/>
      <c r="AX168" t="s">
        <v>574</v>
      </c>
      <c r="AZ168" s="60" t="s">
        <v>398</v>
      </c>
      <c r="BA168">
        <v>1994</v>
      </c>
      <c r="BB168">
        <v>1998</v>
      </c>
      <c r="BM168" t="s">
        <v>565</v>
      </c>
      <c r="BN168" s="49" t="s">
        <v>566</v>
      </c>
      <c r="BO168" s="30"/>
      <c r="BQ168">
        <v>1995</v>
      </c>
      <c r="BR168" t="s">
        <v>571</v>
      </c>
      <c r="BS168" s="60" t="s">
        <v>416</v>
      </c>
      <c r="BT168" s="30" t="s">
        <v>569</v>
      </c>
      <c r="BU168" s="30" t="s">
        <v>575</v>
      </c>
      <c r="BV168" s="30"/>
      <c r="CH168" s="50" t="s">
        <v>39</v>
      </c>
      <c r="CM168" s="66" t="s">
        <v>440</v>
      </c>
      <c r="CN168">
        <v>0</v>
      </c>
      <c r="CW168" s="30"/>
      <c r="DC168" s="67" t="s">
        <v>445</v>
      </c>
      <c r="DK168" s="67" t="s">
        <v>579</v>
      </c>
      <c r="DL168" s="30"/>
      <c r="DM168" s="30"/>
      <c r="DN168" s="30"/>
      <c r="DO168" s="30"/>
      <c r="DP168" s="30"/>
      <c r="DQ168" s="30"/>
      <c r="DR168" s="30"/>
      <c r="FC168" t="s">
        <v>154</v>
      </c>
      <c r="FD168" s="28" t="s">
        <v>615</v>
      </c>
      <c r="FE168">
        <v>42</v>
      </c>
      <c r="FG168" s="73" t="s">
        <v>616</v>
      </c>
      <c r="FH168" s="6" t="s">
        <v>470</v>
      </c>
      <c r="FR168" t="s">
        <v>642</v>
      </c>
      <c r="FU168" s="6" t="s">
        <v>27</v>
      </c>
      <c r="FV168" s="52" t="s">
        <v>420</v>
      </c>
      <c r="GG168" t="s">
        <v>510</v>
      </c>
      <c r="GH168" s="80" t="s">
        <v>747</v>
      </c>
      <c r="GI168" s="6" t="s">
        <v>511</v>
      </c>
      <c r="GJ168" s="8">
        <v>0.14279055924617001</v>
      </c>
      <c r="GM168">
        <v>4</v>
      </c>
      <c r="GN168" t="s">
        <v>641</v>
      </c>
      <c r="GO168" s="59" t="s">
        <v>154</v>
      </c>
      <c r="GP168">
        <v>1998</v>
      </c>
      <c r="GS168" s="71" t="s">
        <v>560</v>
      </c>
      <c r="GU168" t="s">
        <v>645</v>
      </c>
    </row>
    <row r="169" spans="1:203" ht="15" thickBot="1">
      <c r="A169" s="25" t="s">
        <v>550</v>
      </c>
      <c r="C169" t="s">
        <v>549</v>
      </c>
      <c r="E169" t="s">
        <v>16</v>
      </c>
      <c r="F169" s="6" t="s">
        <v>592</v>
      </c>
      <c r="G169" t="s">
        <v>591</v>
      </c>
      <c r="H169" s="6" t="s">
        <v>4</v>
      </c>
      <c r="I169" s="59" t="s">
        <v>154</v>
      </c>
      <c r="J169" s="59" t="s">
        <v>389</v>
      </c>
      <c r="K169" s="9">
        <v>0.1</v>
      </c>
      <c r="L169" s="9">
        <v>34.566667000000002</v>
      </c>
      <c r="M169" s="30" t="s">
        <v>31</v>
      </c>
      <c r="N169" t="s">
        <v>551</v>
      </c>
      <c r="O169">
        <v>100</v>
      </c>
      <c r="Q169">
        <v>4</v>
      </c>
      <c r="R169" t="s">
        <v>593</v>
      </c>
      <c r="S169">
        <v>1994</v>
      </c>
      <c r="T169">
        <v>1998</v>
      </c>
      <c r="U169" t="s">
        <v>590</v>
      </c>
      <c r="V169" t="s">
        <v>558</v>
      </c>
      <c r="W169" t="s">
        <v>589</v>
      </c>
      <c r="X169" s="9" t="s">
        <v>555</v>
      </c>
      <c r="Y169" t="s">
        <v>481</v>
      </c>
      <c r="Z169" s="59" t="s">
        <v>43</v>
      </c>
      <c r="AA169" t="s">
        <v>559</v>
      </c>
      <c r="AB169" s="60" t="s">
        <v>415</v>
      </c>
      <c r="AC169" s="31">
        <v>53000</v>
      </c>
      <c r="AP169" s="60"/>
      <c r="AQ169" s="31"/>
      <c r="AX169" t="s">
        <v>574</v>
      </c>
      <c r="AZ169" s="60" t="s">
        <v>398</v>
      </c>
      <c r="BA169">
        <v>1994</v>
      </c>
      <c r="BB169">
        <v>1998</v>
      </c>
      <c r="BM169" t="s">
        <v>567</v>
      </c>
      <c r="BN169" s="49" t="s">
        <v>568</v>
      </c>
      <c r="BO169" s="30"/>
      <c r="BQ169">
        <v>1994</v>
      </c>
      <c r="BR169" t="s">
        <v>571</v>
      </c>
      <c r="BS169" s="60" t="s">
        <v>416</v>
      </c>
      <c r="BT169" s="30" t="s">
        <v>569</v>
      </c>
      <c r="BU169" s="30" t="s">
        <v>575</v>
      </c>
      <c r="BV169" s="30"/>
      <c r="CH169" s="50" t="s">
        <v>39</v>
      </c>
      <c r="CM169" s="66" t="s">
        <v>440</v>
      </c>
      <c r="CN169">
        <v>0</v>
      </c>
      <c r="CW169" s="30"/>
      <c r="DC169" s="67" t="s">
        <v>445</v>
      </c>
      <c r="DK169" s="67" t="s">
        <v>579</v>
      </c>
      <c r="DO169" s="30"/>
      <c r="DP169" s="30"/>
      <c r="DQ169" s="30"/>
      <c r="DR169" s="30"/>
      <c r="FC169" t="s">
        <v>154</v>
      </c>
      <c r="FD169" s="29" t="s">
        <v>615</v>
      </c>
      <c r="FE169">
        <v>42</v>
      </c>
      <c r="FG169" s="73" t="s">
        <v>616</v>
      </c>
      <c r="FH169" s="6" t="s">
        <v>470</v>
      </c>
      <c r="FR169" t="s">
        <v>642</v>
      </c>
      <c r="FU169" s="6" t="s">
        <v>27</v>
      </c>
      <c r="FV169" s="52" t="s">
        <v>420</v>
      </c>
      <c r="GG169" t="s">
        <v>510</v>
      </c>
      <c r="GH169" s="80" t="s">
        <v>748</v>
      </c>
      <c r="GI169" s="6" t="s">
        <v>511</v>
      </c>
      <c r="GJ169" s="8">
        <v>0.21425322469241004</v>
      </c>
      <c r="GM169">
        <v>4</v>
      </c>
      <c r="GN169" t="s">
        <v>641</v>
      </c>
      <c r="GO169" s="59" t="s">
        <v>154</v>
      </c>
      <c r="GP169">
        <v>1998</v>
      </c>
      <c r="GS169" s="71" t="s">
        <v>560</v>
      </c>
      <c r="GU169" t="s">
        <v>645</v>
      </c>
    </row>
    <row r="170" spans="1:203" ht="15" thickBot="1">
      <c r="A170" s="25" t="s">
        <v>550</v>
      </c>
      <c r="C170" t="s">
        <v>549</v>
      </c>
      <c r="E170" t="s">
        <v>16</v>
      </c>
      <c r="F170" s="6" t="s">
        <v>592</v>
      </c>
      <c r="G170" t="s">
        <v>591</v>
      </c>
      <c r="H170" s="6" t="s">
        <v>4</v>
      </c>
      <c r="I170" s="59" t="s">
        <v>154</v>
      </c>
      <c r="J170" s="59" t="s">
        <v>389</v>
      </c>
      <c r="K170" s="9">
        <v>0.1</v>
      </c>
      <c r="L170" s="9">
        <v>34.566667000000002</v>
      </c>
      <c r="M170" s="30" t="s">
        <v>31</v>
      </c>
      <c r="N170" t="s">
        <v>551</v>
      </c>
      <c r="O170">
        <v>100</v>
      </c>
      <c r="Q170">
        <v>4</v>
      </c>
      <c r="R170" t="s">
        <v>593</v>
      </c>
      <c r="S170">
        <v>1994</v>
      </c>
      <c r="T170">
        <v>1998</v>
      </c>
      <c r="U170" t="s">
        <v>590</v>
      </c>
      <c r="V170" t="s">
        <v>36</v>
      </c>
      <c r="W170" t="s">
        <v>36</v>
      </c>
      <c r="X170" s="9" t="s">
        <v>556</v>
      </c>
      <c r="Y170" t="s">
        <v>476</v>
      </c>
      <c r="Z170" s="59" t="s">
        <v>43</v>
      </c>
      <c r="AA170" t="s">
        <v>559</v>
      </c>
      <c r="AB170" s="60" t="s">
        <v>415</v>
      </c>
      <c r="AC170" s="31">
        <v>53000</v>
      </c>
      <c r="AX170" t="s">
        <v>574</v>
      </c>
      <c r="AZ170" s="60" t="s">
        <v>398</v>
      </c>
      <c r="BA170">
        <v>1994</v>
      </c>
      <c r="BB170">
        <v>1998</v>
      </c>
      <c r="BM170" t="s">
        <v>569</v>
      </c>
      <c r="BN170" s="49" t="s">
        <v>36</v>
      </c>
      <c r="BO170" s="30"/>
      <c r="BS170" s="60" t="s">
        <v>416</v>
      </c>
      <c r="BT170" s="30" t="s">
        <v>569</v>
      </c>
      <c r="BU170" s="30" t="s">
        <v>575</v>
      </c>
      <c r="BV170" s="30"/>
      <c r="CH170" s="50" t="s">
        <v>39</v>
      </c>
      <c r="CM170" s="66" t="s">
        <v>440</v>
      </c>
      <c r="CN170">
        <v>0</v>
      </c>
      <c r="CW170" s="30"/>
      <c r="DC170" s="67" t="s">
        <v>445</v>
      </c>
      <c r="DK170" s="67" t="s">
        <v>579</v>
      </c>
      <c r="DO170" s="30"/>
      <c r="DP170" s="30"/>
      <c r="DQ170" s="30"/>
      <c r="DR170" s="30"/>
      <c r="FD170" s="28" t="s">
        <v>615</v>
      </c>
      <c r="FE170">
        <v>42</v>
      </c>
      <c r="FG170" s="73" t="s">
        <v>616</v>
      </c>
      <c r="FH170" s="6" t="s">
        <v>470</v>
      </c>
      <c r="FR170" t="s">
        <v>642</v>
      </c>
      <c r="FU170" s="6" t="s">
        <v>27</v>
      </c>
      <c r="FV170" s="52" t="s">
        <v>420</v>
      </c>
      <c r="GF170" t="s">
        <v>514</v>
      </c>
      <c r="GG170" t="s">
        <v>510</v>
      </c>
      <c r="GH170" s="80" t="s">
        <v>749</v>
      </c>
      <c r="GI170" s="6" t="s">
        <v>511</v>
      </c>
      <c r="GJ170" s="8">
        <v>0.28568219722707</v>
      </c>
      <c r="GM170">
        <v>4</v>
      </c>
      <c r="GN170" t="s">
        <v>641</v>
      </c>
      <c r="GO170" s="59" t="s">
        <v>154</v>
      </c>
      <c r="GP170">
        <v>1998</v>
      </c>
      <c r="GS170" s="71" t="s">
        <v>560</v>
      </c>
      <c r="GU170" t="s">
        <v>645</v>
      </c>
    </row>
    <row r="171" spans="1:203" ht="15" thickBot="1">
      <c r="A171" s="25" t="s">
        <v>550</v>
      </c>
      <c r="C171" t="s">
        <v>549</v>
      </c>
      <c r="E171" t="s">
        <v>16</v>
      </c>
      <c r="F171" s="6" t="s">
        <v>592</v>
      </c>
      <c r="G171" t="s">
        <v>591</v>
      </c>
      <c r="H171" s="6" t="s">
        <v>4</v>
      </c>
      <c r="I171" s="59" t="s">
        <v>154</v>
      </c>
      <c r="J171" s="59" t="s">
        <v>389</v>
      </c>
      <c r="K171" s="9">
        <v>0.1</v>
      </c>
      <c r="L171" s="9">
        <v>34.566667000000002</v>
      </c>
      <c r="M171" s="30" t="s">
        <v>31</v>
      </c>
      <c r="N171" t="s">
        <v>551</v>
      </c>
      <c r="O171">
        <v>100</v>
      </c>
      <c r="Q171">
        <v>4</v>
      </c>
      <c r="R171" t="s">
        <v>593</v>
      </c>
      <c r="S171">
        <v>1994</v>
      </c>
      <c r="T171">
        <v>1998</v>
      </c>
      <c r="U171" t="s">
        <v>590</v>
      </c>
      <c r="V171" t="s">
        <v>36</v>
      </c>
      <c r="W171" t="s">
        <v>36</v>
      </c>
      <c r="X171" s="9" t="s">
        <v>557</v>
      </c>
      <c r="Y171" t="s">
        <v>477</v>
      </c>
      <c r="Z171" s="59" t="s">
        <v>43</v>
      </c>
      <c r="AA171" t="s">
        <v>559</v>
      </c>
      <c r="AB171" s="60" t="s">
        <v>415</v>
      </c>
      <c r="AC171" s="31">
        <v>53000</v>
      </c>
      <c r="AX171" t="s">
        <v>574</v>
      </c>
      <c r="AZ171" s="60" t="s">
        <v>398</v>
      </c>
      <c r="BA171">
        <v>1994</v>
      </c>
      <c r="BB171">
        <v>1998</v>
      </c>
      <c r="BM171" t="s">
        <v>570</v>
      </c>
      <c r="BN171" s="49" t="s">
        <v>36</v>
      </c>
      <c r="BO171" s="30"/>
      <c r="BS171" s="60" t="s">
        <v>416</v>
      </c>
      <c r="BT171" s="30" t="s">
        <v>576</v>
      </c>
      <c r="BU171" s="30" t="s">
        <v>575</v>
      </c>
      <c r="BV171" s="30"/>
      <c r="CG171" t="s">
        <v>570</v>
      </c>
      <c r="CH171" t="s">
        <v>37</v>
      </c>
      <c r="CI171" s="65" t="s">
        <v>439</v>
      </c>
      <c r="CM171" s="66" t="s">
        <v>440</v>
      </c>
      <c r="CN171">
        <v>60</v>
      </c>
      <c r="CQ171">
        <v>60</v>
      </c>
      <c r="CW171" s="30"/>
      <c r="DC171" s="67" t="s">
        <v>445</v>
      </c>
      <c r="DK171" s="67" t="s">
        <v>579</v>
      </c>
      <c r="DO171" s="30"/>
      <c r="DP171" s="30"/>
      <c r="DQ171" s="30"/>
      <c r="DR171" s="30"/>
      <c r="FD171" s="29" t="s">
        <v>615</v>
      </c>
      <c r="FE171">
        <v>42</v>
      </c>
      <c r="FG171" s="73" t="s">
        <v>616</v>
      </c>
      <c r="FH171" s="6" t="s">
        <v>470</v>
      </c>
      <c r="FR171" t="s">
        <v>642</v>
      </c>
      <c r="FU171" s="6" t="s">
        <v>27</v>
      </c>
      <c r="FV171" s="52" t="s">
        <v>420</v>
      </c>
      <c r="GF171" t="s">
        <v>587</v>
      </c>
      <c r="GG171" t="s">
        <v>510</v>
      </c>
      <c r="GH171" s="80" t="s">
        <v>750</v>
      </c>
      <c r="GI171" s="6" t="s">
        <v>511</v>
      </c>
      <c r="GJ171" s="8">
        <v>0.41085136372059994</v>
      </c>
      <c r="GM171">
        <v>4</v>
      </c>
      <c r="GN171" t="s">
        <v>641</v>
      </c>
      <c r="GO171" s="59" t="s">
        <v>154</v>
      </c>
      <c r="GP171">
        <v>1998</v>
      </c>
      <c r="GS171" s="71" t="s">
        <v>560</v>
      </c>
      <c r="GU171" t="s">
        <v>645</v>
      </c>
    </row>
    <row r="172" spans="1:203" ht="15" thickBot="1">
      <c r="A172" s="25" t="s">
        <v>550</v>
      </c>
      <c r="C172" t="s">
        <v>549</v>
      </c>
      <c r="E172" t="s">
        <v>16</v>
      </c>
      <c r="F172" s="6" t="s">
        <v>592</v>
      </c>
      <c r="G172" t="s">
        <v>591</v>
      </c>
      <c r="H172" s="6" t="s">
        <v>4</v>
      </c>
      <c r="I172" s="59" t="s">
        <v>154</v>
      </c>
      <c r="J172" s="59" t="s">
        <v>389</v>
      </c>
      <c r="K172" s="9">
        <v>0.1</v>
      </c>
      <c r="L172" s="9">
        <v>34.566667000000002</v>
      </c>
      <c r="M172" s="30" t="s">
        <v>31</v>
      </c>
      <c r="N172" t="s">
        <v>551</v>
      </c>
      <c r="O172">
        <v>100</v>
      </c>
      <c r="Q172">
        <v>4</v>
      </c>
      <c r="R172" t="s">
        <v>593</v>
      </c>
      <c r="S172">
        <v>1994</v>
      </c>
      <c r="T172">
        <v>1998</v>
      </c>
      <c r="U172" t="s">
        <v>590</v>
      </c>
      <c r="V172" t="s">
        <v>558</v>
      </c>
      <c r="W172" t="s">
        <v>588</v>
      </c>
      <c r="X172" s="9" t="s">
        <v>552</v>
      </c>
      <c r="Y172" t="s">
        <v>478</v>
      </c>
      <c r="Z172" s="59" t="s">
        <v>43</v>
      </c>
      <c r="AA172" t="s">
        <v>559</v>
      </c>
      <c r="AB172" s="60" t="s">
        <v>415</v>
      </c>
      <c r="AC172" s="31">
        <v>53000</v>
      </c>
      <c r="AD172" t="s">
        <v>98</v>
      </c>
      <c r="AO172" t="s">
        <v>47</v>
      </c>
      <c r="AP172" s="60" t="s">
        <v>415</v>
      </c>
      <c r="AQ172" s="31">
        <v>53000</v>
      </c>
      <c r="AX172" t="s">
        <v>574</v>
      </c>
      <c r="AZ172" s="60" t="s">
        <v>398</v>
      </c>
      <c r="BA172">
        <v>1994</v>
      </c>
      <c r="BB172">
        <v>1998</v>
      </c>
      <c r="BL172" s="60"/>
      <c r="BM172" t="s">
        <v>563</v>
      </c>
      <c r="BN172" s="67" t="s">
        <v>561</v>
      </c>
      <c r="BO172" s="30"/>
      <c r="BQ172">
        <v>1995</v>
      </c>
      <c r="BR172" t="s">
        <v>560</v>
      </c>
      <c r="BS172" s="60" t="s">
        <v>416</v>
      </c>
      <c r="BT172" s="30" t="s">
        <v>572</v>
      </c>
      <c r="BU172" s="50" t="s">
        <v>28</v>
      </c>
      <c r="BV172" s="30"/>
      <c r="BX172" s="30" t="s">
        <v>31</v>
      </c>
      <c r="BY172" s="30" t="s">
        <v>31</v>
      </c>
      <c r="BZ172" s="30" t="s">
        <v>31</v>
      </c>
      <c r="CA172" s="30" t="s">
        <v>31</v>
      </c>
      <c r="CB172" s="30" t="s">
        <v>31</v>
      </c>
      <c r="CC172" s="30" t="s">
        <v>31</v>
      </c>
      <c r="CD172" s="30" t="s">
        <v>31</v>
      </c>
      <c r="CE172" s="30" t="s">
        <v>31</v>
      </c>
      <c r="CF172" s="30" t="s">
        <v>31</v>
      </c>
      <c r="CH172" s="50" t="s">
        <v>39</v>
      </c>
      <c r="CM172" s="66" t="s">
        <v>440</v>
      </c>
      <c r="CN172">
        <v>0</v>
      </c>
      <c r="CW172" s="30"/>
      <c r="DC172" s="67" t="s">
        <v>445</v>
      </c>
      <c r="DK172" s="72" t="s">
        <v>577</v>
      </c>
      <c r="DL172" s="56" t="s">
        <v>508</v>
      </c>
      <c r="DM172" s="30"/>
      <c r="DN172" s="30" t="s">
        <v>31</v>
      </c>
      <c r="DO172" s="30"/>
      <c r="DP172" s="30"/>
      <c r="DQ172" s="30"/>
      <c r="DR172" s="30"/>
      <c r="FC172" t="s">
        <v>154</v>
      </c>
      <c r="FD172" s="28" t="s">
        <v>615</v>
      </c>
      <c r="FE172">
        <v>42</v>
      </c>
      <c r="FG172" s="73" t="s">
        <v>616</v>
      </c>
      <c r="FH172" s="6" t="s">
        <v>470</v>
      </c>
      <c r="FR172" t="s">
        <v>642</v>
      </c>
      <c r="FU172" s="6" t="s">
        <v>27</v>
      </c>
      <c r="FV172" s="52" t="s">
        <v>420</v>
      </c>
      <c r="GG172" t="s">
        <v>510</v>
      </c>
      <c r="GH172" s="80" t="s">
        <v>751</v>
      </c>
      <c r="GI172" s="6" t="s">
        <v>511</v>
      </c>
      <c r="GJ172" s="8">
        <v>0.17911057637738015</v>
      </c>
      <c r="GM172">
        <v>4</v>
      </c>
      <c r="GN172" t="s">
        <v>637</v>
      </c>
      <c r="GO172" s="59" t="s">
        <v>154</v>
      </c>
      <c r="GP172">
        <v>1996</v>
      </c>
      <c r="GS172" s="71" t="s">
        <v>571</v>
      </c>
      <c r="GU172" t="s">
        <v>643</v>
      </c>
    </row>
    <row r="173" spans="1:203" ht="15" thickBot="1">
      <c r="A173" s="25" t="s">
        <v>550</v>
      </c>
      <c r="C173" t="s">
        <v>549</v>
      </c>
      <c r="E173" t="s">
        <v>16</v>
      </c>
      <c r="F173" s="6" t="s">
        <v>592</v>
      </c>
      <c r="G173" t="s">
        <v>591</v>
      </c>
      <c r="H173" s="6" t="s">
        <v>4</v>
      </c>
      <c r="I173" s="59" t="s">
        <v>154</v>
      </c>
      <c r="J173" s="59" t="s">
        <v>389</v>
      </c>
      <c r="K173" s="9">
        <v>0.1</v>
      </c>
      <c r="L173" s="9">
        <v>34.566667000000002</v>
      </c>
      <c r="M173" s="30" t="s">
        <v>31</v>
      </c>
      <c r="N173" t="s">
        <v>551</v>
      </c>
      <c r="O173">
        <v>100</v>
      </c>
      <c r="Q173">
        <v>4</v>
      </c>
      <c r="R173" t="s">
        <v>593</v>
      </c>
      <c r="S173">
        <v>1994</v>
      </c>
      <c r="T173">
        <v>1998</v>
      </c>
      <c r="U173" t="s">
        <v>590</v>
      </c>
      <c r="V173" t="s">
        <v>558</v>
      </c>
      <c r="W173" t="s">
        <v>588</v>
      </c>
      <c r="X173" s="9" t="s">
        <v>554</v>
      </c>
      <c r="Y173" t="s">
        <v>479</v>
      </c>
      <c r="Z173" s="59" t="s">
        <v>43</v>
      </c>
      <c r="AA173" t="s">
        <v>559</v>
      </c>
      <c r="AB173" s="60" t="s">
        <v>415</v>
      </c>
      <c r="AC173" s="31">
        <v>53000</v>
      </c>
      <c r="AD173" t="s">
        <v>98</v>
      </c>
      <c r="AO173" t="s">
        <v>47</v>
      </c>
      <c r="AP173" s="60" t="s">
        <v>415</v>
      </c>
      <c r="AQ173" s="31">
        <v>53000</v>
      </c>
      <c r="AX173" t="s">
        <v>574</v>
      </c>
      <c r="AZ173" s="60" t="s">
        <v>398</v>
      </c>
      <c r="BA173">
        <v>1994</v>
      </c>
      <c r="BB173">
        <v>1998</v>
      </c>
      <c r="BL173" s="60"/>
      <c r="BM173" t="s">
        <v>564</v>
      </c>
      <c r="BN173" s="67" t="s">
        <v>562</v>
      </c>
      <c r="BO173" s="30"/>
      <c r="BQ173">
        <v>1994</v>
      </c>
      <c r="BR173" t="s">
        <v>571</v>
      </c>
      <c r="BS173" s="60" t="s">
        <v>416</v>
      </c>
      <c r="BT173" s="30" t="s">
        <v>573</v>
      </c>
      <c r="BU173" s="50" t="s">
        <v>28</v>
      </c>
      <c r="BV173" s="30"/>
      <c r="BX173" s="30" t="s">
        <v>31</v>
      </c>
      <c r="BY173" s="30" t="s">
        <v>31</v>
      </c>
      <c r="BZ173" s="30" t="s">
        <v>31</v>
      </c>
      <c r="CA173" s="30" t="s">
        <v>31</v>
      </c>
      <c r="CB173" s="30" t="s">
        <v>31</v>
      </c>
      <c r="CC173" s="30" t="s">
        <v>31</v>
      </c>
      <c r="CD173" s="30" t="s">
        <v>31</v>
      </c>
      <c r="CE173" s="30" t="s">
        <v>31</v>
      </c>
      <c r="CF173" s="30" t="s">
        <v>31</v>
      </c>
      <c r="CH173" s="50" t="s">
        <v>39</v>
      </c>
      <c r="CM173" s="66" t="s">
        <v>440</v>
      </c>
      <c r="CN173">
        <v>0</v>
      </c>
      <c r="CW173" s="30"/>
      <c r="DC173" s="67" t="s">
        <v>445</v>
      </c>
      <c r="DK173" s="72" t="s">
        <v>577</v>
      </c>
      <c r="DL173" s="56" t="s">
        <v>508</v>
      </c>
      <c r="DM173" s="30"/>
      <c r="DN173" s="30" t="s">
        <v>31</v>
      </c>
      <c r="DO173" s="30"/>
      <c r="DP173" s="30"/>
      <c r="DQ173" s="30"/>
      <c r="DR173" s="30"/>
      <c r="FC173" t="s">
        <v>154</v>
      </c>
      <c r="FD173" s="29" t="s">
        <v>615</v>
      </c>
      <c r="FE173">
        <v>42</v>
      </c>
      <c r="FG173" s="73" t="s">
        <v>616</v>
      </c>
      <c r="FH173" s="6" t="s">
        <v>470</v>
      </c>
      <c r="FR173" t="s">
        <v>642</v>
      </c>
      <c r="FU173" s="6" t="s">
        <v>27</v>
      </c>
      <c r="FV173" s="52" t="s">
        <v>420</v>
      </c>
      <c r="GG173" t="s">
        <v>510</v>
      </c>
      <c r="GH173" s="80" t="s">
        <v>752</v>
      </c>
      <c r="GI173" s="6" t="s">
        <v>511</v>
      </c>
      <c r="GJ173" s="8">
        <v>0.2685977616853199</v>
      </c>
      <c r="GM173">
        <v>4</v>
      </c>
      <c r="GN173" t="s">
        <v>637</v>
      </c>
      <c r="GO173" s="59" t="s">
        <v>154</v>
      </c>
      <c r="GP173">
        <v>1996</v>
      </c>
      <c r="GS173" s="71" t="s">
        <v>571</v>
      </c>
      <c r="GU173" t="s">
        <v>643</v>
      </c>
    </row>
    <row r="174" spans="1:203" ht="15" thickBot="1">
      <c r="A174" s="25" t="s">
        <v>550</v>
      </c>
      <c r="C174" t="s">
        <v>549</v>
      </c>
      <c r="E174" t="s">
        <v>16</v>
      </c>
      <c r="F174" s="6" t="s">
        <v>592</v>
      </c>
      <c r="G174" t="s">
        <v>591</v>
      </c>
      <c r="H174" s="6" t="s">
        <v>4</v>
      </c>
      <c r="I174" s="59" t="s">
        <v>154</v>
      </c>
      <c r="J174" s="59" t="s">
        <v>389</v>
      </c>
      <c r="K174" s="9">
        <v>0.1</v>
      </c>
      <c r="L174" s="9">
        <v>34.566667000000002</v>
      </c>
      <c r="M174" s="30" t="s">
        <v>31</v>
      </c>
      <c r="N174" t="s">
        <v>551</v>
      </c>
      <c r="O174">
        <v>100</v>
      </c>
      <c r="Q174">
        <v>4</v>
      </c>
      <c r="R174" t="s">
        <v>593</v>
      </c>
      <c r="S174">
        <v>1994</v>
      </c>
      <c r="T174">
        <v>1998</v>
      </c>
      <c r="U174" t="s">
        <v>590</v>
      </c>
      <c r="V174" t="s">
        <v>558</v>
      </c>
      <c r="W174" t="s">
        <v>589</v>
      </c>
      <c r="X174" s="9" t="s">
        <v>553</v>
      </c>
      <c r="Y174" t="s">
        <v>480</v>
      </c>
      <c r="Z174" s="59" t="s">
        <v>43</v>
      </c>
      <c r="AA174" t="s">
        <v>559</v>
      </c>
      <c r="AB174" s="60" t="s">
        <v>415</v>
      </c>
      <c r="AC174" s="31">
        <v>53000</v>
      </c>
      <c r="AP174" s="60"/>
      <c r="AQ174" s="31"/>
      <c r="AX174" t="s">
        <v>574</v>
      </c>
      <c r="AZ174" s="60" t="s">
        <v>398</v>
      </c>
      <c r="BA174">
        <v>1994</v>
      </c>
      <c r="BB174">
        <v>1998</v>
      </c>
      <c r="BM174" t="s">
        <v>565</v>
      </c>
      <c r="BN174" s="49" t="s">
        <v>566</v>
      </c>
      <c r="BO174" s="30"/>
      <c r="BQ174">
        <v>1995</v>
      </c>
      <c r="BR174" t="s">
        <v>571</v>
      </c>
      <c r="BS174" s="60" t="s">
        <v>416</v>
      </c>
      <c r="BT174" s="30" t="s">
        <v>569</v>
      </c>
      <c r="BU174" s="30" t="s">
        <v>575</v>
      </c>
      <c r="BV174" s="30"/>
      <c r="CH174" s="50" t="s">
        <v>39</v>
      </c>
      <c r="CM174" s="66" t="s">
        <v>440</v>
      </c>
      <c r="CN174">
        <v>0</v>
      </c>
      <c r="CW174" s="30"/>
      <c r="DC174" s="67" t="s">
        <v>445</v>
      </c>
      <c r="DK174" s="67" t="s">
        <v>579</v>
      </c>
      <c r="DL174" s="30"/>
      <c r="DM174" s="30"/>
      <c r="DN174" s="30"/>
      <c r="DO174" s="30"/>
      <c r="DP174" s="30"/>
      <c r="DQ174" s="30"/>
      <c r="DR174" s="30"/>
      <c r="FC174" t="s">
        <v>154</v>
      </c>
      <c r="FD174" s="28" t="s">
        <v>615</v>
      </c>
      <c r="FE174">
        <v>42</v>
      </c>
      <c r="FG174" s="73" t="s">
        <v>616</v>
      </c>
      <c r="FH174" s="6" t="s">
        <v>470</v>
      </c>
      <c r="FR174" t="s">
        <v>642</v>
      </c>
      <c r="FU174" s="6" t="s">
        <v>27</v>
      </c>
      <c r="FV174" s="52" t="s">
        <v>420</v>
      </c>
      <c r="GG174" t="s">
        <v>510</v>
      </c>
      <c r="GH174" s="80" t="s">
        <v>753</v>
      </c>
      <c r="GI174" s="6" t="s">
        <v>511</v>
      </c>
      <c r="GJ174" s="8">
        <v>0.30421556831853991</v>
      </c>
      <c r="GM174">
        <v>4</v>
      </c>
      <c r="GN174" t="s">
        <v>637</v>
      </c>
      <c r="GO174" s="59" t="s">
        <v>154</v>
      </c>
      <c r="GP174">
        <v>1996</v>
      </c>
      <c r="GS174" s="71" t="s">
        <v>571</v>
      </c>
      <c r="GU174" t="s">
        <v>643</v>
      </c>
    </row>
    <row r="175" spans="1:203" ht="15" thickBot="1">
      <c r="A175" s="25" t="s">
        <v>550</v>
      </c>
      <c r="C175" t="s">
        <v>549</v>
      </c>
      <c r="E175" t="s">
        <v>16</v>
      </c>
      <c r="F175" s="6" t="s">
        <v>592</v>
      </c>
      <c r="G175" t="s">
        <v>591</v>
      </c>
      <c r="H175" s="6" t="s">
        <v>4</v>
      </c>
      <c r="I175" s="59" t="s">
        <v>154</v>
      </c>
      <c r="J175" s="59" t="s">
        <v>389</v>
      </c>
      <c r="K175" s="9">
        <v>0.1</v>
      </c>
      <c r="L175" s="9">
        <v>34.566667000000002</v>
      </c>
      <c r="M175" s="30" t="s">
        <v>31</v>
      </c>
      <c r="N175" t="s">
        <v>551</v>
      </c>
      <c r="O175">
        <v>100</v>
      </c>
      <c r="Q175">
        <v>4</v>
      </c>
      <c r="R175" t="s">
        <v>593</v>
      </c>
      <c r="S175">
        <v>1994</v>
      </c>
      <c r="T175">
        <v>1998</v>
      </c>
      <c r="U175" t="s">
        <v>590</v>
      </c>
      <c r="V175" t="s">
        <v>558</v>
      </c>
      <c r="W175" t="s">
        <v>589</v>
      </c>
      <c r="X175" s="9" t="s">
        <v>555</v>
      </c>
      <c r="Y175" t="s">
        <v>481</v>
      </c>
      <c r="Z175" s="59" t="s">
        <v>43</v>
      </c>
      <c r="AA175" t="s">
        <v>559</v>
      </c>
      <c r="AB175" s="60" t="s">
        <v>415</v>
      </c>
      <c r="AC175" s="31">
        <v>53000</v>
      </c>
      <c r="AP175" s="60"/>
      <c r="AQ175" s="31"/>
      <c r="AX175" t="s">
        <v>574</v>
      </c>
      <c r="AZ175" s="60" t="s">
        <v>398</v>
      </c>
      <c r="BA175">
        <v>1994</v>
      </c>
      <c r="BB175">
        <v>1998</v>
      </c>
      <c r="BM175" t="s">
        <v>567</v>
      </c>
      <c r="BN175" s="49" t="s">
        <v>568</v>
      </c>
      <c r="BO175" s="30"/>
      <c r="BQ175">
        <v>1994</v>
      </c>
      <c r="BR175" t="s">
        <v>571</v>
      </c>
      <c r="BS175" s="60" t="s">
        <v>416</v>
      </c>
      <c r="BT175" s="30" t="s">
        <v>569</v>
      </c>
      <c r="BU175" s="30" t="s">
        <v>575</v>
      </c>
      <c r="BV175" s="30"/>
      <c r="CH175" s="50" t="s">
        <v>39</v>
      </c>
      <c r="CM175" s="66" t="s">
        <v>440</v>
      </c>
      <c r="CN175">
        <v>0</v>
      </c>
      <c r="CW175" s="30"/>
      <c r="DC175" s="67" t="s">
        <v>445</v>
      </c>
      <c r="DK175" s="67" t="s">
        <v>579</v>
      </c>
      <c r="DO175" s="30"/>
      <c r="DP175" s="30"/>
      <c r="DQ175" s="30"/>
      <c r="DR175" s="30"/>
      <c r="FC175" t="s">
        <v>154</v>
      </c>
      <c r="FD175" s="29" t="s">
        <v>615</v>
      </c>
      <c r="FE175">
        <v>42</v>
      </c>
      <c r="FG175" s="73" t="s">
        <v>616</v>
      </c>
      <c r="FH175" s="6" t="s">
        <v>470</v>
      </c>
      <c r="FR175" t="s">
        <v>642</v>
      </c>
      <c r="FU175" s="6" t="s">
        <v>27</v>
      </c>
      <c r="FV175" s="52" t="s">
        <v>420</v>
      </c>
      <c r="GG175" t="s">
        <v>510</v>
      </c>
      <c r="GH175" s="80" t="s">
        <v>754</v>
      </c>
      <c r="GI175" s="6" t="s">
        <v>511</v>
      </c>
      <c r="GJ175" s="8">
        <v>0.3046922884837997</v>
      </c>
      <c r="GM175">
        <v>4</v>
      </c>
      <c r="GN175" t="s">
        <v>637</v>
      </c>
      <c r="GO175" s="59" t="s">
        <v>154</v>
      </c>
      <c r="GP175">
        <v>1996</v>
      </c>
      <c r="GS175" s="71" t="s">
        <v>571</v>
      </c>
      <c r="GU175" t="s">
        <v>643</v>
      </c>
    </row>
    <row r="176" spans="1:203" ht="15" thickBot="1">
      <c r="A176" s="25" t="s">
        <v>550</v>
      </c>
      <c r="C176" t="s">
        <v>549</v>
      </c>
      <c r="E176" t="s">
        <v>16</v>
      </c>
      <c r="F176" s="6" t="s">
        <v>592</v>
      </c>
      <c r="G176" t="s">
        <v>591</v>
      </c>
      <c r="H176" s="6" t="s">
        <v>4</v>
      </c>
      <c r="I176" s="59" t="s">
        <v>154</v>
      </c>
      <c r="J176" s="59" t="s">
        <v>389</v>
      </c>
      <c r="K176" s="9">
        <v>0.1</v>
      </c>
      <c r="L176" s="9">
        <v>34.566667000000002</v>
      </c>
      <c r="M176" s="30" t="s">
        <v>31</v>
      </c>
      <c r="N176" t="s">
        <v>551</v>
      </c>
      <c r="O176">
        <v>100</v>
      </c>
      <c r="Q176">
        <v>4</v>
      </c>
      <c r="R176" t="s">
        <v>593</v>
      </c>
      <c r="S176">
        <v>1994</v>
      </c>
      <c r="T176">
        <v>1998</v>
      </c>
      <c r="U176" t="s">
        <v>590</v>
      </c>
      <c r="V176" t="s">
        <v>36</v>
      </c>
      <c r="W176" t="s">
        <v>36</v>
      </c>
      <c r="X176" s="9" t="s">
        <v>556</v>
      </c>
      <c r="Y176" t="s">
        <v>476</v>
      </c>
      <c r="Z176" s="59" t="s">
        <v>43</v>
      </c>
      <c r="AA176" t="s">
        <v>559</v>
      </c>
      <c r="AB176" s="60" t="s">
        <v>415</v>
      </c>
      <c r="AC176" s="31">
        <v>53000</v>
      </c>
      <c r="AX176" t="s">
        <v>574</v>
      </c>
      <c r="AZ176" s="60" t="s">
        <v>398</v>
      </c>
      <c r="BA176">
        <v>1994</v>
      </c>
      <c r="BB176">
        <v>1998</v>
      </c>
      <c r="BM176" t="s">
        <v>569</v>
      </c>
      <c r="BN176" s="49" t="s">
        <v>36</v>
      </c>
      <c r="BO176" s="30"/>
      <c r="BS176" s="60" t="s">
        <v>416</v>
      </c>
      <c r="BT176" s="30" t="s">
        <v>569</v>
      </c>
      <c r="BU176" s="30" t="s">
        <v>575</v>
      </c>
      <c r="BV176" s="30"/>
      <c r="CH176" s="50" t="s">
        <v>39</v>
      </c>
      <c r="CM176" s="66" t="s">
        <v>440</v>
      </c>
      <c r="CN176">
        <v>0</v>
      </c>
      <c r="CW176" s="30"/>
      <c r="DC176" s="67" t="s">
        <v>445</v>
      </c>
      <c r="DK176" s="67" t="s">
        <v>579</v>
      </c>
      <c r="DO176" s="30"/>
      <c r="DP176" s="30"/>
      <c r="DQ176" s="30"/>
      <c r="DR176" s="30"/>
      <c r="FD176" s="28" t="s">
        <v>615</v>
      </c>
      <c r="FE176">
        <v>42</v>
      </c>
      <c r="FG176" s="73" t="s">
        <v>616</v>
      </c>
      <c r="FH176" s="6" t="s">
        <v>470</v>
      </c>
      <c r="FR176" t="s">
        <v>642</v>
      </c>
      <c r="FU176" s="6" t="s">
        <v>27</v>
      </c>
      <c r="FV176" s="52" t="s">
        <v>420</v>
      </c>
      <c r="GF176" t="s">
        <v>514</v>
      </c>
      <c r="GG176" t="s">
        <v>510</v>
      </c>
      <c r="GH176" s="80" t="s">
        <v>755</v>
      </c>
      <c r="GI176" s="6" t="s">
        <v>511</v>
      </c>
      <c r="GJ176" s="8">
        <v>0.28644071644229996</v>
      </c>
      <c r="GM176">
        <v>4</v>
      </c>
      <c r="GN176" t="s">
        <v>637</v>
      </c>
      <c r="GO176" s="59" t="s">
        <v>154</v>
      </c>
      <c r="GP176">
        <v>1996</v>
      </c>
      <c r="GS176" s="71" t="s">
        <v>571</v>
      </c>
      <c r="GU176" t="s">
        <v>643</v>
      </c>
    </row>
    <row r="177" spans="1:203" ht="15" thickBot="1">
      <c r="A177" s="76" t="s">
        <v>550</v>
      </c>
      <c r="B177" s="59"/>
      <c r="C177" s="59" t="s">
        <v>549</v>
      </c>
      <c r="D177" s="59"/>
      <c r="E177" s="59" t="s">
        <v>16</v>
      </c>
      <c r="F177" s="60" t="s">
        <v>592</v>
      </c>
      <c r="G177" s="59" t="s">
        <v>591</v>
      </c>
      <c r="H177" s="60" t="s">
        <v>4</v>
      </c>
      <c r="I177" s="59" t="s">
        <v>154</v>
      </c>
      <c r="J177" s="59" t="s">
        <v>389</v>
      </c>
      <c r="K177" s="77">
        <v>0.1</v>
      </c>
      <c r="L177" s="77">
        <v>34.566667000000002</v>
      </c>
      <c r="M177" s="61" t="s">
        <v>31</v>
      </c>
      <c r="N177" s="59" t="s">
        <v>551</v>
      </c>
      <c r="O177" s="59">
        <v>100</v>
      </c>
      <c r="P177" s="59"/>
      <c r="Q177" s="59">
        <v>4</v>
      </c>
      <c r="R177" s="59" t="s">
        <v>593</v>
      </c>
      <c r="S177" s="59">
        <v>1994</v>
      </c>
      <c r="T177" s="59">
        <v>1998</v>
      </c>
      <c r="U177" s="59" t="s">
        <v>590</v>
      </c>
      <c r="V177" s="59" t="s">
        <v>36</v>
      </c>
      <c r="W177" s="59" t="s">
        <v>36</v>
      </c>
      <c r="X177" s="77" t="s">
        <v>557</v>
      </c>
      <c r="Y177" s="59" t="s">
        <v>477</v>
      </c>
      <c r="Z177" s="59" t="s">
        <v>43</v>
      </c>
      <c r="AA177" s="59" t="s">
        <v>559</v>
      </c>
      <c r="AB177" s="60" t="s">
        <v>415</v>
      </c>
      <c r="AC177" s="62">
        <v>53000</v>
      </c>
      <c r="AD177" s="59"/>
      <c r="AE177" s="59"/>
      <c r="AF177" s="59"/>
      <c r="AG177" s="59"/>
      <c r="AH177" s="59"/>
      <c r="AI177" s="59"/>
      <c r="AJ177" s="59"/>
      <c r="AK177" s="59"/>
      <c r="AL177" s="59"/>
      <c r="AM177" s="59"/>
      <c r="AN177" s="59"/>
      <c r="AO177" s="59"/>
      <c r="AP177" s="59"/>
      <c r="AQ177" s="59"/>
      <c r="AR177" s="59"/>
      <c r="AS177" s="59"/>
      <c r="AT177" s="59"/>
      <c r="AU177" s="59"/>
      <c r="AV177" s="59"/>
      <c r="AW177" s="59"/>
      <c r="AX177" s="59" t="s">
        <v>574</v>
      </c>
      <c r="AY177" s="59"/>
      <c r="AZ177" s="60" t="s">
        <v>398</v>
      </c>
      <c r="BA177" s="59">
        <v>1994</v>
      </c>
      <c r="BB177" s="59">
        <v>1998</v>
      </c>
      <c r="BC177" s="59"/>
      <c r="BD177" s="59"/>
      <c r="BE177" s="59"/>
      <c r="BF177" s="59"/>
      <c r="BG177" s="59"/>
      <c r="BH177" s="59"/>
      <c r="BI177" s="59"/>
      <c r="BJ177" s="59"/>
      <c r="BK177" s="59"/>
      <c r="BL177" s="59"/>
      <c r="BM177" s="59" t="s">
        <v>570</v>
      </c>
      <c r="BN177" s="67" t="s">
        <v>36</v>
      </c>
      <c r="BO177" s="61"/>
      <c r="BP177" s="59"/>
      <c r="BQ177" s="59"/>
      <c r="BR177" s="59"/>
      <c r="BS177" s="60" t="s">
        <v>416</v>
      </c>
      <c r="BT177" s="59" t="s">
        <v>576</v>
      </c>
      <c r="BU177" s="59" t="s">
        <v>575</v>
      </c>
      <c r="BV177" s="59"/>
      <c r="BW177" s="59"/>
      <c r="BX177" s="59"/>
      <c r="BY177" s="59"/>
      <c r="BZ177" s="59"/>
      <c r="CA177" s="59"/>
      <c r="CB177" s="59"/>
      <c r="CC177" s="59"/>
      <c r="CD177" s="59"/>
      <c r="CE177" s="59"/>
      <c r="CF177" s="59"/>
      <c r="CG177" s="59" t="s">
        <v>570</v>
      </c>
      <c r="CH177" s="59" t="s">
        <v>37</v>
      </c>
      <c r="CI177" s="65" t="s">
        <v>439</v>
      </c>
      <c r="CJ177" s="59"/>
      <c r="CK177" s="59"/>
      <c r="CL177" s="59"/>
      <c r="CM177" s="66" t="s">
        <v>440</v>
      </c>
      <c r="CN177" s="59">
        <v>60</v>
      </c>
      <c r="CO177" s="59"/>
      <c r="CP177" s="59"/>
      <c r="CQ177" s="59">
        <v>60</v>
      </c>
      <c r="CR177" s="59"/>
      <c r="CS177" s="59"/>
      <c r="CT177" s="59"/>
      <c r="CU177" s="59"/>
      <c r="CV177" s="59"/>
      <c r="CW177" s="61"/>
      <c r="CX177" s="59"/>
      <c r="CY177" s="59"/>
      <c r="CZ177" s="59"/>
      <c r="DA177" s="59"/>
      <c r="DB177" s="59"/>
      <c r="DC177" s="67" t="s">
        <v>445</v>
      </c>
      <c r="DD177" s="59"/>
      <c r="DE177" s="59"/>
      <c r="DF177" s="59"/>
      <c r="DG177" s="59"/>
      <c r="DH177" s="59"/>
      <c r="DI177" s="59"/>
      <c r="DJ177" s="59"/>
      <c r="DK177" s="67" t="s">
        <v>579</v>
      </c>
      <c r="DL177" s="59"/>
      <c r="DM177" s="59"/>
      <c r="DN177" s="59"/>
      <c r="DO177" s="61"/>
      <c r="DP177" s="61"/>
      <c r="DQ177" s="61"/>
      <c r="DR177" s="61"/>
      <c r="DS177" s="59"/>
      <c r="DT177" s="59"/>
      <c r="DU177" s="59"/>
      <c r="DV177" s="59"/>
      <c r="DW177" s="59"/>
      <c r="DX177" s="59"/>
      <c r="DY177" s="59"/>
      <c r="DZ177" s="59"/>
      <c r="EA177" s="59"/>
      <c r="EB177" s="59"/>
      <c r="EC177" s="59"/>
      <c r="ED177" s="59"/>
      <c r="EE177" s="59"/>
      <c r="EF177" s="59"/>
      <c r="EG177" s="59"/>
      <c r="EH177" s="59"/>
      <c r="EI177" s="59"/>
      <c r="EJ177" s="59"/>
      <c r="EK177" s="59"/>
      <c r="EL177" s="59"/>
      <c r="EM177" s="59"/>
      <c r="EN177" s="59"/>
      <c r="EO177" s="59"/>
      <c r="EP177" s="59"/>
      <c r="EQ177" s="59"/>
      <c r="ER177" s="59"/>
      <c r="ES177" s="59"/>
      <c r="ET177" s="59"/>
      <c r="EU177" s="59"/>
      <c r="EV177" s="59"/>
      <c r="EW177" s="59"/>
      <c r="EX177" s="59"/>
      <c r="EY177" s="59"/>
      <c r="EZ177" s="59"/>
      <c r="FA177" s="59"/>
      <c r="FB177" s="59"/>
      <c r="FC177" s="59"/>
      <c r="FD177" s="71" t="s">
        <v>615</v>
      </c>
      <c r="FE177" s="59">
        <v>42</v>
      </c>
      <c r="FF177" s="59"/>
      <c r="FG177" s="73" t="s">
        <v>616</v>
      </c>
      <c r="FH177" s="6" t="s">
        <v>470</v>
      </c>
      <c r="FR177" t="s">
        <v>642</v>
      </c>
      <c r="FT177" s="59"/>
      <c r="FU177" s="6" t="s">
        <v>27</v>
      </c>
      <c r="FV177" s="52" t="s">
        <v>420</v>
      </c>
      <c r="FW177" s="59"/>
      <c r="FX177" s="59"/>
      <c r="FY177" s="59"/>
      <c r="FZ177" s="59"/>
      <c r="GA177" s="59"/>
      <c r="GB177" s="59"/>
      <c r="GC177" s="59"/>
      <c r="GD177" s="59"/>
      <c r="GE177" s="59"/>
      <c r="GF177" s="59" t="s">
        <v>587</v>
      </c>
      <c r="GG177" s="59" t="s">
        <v>510</v>
      </c>
      <c r="GH177" s="80" t="s">
        <v>756</v>
      </c>
      <c r="GI177" s="60" t="s">
        <v>511</v>
      </c>
      <c r="GJ177" s="79">
        <v>0.16106331297814025</v>
      </c>
      <c r="GK177" s="59"/>
      <c r="GL177" s="59"/>
      <c r="GM177" s="59">
        <v>4</v>
      </c>
      <c r="GN177" t="s">
        <v>637</v>
      </c>
      <c r="GO177" s="59" t="s">
        <v>154</v>
      </c>
      <c r="GP177" s="59">
        <v>1996</v>
      </c>
      <c r="GQ177" s="59"/>
      <c r="GR177" s="59"/>
      <c r="GS177" s="71" t="s">
        <v>571</v>
      </c>
      <c r="GT177" s="59"/>
      <c r="GU177" t="s">
        <v>643</v>
      </c>
    </row>
    <row r="178" spans="1:203" ht="15" thickBot="1">
      <c r="A178" s="25" t="s">
        <v>550</v>
      </c>
      <c r="C178" t="s">
        <v>549</v>
      </c>
      <c r="E178" t="s">
        <v>16</v>
      </c>
      <c r="F178" s="6" t="s">
        <v>592</v>
      </c>
      <c r="G178" t="s">
        <v>591</v>
      </c>
      <c r="H178" s="6" t="s">
        <v>4</v>
      </c>
      <c r="I178" s="59" t="s">
        <v>154</v>
      </c>
      <c r="J178" s="59" t="s">
        <v>389</v>
      </c>
      <c r="K178" s="9">
        <v>0.1</v>
      </c>
      <c r="L178" s="9">
        <v>34.566667000000002</v>
      </c>
      <c r="M178" s="30" t="s">
        <v>31</v>
      </c>
      <c r="N178" t="s">
        <v>551</v>
      </c>
      <c r="O178">
        <v>100</v>
      </c>
      <c r="Q178">
        <v>4</v>
      </c>
      <c r="R178" t="s">
        <v>593</v>
      </c>
      <c r="S178">
        <v>1994</v>
      </c>
      <c r="T178">
        <v>1998</v>
      </c>
      <c r="U178" t="s">
        <v>590</v>
      </c>
      <c r="V178" t="s">
        <v>558</v>
      </c>
      <c r="W178" t="s">
        <v>588</v>
      </c>
      <c r="X178" s="9" t="s">
        <v>552</v>
      </c>
      <c r="Y178" t="s">
        <v>478</v>
      </c>
      <c r="Z178" s="59" t="s">
        <v>43</v>
      </c>
      <c r="AA178" t="s">
        <v>559</v>
      </c>
      <c r="AB178" s="60" t="s">
        <v>415</v>
      </c>
      <c r="AC178" s="31">
        <v>53000</v>
      </c>
      <c r="AD178" t="s">
        <v>98</v>
      </c>
      <c r="AO178" t="s">
        <v>47</v>
      </c>
      <c r="AP178" s="60" t="s">
        <v>415</v>
      </c>
      <c r="AQ178" s="31">
        <v>53000</v>
      </c>
      <c r="AX178" t="s">
        <v>574</v>
      </c>
      <c r="AZ178" s="60" t="s">
        <v>398</v>
      </c>
      <c r="BA178">
        <v>1994</v>
      </c>
      <c r="BB178">
        <v>1998</v>
      </c>
      <c r="BL178" s="60"/>
      <c r="BM178" t="s">
        <v>563</v>
      </c>
      <c r="BN178" s="67" t="s">
        <v>561</v>
      </c>
      <c r="BO178" s="30"/>
      <c r="BQ178">
        <v>1995</v>
      </c>
      <c r="BR178" t="s">
        <v>560</v>
      </c>
      <c r="BS178" s="60" t="s">
        <v>416</v>
      </c>
      <c r="BT178" s="30" t="s">
        <v>572</v>
      </c>
      <c r="BU178" s="50" t="s">
        <v>28</v>
      </c>
      <c r="BV178" s="30"/>
      <c r="BX178" s="30" t="s">
        <v>31</v>
      </c>
      <c r="BY178" s="30" t="s">
        <v>31</v>
      </c>
      <c r="BZ178" s="30" t="s">
        <v>31</v>
      </c>
      <c r="CA178" s="30" t="s">
        <v>31</v>
      </c>
      <c r="CB178" s="30" t="s">
        <v>31</v>
      </c>
      <c r="CC178" s="30" t="s">
        <v>31</v>
      </c>
      <c r="CD178" s="30" t="s">
        <v>31</v>
      </c>
      <c r="CE178" s="30" t="s">
        <v>31</v>
      </c>
      <c r="CF178" s="30" t="s">
        <v>31</v>
      </c>
      <c r="CH178" s="50" t="s">
        <v>39</v>
      </c>
      <c r="CM178" s="66" t="s">
        <v>440</v>
      </c>
      <c r="CN178">
        <v>0</v>
      </c>
      <c r="CW178" s="30"/>
      <c r="DC178" s="67" t="s">
        <v>445</v>
      </c>
      <c r="DK178" s="72" t="s">
        <v>577</v>
      </c>
      <c r="DL178" s="56" t="s">
        <v>508</v>
      </c>
      <c r="DM178" s="30"/>
      <c r="DN178" s="30" t="s">
        <v>31</v>
      </c>
      <c r="DO178" s="30"/>
      <c r="DP178" s="30"/>
      <c r="DQ178" s="30"/>
      <c r="DR178" s="30"/>
      <c r="FC178" t="s">
        <v>154</v>
      </c>
      <c r="FD178" s="28" t="s">
        <v>615</v>
      </c>
      <c r="FE178">
        <v>42</v>
      </c>
      <c r="FG178" s="73" t="s">
        <v>616</v>
      </c>
      <c r="FH178" s="6" t="s">
        <v>470</v>
      </c>
      <c r="FR178" t="s">
        <v>642</v>
      </c>
      <c r="FU178" s="6" t="s">
        <v>27</v>
      </c>
      <c r="FV178" s="52" t="s">
        <v>420</v>
      </c>
      <c r="GG178" t="s">
        <v>510</v>
      </c>
      <c r="GH178" s="80" t="s">
        <v>757</v>
      </c>
      <c r="GI178" s="6" t="s">
        <v>511</v>
      </c>
      <c r="GJ178" s="8">
        <v>0.12510499194115998</v>
      </c>
      <c r="GM178">
        <v>4</v>
      </c>
      <c r="GN178" t="s">
        <v>638</v>
      </c>
      <c r="GO178" s="59" t="s">
        <v>154</v>
      </c>
      <c r="GP178">
        <v>1997</v>
      </c>
      <c r="GS178" s="71" t="s">
        <v>571</v>
      </c>
      <c r="GU178" t="s">
        <v>644</v>
      </c>
    </row>
    <row r="179" spans="1:203" ht="15" thickBot="1">
      <c r="A179" s="25" t="s">
        <v>550</v>
      </c>
      <c r="C179" t="s">
        <v>549</v>
      </c>
      <c r="E179" t="s">
        <v>16</v>
      </c>
      <c r="F179" s="6" t="s">
        <v>592</v>
      </c>
      <c r="G179" t="s">
        <v>591</v>
      </c>
      <c r="H179" s="6" t="s">
        <v>4</v>
      </c>
      <c r="I179" s="59" t="s">
        <v>154</v>
      </c>
      <c r="J179" s="59" t="s">
        <v>389</v>
      </c>
      <c r="K179" s="9">
        <v>0.1</v>
      </c>
      <c r="L179" s="9">
        <v>34.566667000000002</v>
      </c>
      <c r="M179" s="30" t="s">
        <v>31</v>
      </c>
      <c r="N179" t="s">
        <v>551</v>
      </c>
      <c r="O179">
        <v>100</v>
      </c>
      <c r="Q179">
        <v>4</v>
      </c>
      <c r="R179" t="s">
        <v>593</v>
      </c>
      <c r="S179">
        <v>1994</v>
      </c>
      <c r="T179">
        <v>1998</v>
      </c>
      <c r="U179" t="s">
        <v>590</v>
      </c>
      <c r="V179" t="s">
        <v>558</v>
      </c>
      <c r="W179" t="s">
        <v>588</v>
      </c>
      <c r="X179" s="9" t="s">
        <v>554</v>
      </c>
      <c r="Y179" t="s">
        <v>479</v>
      </c>
      <c r="Z179" s="59" t="s">
        <v>43</v>
      </c>
      <c r="AA179" t="s">
        <v>559</v>
      </c>
      <c r="AB179" s="60" t="s">
        <v>415</v>
      </c>
      <c r="AC179" s="31">
        <v>53000</v>
      </c>
      <c r="AD179" t="s">
        <v>98</v>
      </c>
      <c r="AO179" t="s">
        <v>47</v>
      </c>
      <c r="AP179" s="60" t="s">
        <v>415</v>
      </c>
      <c r="AQ179" s="31">
        <v>53000</v>
      </c>
      <c r="AX179" t="s">
        <v>574</v>
      </c>
      <c r="AZ179" s="60" t="s">
        <v>398</v>
      </c>
      <c r="BA179">
        <v>1994</v>
      </c>
      <c r="BB179">
        <v>1998</v>
      </c>
      <c r="BL179" s="60"/>
      <c r="BM179" t="s">
        <v>564</v>
      </c>
      <c r="BN179" s="67" t="s">
        <v>562</v>
      </c>
      <c r="BO179" s="30"/>
      <c r="BQ179">
        <v>1994</v>
      </c>
      <c r="BR179" t="s">
        <v>571</v>
      </c>
      <c r="BS179" s="60" t="s">
        <v>416</v>
      </c>
      <c r="BT179" s="30" t="s">
        <v>573</v>
      </c>
      <c r="BU179" s="50" t="s">
        <v>28</v>
      </c>
      <c r="BV179" s="30"/>
      <c r="BX179" s="30" t="s">
        <v>31</v>
      </c>
      <c r="BY179" s="30" t="s">
        <v>31</v>
      </c>
      <c r="BZ179" s="30" t="s">
        <v>31</v>
      </c>
      <c r="CA179" s="30" t="s">
        <v>31</v>
      </c>
      <c r="CB179" s="30" t="s">
        <v>31</v>
      </c>
      <c r="CC179" s="30" t="s">
        <v>31</v>
      </c>
      <c r="CD179" s="30" t="s">
        <v>31</v>
      </c>
      <c r="CE179" s="30" t="s">
        <v>31</v>
      </c>
      <c r="CF179" s="30" t="s">
        <v>31</v>
      </c>
      <c r="CH179" s="50" t="s">
        <v>39</v>
      </c>
      <c r="CM179" s="66" t="s">
        <v>440</v>
      </c>
      <c r="CN179">
        <v>0</v>
      </c>
      <c r="CW179" s="30"/>
      <c r="DC179" s="67" t="s">
        <v>445</v>
      </c>
      <c r="DK179" s="72" t="s">
        <v>577</v>
      </c>
      <c r="DL179" s="56" t="s">
        <v>508</v>
      </c>
      <c r="DM179" s="30"/>
      <c r="DN179" s="30" t="s">
        <v>31</v>
      </c>
      <c r="DO179" s="30"/>
      <c r="DP179" s="30"/>
      <c r="DQ179" s="30"/>
      <c r="DR179" s="30"/>
      <c r="FC179" t="s">
        <v>154</v>
      </c>
      <c r="FD179" s="29" t="s">
        <v>615</v>
      </c>
      <c r="FE179">
        <v>42</v>
      </c>
      <c r="FG179" s="73" t="s">
        <v>616</v>
      </c>
      <c r="FH179" s="6" t="s">
        <v>470</v>
      </c>
      <c r="FR179" t="s">
        <v>642</v>
      </c>
      <c r="FU179" s="6" t="s">
        <v>27</v>
      </c>
      <c r="FV179" s="52" t="s">
        <v>420</v>
      </c>
      <c r="GG179" t="s">
        <v>510</v>
      </c>
      <c r="GH179" s="80" t="s">
        <v>758</v>
      </c>
      <c r="GI179" s="6" t="s">
        <v>511</v>
      </c>
      <c r="GJ179" s="8">
        <v>0.14342466686340982</v>
      </c>
      <c r="GM179">
        <v>4</v>
      </c>
      <c r="GN179" t="s">
        <v>638</v>
      </c>
      <c r="GO179" s="59" t="s">
        <v>154</v>
      </c>
      <c r="GP179">
        <v>1997</v>
      </c>
      <c r="GS179" s="71" t="s">
        <v>571</v>
      </c>
      <c r="GU179" t="s">
        <v>644</v>
      </c>
    </row>
    <row r="180" spans="1:203" ht="15" thickBot="1">
      <c r="A180" s="25" t="s">
        <v>550</v>
      </c>
      <c r="C180" t="s">
        <v>549</v>
      </c>
      <c r="E180" t="s">
        <v>16</v>
      </c>
      <c r="F180" s="6" t="s">
        <v>592</v>
      </c>
      <c r="G180" t="s">
        <v>591</v>
      </c>
      <c r="H180" s="6" t="s">
        <v>4</v>
      </c>
      <c r="I180" s="59" t="s">
        <v>154</v>
      </c>
      <c r="J180" s="59" t="s">
        <v>389</v>
      </c>
      <c r="K180" s="9">
        <v>0.1</v>
      </c>
      <c r="L180" s="9">
        <v>34.566667000000002</v>
      </c>
      <c r="M180" s="30" t="s">
        <v>31</v>
      </c>
      <c r="N180" t="s">
        <v>551</v>
      </c>
      <c r="O180">
        <v>100</v>
      </c>
      <c r="Q180">
        <v>4</v>
      </c>
      <c r="R180" t="s">
        <v>593</v>
      </c>
      <c r="S180">
        <v>1994</v>
      </c>
      <c r="T180">
        <v>1998</v>
      </c>
      <c r="U180" t="s">
        <v>590</v>
      </c>
      <c r="V180" t="s">
        <v>558</v>
      </c>
      <c r="W180" t="s">
        <v>589</v>
      </c>
      <c r="X180" s="9" t="s">
        <v>553</v>
      </c>
      <c r="Y180" t="s">
        <v>480</v>
      </c>
      <c r="Z180" s="59" t="s">
        <v>43</v>
      </c>
      <c r="AA180" t="s">
        <v>559</v>
      </c>
      <c r="AB180" s="60" t="s">
        <v>415</v>
      </c>
      <c r="AC180" s="31">
        <v>53000</v>
      </c>
      <c r="AP180" s="60"/>
      <c r="AQ180" s="31"/>
      <c r="AX180" t="s">
        <v>574</v>
      </c>
      <c r="AZ180" s="60" t="s">
        <v>398</v>
      </c>
      <c r="BA180">
        <v>1994</v>
      </c>
      <c r="BB180">
        <v>1998</v>
      </c>
      <c r="BM180" t="s">
        <v>565</v>
      </c>
      <c r="BN180" s="49" t="s">
        <v>566</v>
      </c>
      <c r="BO180" s="30"/>
      <c r="BQ180">
        <v>1995</v>
      </c>
      <c r="BR180" t="s">
        <v>571</v>
      </c>
      <c r="BS180" s="60" t="s">
        <v>416</v>
      </c>
      <c r="BT180" s="30" t="s">
        <v>569</v>
      </c>
      <c r="BU180" s="30" t="s">
        <v>575</v>
      </c>
      <c r="BV180" s="30"/>
      <c r="CH180" s="50" t="s">
        <v>39</v>
      </c>
      <c r="CM180" s="66" t="s">
        <v>440</v>
      </c>
      <c r="CN180">
        <v>0</v>
      </c>
      <c r="CW180" s="30"/>
      <c r="DC180" s="67" t="s">
        <v>445</v>
      </c>
      <c r="DK180" s="67" t="s">
        <v>579</v>
      </c>
      <c r="DL180" s="30"/>
      <c r="DM180" s="30"/>
      <c r="DN180" s="30"/>
      <c r="DO180" s="30"/>
      <c r="DP180" s="30"/>
      <c r="DQ180" s="30"/>
      <c r="DR180" s="30"/>
      <c r="FC180" t="s">
        <v>154</v>
      </c>
      <c r="FD180" s="28" t="s">
        <v>615</v>
      </c>
      <c r="FE180">
        <v>42</v>
      </c>
      <c r="FG180" s="73" t="s">
        <v>616</v>
      </c>
      <c r="FH180" s="6" t="s">
        <v>470</v>
      </c>
      <c r="FR180" t="s">
        <v>642</v>
      </c>
      <c r="FU180" s="6" t="s">
        <v>27</v>
      </c>
      <c r="FV180" s="52" t="s">
        <v>420</v>
      </c>
      <c r="GG180" t="s">
        <v>510</v>
      </c>
      <c r="GH180" s="80" t="s">
        <v>759</v>
      </c>
      <c r="GI180" s="6" t="s">
        <v>511</v>
      </c>
      <c r="GJ180" s="8">
        <v>0.21479648589135003</v>
      </c>
      <c r="GM180">
        <v>4</v>
      </c>
      <c r="GN180" t="s">
        <v>638</v>
      </c>
      <c r="GO180" s="59" t="s">
        <v>154</v>
      </c>
      <c r="GP180">
        <v>1997</v>
      </c>
      <c r="GS180" s="71" t="s">
        <v>571</v>
      </c>
      <c r="GU180" t="s">
        <v>644</v>
      </c>
    </row>
    <row r="181" spans="1:203" ht="15" thickBot="1">
      <c r="A181" s="25" t="s">
        <v>550</v>
      </c>
      <c r="C181" t="s">
        <v>549</v>
      </c>
      <c r="E181" t="s">
        <v>16</v>
      </c>
      <c r="F181" s="6" t="s">
        <v>592</v>
      </c>
      <c r="G181" t="s">
        <v>591</v>
      </c>
      <c r="H181" s="6" t="s">
        <v>4</v>
      </c>
      <c r="I181" s="59" t="s">
        <v>154</v>
      </c>
      <c r="J181" s="59" t="s">
        <v>389</v>
      </c>
      <c r="K181" s="9">
        <v>0.1</v>
      </c>
      <c r="L181" s="9">
        <v>34.566667000000002</v>
      </c>
      <c r="M181" s="30" t="s">
        <v>31</v>
      </c>
      <c r="N181" t="s">
        <v>551</v>
      </c>
      <c r="O181">
        <v>100</v>
      </c>
      <c r="Q181">
        <v>4</v>
      </c>
      <c r="R181" t="s">
        <v>593</v>
      </c>
      <c r="S181">
        <v>1994</v>
      </c>
      <c r="T181">
        <v>1998</v>
      </c>
      <c r="U181" t="s">
        <v>590</v>
      </c>
      <c r="V181" t="s">
        <v>558</v>
      </c>
      <c r="W181" t="s">
        <v>589</v>
      </c>
      <c r="X181" s="9" t="s">
        <v>555</v>
      </c>
      <c r="Y181" t="s">
        <v>481</v>
      </c>
      <c r="Z181" s="59" t="s">
        <v>43</v>
      </c>
      <c r="AA181" t="s">
        <v>559</v>
      </c>
      <c r="AB181" s="60" t="s">
        <v>415</v>
      </c>
      <c r="AC181" s="31">
        <v>53000</v>
      </c>
      <c r="AP181" s="60"/>
      <c r="AQ181" s="31"/>
      <c r="AX181" t="s">
        <v>574</v>
      </c>
      <c r="AZ181" s="60" t="s">
        <v>398</v>
      </c>
      <c r="BA181">
        <v>1994</v>
      </c>
      <c r="BB181">
        <v>1998</v>
      </c>
      <c r="BM181" t="s">
        <v>567</v>
      </c>
      <c r="BN181" s="49" t="s">
        <v>568</v>
      </c>
      <c r="BO181" s="30"/>
      <c r="BQ181">
        <v>1994</v>
      </c>
      <c r="BR181" t="s">
        <v>571</v>
      </c>
      <c r="BS181" s="60" t="s">
        <v>416</v>
      </c>
      <c r="BT181" s="30" t="s">
        <v>569</v>
      </c>
      <c r="BU181" s="30" t="s">
        <v>575</v>
      </c>
      <c r="BV181" s="30"/>
      <c r="CH181" s="50" t="s">
        <v>39</v>
      </c>
      <c r="CM181" s="66" t="s">
        <v>440</v>
      </c>
      <c r="CN181">
        <v>0</v>
      </c>
      <c r="CW181" s="30"/>
      <c r="DC181" s="67" t="s">
        <v>445</v>
      </c>
      <c r="DK181" s="67" t="s">
        <v>579</v>
      </c>
      <c r="DO181" s="30"/>
      <c r="DP181" s="30"/>
      <c r="DQ181" s="30"/>
      <c r="DR181" s="30"/>
      <c r="FC181" t="s">
        <v>154</v>
      </c>
      <c r="FD181" s="29" t="s">
        <v>615</v>
      </c>
      <c r="FE181">
        <v>42</v>
      </c>
      <c r="FG181" s="73" t="s">
        <v>616</v>
      </c>
      <c r="FH181" s="6" t="s">
        <v>470</v>
      </c>
      <c r="FR181" t="s">
        <v>642</v>
      </c>
      <c r="FU181" s="6" t="s">
        <v>27</v>
      </c>
      <c r="FV181" s="52" t="s">
        <v>420</v>
      </c>
      <c r="GG181" t="s">
        <v>510</v>
      </c>
      <c r="GH181" s="80" t="s">
        <v>760</v>
      </c>
      <c r="GI181" s="6" t="s">
        <v>511</v>
      </c>
      <c r="GJ181" s="8">
        <v>0.10746634582643</v>
      </c>
      <c r="GM181">
        <v>4</v>
      </c>
      <c r="GN181" t="s">
        <v>638</v>
      </c>
      <c r="GO181" s="59" t="s">
        <v>154</v>
      </c>
      <c r="GP181">
        <v>1997</v>
      </c>
      <c r="GS181" s="71" t="s">
        <v>571</v>
      </c>
      <c r="GU181" t="s">
        <v>644</v>
      </c>
    </row>
    <row r="182" spans="1:203" ht="15" thickBot="1">
      <c r="A182" s="25" t="s">
        <v>550</v>
      </c>
      <c r="C182" t="s">
        <v>549</v>
      </c>
      <c r="E182" t="s">
        <v>16</v>
      </c>
      <c r="F182" s="6" t="s">
        <v>592</v>
      </c>
      <c r="G182" t="s">
        <v>591</v>
      </c>
      <c r="H182" s="6" t="s">
        <v>4</v>
      </c>
      <c r="I182" s="59" t="s">
        <v>154</v>
      </c>
      <c r="J182" s="59" t="s">
        <v>389</v>
      </c>
      <c r="K182" s="9">
        <v>0.1</v>
      </c>
      <c r="L182" s="9">
        <v>34.566667000000002</v>
      </c>
      <c r="M182" s="30" t="s">
        <v>31</v>
      </c>
      <c r="N182" t="s">
        <v>551</v>
      </c>
      <c r="O182">
        <v>100</v>
      </c>
      <c r="Q182">
        <v>4</v>
      </c>
      <c r="R182" t="s">
        <v>593</v>
      </c>
      <c r="S182">
        <v>1994</v>
      </c>
      <c r="T182">
        <v>1998</v>
      </c>
      <c r="U182" t="s">
        <v>590</v>
      </c>
      <c r="V182" t="s">
        <v>36</v>
      </c>
      <c r="W182" t="s">
        <v>36</v>
      </c>
      <c r="X182" s="9" t="s">
        <v>556</v>
      </c>
      <c r="Y182" t="s">
        <v>476</v>
      </c>
      <c r="Z182" s="59" t="s">
        <v>43</v>
      </c>
      <c r="AA182" t="s">
        <v>559</v>
      </c>
      <c r="AB182" s="60" t="s">
        <v>415</v>
      </c>
      <c r="AC182" s="31">
        <v>53000</v>
      </c>
      <c r="AX182" t="s">
        <v>574</v>
      </c>
      <c r="AZ182" s="60" t="s">
        <v>398</v>
      </c>
      <c r="BA182">
        <v>1994</v>
      </c>
      <c r="BB182">
        <v>1998</v>
      </c>
      <c r="BM182" t="s">
        <v>569</v>
      </c>
      <c r="BN182" s="49" t="s">
        <v>36</v>
      </c>
      <c r="BO182" s="30"/>
      <c r="BS182" s="60" t="s">
        <v>416</v>
      </c>
      <c r="BT182" s="30" t="s">
        <v>569</v>
      </c>
      <c r="BU182" s="30" t="s">
        <v>575</v>
      </c>
      <c r="BV182" s="30"/>
      <c r="CH182" s="50" t="s">
        <v>39</v>
      </c>
      <c r="CM182" s="66" t="s">
        <v>440</v>
      </c>
      <c r="CN182">
        <v>0</v>
      </c>
      <c r="CW182" s="30"/>
      <c r="DC182" s="67" t="s">
        <v>445</v>
      </c>
      <c r="DK182" s="67" t="s">
        <v>579</v>
      </c>
      <c r="DO182" s="30"/>
      <c r="DP182" s="30"/>
      <c r="DQ182" s="30"/>
      <c r="DR182" s="30"/>
      <c r="FD182" s="28" t="s">
        <v>615</v>
      </c>
      <c r="FE182">
        <v>42</v>
      </c>
      <c r="FG182" s="73" t="s">
        <v>616</v>
      </c>
      <c r="FH182" s="6" t="s">
        <v>470</v>
      </c>
      <c r="FR182" t="s">
        <v>642</v>
      </c>
      <c r="FU182" s="6" t="s">
        <v>27</v>
      </c>
      <c r="FV182" s="52" t="s">
        <v>420</v>
      </c>
      <c r="GF182" t="s">
        <v>514</v>
      </c>
      <c r="GG182" t="s">
        <v>510</v>
      </c>
      <c r="GH182" s="80" t="s">
        <v>761</v>
      </c>
      <c r="GI182" s="6" t="s">
        <v>511</v>
      </c>
      <c r="GJ182" s="8">
        <v>0.17897437061588017</v>
      </c>
      <c r="GM182">
        <v>4</v>
      </c>
      <c r="GN182" t="s">
        <v>638</v>
      </c>
      <c r="GO182" s="59" t="s">
        <v>154</v>
      </c>
      <c r="GP182">
        <v>1997</v>
      </c>
      <c r="GS182" s="71" t="s">
        <v>571</v>
      </c>
      <c r="GU182" t="s">
        <v>644</v>
      </c>
    </row>
    <row r="183" spans="1:203">
      <c r="A183" s="76" t="s">
        <v>550</v>
      </c>
      <c r="B183" s="59"/>
      <c r="C183" s="59" t="s">
        <v>549</v>
      </c>
      <c r="D183" s="59"/>
      <c r="E183" s="59" t="s">
        <v>16</v>
      </c>
      <c r="F183" s="60" t="s">
        <v>592</v>
      </c>
      <c r="G183" s="59" t="s">
        <v>591</v>
      </c>
      <c r="H183" s="60" t="s">
        <v>4</v>
      </c>
      <c r="I183" s="59" t="s">
        <v>154</v>
      </c>
      <c r="J183" s="59" t="s">
        <v>389</v>
      </c>
      <c r="K183" s="77">
        <v>0.1</v>
      </c>
      <c r="L183" s="77">
        <v>34.566667000000002</v>
      </c>
      <c r="M183" s="61" t="s">
        <v>31</v>
      </c>
      <c r="N183" s="59" t="s">
        <v>551</v>
      </c>
      <c r="O183" s="59">
        <v>100</v>
      </c>
      <c r="P183" s="59"/>
      <c r="Q183" s="59">
        <v>4</v>
      </c>
      <c r="R183" s="59" t="s">
        <v>593</v>
      </c>
      <c r="S183" s="59">
        <v>1994</v>
      </c>
      <c r="T183" s="59">
        <v>1998</v>
      </c>
      <c r="U183" s="59" t="s">
        <v>590</v>
      </c>
      <c r="V183" s="59" t="s">
        <v>36</v>
      </c>
      <c r="W183" s="59" t="s">
        <v>36</v>
      </c>
      <c r="X183" s="77" t="s">
        <v>557</v>
      </c>
      <c r="Y183" s="59" t="s">
        <v>477</v>
      </c>
      <c r="Z183" s="59" t="s">
        <v>43</v>
      </c>
      <c r="AA183" s="59" t="s">
        <v>559</v>
      </c>
      <c r="AB183" s="60" t="s">
        <v>415</v>
      </c>
      <c r="AC183" s="62">
        <v>53000</v>
      </c>
      <c r="AD183" s="59"/>
      <c r="AE183" s="59"/>
      <c r="AF183" s="59"/>
      <c r="AG183" s="59"/>
      <c r="AH183" s="59"/>
      <c r="AI183" s="59"/>
      <c r="AJ183" s="59"/>
      <c r="AK183" s="59"/>
      <c r="AL183" s="59"/>
      <c r="AM183" s="59"/>
      <c r="AN183" s="59"/>
      <c r="AO183" s="59"/>
      <c r="AP183" s="59"/>
      <c r="AQ183" s="59"/>
      <c r="AR183" s="59"/>
      <c r="AS183" s="59"/>
      <c r="AT183" s="59"/>
      <c r="AU183" s="59"/>
      <c r="AV183" s="59"/>
      <c r="AW183" s="59"/>
      <c r="AX183" s="59" t="s">
        <v>574</v>
      </c>
      <c r="AY183" s="59"/>
      <c r="AZ183" s="60" t="s">
        <v>398</v>
      </c>
      <c r="BA183" s="59">
        <v>1994</v>
      </c>
      <c r="BB183" s="59">
        <v>1998</v>
      </c>
      <c r="BC183" s="59"/>
      <c r="BD183" s="59"/>
      <c r="BE183" s="59"/>
      <c r="BF183" s="59"/>
      <c r="BG183" s="59"/>
      <c r="BH183" s="59"/>
      <c r="BI183" s="59"/>
      <c r="BJ183" s="59"/>
      <c r="BK183" s="59"/>
      <c r="BL183" s="59"/>
      <c r="BM183" s="59" t="s">
        <v>570</v>
      </c>
      <c r="BN183" s="67" t="s">
        <v>36</v>
      </c>
      <c r="BO183" s="61"/>
      <c r="BP183" s="59"/>
      <c r="BQ183" s="59"/>
      <c r="BR183" s="59"/>
      <c r="BS183" s="60" t="s">
        <v>416</v>
      </c>
      <c r="BT183" s="59" t="s">
        <v>576</v>
      </c>
      <c r="BU183" s="59" t="s">
        <v>575</v>
      </c>
      <c r="BV183" s="59"/>
      <c r="BW183" s="59"/>
      <c r="BX183" s="59"/>
      <c r="BY183" s="59"/>
      <c r="BZ183" s="59"/>
      <c r="CA183" s="59"/>
      <c r="CB183" s="59"/>
      <c r="CC183" s="59"/>
      <c r="CD183" s="59"/>
      <c r="CE183" s="59"/>
      <c r="CF183" s="59"/>
      <c r="CG183" s="59" t="s">
        <v>570</v>
      </c>
      <c r="CH183" s="59" t="s">
        <v>37</v>
      </c>
      <c r="CI183" s="65" t="s">
        <v>439</v>
      </c>
      <c r="CJ183" s="59"/>
      <c r="CK183" s="59"/>
      <c r="CL183" s="59"/>
      <c r="CM183" s="66" t="s">
        <v>440</v>
      </c>
      <c r="CN183" s="59">
        <v>60</v>
      </c>
      <c r="CO183" s="59"/>
      <c r="CP183" s="59"/>
      <c r="CQ183" s="59">
        <v>60</v>
      </c>
      <c r="CR183" s="59"/>
      <c r="CS183" s="59"/>
      <c r="CT183" s="59"/>
      <c r="CU183" s="59"/>
      <c r="CV183" s="59"/>
      <c r="CW183" s="61"/>
      <c r="CX183" s="59"/>
      <c r="CY183" s="59"/>
      <c r="CZ183" s="59"/>
      <c r="DA183" s="59"/>
      <c r="DB183" s="59"/>
      <c r="DC183" s="67" t="s">
        <v>445</v>
      </c>
      <c r="DD183" s="59"/>
      <c r="DE183" s="59"/>
      <c r="DF183" s="59"/>
      <c r="DG183" s="59"/>
      <c r="DH183" s="59"/>
      <c r="DI183" s="59"/>
      <c r="DJ183" s="59"/>
      <c r="DK183" s="67" t="s">
        <v>579</v>
      </c>
      <c r="DL183" s="59"/>
      <c r="DM183" s="59"/>
      <c r="DN183" s="59"/>
      <c r="DO183" s="61"/>
      <c r="DP183" s="61"/>
      <c r="DQ183" s="61"/>
      <c r="DR183" s="61"/>
      <c r="DS183" s="59"/>
      <c r="DT183" s="59"/>
      <c r="DU183" s="59"/>
      <c r="DV183" s="59"/>
      <c r="DW183" s="59"/>
      <c r="DX183" s="59"/>
      <c r="DY183" s="59"/>
      <c r="DZ183" s="59"/>
      <c r="EA183" s="59"/>
      <c r="EB183" s="59"/>
      <c r="EC183" s="59"/>
      <c r="ED183" s="59"/>
      <c r="EE183" s="59"/>
      <c r="EF183" s="59"/>
      <c r="EG183" s="59"/>
      <c r="EH183" s="59"/>
      <c r="EI183" s="59"/>
      <c r="EJ183" s="59"/>
      <c r="EK183" s="59"/>
      <c r="EL183" s="59"/>
      <c r="EM183" s="59"/>
      <c r="EN183" s="59"/>
      <c r="EO183" s="59"/>
      <c r="EP183" s="59"/>
      <c r="EQ183" s="59"/>
      <c r="ER183" s="59"/>
      <c r="ES183" s="59"/>
      <c r="ET183" s="59"/>
      <c r="EU183" s="59"/>
      <c r="EV183" s="59"/>
      <c r="EW183" s="59"/>
      <c r="EX183" s="59"/>
      <c r="EY183" s="59"/>
      <c r="EZ183" s="59"/>
      <c r="FA183" s="59"/>
      <c r="FB183" s="59"/>
      <c r="FC183" s="59"/>
      <c r="FD183" s="71" t="s">
        <v>615</v>
      </c>
      <c r="FE183" s="59">
        <v>42</v>
      </c>
      <c r="FF183" s="59"/>
      <c r="FG183" s="73" t="s">
        <v>616</v>
      </c>
      <c r="FH183" s="6" t="s">
        <v>470</v>
      </c>
      <c r="FR183" t="s">
        <v>642</v>
      </c>
      <c r="FT183" s="59"/>
      <c r="FU183" s="6" t="s">
        <v>27</v>
      </c>
      <c r="FV183" s="52" t="s">
        <v>420</v>
      </c>
      <c r="FW183" s="59"/>
      <c r="FX183" s="59"/>
      <c r="FY183" s="59"/>
      <c r="FZ183" s="59"/>
      <c r="GA183" s="59"/>
      <c r="GB183" s="59"/>
      <c r="GC183" s="59"/>
      <c r="GD183" s="59"/>
      <c r="GE183" s="59"/>
      <c r="GF183" s="59" t="s">
        <v>587</v>
      </c>
      <c r="GG183" s="59" t="s">
        <v>510</v>
      </c>
      <c r="GH183" s="80" t="s">
        <v>762</v>
      </c>
      <c r="GI183" s="60" t="s">
        <v>511</v>
      </c>
      <c r="GJ183" s="79">
        <v>0.10726203718416993</v>
      </c>
      <c r="GK183" s="59"/>
      <c r="GL183" s="59"/>
      <c r="GM183" s="59">
        <v>4</v>
      </c>
      <c r="GN183" t="s">
        <v>638</v>
      </c>
      <c r="GO183" s="59" t="s">
        <v>154</v>
      </c>
      <c r="GP183">
        <v>1997</v>
      </c>
      <c r="GQ183" s="59"/>
      <c r="GR183" s="59"/>
      <c r="GS183" s="71" t="s">
        <v>571</v>
      </c>
      <c r="GT183" s="59"/>
      <c r="GU183" t="s">
        <v>644</v>
      </c>
    </row>
  </sheetData>
  <phoneticPr fontId="2" type="noConversion"/>
  <conditionalFormatting sqref="DZ11:DZ15 DZ17:DZ27 DZ5:DZ9">
    <cfRule type="expression" dxfId="84" priority="128">
      <formula>COUNTIF(DZ5,DZ:DZ)&gt;0</formula>
    </cfRule>
  </conditionalFormatting>
  <conditionalFormatting sqref="CT16:CT21">
    <cfRule type="duplicateValues" dxfId="83" priority="124"/>
  </conditionalFormatting>
  <conditionalFormatting sqref="DH11:DH15 DH17:DH27 DL14:DL15 DL20:DL21 DP12:DP13 DP18:DP19 DP23:DP24 DP26:DP27 DH5:DH9 DL8:DL9 DP6:DP7 DL28:DL29 DL40:DL41 DL34:DL35 DL46:DL47 DL52:DL53 DL58:DL59 DL64:DL65 DL82:DL83 DL70:DL71 DL76:DL77 DL88:DL89 DL94:DL95 DL100:DL101 DL106:DL107 DL112:DL113 DL118:DL119 DL124:DL125 DL130:DL131 DL136:DL137 DL142:DL143 DL148:DL149 DL154:DL155 DL160:DL161 DL166:DL167 DL172:DL173 DL178:DL179">
    <cfRule type="expression" dxfId="82" priority="122">
      <formula>COUNTIF(DH:DH,DH5)&gt;1</formula>
    </cfRule>
  </conditionalFormatting>
  <conditionalFormatting sqref="CT25:CT27">
    <cfRule type="duplicateValues" dxfId="81" priority="171"/>
  </conditionalFormatting>
  <conditionalFormatting sqref="CJ22:CJ27">
    <cfRule type="duplicateValues" dxfId="80" priority="172"/>
  </conditionalFormatting>
  <conditionalFormatting sqref="CT4:CT9">
    <cfRule type="duplicateValues" dxfId="79" priority="100"/>
  </conditionalFormatting>
  <conditionalFormatting sqref="AO30:AO32">
    <cfRule type="duplicateValues" dxfId="78" priority="99"/>
  </conditionalFormatting>
  <conditionalFormatting sqref="AO28">
    <cfRule type="duplicateValues" dxfId="77" priority="96"/>
  </conditionalFormatting>
  <conditionalFormatting sqref="AO29">
    <cfRule type="duplicateValues" dxfId="76" priority="95"/>
  </conditionalFormatting>
  <conditionalFormatting sqref="AO42:AO44">
    <cfRule type="duplicateValues" dxfId="75" priority="93"/>
  </conditionalFormatting>
  <conditionalFormatting sqref="AO40">
    <cfRule type="duplicateValues" dxfId="74" priority="92"/>
  </conditionalFormatting>
  <conditionalFormatting sqref="AO41">
    <cfRule type="duplicateValues" dxfId="73" priority="91"/>
  </conditionalFormatting>
  <conditionalFormatting sqref="AO36:AO38">
    <cfRule type="duplicateValues" dxfId="72" priority="89"/>
  </conditionalFormatting>
  <conditionalFormatting sqref="AO34">
    <cfRule type="duplicateValues" dxfId="71" priority="88"/>
  </conditionalFormatting>
  <conditionalFormatting sqref="AO35">
    <cfRule type="duplicateValues" dxfId="70" priority="87"/>
  </conditionalFormatting>
  <conditionalFormatting sqref="AO48:AO50">
    <cfRule type="duplicateValues" dxfId="69" priority="85"/>
  </conditionalFormatting>
  <conditionalFormatting sqref="AO46">
    <cfRule type="duplicateValues" dxfId="68" priority="84"/>
  </conditionalFormatting>
  <conditionalFormatting sqref="AO47">
    <cfRule type="duplicateValues" dxfId="67" priority="83"/>
  </conditionalFormatting>
  <conditionalFormatting sqref="AO54:AO56">
    <cfRule type="duplicateValues" dxfId="66" priority="81"/>
  </conditionalFormatting>
  <conditionalFormatting sqref="AO52">
    <cfRule type="duplicateValues" dxfId="65" priority="80"/>
  </conditionalFormatting>
  <conditionalFormatting sqref="AO53">
    <cfRule type="duplicateValues" dxfId="64" priority="79"/>
  </conditionalFormatting>
  <conditionalFormatting sqref="AO60:AO62">
    <cfRule type="duplicateValues" dxfId="63" priority="77"/>
  </conditionalFormatting>
  <conditionalFormatting sqref="AO58">
    <cfRule type="duplicateValues" dxfId="62" priority="76"/>
  </conditionalFormatting>
  <conditionalFormatting sqref="AO59">
    <cfRule type="duplicateValues" dxfId="61" priority="75"/>
  </conditionalFormatting>
  <conditionalFormatting sqref="CJ4:CJ21">
    <cfRule type="duplicateValues" dxfId="60" priority="223"/>
  </conditionalFormatting>
  <conditionalFormatting sqref="AO66:AO68">
    <cfRule type="duplicateValues" dxfId="59" priority="69"/>
  </conditionalFormatting>
  <conditionalFormatting sqref="AO64">
    <cfRule type="duplicateValues" dxfId="58" priority="68"/>
  </conditionalFormatting>
  <conditionalFormatting sqref="AO65">
    <cfRule type="duplicateValues" dxfId="57" priority="67"/>
  </conditionalFormatting>
  <conditionalFormatting sqref="AO84:AO86">
    <cfRule type="duplicateValues" dxfId="56" priority="66"/>
  </conditionalFormatting>
  <conditionalFormatting sqref="AO82">
    <cfRule type="duplicateValues" dxfId="55" priority="65"/>
  </conditionalFormatting>
  <conditionalFormatting sqref="AO83">
    <cfRule type="duplicateValues" dxfId="54" priority="64"/>
  </conditionalFormatting>
  <conditionalFormatting sqref="AO72:AO74">
    <cfRule type="duplicateValues" dxfId="53" priority="62"/>
  </conditionalFormatting>
  <conditionalFormatting sqref="AO70">
    <cfRule type="duplicateValues" dxfId="52" priority="61"/>
  </conditionalFormatting>
  <conditionalFormatting sqref="AO71">
    <cfRule type="duplicateValues" dxfId="51" priority="60"/>
  </conditionalFormatting>
  <conditionalFormatting sqref="AO78:AO80">
    <cfRule type="duplicateValues" dxfId="50" priority="58"/>
  </conditionalFormatting>
  <conditionalFormatting sqref="AO76">
    <cfRule type="duplicateValues" dxfId="49" priority="57"/>
  </conditionalFormatting>
  <conditionalFormatting sqref="AO77">
    <cfRule type="duplicateValues" dxfId="48" priority="56"/>
  </conditionalFormatting>
  <conditionalFormatting sqref="AO90:AO92">
    <cfRule type="duplicateValues" dxfId="47" priority="54"/>
  </conditionalFormatting>
  <conditionalFormatting sqref="AO88">
    <cfRule type="duplicateValues" dxfId="46" priority="53"/>
  </conditionalFormatting>
  <conditionalFormatting sqref="AO89">
    <cfRule type="duplicateValues" dxfId="45" priority="52"/>
  </conditionalFormatting>
  <conditionalFormatting sqref="AO96:AO98">
    <cfRule type="duplicateValues" dxfId="44" priority="50"/>
  </conditionalFormatting>
  <conditionalFormatting sqref="AO94">
    <cfRule type="duplicateValues" dxfId="43" priority="49"/>
  </conditionalFormatting>
  <conditionalFormatting sqref="AO95">
    <cfRule type="duplicateValues" dxfId="42" priority="48"/>
  </conditionalFormatting>
  <conditionalFormatting sqref="AO102:AO104">
    <cfRule type="duplicateValues" dxfId="41" priority="47"/>
  </conditionalFormatting>
  <conditionalFormatting sqref="AO100">
    <cfRule type="duplicateValues" dxfId="40" priority="46"/>
  </conditionalFormatting>
  <conditionalFormatting sqref="AO101">
    <cfRule type="duplicateValues" dxfId="39" priority="45"/>
  </conditionalFormatting>
  <conditionalFormatting sqref="AO108:AO110">
    <cfRule type="duplicateValues" dxfId="38" priority="44"/>
  </conditionalFormatting>
  <conditionalFormatting sqref="AO106">
    <cfRule type="duplicateValues" dxfId="37" priority="43"/>
  </conditionalFormatting>
  <conditionalFormatting sqref="AO107">
    <cfRule type="duplicateValues" dxfId="36" priority="42"/>
  </conditionalFormatting>
  <conditionalFormatting sqref="AO114:AO116">
    <cfRule type="duplicateValues" dxfId="35" priority="40"/>
  </conditionalFormatting>
  <conditionalFormatting sqref="AO112">
    <cfRule type="duplicateValues" dxfId="34" priority="39"/>
  </conditionalFormatting>
  <conditionalFormatting sqref="AO113">
    <cfRule type="duplicateValues" dxfId="33" priority="38"/>
  </conditionalFormatting>
  <conditionalFormatting sqref="AO120:AO122">
    <cfRule type="duplicateValues" dxfId="32" priority="37"/>
  </conditionalFormatting>
  <conditionalFormatting sqref="AO118">
    <cfRule type="duplicateValues" dxfId="31" priority="36"/>
  </conditionalFormatting>
  <conditionalFormatting sqref="AO119">
    <cfRule type="duplicateValues" dxfId="30" priority="35"/>
  </conditionalFormatting>
  <conditionalFormatting sqref="AO126:AO128">
    <cfRule type="duplicateValues" dxfId="29" priority="33"/>
  </conditionalFormatting>
  <conditionalFormatting sqref="AO124">
    <cfRule type="duplicateValues" dxfId="28" priority="32"/>
  </conditionalFormatting>
  <conditionalFormatting sqref="AO125">
    <cfRule type="duplicateValues" dxfId="27" priority="31"/>
  </conditionalFormatting>
  <conditionalFormatting sqref="AO132:AO134">
    <cfRule type="duplicateValues" dxfId="26" priority="30"/>
  </conditionalFormatting>
  <conditionalFormatting sqref="AO130">
    <cfRule type="duplicateValues" dxfId="25" priority="29"/>
  </conditionalFormatting>
  <conditionalFormatting sqref="AO131">
    <cfRule type="duplicateValues" dxfId="24" priority="28"/>
  </conditionalFormatting>
  <conditionalFormatting sqref="AO138:AO140">
    <cfRule type="duplicateValues" dxfId="23" priority="27"/>
  </conditionalFormatting>
  <conditionalFormatting sqref="AO136">
    <cfRule type="duplicateValues" dxfId="22" priority="26"/>
  </conditionalFormatting>
  <conditionalFormatting sqref="AO137">
    <cfRule type="duplicateValues" dxfId="21" priority="25"/>
  </conditionalFormatting>
  <conditionalFormatting sqref="AO144:AO146">
    <cfRule type="duplicateValues" dxfId="20" priority="23"/>
  </conditionalFormatting>
  <conditionalFormatting sqref="AO142">
    <cfRule type="duplicateValues" dxfId="19" priority="22"/>
  </conditionalFormatting>
  <conditionalFormatting sqref="AO143">
    <cfRule type="duplicateValues" dxfId="18" priority="21"/>
  </conditionalFormatting>
  <conditionalFormatting sqref="AO150:AO152">
    <cfRule type="duplicateValues" dxfId="17" priority="20"/>
  </conditionalFormatting>
  <conditionalFormatting sqref="AO148">
    <cfRule type="duplicateValues" dxfId="16" priority="19"/>
  </conditionalFormatting>
  <conditionalFormatting sqref="AO149">
    <cfRule type="duplicateValues" dxfId="15" priority="18"/>
  </conditionalFormatting>
  <conditionalFormatting sqref="AO156:AO158">
    <cfRule type="duplicateValues" dxfId="14" priority="16"/>
  </conditionalFormatting>
  <conditionalFormatting sqref="AO154">
    <cfRule type="duplicateValues" dxfId="13" priority="15"/>
  </conditionalFormatting>
  <conditionalFormatting sqref="AO155">
    <cfRule type="duplicateValues" dxfId="12" priority="14"/>
  </conditionalFormatting>
  <conditionalFormatting sqref="AO162:AO164">
    <cfRule type="duplicateValues" dxfId="11" priority="13"/>
  </conditionalFormatting>
  <conditionalFormatting sqref="AO160">
    <cfRule type="duplicateValues" dxfId="10" priority="12"/>
  </conditionalFormatting>
  <conditionalFormatting sqref="AO161">
    <cfRule type="duplicateValues" dxfId="9" priority="11"/>
  </conditionalFormatting>
  <conditionalFormatting sqref="AO168:AO170">
    <cfRule type="duplicateValues" dxfId="8" priority="10"/>
  </conditionalFormatting>
  <conditionalFormatting sqref="AO166">
    <cfRule type="duplicateValues" dxfId="7" priority="9"/>
  </conditionalFormatting>
  <conditionalFormatting sqref="AO167">
    <cfRule type="duplicateValues" dxfId="6" priority="8"/>
  </conditionalFormatting>
  <conditionalFormatting sqref="AO174:AO176">
    <cfRule type="duplicateValues" dxfId="5" priority="6"/>
  </conditionalFormatting>
  <conditionalFormatting sqref="AO172">
    <cfRule type="duplicateValues" dxfId="4" priority="5"/>
  </conditionalFormatting>
  <conditionalFormatting sqref="AO173">
    <cfRule type="duplicateValues" dxfId="3" priority="4"/>
  </conditionalFormatting>
  <conditionalFormatting sqref="AO180:AO182">
    <cfRule type="duplicateValues" dxfId="2" priority="3"/>
  </conditionalFormatting>
  <conditionalFormatting sqref="AO178">
    <cfRule type="duplicateValues" dxfId="1" priority="2"/>
  </conditionalFormatting>
  <conditionalFormatting sqref="AO179">
    <cfRule type="duplicateValues" dxfId="0" priority="1"/>
  </conditionalFormatting>
  <pageMargins left="0.7" right="0.7" top="0.75" bottom="0.75" header="0.3" footer="0.3"/>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F9B01D-7FB0-440A-BD4D-00555E42D636}">
  <ds:schemaRefs>
    <ds:schemaRef ds:uri="http://schemas.microsoft.com/sharepoint/v3/contenttype/forms"/>
  </ds:schemaRefs>
</ds:datastoreItem>
</file>

<file path=customXml/itemProps2.xml><?xml version="1.0" encoding="utf-8"?>
<ds:datastoreItem xmlns:ds="http://schemas.openxmlformats.org/officeDocument/2006/customXml" ds:itemID="{29F4C5D4-D231-4C4B-AEF1-D09270A3866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AED95454-C9D5-48E6-AD23-A3522E555C4D}"/>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07_FOMD_metadata_original_long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2025-12-22T12:34:05Z</dcterms:created>
  <dcterms:modified xsi:type="dcterms:W3CDTF">2026-02-24T21:10:46Z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