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Mi portátil\Mario\Trabajo\Trabajo_Alliance\3_Projects\LOCAL_MC_AE Evidence Hub\0909\"/>
    </mc:Choice>
  </mc:AlternateContent>
  <xr:revisionPtr revIDLastSave="0" documentId="13_ncr:1_{743CD5FC-75A7-4E50-93E5-A416086DF5BE}" xr6:coauthVersionLast="47" xr6:coauthVersionMax="47" xr10:uidLastSave="{00000000-0000-0000-0000-000000000000}"/>
  <bookViews>
    <workbookView xWindow="-38520" yWindow="-2130" windowWidth="38640" windowHeight="21120" xr2:uid="{71A907CE-EFB4-45DB-A88C-C458D4A65B28}"/>
  </bookViews>
  <sheets>
    <sheet name="Fig. 2" sheetId="1" r:id="rId1"/>
    <sheet name="Fig.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Y4" i="2"/>
  <c r="W4" i="2"/>
  <c r="U4" i="2"/>
  <c r="S4" i="2"/>
  <c r="Q4" i="2"/>
  <c r="O4" i="2"/>
  <c r="M4" i="2"/>
  <c r="K4" i="2"/>
  <c r="I4" i="2"/>
  <c r="G4" i="2"/>
  <c r="E4" i="2"/>
  <c r="C4" i="2"/>
  <c r="X6" i="1"/>
  <c r="V6" i="1"/>
  <c r="T6" i="1"/>
  <c r="R6" i="1"/>
  <c r="P6" i="1"/>
  <c r="N6" i="1"/>
  <c r="L6" i="1"/>
  <c r="J6" i="1"/>
  <c r="F6" i="1"/>
  <c r="D6" i="1"/>
  <c r="B6" i="1"/>
</calcChain>
</file>

<file path=xl/sharedStrings.xml><?xml version="1.0" encoding="utf-8"?>
<sst xmlns="http://schemas.openxmlformats.org/spreadsheetml/2006/main" count="60" uniqueCount="15">
  <si>
    <t xml:space="preserve"> Upper</t>
  </si>
  <si>
    <t xml:space="preserve"> Mean</t>
  </si>
  <si>
    <t>LSD1</t>
  </si>
  <si>
    <t>LSD2</t>
  </si>
  <si>
    <t>Monocrop</t>
  </si>
  <si>
    <t>Push-pull</t>
  </si>
  <si>
    <t>SE</t>
  </si>
  <si>
    <t>Spiders</t>
  </si>
  <si>
    <t>Ants</t>
  </si>
  <si>
    <t>Earwigs</t>
  </si>
  <si>
    <t>pt</t>
  </si>
  <si>
    <t>tm</t>
  </si>
  <si>
    <t>pnt</t>
  </si>
  <si>
    <t>ntm</t>
  </si>
  <si>
    <t>Upper/Mean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</si>
</sst>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357908</xdr:colOff>
      <xdr:row>6</xdr:row>
      <xdr:rowOff>122959</xdr:rowOff>
    </xdr:from>
    <xdr:to>
      <xdr:col>13</xdr:col>
      <xdr:colOff>540014</xdr:colOff>
      <xdr:row>53</xdr:row>
      <xdr:rowOff>53710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6A33C-D929-992A-DF88-7AEF8392F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908" y="1046595"/>
          <a:ext cx="8136924" cy="8612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6</xdr:row>
      <xdr:rowOff>63500</xdr:rowOff>
    </xdr:from>
    <xdr:to>
      <xdr:col>11</xdr:col>
      <xdr:colOff>388088</xdr:colOff>
      <xdr:row>51</xdr:row>
      <xdr:rowOff>58285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EF0CC-469E-F8BD-A481-420A86551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1149350"/>
          <a:ext cx="5283938" cy="8138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A548-32E0-4627-9D60-5A8A351A2673}">
  <dimension ref="A1:Y6"/>
  <sheetViews>
    <sheetView tabSelected="1" zoomScale="85" zoomScaleNormal="85" workbookViewId="0">
      <selection activeCell="X6" sqref="X6"/>
    </sheetView>
  </sheetViews>
  <sheetFormatPr defaultRowHeight="14.5" x14ac:dyDescent="0.35"/>
  <sheetData>
    <row r="1" spans="1:25" x14ac:dyDescent="0.35">
      <c r="B1" s="7" t="s">
        <v>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 t="s">
        <v>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5">
      <c r="B2" s="6" t="s">
        <v>4</v>
      </c>
      <c r="C2" s="6"/>
      <c r="D2" s="6"/>
      <c r="E2" s="6"/>
      <c r="F2" s="6"/>
      <c r="G2" s="6"/>
      <c r="H2" s="5" t="s">
        <v>5</v>
      </c>
      <c r="I2" s="5"/>
      <c r="J2" s="5"/>
      <c r="K2" s="5"/>
      <c r="L2" s="5"/>
      <c r="M2" s="5"/>
      <c r="N2" s="6" t="s">
        <v>4</v>
      </c>
      <c r="O2" s="6"/>
      <c r="P2" s="6"/>
      <c r="Q2" s="6"/>
      <c r="R2" s="6"/>
      <c r="S2" s="6"/>
      <c r="T2" s="5" t="s">
        <v>5</v>
      </c>
      <c r="U2" s="5"/>
      <c r="V2" s="5"/>
      <c r="W2" s="5"/>
      <c r="X2" s="5"/>
      <c r="Y2" s="5"/>
    </row>
    <row r="3" spans="1:25" x14ac:dyDescent="0.35">
      <c r="B3" s="6" t="s">
        <v>7</v>
      </c>
      <c r="C3" s="6"/>
      <c r="D3" s="6" t="s">
        <v>8</v>
      </c>
      <c r="E3" s="6"/>
      <c r="F3" s="6" t="s">
        <v>9</v>
      </c>
      <c r="G3" s="6"/>
      <c r="H3" s="5" t="s">
        <v>7</v>
      </c>
      <c r="I3" s="5"/>
      <c r="J3" s="5" t="s">
        <v>8</v>
      </c>
      <c r="K3" s="5"/>
      <c r="L3" s="5" t="s">
        <v>9</v>
      </c>
      <c r="M3" s="5"/>
      <c r="N3" s="6" t="s">
        <v>7</v>
      </c>
      <c r="O3" s="6"/>
      <c r="P3" s="6" t="s">
        <v>8</v>
      </c>
      <c r="Q3" s="6"/>
      <c r="R3" s="6" t="s">
        <v>9</v>
      </c>
      <c r="S3" s="6"/>
      <c r="T3" s="5" t="s">
        <v>7</v>
      </c>
      <c r="U3" s="5"/>
      <c r="V3" s="5" t="s">
        <v>8</v>
      </c>
      <c r="W3" s="5"/>
      <c r="X3" s="5" t="s">
        <v>9</v>
      </c>
      <c r="Y3" s="5"/>
    </row>
    <row r="4" spans="1:25" x14ac:dyDescent="0.35">
      <c r="B4">
        <v>9.1836734693877506</v>
      </c>
      <c r="C4">
        <v>6.6326530612244898</v>
      </c>
      <c r="D4">
        <v>14.7959183673469</v>
      </c>
      <c r="E4">
        <v>12.499999999999901</v>
      </c>
      <c r="F4">
        <v>12.755102040816301</v>
      </c>
      <c r="G4">
        <v>8.9285714285714199</v>
      </c>
      <c r="H4">
        <v>20.918367346938702</v>
      </c>
      <c r="I4">
        <v>17.3469387755102</v>
      </c>
      <c r="J4">
        <v>40.051020408163197</v>
      </c>
      <c r="K4">
        <v>35.714285714285701</v>
      </c>
      <c r="L4">
        <v>15.306122448979499</v>
      </c>
      <c r="M4">
        <v>9.6938775510204103</v>
      </c>
      <c r="N4">
        <v>6.6428571428571299</v>
      </c>
      <c r="O4">
        <v>5.5714285714285596</v>
      </c>
      <c r="P4">
        <v>16.071428571428498</v>
      </c>
      <c r="Q4">
        <v>13.9285714285714</v>
      </c>
      <c r="R4">
        <v>11.357142857142801</v>
      </c>
      <c r="S4">
        <v>10.499999999999901</v>
      </c>
      <c r="T4">
        <v>12.4285714285714</v>
      </c>
      <c r="U4">
        <v>11.5714285714285</v>
      </c>
      <c r="V4">
        <v>33.428571428571402</v>
      </c>
      <c r="W4">
        <v>27.857142857142801</v>
      </c>
      <c r="X4">
        <v>14.1428571428571</v>
      </c>
      <c r="Y4">
        <v>11.357142857142801</v>
      </c>
    </row>
    <row r="5" spans="1:25" x14ac:dyDescent="0.35">
      <c r="B5" t="s">
        <v>0</v>
      </c>
      <c r="C5" t="s">
        <v>1</v>
      </c>
      <c r="D5" t="s">
        <v>0</v>
      </c>
      <c r="E5" t="s">
        <v>1</v>
      </c>
      <c r="F5" t="s">
        <v>0</v>
      </c>
      <c r="G5" t="s">
        <v>1</v>
      </c>
      <c r="H5" t="s">
        <v>0</v>
      </c>
      <c r="I5" t="s">
        <v>1</v>
      </c>
      <c r="J5" t="s">
        <v>0</v>
      </c>
      <c r="K5" t="s">
        <v>1</v>
      </c>
      <c r="L5" t="s">
        <v>0</v>
      </c>
      <c r="M5" t="s">
        <v>1</v>
      </c>
      <c r="N5" t="s">
        <v>0</v>
      </c>
      <c r="O5" t="s">
        <v>1</v>
      </c>
      <c r="P5" t="s">
        <v>0</v>
      </c>
      <c r="Q5" t="s">
        <v>1</v>
      </c>
      <c r="R5" t="s">
        <v>0</v>
      </c>
      <c r="S5" t="s">
        <v>1</v>
      </c>
      <c r="T5" t="s">
        <v>0</v>
      </c>
      <c r="U5" t="s">
        <v>1</v>
      </c>
      <c r="V5" t="s">
        <v>0</v>
      </c>
      <c r="W5" t="s">
        <v>1</v>
      </c>
      <c r="X5" t="s">
        <v>0</v>
      </c>
      <c r="Y5" t="s">
        <v>1</v>
      </c>
    </row>
    <row r="6" spans="1:25" x14ac:dyDescent="0.35">
      <c r="A6" s="1" t="s">
        <v>6</v>
      </c>
      <c r="B6">
        <f>B4-C4</f>
        <v>2.5510204081632608</v>
      </c>
      <c r="D6">
        <f>D4-E4</f>
        <v>2.2959183673469994</v>
      </c>
      <c r="F6">
        <f>F4-G4</f>
        <v>3.8265306122448806</v>
      </c>
      <c r="H6">
        <f>H4-I4</f>
        <v>3.5714285714285019</v>
      </c>
      <c r="J6">
        <f>J4-K4</f>
        <v>4.3367346938774958</v>
      </c>
      <c r="L6">
        <f>L4-M4</f>
        <v>5.6122448979590889</v>
      </c>
      <c r="N6">
        <f>N4-O4</f>
        <v>1.0714285714285703</v>
      </c>
      <c r="P6">
        <f>P4-Q4</f>
        <v>2.1428571428570979</v>
      </c>
      <c r="R6">
        <f>R4-S4</f>
        <v>0.85714285714290028</v>
      </c>
      <c r="T6">
        <f>T4-U4</f>
        <v>0.85714285714290028</v>
      </c>
      <c r="V6">
        <f>V4-W4</f>
        <v>5.5714285714286014</v>
      </c>
      <c r="X6">
        <f>X4-Y4</f>
        <v>2.7857142857142989</v>
      </c>
    </row>
  </sheetData>
  <mergeCells count="18">
    <mergeCell ref="L3:M3"/>
    <mergeCell ref="B1:M1"/>
    <mergeCell ref="N1:Y1"/>
    <mergeCell ref="B2:G2"/>
    <mergeCell ref="H2:M2"/>
    <mergeCell ref="N2:S2"/>
    <mergeCell ref="T2:Y2"/>
    <mergeCell ref="B3:C3"/>
    <mergeCell ref="D3:E3"/>
    <mergeCell ref="F3:G3"/>
    <mergeCell ref="H3:I3"/>
    <mergeCell ref="J3:K3"/>
    <mergeCell ref="V3:W3"/>
    <mergeCell ref="X3:Y3"/>
    <mergeCell ref="N3:O3"/>
    <mergeCell ref="P3:Q3"/>
    <mergeCell ref="R3:S3"/>
    <mergeCell ref="T3:U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4184-4EAD-4DA6-957C-2EBC20D3581D}">
  <dimension ref="A1:Y4"/>
  <sheetViews>
    <sheetView workbookViewId="0">
      <selection activeCell="AD5" sqref="AD5"/>
    </sheetView>
  </sheetViews>
  <sheetFormatPr defaultRowHeight="14.5" x14ac:dyDescent="0.35"/>
  <cols>
    <col min="1" max="1" width="10.81640625" bestFit="1" customWidth="1"/>
  </cols>
  <sheetData>
    <row r="1" spans="1:25" x14ac:dyDescent="0.35">
      <c r="B1" s="5" t="s">
        <v>7</v>
      </c>
      <c r="C1" s="5"/>
      <c r="D1" s="5"/>
      <c r="E1" s="5"/>
      <c r="F1" s="5"/>
      <c r="G1" s="5"/>
      <c r="H1" s="5"/>
      <c r="I1" s="5"/>
      <c r="J1" s="2" t="s">
        <v>8</v>
      </c>
      <c r="K1" s="2"/>
      <c r="L1" s="2"/>
      <c r="M1" s="2"/>
      <c r="N1" s="2"/>
      <c r="O1" s="2"/>
      <c r="P1" s="2"/>
      <c r="Q1" s="2"/>
      <c r="R1" s="4" t="s">
        <v>9</v>
      </c>
      <c r="S1" s="4"/>
      <c r="T1" s="4"/>
      <c r="U1" s="4"/>
      <c r="V1" s="4"/>
      <c r="W1" s="4"/>
      <c r="X1" s="4"/>
      <c r="Y1" s="4"/>
    </row>
    <row r="2" spans="1:25" x14ac:dyDescent="0.35">
      <c r="B2" s="3" t="s">
        <v>10</v>
      </c>
      <c r="C2" s="3"/>
      <c r="D2" s="3" t="s">
        <v>11</v>
      </c>
      <c r="E2" s="3"/>
      <c r="F2" s="3" t="s">
        <v>12</v>
      </c>
      <c r="G2" s="3"/>
      <c r="H2" s="3" t="s">
        <v>13</v>
      </c>
      <c r="I2" s="3"/>
      <c r="J2" s="3" t="s">
        <v>10</v>
      </c>
      <c r="K2" s="3"/>
      <c r="L2" s="3" t="s">
        <v>11</v>
      </c>
      <c r="M2" s="3"/>
      <c r="N2" s="3" t="s">
        <v>12</v>
      </c>
      <c r="O2" s="3"/>
      <c r="P2" s="3" t="s">
        <v>13</v>
      </c>
      <c r="Q2" s="3"/>
      <c r="R2" s="3" t="s">
        <v>10</v>
      </c>
      <c r="S2" s="3"/>
      <c r="T2" s="3" t="s">
        <v>11</v>
      </c>
      <c r="U2" s="3"/>
      <c r="V2" s="3" t="s">
        <v>12</v>
      </c>
      <c r="W2" s="3"/>
      <c r="X2" s="3" t="s">
        <v>13</v>
      </c>
      <c r="Y2" s="3"/>
    </row>
    <row r="3" spans="1:25" x14ac:dyDescent="0.35">
      <c r="A3" t="s">
        <v>14</v>
      </c>
      <c r="B3">
        <v>21.176470588235201</v>
      </c>
      <c r="C3">
        <v>19.117647058823501</v>
      </c>
      <c r="D3">
        <v>10.8823529411764</v>
      </c>
      <c r="E3">
        <v>9.1176470588235308</v>
      </c>
      <c r="F3">
        <v>22.9411764705882</v>
      </c>
      <c r="G3">
        <v>20.294117647058801</v>
      </c>
      <c r="H3">
        <v>11.4705882352941</v>
      </c>
      <c r="I3">
        <v>9.4117647058823497</v>
      </c>
      <c r="J3">
        <v>12.0833333333333</v>
      </c>
      <c r="K3">
        <v>10.6944444444444</v>
      </c>
      <c r="L3">
        <v>6.6666666666666599</v>
      </c>
      <c r="M3">
        <v>5.2777777777777697</v>
      </c>
      <c r="N3">
        <v>12.9166666666666</v>
      </c>
      <c r="O3">
        <v>11.5277777777777</v>
      </c>
      <c r="P3">
        <v>6.1111111111111098</v>
      </c>
      <c r="Q3">
        <v>4.7222222222222197</v>
      </c>
      <c r="R3">
        <v>38.955223880597003</v>
      </c>
      <c r="S3">
        <v>34.0298507462686</v>
      </c>
      <c r="T3">
        <v>16.119402985074601</v>
      </c>
      <c r="U3">
        <v>12.9850746268656</v>
      </c>
      <c r="V3">
        <v>34.0298507462686</v>
      </c>
      <c r="W3">
        <v>29.1044776119403</v>
      </c>
      <c r="X3">
        <v>17.0149253731343</v>
      </c>
      <c r="Y3">
        <v>14.3283582089552</v>
      </c>
    </row>
    <row r="4" spans="1:25" x14ac:dyDescent="0.35">
      <c r="A4" t="s">
        <v>6</v>
      </c>
      <c r="C4">
        <f>B3-C3</f>
        <v>2.0588235294117005</v>
      </c>
      <c r="E4">
        <f>D3-E3</f>
        <v>1.7647058823528692</v>
      </c>
      <c r="G4">
        <f>F3-G3</f>
        <v>2.6470588235293988</v>
      </c>
      <c r="I4">
        <f>H3-I3</f>
        <v>2.0588235294117503</v>
      </c>
      <c r="K4">
        <f>J3-K3</f>
        <v>1.3888888888888999</v>
      </c>
      <c r="M4">
        <f>L3-M3</f>
        <v>1.3888888888888902</v>
      </c>
      <c r="O4">
        <f>N3-O3</f>
        <v>1.3888888888888999</v>
      </c>
      <c r="Q4">
        <f>P3-Q3</f>
        <v>1.3888888888888902</v>
      </c>
      <c r="S4">
        <f>R3-S3</f>
        <v>4.9253731343284031</v>
      </c>
      <c r="U4">
        <f>T3-U3</f>
        <v>3.1343283582090002</v>
      </c>
      <c r="W4">
        <f>V3-W3</f>
        <v>4.9253731343283</v>
      </c>
      <c r="Y4">
        <f>X3-Y3</f>
        <v>2.6865671641791007</v>
      </c>
    </row>
  </sheetData>
  <mergeCells count="15">
    <mergeCell ref="B1:I1"/>
    <mergeCell ref="B2:C2"/>
    <mergeCell ref="D2:E2"/>
    <mergeCell ref="F2:G2"/>
    <mergeCell ref="H2:I2"/>
    <mergeCell ref="R1:Y1"/>
    <mergeCell ref="R2:S2"/>
    <mergeCell ref="T2:U2"/>
    <mergeCell ref="V2:W2"/>
    <mergeCell ref="X2:Y2"/>
    <mergeCell ref="J1:Q1"/>
    <mergeCell ref="J2:K2"/>
    <mergeCell ref="L2:M2"/>
    <mergeCell ref="N2:O2"/>
    <mergeCell ref="P2:Q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EBDDB07F-F52B-4150-ADC6-01181D3F46CF}"/>
</file>

<file path=customXml/itemProps2.xml><?xml version="1.0" encoding="utf-8"?>
<ds:datastoreItem xmlns:ds="http://schemas.openxmlformats.org/officeDocument/2006/customXml" ds:itemID="{B60A5163-02E6-48E7-AC55-ED4847AD60F0}"/>
</file>

<file path=customXml/itemProps3.xml><?xml version="1.0" encoding="utf-8"?>
<ds:datastoreItem xmlns:ds="http://schemas.openxmlformats.org/officeDocument/2006/customXml" ds:itemID="{15075237-7FDE-405B-9832-02BED393E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Fig. 2</vt:lpstr>
      <vt:lpstr>Fig.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Contreras Fleury, Mario (Alliance Bioversity-CIAT)</dc:creator>
  <cp:lastModifiedBy>Contreras Fleury, Mario (Alliance Bioversity-CIAT)</cp:lastModifiedBy>
  <dcterms:created xsi:type="dcterms:W3CDTF">2026-09-09T11:21:35Z</dcterms:created>
  <dcterms:modified xsi:type="dcterms:W3CDTF">2026-09-09T13:00:50Z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