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.sharepoint.com/sites/Alliance-AgroecologyKnowledgeHub/Shared Documents/General/Agroecology_Evidence_Hub/02.FOMD/03.extraction/02.09_FOMD_extraction/MC/JA_Mideg_06_Maize_In/"/>
    </mc:Choice>
  </mc:AlternateContent>
  <xr:revisionPtr revIDLastSave="114" documentId="13_ncr:1_{743CD5FC-75A7-4E50-93E5-A416086DF5BE}" xr6:coauthVersionLast="47" xr6:coauthVersionMax="47" xr10:uidLastSave="{98785BA4-AFCF-4200-A8AA-D33BCDD8167E}"/>
  <bookViews>
    <workbookView xWindow="-19305" yWindow="-2010" windowWidth="19410" windowHeight="20985" xr2:uid="{71A907CE-EFB4-45DB-A88C-C458D4A65B28}"/>
  </bookViews>
  <sheets>
    <sheet name="Fig. 1" sheetId="3" r:id="rId1"/>
    <sheet name="Fig. 2" sheetId="1" r:id="rId2"/>
    <sheet name="Fig. 3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3" i="3" l="1"/>
  <c r="Q14" i="3"/>
  <c r="O13" i="3"/>
  <c r="O14" i="3"/>
  <c r="M13" i="3"/>
  <c r="M14" i="3"/>
  <c r="K13" i="3"/>
  <c r="K14" i="3"/>
  <c r="I13" i="3"/>
  <c r="I14" i="3"/>
  <c r="G13" i="3"/>
  <c r="G14" i="3"/>
  <c r="E14" i="3"/>
  <c r="E13" i="3"/>
  <c r="C14" i="3"/>
  <c r="C13" i="3"/>
  <c r="Q11" i="3"/>
  <c r="O11" i="3"/>
  <c r="Q10" i="3"/>
  <c r="O10" i="3"/>
  <c r="M11" i="3"/>
  <c r="K11" i="3"/>
  <c r="M10" i="3"/>
  <c r="K10" i="3"/>
  <c r="I11" i="3"/>
  <c r="G11" i="3"/>
  <c r="I10" i="3"/>
  <c r="G10" i="3"/>
  <c r="E11" i="3"/>
  <c r="E10" i="3"/>
  <c r="C11" i="3"/>
  <c r="C10" i="3"/>
  <c r="P6" i="3"/>
  <c r="N6" i="3"/>
  <c r="L6" i="3"/>
  <c r="J6" i="3"/>
  <c r="H6" i="3"/>
  <c r="F6" i="3"/>
  <c r="D6" i="3"/>
  <c r="B6" i="3"/>
  <c r="H6" i="1"/>
  <c r="Y4" i="2"/>
  <c r="W4" i="2"/>
  <c r="U4" i="2"/>
  <c r="S4" i="2"/>
  <c r="Q4" i="2"/>
  <c r="O4" i="2"/>
  <c r="M4" i="2"/>
  <c r="K4" i="2"/>
  <c r="I4" i="2"/>
  <c r="G4" i="2"/>
  <c r="E4" i="2"/>
  <c r="C4" i="2"/>
  <c r="X6" i="1"/>
  <c r="V6" i="1"/>
  <c r="T6" i="1"/>
  <c r="R6" i="1"/>
  <c r="P6" i="1"/>
  <c r="N6" i="1"/>
  <c r="L6" i="1"/>
  <c r="J6" i="1"/>
  <c r="F6" i="1"/>
  <c r="D6" i="1"/>
  <c r="B6" i="1"/>
</calcChain>
</file>

<file path=xl/sharedStrings.xml><?xml version="1.0" encoding="utf-8"?>
<sst xmlns="http://schemas.openxmlformats.org/spreadsheetml/2006/main" count="95" uniqueCount="22">
  <si>
    <t xml:space="preserve"> Upper</t>
  </si>
  <si>
    <t xml:space="preserve"> Mean</t>
  </si>
  <si>
    <t>LSD1</t>
  </si>
  <si>
    <t>LSD2</t>
  </si>
  <si>
    <t>Monocrop</t>
  </si>
  <si>
    <t>Push-pull</t>
  </si>
  <si>
    <t>SE</t>
  </si>
  <si>
    <t>Spiders</t>
  </si>
  <si>
    <t>Ants</t>
  </si>
  <si>
    <t>Earwigs</t>
  </si>
  <si>
    <t>pt</t>
  </si>
  <si>
    <t>tm</t>
  </si>
  <si>
    <t>pnt</t>
  </si>
  <si>
    <t>ntm</t>
  </si>
  <si>
    <t>Upper/Mean</t>
  </si>
  <si>
    <t>B. Fusca</t>
  </si>
  <si>
    <t>Egg batch number</t>
  </si>
  <si>
    <t>C. partellas</t>
  </si>
  <si>
    <t>Mean</t>
  </si>
  <si>
    <t>Claude Values</t>
  </si>
  <si>
    <t>Deltas Claude - Digitizer</t>
  </si>
  <si>
    <t>Deltas % (relative to Digitizer)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</si>
</sst>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right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0" fillId="8" borderId="0" xfId="0" applyFill="1"/>
    <xf numFmtId="0" fontId="1" fillId="9" borderId="0" xfId="0" applyFont="1" applyFill="1" applyAlignment="1">
      <alignment horizont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273050</xdr:colOff>
      <xdr:row>15</xdr:row>
      <xdr:rowOff>149225</xdr:rowOff>
    </xdr:from>
    <xdr:to>
      <xdr:col>14</xdr:col>
      <xdr:colOff>19413</xdr:colOff>
      <xdr:row>46</xdr:row>
      <xdr:rowOff>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19527E-A5A6-E85D-122C-66EEFBF18F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8550" y="2863850"/>
          <a:ext cx="7061563" cy="54612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357908</xdr:colOff>
      <xdr:row>6</xdr:row>
      <xdr:rowOff>122959</xdr:rowOff>
    </xdr:from>
    <xdr:to>
      <xdr:col>13</xdr:col>
      <xdr:colOff>540014</xdr:colOff>
      <xdr:row>53</xdr:row>
      <xdr:rowOff>53710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F6A33C-D929-992A-DF88-7AEF8392F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7908" y="1046595"/>
          <a:ext cx="8136924" cy="86129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590550</xdr:colOff>
      <xdr:row>6</xdr:row>
      <xdr:rowOff>63500</xdr:rowOff>
    </xdr:from>
    <xdr:to>
      <xdr:col>11</xdr:col>
      <xdr:colOff>388088</xdr:colOff>
      <xdr:row>51</xdr:row>
      <xdr:rowOff>58285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AEF0CC-469E-F8BD-A481-420A86551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2625" y="1149350"/>
          <a:ext cx="5283938" cy="81386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5501148-AF5E-4116-BC76-6CBC53617DE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44a67d-4c6c-4ccb-9589-b12f369c2f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A9FD8-FFBE-45EC-90E0-1EE86DF9F59C}">
  <dimension ref="A1:Q14"/>
  <sheetViews>
    <sheetView tabSelected="1" topLeftCell="E1" workbookViewId="0">
      <selection activeCell="E25" sqref="E25"/>
    </sheetView>
  </sheetViews>
  <sheetFormatPr defaultRowHeight="14.5" x14ac:dyDescent="0.35"/>
  <cols>
    <col min="1" max="1" width="21.26953125" bestFit="1" customWidth="1"/>
  </cols>
  <sheetData>
    <row r="1" spans="1:17" x14ac:dyDescent="0.35">
      <c r="B1" s="3" t="s">
        <v>16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35">
      <c r="B2" s="5" t="s">
        <v>15</v>
      </c>
      <c r="C2" s="5"/>
      <c r="D2" s="5"/>
      <c r="E2" s="5"/>
      <c r="F2" s="5"/>
      <c r="G2" s="5"/>
      <c r="H2" s="5"/>
      <c r="I2" s="5"/>
      <c r="J2" s="2" t="s">
        <v>17</v>
      </c>
      <c r="K2" s="2"/>
      <c r="L2" s="2"/>
      <c r="M2" s="2"/>
      <c r="N2" s="2"/>
      <c r="O2" s="2"/>
      <c r="P2" s="2"/>
      <c r="Q2" s="2"/>
    </row>
    <row r="3" spans="1:17" x14ac:dyDescent="0.35">
      <c r="B3" s="5" t="s">
        <v>10</v>
      </c>
      <c r="C3" s="5"/>
      <c r="D3" s="5" t="s">
        <v>11</v>
      </c>
      <c r="E3" s="5"/>
      <c r="F3" s="5" t="s">
        <v>12</v>
      </c>
      <c r="G3" s="5"/>
      <c r="H3" s="5" t="s">
        <v>13</v>
      </c>
      <c r="I3" s="5"/>
      <c r="J3" s="2" t="s">
        <v>10</v>
      </c>
      <c r="K3" s="2"/>
      <c r="L3" s="2" t="s">
        <v>11</v>
      </c>
      <c r="M3" s="2"/>
      <c r="N3" s="2" t="s">
        <v>12</v>
      </c>
      <c r="O3" s="2"/>
      <c r="P3" s="2" t="s">
        <v>13</v>
      </c>
      <c r="Q3" s="2"/>
    </row>
    <row r="4" spans="1:17" x14ac:dyDescent="0.35">
      <c r="B4">
        <v>18.589211618257199</v>
      </c>
      <c r="C4">
        <v>14.6058091286307</v>
      </c>
      <c r="D4">
        <v>37.178423236514497</v>
      </c>
      <c r="E4">
        <v>32.199170124481299</v>
      </c>
      <c r="F4">
        <v>26.5560165975103</v>
      </c>
      <c r="G4">
        <v>23.734439834024901</v>
      </c>
      <c r="H4">
        <v>62.240663900414901</v>
      </c>
      <c r="I4">
        <v>44.481327800829803</v>
      </c>
      <c r="J4">
        <v>14.582278481012599</v>
      </c>
      <c r="K4">
        <v>12.9113924050632</v>
      </c>
      <c r="L4">
        <v>58.177215189873401</v>
      </c>
      <c r="M4">
        <v>43.443037974683499</v>
      </c>
      <c r="N4">
        <v>21.1139240506329</v>
      </c>
      <c r="O4">
        <v>14.734177215189799</v>
      </c>
      <c r="P4">
        <v>54.835443037974599</v>
      </c>
      <c r="Q4">
        <v>49.8227848101265</v>
      </c>
    </row>
    <row r="5" spans="1:17" x14ac:dyDescent="0.35">
      <c r="B5" t="s">
        <v>0</v>
      </c>
      <c r="C5" t="s">
        <v>1</v>
      </c>
      <c r="D5" t="s">
        <v>0</v>
      </c>
      <c r="E5" t="s">
        <v>1</v>
      </c>
      <c r="F5" t="s">
        <v>0</v>
      </c>
      <c r="G5" t="s">
        <v>1</v>
      </c>
      <c r="H5" t="s">
        <v>0</v>
      </c>
      <c r="I5" t="s">
        <v>1</v>
      </c>
      <c r="J5" t="s">
        <v>0</v>
      </c>
      <c r="K5" t="s">
        <v>1</v>
      </c>
      <c r="L5" t="s">
        <v>0</v>
      </c>
      <c r="M5" t="s">
        <v>1</v>
      </c>
      <c r="N5" t="s">
        <v>0</v>
      </c>
      <c r="O5" t="s">
        <v>1</v>
      </c>
      <c r="P5" t="s">
        <v>0</v>
      </c>
      <c r="Q5" t="s">
        <v>1</v>
      </c>
    </row>
    <row r="6" spans="1:17" x14ac:dyDescent="0.35">
      <c r="A6" s="1" t="s">
        <v>6</v>
      </c>
      <c r="B6">
        <f>B4-C4</f>
        <v>3.9834024896264992</v>
      </c>
      <c r="D6">
        <f>D4-E4</f>
        <v>4.9792531120331986</v>
      </c>
      <c r="F6">
        <f>F4-G4</f>
        <v>2.8215767634853997</v>
      </c>
      <c r="H6">
        <f>H4-I4</f>
        <v>17.759336099585099</v>
      </c>
      <c r="J6">
        <f>J4-K4</f>
        <v>1.6708860759493991</v>
      </c>
      <c r="L6">
        <f>L4-M4</f>
        <v>14.734177215189902</v>
      </c>
      <c r="N6">
        <f>N4-O4</f>
        <v>6.3797468354431004</v>
      </c>
      <c r="P6">
        <f>P4-Q4</f>
        <v>5.0126582278480996</v>
      </c>
    </row>
    <row r="7" spans="1:17" x14ac:dyDescent="0.35">
      <c r="B7" s="11" t="s">
        <v>19</v>
      </c>
      <c r="C7" s="10">
        <v>14.2</v>
      </c>
      <c r="D7" s="10"/>
      <c r="E7" s="10">
        <v>31.7</v>
      </c>
      <c r="F7" s="10"/>
      <c r="G7" s="10">
        <v>23.2</v>
      </c>
      <c r="H7" s="10"/>
      <c r="I7" s="10">
        <v>43.7</v>
      </c>
      <c r="J7" s="10"/>
      <c r="K7" s="10">
        <v>12.3</v>
      </c>
      <c r="L7" s="10"/>
      <c r="M7" s="10">
        <v>42.8</v>
      </c>
      <c r="N7" s="10"/>
      <c r="O7" s="10">
        <v>14.3</v>
      </c>
      <c r="P7" s="10"/>
      <c r="Q7" s="10">
        <v>49.4</v>
      </c>
    </row>
    <row r="8" spans="1:17" x14ac:dyDescent="0.35">
      <c r="B8" s="11"/>
      <c r="C8" s="10">
        <v>4.4000000000000004</v>
      </c>
      <c r="D8" s="10"/>
      <c r="E8" s="10">
        <v>5.4</v>
      </c>
      <c r="F8" s="10"/>
      <c r="G8" s="10">
        <v>3.3</v>
      </c>
      <c r="H8" s="10"/>
      <c r="I8" s="10">
        <v>18</v>
      </c>
      <c r="J8" s="10"/>
      <c r="K8" s="10">
        <v>2.5</v>
      </c>
      <c r="L8" s="10"/>
      <c r="M8" s="10">
        <v>15.1</v>
      </c>
      <c r="N8" s="10"/>
      <c r="O8" s="10">
        <v>6.7</v>
      </c>
      <c r="P8" s="10"/>
      <c r="Q8" s="10">
        <v>5.2</v>
      </c>
    </row>
    <row r="10" spans="1:17" x14ac:dyDescent="0.35">
      <c r="A10" t="s">
        <v>20</v>
      </c>
      <c r="B10" t="s">
        <v>18</v>
      </c>
      <c r="C10">
        <f>C7-C4</f>
        <v>-0.4058091286307004</v>
      </c>
      <c r="E10">
        <f>E7-E4</f>
        <v>-0.49917012448129938</v>
      </c>
      <c r="G10">
        <f>G7-G4</f>
        <v>-0.53443983402490147</v>
      </c>
      <c r="I10">
        <f>I7-I4</f>
        <v>-0.78132780082979991</v>
      </c>
      <c r="K10">
        <f>K7-K4</f>
        <v>-0.61139240506319936</v>
      </c>
      <c r="M10">
        <f>M7-M4</f>
        <v>-0.64303797468350155</v>
      </c>
      <c r="O10">
        <f>O7-O4</f>
        <v>-0.43417721518979846</v>
      </c>
      <c r="Q10">
        <f>Q7-Q4</f>
        <v>-0.42278481012650104</v>
      </c>
    </row>
    <row r="11" spans="1:17" x14ac:dyDescent="0.35">
      <c r="B11" t="s">
        <v>6</v>
      </c>
      <c r="C11">
        <f>C8-B6</f>
        <v>0.41659751037350112</v>
      </c>
      <c r="E11">
        <f>E8-D6</f>
        <v>0.42074688796680171</v>
      </c>
      <c r="G11">
        <f>G8-F6</f>
        <v>0.47842323651460017</v>
      </c>
      <c r="I11">
        <f>I8-H6</f>
        <v>0.24066390041490138</v>
      </c>
      <c r="K11">
        <f>K8-J6</f>
        <v>0.82911392405060091</v>
      </c>
      <c r="M11">
        <f>M8-L6</f>
        <v>0.36582278481009745</v>
      </c>
      <c r="O11">
        <f>O8-N6</f>
        <v>0.32025316455689978</v>
      </c>
      <c r="Q11">
        <f>Q8-P6</f>
        <v>0.18734177215190062</v>
      </c>
    </row>
    <row r="13" spans="1:17" x14ac:dyDescent="0.35">
      <c r="A13" s="9" t="s">
        <v>21</v>
      </c>
      <c r="B13" t="s">
        <v>18</v>
      </c>
      <c r="C13" s="12">
        <f>C10/C4</f>
        <v>-2.7784090909090578E-2</v>
      </c>
      <c r="E13" s="12">
        <f>E10/E4</f>
        <v>-1.550257731958676E-2</v>
      </c>
      <c r="G13" s="12">
        <f>G10/G4</f>
        <v>-2.2517482517482732E-2</v>
      </c>
      <c r="I13" s="12">
        <f>I10/I4</f>
        <v>-1.7565298507461014E-2</v>
      </c>
      <c r="K13" s="12">
        <f>K10/K4</f>
        <v>-4.7352941176463811E-2</v>
      </c>
      <c r="M13" s="12">
        <f>M10/M4</f>
        <v>-1.4801864801863834E-2</v>
      </c>
      <c r="O13" s="12">
        <f>O10/O4</f>
        <v>-2.9467353951885097E-2</v>
      </c>
      <c r="Q13" s="12">
        <f>Q10/Q4</f>
        <v>-8.4857723577219605E-3</v>
      </c>
    </row>
    <row r="14" spans="1:17" x14ac:dyDescent="0.35">
      <c r="A14" s="9"/>
      <c r="B14" t="s">
        <v>6</v>
      </c>
      <c r="C14" s="12">
        <f>C11/B6</f>
        <v>0.10458333333334917</v>
      </c>
      <c r="E14" s="12">
        <f>E11/D6</f>
        <v>8.4499999999999284E-2</v>
      </c>
      <c r="G14" s="12">
        <f>G11/F6</f>
        <v>0.16955882352944385</v>
      </c>
      <c r="I14" s="12">
        <f>I11/H6</f>
        <v>1.3551401869156801E-2</v>
      </c>
      <c r="K14" s="12">
        <f>K11/J6</f>
        <v>0.49621212121209257</v>
      </c>
      <c r="M14" s="12">
        <f>M11/L6</f>
        <v>2.4828178694156048E-2</v>
      </c>
      <c r="O14" s="12">
        <f>O11/N6</f>
        <v>5.0198412698402452E-2</v>
      </c>
      <c r="Q14" s="12">
        <f>Q11/P6</f>
        <v>3.737373737373776E-2</v>
      </c>
    </row>
  </sheetData>
  <mergeCells count="13">
    <mergeCell ref="B1:Q1"/>
    <mergeCell ref="B7:B8"/>
    <mergeCell ref="A13:A14"/>
    <mergeCell ref="N3:O3"/>
    <mergeCell ref="P3:Q3"/>
    <mergeCell ref="B3:C3"/>
    <mergeCell ref="D3:E3"/>
    <mergeCell ref="F3:G3"/>
    <mergeCell ref="H3:I3"/>
    <mergeCell ref="J3:K3"/>
    <mergeCell ref="L3:M3"/>
    <mergeCell ref="B2:I2"/>
    <mergeCell ref="J2:Q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A548-32E0-4627-9D60-5A8A351A2673}">
  <dimension ref="A1:Y6"/>
  <sheetViews>
    <sheetView zoomScale="85" zoomScaleNormal="85" workbookViewId="0">
      <selection sqref="A1:Y6"/>
    </sheetView>
  </sheetViews>
  <sheetFormatPr defaultRowHeight="14.5" x14ac:dyDescent="0.35"/>
  <sheetData>
    <row r="1" spans="1:25" x14ac:dyDescent="0.35">
      <c r="B1" s="3" t="s">
        <v>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 t="s">
        <v>3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x14ac:dyDescent="0.35">
      <c r="B2" s="5" t="s">
        <v>4</v>
      </c>
      <c r="C2" s="5"/>
      <c r="D2" s="5"/>
      <c r="E2" s="5"/>
      <c r="F2" s="5"/>
      <c r="G2" s="5"/>
      <c r="H2" s="2" t="s">
        <v>5</v>
      </c>
      <c r="I2" s="2"/>
      <c r="J2" s="2"/>
      <c r="K2" s="2"/>
      <c r="L2" s="2"/>
      <c r="M2" s="2"/>
      <c r="N2" s="5" t="s">
        <v>4</v>
      </c>
      <c r="O2" s="5"/>
      <c r="P2" s="5"/>
      <c r="Q2" s="5"/>
      <c r="R2" s="5"/>
      <c r="S2" s="5"/>
      <c r="T2" s="2" t="s">
        <v>5</v>
      </c>
      <c r="U2" s="2"/>
      <c r="V2" s="2"/>
      <c r="W2" s="2"/>
      <c r="X2" s="2"/>
      <c r="Y2" s="2"/>
    </row>
    <row r="3" spans="1:25" x14ac:dyDescent="0.35">
      <c r="B3" s="5" t="s">
        <v>7</v>
      </c>
      <c r="C3" s="5"/>
      <c r="D3" s="5" t="s">
        <v>8</v>
      </c>
      <c r="E3" s="5"/>
      <c r="F3" s="5" t="s">
        <v>9</v>
      </c>
      <c r="G3" s="5"/>
      <c r="H3" s="2" t="s">
        <v>7</v>
      </c>
      <c r="I3" s="2"/>
      <c r="J3" s="2" t="s">
        <v>8</v>
      </c>
      <c r="K3" s="2"/>
      <c r="L3" s="2" t="s">
        <v>9</v>
      </c>
      <c r="M3" s="2"/>
      <c r="N3" s="5" t="s">
        <v>7</v>
      </c>
      <c r="O3" s="5"/>
      <c r="P3" s="5" t="s">
        <v>8</v>
      </c>
      <c r="Q3" s="5"/>
      <c r="R3" s="5" t="s">
        <v>9</v>
      </c>
      <c r="S3" s="5"/>
      <c r="T3" s="2" t="s">
        <v>7</v>
      </c>
      <c r="U3" s="2"/>
      <c r="V3" s="2" t="s">
        <v>8</v>
      </c>
      <c r="W3" s="2"/>
      <c r="X3" s="2" t="s">
        <v>9</v>
      </c>
      <c r="Y3" s="2"/>
    </row>
    <row r="4" spans="1:25" x14ac:dyDescent="0.35">
      <c r="B4">
        <v>9.1836734693877506</v>
      </c>
      <c r="C4">
        <v>6.6326530612244898</v>
      </c>
      <c r="D4">
        <v>14.7959183673469</v>
      </c>
      <c r="E4">
        <v>12.499999999999901</v>
      </c>
      <c r="F4">
        <v>12.755102040816301</v>
      </c>
      <c r="G4">
        <v>8.9285714285714199</v>
      </c>
      <c r="H4">
        <v>20.918367346938702</v>
      </c>
      <c r="I4">
        <v>17.3469387755102</v>
      </c>
      <c r="J4">
        <v>40.051020408163197</v>
      </c>
      <c r="K4">
        <v>35.714285714285701</v>
      </c>
      <c r="L4">
        <v>15.306122448979499</v>
      </c>
      <c r="M4">
        <v>9.6938775510204103</v>
      </c>
      <c r="N4">
        <v>6.6428571428571299</v>
      </c>
      <c r="O4">
        <v>5.5714285714285596</v>
      </c>
      <c r="P4">
        <v>16.071428571428498</v>
      </c>
      <c r="Q4">
        <v>13.9285714285714</v>
      </c>
      <c r="R4">
        <v>11.357142857142801</v>
      </c>
      <c r="S4">
        <v>10.499999999999901</v>
      </c>
      <c r="T4">
        <v>12.4285714285714</v>
      </c>
      <c r="U4">
        <v>11.5714285714285</v>
      </c>
      <c r="V4">
        <v>33.428571428571402</v>
      </c>
      <c r="W4">
        <v>27.857142857142801</v>
      </c>
      <c r="X4">
        <v>14.1428571428571</v>
      </c>
      <c r="Y4">
        <v>11.357142857142801</v>
      </c>
    </row>
    <row r="5" spans="1:25" x14ac:dyDescent="0.35">
      <c r="B5" t="s">
        <v>0</v>
      </c>
      <c r="C5" t="s">
        <v>1</v>
      </c>
      <c r="D5" t="s">
        <v>0</v>
      </c>
      <c r="E5" t="s">
        <v>1</v>
      </c>
      <c r="F5" t="s">
        <v>0</v>
      </c>
      <c r="G5" t="s">
        <v>1</v>
      </c>
      <c r="H5" t="s">
        <v>0</v>
      </c>
      <c r="I5" t="s">
        <v>1</v>
      </c>
      <c r="J5" t="s">
        <v>0</v>
      </c>
      <c r="K5" t="s">
        <v>1</v>
      </c>
      <c r="L5" t="s">
        <v>0</v>
      </c>
      <c r="M5" t="s">
        <v>1</v>
      </c>
      <c r="N5" t="s">
        <v>0</v>
      </c>
      <c r="O5" t="s">
        <v>1</v>
      </c>
      <c r="P5" t="s">
        <v>0</v>
      </c>
      <c r="Q5" t="s">
        <v>1</v>
      </c>
      <c r="R5" t="s">
        <v>0</v>
      </c>
      <c r="S5" t="s">
        <v>1</v>
      </c>
      <c r="T5" t="s">
        <v>0</v>
      </c>
      <c r="U5" t="s">
        <v>1</v>
      </c>
      <c r="V5" t="s">
        <v>0</v>
      </c>
      <c r="W5" t="s">
        <v>1</v>
      </c>
      <c r="X5" t="s">
        <v>0</v>
      </c>
      <c r="Y5" t="s">
        <v>1</v>
      </c>
    </row>
    <row r="6" spans="1:25" x14ac:dyDescent="0.35">
      <c r="A6" s="1" t="s">
        <v>6</v>
      </c>
      <c r="B6">
        <f>B4-C4</f>
        <v>2.5510204081632608</v>
      </c>
      <c r="D6">
        <f>D4-E4</f>
        <v>2.2959183673469994</v>
      </c>
      <c r="F6">
        <f>F4-G4</f>
        <v>3.8265306122448806</v>
      </c>
      <c r="H6">
        <f>H4-I4</f>
        <v>3.5714285714285019</v>
      </c>
      <c r="J6">
        <f>J4-K4</f>
        <v>4.3367346938774958</v>
      </c>
      <c r="L6">
        <f>L4-M4</f>
        <v>5.6122448979590889</v>
      </c>
      <c r="N6">
        <f>N4-O4</f>
        <v>1.0714285714285703</v>
      </c>
      <c r="P6">
        <f>P4-Q4</f>
        <v>2.1428571428570979</v>
      </c>
      <c r="R6">
        <f>R4-S4</f>
        <v>0.85714285714290028</v>
      </c>
      <c r="T6">
        <f>T4-U4</f>
        <v>0.85714285714290028</v>
      </c>
      <c r="V6">
        <f>V4-W4</f>
        <v>5.5714285714286014</v>
      </c>
      <c r="X6">
        <f>X4-Y4</f>
        <v>2.7857142857142989</v>
      </c>
    </row>
  </sheetData>
  <mergeCells count="18">
    <mergeCell ref="R3:S3"/>
    <mergeCell ref="T3:U3"/>
    <mergeCell ref="L3:M3"/>
    <mergeCell ref="B1:M1"/>
    <mergeCell ref="N1:Y1"/>
    <mergeCell ref="B2:G2"/>
    <mergeCell ref="H2:M2"/>
    <mergeCell ref="N2:S2"/>
    <mergeCell ref="T2:Y2"/>
    <mergeCell ref="B3:C3"/>
    <mergeCell ref="D3:E3"/>
    <mergeCell ref="F3:G3"/>
    <mergeCell ref="H3:I3"/>
    <mergeCell ref="J3:K3"/>
    <mergeCell ref="V3:W3"/>
    <mergeCell ref="X3:Y3"/>
    <mergeCell ref="N3:O3"/>
    <mergeCell ref="P3:Q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24184-4EAD-4DA6-957C-2EBC20D3581D}">
  <dimension ref="A1:Y4"/>
  <sheetViews>
    <sheetView workbookViewId="0">
      <selection activeCell="AD5" sqref="AD5"/>
    </sheetView>
  </sheetViews>
  <sheetFormatPr defaultRowHeight="14.5" x14ac:dyDescent="0.35"/>
  <cols>
    <col min="1" max="1" width="10.81640625" bestFit="1" customWidth="1"/>
  </cols>
  <sheetData>
    <row r="1" spans="1:25" x14ac:dyDescent="0.35">
      <c r="B1" s="2" t="s">
        <v>7</v>
      </c>
      <c r="C1" s="2"/>
      <c r="D1" s="2"/>
      <c r="E1" s="2"/>
      <c r="F1" s="2"/>
      <c r="G1" s="2"/>
      <c r="H1" s="2"/>
      <c r="I1" s="2"/>
      <c r="J1" s="8" t="s">
        <v>8</v>
      </c>
      <c r="K1" s="8"/>
      <c r="L1" s="8"/>
      <c r="M1" s="8"/>
      <c r="N1" s="8"/>
      <c r="O1" s="8"/>
      <c r="P1" s="8"/>
      <c r="Q1" s="8"/>
      <c r="R1" s="7" t="s">
        <v>9</v>
      </c>
      <c r="S1" s="7"/>
      <c r="T1" s="7"/>
      <c r="U1" s="7"/>
      <c r="V1" s="7"/>
      <c r="W1" s="7"/>
      <c r="X1" s="7"/>
      <c r="Y1" s="7"/>
    </row>
    <row r="2" spans="1:25" x14ac:dyDescent="0.35">
      <c r="B2" s="6" t="s">
        <v>10</v>
      </c>
      <c r="C2" s="6"/>
      <c r="D2" s="6" t="s">
        <v>11</v>
      </c>
      <c r="E2" s="6"/>
      <c r="F2" s="6" t="s">
        <v>12</v>
      </c>
      <c r="G2" s="6"/>
      <c r="H2" s="6" t="s">
        <v>13</v>
      </c>
      <c r="I2" s="6"/>
      <c r="J2" s="6" t="s">
        <v>10</v>
      </c>
      <c r="K2" s="6"/>
      <c r="L2" s="6" t="s">
        <v>11</v>
      </c>
      <c r="M2" s="6"/>
      <c r="N2" s="6" t="s">
        <v>12</v>
      </c>
      <c r="O2" s="6"/>
      <c r="P2" s="6" t="s">
        <v>13</v>
      </c>
      <c r="Q2" s="6"/>
      <c r="R2" s="6" t="s">
        <v>10</v>
      </c>
      <c r="S2" s="6"/>
      <c r="T2" s="6" t="s">
        <v>11</v>
      </c>
      <c r="U2" s="6"/>
      <c r="V2" s="6" t="s">
        <v>12</v>
      </c>
      <c r="W2" s="6"/>
      <c r="X2" s="6" t="s">
        <v>13</v>
      </c>
      <c r="Y2" s="6"/>
    </row>
    <row r="3" spans="1:25" x14ac:dyDescent="0.35">
      <c r="A3" t="s">
        <v>14</v>
      </c>
      <c r="B3">
        <v>21.176470588235201</v>
      </c>
      <c r="C3">
        <v>19.117647058823501</v>
      </c>
      <c r="D3">
        <v>10.8823529411764</v>
      </c>
      <c r="E3">
        <v>9.1176470588235308</v>
      </c>
      <c r="F3">
        <v>22.9411764705882</v>
      </c>
      <c r="G3">
        <v>20.294117647058801</v>
      </c>
      <c r="H3">
        <v>11.4705882352941</v>
      </c>
      <c r="I3">
        <v>9.4117647058823497</v>
      </c>
      <c r="J3">
        <v>12.0833333333333</v>
      </c>
      <c r="K3">
        <v>10.6944444444444</v>
      </c>
      <c r="L3">
        <v>6.6666666666666599</v>
      </c>
      <c r="M3">
        <v>5.2777777777777697</v>
      </c>
      <c r="N3">
        <v>12.9166666666666</v>
      </c>
      <c r="O3">
        <v>11.5277777777777</v>
      </c>
      <c r="P3">
        <v>6.1111111111111098</v>
      </c>
      <c r="Q3">
        <v>4.7222222222222197</v>
      </c>
      <c r="R3">
        <v>38.955223880597003</v>
      </c>
      <c r="S3">
        <v>34.0298507462686</v>
      </c>
      <c r="T3">
        <v>16.119402985074601</v>
      </c>
      <c r="U3">
        <v>12.9850746268656</v>
      </c>
      <c r="V3">
        <v>34.0298507462686</v>
      </c>
      <c r="W3">
        <v>29.1044776119403</v>
      </c>
      <c r="X3">
        <v>17.0149253731343</v>
      </c>
      <c r="Y3">
        <v>14.3283582089552</v>
      </c>
    </row>
    <row r="4" spans="1:25" x14ac:dyDescent="0.35">
      <c r="A4" t="s">
        <v>6</v>
      </c>
      <c r="C4">
        <f>B3-C3</f>
        <v>2.0588235294117005</v>
      </c>
      <c r="E4">
        <f>D3-E3</f>
        <v>1.7647058823528692</v>
      </c>
      <c r="G4">
        <f>F3-G3</f>
        <v>2.6470588235293988</v>
      </c>
      <c r="I4">
        <f>H3-I3</f>
        <v>2.0588235294117503</v>
      </c>
      <c r="K4">
        <f>J3-K3</f>
        <v>1.3888888888888999</v>
      </c>
      <c r="M4">
        <f>L3-M3</f>
        <v>1.3888888888888902</v>
      </c>
      <c r="O4">
        <f>N3-O3</f>
        <v>1.3888888888888999</v>
      </c>
      <c r="Q4">
        <f>P3-Q3</f>
        <v>1.3888888888888902</v>
      </c>
      <c r="S4">
        <f>R3-S3</f>
        <v>4.9253731343284031</v>
      </c>
      <c r="U4">
        <f>T3-U3</f>
        <v>3.1343283582090002</v>
      </c>
      <c r="W4">
        <f>V3-W3</f>
        <v>4.9253731343283</v>
      </c>
      <c r="Y4">
        <f>X3-Y3</f>
        <v>2.6865671641791007</v>
      </c>
    </row>
  </sheetData>
  <mergeCells count="15">
    <mergeCell ref="J1:Q1"/>
    <mergeCell ref="J2:K2"/>
    <mergeCell ref="L2:M2"/>
    <mergeCell ref="N2:O2"/>
    <mergeCell ref="P2:Q2"/>
    <mergeCell ref="R1:Y1"/>
    <mergeCell ref="R2:S2"/>
    <mergeCell ref="T2:U2"/>
    <mergeCell ref="V2:W2"/>
    <mergeCell ref="X2:Y2"/>
    <mergeCell ref="B1:I1"/>
    <mergeCell ref="B2:C2"/>
    <mergeCell ref="D2:E2"/>
    <mergeCell ref="F2:G2"/>
    <mergeCell ref="H2:I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b26243c-b736-4d9c-b036-479be2ad88a1">
      <Terms xmlns="http://schemas.microsoft.com/office/infopath/2007/PartnerControls"/>
    </lcf76f155ced4ddcb4097134ff3c332f>
    <TaxCatchAll xmlns="432dd258-9dce-4cb3-b611-c68c0fbce7f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E3C66ACF4393458051577D36AC6C25" ma:contentTypeVersion="12" ma:contentTypeDescription="Create a new document." ma:contentTypeScope="" ma:versionID="4e0e0d96de7fb32b1678b66c28514d8e">
  <xsd:schema xmlns:xsd="http://www.w3.org/2001/XMLSchema" xmlns:xs="http://www.w3.org/2001/XMLSchema" xmlns:p="http://schemas.microsoft.com/office/2006/metadata/properties" xmlns:ns2="4b26243c-b736-4d9c-b036-479be2ad88a1" xmlns:ns3="432dd258-9dce-4cb3-b611-c68c0fbce7f3" targetNamespace="http://schemas.microsoft.com/office/2006/metadata/properties" ma:root="true" ma:fieldsID="ac451aab8c96dec805c937cbafca7133" ns2:_="" ns3:_="">
    <xsd:import namespace="4b26243c-b736-4d9c-b036-479be2ad88a1"/>
    <xsd:import namespace="432dd258-9dce-4cb3-b611-c68c0fbce7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26243c-b736-4d9c-b036-479be2ad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dd258-9dce-4cb3-b611-c68c0fbce7f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260203-45af-472f-8d6d-708aeb0066fe}" ma:internalName="TaxCatchAll" ma:showField="CatchAllData" ma:web="432dd258-9dce-4cb3-b611-c68c0fbce7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5075237-7FDE-405B-9832-02BED393E3AF}">
  <ds:schemaRefs>
    <ds:schemaRef ds:uri="http://schemas.microsoft.com/office/2006/metadata/properties"/>
    <ds:schemaRef ds:uri="http://schemas.microsoft.com/office/infopath/2007/PartnerControls"/>
    <ds:schemaRef ds:uri="4b26243c-b736-4d9c-b036-479be2ad88a1"/>
    <ds:schemaRef ds:uri="432dd258-9dce-4cb3-b611-c68c0fbce7f3"/>
  </ds:schemaRefs>
</ds:datastoreItem>
</file>

<file path=customXml/itemProps2.xml><?xml version="1.0" encoding="utf-8"?>
<ds:datastoreItem xmlns:ds="http://schemas.openxmlformats.org/officeDocument/2006/customXml" ds:itemID="{B60A5163-02E6-48E7-AC55-ED4847AD60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DDB07F-F52B-4150-ADC6-01181D3F4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26243c-b736-4d9c-b036-479be2ad88a1"/>
    <ds:schemaRef ds:uri="432dd258-9dce-4cb3-b611-c68c0fbce7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Fig. 1</vt:lpstr>
      <vt:lpstr>Fig. 2</vt:lpstr>
      <vt:lpstr>Fig.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Contreras Fleury, Mario (Alliance Bioversity-CIAT)</dc:creator>
  <cp:lastModifiedBy>Contreras Fleury, Mario (Alliance Bioversity-CIAT)</cp:lastModifiedBy>
  <dcterms:created xsi:type="dcterms:W3CDTF">2026-09-09T11:21:35Z</dcterms:created>
  <dcterms:modified xsi:type="dcterms:W3CDTF">2026-09-23T11:04:15Z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0x0101005BE3C66ACF4393458051577D36AC6C25</vt:lpwstr>
  </property>
  <property fmtid="{D5CDD505-2E9C-101B-9397-08002B2CF9AE}" pid="3" name="MediaServiceImageTags">
    <vt:lpwstr/>
  </property>
</Properties>
</file>