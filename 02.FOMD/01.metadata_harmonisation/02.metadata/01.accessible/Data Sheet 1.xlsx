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240" windowWidth="27795" windowHeight="12465"/>
  </bookViews>
  <sheets>
    <sheet name="13 papers" sheetId="4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G15" i="4" l="1"/>
  <c r="G14" i="4"/>
  <c r="G13" i="4"/>
  <c r="G12" i="4"/>
  <c r="G11" i="4"/>
  <c r="G10" i="4"/>
  <c r="G9" i="4"/>
  <c r="G8" i="4"/>
  <c r="G7" i="4"/>
  <c r="G6" i="4"/>
  <c r="G5" i="4"/>
  <c r="G4" i="4"/>
  <c r="G3" i="4"/>
  <c r="G2" i="4"/>
  <c r="F65" i="4"/>
  <c r="F64" i="4"/>
  <c r="F63" i="4"/>
  <c r="F62" i="4"/>
  <c r="F61" i="4"/>
  <c r="F60" i="4"/>
  <c r="F59" i="4"/>
</calcChain>
</file>

<file path=xl/sharedStrings.xml><?xml version="1.0" encoding="utf-8"?>
<sst xmlns="http://schemas.openxmlformats.org/spreadsheetml/2006/main" count="145" uniqueCount="41">
  <si>
    <t>nr. Studies</t>
  </si>
  <si>
    <t>nr. Sites</t>
  </si>
  <si>
    <t>nr. Observations</t>
  </si>
  <si>
    <t>p</t>
  </si>
  <si>
    <t>intercept</t>
  </si>
  <si>
    <t>coef</t>
  </si>
  <si>
    <t>ex. Study 2</t>
  </si>
  <si>
    <t>ex. Study 3</t>
  </si>
  <si>
    <t>All Studies</t>
  </si>
  <si>
    <t>M1 Cropping sysem</t>
  </si>
  <si>
    <t>All studies</t>
  </si>
  <si>
    <t>intercept Dehesa</t>
  </si>
  <si>
    <t>Std. Error</t>
  </si>
  <si>
    <t>M2 Region (AC)</t>
  </si>
  <si>
    <t>ns</t>
  </si>
  <si>
    <t>intercept S.Europe</t>
  </si>
  <si>
    <t>M3 Tree density</t>
  </si>
  <si>
    <t>M6 Tree distance</t>
  </si>
  <si>
    <t>There is a sig. effect of tree density on RY</t>
  </si>
  <si>
    <t>There is a sig. difference of RY between Cropping systems</t>
  </si>
  <si>
    <t>There is NO sig. difference of RY in AC between Northern and Southern Europe</t>
  </si>
  <si>
    <t>There is a sig. effect of tree age on RY in AC systems</t>
  </si>
  <si>
    <t>M4 Tree density + cropping system + tree density*cropping system</t>
  </si>
  <si>
    <t xml:space="preserve">coef </t>
  </si>
  <si>
    <t>Cropping system did NOT influence the effect of tree density on RY</t>
  </si>
  <si>
    <t>ex. Study 1</t>
  </si>
  <si>
    <t>ex. Study 11</t>
  </si>
  <si>
    <t>ex. Study 4</t>
  </si>
  <si>
    <t>ex. Study 5</t>
  </si>
  <si>
    <t>ex. Study 6</t>
  </si>
  <si>
    <t>ex. Study 7</t>
  </si>
  <si>
    <t>ex. Study 8</t>
  </si>
  <si>
    <t>ex. Study 9</t>
  </si>
  <si>
    <t>ex. Study 10</t>
  </si>
  <si>
    <t>There is a sig. effect of distance on RY in the combined data of AC and Dehesa</t>
  </si>
  <si>
    <t>M5 Tree age (AC)</t>
  </si>
  <si>
    <t>intercept cereal</t>
  </si>
  <si>
    <t>ex. Study 13</t>
  </si>
  <si>
    <t>ex. Study 14</t>
  </si>
  <si>
    <t>ex. Study 12</t>
  </si>
  <si>
    <t>ex. Study 5 and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</si>
</sst>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9" x14ac:knownFonts="1">
    <font>
      <sz val="11"/>
      <color theme="1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  <font>
      <b/>
      <sz val="10"/>
      <color theme="1"/>
      <name val="Calibri"/>
      <family val="2"/>
      <charset val="238"/>
      <scheme val="minor"/>
    </font>
    <font>
      <i/>
      <sz val="10"/>
      <color theme="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sz val="10"/>
      <name val="Calibri"/>
      <family val="2"/>
      <charset val="238"/>
      <scheme val="minor"/>
    </font>
    <font>
      <sz val="10"/>
      <color rgb="FFFF0000"/>
      <name val="Calibri"/>
      <family val="2"/>
      <charset val="238"/>
      <scheme val="minor"/>
    </font>
    <font>
      <i/>
      <sz val="10"/>
      <color rgb="FFFF0000"/>
      <name val="Calibri"/>
      <family val="2"/>
      <charset val="238"/>
      <scheme val="minor"/>
    </font>
    <font>
      <i/>
      <sz val="10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dashed">
        <color auto="1"/>
      </top>
      <bottom style="dashed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3" fillId="0" borderId="2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2" fillId="2" borderId="1" xfId="0" applyFont="1" applyFill="1" applyBorder="1" applyAlignment="1">
      <alignment horizontal="left"/>
    </xf>
    <xf numFmtId="0" fontId="4" fillId="2" borderId="1" xfId="0" applyFont="1" applyFill="1" applyBorder="1"/>
    <xf numFmtId="0" fontId="2" fillId="2" borderId="0" xfId="0" applyFont="1" applyFill="1" applyBorder="1" applyAlignment="1">
      <alignment horizontal="left"/>
    </xf>
    <xf numFmtId="0" fontId="3" fillId="2" borderId="0" xfId="0" applyFont="1" applyFill="1" applyBorder="1" applyAlignment="1">
      <alignment horizontal="center"/>
    </xf>
    <xf numFmtId="164" fontId="4" fillId="2" borderId="2" xfId="0" applyNumberFormat="1" applyFont="1" applyFill="1" applyBorder="1" applyAlignment="1">
      <alignment horizontal="center"/>
    </xf>
    <xf numFmtId="164" fontId="4" fillId="2" borderId="0" xfId="0" applyNumberFormat="1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3"/>
  <sheetViews>
    <sheetView tabSelected="1" zoomScale="110" zoomScaleNormal="110" workbookViewId="0">
      <selection activeCell="P20" sqref="P20"/>
    </sheetView>
  </sheetViews>
  <sheetFormatPr defaultRowHeight="15" x14ac:dyDescent="0.25"/>
  <cols>
    <col min="1" max="1" width="18.42578125" bestFit="1" customWidth="1"/>
    <col min="2" max="2" width="12.28515625" customWidth="1"/>
    <col min="3" max="3" width="17.28515625" customWidth="1"/>
    <col min="4" max="4" width="11.5703125" customWidth="1"/>
    <col min="6" max="6" width="16.5703125" customWidth="1"/>
    <col min="7" max="7" width="16.28515625" bestFit="1" customWidth="1"/>
  </cols>
  <sheetData>
    <row r="1" spans="1:15" ht="14.45" x14ac:dyDescent="0.3">
      <c r="A1" s="12" t="s">
        <v>9</v>
      </c>
      <c r="B1" s="13" t="s">
        <v>0</v>
      </c>
      <c r="C1" s="13" t="s">
        <v>2</v>
      </c>
      <c r="D1" s="13" t="s">
        <v>1</v>
      </c>
      <c r="E1" s="13" t="s">
        <v>4</v>
      </c>
      <c r="F1" s="13" t="s">
        <v>12</v>
      </c>
      <c r="G1" s="13" t="s">
        <v>11</v>
      </c>
      <c r="H1" s="13" t="s">
        <v>12</v>
      </c>
      <c r="I1" s="13" t="s">
        <v>3</v>
      </c>
      <c r="K1" s="2"/>
    </row>
    <row r="2" spans="1:15" ht="14.45" x14ac:dyDescent="0.3">
      <c r="A2" s="14" t="s">
        <v>10</v>
      </c>
      <c r="B2" s="15">
        <v>13</v>
      </c>
      <c r="C2" s="15">
        <v>267</v>
      </c>
      <c r="D2" s="15">
        <v>22</v>
      </c>
      <c r="E2" s="15">
        <v>71.5</v>
      </c>
      <c r="F2" s="15">
        <v>3.7</v>
      </c>
      <c r="G2" s="24">
        <f>E2+30.37</f>
        <v>101.87</v>
      </c>
      <c r="H2" s="15">
        <v>4.1100000000000003</v>
      </c>
      <c r="I2" s="15">
        <v>0</v>
      </c>
      <c r="J2" s="3" t="s">
        <v>19</v>
      </c>
      <c r="K2" s="2"/>
      <c r="L2" s="3"/>
      <c r="M2" s="3"/>
      <c r="N2" s="3"/>
      <c r="O2" s="3"/>
    </row>
    <row r="3" spans="1:15" ht="14.45" x14ac:dyDescent="0.3">
      <c r="A3" s="16" t="s">
        <v>25</v>
      </c>
      <c r="B3" s="17">
        <v>12</v>
      </c>
      <c r="C3" s="17">
        <v>259</v>
      </c>
      <c r="D3" s="17">
        <v>21</v>
      </c>
      <c r="E3" s="17">
        <v>71</v>
      </c>
      <c r="F3" s="17">
        <v>4.13</v>
      </c>
      <c r="G3" s="25">
        <f>E3+30.9</f>
        <v>101.9</v>
      </c>
      <c r="H3" s="17">
        <v>4.5</v>
      </c>
      <c r="I3" s="17">
        <v>0</v>
      </c>
      <c r="K3" s="1"/>
    </row>
    <row r="4" spans="1:15" ht="14.45" x14ac:dyDescent="0.3">
      <c r="A4" s="16" t="s">
        <v>6</v>
      </c>
      <c r="B4" s="17">
        <v>12</v>
      </c>
      <c r="C4" s="17">
        <v>233</v>
      </c>
      <c r="D4" s="17">
        <v>19</v>
      </c>
      <c r="E4" s="17">
        <v>69.099999999999994</v>
      </c>
      <c r="F4" s="17">
        <v>5.2</v>
      </c>
      <c r="G4" s="25">
        <f>E4+32.8</f>
        <v>101.89999999999999</v>
      </c>
      <c r="H4" s="17">
        <v>5.6</v>
      </c>
      <c r="I4" s="17">
        <v>0</v>
      </c>
      <c r="K4" s="1"/>
    </row>
    <row r="5" spans="1:15" ht="14.45" x14ac:dyDescent="0.3">
      <c r="A5" s="16" t="s">
        <v>7</v>
      </c>
      <c r="B5" s="17">
        <v>12</v>
      </c>
      <c r="C5" s="17">
        <v>256</v>
      </c>
      <c r="D5" s="17">
        <v>20</v>
      </c>
      <c r="E5" s="17">
        <v>73.099999999999994</v>
      </c>
      <c r="F5" s="17">
        <v>4.2</v>
      </c>
      <c r="G5" s="25">
        <f>E5+28.7</f>
        <v>101.8</v>
      </c>
      <c r="H5" s="17">
        <v>4.5999999999999996</v>
      </c>
      <c r="I5" s="17">
        <v>0</v>
      </c>
      <c r="K5" s="1"/>
    </row>
    <row r="6" spans="1:15" ht="14.45" x14ac:dyDescent="0.3">
      <c r="A6" s="16" t="s">
        <v>27</v>
      </c>
      <c r="B6" s="17">
        <v>12</v>
      </c>
      <c r="C6" s="17">
        <v>259</v>
      </c>
      <c r="D6" s="17">
        <v>21</v>
      </c>
      <c r="E6" s="17">
        <v>72.5</v>
      </c>
      <c r="F6" s="17">
        <v>3.9</v>
      </c>
      <c r="G6" s="25">
        <f>E6+29.4</f>
        <v>101.9</v>
      </c>
      <c r="H6" s="17">
        <v>4.3</v>
      </c>
      <c r="I6" s="17">
        <v>0</v>
      </c>
      <c r="K6" s="1"/>
    </row>
    <row r="7" spans="1:15" ht="14.45" x14ac:dyDescent="0.3">
      <c r="A7" s="16" t="s">
        <v>28</v>
      </c>
      <c r="B7" s="17">
        <v>12</v>
      </c>
      <c r="C7" s="17">
        <v>203</v>
      </c>
      <c r="D7" s="17">
        <v>18</v>
      </c>
      <c r="E7" s="17">
        <v>71.349999999999994</v>
      </c>
      <c r="F7" s="17">
        <v>3.29</v>
      </c>
      <c r="G7" s="25">
        <f>E7+35.3</f>
        <v>106.64999999999999</v>
      </c>
      <c r="H7" s="17">
        <v>3.8</v>
      </c>
      <c r="I7" s="17">
        <v>0</v>
      </c>
      <c r="K7" s="1"/>
    </row>
    <row r="8" spans="1:15" ht="14.45" x14ac:dyDescent="0.3">
      <c r="A8" s="16" t="s">
        <v>29</v>
      </c>
      <c r="B8" s="17">
        <v>12</v>
      </c>
      <c r="C8" s="17">
        <v>255</v>
      </c>
      <c r="D8" s="17">
        <v>19</v>
      </c>
      <c r="E8" s="17">
        <v>71.599999999999994</v>
      </c>
      <c r="F8" s="17">
        <v>3.7</v>
      </c>
      <c r="G8" s="25">
        <f>E8+29.23</f>
        <v>100.83</v>
      </c>
      <c r="H8" s="17">
        <v>4.2</v>
      </c>
      <c r="I8" s="17">
        <v>0</v>
      </c>
      <c r="K8" s="1"/>
    </row>
    <row r="9" spans="1:15" ht="14.45" x14ac:dyDescent="0.3">
      <c r="A9" s="16" t="s">
        <v>30</v>
      </c>
      <c r="B9" s="17">
        <v>12</v>
      </c>
      <c r="C9" s="17">
        <v>179</v>
      </c>
      <c r="D9" s="17">
        <v>21</v>
      </c>
      <c r="E9" s="17">
        <v>71.58</v>
      </c>
      <c r="F9" s="17">
        <v>3.35</v>
      </c>
      <c r="G9" s="25">
        <f>E9+28.3</f>
        <v>99.88</v>
      </c>
      <c r="H9" s="17">
        <v>3.6</v>
      </c>
      <c r="I9" s="17">
        <v>0</v>
      </c>
      <c r="K9" s="1"/>
    </row>
    <row r="10" spans="1:15" ht="14.45" x14ac:dyDescent="0.3">
      <c r="A10" s="16" t="s">
        <v>31</v>
      </c>
      <c r="B10" s="17">
        <v>12</v>
      </c>
      <c r="C10" s="17">
        <v>259</v>
      </c>
      <c r="D10" s="17">
        <v>21</v>
      </c>
      <c r="E10" s="17">
        <v>71.489999999999995</v>
      </c>
      <c r="F10" s="17">
        <v>3.7</v>
      </c>
      <c r="G10" s="25">
        <f>E10+30.6</f>
        <v>102.09</v>
      </c>
      <c r="H10" s="17">
        <v>4.0999999999999996</v>
      </c>
      <c r="I10" s="17">
        <v>0</v>
      </c>
      <c r="K10" s="1"/>
    </row>
    <row r="11" spans="1:15" ht="14.45" x14ac:dyDescent="0.3">
      <c r="A11" s="16" t="s">
        <v>32</v>
      </c>
      <c r="B11" s="17">
        <v>12</v>
      </c>
      <c r="C11" s="17">
        <v>259</v>
      </c>
      <c r="D11" s="17">
        <v>21</v>
      </c>
      <c r="E11" s="17">
        <v>71.5</v>
      </c>
      <c r="F11" s="17">
        <v>3.7</v>
      </c>
      <c r="G11" s="25">
        <f>E11+30.6</f>
        <v>102.1</v>
      </c>
      <c r="H11" s="17">
        <v>4.0999999999999996</v>
      </c>
      <c r="I11" s="17">
        <v>0</v>
      </c>
      <c r="K11" s="1"/>
    </row>
    <row r="12" spans="1:15" ht="14.45" x14ac:dyDescent="0.3">
      <c r="A12" s="16" t="s">
        <v>33</v>
      </c>
      <c r="B12" s="17">
        <v>12</v>
      </c>
      <c r="C12" s="17">
        <v>258</v>
      </c>
      <c r="D12" s="17">
        <v>21</v>
      </c>
      <c r="E12" s="17">
        <v>71.48</v>
      </c>
      <c r="F12" s="17">
        <v>3.7</v>
      </c>
      <c r="G12" s="25">
        <f>E12+30.52</f>
        <v>102</v>
      </c>
      <c r="H12" s="17">
        <v>4.0999999999999996</v>
      </c>
      <c r="I12" s="17">
        <v>0</v>
      </c>
      <c r="K12" s="1"/>
    </row>
    <row r="13" spans="1:15" ht="14.45" x14ac:dyDescent="0.3">
      <c r="A13" s="16" t="s">
        <v>26</v>
      </c>
      <c r="B13" s="17">
        <v>12</v>
      </c>
      <c r="C13" s="17">
        <v>258</v>
      </c>
      <c r="D13" s="17">
        <v>21</v>
      </c>
      <c r="E13" s="17">
        <v>71.56</v>
      </c>
      <c r="F13" s="17">
        <v>3.6</v>
      </c>
      <c r="G13" s="25">
        <f>E13+30.47</f>
        <v>102.03</v>
      </c>
      <c r="H13" s="17">
        <v>4.0999999999999996</v>
      </c>
      <c r="I13" s="17">
        <v>0</v>
      </c>
      <c r="K13" s="1"/>
    </row>
    <row r="14" spans="1:15" ht="14.45" x14ac:dyDescent="0.3">
      <c r="A14" s="16" t="s">
        <v>39</v>
      </c>
      <c r="B14" s="17">
        <v>12</v>
      </c>
      <c r="C14" s="17">
        <v>261</v>
      </c>
      <c r="D14" s="17">
        <v>21</v>
      </c>
      <c r="E14" s="17">
        <v>70.89</v>
      </c>
      <c r="F14" s="17">
        <v>3.7</v>
      </c>
      <c r="G14" s="25">
        <f>E14+30.99</f>
        <v>101.88</v>
      </c>
      <c r="H14" s="17">
        <v>4.0999999999999996</v>
      </c>
      <c r="I14" s="17">
        <v>0</v>
      </c>
      <c r="K14" s="1"/>
    </row>
    <row r="15" spans="1:15" ht="14.45" x14ac:dyDescent="0.3">
      <c r="A15" s="16" t="s">
        <v>37</v>
      </c>
      <c r="B15" s="17">
        <v>12</v>
      </c>
      <c r="C15" s="17">
        <v>265</v>
      </c>
      <c r="D15" s="17">
        <v>20</v>
      </c>
      <c r="E15" s="17">
        <v>71.77</v>
      </c>
      <c r="F15" s="17">
        <v>3.7</v>
      </c>
      <c r="G15" s="25">
        <f>E15+30.1</f>
        <v>101.87</v>
      </c>
      <c r="H15" s="17">
        <v>4.2</v>
      </c>
      <c r="I15" s="17">
        <v>0</v>
      </c>
      <c r="K15" s="1"/>
    </row>
    <row r="16" spans="1:15" ht="14.45" x14ac:dyDescent="0.3">
      <c r="A16" s="6"/>
      <c r="B16" s="6"/>
      <c r="C16" s="6"/>
      <c r="D16" s="6"/>
      <c r="E16" s="6"/>
      <c r="F16" s="6"/>
      <c r="G16" s="6"/>
      <c r="H16" s="6"/>
      <c r="I16" s="6"/>
    </row>
    <row r="17" spans="1:10" ht="14.45" x14ac:dyDescent="0.3">
      <c r="A17" s="12" t="s">
        <v>13</v>
      </c>
      <c r="B17" s="13" t="s">
        <v>0</v>
      </c>
      <c r="C17" s="13" t="s">
        <v>2</v>
      </c>
      <c r="D17" s="13" t="s">
        <v>1</v>
      </c>
      <c r="E17" s="13" t="s">
        <v>4</v>
      </c>
      <c r="F17" s="13" t="s">
        <v>15</v>
      </c>
      <c r="G17" s="13" t="s">
        <v>3</v>
      </c>
      <c r="H17" s="7"/>
      <c r="I17" s="6"/>
    </row>
    <row r="18" spans="1:10" ht="14.45" x14ac:dyDescent="0.3">
      <c r="A18" s="14" t="s">
        <v>8</v>
      </c>
      <c r="B18" s="15">
        <v>6</v>
      </c>
      <c r="C18" s="15">
        <v>69</v>
      </c>
      <c r="D18" s="15">
        <v>10</v>
      </c>
      <c r="E18" s="15">
        <v>71.08</v>
      </c>
      <c r="F18" s="15">
        <v>1.72</v>
      </c>
      <c r="G18" s="15">
        <v>0.87</v>
      </c>
      <c r="H18" s="4" t="s">
        <v>14</v>
      </c>
      <c r="I18" s="6"/>
      <c r="J18" s="3" t="s">
        <v>20</v>
      </c>
    </row>
    <row r="19" spans="1:10" ht="14.45" x14ac:dyDescent="0.3">
      <c r="A19" s="16" t="s">
        <v>25</v>
      </c>
      <c r="B19" s="17">
        <v>5</v>
      </c>
      <c r="C19" s="17">
        <v>61</v>
      </c>
      <c r="D19" s="17">
        <v>9</v>
      </c>
      <c r="E19" s="17">
        <v>71.06</v>
      </c>
      <c r="F19" s="17">
        <v>1.3</v>
      </c>
      <c r="G19" s="17">
        <v>0.92</v>
      </c>
      <c r="H19" s="8" t="s">
        <v>14</v>
      </c>
      <c r="I19" s="6"/>
    </row>
    <row r="20" spans="1:10" ht="14.45" x14ac:dyDescent="0.3">
      <c r="A20" s="16" t="s">
        <v>6</v>
      </c>
      <c r="B20" s="17">
        <v>5</v>
      </c>
      <c r="C20" s="17">
        <v>35</v>
      </c>
      <c r="D20" s="17">
        <v>7</v>
      </c>
      <c r="E20" s="17">
        <v>64.69</v>
      </c>
      <c r="F20" s="17">
        <v>8.14</v>
      </c>
      <c r="G20" s="17">
        <v>0.63</v>
      </c>
      <c r="H20" s="8" t="s">
        <v>14</v>
      </c>
      <c r="I20" s="6"/>
    </row>
    <row r="21" spans="1:10" ht="14.45" x14ac:dyDescent="0.3">
      <c r="A21" s="16" t="s">
        <v>7</v>
      </c>
      <c r="B21" s="17">
        <v>5</v>
      </c>
      <c r="C21" s="17">
        <v>58</v>
      </c>
      <c r="D21" s="17">
        <v>8</v>
      </c>
      <c r="E21" s="17">
        <v>71.7</v>
      </c>
      <c r="F21" s="17">
        <v>2.99</v>
      </c>
      <c r="G21" s="17">
        <v>0.85</v>
      </c>
      <c r="H21" s="8" t="s">
        <v>14</v>
      </c>
      <c r="I21" s="6"/>
    </row>
    <row r="22" spans="1:10" ht="14.45" x14ac:dyDescent="0.3">
      <c r="A22" s="16" t="s">
        <v>27</v>
      </c>
      <c r="B22" s="17">
        <v>5</v>
      </c>
      <c r="C22" s="17">
        <v>61</v>
      </c>
      <c r="D22" s="17">
        <v>9</v>
      </c>
      <c r="E22" s="17">
        <v>73.5</v>
      </c>
      <c r="F22" s="17">
        <v>-0.79</v>
      </c>
      <c r="G22" s="17">
        <v>0.94</v>
      </c>
      <c r="H22" s="8" t="s">
        <v>14</v>
      </c>
      <c r="I22" s="6"/>
    </row>
    <row r="23" spans="1:10" ht="14.45" x14ac:dyDescent="0.3">
      <c r="A23" s="16" t="s">
        <v>39</v>
      </c>
      <c r="B23" s="17">
        <v>5</v>
      </c>
      <c r="C23" s="17">
        <v>63</v>
      </c>
      <c r="D23" s="17">
        <v>9</v>
      </c>
      <c r="E23" s="17">
        <v>70.900000000000006</v>
      </c>
      <c r="F23" s="17">
        <v>-0.74</v>
      </c>
      <c r="G23" s="17">
        <v>0.92</v>
      </c>
      <c r="H23" s="8" t="s">
        <v>14</v>
      </c>
      <c r="I23" s="6"/>
    </row>
    <row r="24" spans="1:10" ht="14.45" x14ac:dyDescent="0.3">
      <c r="A24" s="16" t="s">
        <v>37</v>
      </c>
      <c r="B24" s="17">
        <v>5</v>
      </c>
      <c r="C24" s="17">
        <v>67</v>
      </c>
      <c r="D24" s="17">
        <v>8</v>
      </c>
      <c r="E24" s="17">
        <v>71.319999999999993</v>
      </c>
      <c r="F24" s="17">
        <v>2.27</v>
      </c>
      <c r="G24" s="17">
        <v>0.72</v>
      </c>
      <c r="H24" s="8" t="s">
        <v>14</v>
      </c>
      <c r="I24" s="6"/>
    </row>
    <row r="25" spans="1:10" ht="14.45" x14ac:dyDescent="0.3">
      <c r="A25" s="6"/>
      <c r="B25" s="6"/>
      <c r="C25" s="6"/>
      <c r="D25" s="6"/>
      <c r="E25" s="6"/>
      <c r="F25" s="6"/>
      <c r="G25" s="6"/>
      <c r="H25" s="6"/>
      <c r="I25" s="6"/>
    </row>
    <row r="26" spans="1:10" ht="14.45" x14ac:dyDescent="0.3">
      <c r="A26" s="12" t="s">
        <v>16</v>
      </c>
      <c r="B26" s="13" t="s">
        <v>0</v>
      </c>
      <c r="C26" s="13" t="s">
        <v>2</v>
      </c>
      <c r="D26" s="13" t="s">
        <v>1</v>
      </c>
      <c r="E26" s="13" t="s">
        <v>4</v>
      </c>
      <c r="F26" s="13" t="s">
        <v>5</v>
      </c>
      <c r="G26" s="13" t="s">
        <v>3</v>
      </c>
      <c r="H26" s="9"/>
      <c r="I26" s="6"/>
    </row>
    <row r="27" spans="1:10" ht="14.45" x14ac:dyDescent="0.3">
      <c r="A27" s="14" t="s">
        <v>8</v>
      </c>
      <c r="B27" s="15">
        <v>12</v>
      </c>
      <c r="C27" s="15">
        <v>259</v>
      </c>
      <c r="D27" s="15">
        <v>21</v>
      </c>
      <c r="E27" s="15">
        <v>116.44</v>
      </c>
      <c r="F27" s="15">
        <v>-0.2</v>
      </c>
      <c r="G27" s="15">
        <v>0.03</v>
      </c>
      <c r="H27" s="9"/>
      <c r="I27" s="6"/>
      <c r="J27" s="3" t="s">
        <v>18</v>
      </c>
    </row>
    <row r="28" spans="1:10" ht="14.45" x14ac:dyDescent="0.3">
      <c r="A28" s="16" t="s">
        <v>25</v>
      </c>
      <c r="B28" s="17">
        <v>11</v>
      </c>
      <c r="C28" s="17">
        <v>251</v>
      </c>
      <c r="D28" s="17">
        <v>20</v>
      </c>
      <c r="E28" s="17">
        <v>117.61</v>
      </c>
      <c r="F28" s="17">
        <v>-0.2</v>
      </c>
      <c r="G28" s="17">
        <v>3.5000000000000003E-2</v>
      </c>
      <c r="H28" s="9"/>
      <c r="I28" s="6"/>
    </row>
    <row r="29" spans="1:10" ht="14.45" x14ac:dyDescent="0.3">
      <c r="A29" s="18" t="s">
        <v>6</v>
      </c>
      <c r="B29" s="17">
        <v>11</v>
      </c>
      <c r="C29" s="17">
        <v>225</v>
      </c>
      <c r="D29" s="17">
        <v>18</v>
      </c>
      <c r="E29" s="17">
        <v>117</v>
      </c>
      <c r="F29" s="17">
        <v>-0.18</v>
      </c>
      <c r="G29" s="18">
        <v>8.5999999999999993E-2</v>
      </c>
      <c r="H29" s="11" t="s">
        <v>14</v>
      </c>
      <c r="I29" s="6"/>
    </row>
    <row r="30" spans="1:10" ht="14.45" x14ac:dyDescent="0.3">
      <c r="A30" s="16" t="s">
        <v>7</v>
      </c>
      <c r="B30" s="17">
        <v>11</v>
      </c>
      <c r="C30" s="17">
        <v>248</v>
      </c>
      <c r="D30" s="17">
        <v>19</v>
      </c>
      <c r="E30" s="17">
        <v>117.83</v>
      </c>
      <c r="F30" s="17">
        <v>-0.19</v>
      </c>
      <c r="G30" s="16">
        <v>0.05</v>
      </c>
      <c r="H30" s="19"/>
      <c r="I30" s="6"/>
    </row>
    <row r="31" spans="1:10" ht="14.45" x14ac:dyDescent="0.3">
      <c r="A31" s="16" t="s">
        <v>28</v>
      </c>
      <c r="B31" s="17">
        <v>11</v>
      </c>
      <c r="C31" s="17">
        <v>195</v>
      </c>
      <c r="D31" s="17">
        <v>17</v>
      </c>
      <c r="E31" s="17">
        <v>127.33</v>
      </c>
      <c r="F31" s="17">
        <v>-0.25</v>
      </c>
      <c r="G31" s="17">
        <v>3.3000000000000002E-2</v>
      </c>
      <c r="H31" s="9"/>
      <c r="I31" s="6"/>
    </row>
    <row r="32" spans="1:10" ht="14.45" x14ac:dyDescent="0.3">
      <c r="A32" s="18" t="s">
        <v>29</v>
      </c>
      <c r="B32" s="17">
        <v>11</v>
      </c>
      <c r="C32" s="17">
        <v>247</v>
      </c>
      <c r="D32" s="17">
        <v>18</v>
      </c>
      <c r="E32" s="17">
        <v>90</v>
      </c>
      <c r="F32" s="17">
        <v>-0.08</v>
      </c>
      <c r="G32" s="18">
        <v>0.06</v>
      </c>
      <c r="H32" s="11" t="s">
        <v>14</v>
      </c>
      <c r="I32" s="6"/>
    </row>
    <row r="33" spans="1:10" ht="14.45" x14ac:dyDescent="0.3">
      <c r="A33" s="16" t="s">
        <v>30</v>
      </c>
      <c r="B33" s="17">
        <v>11</v>
      </c>
      <c r="C33" s="17">
        <v>171</v>
      </c>
      <c r="D33" s="17">
        <v>20</v>
      </c>
      <c r="E33" s="17">
        <v>114.7</v>
      </c>
      <c r="F33" s="17">
        <v>-0.19</v>
      </c>
      <c r="G33" s="17">
        <v>4.3999999999999997E-2</v>
      </c>
      <c r="H33" s="9"/>
      <c r="I33" s="6"/>
    </row>
    <row r="34" spans="1:10" ht="14.45" x14ac:dyDescent="0.3">
      <c r="A34" s="16" t="s">
        <v>31</v>
      </c>
      <c r="B34" s="17">
        <v>11</v>
      </c>
      <c r="C34" s="17">
        <v>251</v>
      </c>
      <c r="D34" s="17">
        <v>20</v>
      </c>
      <c r="E34" s="17">
        <v>119.18</v>
      </c>
      <c r="F34" s="17">
        <v>-0.21</v>
      </c>
      <c r="G34" s="17">
        <v>2.5000000000000001E-2</v>
      </c>
      <c r="H34" s="9"/>
      <c r="I34" s="6"/>
    </row>
    <row r="35" spans="1:10" ht="14.45" x14ac:dyDescent="0.3">
      <c r="A35" s="16" t="s">
        <v>32</v>
      </c>
      <c r="B35" s="17">
        <v>11</v>
      </c>
      <c r="C35" s="17">
        <v>251</v>
      </c>
      <c r="D35" s="17">
        <v>20</v>
      </c>
      <c r="E35" s="17">
        <v>121.09</v>
      </c>
      <c r="F35" s="17">
        <v>-0.21</v>
      </c>
      <c r="G35" s="17">
        <v>1.6E-2</v>
      </c>
      <c r="H35" s="9"/>
      <c r="I35" s="6"/>
    </row>
    <row r="36" spans="1:10" ht="14.45" x14ac:dyDescent="0.3">
      <c r="A36" s="16" t="s">
        <v>33</v>
      </c>
      <c r="B36" s="17">
        <v>11</v>
      </c>
      <c r="C36" s="17">
        <v>250</v>
      </c>
      <c r="D36" s="17">
        <v>20</v>
      </c>
      <c r="E36" s="17">
        <v>117.95</v>
      </c>
      <c r="F36" s="17">
        <v>-0.2</v>
      </c>
      <c r="G36" s="17">
        <v>3.3000000000000002E-2</v>
      </c>
      <c r="H36" s="9"/>
      <c r="I36" s="6"/>
    </row>
    <row r="37" spans="1:10" ht="14.45" x14ac:dyDescent="0.3">
      <c r="A37" s="16" t="s">
        <v>26</v>
      </c>
      <c r="B37" s="17">
        <v>11</v>
      </c>
      <c r="C37" s="17">
        <v>250</v>
      </c>
      <c r="D37" s="17">
        <v>20</v>
      </c>
      <c r="E37" s="17">
        <v>119.58</v>
      </c>
      <c r="F37" s="17">
        <v>-0.21</v>
      </c>
      <c r="G37" s="17">
        <v>2.8000000000000001E-2</v>
      </c>
      <c r="H37" s="9"/>
      <c r="I37" s="6"/>
    </row>
    <row r="38" spans="1:10" ht="14.45" x14ac:dyDescent="0.3">
      <c r="A38" s="16" t="s">
        <v>39</v>
      </c>
      <c r="B38" s="17">
        <v>11</v>
      </c>
      <c r="C38" s="17">
        <v>253</v>
      </c>
      <c r="D38" s="17">
        <v>20</v>
      </c>
      <c r="E38" s="17">
        <v>120.77</v>
      </c>
      <c r="F38" s="17">
        <v>-0.27</v>
      </c>
      <c r="G38" s="17">
        <v>8.9999999999999993E-3</v>
      </c>
      <c r="H38" s="9"/>
      <c r="I38" s="6"/>
    </row>
    <row r="39" spans="1:10" ht="14.45" x14ac:dyDescent="0.3">
      <c r="A39" s="18" t="s">
        <v>37</v>
      </c>
      <c r="B39" s="17">
        <v>11</v>
      </c>
      <c r="C39" s="17">
        <v>257</v>
      </c>
      <c r="D39" s="17">
        <v>19</v>
      </c>
      <c r="E39" s="17">
        <v>115.5</v>
      </c>
      <c r="F39" s="17">
        <v>-0.19</v>
      </c>
      <c r="G39" s="18">
        <v>0.12</v>
      </c>
      <c r="H39" s="11" t="s">
        <v>14</v>
      </c>
      <c r="I39" s="6"/>
    </row>
    <row r="40" spans="1:10" x14ac:dyDescent="0.25">
      <c r="A40" s="5"/>
      <c r="B40" s="6"/>
      <c r="C40" s="6"/>
      <c r="D40" s="6"/>
      <c r="E40" s="6"/>
      <c r="F40" s="6"/>
      <c r="G40" s="6"/>
      <c r="H40" s="9"/>
      <c r="I40" s="6"/>
    </row>
    <row r="41" spans="1:10" x14ac:dyDescent="0.25">
      <c r="A41" s="20" t="s">
        <v>22</v>
      </c>
      <c r="B41" s="21"/>
      <c r="C41" s="21"/>
      <c r="D41" s="21"/>
      <c r="E41" s="21"/>
      <c r="F41" s="21"/>
      <c r="G41" s="9"/>
      <c r="H41" s="9"/>
      <c r="I41" s="9"/>
    </row>
    <row r="42" spans="1:10" x14ac:dyDescent="0.25">
      <c r="A42" s="22"/>
      <c r="B42" s="23" t="s">
        <v>0</v>
      </c>
      <c r="C42" s="23" t="s">
        <v>2</v>
      </c>
      <c r="D42" s="23" t="s">
        <v>1</v>
      </c>
      <c r="E42" s="23" t="s">
        <v>23</v>
      </c>
      <c r="F42" s="23" t="s">
        <v>3</v>
      </c>
      <c r="G42" s="9"/>
      <c r="H42" s="9"/>
      <c r="I42" s="9"/>
    </row>
    <row r="43" spans="1:10" ht="15.75" customHeight="1" x14ac:dyDescent="0.25">
      <c r="A43" s="14" t="s">
        <v>8</v>
      </c>
      <c r="B43" s="15">
        <v>12</v>
      </c>
      <c r="C43" s="15">
        <v>259</v>
      </c>
      <c r="D43" s="15">
        <v>21</v>
      </c>
      <c r="E43" s="15">
        <v>-7.0000000000000007E-2</v>
      </c>
      <c r="F43" s="15">
        <v>0.64</v>
      </c>
      <c r="G43" s="8" t="s">
        <v>14</v>
      </c>
      <c r="H43" s="9"/>
      <c r="I43" s="9"/>
      <c r="J43" s="3" t="s">
        <v>24</v>
      </c>
    </row>
    <row r="44" spans="1:10" x14ac:dyDescent="0.25">
      <c r="A44" s="16" t="s">
        <v>25</v>
      </c>
      <c r="B44" s="17">
        <v>11</v>
      </c>
      <c r="C44" s="17">
        <v>251</v>
      </c>
      <c r="D44" s="17">
        <v>20</v>
      </c>
      <c r="E44" s="17">
        <v>-0.08</v>
      </c>
      <c r="F44" s="17">
        <v>0.64</v>
      </c>
      <c r="G44" s="8" t="s">
        <v>14</v>
      </c>
      <c r="H44" s="9"/>
      <c r="I44" s="9"/>
    </row>
    <row r="45" spans="1:10" x14ac:dyDescent="0.25">
      <c r="A45" s="16" t="s">
        <v>6</v>
      </c>
      <c r="B45" s="17">
        <v>11</v>
      </c>
      <c r="C45" s="17">
        <v>225</v>
      </c>
      <c r="D45" s="17">
        <v>18</v>
      </c>
      <c r="E45" s="17">
        <v>-0.06</v>
      </c>
      <c r="F45" s="17">
        <v>0.74</v>
      </c>
      <c r="G45" s="8" t="s">
        <v>14</v>
      </c>
      <c r="H45" s="9"/>
      <c r="I45" s="9"/>
    </row>
    <row r="46" spans="1:10" x14ac:dyDescent="0.25">
      <c r="A46" s="16" t="s">
        <v>7</v>
      </c>
      <c r="B46" s="17">
        <v>11</v>
      </c>
      <c r="C46" s="17">
        <v>248</v>
      </c>
      <c r="D46" s="17">
        <v>19</v>
      </c>
      <c r="E46" s="17">
        <v>-0.09</v>
      </c>
      <c r="F46" s="17">
        <v>0.6</v>
      </c>
      <c r="G46" s="8" t="s">
        <v>14</v>
      </c>
      <c r="H46" s="9"/>
      <c r="I46" s="9"/>
    </row>
    <row r="47" spans="1:10" x14ac:dyDescent="0.25">
      <c r="A47" s="16" t="s">
        <v>28</v>
      </c>
      <c r="B47" s="17">
        <v>11</v>
      </c>
      <c r="C47" s="17">
        <v>195</v>
      </c>
      <c r="D47" s="17">
        <v>17</v>
      </c>
      <c r="E47" s="17">
        <v>-7.0000000000000007E-2</v>
      </c>
      <c r="F47" s="17">
        <v>0.65</v>
      </c>
      <c r="G47" s="8" t="s">
        <v>14</v>
      </c>
      <c r="H47" s="9"/>
      <c r="I47" s="9"/>
    </row>
    <row r="48" spans="1:10" x14ac:dyDescent="0.25">
      <c r="A48" s="16" t="s">
        <v>29</v>
      </c>
      <c r="B48" s="17">
        <v>11</v>
      </c>
      <c r="C48" s="17">
        <v>247</v>
      </c>
      <c r="D48" s="17">
        <v>18</v>
      </c>
      <c r="E48" s="17">
        <v>-2.7E-2</v>
      </c>
      <c r="F48" s="17">
        <v>0.7</v>
      </c>
      <c r="G48" s="8" t="s">
        <v>14</v>
      </c>
      <c r="H48" s="9"/>
      <c r="I48" s="9"/>
    </row>
    <row r="49" spans="1:10" x14ac:dyDescent="0.25">
      <c r="A49" s="16" t="s">
        <v>30</v>
      </c>
      <c r="B49" s="17">
        <v>11</v>
      </c>
      <c r="C49" s="17">
        <v>171</v>
      </c>
      <c r="D49" s="17">
        <v>20</v>
      </c>
      <c r="E49" s="17">
        <v>-7.0000000000000007E-2</v>
      </c>
      <c r="F49" s="17">
        <v>0.64</v>
      </c>
      <c r="G49" s="8" t="s">
        <v>14</v>
      </c>
      <c r="H49" s="9"/>
      <c r="I49" s="9"/>
    </row>
    <row r="50" spans="1:10" x14ac:dyDescent="0.25">
      <c r="A50" s="16" t="s">
        <v>31</v>
      </c>
      <c r="B50" s="17">
        <v>11</v>
      </c>
      <c r="C50" s="17">
        <v>251</v>
      </c>
      <c r="D50" s="17">
        <v>20</v>
      </c>
      <c r="E50" s="17">
        <v>-7.0000000000000007E-2</v>
      </c>
      <c r="F50" s="17">
        <v>0.64</v>
      </c>
      <c r="G50" s="8" t="s">
        <v>14</v>
      </c>
      <c r="H50" s="9"/>
      <c r="I50" s="9"/>
    </row>
    <row r="51" spans="1:10" x14ac:dyDescent="0.25">
      <c r="A51" s="16" t="s">
        <v>32</v>
      </c>
      <c r="B51" s="17">
        <v>11</v>
      </c>
      <c r="C51" s="17">
        <v>251</v>
      </c>
      <c r="D51" s="17">
        <v>20</v>
      </c>
      <c r="E51" s="17">
        <v>-7.0000000000000007E-2</v>
      </c>
      <c r="F51" s="17">
        <v>0.64</v>
      </c>
      <c r="G51" s="8" t="s">
        <v>14</v>
      </c>
      <c r="H51" s="9"/>
      <c r="I51" s="9"/>
    </row>
    <row r="52" spans="1:10" x14ac:dyDescent="0.25">
      <c r="A52" s="16" t="s">
        <v>33</v>
      </c>
      <c r="B52" s="17">
        <v>11</v>
      </c>
      <c r="C52" s="17">
        <v>250</v>
      </c>
      <c r="D52" s="17">
        <v>20</v>
      </c>
      <c r="E52" s="17">
        <v>-7.0000000000000007E-2</v>
      </c>
      <c r="F52" s="17">
        <v>0.64</v>
      </c>
      <c r="G52" s="8" t="s">
        <v>14</v>
      </c>
      <c r="H52" s="9"/>
      <c r="I52" s="9"/>
    </row>
    <row r="53" spans="1:10" x14ac:dyDescent="0.25">
      <c r="A53" s="16" t="s">
        <v>26</v>
      </c>
      <c r="B53" s="17">
        <v>11</v>
      </c>
      <c r="C53" s="17">
        <v>250</v>
      </c>
      <c r="D53" s="17">
        <v>20</v>
      </c>
      <c r="E53" s="17">
        <v>-7.0000000000000007E-2</v>
      </c>
      <c r="F53" s="17">
        <v>0.64</v>
      </c>
      <c r="G53" s="8" t="s">
        <v>14</v>
      </c>
      <c r="H53" s="9"/>
      <c r="I53" s="9"/>
    </row>
    <row r="54" spans="1:10" x14ac:dyDescent="0.25">
      <c r="A54" s="16" t="s">
        <v>37</v>
      </c>
      <c r="B54" s="17">
        <v>11</v>
      </c>
      <c r="C54" s="17">
        <v>253</v>
      </c>
      <c r="D54" s="17">
        <v>20</v>
      </c>
      <c r="E54" s="17">
        <v>-0.17</v>
      </c>
      <c r="F54" s="17">
        <v>0.31</v>
      </c>
      <c r="G54" s="8" t="s">
        <v>14</v>
      </c>
      <c r="H54" s="9"/>
      <c r="I54" s="9"/>
    </row>
    <row r="55" spans="1:10" x14ac:dyDescent="0.25">
      <c r="A55" s="16" t="s">
        <v>38</v>
      </c>
      <c r="B55" s="17">
        <v>11</v>
      </c>
      <c r="C55" s="17">
        <v>257</v>
      </c>
      <c r="D55" s="17">
        <v>19</v>
      </c>
      <c r="E55" s="17">
        <v>0.11</v>
      </c>
      <c r="F55" s="17">
        <v>0.17</v>
      </c>
      <c r="G55" s="8" t="s">
        <v>14</v>
      </c>
      <c r="H55" s="9"/>
      <c r="I55" s="9"/>
    </row>
    <row r="56" spans="1:10" x14ac:dyDescent="0.25">
      <c r="A56" s="5"/>
      <c r="B56" s="6"/>
      <c r="C56" s="6"/>
      <c r="D56" s="6"/>
      <c r="E56" s="6"/>
      <c r="F56" s="6"/>
      <c r="G56" s="8"/>
      <c r="H56" s="9"/>
      <c r="I56" s="9"/>
    </row>
    <row r="57" spans="1:10" x14ac:dyDescent="0.25">
      <c r="A57" s="5"/>
      <c r="B57" s="6"/>
      <c r="C57" s="6"/>
      <c r="D57" s="6"/>
      <c r="E57" s="6"/>
      <c r="F57" s="6"/>
      <c r="G57" s="8"/>
      <c r="H57" s="9"/>
      <c r="I57" s="9"/>
    </row>
    <row r="58" spans="1:10" x14ac:dyDescent="0.25">
      <c r="A58" s="12" t="s">
        <v>35</v>
      </c>
      <c r="B58" s="13" t="s">
        <v>0</v>
      </c>
      <c r="C58" s="13" t="s">
        <v>2</v>
      </c>
      <c r="D58" s="13" t="s">
        <v>1</v>
      </c>
      <c r="E58" s="13" t="s">
        <v>4</v>
      </c>
      <c r="F58" s="13" t="s">
        <v>36</v>
      </c>
      <c r="G58" s="13" t="s">
        <v>5</v>
      </c>
      <c r="H58" s="13" t="s">
        <v>3</v>
      </c>
      <c r="I58" s="6"/>
    </row>
    <row r="59" spans="1:10" x14ac:dyDescent="0.25">
      <c r="A59" s="14" t="s">
        <v>8</v>
      </c>
      <c r="B59" s="15">
        <v>6</v>
      </c>
      <c r="C59" s="15">
        <v>69</v>
      </c>
      <c r="D59" s="15">
        <v>10</v>
      </c>
      <c r="E59" s="15">
        <v>81.08</v>
      </c>
      <c r="F59" s="15">
        <f>E59+15.46</f>
        <v>96.539999999999992</v>
      </c>
      <c r="G59" s="15">
        <v>-2.63</v>
      </c>
      <c r="H59" s="15">
        <v>0</v>
      </c>
      <c r="I59" s="6"/>
      <c r="J59" s="3" t="s">
        <v>21</v>
      </c>
    </row>
    <row r="60" spans="1:10" x14ac:dyDescent="0.25">
      <c r="A60" s="16" t="s">
        <v>25</v>
      </c>
      <c r="B60" s="17">
        <v>5</v>
      </c>
      <c r="C60" s="17">
        <v>61</v>
      </c>
      <c r="D60" s="17">
        <v>9</v>
      </c>
      <c r="E60" s="17">
        <v>79.58</v>
      </c>
      <c r="F60" s="17">
        <f>E60+15.28</f>
        <v>94.86</v>
      </c>
      <c r="G60" s="17">
        <v>-2.66</v>
      </c>
      <c r="H60" s="17">
        <v>0</v>
      </c>
      <c r="I60" s="6"/>
    </row>
    <row r="61" spans="1:10" x14ac:dyDescent="0.25">
      <c r="A61" s="16" t="s">
        <v>6</v>
      </c>
      <c r="B61" s="17">
        <v>5</v>
      </c>
      <c r="C61" s="17">
        <v>35</v>
      </c>
      <c r="D61" s="17">
        <v>7</v>
      </c>
      <c r="E61" s="17">
        <v>67.41</v>
      </c>
      <c r="F61" s="17">
        <f>E61+29.14</f>
        <v>96.55</v>
      </c>
      <c r="G61" s="17">
        <v>-1.8</v>
      </c>
      <c r="H61" s="18">
        <v>7.0000000000000007E-2</v>
      </c>
      <c r="I61" s="10" t="s">
        <v>14</v>
      </c>
    </row>
    <row r="62" spans="1:10" x14ac:dyDescent="0.25">
      <c r="A62" s="16" t="s">
        <v>7</v>
      </c>
      <c r="B62" s="17">
        <v>5</v>
      </c>
      <c r="C62" s="17">
        <v>58</v>
      </c>
      <c r="D62" s="17">
        <v>8</v>
      </c>
      <c r="E62" s="17">
        <v>80.11</v>
      </c>
      <c r="F62" s="17">
        <f>E62+15.59</f>
        <v>95.7</v>
      </c>
      <c r="G62" s="17">
        <v>-2.44</v>
      </c>
      <c r="H62" s="17">
        <v>0</v>
      </c>
      <c r="I62" s="6"/>
    </row>
    <row r="63" spans="1:10" x14ac:dyDescent="0.25">
      <c r="A63" s="16" t="s">
        <v>27</v>
      </c>
      <c r="B63" s="17">
        <v>5</v>
      </c>
      <c r="C63" s="17">
        <v>61</v>
      </c>
      <c r="D63" s="17">
        <v>9</v>
      </c>
      <c r="E63" s="17">
        <v>88.1</v>
      </c>
      <c r="F63" s="17">
        <f>E63+14.16</f>
        <v>102.25999999999999</v>
      </c>
      <c r="G63" s="17">
        <v>-3.08</v>
      </c>
      <c r="H63" s="17">
        <v>0</v>
      </c>
      <c r="I63" s="6"/>
    </row>
    <row r="64" spans="1:10" x14ac:dyDescent="0.25">
      <c r="A64" s="16" t="s">
        <v>39</v>
      </c>
      <c r="B64" s="17">
        <v>5</v>
      </c>
      <c r="C64" s="17">
        <v>63</v>
      </c>
      <c r="D64" s="17">
        <v>9</v>
      </c>
      <c r="E64" s="17">
        <v>83.66</v>
      </c>
      <c r="F64" s="17">
        <f>E64+15.22</f>
        <v>98.88</v>
      </c>
      <c r="G64" s="17">
        <v>-3.09</v>
      </c>
      <c r="H64" s="17">
        <v>0</v>
      </c>
      <c r="I64" s="6"/>
    </row>
    <row r="65" spans="1:10" x14ac:dyDescent="0.25">
      <c r="A65" s="16" t="s">
        <v>37</v>
      </c>
      <c r="B65" s="17">
        <v>5</v>
      </c>
      <c r="C65" s="17">
        <v>67</v>
      </c>
      <c r="D65" s="17">
        <v>8</v>
      </c>
      <c r="E65" s="17">
        <v>81.180000000000007</v>
      </c>
      <c r="F65" s="17">
        <f>E65+15.22</f>
        <v>96.4</v>
      </c>
      <c r="G65" s="17">
        <v>-2.8</v>
      </c>
      <c r="H65" s="17">
        <v>0</v>
      </c>
      <c r="I65" s="6"/>
    </row>
    <row r="66" spans="1:10" x14ac:dyDescent="0.25">
      <c r="A66" s="9"/>
      <c r="B66" s="9"/>
      <c r="C66" s="9"/>
      <c r="D66" s="9"/>
      <c r="E66" s="9"/>
      <c r="F66" s="9"/>
      <c r="G66" s="9"/>
      <c r="H66" s="9"/>
      <c r="I66" s="9"/>
    </row>
    <row r="67" spans="1:10" x14ac:dyDescent="0.25">
      <c r="A67" s="12" t="s">
        <v>17</v>
      </c>
      <c r="B67" s="13" t="s">
        <v>0</v>
      </c>
      <c r="C67" s="13" t="s">
        <v>2</v>
      </c>
      <c r="D67" s="13" t="s">
        <v>1</v>
      </c>
      <c r="E67" s="13" t="s">
        <v>4</v>
      </c>
      <c r="F67" s="13" t="s">
        <v>5</v>
      </c>
      <c r="G67" s="13" t="s">
        <v>3</v>
      </c>
      <c r="H67" s="9"/>
      <c r="I67" s="9"/>
    </row>
    <row r="68" spans="1:10" x14ac:dyDescent="0.25">
      <c r="A68" s="14" t="s">
        <v>8</v>
      </c>
      <c r="B68" s="15">
        <v>13</v>
      </c>
      <c r="C68" s="15">
        <v>267</v>
      </c>
      <c r="D68" s="15">
        <v>22</v>
      </c>
      <c r="E68" s="15">
        <v>82.55</v>
      </c>
      <c r="F68" s="15">
        <v>0.56000000000000005</v>
      </c>
      <c r="G68" s="15">
        <v>0.04</v>
      </c>
      <c r="H68" s="11"/>
      <c r="I68" s="9"/>
      <c r="J68" s="3" t="s">
        <v>34</v>
      </c>
    </row>
    <row r="69" spans="1:10" x14ac:dyDescent="0.25">
      <c r="A69" s="16" t="s">
        <v>25</v>
      </c>
      <c r="B69" s="17">
        <v>12</v>
      </c>
      <c r="C69" s="17">
        <v>259</v>
      </c>
      <c r="D69" s="17">
        <v>21</v>
      </c>
      <c r="E69" s="17">
        <v>83.65</v>
      </c>
      <c r="F69" s="17">
        <v>0.54</v>
      </c>
      <c r="G69" s="16">
        <v>0.05</v>
      </c>
      <c r="H69" s="11"/>
      <c r="I69" s="9"/>
    </row>
    <row r="70" spans="1:10" x14ac:dyDescent="0.25">
      <c r="A70" s="18" t="s">
        <v>6</v>
      </c>
      <c r="B70" s="17">
        <v>12</v>
      </c>
      <c r="C70" s="17">
        <v>233</v>
      </c>
      <c r="D70" s="17">
        <v>19</v>
      </c>
      <c r="E70" s="17">
        <v>85.43</v>
      </c>
      <c r="F70" s="17">
        <v>0.51</v>
      </c>
      <c r="G70" s="18">
        <v>0.08</v>
      </c>
      <c r="H70" s="11" t="s">
        <v>14</v>
      </c>
      <c r="I70" s="9"/>
    </row>
    <row r="71" spans="1:10" x14ac:dyDescent="0.25">
      <c r="A71" s="16" t="s">
        <v>7</v>
      </c>
      <c r="B71" s="17">
        <v>12</v>
      </c>
      <c r="C71" s="17">
        <v>256</v>
      </c>
      <c r="D71" s="17">
        <v>20</v>
      </c>
      <c r="E71" s="17">
        <v>85</v>
      </c>
      <c r="F71" s="17">
        <v>0.56999999999999995</v>
      </c>
      <c r="G71" s="17">
        <v>3.5000000000000003E-2</v>
      </c>
      <c r="H71" s="11"/>
      <c r="I71" s="9"/>
    </row>
    <row r="72" spans="1:10" x14ac:dyDescent="0.25">
      <c r="A72" s="16" t="s">
        <v>27</v>
      </c>
      <c r="B72" s="17">
        <v>12</v>
      </c>
      <c r="C72" s="17">
        <v>259</v>
      </c>
      <c r="D72" s="17">
        <v>21</v>
      </c>
      <c r="E72" s="17">
        <v>83.8</v>
      </c>
      <c r="F72" s="17">
        <v>0.56000000000000005</v>
      </c>
      <c r="G72" s="17">
        <v>4.2000000000000003E-2</v>
      </c>
      <c r="H72" s="11"/>
      <c r="I72" s="9"/>
    </row>
    <row r="73" spans="1:10" x14ac:dyDescent="0.25">
      <c r="A73" s="26" t="s">
        <v>28</v>
      </c>
      <c r="B73" s="27">
        <v>12</v>
      </c>
      <c r="C73" s="27">
        <v>203</v>
      </c>
      <c r="D73" s="27">
        <v>18</v>
      </c>
      <c r="E73" s="27">
        <v>109.15</v>
      </c>
      <c r="F73" s="27">
        <v>-4.5999999999999996</v>
      </c>
      <c r="G73" s="27">
        <v>0</v>
      </c>
      <c r="H73" s="11"/>
      <c r="I73" s="9"/>
    </row>
    <row r="74" spans="1:10" x14ac:dyDescent="0.25">
      <c r="A74" s="16" t="s">
        <v>29</v>
      </c>
      <c r="B74" s="17">
        <v>12</v>
      </c>
      <c r="C74" s="17">
        <v>255</v>
      </c>
      <c r="D74" s="17">
        <v>19</v>
      </c>
      <c r="E74" s="17">
        <v>78.94</v>
      </c>
      <c r="F74" s="17">
        <v>0.65</v>
      </c>
      <c r="G74" s="17">
        <v>1.7999999999999999E-2</v>
      </c>
      <c r="H74" s="11"/>
      <c r="I74" s="9"/>
    </row>
    <row r="75" spans="1:10" x14ac:dyDescent="0.25">
      <c r="A75" s="26" t="s">
        <v>30</v>
      </c>
      <c r="B75" s="27">
        <v>12</v>
      </c>
      <c r="C75" s="27">
        <v>179</v>
      </c>
      <c r="D75" s="27">
        <v>21</v>
      </c>
      <c r="E75" s="27">
        <v>72.72</v>
      </c>
      <c r="F75" s="27">
        <v>1.48</v>
      </c>
      <c r="G75" s="27">
        <v>0</v>
      </c>
      <c r="H75" s="11"/>
      <c r="I75" s="9"/>
    </row>
    <row r="76" spans="1:10" x14ac:dyDescent="0.25">
      <c r="A76" s="16" t="s">
        <v>31</v>
      </c>
      <c r="B76" s="17">
        <v>12</v>
      </c>
      <c r="C76" s="17">
        <v>259</v>
      </c>
      <c r="D76" s="17">
        <v>21</v>
      </c>
      <c r="E76" s="17">
        <v>82.42</v>
      </c>
      <c r="F76" s="17">
        <v>0.56000000000000005</v>
      </c>
      <c r="G76" s="17">
        <v>0.04</v>
      </c>
      <c r="H76" s="11"/>
      <c r="I76" s="9"/>
    </row>
    <row r="77" spans="1:10" x14ac:dyDescent="0.25">
      <c r="A77" s="16" t="s">
        <v>32</v>
      </c>
      <c r="B77" s="17">
        <v>12</v>
      </c>
      <c r="C77" s="17">
        <v>259</v>
      </c>
      <c r="D77" s="17">
        <v>21</v>
      </c>
      <c r="E77" s="17">
        <v>82.77</v>
      </c>
      <c r="F77" s="17">
        <v>0.57999999999999996</v>
      </c>
      <c r="G77" s="17">
        <v>3.3000000000000002E-2</v>
      </c>
      <c r="H77" s="11"/>
      <c r="I77" s="9"/>
    </row>
    <row r="78" spans="1:10" x14ac:dyDescent="0.25">
      <c r="A78" s="16" t="s">
        <v>33</v>
      </c>
      <c r="B78" s="17">
        <v>12</v>
      </c>
      <c r="C78" s="17">
        <v>258</v>
      </c>
      <c r="D78" s="17">
        <v>21</v>
      </c>
      <c r="E78" s="17">
        <v>82.33</v>
      </c>
      <c r="F78" s="17">
        <v>0.59</v>
      </c>
      <c r="G78" s="17">
        <v>2.9000000000000001E-2</v>
      </c>
      <c r="H78" s="11"/>
      <c r="I78" s="9"/>
    </row>
    <row r="79" spans="1:10" x14ac:dyDescent="0.25">
      <c r="A79" s="18" t="s">
        <v>26</v>
      </c>
      <c r="B79" s="17">
        <v>12</v>
      </c>
      <c r="C79" s="17">
        <v>258</v>
      </c>
      <c r="D79" s="17">
        <v>21</v>
      </c>
      <c r="E79" s="17">
        <v>88.56</v>
      </c>
      <c r="F79" s="17">
        <v>0.28999999999999998</v>
      </c>
      <c r="G79" s="18">
        <v>0.31</v>
      </c>
      <c r="H79" s="11" t="s">
        <v>14</v>
      </c>
      <c r="I79" s="9"/>
    </row>
    <row r="80" spans="1:10" x14ac:dyDescent="0.25">
      <c r="A80" s="16" t="s">
        <v>39</v>
      </c>
      <c r="B80" s="17">
        <v>12</v>
      </c>
      <c r="C80" s="17">
        <v>261</v>
      </c>
      <c r="D80" s="17">
        <v>21</v>
      </c>
      <c r="E80" s="17">
        <v>82.2</v>
      </c>
      <c r="F80" s="17">
        <v>0.56999999999999995</v>
      </c>
      <c r="G80" s="17">
        <v>3.6999999999999998E-2</v>
      </c>
    </row>
    <row r="81" spans="1:7" x14ac:dyDescent="0.25">
      <c r="A81" s="16" t="s">
        <v>37</v>
      </c>
      <c r="B81" s="17">
        <v>12</v>
      </c>
      <c r="C81" s="17">
        <v>265</v>
      </c>
      <c r="D81" s="17">
        <v>20</v>
      </c>
      <c r="E81" s="17">
        <v>83.34</v>
      </c>
      <c r="F81" s="17">
        <v>0.56999999999999995</v>
      </c>
      <c r="G81" s="17">
        <v>3.4000000000000002E-2</v>
      </c>
    </row>
    <row r="83" spans="1:7" x14ac:dyDescent="0.25">
      <c r="A83" s="26" t="s">
        <v>40</v>
      </c>
      <c r="B83" s="27">
        <v>11</v>
      </c>
      <c r="C83" s="27">
        <v>115</v>
      </c>
      <c r="D83" s="27">
        <v>17</v>
      </c>
      <c r="E83" s="27">
        <v>95.3</v>
      </c>
      <c r="F83" s="27">
        <v>-3.99</v>
      </c>
      <c r="G83" s="27">
        <v>2.4E-2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E3C66ACF4393458051577D36AC6C25" ma:contentTypeVersion="11" ma:contentTypeDescription="Create a new document." ma:contentTypeScope="" ma:versionID="14ce307a2e56825cff9c9e7fcaaeda24">
  <xsd:schema xmlns:xsd="http://www.w3.org/2001/XMLSchema" xmlns:xs="http://www.w3.org/2001/XMLSchema" xmlns:p="http://schemas.microsoft.com/office/2006/metadata/properties" xmlns:ns2="4b26243c-b736-4d9c-b036-479be2ad88a1" xmlns:ns3="432dd258-9dce-4cb3-b611-c68c0fbce7f3" targetNamespace="http://schemas.microsoft.com/office/2006/metadata/properties" ma:root="true" ma:fieldsID="0503e52156abb22d20ee02405306de7b" ns2:_="" ns3:_="">
    <xsd:import namespace="4b26243c-b736-4d9c-b036-479be2ad88a1"/>
    <xsd:import namespace="432dd258-9dce-4cb3-b611-c68c0fbce7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6243c-b736-4d9c-b036-479be2ad88a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1616629-9183-4d38-9e3a-f9db27d53a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2dd258-9dce-4cb3-b611-c68c0fbce7f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b260203-45af-472f-8d6d-708aeb0066fe}" ma:internalName="TaxCatchAll" ma:showField="CatchAllData" ma:web="432dd258-9dce-4cb3-b611-c68c0fbce7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b26243c-b736-4d9c-b036-479be2ad88a1">
      <Terms xmlns="http://schemas.microsoft.com/office/infopath/2007/PartnerControls"/>
    </lcf76f155ced4ddcb4097134ff3c332f>
    <TaxCatchAll xmlns="432dd258-9dce-4cb3-b611-c68c0fbce7f3" xsi:nil="true"/>
  </documentManagement>
</p:properties>
</file>

<file path=customXml/itemProps1.xml><?xml version="1.0" encoding="utf-8"?>
<ds:datastoreItem xmlns:ds="http://schemas.openxmlformats.org/officeDocument/2006/customXml" ds:itemID="{D69358A4-94D4-4719-A2A6-27CF0D6A1727}"/>
</file>

<file path=customXml/itemProps2.xml><?xml version="1.0" encoding="utf-8"?>
<ds:datastoreItem xmlns:ds="http://schemas.openxmlformats.org/officeDocument/2006/customXml" ds:itemID="{7E8DAEDD-B58D-4C43-A70D-2030B47F7A87}"/>
</file>

<file path=customXml/itemProps3.xml><?xml version="1.0" encoding="utf-8"?>
<ds:datastoreItem xmlns:ds="http://schemas.openxmlformats.org/officeDocument/2006/customXml" ds:itemID="{73960B8F-8EFE-4662-A6CC-ADB6251726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13 papers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Korisnik</cp:lastModifiedBy>
  <cp:lastPrinted>2021-01-26T09:30:56Z</cp:lastPrinted>
  <dcterms:created xsi:type="dcterms:W3CDTF">2021-01-18T10:51:25Z</dcterms:created>
  <dcterms:modified xsi:type="dcterms:W3CDTF">2021-03-05T12:40:10Z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0x0101005BE3C66ACF4393458051577D36AC6C25</vt:lpwstr>
  </property>
</Properties>
</file>